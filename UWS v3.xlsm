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1. Planning\"/>
    </mc:Choice>
  </mc:AlternateContent>
  <xr:revisionPtr revIDLastSave="0" documentId="13_ncr:1_{50202A3B-249B-48A1-9C5D-CF31602A023B}" xr6:coauthVersionLast="47" xr6:coauthVersionMax="47" xr10:uidLastSave="{00000000-0000-0000-0000-000000000000}"/>
  <bookViews>
    <workbookView xWindow="-120" yWindow="-120" windowWidth="29040" windowHeight="15720" activeTab="1" xr2:uid="{BEDF7A35-3D3E-4A3B-A922-797D68903376}"/>
  </bookViews>
  <sheets>
    <sheet name="Exercise list" sheetId="7" r:id="rId1"/>
    <sheet name="Main" sheetId="2" r:id="rId2"/>
    <sheet name="Flexibilit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T453" i="2" l="1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A453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A452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A451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A450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A449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A448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A447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A446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A444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A443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A442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A441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A440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A439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A438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A432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A431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A430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A429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A428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A427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A426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A425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A424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A423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A422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A421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A419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A418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A417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A416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A415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A414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A413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A412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A411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A410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A409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A408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A407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A406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A405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A404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A403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A402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A401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A400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A399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A398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A397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A396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A395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A394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A393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A392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A391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A390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A389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A388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A387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A386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A385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A384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A383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A382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A380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A379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A378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A377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A376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A375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A374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A373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A370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A369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A368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A367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A366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A365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A364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A363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A362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A361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A360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A359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A358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A357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A355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A354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A353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A352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A351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A350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A349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A348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A347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A346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A345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A344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A343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A342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A341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A340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A339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A337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A336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A335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A334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A333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A332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A331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A330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A329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A328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A327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A326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A325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A324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A323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A322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A321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A320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A319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A318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A317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A316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A314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A313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A312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A310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A309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A308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A307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A306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A305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A304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A303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A302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A301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A300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A299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A297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A296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A295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A294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A293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A292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A291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A289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A288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A287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A286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A285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A284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A283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A282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A280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A279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A278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A276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A275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A273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A272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A271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A270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A269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A268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A267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A266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A265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A264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A263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A262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A261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A260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A259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A258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A257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A256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A255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A254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A252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A251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A250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A248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A247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A246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A245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A244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A243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A242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A241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A240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A239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A238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A235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A234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A232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A231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A230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A229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A228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A227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A226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A225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A223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A222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A221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A220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A219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A217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A215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A213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A212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A211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A210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A205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A204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A203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C96" i="2" a="1"/>
  <c r="C96" i="2" s="1"/>
  <c r="AE96" i="2" s="1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A454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Y288" i="2"/>
  <c r="AG262" i="2"/>
  <c r="AA219" i="2"/>
  <c r="X210" i="2"/>
  <c r="AA206" i="2"/>
  <c r="AF192" i="2"/>
  <c r="J453" i="2" a="1"/>
  <c r="J453" i="2" s="1"/>
  <c r="I453" i="2"/>
  <c r="F453" i="2" a="1"/>
  <c r="F453" i="2" s="1"/>
  <c r="J452" i="2" a="1"/>
  <c r="J452" i="2" s="1"/>
  <c r="I452" i="2"/>
  <c r="F452" i="2" a="1"/>
  <c r="F452" i="2" s="1"/>
  <c r="J451" i="2" a="1"/>
  <c r="J451" i="2" s="1"/>
  <c r="I451" i="2"/>
  <c r="F451" i="2" a="1"/>
  <c r="F451" i="2" s="1"/>
  <c r="J450" i="2" a="1"/>
  <c r="J450" i="2" s="1"/>
  <c r="I450" i="2"/>
  <c r="F450" i="2" a="1"/>
  <c r="F450" i="2" s="1"/>
  <c r="J449" i="2" a="1"/>
  <c r="J449" i="2" s="1"/>
  <c r="I449" i="2"/>
  <c r="F449" i="2" a="1"/>
  <c r="F449" i="2" s="1"/>
  <c r="J448" i="2" a="1"/>
  <c r="J448" i="2" s="1"/>
  <c r="I448" i="2"/>
  <c r="F448" i="2" a="1"/>
  <c r="F448" i="2" s="1"/>
  <c r="J447" i="2" a="1"/>
  <c r="J447" i="2" s="1"/>
  <c r="I447" i="2"/>
  <c r="F447" i="2" a="1"/>
  <c r="F447" i="2" s="1"/>
  <c r="J446" i="2" a="1"/>
  <c r="J446" i="2" s="1"/>
  <c r="I446" i="2"/>
  <c r="F446" i="2" a="1"/>
  <c r="F446" i="2" s="1"/>
  <c r="J445" i="2" a="1"/>
  <c r="J445" i="2" s="1"/>
  <c r="I445" i="2"/>
  <c r="F445" i="2" a="1"/>
  <c r="F445" i="2" s="1"/>
  <c r="J444" i="2" a="1"/>
  <c r="J444" i="2" s="1"/>
  <c r="I444" i="2"/>
  <c r="F444" i="2" a="1"/>
  <c r="F444" i="2" s="1"/>
  <c r="J443" i="2" a="1"/>
  <c r="J443" i="2" s="1"/>
  <c r="I443" i="2"/>
  <c r="F443" i="2" a="1"/>
  <c r="F443" i="2" s="1"/>
  <c r="J442" i="2" a="1"/>
  <c r="J442" i="2" s="1"/>
  <c r="I442" i="2"/>
  <c r="F442" i="2" a="1"/>
  <c r="F442" i="2" s="1"/>
  <c r="J441" i="2" a="1"/>
  <c r="J441" i="2" s="1"/>
  <c r="I441" i="2"/>
  <c r="F441" i="2" a="1"/>
  <c r="F441" i="2" s="1"/>
  <c r="J440" i="2" a="1"/>
  <c r="J440" i="2" s="1"/>
  <c r="I440" i="2"/>
  <c r="F440" i="2" a="1"/>
  <c r="F440" i="2" s="1"/>
  <c r="J439" i="2" a="1"/>
  <c r="J439" i="2" s="1"/>
  <c r="I439" i="2"/>
  <c r="F439" i="2" a="1"/>
  <c r="F439" i="2" s="1"/>
  <c r="J438" i="2" a="1"/>
  <c r="J438" i="2" s="1"/>
  <c r="I438" i="2"/>
  <c r="F438" i="2" a="1"/>
  <c r="F438" i="2" s="1"/>
  <c r="J437" i="2" a="1"/>
  <c r="J437" i="2" s="1"/>
  <c r="I437" i="2"/>
  <c r="F437" i="2" a="1"/>
  <c r="F437" i="2" s="1"/>
  <c r="J436" i="2" a="1"/>
  <c r="J436" i="2" s="1"/>
  <c r="I436" i="2"/>
  <c r="F436" i="2" a="1"/>
  <c r="F436" i="2" s="1"/>
  <c r="J435" i="2" a="1"/>
  <c r="J435" i="2" s="1"/>
  <c r="I435" i="2"/>
  <c r="F435" i="2" a="1"/>
  <c r="F435" i="2" s="1"/>
  <c r="J434" i="2" a="1"/>
  <c r="J434" i="2" s="1"/>
  <c r="I434" i="2"/>
  <c r="F434" i="2" a="1"/>
  <c r="F434" i="2" s="1"/>
  <c r="J433" i="2" a="1"/>
  <c r="J433" i="2" s="1"/>
  <c r="I433" i="2"/>
  <c r="F433" i="2" a="1"/>
  <c r="F433" i="2" s="1"/>
  <c r="J432" i="2" a="1"/>
  <c r="J432" i="2" s="1"/>
  <c r="I432" i="2"/>
  <c r="F432" i="2" a="1"/>
  <c r="F432" i="2" s="1"/>
  <c r="J431" i="2" a="1"/>
  <c r="J431" i="2" s="1"/>
  <c r="I431" i="2"/>
  <c r="F431" i="2" a="1"/>
  <c r="F431" i="2" s="1"/>
  <c r="J430" i="2" a="1"/>
  <c r="J430" i="2" s="1"/>
  <c r="I430" i="2"/>
  <c r="F430" i="2" a="1"/>
  <c r="F430" i="2" s="1"/>
  <c r="J429" i="2" a="1"/>
  <c r="J429" i="2" s="1"/>
  <c r="I429" i="2"/>
  <c r="F429" i="2" a="1"/>
  <c r="F429" i="2" s="1"/>
  <c r="J428" i="2" a="1"/>
  <c r="J428" i="2" s="1"/>
  <c r="I428" i="2"/>
  <c r="F428" i="2" a="1"/>
  <c r="F428" i="2" s="1"/>
  <c r="J427" i="2" a="1"/>
  <c r="J427" i="2" s="1"/>
  <c r="I427" i="2"/>
  <c r="F427" i="2" a="1"/>
  <c r="F427" i="2" s="1"/>
  <c r="J426" i="2" a="1"/>
  <c r="J426" i="2" s="1"/>
  <c r="I426" i="2"/>
  <c r="F426" i="2" a="1"/>
  <c r="F426" i="2" s="1"/>
  <c r="J425" i="2" a="1"/>
  <c r="J425" i="2" s="1"/>
  <c r="I425" i="2"/>
  <c r="F425" i="2" a="1"/>
  <c r="F425" i="2" s="1"/>
  <c r="J424" i="2" a="1"/>
  <c r="J424" i="2" s="1"/>
  <c r="I424" i="2"/>
  <c r="F424" i="2" a="1"/>
  <c r="F424" i="2" s="1"/>
  <c r="J423" i="2" a="1"/>
  <c r="J423" i="2" s="1"/>
  <c r="I423" i="2"/>
  <c r="F423" i="2" a="1"/>
  <c r="F423" i="2" s="1"/>
  <c r="J422" i="2" a="1"/>
  <c r="J422" i="2" s="1"/>
  <c r="I422" i="2"/>
  <c r="F422" i="2" a="1"/>
  <c r="F422" i="2" s="1"/>
  <c r="J421" i="2" a="1"/>
  <c r="J421" i="2" s="1"/>
  <c r="I421" i="2"/>
  <c r="F421" i="2" a="1"/>
  <c r="F421" i="2" s="1"/>
  <c r="J420" i="2" a="1"/>
  <c r="J420" i="2" s="1"/>
  <c r="I420" i="2"/>
  <c r="F420" i="2" a="1"/>
  <c r="F420" i="2" s="1"/>
  <c r="J419" i="2" a="1"/>
  <c r="J419" i="2" s="1"/>
  <c r="I419" i="2"/>
  <c r="F419" i="2" a="1"/>
  <c r="F419" i="2" s="1"/>
  <c r="J418" i="2" a="1"/>
  <c r="J418" i="2" s="1"/>
  <c r="I418" i="2"/>
  <c r="F418" i="2" a="1"/>
  <c r="F418" i="2" s="1"/>
  <c r="J417" i="2" a="1"/>
  <c r="J417" i="2" s="1"/>
  <c r="I417" i="2"/>
  <c r="F417" i="2" a="1"/>
  <c r="F417" i="2" s="1"/>
  <c r="J416" i="2" a="1"/>
  <c r="J416" i="2" s="1"/>
  <c r="I416" i="2"/>
  <c r="F416" i="2" a="1"/>
  <c r="F416" i="2" s="1"/>
  <c r="J415" i="2" a="1"/>
  <c r="J415" i="2" s="1"/>
  <c r="I415" i="2"/>
  <c r="F415" i="2" a="1"/>
  <c r="F415" i="2" s="1"/>
  <c r="J414" i="2" a="1"/>
  <c r="J414" i="2" s="1"/>
  <c r="I414" i="2"/>
  <c r="F414" i="2" a="1"/>
  <c r="F414" i="2" s="1"/>
  <c r="J413" i="2" a="1"/>
  <c r="J413" i="2" s="1"/>
  <c r="I413" i="2"/>
  <c r="F413" i="2" a="1"/>
  <c r="F413" i="2" s="1"/>
  <c r="J412" i="2" a="1"/>
  <c r="J412" i="2" s="1"/>
  <c r="I412" i="2"/>
  <c r="F412" i="2" a="1"/>
  <c r="F412" i="2" s="1"/>
  <c r="J411" i="2" a="1"/>
  <c r="J411" i="2" s="1"/>
  <c r="I411" i="2"/>
  <c r="F411" i="2" a="1"/>
  <c r="F411" i="2" s="1"/>
  <c r="J410" i="2" a="1"/>
  <c r="J410" i="2" s="1"/>
  <c r="I410" i="2"/>
  <c r="F410" i="2" a="1"/>
  <c r="F410" i="2" s="1"/>
  <c r="J409" i="2" a="1"/>
  <c r="J409" i="2" s="1"/>
  <c r="I409" i="2"/>
  <c r="F409" i="2" a="1"/>
  <c r="F409" i="2" s="1"/>
  <c r="J408" i="2" a="1"/>
  <c r="J408" i="2" s="1"/>
  <c r="I408" i="2"/>
  <c r="F408" i="2" a="1"/>
  <c r="F408" i="2" s="1"/>
  <c r="J407" i="2" a="1"/>
  <c r="J407" i="2" s="1"/>
  <c r="I407" i="2"/>
  <c r="F407" i="2" a="1"/>
  <c r="F407" i="2" s="1"/>
  <c r="J406" i="2" a="1"/>
  <c r="J406" i="2" s="1"/>
  <c r="I406" i="2"/>
  <c r="F406" i="2" a="1"/>
  <c r="F406" i="2" s="1"/>
  <c r="J405" i="2" a="1"/>
  <c r="J405" i="2" s="1"/>
  <c r="I405" i="2"/>
  <c r="F405" i="2" a="1"/>
  <c r="F405" i="2" s="1"/>
  <c r="J404" i="2" a="1"/>
  <c r="J404" i="2" s="1"/>
  <c r="I404" i="2"/>
  <c r="F404" i="2" a="1"/>
  <c r="F404" i="2" s="1"/>
  <c r="J403" i="2" a="1"/>
  <c r="J403" i="2" s="1"/>
  <c r="I403" i="2"/>
  <c r="F403" i="2" a="1"/>
  <c r="F403" i="2" s="1"/>
  <c r="J402" i="2" a="1"/>
  <c r="J402" i="2" s="1"/>
  <c r="I402" i="2"/>
  <c r="F402" i="2" a="1"/>
  <c r="F402" i="2" s="1"/>
  <c r="J401" i="2" a="1"/>
  <c r="J401" i="2" s="1"/>
  <c r="I401" i="2"/>
  <c r="F401" i="2" a="1"/>
  <c r="F401" i="2" s="1"/>
  <c r="J400" i="2" a="1"/>
  <c r="J400" i="2" s="1"/>
  <c r="I400" i="2"/>
  <c r="F400" i="2" a="1"/>
  <c r="F400" i="2" s="1"/>
  <c r="J399" i="2" a="1"/>
  <c r="J399" i="2" s="1"/>
  <c r="I399" i="2"/>
  <c r="F399" i="2" a="1"/>
  <c r="F399" i="2" s="1"/>
  <c r="J398" i="2" a="1"/>
  <c r="J398" i="2" s="1"/>
  <c r="I398" i="2"/>
  <c r="F398" i="2" a="1"/>
  <c r="F398" i="2" s="1"/>
  <c r="J397" i="2" a="1"/>
  <c r="J397" i="2" s="1"/>
  <c r="I397" i="2"/>
  <c r="F397" i="2" a="1"/>
  <c r="F397" i="2" s="1"/>
  <c r="J396" i="2" a="1"/>
  <c r="J396" i="2" s="1"/>
  <c r="I396" i="2"/>
  <c r="F396" i="2" a="1"/>
  <c r="F396" i="2" s="1"/>
  <c r="J395" i="2" a="1"/>
  <c r="J395" i="2" s="1"/>
  <c r="I395" i="2"/>
  <c r="F395" i="2" a="1"/>
  <c r="F395" i="2" s="1"/>
  <c r="J394" i="2" a="1"/>
  <c r="J394" i="2" s="1"/>
  <c r="I394" i="2"/>
  <c r="F394" i="2" a="1"/>
  <c r="F394" i="2" s="1"/>
  <c r="J393" i="2" a="1"/>
  <c r="J393" i="2" s="1"/>
  <c r="I393" i="2"/>
  <c r="F393" i="2" a="1"/>
  <c r="F393" i="2" s="1"/>
  <c r="J392" i="2" a="1"/>
  <c r="J392" i="2" s="1"/>
  <c r="I392" i="2"/>
  <c r="F392" i="2" a="1"/>
  <c r="F392" i="2" s="1"/>
  <c r="J391" i="2" a="1"/>
  <c r="J391" i="2" s="1"/>
  <c r="I391" i="2"/>
  <c r="F391" i="2" a="1"/>
  <c r="F391" i="2" s="1"/>
  <c r="J390" i="2" a="1"/>
  <c r="J390" i="2" s="1"/>
  <c r="I390" i="2"/>
  <c r="F390" i="2" a="1"/>
  <c r="F390" i="2" s="1"/>
  <c r="J389" i="2" a="1"/>
  <c r="J389" i="2" s="1"/>
  <c r="I389" i="2"/>
  <c r="F389" i="2" a="1"/>
  <c r="F389" i="2" s="1"/>
  <c r="J388" i="2" a="1"/>
  <c r="J388" i="2" s="1"/>
  <c r="I388" i="2"/>
  <c r="F388" i="2" a="1"/>
  <c r="F388" i="2" s="1"/>
  <c r="J387" i="2" a="1"/>
  <c r="J387" i="2" s="1"/>
  <c r="I387" i="2"/>
  <c r="F387" i="2" a="1"/>
  <c r="F387" i="2" s="1"/>
  <c r="J386" i="2" a="1"/>
  <c r="J386" i="2" s="1"/>
  <c r="I386" i="2"/>
  <c r="F386" i="2" a="1"/>
  <c r="F386" i="2" s="1"/>
  <c r="J385" i="2" a="1"/>
  <c r="J385" i="2" s="1"/>
  <c r="I385" i="2"/>
  <c r="F385" i="2" a="1"/>
  <c r="F385" i="2" s="1"/>
  <c r="J384" i="2" a="1"/>
  <c r="J384" i="2" s="1"/>
  <c r="I384" i="2"/>
  <c r="F384" i="2" a="1"/>
  <c r="F384" i="2" s="1"/>
  <c r="J383" i="2" a="1"/>
  <c r="J383" i="2" s="1"/>
  <c r="I383" i="2"/>
  <c r="F383" i="2" a="1"/>
  <c r="F383" i="2" s="1"/>
  <c r="J382" i="2" a="1"/>
  <c r="J382" i="2" s="1"/>
  <c r="I382" i="2"/>
  <c r="F382" i="2" a="1"/>
  <c r="F382" i="2" s="1"/>
  <c r="J381" i="2" a="1"/>
  <c r="J381" i="2" s="1"/>
  <c r="I381" i="2"/>
  <c r="F381" i="2" a="1"/>
  <c r="F381" i="2" s="1"/>
  <c r="J380" i="2" a="1"/>
  <c r="J380" i="2" s="1"/>
  <c r="I380" i="2"/>
  <c r="F380" i="2" a="1"/>
  <c r="F380" i="2" s="1"/>
  <c r="J379" i="2" a="1"/>
  <c r="J379" i="2" s="1"/>
  <c r="I379" i="2"/>
  <c r="F379" i="2" a="1"/>
  <c r="F379" i="2" s="1"/>
  <c r="J378" i="2" a="1"/>
  <c r="J378" i="2" s="1"/>
  <c r="I378" i="2"/>
  <c r="F378" i="2" a="1"/>
  <c r="F378" i="2" s="1"/>
  <c r="J377" i="2" a="1"/>
  <c r="J377" i="2" s="1"/>
  <c r="I377" i="2"/>
  <c r="F377" i="2" a="1"/>
  <c r="F377" i="2" s="1"/>
  <c r="J376" i="2" a="1"/>
  <c r="J376" i="2" s="1"/>
  <c r="I376" i="2"/>
  <c r="F376" i="2" a="1"/>
  <c r="F376" i="2" s="1"/>
  <c r="J375" i="2" a="1"/>
  <c r="J375" i="2" s="1"/>
  <c r="I375" i="2"/>
  <c r="F375" i="2" a="1"/>
  <c r="F375" i="2" s="1"/>
  <c r="J374" i="2" a="1"/>
  <c r="J374" i="2" s="1"/>
  <c r="I374" i="2"/>
  <c r="F374" i="2" a="1"/>
  <c r="F374" i="2" s="1"/>
  <c r="J373" i="2" a="1"/>
  <c r="J373" i="2" s="1"/>
  <c r="I373" i="2"/>
  <c r="F373" i="2" a="1"/>
  <c r="F373" i="2" s="1"/>
  <c r="J372" i="2" a="1"/>
  <c r="J372" i="2" s="1"/>
  <c r="I372" i="2"/>
  <c r="F372" i="2" a="1"/>
  <c r="F372" i="2" s="1"/>
  <c r="J371" i="2" a="1"/>
  <c r="J371" i="2" s="1"/>
  <c r="I371" i="2"/>
  <c r="F371" i="2" a="1"/>
  <c r="F371" i="2" s="1"/>
  <c r="J370" i="2" a="1"/>
  <c r="J370" i="2" s="1"/>
  <c r="I370" i="2"/>
  <c r="F370" i="2" a="1"/>
  <c r="F370" i="2" s="1"/>
  <c r="J369" i="2" a="1"/>
  <c r="J369" i="2" s="1"/>
  <c r="I369" i="2"/>
  <c r="F369" i="2" a="1"/>
  <c r="F369" i="2" s="1"/>
  <c r="J368" i="2" a="1"/>
  <c r="J368" i="2" s="1"/>
  <c r="I368" i="2"/>
  <c r="F368" i="2" a="1"/>
  <c r="F368" i="2" s="1"/>
  <c r="J367" i="2" a="1"/>
  <c r="J367" i="2" s="1"/>
  <c r="I367" i="2"/>
  <c r="F367" i="2" a="1"/>
  <c r="F367" i="2" s="1"/>
  <c r="J366" i="2" a="1"/>
  <c r="J366" i="2" s="1"/>
  <c r="I366" i="2"/>
  <c r="F366" i="2" a="1"/>
  <c r="F366" i="2" s="1"/>
  <c r="J365" i="2" a="1"/>
  <c r="J365" i="2" s="1"/>
  <c r="I365" i="2"/>
  <c r="F365" i="2" a="1"/>
  <c r="F365" i="2" s="1"/>
  <c r="J364" i="2" a="1"/>
  <c r="J364" i="2" s="1"/>
  <c r="I364" i="2"/>
  <c r="F364" i="2" a="1"/>
  <c r="F364" i="2" s="1"/>
  <c r="J363" i="2" a="1"/>
  <c r="J363" i="2" s="1"/>
  <c r="I363" i="2"/>
  <c r="F363" i="2" a="1"/>
  <c r="F363" i="2" s="1"/>
  <c r="J362" i="2" a="1"/>
  <c r="J362" i="2" s="1"/>
  <c r="I362" i="2"/>
  <c r="F362" i="2" a="1"/>
  <c r="F362" i="2" s="1"/>
  <c r="J361" i="2" a="1"/>
  <c r="J361" i="2" s="1"/>
  <c r="I361" i="2"/>
  <c r="F361" i="2" a="1"/>
  <c r="F361" i="2" s="1"/>
  <c r="J360" i="2" a="1"/>
  <c r="J360" i="2" s="1"/>
  <c r="I360" i="2"/>
  <c r="F360" i="2" a="1"/>
  <c r="F360" i="2" s="1"/>
  <c r="J359" i="2" a="1"/>
  <c r="J359" i="2" s="1"/>
  <c r="I359" i="2"/>
  <c r="F359" i="2" a="1"/>
  <c r="F359" i="2" s="1"/>
  <c r="J358" i="2" a="1"/>
  <c r="J358" i="2" s="1"/>
  <c r="I358" i="2"/>
  <c r="F358" i="2" a="1"/>
  <c r="F358" i="2" s="1"/>
  <c r="J357" i="2" a="1"/>
  <c r="J357" i="2" s="1"/>
  <c r="I357" i="2"/>
  <c r="F357" i="2" a="1"/>
  <c r="F357" i="2" s="1"/>
  <c r="J356" i="2" a="1"/>
  <c r="J356" i="2" s="1"/>
  <c r="I356" i="2"/>
  <c r="F356" i="2" a="1"/>
  <c r="F356" i="2" s="1"/>
  <c r="J355" i="2" a="1"/>
  <c r="J355" i="2" s="1"/>
  <c r="I355" i="2"/>
  <c r="F355" i="2" a="1"/>
  <c r="F355" i="2" s="1"/>
  <c r="J354" i="2" a="1"/>
  <c r="J354" i="2" s="1"/>
  <c r="I354" i="2"/>
  <c r="F354" i="2" a="1"/>
  <c r="F354" i="2" s="1"/>
  <c r="J353" i="2" a="1"/>
  <c r="J353" i="2" s="1"/>
  <c r="I353" i="2"/>
  <c r="F353" i="2" a="1"/>
  <c r="F353" i="2" s="1"/>
  <c r="J352" i="2" a="1"/>
  <c r="J352" i="2" s="1"/>
  <c r="I352" i="2"/>
  <c r="F352" i="2" a="1"/>
  <c r="F352" i="2" s="1"/>
  <c r="J351" i="2" a="1"/>
  <c r="J351" i="2" s="1"/>
  <c r="I351" i="2"/>
  <c r="F351" i="2" a="1"/>
  <c r="F351" i="2" s="1"/>
  <c r="J350" i="2" a="1"/>
  <c r="J350" i="2" s="1"/>
  <c r="I350" i="2"/>
  <c r="F350" i="2" a="1"/>
  <c r="F350" i="2" s="1"/>
  <c r="J349" i="2" a="1"/>
  <c r="J349" i="2" s="1"/>
  <c r="I349" i="2"/>
  <c r="F349" i="2" a="1"/>
  <c r="F349" i="2" s="1"/>
  <c r="J348" i="2" a="1"/>
  <c r="J348" i="2" s="1"/>
  <c r="I348" i="2"/>
  <c r="F348" i="2" a="1"/>
  <c r="F348" i="2" s="1"/>
  <c r="J347" i="2" a="1"/>
  <c r="J347" i="2" s="1"/>
  <c r="I347" i="2"/>
  <c r="F347" i="2" a="1"/>
  <c r="F347" i="2" s="1"/>
  <c r="J346" i="2" a="1"/>
  <c r="J346" i="2" s="1"/>
  <c r="I346" i="2"/>
  <c r="F346" i="2" a="1"/>
  <c r="F346" i="2" s="1"/>
  <c r="J345" i="2" a="1"/>
  <c r="J345" i="2" s="1"/>
  <c r="I345" i="2"/>
  <c r="F345" i="2" a="1"/>
  <c r="F345" i="2" s="1"/>
  <c r="J344" i="2" a="1"/>
  <c r="J344" i="2" s="1"/>
  <c r="I344" i="2"/>
  <c r="F344" i="2" a="1"/>
  <c r="F344" i="2" s="1"/>
  <c r="J343" i="2" a="1"/>
  <c r="J343" i="2" s="1"/>
  <c r="I343" i="2"/>
  <c r="F343" i="2" a="1"/>
  <c r="F343" i="2" s="1"/>
  <c r="J342" i="2" a="1"/>
  <c r="J342" i="2" s="1"/>
  <c r="I342" i="2"/>
  <c r="F342" i="2" a="1"/>
  <c r="F342" i="2" s="1"/>
  <c r="J341" i="2" a="1"/>
  <c r="J341" i="2" s="1"/>
  <c r="I341" i="2"/>
  <c r="F341" i="2" a="1"/>
  <c r="F341" i="2" s="1"/>
  <c r="J340" i="2" a="1"/>
  <c r="J340" i="2" s="1"/>
  <c r="I340" i="2"/>
  <c r="F340" i="2" a="1"/>
  <c r="F340" i="2" s="1"/>
  <c r="J339" i="2" a="1"/>
  <c r="J339" i="2" s="1"/>
  <c r="I339" i="2"/>
  <c r="F339" i="2" a="1"/>
  <c r="F339" i="2" s="1"/>
  <c r="J338" i="2" a="1"/>
  <c r="J338" i="2" s="1"/>
  <c r="I338" i="2"/>
  <c r="F338" i="2" a="1"/>
  <c r="F338" i="2" s="1"/>
  <c r="J337" i="2" a="1"/>
  <c r="J337" i="2" s="1"/>
  <c r="I337" i="2"/>
  <c r="F337" i="2" a="1"/>
  <c r="F337" i="2" s="1"/>
  <c r="J336" i="2" a="1"/>
  <c r="J336" i="2" s="1"/>
  <c r="I336" i="2"/>
  <c r="F336" i="2" a="1"/>
  <c r="F336" i="2" s="1"/>
  <c r="J335" i="2" a="1"/>
  <c r="J335" i="2" s="1"/>
  <c r="I335" i="2"/>
  <c r="F335" i="2" a="1"/>
  <c r="F335" i="2" s="1"/>
  <c r="J334" i="2" a="1"/>
  <c r="J334" i="2" s="1"/>
  <c r="I334" i="2"/>
  <c r="F334" i="2" a="1"/>
  <c r="F334" i="2" s="1"/>
  <c r="J333" i="2" a="1"/>
  <c r="J333" i="2" s="1"/>
  <c r="I333" i="2"/>
  <c r="F333" i="2" a="1"/>
  <c r="F333" i="2" s="1"/>
  <c r="J332" i="2" a="1"/>
  <c r="J332" i="2" s="1"/>
  <c r="I332" i="2"/>
  <c r="F332" i="2" a="1"/>
  <c r="F332" i="2" s="1"/>
  <c r="J331" i="2" a="1"/>
  <c r="J331" i="2" s="1"/>
  <c r="I331" i="2"/>
  <c r="F331" i="2" a="1"/>
  <c r="F331" i="2" s="1"/>
  <c r="J330" i="2" a="1"/>
  <c r="J330" i="2" s="1"/>
  <c r="I330" i="2"/>
  <c r="F330" i="2" a="1"/>
  <c r="F330" i="2" s="1"/>
  <c r="J329" i="2" a="1"/>
  <c r="J329" i="2" s="1"/>
  <c r="I329" i="2"/>
  <c r="F329" i="2" a="1"/>
  <c r="F329" i="2" s="1"/>
  <c r="J328" i="2" a="1"/>
  <c r="J328" i="2" s="1"/>
  <c r="I328" i="2"/>
  <c r="F328" i="2" a="1"/>
  <c r="F328" i="2" s="1"/>
  <c r="J327" i="2" a="1"/>
  <c r="J327" i="2" s="1"/>
  <c r="I327" i="2"/>
  <c r="F327" i="2" a="1"/>
  <c r="F327" i="2" s="1"/>
  <c r="J326" i="2" a="1"/>
  <c r="J326" i="2" s="1"/>
  <c r="I326" i="2"/>
  <c r="F326" i="2" a="1"/>
  <c r="F326" i="2" s="1"/>
  <c r="J325" i="2" a="1"/>
  <c r="J325" i="2" s="1"/>
  <c r="I325" i="2"/>
  <c r="F325" i="2" a="1"/>
  <c r="F325" i="2" s="1"/>
  <c r="J324" i="2" a="1"/>
  <c r="J324" i="2" s="1"/>
  <c r="I324" i="2"/>
  <c r="F324" i="2" a="1"/>
  <c r="F324" i="2" s="1"/>
  <c r="J323" i="2" a="1"/>
  <c r="J323" i="2" s="1"/>
  <c r="I323" i="2"/>
  <c r="F323" i="2" a="1"/>
  <c r="F323" i="2" s="1"/>
  <c r="J322" i="2" a="1"/>
  <c r="J322" i="2" s="1"/>
  <c r="I322" i="2"/>
  <c r="F322" i="2" a="1"/>
  <c r="F322" i="2" s="1"/>
  <c r="J321" i="2" a="1"/>
  <c r="J321" i="2" s="1"/>
  <c r="I321" i="2"/>
  <c r="F321" i="2" a="1"/>
  <c r="F321" i="2" s="1"/>
  <c r="J320" i="2" a="1"/>
  <c r="J320" i="2" s="1"/>
  <c r="I320" i="2"/>
  <c r="F320" i="2" a="1"/>
  <c r="F320" i="2" s="1"/>
  <c r="J319" i="2" a="1"/>
  <c r="J319" i="2" s="1"/>
  <c r="I319" i="2"/>
  <c r="F319" i="2" a="1"/>
  <c r="F319" i="2" s="1"/>
  <c r="J318" i="2" a="1"/>
  <c r="J318" i="2" s="1"/>
  <c r="I318" i="2"/>
  <c r="F318" i="2" a="1"/>
  <c r="F318" i="2" s="1"/>
  <c r="J317" i="2" a="1"/>
  <c r="J317" i="2" s="1"/>
  <c r="I317" i="2"/>
  <c r="F317" i="2" a="1"/>
  <c r="F317" i="2" s="1"/>
  <c r="J316" i="2" a="1"/>
  <c r="J316" i="2" s="1"/>
  <c r="I316" i="2"/>
  <c r="F316" i="2" a="1"/>
  <c r="F316" i="2" s="1"/>
  <c r="J315" i="2" a="1"/>
  <c r="J315" i="2" s="1"/>
  <c r="I315" i="2"/>
  <c r="F315" i="2" a="1"/>
  <c r="F315" i="2" s="1"/>
  <c r="J314" i="2" a="1"/>
  <c r="J314" i="2" s="1"/>
  <c r="I314" i="2"/>
  <c r="F314" i="2" a="1"/>
  <c r="F314" i="2" s="1"/>
  <c r="J313" i="2" a="1"/>
  <c r="J313" i="2" s="1"/>
  <c r="I313" i="2"/>
  <c r="F313" i="2" a="1"/>
  <c r="F313" i="2" s="1"/>
  <c r="J312" i="2" a="1"/>
  <c r="J312" i="2" s="1"/>
  <c r="I312" i="2"/>
  <c r="F312" i="2" a="1"/>
  <c r="F312" i="2" s="1"/>
  <c r="J311" i="2" a="1"/>
  <c r="J311" i="2" s="1"/>
  <c r="I311" i="2"/>
  <c r="F311" i="2" a="1"/>
  <c r="F311" i="2" s="1"/>
  <c r="J310" i="2" a="1"/>
  <c r="J310" i="2" s="1"/>
  <c r="I310" i="2"/>
  <c r="F310" i="2" a="1"/>
  <c r="F310" i="2" s="1"/>
  <c r="J309" i="2" a="1"/>
  <c r="J309" i="2" s="1"/>
  <c r="I309" i="2"/>
  <c r="F309" i="2" a="1"/>
  <c r="F309" i="2" s="1"/>
  <c r="J308" i="2" a="1"/>
  <c r="J308" i="2" s="1"/>
  <c r="I308" i="2"/>
  <c r="F308" i="2" a="1"/>
  <c r="F308" i="2" s="1"/>
  <c r="J307" i="2" a="1"/>
  <c r="J307" i="2" s="1"/>
  <c r="I307" i="2"/>
  <c r="F307" i="2" a="1"/>
  <c r="F307" i="2" s="1"/>
  <c r="J306" i="2" a="1"/>
  <c r="J306" i="2" s="1"/>
  <c r="I306" i="2"/>
  <c r="F306" i="2" a="1"/>
  <c r="F306" i="2" s="1"/>
  <c r="J305" i="2" a="1"/>
  <c r="J305" i="2" s="1"/>
  <c r="I305" i="2"/>
  <c r="F305" i="2" a="1"/>
  <c r="F305" i="2" s="1"/>
  <c r="J304" i="2" a="1"/>
  <c r="J304" i="2" s="1"/>
  <c r="I304" i="2"/>
  <c r="F304" i="2" a="1"/>
  <c r="F304" i="2" s="1"/>
  <c r="J303" i="2" a="1"/>
  <c r="J303" i="2" s="1"/>
  <c r="I303" i="2"/>
  <c r="F303" i="2" a="1"/>
  <c r="F303" i="2" s="1"/>
  <c r="J302" i="2" a="1"/>
  <c r="J302" i="2" s="1"/>
  <c r="I302" i="2"/>
  <c r="F302" i="2" a="1"/>
  <c r="F302" i="2" s="1"/>
  <c r="J301" i="2" a="1"/>
  <c r="J301" i="2" s="1"/>
  <c r="I301" i="2"/>
  <c r="F301" i="2" a="1"/>
  <c r="F301" i="2" s="1"/>
  <c r="J300" i="2" a="1"/>
  <c r="J300" i="2" s="1"/>
  <c r="I300" i="2"/>
  <c r="F300" i="2" a="1"/>
  <c r="F300" i="2" s="1"/>
  <c r="J299" i="2" a="1"/>
  <c r="J299" i="2" s="1"/>
  <c r="I299" i="2"/>
  <c r="F299" i="2" a="1"/>
  <c r="F299" i="2" s="1"/>
  <c r="J298" i="2" a="1"/>
  <c r="J298" i="2" s="1"/>
  <c r="I298" i="2"/>
  <c r="F298" i="2" a="1"/>
  <c r="F298" i="2" s="1"/>
  <c r="J297" i="2" a="1"/>
  <c r="J297" i="2" s="1"/>
  <c r="I297" i="2"/>
  <c r="F297" i="2" a="1"/>
  <c r="F297" i="2" s="1"/>
  <c r="J296" i="2" a="1"/>
  <c r="J296" i="2" s="1"/>
  <c r="I296" i="2"/>
  <c r="F296" i="2" a="1"/>
  <c r="F296" i="2" s="1"/>
  <c r="J295" i="2" a="1"/>
  <c r="J295" i="2" s="1"/>
  <c r="I295" i="2"/>
  <c r="F295" i="2" a="1"/>
  <c r="F295" i="2" s="1"/>
  <c r="J294" i="2" a="1"/>
  <c r="J294" i="2" s="1"/>
  <c r="I294" i="2"/>
  <c r="F294" i="2" a="1"/>
  <c r="F294" i="2" s="1"/>
  <c r="J293" i="2" a="1"/>
  <c r="J293" i="2" s="1"/>
  <c r="I293" i="2"/>
  <c r="F293" i="2" a="1"/>
  <c r="F293" i="2" s="1"/>
  <c r="J292" i="2" a="1"/>
  <c r="J292" i="2" s="1"/>
  <c r="I292" i="2"/>
  <c r="F292" i="2" a="1"/>
  <c r="F292" i="2" s="1"/>
  <c r="J291" i="2" a="1"/>
  <c r="J291" i="2" s="1"/>
  <c r="I291" i="2"/>
  <c r="F291" i="2" a="1"/>
  <c r="F291" i="2" s="1"/>
  <c r="J290" i="2" a="1"/>
  <c r="J290" i="2" s="1"/>
  <c r="I290" i="2"/>
  <c r="F290" i="2" a="1"/>
  <c r="F290" i="2" s="1"/>
  <c r="J289" i="2" a="1"/>
  <c r="J289" i="2" s="1"/>
  <c r="I289" i="2"/>
  <c r="F289" i="2" a="1"/>
  <c r="F289" i="2" s="1"/>
  <c r="J288" i="2" a="1"/>
  <c r="J288" i="2" s="1"/>
  <c r="I288" i="2"/>
  <c r="F288" i="2" a="1"/>
  <c r="F288" i="2" s="1"/>
  <c r="J287" i="2" a="1"/>
  <c r="J287" i="2" s="1"/>
  <c r="I287" i="2"/>
  <c r="F287" i="2" a="1"/>
  <c r="F287" i="2" s="1"/>
  <c r="J286" i="2" a="1"/>
  <c r="J286" i="2" s="1"/>
  <c r="I286" i="2"/>
  <c r="F286" i="2" a="1"/>
  <c r="F286" i="2" s="1"/>
  <c r="J285" i="2" a="1"/>
  <c r="J285" i="2" s="1"/>
  <c r="I285" i="2"/>
  <c r="F285" i="2" a="1"/>
  <c r="F285" i="2" s="1"/>
  <c r="J284" i="2" a="1"/>
  <c r="J284" i="2" s="1"/>
  <c r="I284" i="2"/>
  <c r="F284" i="2" a="1"/>
  <c r="F284" i="2" s="1"/>
  <c r="J283" i="2" a="1"/>
  <c r="J283" i="2" s="1"/>
  <c r="I283" i="2"/>
  <c r="F283" i="2" a="1"/>
  <c r="F283" i="2" s="1"/>
  <c r="J282" i="2" a="1"/>
  <c r="J282" i="2" s="1"/>
  <c r="I282" i="2"/>
  <c r="F282" i="2" a="1"/>
  <c r="F282" i="2" s="1"/>
  <c r="J281" i="2" a="1"/>
  <c r="J281" i="2" s="1"/>
  <c r="I281" i="2"/>
  <c r="F281" i="2" a="1"/>
  <c r="F281" i="2" s="1"/>
  <c r="J280" i="2" a="1"/>
  <c r="J280" i="2" s="1"/>
  <c r="I280" i="2"/>
  <c r="F280" i="2" a="1"/>
  <c r="F280" i="2" s="1"/>
  <c r="J279" i="2" a="1"/>
  <c r="J279" i="2" s="1"/>
  <c r="I279" i="2"/>
  <c r="F279" i="2" a="1"/>
  <c r="F279" i="2" s="1"/>
  <c r="J278" i="2" a="1"/>
  <c r="J278" i="2" s="1"/>
  <c r="I278" i="2"/>
  <c r="F278" i="2" a="1"/>
  <c r="F278" i="2" s="1"/>
  <c r="J277" i="2" a="1"/>
  <c r="J277" i="2" s="1"/>
  <c r="I277" i="2"/>
  <c r="F277" i="2" a="1"/>
  <c r="F277" i="2" s="1"/>
  <c r="J276" i="2" a="1"/>
  <c r="J276" i="2" s="1"/>
  <c r="I276" i="2"/>
  <c r="F276" i="2" a="1"/>
  <c r="F276" i="2" s="1"/>
  <c r="J275" i="2" a="1"/>
  <c r="J275" i="2" s="1"/>
  <c r="I275" i="2"/>
  <c r="F275" i="2" a="1"/>
  <c r="F275" i="2" s="1"/>
  <c r="J274" i="2" a="1"/>
  <c r="J274" i="2" s="1"/>
  <c r="I274" i="2"/>
  <c r="F274" i="2" a="1"/>
  <c r="F274" i="2" s="1"/>
  <c r="J273" i="2" a="1"/>
  <c r="J273" i="2" s="1"/>
  <c r="I273" i="2"/>
  <c r="F273" i="2" a="1"/>
  <c r="F273" i="2" s="1"/>
  <c r="J272" i="2" a="1"/>
  <c r="J272" i="2" s="1"/>
  <c r="I272" i="2"/>
  <c r="F272" i="2" a="1"/>
  <c r="F272" i="2" s="1"/>
  <c r="J271" i="2" a="1"/>
  <c r="J271" i="2" s="1"/>
  <c r="I271" i="2"/>
  <c r="F271" i="2" a="1"/>
  <c r="F271" i="2" s="1"/>
  <c r="J270" i="2" a="1"/>
  <c r="J270" i="2" s="1"/>
  <c r="I270" i="2"/>
  <c r="F270" i="2" a="1"/>
  <c r="F270" i="2" s="1"/>
  <c r="J269" i="2" a="1"/>
  <c r="J269" i="2" s="1"/>
  <c r="I269" i="2"/>
  <c r="F269" i="2" a="1"/>
  <c r="F269" i="2" s="1"/>
  <c r="J268" i="2" a="1"/>
  <c r="J268" i="2" s="1"/>
  <c r="I268" i="2"/>
  <c r="F268" i="2" a="1"/>
  <c r="F268" i="2" s="1"/>
  <c r="J267" i="2" a="1"/>
  <c r="J267" i="2" s="1"/>
  <c r="I267" i="2"/>
  <c r="F267" i="2" a="1"/>
  <c r="F267" i="2" s="1"/>
  <c r="J266" i="2" a="1"/>
  <c r="J266" i="2" s="1"/>
  <c r="I266" i="2"/>
  <c r="F266" i="2" a="1"/>
  <c r="F266" i="2" s="1"/>
  <c r="J265" i="2" a="1"/>
  <c r="J265" i="2" s="1"/>
  <c r="I265" i="2"/>
  <c r="F265" i="2" a="1"/>
  <c r="F265" i="2" s="1"/>
  <c r="J264" i="2" a="1"/>
  <c r="J264" i="2" s="1"/>
  <c r="I264" i="2"/>
  <c r="F264" i="2" a="1"/>
  <c r="F264" i="2" s="1"/>
  <c r="J263" i="2" a="1"/>
  <c r="J263" i="2" s="1"/>
  <c r="I263" i="2"/>
  <c r="F263" i="2" a="1"/>
  <c r="F263" i="2" s="1"/>
  <c r="J262" i="2" a="1"/>
  <c r="J262" i="2" s="1"/>
  <c r="I262" i="2"/>
  <c r="F262" i="2" a="1"/>
  <c r="F262" i="2" s="1"/>
  <c r="J261" i="2" a="1"/>
  <c r="J261" i="2" s="1"/>
  <c r="I261" i="2"/>
  <c r="F261" i="2" a="1"/>
  <c r="F261" i="2" s="1"/>
  <c r="J260" i="2" a="1"/>
  <c r="J260" i="2" s="1"/>
  <c r="I260" i="2"/>
  <c r="F260" i="2" a="1"/>
  <c r="F260" i="2" s="1"/>
  <c r="J259" i="2" a="1"/>
  <c r="J259" i="2" s="1"/>
  <c r="I259" i="2"/>
  <c r="F259" i="2" a="1"/>
  <c r="F259" i="2" s="1"/>
  <c r="J258" i="2" a="1"/>
  <c r="J258" i="2" s="1"/>
  <c r="I258" i="2"/>
  <c r="F258" i="2" a="1"/>
  <c r="F258" i="2" s="1"/>
  <c r="J257" i="2" a="1"/>
  <c r="J257" i="2" s="1"/>
  <c r="I257" i="2"/>
  <c r="F257" i="2" a="1"/>
  <c r="F257" i="2" s="1"/>
  <c r="J256" i="2" a="1"/>
  <c r="J256" i="2" s="1"/>
  <c r="I256" i="2"/>
  <c r="F256" i="2" a="1"/>
  <c r="F256" i="2" s="1"/>
  <c r="J255" i="2" a="1"/>
  <c r="J255" i="2" s="1"/>
  <c r="I255" i="2"/>
  <c r="F255" i="2" a="1"/>
  <c r="F255" i="2" s="1"/>
  <c r="J254" i="2" a="1"/>
  <c r="J254" i="2" s="1"/>
  <c r="I254" i="2"/>
  <c r="F254" i="2" a="1"/>
  <c r="F254" i="2" s="1"/>
  <c r="J253" i="2" a="1"/>
  <c r="J253" i="2" s="1"/>
  <c r="I253" i="2"/>
  <c r="F253" i="2" a="1"/>
  <c r="F253" i="2" s="1"/>
  <c r="J252" i="2" a="1"/>
  <c r="J252" i="2" s="1"/>
  <c r="I252" i="2"/>
  <c r="F252" i="2" a="1"/>
  <c r="F252" i="2" s="1"/>
  <c r="J251" i="2" a="1"/>
  <c r="J251" i="2" s="1"/>
  <c r="I251" i="2"/>
  <c r="F251" i="2" a="1"/>
  <c r="F251" i="2" s="1"/>
  <c r="J250" i="2" a="1"/>
  <c r="J250" i="2" s="1"/>
  <c r="I250" i="2"/>
  <c r="F250" i="2" a="1"/>
  <c r="F250" i="2" s="1"/>
  <c r="J249" i="2" a="1"/>
  <c r="J249" i="2" s="1"/>
  <c r="I249" i="2"/>
  <c r="F249" i="2" a="1"/>
  <c r="F249" i="2" s="1"/>
  <c r="J248" i="2" a="1"/>
  <c r="J248" i="2" s="1"/>
  <c r="I248" i="2"/>
  <c r="F248" i="2" a="1"/>
  <c r="F248" i="2" s="1"/>
  <c r="J247" i="2" a="1"/>
  <c r="J247" i="2" s="1"/>
  <c r="I247" i="2"/>
  <c r="F247" i="2" a="1"/>
  <c r="F247" i="2" s="1"/>
  <c r="J246" i="2" a="1"/>
  <c r="J246" i="2" s="1"/>
  <c r="I246" i="2"/>
  <c r="F246" i="2" a="1"/>
  <c r="F246" i="2" s="1"/>
  <c r="J245" i="2" a="1"/>
  <c r="J245" i="2" s="1"/>
  <c r="I245" i="2"/>
  <c r="F245" i="2" a="1"/>
  <c r="F245" i="2" s="1"/>
  <c r="J244" i="2" a="1"/>
  <c r="J244" i="2" s="1"/>
  <c r="I244" i="2"/>
  <c r="F244" i="2" a="1"/>
  <c r="F244" i="2" s="1"/>
  <c r="J243" i="2" a="1"/>
  <c r="J243" i="2" s="1"/>
  <c r="I243" i="2"/>
  <c r="F243" i="2" a="1"/>
  <c r="F243" i="2" s="1"/>
  <c r="J242" i="2" a="1"/>
  <c r="J242" i="2" s="1"/>
  <c r="I242" i="2"/>
  <c r="F242" i="2" a="1"/>
  <c r="F242" i="2" s="1"/>
  <c r="J241" i="2" a="1"/>
  <c r="J241" i="2" s="1"/>
  <c r="I241" i="2"/>
  <c r="F241" i="2" a="1"/>
  <c r="F241" i="2" s="1"/>
  <c r="J240" i="2" a="1"/>
  <c r="J240" i="2" s="1"/>
  <c r="I240" i="2"/>
  <c r="F240" i="2" a="1"/>
  <c r="F240" i="2" s="1"/>
  <c r="J239" i="2" a="1"/>
  <c r="J239" i="2" s="1"/>
  <c r="I239" i="2"/>
  <c r="F239" i="2" a="1"/>
  <c r="F239" i="2" s="1"/>
  <c r="J238" i="2" a="1"/>
  <c r="J238" i="2" s="1"/>
  <c r="I238" i="2"/>
  <c r="F238" i="2" a="1"/>
  <c r="F238" i="2" s="1"/>
  <c r="J237" i="2" a="1"/>
  <c r="J237" i="2" s="1"/>
  <c r="I237" i="2"/>
  <c r="F237" i="2" a="1"/>
  <c r="F237" i="2" s="1"/>
  <c r="J236" i="2" a="1"/>
  <c r="J236" i="2" s="1"/>
  <c r="I236" i="2"/>
  <c r="F236" i="2" a="1"/>
  <c r="F236" i="2" s="1"/>
  <c r="J235" i="2" a="1"/>
  <c r="J235" i="2" s="1"/>
  <c r="I235" i="2"/>
  <c r="F235" i="2" a="1"/>
  <c r="F235" i="2" s="1"/>
  <c r="J234" i="2" a="1"/>
  <c r="J234" i="2" s="1"/>
  <c r="I234" i="2"/>
  <c r="F234" i="2" a="1"/>
  <c r="F234" i="2" s="1"/>
  <c r="J233" i="2" a="1"/>
  <c r="J233" i="2" s="1"/>
  <c r="I233" i="2"/>
  <c r="F233" i="2" a="1"/>
  <c r="F233" i="2" s="1"/>
  <c r="J232" i="2" a="1"/>
  <c r="J232" i="2" s="1"/>
  <c r="I232" i="2"/>
  <c r="F232" i="2" a="1"/>
  <c r="F232" i="2" s="1"/>
  <c r="J231" i="2" a="1"/>
  <c r="J231" i="2" s="1"/>
  <c r="I231" i="2"/>
  <c r="F231" i="2" a="1"/>
  <c r="F231" i="2" s="1"/>
  <c r="J230" i="2" a="1"/>
  <c r="J230" i="2" s="1"/>
  <c r="I230" i="2"/>
  <c r="F230" i="2" a="1"/>
  <c r="F230" i="2" s="1"/>
  <c r="J229" i="2" a="1"/>
  <c r="J229" i="2" s="1"/>
  <c r="I229" i="2"/>
  <c r="F229" i="2" a="1"/>
  <c r="F229" i="2" s="1"/>
  <c r="J228" i="2" a="1"/>
  <c r="J228" i="2" s="1"/>
  <c r="I228" i="2"/>
  <c r="F228" i="2" a="1"/>
  <c r="F228" i="2" s="1"/>
  <c r="J227" i="2" a="1"/>
  <c r="J227" i="2" s="1"/>
  <c r="I227" i="2"/>
  <c r="F227" i="2" a="1"/>
  <c r="F227" i="2" s="1"/>
  <c r="J226" i="2" a="1"/>
  <c r="J226" i="2" s="1"/>
  <c r="I226" i="2"/>
  <c r="F226" i="2" a="1"/>
  <c r="F226" i="2" s="1"/>
  <c r="J225" i="2" a="1"/>
  <c r="J225" i="2" s="1"/>
  <c r="I225" i="2"/>
  <c r="F225" i="2" a="1"/>
  <c r="F225" i="2" s="1"/>
  <c r="J224" i="2" a="1"/>
  <c r="J224" i="2" s="1"/>
  <c r="I224" i="2"/>
  <c r="F224" i="2" a="1"/>
  <c r="F224" i="2" s="1"/>
  <c r="J223" i="2" a="1"/>
  <c r="J223" i="2" s="1"/>
  <c r="I223" i="2"/>
  <c r="F223" i="2" a="1"/>
  <c r="F223" i="2" s="1"/>
  <c r="J222" i="2" a="1"/>
  <c r="J222" i="2" s="1"/>
  <c r="I222" i="2"/>
  <c r="F222" i="2" a="1"/>
  <c r="F222" i="2" s="1"/>
  <c r="J221" i="2" a="1"/>
  <c r="J221" i="2" s="1"/>
  <c r="I221" i="2"/>
  <c r="F221" i="2" a="1"/>
  <c r="F221" i="2" s="1"/>
  <c r="J220" i="2" a="1"/>
  <c r="J220" i="2" s="1"/>
  <c r="I220" i="2"/>
  <c r="F220" i="2" a="1"/>
  <c r="F220" i="2" s="1"/>
  <c r="J219" i="2" a="1"/>
  <c r="J219" i="2" s="1"/>
  <c r="I219" i="2"/>
  <c r="F219" i="2" a="1"/>
  <c r="F219" i="2" s="1"/>
  <c r="J218" i="2" a="1"/>
  <c r="J218" i="2" s="1"/>
  <c r="I218" i="2"/>
  <c r="F218" i="2" a="1"/>
  <c r="F218" i="2" s="1"/>
  <c r="J217" i="2" a="1"/>
  <c r="J217" i="2" s="1"/>
  <c r="I217" i="2"/>
  <c r="F217" i="2" a="1"/>
  <c r="F217" i="2" s="1"/>
  <c r="J216" i="2" a="1"/>
  <c r="J216" i="2" s="1"/>
  <c r="I216" i="2"/>
  <c r="F216" i="2" a="1"/>
  <c r="F216" i="2" s="1"/>
  <c r="J215" i="2" a="1"/>
  <c r="J215" i="2" s="1"/>
  <c r="I215" i="2"/>
  <c r="F215" i="2" a="1"/>
  <c r="F215" i="2" s="1"/>
  <c r="J214" i="2" a="1"/>
  <c r="J214" i="2" s="1"/>
  <c r="I214" i="2"/>
  <c r="F214" i="2" a="1"/>
  <c r="F214" i="2" s="1"/>
  <c r="J213" i="2" a="1"/>
  <c r="J213" i="2" s="1"/>
  <c r="I213" i="2"/>
  <c r="F213" i="2" a="1"/>
  <c r="F213" i="2" s="1"/>
  <c r="J212" i="2" a="1"/>
  <c r="J212" i="2" s="1"/>
  <c r="I212" i="2"/>
  <c r="F212" i="2" a="1"/>
  <c r="F212" i="2" s="1"/>
  <c r="J211" i="2" a="1"/>
  <c r="J211" i="2" s="1"/>
  <c r="I211" i="2"/>
  <c r="F211" i="2" a="1"/>
  <c r="F211" i="2" s="1"/>
  <c r="J210" i="2" a="1"/>
  <c r="J210" i="2" s="1"/>
  <c r="I210" i="2"/>
  <c r="F210" i="2" a="1"/>
  <c r="F210" i="2" s="1"/>
  <c r="J209" i="2" a="1"/>
  <c r="J209" i="2" s="1"/>
  <c r="I209" i="2"/>
  <c r="F209" i="2" a="1"/>
  <c r="F209" i="2" s="1"/>
  <c r="J208" i="2" a="1"/>
  <c r="J208" i="2" s="1"/>
  <c r="I208" i="2"/>
  <c r="F208" i="2" a="1"/>
  <c r="F208" i="2" s="1"/>
  <c r="J207" i="2" a="1"/>
  <c r="J207" i="2" s="1"/>
  <c r="I207" i="2"/>
  <c r="F207" i="2" a="1"/>
  <c r="F207" i="2" s="1"/>
  <c r="J206" i="2" a="1"/>
  <c r="J206" i="2" s="1"/>
  <c r="I206" i="2"/>
  <c r="F206" i="2" a="1"/>
  <c r="F206" i="2" s="1"/>
  <c r="J205" i="2" a="1"/>
  <c r="J205" i="2" s="1"/>
  <c r="I205" i="2"/>
  <c r="F205" i="2" a="1"/>
  <c r="F205" i="2" s="1"/>
  <c r="J204" i="2" a="1"/>
  <c r="J204" i="2" s="1"/>
  <c r="I204" i="2"/>
  <c r="F204" i="2" a="1"/>
  <c r="F204" i="2" s="1"/>
  <c r="J203" i="2" a="1"/>
  <c r="J203" i="2" s="1"/>
  <c r="I203" i="2"/>
  <c r="F203" i="2" a="1"/>
  <c r="F203" i="2" s="1"/>
  <c r="J202" i="2" a="1"/>
  <c r="J202" i="2" s="1"/>
  <c r="I202" i="2"/>
  <c r="F202" i="2" a="1"/>
  <c r="F202" i="2" s="1"/>
  <c r="J201" i="2" a="1"/>
  <c r="J201" i="2" s="1"/>
  <c r="I201" i="2"/>
  <c r="F201" i="2" a="1"/>
  <c r="F201" i="2" s="1"/>
  <c r="J200" i="2" a="1"/>
  <c r="J200" i="2" s="1"/>
  <c r="I200" i="2"/>
  <c r="F200" i="2" a="1"/>
  <c r="F200" i="2" s="1"/>
  <c r="J199" i="2" a="1"/>
  <c r="J199" i="2" s="1"/>
  <c r="I199" i="2"/>
  <c r="F199" i="2" a="1"/>
  <c r="F199" i="2" s="1"/>
  <c r="J198" i="2" a="1"/>
  <c r="J198" i="2" s="1"/>
  <c r="I198" i="2"/>
  <c r="F198" i="2" a="1"/>
  <c r="F198" i="2" s="1"/>
  <c r="J197" i="2" a="1"/>
  <c r="J197" i="2" s="1"/>
  <c r="I197" i="2"/>
  <c r="F197" i="2" a="1"/>
  <c r="F197" i="2" s="1"/>
  <c r="J196" i="2" a="1"/>
  <c r="J196" i="2" s="1"/>
  <c r="I196" i="2"/>
  <c r="F196" i="2" a="1"/>
  <c r="F196" i="2" s="1"/>
  <c r="J195" i="2" a="1"/>
  <c r="J195" i="2" s="1"/>
  <c r="I195" i="2"/>
  <c r="F195" i="2" a="1"/>
  <c r="F195" i="2" s="1"/>
  <c r="J194" i="2" a="1"/>
  <c r="J194" i="2" s="1"/>
  <c r="I194" i="2"/>
  <c r="F194" i="2" a="1"/>
  <c r="F194" i="2" s="1"/>
  <c r="J193" i="2" a="1"/>
  <c r="J193" i="2" s="1"/>
  <c r="I193" i="2"/>
  <c r="F193" i="2" a="1"/>
  <c r="F193" i="2" s="1"/>
  <c r="J192" i="2" a="1"/>
  <c r="J192" i="2" s="1"/>
  <c r="I192" i="2"/>
  <c r="F192" i="2" a="1"/>
  <c r="F192" i="2" s="1"/>
  <c r="J191" i="2" a="1"/>
  <c r="J191" i="2" s="1"/>
  <c r="I191" i="2"/>
  <c r="F191" i="2" a="1"/>
  <c r="F191" i="2" s="1"/>
  <c r="J190" i="2" a="1"/>
  <c r="J190" i="2" s="1"/>
  <c r="I190" i="2"/>
  <c r="F190" i="2" a="1"/>
  <c r="F190" i="2" s="1"/>
  <c r="J189" i="2" a="1"/>
  <c r="J189" i="2" s="1"/>
  <c r="I189" i="2"/>
  <c r="F189" i="2" a="1"/>
  <c r="F189" i="2" s="1"/>
  <c r="J188" i="2" a="1"/>
  <c r="J188" i="2" s="1"/>
  <c r="I188" i="2"/>
  <c r="J187" i="2" a="1"/>
  <c r="J187" i="2" s="1"/>
  <c r="I187" i="2"/>
  <c r="J186" i="2" a="1"/>
  <c r="J186" i="2" s="1"/>
  <c r="I186" i="2"/>
  <c r="J185" i="2" a="1"/>
  <c r="J185" i="2" s="1"/>
  <c r="I185" i="2"/>
  <c r="J184" i="2" a="1"/>
  <c r="J184" i="2" s="1"/>
  <c r="I184" i="2"/>
  <c r="J183" i="2" a="1"/>
  <c r="J183" i="2" s="1"/>
  <c r="I183" i="2"/>
  <c r="J182" i="2" a="1"/>
  <c r="J182" i="2" s="1"/>
  <c r="I182" i="2"/>
  <c r="J181" i="2" a="1"/>
  <c r="J181" i="2" s="1"/>
  <c r="I181" i="2"/>
  <c r="J180" i="2" a="1"/>
  <c r="J180" i="2" s="1"/>
  <c r="I180" i="2"/>
  <c r="J179" i="2" a="1"/>
  <c r="J179" i="2" s="1"/>
  <c r="I179" i="2"/>
  <c r="J178" i="2" a="1"/>
  <c r="J178" i="2" s="1"/>
  <c r="I178" i="2"/>
  <c r="J177" i="2" a="1"/>
  <c r="J177" i="2" s="1"/>
  <c r="I177" i="2"/>
  <c r="J176" i="2" a="1"/>
  <c r="J176" i="2" s="1"/>
  <c r="I176" i="2"/>
  <c r="J175" i="2" a="1"/>
  <c r="J175" i="2" s="1"/>
  <c r="I175" i="2"/>
  <c r="J174" i="2" a="1"/>
  <c r="J174" i="2" s="1"/>
  <c r="I174" i="2"/>
  <c r="J173" i="2" a="1"/>
  <c r="J173" i="2" s="1"/>
  <c r="I173" i="2"/>
  <c r="J172" i="2" a="1"/>
  <c r="J172" i="2" s="1"/>
  <c r="I172" i="2"/>
  <c r="J171" i="2" a="1"/>
  <c r="J171" i="2" s="1"/>
  <c r="I171" i="2"/>
  <c r="J170" i="2" a="1"/>
  <c r="J170" i="2" s="1"/>
  <c r="I170" i="2"/>
  <c r="J169" i="2" a="1"/>
  <c r="J169" i="2" s="1"/>
  <c r="I169" i="2"/>
  <c r="J168" i="2" a="1"/>
  <c r="J168" i="2" s="1"/>
  <c r="I168" i="2"/>
  <c r="J167" i="2" a="1"/>
  <c r="J167" i="2" s="1"/>
  <c r="I167" i="2"/>
  <c r="J166" i="2" a="1"/>
  <c r="J166" i="2" s="1"/>
  <c r="I166" i="2"/>
  <c r="J165" i="2" a="1"/>
  <c r="J165" i="2" s="1"/>
  <c r="I165" i="2"/>
  <c r="J164" i="2" a="1"/>
  <c r="J164" i="2" s="1"/>
  <c r="I164" i="2"/>
  <c r="J163" i="2" a="1"/>
  <c r="J163" i="2" s="1"/>
  <c r="I163" i="2"/>
  <c r="J162" i="2" a="1"/>
  <c r="J162" i="2" s="1"/>
  <c r="I162" i="2"/>
  <c r="J161" i="2" a="1"/>
  <c r="J161" i="2" s="1"/>
  <c r="I161" i="2"/>
  <c r="J160" i="2" a="1"/>
  <c r="J160" i="2" s="1"/>
  <c r="I160" i="2"/>
  <c r="J159" i="2" a="1"/>
  <c r="J159" i="2" s="1"/>
  <c r="I159" i="2"/>
  <c r="J158" i="2" a="1"/>
  <c r="J158" i="2" s="1"/>
  <c r="I158" i="2"/>
  <c r="J157" i="2" a="1"/>
  <c r="J157" i="2" s="1"/>
  <c r="I157" i="2"/>
  <c r="J156" i="2" a="1"/>
  <c r="J156" i="2" s="1"/>
  <c r="I156" i="2"/>
  <c r="J155" i="2" a="1"/>
  <c r="J155" i="2" s="1"/>
  <c r="I155" i="2"/>
  <c r="J154" i="2" a="1"/>
  <c r="J154" i="2" s="1"/>
  <c r="I154" i="2"/>
  <c r="J153" i="2" a="1"/>
  <c r="J153" i="2" s="1"/>
  <c r="I153" i="2"/>
  <c r="J152" i="2" a="1"/>
  <c r="J152" i="2" s="1"/>
  <c r="I152" i="2"/>
  <c r="J151" i="2" a="1"/>
  <c r="J151" i="2" s="1"/>
  <c r="I151" i="2"/>
  <c r="J150" i="2" a="1"/>
  <c r="J150" i="2" s="1"/>
  <c r="I150" i="2"/>
  <c r="J149" i="2" a="1"/>
  <c r="J149" i="2" s="1"/>
  <c r="I149" i="2"/>
  <c r="J148" i="2" a="1"/>
  <c r="J148" i="2" s="1"/>
  <c r="I148" i="2"/>
  <c r="J147" i="2" a="1"/>
  <c r="J147" i="2" s="1"/>
  <c r="I147" i="2"/>
  <c r="J146" i="2" a="1"/>
  <c r="J146" i="2" s="1"/>
  <c r="I146" i="2"/>
  <c r="J145" i="2" a="1"/>
  <c r="J145" i="2" s="1"/>
  <c r="I145" i="2"/>
  <c r="J144" i="2" a="1"/>
  <c r="J144" i="2" s="1"/>
  <c r="I144" i="2"/>
  <c r="J143" i="2" a="1"/>
  <c r="J143" i="2" s="1"/>
  <c r="I143" i="2"/>
  <c r="J142" i="2" a="1"/>
  <c r="J142" i="2" s="1"/>
  <c r="I142" i="2"/>
  <c r="J141" i="2" a="1"/>
  <c r="J141" i="2" s="1"/>
  <c r="I141" i="2"/>
  <c r="J140" i="2" a="1"/>
  <c r="J140" i="2" s="1"/>
  <c r="I140" i="2"/>
  <c r="J139" i="2" a="1"/>
  <c r="J139" i="2" s="1"/>
  <c r="I139" i="2"/>
  <c r="J138" i="2" a="1"/>
  <c r="J138" i="2" s="1"/>
  <c r="I138" i="2"/>
  <c r="J137" i="2" a="1"/>
  <c r="J137" i="2" s="1"/>
  <c r="I137" i="2"/>
  <c r="J136" i="2" a="1"/>
  <c r="J136" i="2" s="1"/>
  <c r="I136" i="2"/>
  <c r="J135" i="2" a="1"/>
  <c r="J135" i="2" s="1"/>
  <c r="I135" i="2"/>
  <c r="J134" i="2" a="1"/>
  <c r="J134" i="2" s="1"/>
  <c r="I134" i="2"/>
  <c r="J133" i="2" a="1"/>
  <c r="J133" i="2" s="1"/>
  <c r="I133" i="2"/>
  <c r="J132" i="2" a="1"/>
  <c r="J132" i="2" s="1"/>
  <c r="I132" i="2"/>
  <c r="J131" i="2" a="1"/>
  <c r="J131" i="2" s="1"/>
  <c r="I131" i="2"/>
  <c r="J130" i="2" a="1"/>
  <c r="J130" i="2" s="1"/>
  <c r="I130" i="2"/>
  <c r="J129" i="2" a="1"/>
  <c r="J129" i="2" s="1"/>
  <c r="I129" i="2"/>
  <c r="J128" i="2" a="1"/>
  <c r="J128" i="2" s="1"/>
  <c r="I128" i="2"/>
  <c r="J127" i="2" a="1"/>
  <c r="J127" i="2" s="1"/>
  <c r="I127" i="2"/>
  <c r="J126" i="2" a="1"/>
  <c r="J126" i="2" s="1"/>
  <c r="I126" i="2"/>
  <c r="J125" i="2" a="1"/>
  <c r="J125" i="2" s="1"/>
  <c r="I125" i="2"/>
  <c r="J124" i="2" a="1"/>
  <c r="J124" i="2" s="1"/>
  <c r="I124" i="2"/>
  <c r="J123" i="2" a="1"/>
  <c r="J123" i="2" s="1"/>
  <c r="I123" i="2"/>
  <c r="J122" i="2" a="1"/>
  <c r="J122" i="2" s="1"/>
  <c r="I122" i="2"/>
  <c r="J121" i="2" a="1"/>
  <c r="J121" i="2" s="1"/>
  <c r="I121" i="2"/>
  <c r="J120" i="2" a="1"/>
  <c r="J120" i="2" s="1"/>
  <c r="I120" i="2"/>
  <c r="J119" i="2" a="1"/>
  <c r="J119" i="2" s="1"/>
  <c r="I119" i="2"/>
  <c r="J118" i="2" a="1"/>
  <c r="J118" i="2" s="1"/>
  <c r="I118" i="2"/>
  <c r="J117" i="2" a="1"/>
  <c r="J117" i="2" s="1"/>
  <c r="I117" i="2"/>
  <c r="J116" i="2" a="1"/>
  <c r="J116" i="2" s="1"/>
  <c r="I116" i="2"/>
  <c r="J115" i="2" a="1"/>
  <c r="J115" i="2" s="1"/>
  <c r="I115" i="2"/>
  <c r="J114" i="2" a="1"/>
  <c r="J114" i="2" s="1"/>
  <c r="I114" i="2"/>
  <c r="J113" i="2" a="1"/>
  <c r="J113" i="2" s="1"/>
  <c r="I113" i="2"/>
  <c r="J112" i="2" a="1"/>
  <c r="J112" i="2" s="1"/>
  <c r="I112" i="2"/>
  <c r="J111" i="2" a="1"/>
  <c r="J111" i="2" s="1"/>
  <c r="I111" i="2"/>
  <c r="J110" i="2" a="1"/>
  <c r="J110" i="2" s="1"/>
  <c r="I110" i="2"/>
  <c r="J109" i="2" a="1"/>
  <c r="J109" i="2" s="1"/>
  <c r="I109" i="2"/>
  <c r="J108" i="2" a="1"/>
  <c r="J108" i="2" s="1"/>
  <c r="I108" i="2"/>
  <c r="J107" i="2" a="1"/>
  <c r="J107" i="2" s="1"/>
  <c r="I107" i="2"/>
  <c r="J106" i="2" a="1"/>
  <c r="J106" i="2" s="1"/>
  <c r="I106" i="2"/>
  <c r="J105" i="2" a="1"/>
  <c r="J105" i="2" s="1"/>
  <c r="I105" i="2"/>
  <c r="J104" i="2" a="1"/>
  <c r="J104" i="2" s="1"/>
  <c r="I104" i="2"/>
  <c r="J103" i="2" a="1"/>
  <c r="J103" i="2" s="1"/>
  <c r="I103" i="2"/>
  <c r="J102" i="2" a="1"/>
  <c r="J102" i="2" s="1"/>
  <c r="I102" i="2"/>
  <c r="J101" i="2" a="1"/>
  <c r="J101" i="2" s="1"/>
  <c r="I101" i="2"/>
  <c r="J100" i="2" a="1"/>
  <c r="J100" i="2" s="1"/>
  <c r="I100" i="2"/>
  <c r="J99" i="2" a="1"/>
  <c r="J99" i="2" s="1"/>
  <c r="I99" i="2"/>
  <c r="J98" i="2" a="1"/>
  <c r="J98" i="2" s="1"/>
  <c r="I98" i="2"/>
  <c r="J97" i="2" a="1"/>
  <c r="J97" i="2" s="1"/>
  <c r="I97" i="2"/>
  <c r="J96" i="2" a="1"/>
  <c r="J96" i="2" s="1"/>
  <c r="I96" i="2"/>
  <c r="J95" i="2" a="1"/>
  <c r="J95" i="2" s="1"/>
  <c r="I95" i="2"/>
  <c r="J94" i="2" a="1"/>
  <c r="J94" i="2" s="1"/>
  <c r="I94" i="2"/>
  <c r="J93" i="2" a="1"/>
  <c r="J93" i="2" s="1"/>
  <c r="I93" i="2"/>
  <c r="J92" i="2" a="1"/>
  <c r="J92" i="2" s="1"/>
  <c r="I92" i="2"/>
  <c r="J91" i="2" a="1"/>
  <c r="J91" i="2" s="1"/>
  <c r="I91" i="2"/>
  <c r="J90" i="2" a="1"/>
  <c r="J90" i="2" s="1"/>
  <c r="I90" i="2"/>
  <c r="J89" i="2" a="1"/>
  <c r="J89" i="2" s="1"/>
  <c r="I89" i="2"/>
  <c r="J88" i="2" a="1"/>
  <c r="J88" i="2" s="1"/>
  <c r="I88" i="2"/>
  <c r="J87" i="2" a="1"/>
  <c r="J87" i="2" s="1"/>
  <c r="I87" i="2"/>
  <c r="J86" i="2" a="1"/>
  <c r="J86" i="2" s="1"/>
  <c r="I86" i="2"/>
  <c r="J85" i="2" a="1"/>
  <c r="J85" i="2" s="1"/>
  <c r="I85" i="2"/>
  <c r="J84" i="2" a="1"/>
  <c r="J84" i="2" s="1"/>
  <c r="I84" i="2"/>
  <c r="J83" i="2" a="1"/>
  <c r="J83" i="2" s="1"/>
  <c r="I83" i="2"/>
  <c r="J82" i="2" a="1"/>
  <c r="J82" i="2" s="1"/>
  <c r="I82" i="2"/>
  <c r="J81" i="2" a="1"/>
  <c r="J81" i="2" s="1"/>
  <c r="I81" i="2"/>
  <c r="J80" i="2" a="1"/>
  <c r="J80" i="2" s="1"/>
  <c r="I80" i="2"/>
  <c r="J79" i="2" a="1"/>
  <c r="J79" i="2" s="1"/>
  <c r="I79" i="2"/>
  <c r="J78" i="2" a="1"/>
  <c r="J78" i="2" s="1"/>
  <c r="I78" i="2"/>
  <c r="J77" i="2" a="1"/>
  <c r="J77" i="2" s="1"/>
  <c r="I77" i="2"/>
  <c r="J76" i="2" a="1"/>
  <c r="J76" i="2" s="1"/>
  <c r="I76" i="2"/>
  <c r="J75" i="2" a="1"/>
  <c r="J75" i="2" s="1"/>
  <c r="I75" i="2"/>
  <c r="J74" i="2" a="1"/>
  <c r="J74" i="2" s="1"/>
  <c r="I74" i="2"/>
  <c r="J73" i="2" a="1"/>
  <c r="J73" i="2" s="1"/>
  <c r="I73" i="2"/>
  <c r="J72" i="2" a="1"/>
  <c r="J72" i="2" s="1"/>
  <c r="I72" i="2"/>
  <c r="J71" i="2" a="1"/>
  <c r="J71" i="2" s="1"/>
  <c r="I71" i="2"/>
  <c r="J70" i="2" a="1"/>
  <c r="J70" i="2" s="1"/>
  <c r="I70" i="2"/>
  <c r="J69" i="2" a="1"/>
  <c r="J69" i="2" s="1"/>
  <c r="I69" i="2"/>
  <c r="F64" i="2" a="1"/>
  <c r="F64" i="2" s="1"/>
  <c r="F47" i="2" a="1"/>
  <c r="F47" i="2" s="1"/>
  <c r="F46" i="2" a="1"/>
  <c r="F46" i="2" s="1"/>
  <c r="F45" i="2" a="1"/>
  <c r="F45" i="2" s="1"/>
  <c r="F42" i="2" a="1"/>
  <c r="F42" i="2" s="1"/>
  <c r="F40" i="2" a="1"/>
  <c r="F40" i="2" s="1"/>
  <c r="F37" i="2" a="1"/>
  <c r="F37" i="2" s="1"/>
  <c r="F36" i="2" a="1"/>
  <c r="F36" i="2" s="1"/>
  <c r="F35" i="2" a="1"/>
  <c r="F35" i="2" s="1"/>
  <c r="F33" i="2" a="1"/>
  <c r="F33" i="2" s="1"/>
  <c r="F32" i="2" a="1"/>
  <c r="F32" i="2" s="1"/>
  <c r="F31" i="2" a="1"/>
  <c r="F31" i="2" s="1"/>
  <c r="F26" i="2" a="1"/>
  <c r="F26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J68" i="2" a="1"/>
  <c r="J68" i="2" s="1"/>
  <c r="J67" i="2" a="1"/>
  <c r="J67" i="2" s="1"/>
  <c r="J66" i="2" a="1"/>
  <c r="J66" i="2" s="1"/>
  <c r="N453" i="2" a="1"/>
  <c r="N453" i="2" s="1"/>
  <c r="L453" i="2" a="1"/>
  <c r="L453" i="2" s="1"/>
  <c r="N452" i="2" a="1"/>
  <c r="N452" i="2" s="1"/>
  <c r="L452" i="2" a="1"/>
  <c r="L452" i="2" s="1"/>
  <c r="N451" i="2" a="1"/>
  <c r="N451" i="2" s="1"/>
  <c r="L451" i="2" a="1"/>
  <c r="L451" i="2" s="1"/>
  <c r="N450" i="2" a="1"/>
  <c r="N450" i="2" s="1"/>
  <c r="L450" i="2" a="1"/>
  <c r="L450" i="2" s="1"/>
  <c r="N449" i="2" a="1"/>
  <c r="N449" i="2" s="1"/>
  <c r="L449" i="2" a="1"/>
  <c r="L449" i="2" s="1"/>
  <c r="N448" i="2" a="1"/>
  <c r="N448" i="2" s="1"/>
  <c r="L448" i="2" a="1"/>
  <c r="L448" i="2" s="1"/>
  <c r="N447" i="2" a="1"/>
  <c r="N447" i="2" s="1"/>
  <c r="L447" i="2" a="1"/>
  <c r="L447" i="2" s="1"/>
  <c r="N446" i="2" a="1"/>
  <c r="N446" i="2" s="1"/>
  <c r="L446" i="2" a="1"/>
  <c r="L446" i="2" s="1"/>
  <c r="N445" i="2" a="1"/>
  <c r="N445" i="2" s="1"/>
  <c r="L445" i="2" a="1"/>
  <c r="L445" i="2" s="1"/>
  <c r="N444" i="2" a="1"/>
  <c r="N444" i="2" s="1"/>
  <c r="L444" i="2" a="1"/>
  <c r="L444" i="2" s="1"/>
  <c r="N443" i="2" a="1"/>
  <c r="N443" i="2" s="1"/>
  <c r="L443" i="2" a="1"/>
  <c r="L443" i="2" s="1"/>
  <c r="N442" i="2" a="1"/>
  <c r="N442" i="2" s="1"/>
  <c r="L442" i="2" a="1"/>
  <c r="L442" i="2" s="1"/>
  <c r="N441" i="2" a="1"/>
  <c r="N441" i="2" s="1"/>
  <c r="L441" i="2" a="1"/>
  <c r="L441" i="2" s="1"/>
  <c r="N440" i="2" a="1"/>
  <c r="N440" i="2" s="1"/>
  <c r="L440" i="2" a="1"/>
  <c r="L440" i="2" s="1"/>
  <c r="N439" i="2" a="1"/>
  <c r="N439" i="2" s="1"/>
  <c r="L439" i="2" a="1"/>
  <c r="L439" i="2" s="1"/>
  <c r="N438" i="2" a="1"/>
  <c r="N438" i="2" s="1"/>
  <c r="L438" i="2" a="1"/>
  <c r="L438" i="2" s="1"/>
  <c r="N437" i="2" a="1"/>
  <c r="N437" i="2" s="1"/>
  <c r="L437" i="2" a="1"/>
  <c r="L437" i="2" s="1"/>
  <c r="N436" i="2" a="1"/>
  <c r="N436" i="2" s="1"/>
  <c r="L436" i="2" a="1"/>
  <c r="L436" i="2" s="1"/>
  <c r="N435" i="2" a="1"/>
  <c r="N435" i="2" s="1"/>
  <c r="L435" i="2" a="1"/>
  <c r="L435" i="2" s="1"/>
  <c r="N434" i="2" a="1"/>
  <c r="N434" i="2" s="1"/>
  <c r="L434" i="2" a="1"/>
  <c r="L434" i="2" s="1"/>
  <c r="N433" i="2" a="1"/>
  <c r="N433" i="2" s="1"/>
  <c r="L433" i="2" a="1"/>
  <c r="L433" i="2" s="1"/>
  <c r="N432" i="2" a="1"/>
  <c r="N432" i="2" s="1"/>
  <c r="L432" i="2" a="1"/>
  <c r="L432" i="2" s="1"/>
  <c r="N431" i="2" a="1"/>
  <c r="N431" i="2" s="1"/>
  <c r="L431" i="2" a="1"/>
  <c r="L431" i="2" s="1"/>
  <c r="N430" i="2" a="1"/>
  <c r="N430" i="2" s="1"/>
  <c r="L430" i="2" a="1"/>
  <c r="L430" i="2" s="1"/>
  <c r="N429" i="2" a="1"/>
  <c r="N429" i="2" s="1"/>
  <c r="L429" i="2" a="1"/>
  <c r="L429" i="2" s="1"/>
  <c r="N428" i="2" a="1"/>
  <c r="N428" i="2" s="1"/>
  <c r="L428" i="2" a="1"/>
  <c r="L428" i="2" s="1"/>
  <c r="N427" i="2" a="1"/>
  <c r="N427" i="2" s="1"/>
  <c r="L427" i="2" a="1"/>
  <c r="L427" i="2" s="1"/>
  <c r="N426" i="2" a="1"/>
  <c r="N426" i="2" s="1"/>
  <c r="L426" i="2" a="1"/>
  <c r="L426" i="2" s="1"/>
  <c r="N425" i="2" a="1"/>
  <c r="N425" i="2" s="1"/>
  <c r="L425" i="2" a="1"/>
  <c r="L425" i="2" s="1"/>
  <c r="N424" i="2" a="1"/>
  <c r="N424" i="2" s="1"/>
  <c r="L424" i="2" a="1"/>
  <c r="L424" i="2" s="1"/>
  <c r="N423" i="2" a="1"/>
  <c r="N423" i="2" s="1"/>
  <c r="L423" i="2" a="1"/>
  <c r="L423" i="2" s="1"/>
  <c r="N422" i="2" a="1"/>
  <c r="N422" i="2" s="1"/>
  <c r="L422" i="2" a="1"/>
  <c r="L422" i="2" s="1"/>
  <c r="N421" i="2" a="1"/>
  <c r="N421" i="2" s="1"/>
  <c r="L421" i="2" a="1"/>
  <c r="L421" i="2" s="1"/>
  <c r="N420" i="2" a="1"/>
  <c r="N420" i="2" s="1"/>
  <c r="L420" i="2" a="1"/>
  <c r="L420" i="2" s="1"/>
  <c r="N419" i="2" a="1"/>
  <c r="N419" i="2" s="1"/>
  <c r="L419" i="2" a="1"/>
  <c r="L419" i="2" s="1"/>
  <c r="N418" i="2" a="1"/>
  <c r="N418" i="2" s="1"/>
  <c r="L418" i="2" a="1"/>
  <c r="L418" i="2" s="1"/>
  <c r="N417" i="2" a="1"/>
  <c r="N417" i="2" s="1"/>
  <c r="L417" i="2" a="1"/>
  <c r="L417" i="2" s="1"/>
  <c r="N416" i="2" a="1"/>
  <c r="N416" i="2" s="1"/>
  <c r="L416" i="2" a="1"/>
  <c r="L416" i="2" s="1"/>
  <c r="N415" i="2" a="1"/>
  <c r="N415" i="2" s="1"/>
  <c r="L415" i="2" a="1"/>
  <c r="L415" i="2" s="1"/>
  <c r="N414" i="2" a="1"/>
  <c r="N414" i="2" s="1"/>
  <c r="L414" i="2" a="1"/>
  <c r="L414" i="2" s="1"/>
  <c r="N413" i="2" a="1"/>
  <c r="N413" i="2" s="1"/>
  <c r="L413" i="2" a="1"/>
  <c r="L413" i="2" s="1"/>
  <c r="N412" i="2" a="1"/>
  <c r="N412" i="2" s="1"/>
  <c r="L412" i="2" a="1"/>
  <c r="L412" i="2" s="1"/>
  <c r="N411" i="2" a="1"/>
  <c r="N411" i="2" s="1"/>
  <c r="L411" i="2" a="1"/>
  <c r="L411" i="2" s="1"/>
  <c r="N410" i="2" a="1"/>
  <c r="N410" i="2" s="1"/>
  <c r="L410" i="2" a="1"/>
  <c r="L410" i="2" s="1"/>
  <c r="N409" i="2" a="1"/>
  <c r="N409" i="2" s="1"/>
  <c r="L409" i="2" a="1"/>
  <c r="L409" i="2" s="1"/>
  <c r="N408" i="2" a="1"/>
  <c r="N408" i="2" s="1"/>
  <c r="L408" i="2" a="1"/>
  <c r="L408" i="2" s="1"/>
  <c r="N407" i="2" a="1"/>
  <c r="N407" i="2" s="1"/>
  <c r="L407" i="2" a="1"/>
  <c r="L407" i="2" s="1"/>
  <c r="N406" i="2" a="1"/>
  <c r="N406" i="2" s="1"/>
  <c r="L406" i="2" a="1"/>
  <c r="L406" i="2" s="1"/>
  <c r="N405" i="2" a="1"/>
  <c r="N405" i="2" s="1"/>
  <c r="L405" i="2" a="1"/>
  <c r="L405" i="2" s="1"/>
  <c r="N404" i="2" a="1"/>
  <c r="N404" i="2" s="1"/>
  <c r="L404" i="2" a="1"/>
  <c r="L404" i="2" s="1"/>
  <c r="N403" i="2" a="1"/>
  <c r="N403" i="2" s="1"/>
  <c r="L403" i="2" a="1"/>
  <c r="L403" i="2" s="1"/>
  <c r="N402" i="2" a="1"/>
  <c r="N402" i="2" s="1"/>
  <c r="L402" i="2" a="1"/>
  <c r="L402" i="2" s="1"/>
  <c r="N401" i="2" a="1"/>
  <c r="N401" i="2" s="1"/>
  <c r="L401" i="2" a="1"/>
  <c r="L401" i="2" s="1"/>
  <c r="N400" i="2" a="1"/>
  <c r="N400" i="2" s="1"/>
  <c r="L400" i="2" a="1"/>
  <c r="L400" i="2" s="1"/>
  <c r="N399" i="2" a="1"/>
  <c r="N399" i="2" s="1"/>
  <c r="L399" i="2" a="1"/>
  <c r="L399" i="2" s="1"/>
  <c r="N398" i="2" a="1"/>
  <c r="N398" i="2" s="1"/>
  <c r="L398" i="2" a="1"/>
  <c r="L398" i="2" s="1"/>
  <c r="N397" i="2" a="1"/>
  <c r="N397" i="2" s="1"/>
  <c r="L397" i="2" a="1"/>
  <c r="L397" i="2" s="1"/>
  <c r="N396" i="2" a="1"/>
  <c r="N396" i="2" s="1"/>
  <c r="L396" i="2" a="1"/>
  <c r="L396" i="2" s="1"/>
  <c r="N395" i="2" a="1"/>
  <c r="N395" i="2" s="1"/>
  <c r="L395" i="2" a="1"/>
  <c r="L395" i="2" s="1"/>
  <c r="N394" i="2" a="1"/>
  <c r="N394" i="2" s="1"/>
  <c r="L394" i="2" a="1"/>
  <c r="L394" i="2" s="1"/>
  <c r="N393" i="2" a="1"/>
  <c r="N393" i="2" s="1"/>
  <c r="L393" i="2" a="1"/>
  <c r="L393" i="2" s="1"/>
  <c r="N392" i="2" a="1"/>
  <c r="N392" i="2" s="1"/>
  <c r="L392" i="2" a="1"/>
  <c r="L392" i="2" s="1"/>
  <c r="N391" i="2" a="1"/>
  <c r="N391" i="2" s="1"/>
  <c r="L391" i="2" a="1"/>
  <c r="L391" i="2" s="1"/>
  <c r="N390" i="2" a="1"/>
  <c r="N390" i="2" s="1"/>
  <c r="L390" i="2" a="1"/>
  <c r="L390" i="2" s="1"/>
  <c r="N389" i="2" a="1"/>
  <c r="N389" i="2" s="1"/>
  <c r="L389" i="2" a="1"/>
  <c r="L389" i="2" s="1"/>
  <c r="N388" i="2" a="1"/>
  <c r="N388" i="2" s="1"/>
  <c r="L388" i="2" a="1"/>
  <c r="L388" i="2" s="1"/>
  <c r="N387" i="2" a="1"/>
  <c r="N387" i="2" s="1"/>
  <c r="L387" i="2" a="1"/>
  <c r="L387" i="2" s="1"/>
  <c r="N386" i="2" a="1"/>
  <c r="N386" i="2" s="1"/>
  <c r="L386" i="2" a="1"/>
  <c r="L386" i="2" s="1"/>
  <c r="N385" i="2" a="1"/>
  <c r="N385" i="2" s="1"/>
  <c r="L385" i="2" a="1"/>
  <c r="L385" i="2" s="1"/>
  <c r="N384" i="2" a="1"/>
  <c r="N384" i="2" s="1"/>
  <c r="L384" i="2" a="1"/>
  <c r="L384" i="2" s="1"/>
  <c r="N383" i="2" a="1"/>
  <c r="N383" i="2" s="1"/>
  <c r="L383" i="2" a="1"/>
  <c r="L383" i="2" s="1"/>
  <c r="N382" i="2" a="1"/>
  <c r="N382" i="2" s="1"/>
  <c r="L382" i="2" a="1"/>
  <c r="L382" i="2" s="1"/>
  <c r="N381" i="2" a="1"/>
  <c r="N381" i="2" s="1"/>
  <c r="L381" i="2" a="1"/>
  <c r="L381" i="2" s="1"/>
  <c r="N380" i="2" a="1"/>
  <c r="N380" i="2" s="1"/>
  <c r="L380" i="2" a="1"/>
  <c r="L380" i="2" s="1"/>
  <c r="N379" i="2" a="1"/>
  <c r="N379" i="2" s="1"/>
  <c r="L379" i="2" a="1"/>
  <c r="L379" i="2" s="1"/>
  <c r="N378" i="2" a="1"/>
  <c r="N378" i="2" s="1"/>
  <c r="L378" i="2" a="1"/>
  <c r="L378" i="2" s="1"/>
  <c r="N377" i="2" a="1"/>
  <c r="N377" i="2" s="1"/>
  <c r="L377" i="2" a="1"/>
  <c r="L377" i="2" s="1"/>
  <c r="N376" i="2" a="1"/>
  <c r="N376" i="2" s="1"/>
  <c r="L376" i="2" a="1"/>
  <c r="L376" i="2" s="1"/>
  <c r="N375" i="2" a="1"/>
  <c r="N375" i="2" s="1"/>
  <c r="L375" i="2" a="1"/>
  <c r="L375" i="2" s="1"/>
  <c r="N374" i="2" a="1"/>
  <c r="N374" i="2" s="1"/>
  <c r="L374" i="2" a="1"/>
  <c r="L374" i="2" s="1"/>
  <c r="N373" i="2" a="1"/>
  <c r="N373" i="2" s="1"/>
  <c r="L373" i="2" a="1"/>
  <c r="L373" i="2" s="1"/>
  <c r="N372" i="2" a="1"/>
  <c r="N372" i="2" s="1"/>
  <c r="L372" i="2" a="1"/>
  <c r="L372" i="2" s="1"/>
  <c r="N371" i="2" a="1"/>
  <c r="N371" i="2" s="1"/>
  <c r="L371" i="2" a="1"/>
  <c r="L371" i="2" s="1"/>
  <c r="N370" i="2" a="1"/>
  <c r="N370" i="2" s="1"/>
  <c r="L370" i="2" a="1"/>
  <c r="L370" i="2" s="1"/>
  <c r="N369" i="2" a="1"/>
  <c r="N369" i="2" s="1"/>
  <c r="L369" i="2" a="1"/>
  <c r="L369" i="2" s="1"/>
  <c r="N368" i="2" a="1"/>
  <c r="N368" i="2" s="1"/>
  <c r="L368" i="2" a="1"/>
  <c r="L368" i="2" s="1"/>
  <c r="N367" i="2" a="1"/>
  <c r="N367" i="2" s="1"/>
  <c r="L367" i="2" a="1"/>
  <c r="L367" i="2" s="1"/>
  <c r="N366" i="2" a="1"/>
  <c r="N366" i="2" s="1"/>
  <c r="L366" i="2" a="1"/>
  <c r="L366" i="2" s="1"/>
  <c r="N365" i="2" a="1"/>
  <c r="N365" i="2" s="1"/>
  <c r="L365" i="2" a="1"/>
  <c r="L365" i="2" s="1"/>
  <c r="N364" i="2" a="1"/>
  <c r="N364" i="2" s="1"/>
  <c r="L364" i="2" a="1"/>
  <c r="L364" i="2" s="1"/>
  <c r="N363" i="2" a="1"/>
  <c r="N363" i="2" s="1"/>
  <c r="L363" i="2" a="1"/>
  <c r="L363" i="2" s="1"/>
  <c r="N362" i="2" a="1"/>
  <c r="N362" i="2" s="1"/>
  <c r="L362" i="2" a="1"/>
  <c r="L362" i="2" s="1"/>
  <c r="N361" i="2" a="1"/>
  <c r="N361" i="2" s="1"/>
  <c r="L361" i="2" a="1"/>
  <c r="L361" i="2" s="1"/>
  <c r="N360" i="2" a="1"/>
  <c r="N360" i="2" s="1"/>
  <c r="L360" i="2" a="1"/>
  <c r="L360" i="2" s="1"/>
  <c r="N359" i="2" a="1"/>
  <c r="N359" i="2" s="1"/>
  <c r="L359" i="2" a="1"/>
  <c r="L359" i="2" s="1"/>
  <c r="N358" i="2" a="1"/>
  <c r="N358" i="2" s="1"/>
  <c r="L358" i="2" a="1"/>
  <c r="L358" i="2" s="1"/>
  <c r="N357" i="2" a="1"/>
  <c r="N357" i="2" s="1"/>
  <c r="L357" i="2" a="1"/>
  <c r="L357" i="2" s="1"/>
  <c r="N356" i="2" a="1"/>
  <c r="N356" i="2" s="1"/>
  <c r="L356" i="2" a="1"/>
  <c r="L356" i="2" s="1"/>
  <c r="N355" i="2" a="1"/>
  <c r="N355" i="2" s="1"/>
  <c r="L355" i="2" a="1"/>
  <c r="L355" i="2" s="1"/>
  <c r="N354" i="2" a="1"/>
  <c r="N354" i="2" s="1"/>
  <c r="L354" i="2" a="1"/>
  <c r="L354" i="2" s="1"/>
  <c r="N353" i="2" a="1"/>
  <c r="N353" i="2" s="1"/>
  <c r="L353" i="2" a="1"/>
  <c r="L353" i="2" s="1"/>
  <c r="N352" i="2" a="1"/>
  <c r="N352" i="2" s="1"/>
  <c r="L352" i="2" a="1"/>
  <c r="L352" i="2" s="1"/>
  <c r="N351" i="2" a="1"/>
  <c r="N351" i="2" s="1"/>
  <c r="L351" i="2" a="1"/>
  <c r="L351" i="2" s="1"/>
  <c r="N350" i="2" a="1"/>
  <c r="N350" i="2" s="1"/>
  <c r="L350" i="2" a="1"/>
  <c r="L350" i="2" s="1"/>
  <c r="N349" i="2" a="1"/>
  <c r="N349" i="2" s="1"/>
  <c r="L349" i="2" a="1"/>
  <c r="L349" i="2" s="1"/>
  <c r="N348" i="2" a="1"/>
  <c r="N348" i="2" s="1"/>
  <c r="L348" i="2" a="1"/>
  <c r="L348" i="2" s="1"/>
  <c r="N347" i="2" a="1"/>
  <c r="N347" i="2" s="1"/>
  <c r="L347" i="2" a="1"/>
  <c r="L347" i="2" s="1"/>
  <c r="N346" i="2" a="1"/>
  <c r="N346" i="2" s="1"/>
  <c r="L346" i="2" a="1"/>
  <c r="L346" i="2" s="1"/>
  <c r="N345" i="2" a="1"/>
  <c r="N345" i="2" s="1"/>
  <c r="L345" i="2" a="1"/>
  <c r="L345" i="2" s="1"/>
  <c r="N344" i="2" a="1"/>
  <c r="N344" i="2" s="1"/>
  <c r="L344" i="2" a="1"/>
  <c r="L344" i="2" s="1"/>
  <c r="N343" i="2" a="1"/>
  <c r="N343" i="2" s="1"/>
  <c r="L343" i="2" a="1"/>
  <c r="L343" i="2" s="1"/>
  <c r="N342" i="2" a="1"/>
  <c r="N342" i="2" s="1"/>
  <c r="L342" i="2" a="1"/>
  <c r="L342" i="2" s="1"/>
  <c r="N341" i="2" a="1"/>
  <c r="N341" i="2" s="1"/>
  <c r="L341" i="2" a="1"/>
  <c r="L341" i="2" s="1"/>
  <c r="N340" i="2" a="1"/>
  <c r="N340" i="2" s="1"/>
  <c r="L340" i="2" a="1"/>
  <c r="L340" i="2" s="1"/>
  <c r="N339" i="2" a="1"/>
  <c r="N339" i="2" s="1"/>
  <c r="L339" i="2" a="1"/>
  <c r="L339" i="2" s="1"/>
  <c r="N338" i="2" a="1"/>
  <c r="N338" i="2" s="1"/>
  <c r="L338" i="2" a="1"/>
  <c r="L338" i="2" s="1"/>
  <c r="N337" i="2" a="1"/>
  <c r="N337" i="2" s="1"/>
  <c r="L337" i="2" a="1"/>
  <c r="L337" i="2" s="1"/>
  <c r="N336" i="2" a="1"/>
  <c r="N336" i="2" s="1"/>
  <c r="L336" i="2" a="1"/>
  <c r="L336" i="2" s="1"/>
  <c r="N335" i="2" a="1"/>
  <c r="N335" i="2" s="1"/>
  <c r="L335" i="2" a="1"/>
  <c r="L335" i="2" s="1"/>
  <c r="N334" i="2" a="1"/>
  <c r="N334" i="2" s="1"/>
  <c r="L334" i="2" a="1"/>
  <c r="L334" i="2" s="1"/>
  <c r="N333" i="2" a="1"/>
  <c r="N333" i="2" s="1"/>
  <c r="L333" i="2" a="1"/>
  <c r="L333" i="2" s="1"/>
  <c r="N332" i="2" a="1"/>
  <c r="N332" i="2" s="1"/>
  <c r="L332" i="2" a="1"/>
  <c r="L332" i="2" s="1"/>
  <c r="N331" i="2" a="1"/>
  <c r="N331" i="2" s="1"/>
  <c r="L331" i="2" a="1"/>
  <c r="L331" i="2" s="1"/>
  <c r="N330" i="2" a="1"/>
  <c r="N330" i="2" s="1"/>
  <c r="L330" i="2" a="1"/>
  <c r="L330" i="2" s="1"/>
  <c r="N329" i="2" a="1"/>
  <c r="N329" i="2" s="1"/>
  <c r="L329" i="2" a="1"/>
  <c r="L329" i="2" s="1"/>
  <c r="N328" i="2" a="1"/>
  <c r="N328" i="2" s="1"/>
  <c r="L328" i="2" a="1"/>
  <c r="L328" i="2" s="1"/>
  <c r="N327" i="2" a="1"/>
  <c r="N327" i="2" s="1"/>
  <c r="L327" i="2" a="1"/>
  <c r="L327" i="2" s="1"/>
  <c r="N326" i="2" a="1"/>
  <c r="N326" i="2" s="1"/>
  <c r="L326" i="2" a="1"/>
  <c r="L326" i="2" s="1"/>
  <c r="N325" i="2" a="1"/>
  <c r="N325" i="2" s="1"/>
  <c r="L325" i="2" a="1"/>
  <c r="L325" i="2" s="1"/>
  <c r="N324" i="2" a="1"/>
  <c r="N324" i="2" s="1"/>
  <c r="L324" i="2" a="1"/>
  <c r="L324" i="2" s="1"/>
  <c r="N323" i="2" a="1"/>
  <c r="N323" i="2" s="1"/>
  <c r="L323" i="2" a="1"/>
  <c r="L323" i="2" s="1"/>
  <c r="N322" i="2" a="1"/>
  <c r="N322" i="2" s="1"/>
  <c r="L322" i="2" a="1"/>
  <c r="L322" i="2" s="1"/>
  <c r="N321" i="2" a="1"/>
  <c r="N321" i="2" s="1"/>
  <c r="L321" i="2" a="1"/>
  <c r="L321" i="2" s="1"/>
  <c r="N320" i="2" a="1"/>
  <c r="N320" i="2" s="1"/>
  <c r="L320" i="2" a="1"/>
  <c r="L320" i="2" s="1"/>
  <c r="N319" i="2" a="1"/>
  <c r="N319" i="2" s="1"/>
  <c r="L319" i="2" a="1"/>
  <c r="L319" i="2" s="1"/>
  <c r="N318" i="2" a="1"/>
  <c r="N318" i="2" s="1"/>
  <c r="L318" i="2" a="1"/>
  <c r="L318" i="2" s="1"/>
  <c r="N317" i="2" a="1"/>
  <c r="N317" i="2" s="1"/>
  <c r="L317" i="2" a="1"/>
  <c r="L317" i="2" s="1"/>
  <c r="N316" i="2" a="1"/>
  <c r="N316" i="2" s="1"/>
  <c r="L316" i="2" a="1"/>
  <c r="L316" i="2" s="1"/>
  <c r="N315" i="2" a="1"/>
  <c r="N315" i="2" s="1"/>
  <c r="L315" i="2" a="1"/>
  <c r="L315" i="2" s="1"/>
  <c r="N314" i="2" a="1"/>
  <c r="N314" i="2" s="1"/>
  <c r="L314" i="2" a="1"/>
  <c r="L314" i="2" s="1"/>
  <c r="N313" i="2" a="1"/>
  <c r="N313" i="2" s="1"/>
  <c r="L313" i="2" a="1"/>
  <c r="L313" i="2" s="1"/>
  <c r="N312" i="2" a="1"/>
  <c r="N312" i="2" s="1"/>
  <c r="L312" i="2" a="1"/>
  <c r="L312" i="2" s="1"/>
  <c r="N311" i="2" a="1"/>
  <c r="N311" i="2" s="1"/>
  <c r="L311" i="2" a="1"/>
  <c r="L311" i="2" s="1"/>
  <c r="N310" i="2" a="1"/>
  <c r="N310" i="2" s="1"/>
  <c r="L310" i="2" a="1"/>
  <c r="L310" i="2" s="1"/>
  <c r="N309" i="2" a="1"/>
  <c r="N309" i="2" s="1"/>
  <c r="L309" i="2" a="1"/>
  <c r="L309" i="2" s="1"/>
  <c r="N308" i="2" a="1"/>
  <c r="N308" i="2" s="1"/>
  <c r="L308" i="2" a="1"/>
  <c r="L308" i="2" s="1"/>
  <c r="N307" i="2" a="1"/>
  <c r="N307" i="2" s="1"/>
  <c r="L307" i="2" a="1"/>
  <c r="L307" i="2" s="1"/>
  <c r="N306" i="2" a="1"/>
  <c r="N306" i="2" s="1"/>
  <c r="L306" i="2" a="1"/>
  <c r="L306" i="2" s="1"/>
  <c r="N305" i="2" a="1"/>
  <c r="N305" i="2" s="1"/>
  <c r="L305" i="2" a="1"/>
  <c r="L305" i="2" s="1"/>
  <c r="N304" i="2" a="1"/>
  <c r="N304" i="2" s="1"/>
  <c r="L304" i="2" a="1"/>
  <c r="L304" i="2" s="1"/>
  <c r="N303" i="2" a="1"/>
  <c r="N303" i="2" s="1"/>
  <c r="L303" i="2" a="1"/>
  <c r="L303" i="2" s="1"/>
  <c r="N302" i="2" a="1"/>
  <c r="N302" i="2" s="1"/>
  <c r="L302" i="2" a="1"/>
  <c r="L302" i="2" s="1"/>
  <c r="N301" i="2" a="1"/>
  <c r="N301" i="2" s="1"/>
  <c r="L301" i="2" a="1"/>
  <c r="L301" i="2" s="1"/>
  <c r="N300" i="2" a="1"/>
  <c r="N300" i="2" s="1"/>
  <c r="L300" i="2" a="1"/>
  <c r="L300" i="2" s="1"/>
  <c r="N299" i="2" a="1"/>
  <c r="N299" i="2" s="1"/>
  <c r="L299" i="2" a="1"/>
  <c r="L299" i="2" s="1"/>
  <c r="N298" i="2" a="1"/>
  <c r="N298" i="2" s="1"/>
  <c r="L298" i="2" a="1"/>
  <c r="L298" i="2" s="1"/>
  <c r="N297" i="2" a="1"/>
  <c r="N297" i="2" s="1"/>
  <c r="L297" i="2" a="1"/>
  <c r="L297" i="2" s="1"/>
  <c r="N296" i="2" a="1"/>
  <c r="N296" i="2" s="1"/>
  <c r="L296" i="2" a="1"/>
  <c r="L296" i="2" s="1"/>
  <c r="N295" i="2" a="1"/>
  <c r="N295" i="2" s="1"/>
  <c r="L295" i="2" a="1"/>
  <c r="L295" i="2" s="1"/>
  <c r="N294" i="2" a="1"/>
  <c r="N294" i="2" s="1"/>
  <c r="L294" i="2" a="1"/>
  <c r="L294" i="2" s="1"/>
  <c r="N293" i="2" a="1"/>
  <c r="N293" i="2" s="1"/>
  <c r="L293" i="2" a="1"/>
  <c r="L293" i="2" s="1"/>
  <c r="N292" i="2" a="1"/>
  <c r="N292" i="2" s="1"/>
  <c r="L292" i="2" a="1"/>
  <c r="L292" i="2" s="1"/>
  <c r="N291" i="2" a="1"/>
  <c r="N291" i="2" s="1"/>
  <c r="L291" i="2" a="1"/>
  <c r="L291" i="2" s="1"/>
  <c r="N290" i="2" a="1"/>
  <c r="N290" i="2" s="1"/>
  <c r="L290" i="2" a="1"/>
  <c r="L290" i="2" s="1"/>
  <c r="N289" i="2" a="1"/>
  <c r="N289" i="2" s="1"/>
  <c r="L289" i="2" a="1"/>
  <c r="L289" i="2" s="1"/>
  <c r="N288" i="2" a="1"/>
  <c r="N288" i="2" s="1"/>
  <c r="L288" i="2" a="1"/>
  <c r="L288" i="2" s="1"/>
  <c r="N287" i="2" a="1"/>
  <c r="N287" i="2" s="1"/>
  <c r="L287" i="2" a="1"/>
  <c r="L287" i="2" s="1"/>
  <c r="N286" i="2" a="1"/>
  <c r="N286" i="2" s="1"/>
  <c r="L286" i="2" a="1"/>
  <c r="L286" i="2" s="1"/>
  <c r="N285" i="2" a="1"/>
  <c r="N285" i="2" s="1"/>
  <c r="L285" i="2" a="1"/>
  <c r="L285" i="2" s="1"/>
  <c r="N284" i="2" a="1"/>
  <c r="N284" i="2" s="1"/>
  <c r="L284" i="2" a="1"/>
  <c r="L284" i="2" s="1"/>
  <c r="N283" i="2" a="1"/>
  <c r="N283" i="2" s="1"/>
  <c r="L283" i="2" a="1"/>
  <c r="L283" i="2" s="1"/>
  <c r="N282" i="2" a="1"/>
  <c r="N282" i="2" s="1"/>
  <c r="L282" i="2" a="1"/>
  <c r="L282" i="2" s="1"/>
  <c r="N281" i="2" a="1"/>
  <c r="N281" i="2" s="1"/>
  <c r="L281" i="2" a="1"/>
  <c r="L281" i="2" s="1"/>
  <c r="N280" i="2" a="1"/>
  <c r="N280" i="2" s="1"/>
  <c r="L280" i="2" a="1"/>
  <c r="L280" i="2" s="1"/>
  <c r="N279" i="2" a="1"/>
  <c r="N279" i="2" s="1"/>
  <c r="L279" i="2" a="1"/>
  <c r="L279" i="2" s="1"/>
  <c r="N278" i="2" a="1"/>
  <c r="N278" i="2" s="1"/>
  <c r="L278" i="2" a="1"/>
  <c r="L278" i="2" s="1"/>
  <c r="N277" i="2" a="1"/>
  <c r="N277" i="2" s="1"/>
  <c r="L277" i="2" a="1"/>
  <c r="L277" i="2" s="1"/>
  <c r="N276" i="2" a="1"/>
  <c r="N276" i="2" s="1"/>
  <c r="L276" i="2" a="1"/>
  <c r="L276" i="2" s="1"/>
  <c r="N275" i="2" a="1"/>
  <c r="N275" i="2" s="1"/>
  <c r="L275" i="2" a="1"/>
  <c r="L275" i="2" s="1"/>
  <c r="N274" i="2" a="1"/>
  <c r="N274" i="2" s="1"/>
  <c r="L274" i="2" a="1"/>
  <c r="L274" i="2" s="1"/>
  <c r="N273" i="2" a="1"/>
  <c r="N273" i="2" s="1"/>
  <c r="L273" i="2" a="1"/>
  <c r="L273" i="2" s="1"/>
  <c r="N272" i="2" a="1"/>
  <c r="N272" i="2" s="1"/>
  <c r="L272" i="2" a="1"/>
  <c r="L272" i="2" s="1"/>
  <c r="N271" i="2" a="1"/>
  <c r="N271" i="2" s="1"/>
  <c r="L271" i="2" a="1"/>
  <c r="L271" i="2" s="1"/>
  <c r="N270" i="2" a="1"/>
  <c r="N270" i="2" s="1"/>
  <c r="L270" i="2" a="1"/>
  <c r="L270" i="2" s="1"/>
  <c r="N269" i="2" a="1"/>
  <c r="N269" i="2" s="1"/>
  <c r="L269" i="2" a="1"/>
  <c r="L269" i="2" s="1"/>
  <c r="N268" i="2" a="1"/>
  <c r="N268" i="2" s="1"/>
  <c r="L268" i="2" a="1"/>
  <c r="L268" i="2" s="1"/>
  <c r="N267" i="2" a="1"/>
  <c r="N267" i="2" s="1"/>
  <c r="L267" i="2" a="1"/>
  <c r="L267" i="2" s="1"/>
  <c r="N266" i="2" a="1"/>
  <c r="N266" i="2" s="1"/>
  <c r="L266" i="2" a="1"/>
  <c r="L266" i="2" s="1"/>
  <c r="N265" i="2" a="1"/>
  <c r="N265" i="2" s="1"/>
  <c r="L265" i="2" a="1"/>
  <c r="L265" i="2" s="1"/>
  <c r="N264" i="2" a="1"/>
  <c r="N264" i="2" s="1"/>
  <c r="L264" i="2" a="1"/>
  <c r="L264" i="2" s="1"/>
  <c r="N263" i="2" a="1"/>
  <c r="N263" i="2" s="1"/>
  <c r="L263" i="2" a="1"/>
  <c r="L263" i="2" s="1"/>
  <c r="N262" i="2" a="1"/>
  <c r="N262" i="2" s="1"/>
  <c r="L262" i="2" a="1"/>
  <c r="L262" i="2" s="1"/>
  <c r="N261" i="2" a="1"/>
  <c r="N261" i="2" s="1"/>
  <c r="L261" i="2" a="1"/>
  <c r="L261" i="2" s="1"/>
  <c r="N260" i="2" a="1"/>
  <c r="N260" i="2" s="1"/>
  <c r="L260" i="2" a="1"/>
  <c r="L260" i="2" s="1"/>
  <c r="N259" i="2" a="1"/>
  <c r="N259" i="2" s="1"/>
  <c r="L259" i="2" a="1"/>
  <c r="L259" i="2" s="1"/>
  <c r="N258" i="2" a="1"/>
  <c r="N258" i="2" s="1"/>
  <c r="L258" i="2" a="1"/>
  <c r="L258" i="2" s="1"/>
  <c r="N257" i="2" a="1"/>
  <c r="N257" i="2" s="1"/>
  <c r="L257" i="2" a="1"/>
  <c r="L257" i="2" s="1"/>
  <c r="N256" i="2" a="1"/>
  <c r="N256" i="2" s="1"/>
  <c r="L256" i="2" a="1"/>
  <c r="L256" i="2" s="1"/>
  <c r="N255" i="2" a="1"/>
  <c r="N255" i="2" s="1"/>
  <c r="L255" i="2" a="1"/>
  <c r="L255" i="2" s="1"/>
  <c r="N254" i="2" a="1"/>
  <c r="N254" i="2" s="1"/>
  <c r="L254" i="2" a="1"/>
  <c r="L254" i="2" s="1"/>
  <c r="N253" i="2" a="1"/>
  <c r="N253" i="2" s="1"/>
  <c r="L253" i="2" a="1"/>
  <c r="L253" i="2" s="1"/>
  <c r="N252" i="2" a="1"/>
  <c r="N252" i="2" s="1"/>
  <c r="L252" i="2" a="1"/>
  <c r="L252" i="2" s="1"/>
  <c r="N251" i="2" a="1"/>
  <c r="N251" i="2" s="1"/>
  <c r="L251" i="2" a="1"/>
  <c r="L251" i="2" s="1"/>
  <c r="N250" i="2" a="1"/>
  <c r="N250" i="2" s="1"/>
  <c r="L250" i="2" a="1"/>
  <c r="L250" i="2" s="1"/>
  <c r="N249" i="2" a="1"/>
  <c r="N249" i="2" s="1"/>
  <c r="L249" i="2" a="1"/>
  <c r="L249" i="2" s="1"/>
  <c r="N248" i="2" a="1"/>
  <c r="N248" i="2" s="1"/>
  <c r="L248" i="2" a="1"/>
  <c r="L248" i="2" s="1"/>
  <c r="N247" i="2" a="1"/>
  <c r="N247" i="2" s="1"/>
  <c r="L247" i="2" a="1"/>
  <c r="L247" i="2" s="1"/>
  <c r="N246" i="2" a="1"/>
  <c r="N246" i="2" s="1"/>
  <c r="L246" i="2" a="1"/>
  <c r="L246" i="2" s="1"/>
  <c r="N245" i="2" a="1"/>
  <c r="N245" i="2" s="1"/>
  <c r="L245" i="2" a="1"/>
  <c r="L245" i="2" s="1"/>
  <c r="N244" i="2" a="1"/>
  <c r="N244" i="2" s="1"/>
  <c r="L244" i="2" a="1"/>
  <c r="L244" i="2" s="1"/>
  <c r="N243" i="2" a="1"/>
  <c r="N243" i="2" s="1"/>
  <c r="L243" i="2" a="1"/>
  <c r="L243" i="2" s="1"/>
  <c r="N242" i="2" a="1"/>
  <c r="N242" i="2" s="1"/>
  <c r="L242" i="2" a="1"/>
  <c r="L242" i="2" s="1"/>
  <c r="N241" i="2" a="1"/>
  <c r="N241" i="2" s="1"/>
  <c r="L241" i="2" a="1"/>
  <c r="L241" i="2" s="1"/>
  <c r="N240" i="2" a="1"/>
  <c r="N240" i="2" s="1"/>
  <c r="L240" i="2" a="1"/>
  <c r="L240" i="2" s="1"/>
  <c r="N239" i="2" a="1"/>
  <c r="N239" i="2" s="1"/>
  <c r="L239" i="2" a="1"/>
  <c r="L239" i="2" s="1"/>
  <c r="N238" i="2" a="1"/>
  <c r="N238" i="2" s="1"/>
  <c r="L238" i="2" a="1"/>
  <c r="L238" i="2" s="1"/>
  <c r="N237" i="2" a="1"/>
  <c r="N237" i="2" s="1"/>
  <c r="L237" i="2" a="1"/>
  <c r="L237" i="2" s="1"/>
  <c r="N236" i="2" a="1"/>
  <c r="N236" i="2" s="1"/>
  <c r="L236" i="2" a="1"/>
  <c r="L236" i="2" s="1"/>
  <c r="N235" i="2" a="1"/>
  <c r="N235" i="2" s="1"/>
  <c r="L235" i="2" a="1"/>
  <c r="L235" i="2" s="1"/>
  <c r="N234" i="2" a="1"/>
  <c r="N234" i="2" s="1"/>
  <c r="L234" i="2" a="1"/>
  <c r="L234" i="2" s="1"/>
  <c r="N233" i="2" a="1"/>
  <c r="N233" i="2" s="1"/>
  <c r="L233" i="2" a="1"/>
  <c r="L233" i="2" s="1"/>
  <c r="N232" i="2" a="1"/>
  <c r="N232" i="2" s="1"/>
  <c r="L232" i="2" a="1"/>
  <c r="L232" i="2" s="1"/>
  <c r="N231" i="2" a="1"/>
  <c r="N231" i="2" s="1"/>
  <c r="L231" i="2" a="1"/>
  <c r="L231" i="2" s="1"/>
  <c r="N230" i="2" a="1"/>
  <c r="N230" i="2" s="1"/>
  <c r="L230" i="2" a="1"/>
  <c r="L230" i="2" s="1"/>
  <c r="N229" i="2" a="1"/>
  <c r="N229" i="2" s="1"/>
  <c r="L229" i="2" a="1"/>
  <c r="L229" i="2" s="1"/>
  <c r="N228" i="2" a="1"/>
  <c r="N228" i="2" s="1"/>
  <c r="L228" i="2" a="1"/>
  <c r="L228" i="2" s="1"/>
  <c r="N227" i="2" a="1"/>
  <c r="N227" i="2" s="1"/>
  <c r="L227" i="2" a="1"/>
  <c r="L227" i="2" s="1"/>
  <c r="N226" i="2" a="1"/>
  <c r="N226" i="2" s="1"/>
  <c r="L226" i="2" a="1"/>
  <c r="L226" i="2" s="1"/>
  <c r="N225" i="2" a="1"/>
  <c r="N225" i="2" s="1"/>
  <c r="L225" i="2" a="1"/>
  <c r="L225" i="2" s="1"/>
  <c r="N224" i="2" a="1"/>
  <c r="N224" i="2" s="1"/>
  <c r="L224" i="2" a="1"/>
  <c r="L224" i="2" s="1"/>
  <c r="N223" i="2" a="1"/>
  <c r="N223" i="2" s="1"/>
  <c r="L223" i="2" a="1"/>
  <c r="L223" i="2" s="1"/>
  <c r="N222" i="2" a="1"/>
  <c r="N222" i="2" s="1"/>
  <c r="L222" i="2" a="1"/>
  <c r="L222" i="2" s="1"/>
  <c r="N221" i="2" a="1"/>
  <c r="N221" i="2" s="1"/>
  <c r="L221" i="2" a="1"/>
  <c r="L221" i="2" s="1"/>
  <c r="N220" i="2" a="1"/>
  <c r="N220" i="2" s="1"/>
  <c r="L220" i="2" a="1"/>
  <c r="L220" i="2" s="1"/>
  <c r="N219" i="2" a="1"/>
  <c r="N219" i="2" s="1"/>
  <c r="L219" i="2" a="1"/>
  <c r="L219" i="2" s="1"/>
  <c r="N218" i="2" a="1"/>
  <c r="N218" i="2" s="1"/>
  <c r="L218" i="2" a="1"/>
  <c r="L218" i="2" s="1"/>
  <c r="N217" i="2" a="1"/>
  <c r="N217" i="2" s="1"/>
  <c r="L217" i="2" a="1"/>
  <c r="L217" i="2" s="1"/>
  <c r="N216" i="2" a="1"/>
  <c r="N216" i="2" s="1"/>
  <c r="L216" i="2" a="1"/>
  <c r="L216" i="2" s="1"/>
  <c r="N215" i="2" a="1"/>
  <c r="N215" i="2" s="1"/>
  <c r="L215" i="2" a="1"/>
  <c r="L215" i="2" s="1"/>
  <c r="N214" i="2" a="1"/>
  <c r="N214" i="2" s="1"/>
  <c r="L214" i="2" a="1"/>
  <c r="L214" i="2" s="1"/>
  <c r="N213" i="2" a="1"/>
  <c r="N213" i="2" s="1"/>
  <c r="L213" i="2" a="1"/>
  <c r="L213" i="2" s="1"/>
  <c r="N212" i="2" a="1"/>
  <c r="N212" i="2" s="1"/>
  <c r="L212" i="2" a="1"/>
  <c r="L212" i="2" s="1"/>
  <c r="N211" i="2" a="1"/>
  <c r="N211" i="2" s="1"/>
  <c r="L211" i="2" a="1"/>
  <c r="L211" i="2" s="1"/>
  <c r="N210" i="2" a="1"/>
  <c r="N210" i="2" s="1"/>
  <c r="L210" i="2" a="1"/>
  <c r="L210" i="2" s="1"/>
  <c r="N209" i="2" a="1"/>
  <c r="N209" i="2" s="1"/>
  <c r="L209" i="2" a="1"/>
  <c r="L209" i="2" s="1"/>
  <c r="N208" i="2" a="1"/>
  <c r="N208" i="2" s="1"/>
  <c r="L208" i="2" a="1"/>
  <c r="L208" i="2" s="1"/>
  <c r="N207" i="2" a="1"/>
  <c r="N207" i="2" s="1"/>
  <c r="L207" i="2" a="1"/>
  <c r="L207" i="2" s="1"/>
  <c r="N206" i="2" a="1"/>
  <c r="N206" i="2" s="1"/>
  <c r="L206" i="2" a="1"/>
  <c r="L206" i="2" s="1"/>
  <c r="N205" i="2" a="1"/>
  <c r="N205" i="2" s="1"/>
  <c r="L205" i="2" a="1"/>
  <c r="L205" i="2" s="1"/>
  <c r="N204" i="2" a="1"/>
  <c r="N204" i="2" s="1"/>
  <c r="L204" i="2" a="1"/>
  <c r="L204" i="2" s="1"/>
  <c r="N203" i="2" a="1"/>
  <c r="N203" i="2" s="1"/>
  <c r="L203" i="2" a="1"/>
  <c r="L203" i="2" s="1"/>
  <c r="N202" i="2" a="1"/>
  <c r="N202" i="2" s="1"/>
  <c r="L202" i="2" a="1"/>
  <c r="L202" i="2" s="1"/>
  <c r="N201" i="2" a="1"/>
  <c r="N201" i="2" s="1"/>
  <c r="L201" i="2" a="1"/>
  <c r="L201" i="2" s="1"/>
  <c r="N200" i="2" a="1"/>
  <c r="N200" i="2" s="1"/>
  <c r="L200" i="2" a="1"/>
  <c r="L200" i="2" s="1"/>
  <c r="N199" i="2" a="1"/>
  <c r="N199" i="2" s="1"/>
  <c r="L199" i="2" a="1"/>
  <c r="L199" i="2" s="1"/>
  <c r="N198" i="2" a="1"/>
  <c r="N198" i="2" s="1"/>
  <c r="L198" i="2" a="1"/>
  <c r="L198" i="2" s="1"/>
  <c r="N197" i="2" a="1"/>
  <c r="N197" i="2" s="1"/>
  <c r="L197" i="2" a="1"/>
  <c r="L197" i="2" s="1"/>
  <c r="N196" i="2" a="1"/>
  <c r="N196" i="2" s="1"/>
  <c r="L196" i="2" a="1"/>
  <c r="L196" i="2" s="1"/>
  <c r="N195" i="2" a="1"/>
  <c r="N195" i="2" s="1"/>
  <c r="L195" i="2" a="1"/>
  <c r="L195" i="2" s="1"/>
  <c r="N194" i="2" a="1"/>
  <c r="N194" i="2" s="1"/>
  <c r="L194" i="2" a="1"/>
  <c r="L194" i="2" s="1"/>
  <c r="N193" i="2" a="1"/>
  <c r="N193" i="2" s="1"/>
  <c r="L193" i="2" a="1"/>
  <c r="L193" i="2" s="1"/>
  <c r="N192" i="2" a="1"/>
  <c r="N192" i="2" s="1"/>
  <c r="L192" i="2" a="1"/>
  <c r="L192" i="2" s="1"/>
  <c r="N191" i="2" a="1"/>
  <c r="N191" i="2" s="1"/>
  <c r="L191" i="2" a="1"/>
  <c r="L191" i="2" s="1"/>
  <c r="N190" i="2" a="1"/>
  <c r="N190" i="2" s="1"/>
  <c r="L190" i="2" a="1"/>
  <c r="L190" i="2" s="1"/>
  <c r="N189" i="2" a="1"/>
  <c r="N189" i="2" s="1"/>
  <c r="L189" i="2" a="1"/>
  <c r="L189" i="2" s="1"/>
  <c r="N188" i="2" a="1"/>
  <c r="N188" i="2" s="1"/>
  <c r="L188" i="2" a="1"/>
  <c r="L188" i="2" s="1"/>
  <c r="N187" i="2" a="1"/>
  <c r="N187" i="2" s="1"/>
  <c r="L187" i="2" a="1"/>
  <c r="L187" i="2" s="1"/>
  <c r="N186" i="2" a="1"/>
  <c r="N186" i="2" s="1"/>
  <c r="L186" i="2" a="1"/>
  <c r="L186" i="2" s="1"/>
  <c r="N185" i="2" a="1"/>
  <c r="N185" i="2" s="1"/>
  <c r="L185" i="2" a="1"/>
  <c r="L185" i="2" s="1"/>
  <c r="N184" i="2" a="1"/>
  <c r="N184" i="2" s="1"/>
  <c r="L184" i="2" a="1"/>
  <c r="L184" i="2" s="1"/>
  <c r="N183" i="2" a="1"/>
  <c r="N183" i="2" s="1"/>
  <c r="L183" i="2" a="1"/>
  <c r="L183" i="2" s="1"/>
  <c r="N182" i="2" a="1"/>
  <c r="N182" i="2" s="1"/>
  <c r="L182" i="2" a="1"/>
  <c r="L182" i="2" s="1"/>
  <c r="N181" i="2" a="1"/>
  <c r="N181" i="2" s="1"/>
  <c r="L181" i="2" a="1"/>
  <c r="L181" i="2" s="1"/>
  <c r="N180" i="2" a="1"/>
  <c r="N180" i="2" s="1"/>
  <c r="L180" i="2" a="1"/>
  <c r="L180" i="2" s="1"/>
  <c r="N179" i="2" a="1"/>
  <c r="N179" i="2" s="1"/>
  <c r="L179" i="2" a="1"/>
  <c r="L179" i="2" s="1"/>
  <c r="N178" i="2" a="1"/>
  <c r="N178" i="2" s="1"/>
  <c r="L178" i="2" a="1"/>
  <c r="L178" i="2" s="1"/>
  <c r="N177" i="2" a="1"/>
  <c r="N177" i="2" s="1"/>
  <c r="L177" i="2" a="1"/>
  <c r="L177" i="2" s="1"/>
  <c r="N176" i="2" a="1"/>
  <c r="N176" i="2" s="1"/>
  <c r="L176" i="2" a="1"/>
  <c r="L176" i="2" s="1"/>
  <c r="N175" i="2" a="1"/>
  <c r="N175" i="2" s="1"/>
  <c r="L175" i="2" a="1"/>
  <c r="L175" i="2" s="1"/>
  <c r="N174" i="2" a="1"/>
  <c r="N174" i="2" s="1"/>
  <c r="L174" i="2" a="1"/>
  <c r="L174" i="2" s="1"/>
  <c r="N173" i="2" a="1"/>
  <c r="N173" i="2" s="1"/>
  <c r="L173" i="2" a="1"/>
  <c r="L173" i="2" s="1"/>
  <c r="N172" i="2" a="1"/>
  <c r="N172" i="2" s="1"/>
  <c r="L172" i="2" a="1"/>
  <c r="L172" i="2" s="1"/>
  <c r="N171" i="2" a="1"/>
  <c r="N171" i="2" s="1"/>
  <c r="L171" i="2" a="1"/>
  <c r="L171" i="2" s="1"/>
  <c r="N170" i="2" a="1"/>
  <c r="N170" i="2" s="1"/>
  <c r="L170" i="2" a="1"/>
  <c r="L170" i="2" s="1"/>
  <c r="N169" i="2" a="1"/>
  <c r="N169" i="2" s="1"/>
  <c r="L169" i="2" a="1"/>
  <c r="L169" i="2" s="1"/>
  <c r="N168" i="2" a="1"/>
  <c r="N168" i="2" s="1"/>
  <c r="L168" i="2" a="1"/>
  <c r="L168" i="2" s="1"/>
  <c r="N167" i="2" a="1"/>
  <c r="N167" i="2" s="1"/>
  <c r="L167" i="2" a="1"/>
  <c r="L167" i="2" s="1"/>
  <c r="N166" i="2" a="1"/>
  <c r="N166" i="2" s="1"/>
  <c r="L166" i="2" a="1"/>
  <c r="L166" i="2" s="1"/>
  <c r="N165" i="2" a="1"/>
  <c r="N165" i="2" s="1"/>
  <c r="L165" i="2" a="1"/>
  <c r="L165" i="2" s="1"/>
  <c r="N164" i="2" a="1"/>
  <c r="N164" i="2" s="1"/>
  <c r="L164" i="2" a="1"/>
  <c r="L164" i="2" s="1"/>
  <c r="N163" i="2" a="1"/>
  <c r="N163" i="2" s="1"/>
  <c r="L163" i="2" a="1"/>
  <c r="L163" i="2" s="1"/>
  <c r="N162" i="2" a="1"/>
  <c r="N162" i="2" s="1"/>
  <c r="L162" i="2" a="1"/>
  <c r="L162" i="2" s="1"/>
  <c r="N161" i="2" a="1"/>
  <c r="N161" i="2" s="1"/>
  <c r="L161" i="2" a="1"/>
  <c r="L161" i="2" s="1"/>
  <c r="N160" i="2" a="1"/>
  <c r="N160" i="2" s="1"/>
  <c r="L160" i="2" a="1"/>
  <c r="L160" i="2" s="1"/>
  <c r="N159" i="2" a="1"/>
  <c r="N159" i="2" s="1"/>
  <c r="L159" i="2" a="1"/>
  <c r="L159" i="2" s="1"/>
  <c r="N158" i="2" a="1"/>
  <c r="N158" i="2" s="1"/>
  <c r="L158" i="2" a="1"/>
  <c r="L158" i="2" s="1"/>
  <c r="N157" i="2" a="1"/>
  <c r="N157" i="2" s="1"/>
  <c r="L157" i="2" a="1"/>
  <c r="L157" i="2" s="1"/>
  <c r="N156" i="2" a="1"/>
  <c r="N156" i="2" s="1"/>
  <c r="L156" i="2" a="1"/>
  <c r="L156" i="2" s="1"/>
  <c r="N155" i="2" a="1"/>
  <c r="N155" i="2" s="1"/>
  <c r="L155" i="2" a="1"/>
  <c r="L155" i="2" s="1"/>
  <c r="N154" i="2" a="1"/>
  <c r="N154" i="2" s="1"/>
  <c r="L154" i="2" a="1"/>
  <c r="L154" i="2" s="1"/>
  <c r="N153" i="2" a="1"/>
  <c r="N153" i="2" s="1"/>
  <c r="L153" i="2" a="1"/>
  <c r="L153" i="2" s="1"/>
  <c r="N152" i="2" a="1"/>
  <c r="N152" i="2" s="1"/>
  <c r="L152" i="2" a="1"/>
  <c r="L152" i="2" s="1"/>
  <c r="N151" i="2" a="1"/>
  <c r="N151" i="2" s="1"/>
  <c r="L151" i="2" a="1"/>
  <c r="L151" i="2" s="1"/>
  <c r="N150" i="2" a="1"/>
  <c r="N150" i="2" s="1"/>
  <c r="L150" i="2" a="1"/>
  <c r="L150" i="2" s="1"/>
  <c r="N149" i="2" a="1"/>
  <c r="N149" i="2" s="1"/>
  <c r="L149" i="2" a="1"/>
  <c r="L149" i="2" s="1"/>
  <c r="N148" i="2" a="1"/>
  <c r="N148" i="2" s="1"/>
  <c r="L148" i="2" a="1"/>
  <c r="L148" i="2" s="1"/>
  <c r="N147" i="2" a="1"/>
  <c r="N147" i="2" s="1"/>
  <c r="L147" i="2" a="1"/>
  <c r="L147" i="2" s="1"/>
  <c r="N146" i="2" a="1"/>
  <c r="N146" i="2" s="1"/>
  <c r="L146" i="2" a="1"/>
  <c r="L146" i="2" s="1"/>
  <c r="N145" i="2" a="1"/>
  <c r="N145" i="2" s="1"/>
  <c r="L145" i="2" a="1"/>
  <c r="L145" i="2" s="1"/>
  <c r="N144" i="2" a="1"/>
  <c r="N144" i="2" s="1"/>
  <c r="L144" i="2" a="1"/>
  <c r="L144" i="2" s="1"/>
  <c r="N143" i="2" a="1"/>
  <c r="N143" i="2" s="1"/>
  <c r="L143" i="2" a="1"/>
  <c r="L143" i="2" s="1"/>
  <c r="N142" i="2" a="1"/>
  <c r="N142" i="2" s="1"/>
  <c r="L142" i="2" a="1"/>
  <c r="L142" i="2" s="1"/>
  <c r="N141" i="2" a="1"/>
  <c r="N141" i="2" s="1"/>
  <c r="L141" i="2" a="1"/>
  <c r="L141" i="2" s="1"/>
  <c r="N140" i="2" a="1"/>
  <c r="N140" i="2" s="1"/>
  <c r="L140" i="2" a="1"/>
  <c r="L140" i="2" s="1"/>
  <c r="N139" i="2" a="1"/>
  <c r="N139" i="2" s="1"/>
  <c r="L139" i="2" a="1"/>
  <c r="L139" i="2" s="1"/>
  <c r="N138" i="2" a="1"/>
  <c r="N138" i="2" s="1"/>
  <c r="L138" i="2" a="1"/>
  <c r="L138" i="2" s="1"/>
  <c r="N137" i="2" a="1"/>
  <c r="N137" i="2" s="1"/>
  <c r="L137" i="2" a="1"/>
  <c r="L137" i="2" s="1"/>
  <c r="N136" i="2" a="1"/>
  <c r="N136" i="2" s="1"/>
  <c r="L136" i="2" a="1"/>
  <c r="L136" i="2" s="1"/>
  <c r="N135" i="2" a="1"/>
  <c r="N135" i="2" s="1"/>
  <c r="L135" i="2" a="1"/>
  <c r="L135" i="2" s="1"/>
  <c r="N134" i="2" a="1"/>
  <c r="N134" i="2" s="1"/>
  <c r="L134" i="2" a="1"/>
  <c r="L134" i="2" s="1"/>
  <c r="N133" i="2" a="1"/>
  <c r="N133" i="2" s="1"/>
  <c r="L133" i="2" a="1"/>
  <c r="L133" i="2" s="1"/>
  <c r="N132" i="2" a="1"/>
  <c r="N132" i="2" s="1"/>
  <c r="L132" i="2" a="1"/>
  <c r="L132" i="2" s="1"/>
  <c r="N131" i="2" a="1"/>
  <c r="N131" i="2" s="1"/>
  <c r="L131" i="2" a="1"/>
  <c r="L131" i="2" s="1"/>
  <c r="N130" i="2" a="1"/>
  <c r="N130" i="2" s="1"/>
  <c r="L130" i="2" a="1"/>
  <c r="L130" i="2" s="1"/>
  <c r="N129" i="2" a="1"/>
  <c r="N129" i="2" s="1"/>
  <c r="L129" i="2" a="1"/>
  <c r="L129" i="2" s="1"/>
  <c r="N128" i="2" a="1"/>
  <c r="N128" i="2" s="1"/>
  <c r="L128" i="2" a="1"/>
  <c r="L128" i="2" s="1"/>
  <c r="N127" i="2" a="1"/>
  <c r="N127" i="2" s="1"/>
  <c r="L127" i="2" a="1"/>
  <c r="L127" i="2" s="1"/>
  <c r="N126" i="2" a="1"/>
  <c r="N126" i="2" s="1"/>
  <c r="L126" i="2" a="1"/>
  <c r="L126" i="2" s="1"/>
  <c r="N125" i="2" a="1"/>
  <c r="N125" i="2" s="1"/>
  <c r="L125" i="2" a="1"/>
  <c r="L125" i="2" s="1"/>
  <c r="N124" i="2" a="1"/>
  <c r="N124" i="2" s="1"/>
  <c r="L124" i="2" a="1"/>
  <c r="L124" i="2" s="1"/>
  <c r="N123" i="2" a="1"/>
  <c r="N123" i="2" s="1"/>
  <c r="L123" i="2" a="1"/>
  <c r="L123" i="2" s="1"/>
  <c r="N122" i="2" a="1"/>
  <c r="N122" i="2" s="1"/>
  <c r="L122" i="2" a="1"/>
  <c r="L122" i="2" s="1"/>
  <c r="N121" i="2" a="1"/>
  <c r="N121" i="2" s="1"/>
  <c r="L121" i="2" a="1"/>
  <c r="L121" i="2" s="1"/>
  <c r="N120" i="2" a="1"/>
  <c r="N120" i="2" s="1"/>
  <c r="L120" i="2" a="1"/>
  <c r="L120" i="2" s="1"/>
  <c r="N119" i="2" a="1"/>
  <c r="N119" i="2" s="1"/>
  <c r="L119" i="2" a="1"/>
  <c r="L119" i="2" s="1"/>
  <c r="N118" i="2" a="1"/>
  <c r="N118" i="2" s="1"/>
  <c r="L118" i="2" a="1"/>
  <c r="L118" i="2" s="1"/>
  <c r="N117" i="2" a="1"/>
  <c r="N117" i="2" s="1"/>
  <c r="L117" i="2" a="1"/>
  <c r="L117" i="2" s="1"/>
  <c r="N116" i="2" a="1"/>
  <c r="N116" i="2" s="1"/>
  <c r="L116" i="2" a="1"/>
  <c r="L116" i="2" s="1"/>
  <c r="N115" i="2" a="1"/>
  <c r="N115" i="2" s="1"/>
  <c r="L115" i="2" a="1"/>
  <c r="L115" i="2" s="1"/>
  <c r="N114" i="2" a="1"/>
  <c r="N114" i="2" s="1"/>
  <c r="L114" i="2" a="1"/>
  <c r="L114" i="2" s="1"/>
  <c r="N113" i="2" a="1"/>
  <c r="N113" i="2" s="1"/>
  <c r="L113" i="2" a="1"/>
  <c r="L113" i="2" s="1"/>
  <c r="N112" i="2" a="1"/>
  <c r="N112" i="2" s="1"/>
  <c r="L112" i="2" a="1"/>
  <c r="L112" i="2" s="1"/>
  <c r="N111" i="2" a="1"/>
  <c r="N111" i="2" s="1"/>
  <c r="L111" i="2" a="1"/>
  <c r="L111" i="2" s="1"/>
  <c r="N110" i="2" a="1"/>
  <c r="N110" i="2" s="1"/>
  <c r="L110" i="2" a="1"/>
  <c r="L110" i="2" s="1"/>
  <c r="N109" i="2" a="1"/>
  <c r="N109" i="2" s="1"/>
  <c r="L109" i="2" a="1"/>
  <c r="L109" i="2" s="1"/>
  <c r="N108" i="2" a="1"/>
  <c r="N108" i="2" s="1"/>
  <c r="L108" i="2" a="1"/>
  <c r="L108" i="2" s="1"/>
  <c r="N107" i="2" a="1"/>
  <c r="N107" i="2" s="1"/>
  <c r="L107" i="2" a="1"/>
  <c r="L107" i="2" s="1"/>
  <c r="N106" i="2" a="1"/>
  <c r="N106" i="2" s="1"/>
  <c r="L106" i="2" a="1"/>
  <c r="L106" i="2" s="1"/>
  <c r="N105" i="2" a="1"/>
  <c r="N105" i="2" s="1"/>
  <c r="L105" i="2" a="1"/>
  <c r="L105" i="2" s="1"/>
  <c r="N104" i="2" a="1"/>
  <c r="N104" i="2" s="1"/>
  <c r="L104" i="2" a="1"/>
  <c r="L104" i="2" s="1"/>
  <c r="N103" i="2" a="1"/>
  <c r="N103" i="2" s="1"/>
  <c r="L103" i="2" a="1"/>
  <c r="L103" i="2" s="1"/>
  <c r="N102" i="2" a="1"/>
  <c r="N102" i="2" s="1"/>
  <c r="L102" i="2" a="1"/>
  <c r="L102" i="2" s="1"/>
  <c r="N101" i="2" a="1"/>
  <c r="N101" i="2" s="1"/>
  <c r="L101" i="2" a="1"/>
  <c r="L101" i="2" s="1"/>
  <c r="N100" i="2" a="1"/>
  <c r="N100" i="2" s="1"/>
  <c r="L100" i="2" a="1"/>
  <c r="L100" i="2" s="1"/>
  <c r="N99" i="2" a="1"/>
  <c r="N99" i="2" s="1"/>
  <c r="L99" i="2" a="1"/>
  <c r="L99" i="2" s="1"/>
  <c r="N98" i="2" a="1"/>
  <c r="N98" i="2" s="1"/>
  <c r="L98" i="2" a="1"/>
  <c r="L98" i="2" s="1"/>
  <c r="N97" i="2" a="1"/>
  <c r="N97" i="2" s="1"/>
  <c r="L97" i="2" a="1"/>
  <c r="L97" i="2" s="1"/>
  <c r="N96" i="2" a="1"/>
  <c r="N96" i="2" s="1"/>
  <c r="L96" i="2" a="1"/>
  <c r="L96" i="2" s="1"/>
  <c r="N95" i="2" a="1"/>
  <c r="N95" i="2" s="1"/>
  <c r="L95" i="2" a="1"/>
  <c r="L95" i="2" s="1"/>
  <c r="N94" i="2" a="1"/>
  <c r="N94" i="2" s="1"/>
  <c r="L94" i="2" a="1"/>
  <c r="L94" i="2" s="1"/>
  <c r="N93" i="2" a="1"/>
  <c r="N93" i="2" s="1"/>
  <c r="L93" i="2" a="1"/>
  <c r="L93" i="2" s="1"/>
  <c r="N92" i="2" a="1"/>
  <c r="N92" i="2" s="1"/>
  <c r="L92" i="2" a="1"/>
  <c r="L92" i="2" s="1"/>
  <c r="N91" i="2" a="1"/>
  <c r="N91" i="2" s="1"/>
  <c r="L91" i="2" a="1"/>
  <c r="L91" i="2" s="1"/>
  <c r="N90" i="2" a="1"/>
  <c r="N90" i="2" s="1"/>
  <c r="L90" i="2" a="1"/>
  <c r="L90" i="2" s="1"/>
  <c r="N89" i="2" a="1"/>
  <c r="N89" i="2" s="1"/>
  <c r="L89" i="2" a="1"/>
  <c r="L89" i="2" s="1"/>
  <c r="N88" i="2" a="1"/>
  <c r="N88" i="2" s="1"/>
  <c r="L88" i="2" a="1"/>
  <c r="L88" i="2" s="1"/>
  <c r="N87" i="2" a="1"/>
  <c r="N87" i="2" s="1"/>
  <c r="L87" i="2" a="1"/>
  <c r="L87" i="2" s="1"/>
  <c r="N86" i="2" a="1"/>
  <c r="N86" i="2" s="1"/>
  <c r="L86" i="2" a="1"/>
  <c r="L86" i="2" s="1"/>
  <c r="N85" i="2" a="1"/>
  <c r="N85" i="2" s="1"/>
  <c r="L85" i="2" a="1"/>
  <c r="L85" i="2" s="1"/>
  <c r="N84" i="2" a="1"/>
  <c r="N84" i="2" s="1"/>
  <c r="L84" i="2" a="1"/>
  <c r="L84" i="2" s="1"/>
  <c r="N83" i="2" a="1"/>
  <c r="N83" i="2" s="1"/>
  <c r="L83" i="2" a="1"/>
  <c r="L83" i="2" s="1"/>
  <c r="N82" i="2" a="1"/>
  <c r="N82" i="2" s="1"/>
  <c r="L82" i="2" a="1"/>
  <c r="L82" i="2" s="1"/>
  <c r="N81" i="2" a="1"/>
  <c r="N81" i="2" s="1"/>
  <c r="L81" i="2" a="1"/>
  <c r="L81" i="2" s="1"/>
  <c r="N80" i="2" a="1"/>
  <c r="N80" i="2" s="1"/>
  <c r="L80" i="2" a="1"/>
  <c r="L80" i="2" s="1"/>
  <c r="N79" i="2" a="1"/>
  <c r="N79" i="2" s="1"/>
  <c r="L79" i="2" a="1"/>
  <c r="L79" i="2" s="1"/>
  <c r="N78" i="2" a="1"/>
  <c r="N78" i="2" s="1"/>
  <c r="L78" i="2" a="1"/>
  <c r="L78" i="2" s="1"/>
  <c r="N77" i="2" a="1"/>
  <c r="N77" i="2" s="1"/>
  <c r="L77" i="2" a="1"/>
  <c r="L77" i="2" s="1"/>
  <c r="N76" i="2" a="1"/>
  <c r="N76" i="2" s="1"/>
  <c r="L76" i="2" a="1"/>
  <c r="L76" i="2" s="1"/>
  <c r="N75" i="2" a="1"/>
  <c r="N75" i="2" s="1"/>
  <c r="L75" i="2" a="1"/>
  <c r="L75" i="2" s="1"/>
  <c r="N74" i="2" a="1"/>
  <c r="N74" i="2" s="1"/>
  <c r="L74" i="2" a="1"/>
  <c r="L74" i="2" s="1"/>
  <c r="N73" i="2" a="1"/>
  <c r="N73" i="2" s="1"/>
  <c r="L73" i="2" a="1"/>
  <c r="L73" i="2" s="1"/>
  <c r="N72" i="2" a="1"/>
  <c r="N72" i="2" s="1"/>
  <c r="L72" i="2" a="1"/>
  <c r="L72" i="2" s="1"/>
  <c r="N71" i="2" a="1"/>
  <c r="N71" i="2" s="1"/>
  <c r="L71" i="2" a="1"/>
  <c r="L71" i="2" s="1"/>
  <c r="N70" i="2" a="1"/>
  <c r="N70" i="2" s="1"/>
  <c r="L70" i="2" a="1"/>
  <c r="L70" i="2" s="1"/>
  <c r="N69" i="2" a="1"/>
  <c r="N69" i="2" s="1"/>
  <c r="L69" i="2" a="1"/>
  <c r="L69" i="2" s="1"/>
  <c r="N68" i="2" a="1"/>
  <c r="N68" i="2" s="1"/>
  <c r="L68" i="2" a="1"/>
  <c r="L68" i="2" s="1"/>
  <c r="I68" i="2"/>
  <c r="N67" i="2" a="1"/>
  <c r="N67" i="2" s="1"/>
  <c r="L67" i="2" a="1"/>
  <c r="L67" i="2" s="1"/>
  <c r="I67" i="2"/>
  <c r="N66" i="2" a="1"/>
  <c r="N66" i="2" s="1"/>
  <c r="L66" i="2" a="1"/>
  <c r="L66" i="2" s="1"/>
  <c r="I66" i="2"/>
  <c r="C453" i="2" a="1"/>
  <c r="C453" i="2" s="1"/>
  <c r="E453" i="2" s="1"/>
  <c r="C452" i="2" a="1"/>
  <c r="C452" i="2" s="1"/>
  <c r="E452" i="2" s="1"/>
  <c r="C451" i="2" a="1"/>
  <c r="C451" i="2" s="1"/>
  <c r="D451" i="2" s="1"/>
  <c r="C450" i="2" a="1"/>
  <c r="C450" i="2" s="1"/>
  <c r="D450" i="2" s="1"/>
  <c r="C449" i="2" a="1"/>
  <c r="C449" i="2" s="1"/>
  <c r="D449" i="2" s="1"/>
  <c r="C448" i="2" a="1"/>
  <c r="C448" i="2" s="1"/>
  <c r="E448" i="2" s="1"/>
  <c r="C447" i="2" a="1"/>
  <c r="C447" i="2" s="1"/>
  <c r="D447" i="2" s="1"/>
  <c r="C446" i="2" a="1"/>
  <c r="C446" i="2" s="1"/>
  <c r="E446" i="2" s="1"/>
  <c r="C445" i="2" a="1"/>
  <c r="C445" i="2" s="1"/>
  <c r="E445" i="2" s="1"/>
  <c r="C444" i="2" a="1"/>
  <c r="C444" i="2" s="1"/>
  <c r="E444" i="2" s="1"/>
  <c r="C443" i="2" a="1"/>
  <c r="C443" i="2" s="1"/>
  <c r="D443" i="2" s="1"/>
  <c r="C442" i="2" a="1"/>
  <c r="C442" i="2" s="1"/>
  <c r="G442" i="2" s="1"/>
  <c r="C441" i="2" a="1"/>
  <c r="C441" i="2" s="1"/>
  <c r="D441" i="2" s="1"/>
  <c r="C440" i="2" a="1"/>
  <c r="C440" i="2" s="1"/>
  <c r="E440" i="2" s="1"/>
  <c r="C439" i="2" a="1"/>
  <c r="C439" i="2" s="1"/>
  <c r="G439" i="2" s="1"/>
  <c r="C438" i="2" a="1"/>
  <c r="C438" i="2" s="1"/>
  <c r="E438" i="2" s="1"/>
  <c r="C437" i="2" a="1"/>
  <c r="C437" i="2" s="1"/>
  <c r="E437" i="2" s="1"/>
  <c r="C436" i="2" a="1"/>
  <c r="C436" i="2" s="1"/>
  <c r="E436" i="2" s="1"/>
  <c r="C435" i="2" a="1"/>
  <c r="C435" i="2" s="1"/>
  <c r="D435" i="2" s="1"/>
  <c r="C434" i="2" a="1"/>
  <c r="C434" i="2" s="1"/>
  <c r="D434" i="2" s="1"/>
  <c r="C433" i="2" a="1"/>
  <c r="C433" i="2" s="1"/>
  <c r="D433" i="2" s="1"/>
  <c r="C432" i="2" a="1"/>
  <c r="C432" i="2" s="1"/>
  <c r="E432" i="2" s="1"/>
  <c r="C431" i="2" a="1"/>
  <c r="C431" i="2" s="1"/>
  <c r="D431" i="2" s="1"/>
  <c r="C430" i="2" a="1"/>
  <c r="C430" i="2" s="1"/>
  <c r="E430" i="2" s="1"/>
  <c r="C429" i="2" a="1"/>
  <c r="C429" i="2" s="1"/>
  <c r="E429" i="2" s="1"/>
  <c r="C428" i="2" a="1"/>
  <c r="C428" i="2" s="1"/>
  <c r="E428" i="2" s="1"/>
  <c r="C427" i="2" a="1"/>
  <c r="C427" i="2" s="1"/>
  <c r="D427" i="2" s="1"/>
  <c r="C426" i="2" a="1"/>
  <c r="C426" i="2" s="1"/>
  <c r="G426" i="2" s="1"/>
  <c r="C425" i="2" a="1"/>
  <c r="C425" i="2" s="1"/>
  <c r="D425" i="2" s="1"/>
  <c r="C424" i="2" a="1"/>
  <c r="C424" i="2" s="1"/>
  <c r="E424" i="2" s="1"/>
  <c r="C423" i="2" a="1"/>
  <c r="C423" i="2" s="1"/>
  <c r="G423" i="2" s="1"/>
  <c r="C422" i="2" a="1"/>
  <c r="C422" i="2" s="1"/>
  <c r="E422" i="2" s="1"/>
  <c r="C421" i="2" a="1"/>
  <c r="C421" i="2" s="1"/>
  <c r="E421" i="2" s="1"/>
  <c r="C420" i="2" a="1"/>
  <c r="C420" i="2" s="1"/>
  <c r="E420" i="2" s="1"/>
  <c r="C419" i="2" a="1"/>
  <c r="C419" i="2" s="1"/>
  <c r="D419" i="2" s="1"/>
  <c r="C418" i="2" a="1"/>
  <c r="C418" i="2" s="1"/>
  <c r="D418" i="2" s="1"/>
  <c r="C417" i="2" a="1"/>
  <c r="C417" i="2" s="1"/>
  <c r="D417" i="2" s="1"/>
  <c r="C416" i="2" a="1"/>
  <c r="C416" i="2" s="1"/>
  <c r="E416" i="2" s="1"/>
  <c r="C415" i="2" a="1"/>
  <c r="C415" i="2" s="1"/>
  <c r="G415" i="2" s="1"/>
  <c r="C414" i="2" a="1"/>
  <c r="C414" i="2" s="1"/>
  <c r="E414" i="2" s="1"/>
  <c r="C413" i="2" a="1"/>
  <c r="C413" i="2" s="1"/>
  <c r="E413" i="2" s="1"/>
  <c r="C412" i="2" a="1"/>
  <c r="C412" i="2" s="1"/>
  <c r="E412" i="2" s="1"/>
  <c r="C411" i="2" a="1"/>
  <c r="C411" i="2" s="1"/>
  <c r="D411" i="2" s="1"/>
  <c r="C410" i="2" a="1"/>
  <c r="C410" i="2" s="1"/>
  <c r="G410" i="2" s="1"/>
  <c r="C409" i="2" a="1"/>
  <c r="C409" i="2" s="1"/>
  <c r="D409" i="2" s="1"/>
  <c r="C408" i="2" a="1"/>
  <c r="C408" i="2" s="1"/>
  <c r="E408" i="2" s="1"/>
  <c r="C407" i="2" a="1"/>
  <c r="C407" i="2" s="1"/>
  <c r="G407" i="2" s="1"/>
  <c r="C406" i="2" a="1"/>
  <c r="C406" i="2" s="1"/>
  <c r="E406" i="2" s="1"/>
  <c r="C405" i="2" a="1"/>
  <c r="C405" i="2" s="1"/>
  <c r="E405" i="2" s="1"/>
  <c r="C404" i="2" a="1"/>
  <c r="C404" i="2" s="1"/>
  <c r="E404" i="2" s="1"/>
  <c r="C403" i="2" a="1"/>
  <c r="C403" i="2" s="1"/>
  <c r="D403" i="2" s="1"/>
  <c r="C402" i="2" a="1"/>
  <c r="C402" i="2" s="1"/>
  <c r="D402" i="2" s="1"/>
  <c r="C401" i="2" a="1"/>
  <c r="C401" i="2" s="1"/>
  <c r="D401" i="2" s="1"/>
  <c r="C400" i="2" a="1"/>
  <c r="C400" i="2" s="1"/>
  <c r="E400" i="2" s="1"/>
  <c r="C399" i="2" a="1"/>
  <c r="C399" i="2" s="1"/>
  <c r="G399" i="2" s="1"/>
  <c r="C398" i="2" a="1"/>
  <c r="C398" i="2" s="1"/>
  <c r="E398" i="2" s="1"/>
  <c r="C397" i="2" a="1"/>
  <c r="C397" i="2" s="1"/>
  <c r="E397" i="2" s="1"/>
  <c r="C396" i="2" a="1"/>
  <c r="C396" i="2" s="1"/>
  <c r="E396" i="2" s="1"/>
  <c r="C395" i="2" a="1"/>
  <c r="C395" i="2" s="1"/>
  <c r="D395" i="2" s="1"/>
  <c r="C394" i="2" a="1"/>
  <c r="C394" i="2" s="1"/>
  <c r="G394" i="2" s="1"/>
  <c r="C393" i="2" a="1"/>
  <c r="C393" i="2" s="1"/>
  <c r="D393" i="2" s="1"/>
  <c r="C392" i="2" a="1"/>
  <c r="C392" i="2" s="1"/>
  <c r="E392" i="2" s="1"/>
  <c r="C391" i="2" a="1"/>
  <c r="C391" i="2" s="1"/>
  <c r="D391" i="2" s="1"/>
  <c r="C390" i="2" a="1"/>
  <c r="C390" i="2" s="1"/>
  <c r="E390" i="2" s="1"/>
  <c r="C389" i="2" a="1"/>
  <c r="C389" i="2" s="1"/>
  <c r="E389" i="2" s="1"/>
  <c r="C388" i="2" a="1"/>
  <c r="C388" i="2" s="1"/>
  <c r="E388" i="2" s="1"/>
  <c r="C387" i="2" a="1"/>
  <c r="C387" i="2" s="1"/>
  <c r="D387" i="2" s="1"/>
  <c r="C386" i="2" a="1"/>
  <c r="C386" i="2" s="1"/>
  <c r="D386" i="2" s="1"/>
  <c r="C385" i="2" a="1"/>
  <c r="C385" i="2" s="1"/>
  <c r="D385" i="2" s="1"/>
  <c r="C384" i="2" a="1"/>
  <c r="C384" i="2" s="1"/>
  <c r="E384" i="2" s="1"/>
  <c r="C383" i="2" a="1"/>
  <c r="C383" i="2" s="1"/>
  <c r="G383" i="2" s="1"/>
  <c r="C382" i="2" a="1"/>
  <c r="C382" i="2" s="1"/>
  <c r="E382" i="2" s="1"/>
  <c r="C381" i="2" a="1"/>
  <c r="C381" i="2" s="1"/>
  <c r="E381" i="2" s="1"/>
  <c r="C380" i="2" a="1"/>
  <c r="C380" i="2" s="1"/>
  <c r="E380" i="2" s="1"/>
  <c r="C379" i="2" a="1"/>
  <c r="C379" i="2" s="1"/>
  <c r="D379" i="2" s="1"/>
  <c r="C378" i="2" a="1"/>
  <c r="C378" i="2" s="1"/>
  <c r="G378" i="2" s="1"/>
  <c r="C377" i="2" a="1"/>
  <c r="C377" i="2" s="1"/>
  <c r="D377" i="2" s="1"/>
  <c r="C376" i="2" a="1"/>
  <c r="C376" i="2" s="1"/>
  <c r="E376" i="2" s="1"/>
  <c r="C375" i="2" a="1"/>
  <c r="C375" i="2" s="1"/>
  <c r="G375" i="2" s="1"/>
  <c r="C374" i="2" a="1"/>
  <c r="C374" i="2" s="1"/>
  <c r="E374" i="2" s="1"/>
  <c r="C373" i="2" a="1"/>
  <c r="C373" i="2" s="1"/>
  <c r="E373" i="2" s="1"/>
  <c r="C372" i="2" a="1"/>
  <c r="C372" i="2" s="1"/>
  <c r="E372" i="2" s="1"/>
  <c r="C371" i="2" a="1"/>
  <c r="C371" i="2" s="1"/>
  <c r="D371" i="2" s="1"/>
  <c r="C370" i="2" a="1"/>
  <c r="C370" i="2" s="1"/>
  <c r="D370" i="2" s="1"/>
  <c r="C369" i="2" a="1"/>
  <c r="C369" i="2" s="1"/>
  <c r="D369" i="2" s="1"/>
  <c r="C368" i="2" a="1"/>
  <c r="C368" i="2" s="1"/>
  <c r="E368" i="2" s="1"/>
  <c r="C367" i="2" a="1"/>
  <c r="C367" i="2" s="1"/>
  <c r="D367" i="2" s="1"/>
  <c r="C366" i="2" a="1"/>
  <c r="C366" i="2" s="1"/>
  <c r="E366" i="2" s="1"/>
  <c r="C365" i="2" a="1"/>
  <c r="C365" i="2" s="1"/>
  <c r="E365" i="2" s="1"/>
  <c r="C364" i="2" a="1"/>
  <c r="C364" i="2" s="1"/>
  <c r="E364" i="2" s="1"/>
  <c r="C363" i="2" a="1"/>
  <c r="C363" i="2" s="1"/>
  <c r="D363" i="2" s="1"/>
  <c r="C362" i="2" a="1"/>
  <c r="C362" i="2" s="1"/>
  <c r="G362" i="2" s="1"/>
  <c r="C361" i="2" a="1"/>
  <c r="C361" i="2" s="1"/>
  <c r="D361" i="2" s="1"/>
  <c r="C360" i="2" a="1"/>
  <c r="C360" i="2" s="1"/>
  <c r="E360" i="2" s="1"/>
  <c r="C359" i="2" a="1"/>
  <c r="C359" i="2" s="1"/>
  <c r="G359" i="2" s="1"/>
  <c r="C358" i="2" a="1"/>
  <c r="C358" i="2" s="1"/>
  <c r="E358" i="2" s="1"/>
  <c r="C357" i="2" a="1"/>
  <c r="C357" i="2" s="1"/>
  <c r="E357" i="2" s="1"/>
  <c r="C356" i="2" a="1"/>
  <c r="C356" i="2" s="1"/>
  <c r="E356" i="2" s="1"/>
  <c r="C355" i="2" a="1"/>
  <c r="C355" i="2" s="1"/>
  <c r="D355" i="2" s="1"/>
  <c r="C354" i="2" a="1"/>
  <c r="C354" i="2" s="1"/>
  <c r="D354" i="2" s="1"/>
  <c r="C353" i="2" a="1"/>
  <c r="C353" i="2" s="1"/>
  <c r="D353" i="2" s="1"/>
  <c r="C352" i="2" a="1"/>
  <c r="C352" i="2" s="1"/>
  <c r="E352" i="2" s="1"/>
  <c r="C351" i="2" a="1"/>
  <c r="C351" i="2" s="1"/>
  <c r="G351" i="2" s="1"/>
  <c r="C350" i="2" a="1"/>
  <c r="C350" i="2" s="1"/>
  <c r="E350" i="2" s="1"/>
  <c r="C349" i="2" a="1"/>
  <c r="C349" i="2" s="1"/>
  <c r="E349" i="2" s="1"/>
  <c r="C348" i="2" a="1"/>
  <c r="C348" i="2" s="1"/>
  <c r="E348" i="2" s="1"/>
  <c r="C347" i="2" a="1"/>
  <c r="C347" i="2" s="1"/>
  <c r="D347" i="2" s="1"/>
  <c r="C346" i="2" a="1"/>
  <c r="C346" i="2" s="1"/>
  <c r="G346" i="2" s="1"/>
  <c r="C345" i="2" a="1"/>
  <c r="C345" i="2" s="1"/>
  <c r="W345" i="2" s="1"/>
  <c r="C344" i="2" a="1"/>
  <c r="C344" i="2" s="1"/>
  <c r="E344" i="2" s="1"/>
  <c r="C343" i="2" a="1"/>
  <c r="C343" i="2" s="1"/>
  <c r="G343" i="2" s="1"/>
  <c r="C342" i="2" a="1"/>
  <c r="C342" i="2" s="1"/>
  <c r="E342" i="2" s="1"/>
  <c r="C341" i="2" a="1"/>
  <c r="C341" i="2" s="1"/>
  <c r="E341" i="2" s="1"/>
  <c r="C340" i="2" a="1"/>
  <c r="C340" i="2" s="1"/>
  <c r="D340" i="2" s="1"/>
  <c r="C339" i="2" a="1"/>
  <c r="C339" i="2" s="1"/>
  <c r="D339" i="2" s="1"/>
  <c r="C338" i="2" a="1"/>
  <c r="C338" i="2" s="1"/>
  <c r="D338" i="2" s="1"/>
  <c r="C337" i="2" a="1"/>
  <c r="C337" i="2" s="1"/>
  <c r="D337" i="2" s="1"/>
  <c r="C336" i="2" a="1"/>
  <c r="C336" i="2" s="1"/>
  <c r="E336" i="2" s="1"/>
  <c r="C335" i="2" a="1"/>
  <c r="C335" i="2" s="1"/>
  <c r="D335" i="2" s="1"/>
  <c r="C334" i="2" a="1"/>
  <c r="C334" i="2" s="1"/>
  <c r="E334" i="2" s="1"/>
  <c r="C333" i="2" a="1"/>
  <c r="C333" i="2" s="1"/>
  <c r="E333" i="2" s="1"/>
  <c r="C332" i="2" a="1"/>
  <c r="C332" i="2" s="1"/>
  <c r="E332" i="2" s="1"/>
  <c r="C331" i="2" a="1"/>
  <c r="C331" i="2" s="1"/>
  <c r="D331" i="2" s="1"/>
  <c r="C330" i="2" a="1"/>
  <c r="C330" i="2" s="1"/>
  <c r="G330" i="2" s="1"/>
  <c r="C329" i="2" a="1"/>
  <c r="C329" i="2" s="1"/>
  <c r="D329" i="2" s="1"/>
  <c r="C328" i="2" a="1"/>
  <c r="C328" i="2" s="1"/>
  <c r="E328" i="2" s="1"/>
  <c r="C327" i="2" a="1"/>
  <c r="C327" i="2" s="1"/>
  <c r="G327" i="2" s="1"/>
  <c r="C326" i="2" a="1"/>
  <c r="C326" i="2" s="1"/>
  <c r="E326" i="2" s="1"/>
  <c r="C325" i="2" a="1"/>
  <c r="C325" i="2" s="1"/>
  <c r="E325" i="2" s="1"/>
  <c r="C324" i="2" a="1"/>
  <c r="C324" i="2" s="1"/>
  <c r="E324" i="2" s="1"/>
  <c r="C323" i="2" a="1"/>
  <c r="C323" i="2" s="1"/>
  <c r="D323" i="2" s="1"/>
  <c r="C322" i="2" a="1"/>
  <c r="C322" i="2" s="1"/>
  <c r="D322" i="2" s="1"/>
  <c r="C321" i="2" a="1"/>
  <c r="C321" i="2" s="1"/>
  <c r="D321" i="2" s="1"/>
  <c r="C320" i="2" a="1"/>
  <c r="C320" i="2" s="1"/>
  <c r="E320" i="2" s="1"/>
  <c r="C319" i="2" a="1"/>
  <c r="C319" i="2" s="1"/>
  <c r="G319" i="2" s="1"/>
  <c r="C318" i="2" a="1"/>
  <c r="C318" i="2" s="1"/>
  <c r="E318" i="2" s="1"/>
  <c r="C317" i="2" a="1"/>
  <c r="C317" i="2" s="1"/>
  <c r="E317" i="2" s="1"/>
  <c r="C316" i="2" a="1"/>
  <c r="C316" i="2" s="1"/>
  <c r="E316" i="2" s="1"/>
  <c r="C315" i="2" a="1"/>
  <c r="C315" i="2" s="1"/>
  <c r="D315" i="2" s="1"/>
  <c r="C314" i="2" a="1"/>
  <c r="C314" i="2" s="1"/>
  <c r="G314" i="2" s="1"/>
  <c r="C313" i="2" a="1"/>
  <c r="C313" i="2" s="1"/>
  <c r="AG313" i="2" s="1"/>
  <c r="C312" i="2" a="1"/>
  <c r="C312" i="2" s="1"/>
  <c r="E312" i="2" s="1"/>
  <c r="C311" i="2" a="1"/>
  <c r="C311" i="2" s="1"/>
  <c r="D311" i="2" s="1"/>
  <c r="C310" i="2" a="1"/>
  <c r="C310" i="2" s="1"/>
  <c r="E310" i="2" s="1"/>
  <c r="C309" i="2" a="1"/>
  <c r="C309" i="2" s="1"/>
  <c r="E309" i="2" s="1"/>
  <c r="C308" i="2" a="1"/>
  <c r="C308" i="2" s="1"/>
  <c r="E308" i="2" s="1"/>
  <c r="C307" i="2" a="1"/>
  <c r="C307" i="2" s="1"/>
  <c r="D307" i="2" s="1"/>
  <c r="C306" i="2" a="1"/>
  <c r="C306" i="2" s="1"/>
  <c r="D306" i="2" s="1"/>
  <c r="C305" i="2" a="1"/>
  <c r="C305" i="2" s="1"/>
  <c r="U305" i="2" s="1"/>
  <c r="C304" i="2" a="1"/>
  <c r="C304" i="2" s="1"/>
  <c r="E304" i="2" s="1"/>
  <c r="C303" i="2" a="1"/>
  <c r="C303" i="2" s="1"/>
  <c r="G303" i="2" s="1"/>
  <c r="C302" i="2" a="1"/>
  <c r="C302" i="2" s="1"/>
  <c r="AG302" i="2" s="1"/>
  <c r="C301" i="2" a="1"/>
  <c r="C301" i="2" s="1"/>
  <c r="E301" i="2" s="1"/>
  <c r="C300" i="2" a="1"/>
  <c r="C300" i="2" s="1"/>
  <c r="E300" i="2" s="1"/>
  <c r="C299" i="2" a="1"/>
  <c r="C299" i="2" s="1"/>
  <c r="D299" i="2" s="1"/>
  <c r="C298" i="2" a="1"/>
  <c r="C298" i="2" s="1"/>
  <c r="G298" i="2" s="1"/>
  <c r="C297" i="2" a="1"/>
  <c r="C297" i="2" s="1"/>
  <c r="D297" i="2" s="1"/>
  <c r="C296" i="2" a="1"/>
  <c r="C296" i="2" s="1"/>
  <c r="E296" i="2" s="1"/>
  <c r="C295" i="2" a="1"/>
  <c r="C295" i="2" s="1"/>
  <c r="G295" i="2" s="1"/>
  <c r="C294" i="2" a="1"/>
  <c r="C294" i="2" s="1"/>
  <c r="E294" i="2" s="1"/>
  <c r="C293" i="2" a="1"/>
  <c r="C293" i="2" s="1"/>
  <c r="E293" i="2" s="1"/>
  <c r="C292" i="2" a="1"/>
  <c r="C292" i="2" s="1"/>
  <c r="E292" i="2" s="1"/>
  <c r="C291" i="2" a="1"/>
  <c r="C291" i="2" s="1"/>
  <c r="D291" i="2" s="1"/>
  <c r="C290" i="2" a="1"/>
  <c r="C290" i="2" s="1"/>
  <c r="D290" i="2" s="1"/>
  <c r="C289" i="2" a="1"/>
  <c r="C289" i="2" s="1"/>
  <c r="Y289" i="2" s="1"/>
  <c r="C288" i="2" a="1"/>
  <c r="C288" i="2" s="1"/>
  <c r="E288" i="2" s="1"/>
  <c r="C287" i="2" a="1"/>
  <c r="C287" i="2" s="1"/>
  <c r="G287" i="2" s="1"/>
  <c r="C286" i="2" a="1"/>
  <c r="C286" i="2" s="1"/>
  <c r="E286" i="2" s="1"/>
  <c r="C285" i="2" a="1"/>
  <c r="C285" i="2" s="1"/>
  <c r="E285" i="2" s="1"/>
  <c r="C284" i="2" a="1"/>
  <c r="C284" i="2" s="1"/>
  <c r="E284" i="2" s="1"/>
  <c r="C283" i="2" a="1"/>
  <c r="C283" i="2" s="1"/>
  <c r="D283" i="2" s="1"/>
  <c r="C282" i="2" a="1"/>
  <c r="C282" i="2" s="1"/>
  <c r="G282" i="2" s="1"/>
  <c r="C281" i="2" a="1"/>
  <c r="C281" i="2" s="1"/>
  <c r="D281" i="2" s="1"/>
  <c r="C280" i="2" a="1"/>
  <c r="C280" i="2" s="1"/>
  <c r="E280" i="2" s="1"/>
  <c r="C279" i="2" a="1"/>
  <c r="C279" i="2" s="1"/>
  <c r="AG279" i="2" s="1"/>
  <c r="C278" i="2" a="1"/>
  <c r="C278" i="2" s="1"/>
  <c r="E278" i="2" s="1"/>
  <c r="C277" i="2" a="1"/>
  <c r="C277" i="2" s="1"/>
  <c r="E277" i="2" s="1"/>
  <c r="C276" i="2" a="1"/>
  <c r="C276" i="2" s="1"/>
  <c r="E276" i="2" s="1"/>
  <c r="C275" i="2" a="1"/>
  <c r="C275" i="2" s="1"/>
  <c r="D275" i="2" s="1"/>
  <c r="C274" i="2" a="1"/>
  <c r="C274" i="2" s="1"/>
  <c r="D274" i="2" s="1"/>
  <c r="C273" i="2" a="1"/>
  <c r="C273" i="2" s="1"/>
  <c r="Y273" i="2" s="1"/>
  <c r="C272" i="2" a="1"/>
  <c r="C272" i="2" s="1"/>
  <c r="Y272" i="2" s="1"/>
  <c r="C271" i="2" a="1"/>
  <c r="C271" i="2" s="1"/>
  <c r="G271" i="2" s="1"/>
  <c r="C270" i="2" a="1"/>
  <c r="C270" i="2" s="1"/>
  <c r="E270" i="2" s="1"/>
  <c r="C269" i="2" a="1"/>
  <c r="C269" i="2" s="1"/>
  <c r="E269" i="2" s="1"/>
  <c r="C268" i="2" a="1"/>
  <c r="C268" i="2" s="1"/>
  <c r="E268" i="2" s="1"/>
  <c r="C267" i="2" a="1"/>
  <c r="C267" i="2" s="1"/>
  <c r="Q267" i="2" s="1"/>
  <c r="C266" i="2" a="1"/>
  <c r="C266" i="2" s="1"/>
  <c r="Q266" i="2" s="1"/>
  <c r="C265" i="2" a="1"/>
  <c r="C265" i="2" s="1"/>
  <c r="D265" i="2" s="1"/>
  <c r="C264" i="2" a="1"/>
  <c r="C264" i="2" s="1"/>
  <c r="E264" i="2" s="1"/>
  <c r="C263" i="2" a="1"/>
  <c r="C263" i="2" s="1"/>
  <c r="G263" i="2" s="1"/>
  <c r="C262" i="2" a="1"/>
  <c r="C262" i="2" s="1"/>
  <c r="E262" i="2" s="1"/>
  <c r="C261" i="2" a="1"/>
  <c r="C261" i="2" s="1"/>
  <c r="E261" i="2" s="1"/>
  <c r="C260" i="2" a="1"/>
  <c r="C260" i="2" s="1"/>
  <c r="E260" i="2" s="1"/>
  <c r="C259" i="2" a="1"/>
  <c r="C259" i="2" s="1"/>
  <c r="D259" i="2" s="1"/>
  <c r="C258" i="2" a="1"/>
  <c r="C258" i="2" s="1"/>
  <c r="D258" i="2" s="1"/>
  <c r="C257" i="2" a="1"/>
  <c r="C257" i="2" s="1"/>
  <c r="D257" i="2" s="1"/>
  <c r="C256" i="2" a="1"/>
  <c r="C256" i="2" s="1"/>
  <c r="E256" i="2" s="1"/>
  <c r="C255" i="2" a="1"/>
  <c r="C255" i="2" s="1"/>
  <c r="D255" i="2" s="1"/>
  <c r="C254" i="2" a="1"/>
  <c r="C254" i="2" s="1"/>
  <c r="E254" i="2" s="1"/>
  <c r="C253" i="2" a="1"/>
  <c r="C253" i="2" s="1"/>
  <c r="E253" i="2" s="1"/>
  <c r="C252" i="2" a="1"/>
  <c r="C252" i="2" s="1"/>
  <c r="P252" i="2" s="1"/>
  <c r="C251" i="2" a="1"/>
  <c r="C251" i="2" s="1"/>
  <c r="D251" i="2" s="1"/>
  <c r="C250" i="2" a="1"/>
  <c r="C250" i="2" s="1"/>
  <c r="G250" i="2" s="1"/>
  <c r="C249" i="2" a="1"/>
  <c r="C249" i="2" s="1"/>
  <c r="D249" i="2" s="1"/>
  <c r="C248" i="2" a="1"/>
  <c r="C248" i="2" s="1"/>
  <c r="E248" i="2" s="1"/>
  <c r="C247" i="2" a="1"/>
  <c r="C247" i="2" s="1"/>
  <c r="Q247" i="2" s="1"/>
  <c r="C246" i="2" a="1"/>
  <c r="C246" i="2" s="1"/>
  <c r="E246" i="2" s="1"/>
  <c r="C245" i="2" a="1"/>
  <c r="C245" i="2" s="1"/>
  <c r="E245" i="2" s="1"/>
  <c r="C244" i="2" a="1"/>
  <c r="C244" i="2" s="1"/>
  <c r="E244" i="2" s="1"/>
  <c r="C243" i="2" a="1"/>
  <c r="C243" i="2" s="1"/>
  <c r="D243" i="2" s="1"/>
  <c r="C242" i="2" a="1"/>
  <c r="C242" i="2" s="1"/>
  <c r="AG242" i="2" s="1"/>
  <c r="C241" i="2" a="1"/>
  <c r="C241" i="2" s="1"/>
  <c r="D241" i="2" s="1"/>
  <c r="C240" i="2" a="1"/>
  <c r="C240" i="2" s="1"/>
  <c r="E240" i="2" s="1"/>
  <c r="C239" i="2" a="1"/>
  <c r="C239" i="2" s="1"/>
  <c r="G239" i="2" s="1"/>
  <c r="C238" i="2" a="1"/>
  <c r="C238" i="2" s="1"/>
  <c r="E238" i="2" s="1"/>
  <c r="C237" i="2" a="1"/>
  <c r="C237" i="2" s="1"/>
  <c r="E237" i="2" s="1"/>
  <c r="C236" i="2" a="1"/>
  <c r="C236" i="2" s="1"/>
  <c r="Z236" i="2" s="1"/>
  <c r="C235" i="2" a="1"/>
  <c r="C235" i="2" s="1"/>
  <c r="AA235" i="2" s="1"/>
  <c r="C234" i="2" a="1"/>
  <c r="C234" i="2" s="1"/>
  <c r="X234" i="2" s="1"/>
  <c r="C233" i="2" a="1"/>
  <c r="C233" i="2" s="1"/>
  <c r="V233" i="2" s="1"/>
  <c r="C232" i="2" a="1"/>
  <c r="C232" i="2" s="1"/>
  <c r="AH232" i="2" s="1"/>
  <c r="C231" i="2" a="1"/>
  <c r="C231" i="2" s="1"/>
  <c r="G231" i="2" s="1"/>
  <c r="C230" i="2" a="1"/>
  <c r="C230" i="2" s="1"/>
  <c r="E230" i="2" s="1"/>
  <c r="C229" i="2" a="1"/>
  <c r="C229" i="2" s="1"/>
  <c r="E229" i="2" s="1"/>
  <c r="C228" i="2" a="1"/>
  <c r="C228" i="2" s="1"/>
  <c r="E228" i="2" s="1"/>
  <c r="C227" i="2" a="1"/>
  <c r="C227" i="2" s="1"/>
  <c r="D227" i="2" s="1"/>
  <c r="C226" i="2" a="1"/>
  <c r="C226" i="2" s="1"/>
  <c r="Z226" i="2" s="1"/>
  <c r="C225" i="2" a="1"/>
  <c r="C225" i="2" s="1"/>
  <c r="AI225" i="2" s="1"/>
  <c r="C224" i="2" a="1"/>
  <c r="C224" i="2" s="1"/>
  <c r="AF224" i="2" s="1"/>
  <c r="C223" i="2" a="1"/>
  <c r="C223" i="2" s="1"/>
  <c r="D223" i="2" s="1"/>
  <c r="C222" i="2" a="1"/>
  <c r="C222" i="2" s="1"/>
  <c r="E222" i="2" s="1"/>
  <c r="C221" i="2" a="1"/>
  <c r="C221" i="2" s="1"/>
  <c r="E221" i="2" s="1"/>
  <c r="C220" i="2" a="1"/>
  <c r="C220" i="2" s="1"/>
  <c r="Z220" i="2" s="1"/>
  <c r="C219" i="2" a="1"/>
  <c r="C219" i="2" s="1"/>
  <c r="D219" i="2" s="1"/>
  <c r="C218" i="2" a="1"/>
  <c r="C218" i="2" s="1"/>
  <c r="P218" i="2" s="1"/>
  <c r="C217" i="2" a="1"/>
  <c r="C217" i="2" s="1"/>
  <c r="V217" i="2" s="1"/>
  <c r="C216" i="2" a="1"/>
  <c r="C216" i="2" s="1"/>
  <c r="W216" i="2" s="1"/>
  <c r="C215" i="2" a="1"/>
  <c r="C215" i="2" s="1"/>
  <c r="AI215" i="2" s="1"/>
  <c r="C214" i="2" a="1"/>
  <c r="C214" i="2" s="1"/>
  <c r="E214" i="2" s="1"/>
  <c r="C213" i="2" a="1"/>
  <c r="C213" i="2" s="1"/>
  <c r="E213" i="2" s="1"/>
  <c r="C212" i="2" a="1"/>
  <c r="C212" i="2" s="1"/>
  <c r="D212" i="2" s="1"/>
  <c r="C211" i="2" a="1"/>
  <c r="C211" i="2" s="1"/>
  <c r="D211" i="2" s="1"/>
  <c r="C210" i="2" a="1"/>
  <c r="C210" i="2" s="1"/>
  <c r="AF210" i="2" s="1"/>
  <c r="C209" i="2" a="1"/>
  <c r="C209" i="2" s="1"/>
  <c r="D209" i="2" s="1"/>
  <c r="C208" i="2" a="1"/>
  <c r="C208" i="2" s="1"/>
  <c r="AA208" i="2" s="1"/>
  <c r="C207" i="2" a="1"/>
  <c r="C207" i="2" s="1"/>
  <c r="AB207" i="2" s="1"/>
  <c r="C206" i="2" a="1"/>
  <c r="C206" i="2" s="1"/>
  <c r="AF206" i="2" s="1"/>
  <c r="C205" i="2" a="1"/>
  <c r="C205" i="2" s="1"/>
  <c r="E205" i="2" s="1"/>
  <c r="C204" i="2" a="1"/>
  <c r="C204" i="2" s="1"/>
  <c r="E204" i="2" s="1"/>
  <c r="C203" i="2" a="1"/>
  <c r="C203" i="2" s="1"/>
  <c r="D203" i="2" s="1"/>
  <c r="C202" i="2" a="1"/>
  <c r="C202" i="2" s="1"/>
  <c r="AF202" i="2" s="1"/>
  <c r="C201" i="2" a="1"/>
  <c r="C201" i="2" s="1"/>
  <c r="D201" i="2" s="1"/>
  <c r="C200" i="2" a="1"/>
  <c r="C200" i="2" s="1"/>
  <c r="AA200" i="2" s="1"/>
  <c r="C199" i="2" a="1"/>
  <c r="C199" i="2" s="1"/>
  <c r="G199" i="2" s="1"/>
  <c r="C198" i="2" a="1"/>
  <c r="C198" i="2" s="1"/>
  <c r="AF198" i="2" s="1"/>
  <c r="C197" i="2" a="1"/>
  <c r="C197" i="2" s="1"/>
  <c r="E197" i="2" s="1"/>
  <c r="C196" i="2" a="1"/>
  <c r="C196" i="2" s="1"/>
  <c r="AI196" i="2" s="1"/>
  <c r="C195" i="2" a="1"/>
  <c r="C195" i="2" s="1"/>
  <c r="D195" i="2" s="1"/>
  <c r="C194" i="2" a="1"/>
  <c r="C194" i="2" s="1"/>
  <c r="AF194" i="2" s="1"/>
  <c r="C193" i="2" a="1"/>
  <c r="C193" i="2" s="1"/>
  <c r="D193" i="2" s="1"/>
  <c r="C192" i="2" a="1"/>
  <c r="C192" i="2" s="1"/>
  <c r="AA192" i="2" s="1"/>
  <c r="C191" i="2" a="1"/>
  <c r="C191" i="2" s="1"/>
  <c r="AE191" i="2" s="1"/>
  <c r="C190" i="2" a="1"/>
  <c r="C190" i="2" s="1"/>
  <c r="AF190" i="2" s="1"/>
  <c r="C189" i="2" a="1"/>
  <c r="C189" i="2" s="1"/>
  <c r="E189" i="2" s="1"/>
  <c r="C188" i="2" a="1"/>
  <c r="C188" i="2" s="1"/>
  <c r="AA188" i="2" s="1"/>
  <c r="C187" i="2" a="1"/>
  <c r="C187" i="2" s="1"/>
  <c r="W187" i="2" s="1"/>
  <c r="C186" i="2" a="1"/>
  <c r="C186" i="2" s="1"/>
  <c r="AF186" i="2" s="1"/>
  <c r="C185" i="2" a="1"/>
  <c r="C185" i="2" s="1"/>
  <c r="F185" i="2" s="1" a="1"/>
  <c r="F185" i="2" s="1"/>
  <c r="C184" i="2" a="1"/>
  <c r="C184" i="2" s="1"/>
  <c r="AA184" i="2" s="1"/>
  <c r="C183" i="2" a="1"/>
  <c r="C183" i="2" s="1"/>
  <c r="T183" i="2" s="1"/>
  <c r="C182" i="2" a="1"/>
  <c r="C182" i="2" s="1"/>
  <c r="AF182" i="2" s="1"/>
  <c r="C181" i="2" a="1"/>
  <c r="C181" i="2" s="1"/>
  <c r="C180" i="2" a="1"/>
  <c r="C180" i="2" s="1"/>
  <c r="AI180" i="2" s="1"/>
  <c r="C179" i="2" a="1"/>
  <c r="C179" i="2" s="1"/>
  <c r="C178" i="2" a="1"/>
  <c r="C178" i="2" s="1"/>
  <c r="AF178" i="2" s="1"/>
  <c r="C177" i="2" a="1"/>
  <c r="C177" i="2" s="1"/>
  <c r="C176" i="2" a="1"/>
  <c r="C176" i="2" s="1"/>
  <c r="AA176" i="2" s="1"/>
  <c r="C175" i="2" a="1"/>
  <c r="C175" i="2" s="1"/>
  <c r="W175" i="2" s="1"/>
  <c r="C174" i="2" a="1"/>
  <c r="C174" i="2" s="1"/>
  <c r="AF174" i="2" s="1"/>
  <c r="C173" i="2" a="1"/>
  <c r="C173" i="2" s="1"/>
  <c r="C172" i="2" a="1"/>
  <c r="C172" i="2" s="1"/>
  <c r="X172" i="2" s="1"/>
  <c r="C171" i="2" a="1"/>
  <c r="C171" i="2" s="1"/>
  <c r="C170" i="2" a="1"/>
  <c r="C170" i="2" s="1"/>
  <c r="AF170" i="2" s="1"/>
  <c r="C169" i="2" a="1"/>
  <c r="C169" i="2" s="1"/>
  <c r="C168" i="2" a="1"/>
  <c r="C168" i="2" s="1"/>
  <c r="AA168" i="2" s="1"/>
  <c r="C167" i="2" a="1"/>
  <c r="C167" i="2" s="1"/>
  <c r="AB167" i="2" s="1"/>
  <c r="C166" i="2" a="1"/>
  <c r="C166" i="2" s="1"/>
  <c r="AF166" i="2" s="1"/>
  <c r="C165" i="2" a="1"/>
  <c r="C165" i="2" s="1"/>
  <c r="C164" i="2" a="1"/>
  <c r="C164" i="2" s="1"/>
  <c r="X164" i="2" s="1"/>
  <c r="C163" i="2" a="1"/>
  <c r="C163" i="2" s="1"/>
  <c r="AE163" i="2" s="1"/>
  <c r="C162" i="2" a="1"/>
  <c r="C162" i="2" s="1"/>
  <c r="AA162" i="2" s="1"/>
  <c r="C161" i="2" a="1"/>
  <c r="C161" i="2" s="1"/>
  <c r="W161" i="2" s="1"/>
  <c r="C160" i="2" a="1"/>
  <c r="C160" i="2" s="1"/>
  <c r="Q160" i="2" s="1"/>
  <c r="C159" i="2" a="1"/>
  <c r="C159" i="2" s="1"/>
  <c r="AB159" i="2" s="1"/>
  <c r="C158" i="2" a="1"/>
  <c r="C158" i="2" s="1"/>
  <c r="AG158" i="2" s="1"/>
  <c r="C157" i="2" a="1"/>
  <c r="C157" i="2" s="1"/>
  <c r="AE157" i="2" s="1"/>
  <c r="C156" i="2" a="1"/>
  <c r="C156" i="2" s="1"/>
  <c r="AI156" i="2" s="1"/>
  <c r="C155" i="2" a="1"/>
  <c r="C155" i="2" s="1"/>
  <c r="AE155" i="2" s="1"/>
  <c r="C154" i="2" a="1"/>
  <c r="C154" i="2" s="1"/>
  <c r="AI154" i="2" s="1"/>
  <c r="C153" i="2" a="1"/>
  <c r="C153" i="2" s="1"/>
  <c r="AE153" i="2" s="1"/>
  <c r="C152" i="2" a="1"/>
  <c r="C152" i="2" s="1"/>
  <c r="AI152" i="2" s="1"/>
  <c r="C151" i="2" a="1"/>
  <c r="C151" i="2" s="1"/>
  <c r="AE151" i="2" s="1"/>
  <c r="C150" i="2" a="1"/>
  <c r="C150" i="2" s="1"/>
  <c r="AI150" i="2" s="1"/>
  <c r="C149" i="2" a="1"/>
  <c r="C149" i="2" s="1"/>
  <c r="AE149" i="2" s="1"/>
  <c r="C148" i="2" a="1"/>
  <c r="C148" i="2" s="1"/>
  <c r="AI148" i="2" s="1"/>
  <c r="C147" i="2" a="1"/>
  <c r="C147" i="2" s="1"/>
  <c r="AE147" i="2" s="1"/>
  <c r="C146" i="2" a="1"/>
  <c r="C146" i="2" s="1"/>
  <c r="AI146" i="2" s="1"/>
  <c r="C145" i="2" a="1"/>
  <c r="C145" i="2" s="1"/>
  <c r="AE145" i="2" s="1"/>
  <c r="C144" i="2" a="1"/>
  <c r="C144" i="2" s="1"/>
  <c r="AI144" i="2" s="1"/>
  <c r="C143" i="2" a="1"/>
  <c r="C143" i="2" s="1"/>
  <c r="AE143" i="2" s="1"/>
  <c r="C142" i="2" a="1"/>
  <c r="C142" i="2" s="1"/>
  <c r="AI142" i="2" s="1"/>
  <c r="C141" i="2" a="1"/>
  <c r="C141" i="2" s="1"/>
  <c r="AE141" i="2" s="1"/>
  <c r="C140" i="2" a="1"/>
  <c r="C140" i="2" s="1"/>
  <c r="AI140" i="2" s="1"/>
  <c r="C139" i="2" a="1"/>
  <c r="C139" i="2" s="1"/>
  <c r="AE139" i="2" s="1"/>
  <c r="C138" i="2" a="1"/>
  <c r="C138" i="2" s="1"/>
  <c r="AI138" i="2" s="1"/>
  <c r="C137" i="2" a="1"/>
  <c r="C137" i="2" s="1"/>
  <c r="AE137" i="2" s="1"/>
  <c r="C136" i="2" a="1"/>
  <c r="C136" i="2" s="1"/>
  <c r="AI136" i="2" s="1"/>
  <c r="C135" i="2" a="1"/>
  <c r="C135" i="2" s="1"/>
  <c r="AE135" i="2" s="1"/>
  <c r="C134" i="2" a="1"/>
  <c r="C134" i="2" s="1"/>
  <c r="AI134" i="2" s="1"/>
  <c r="C133" i="2" a="1"/>
  <c r="C133" i="2" s="1"/>
  <c r="AE133" i="2" s="1"/>
  <c r="C132" i="2" a="1"/>
  <c r="C132" i="2" s="1"/>
  <c r="AI132" i="2" s="1"/>
  <c r="C131" i="2" a="1"/>
  <c r="C131" i="2" s="1"/>
  <c r="AE131" i="2" s="1"/>
  <c r="C130" i="2" a="1"/>
  <c r="C130" i="2" s="1"/>
  <c r="AI130" i="2" s="1"/>
  <c r="C129" i="2" a="1"/>
  <c r="C129" i="2" s="1"/>
  <c r="AE129" i="2" s="1"/>
  <c r="C128" i="2" a="1"/>
  <c r="C128" i="2" s="1"/>
  <c r="AI128" i="2" s="1"/>
  <c r="C127" i="2" a="1"/>
  <c r="C127" i="2" s="1"/>
  <c r="AD127" i="2" s="1"/>
  <c r="C126" i="2" a="1"/>
  <c r="C126" i="2" s="1"/>
  <c r="AI126" i="2" s="1"/>
  <c r="C125" i="2" a="1"/>
  <c r="C125" i="2" s="1"/>
  <c r="AE125" i="2" s="1"/>
  <c r="C124" i="2" a="1"/>
  <c r="C124" i="2" s="1"/>
  <c r="AI124" i="2" s="1"/>
  <c r="C123" i="2" a="1"/>
  <c r="C123" i="2" s="1"/>
  <c r="AI123" i="2" s="1"/>
  <c r="C122" i="2" a="1"/>
  <c r="C122" i="2" s="1"/>
  <c r="AE122" i="2" s="1"/>
  <c r="C121" i="2" a="1"/>
  <c r="C121" i="2" s="1"/>
  <c r="AI121" i="2" s="1"/>
  <c r="C120" i="2" a="1"/>
  <c r="C120" i="2" s="1"/>
  <c r="AE120" i="2" s="1"/>
  <c r="C119" i="2" a="1"/>
  <c r="C119" i="2" s="1"/>
  <c r="AI119" i="2" s="1"/>
  <c r="C118" i="2" a="1"/>
  <c r="C118" i="2" s="1"/>
  <c r="AE118" i="2" s="1"/>
  <c r="C117" i="2" a="1"/>
  <c r="C117" i="2" s="1"/>
  <c r="AI117" i="2" s="1"/>
  <c r="C116" i="2" a="1"/>
  <c r="C116" i="2" s="1"/>
  <c r="AE116" i="2" s="1"/>
  <c r="C115" i="2" a="1"/>
  <c r="C115" i="2" s="1"/>
  <c r="AI115" i="2" s="1"/>
  <c r="C114" i="2" a="1"/>
  <c r="C114" i="2" s="1"/>
  <c r="AE114" i="2" s="1"/>
  <c r="C113" i="2" a="1"/>
  <c r="C113" i="2" s="1"/>
  <c r="AI113" i="2" s="1"/>
  <c r="C112" i="2" a="1"/>
  <c r="C112" i="2" s="1"/>
  <c r="AE112" i="2" s="1"/>
  <c r="C111" i="2" a="1"/>
  <c r="C111" i="2" s="1"/>
  <c r="AI111" i="2" s="1"/>
  <c r="C110" i="2" a="1"/>
  <c r="C110" i="2" s="1"/>
  <c r="AE110" i="2" s="1"/>
  <c r="C109" i="2" a="1"/>
  <c r="C109" i="2" s="1"/>
  <c r="AI109" i="2" s="1"/>
  <c r="C108" i="2" a="1"/>
  <c r="C108" i="2" s="1"/>
  <c r="AE108" i="2" s="1"/>
  <c r="C107" i="2" a="1"/>
  <c r="C107" i="2" s="1"/>
  <c r="AI107" i="2" s="1"/>
  <c r="C106" i="2" a="1"/>
  <c r="C106" i="2" s="1"/>
  <c r="AE106" i="2" s="1"/>
  <c r="C105" i="2" a="1"/>
  <c r="C105" i="2" s="1"/>
  <c r="AI105" i="2" s="1"/>
  <c r="C104" i="2" a="1"/>
  <c r="C104" i="2" s="1"/>
  <c r="AE104" i="2" s="1"/>
  <c r="C103" i="2" a="1"/>
  <c r="C103" i="2" s="1"/>
  <c r="AI103" i="2" s="1"/>
  <c r="C102" i="2" a="1"/>
  <c r="C102" i="2" s="1"/>
  <c r="AE102" i="2" s="1"/>
  <c r="C101" i="2" a="1"/>
  <c r="C101" i="2" s="1"/>
  <c r="AI101" i="2" s="1"/>
  <c r="C100" i="2" a="1"/>
  <c r="C100" i="2" s="1"/>
  <c r="AE100" i="2" s="1"/>
  <c r="C99" i="2" a="1"/>
  <c r="C99" i="2" s="1"/>
  <c r="AI99" i="2" s="1"/>
  <c r="C98" i="2" a="1"/>
  <c r="C98" i="2" s="1"/>
  <c r="AE98" i="2" s="1"/>
  <c r="C97" i="2" a="1"/>
  <c r="C97" i="2" s="1"/>
  <c r="AI97" i="2" s="1"/>
  <c r="C95" i="2" a="1"/>
  <c r="C95" i="2" s="1"/>
  <c r="AE95" i="2" s="1"/>
  <c r="C94" i="2" a="1"/>
  <c r="C94" i="2" s="1"/>
  <c r="AI94" i="2" s="1"/>
  <c r="C93" i="2" a="1"/>
  <c r="C93" i="2" s="1"/>
  <c r="AE93" i="2" s="1"/>
  <c r="C92" i="2" a="1"/>
  <c r="C92" i="2" s="1"/>
  <c r="AI92" i="2" s="1"/>
  <c r="C91" i="2" a="1"/>
  <c r="C91" i="2" s="1"/>
  <c r="AE91" i="2" s="1"/>
  <c r="C90" i="2" a="1"/>
  <c r="C90" i="2" s="1"/>
  <c r="AE90" i="2" s="1"/>
  <c r="C89" i="2" a="1"/>
  <c r="C89" i="2" s="1"/>
  <c r="AI89" i="2" s="1"/>
  <c r="C88" i="2" a="1"/>
  <c r="C88" i="2" s="1"/>
  <c r="AE88" i="2" s="1"/>
  <c r="C87" i="2" a="1"/>
  <c r="C87" i="2" s="1"/>
  <c r="AI87" i="2" s="1"/>
  <c r="C86" i="2" a="1"/>
  <c r="C86" i="2" s="1"/>
  <c r="AE86" i="2" s="1"/>
  <c r="C85" i="2" a="1"/>
  <c r="C85" i="2" s="1"/>
  <c r="AE85" i="2" s="1"/>
  <c r="C84" i="2" a="1"/>
  <c r="C84" i="2" s="1"/>
  <c r="AI84" i="2" s="1"/>
  <c r="C83" i="2" a="1"/>
  <c r="C83" i="2" s="1"/>
  <c r="AE83" i="2" s="1"/>
  <c r="C82" i="2" a="1"/>
  <c r="C82" i="2" s="1"/>
  <c r="AI82" i="2" s="1"/>
  <c r="C81" i="2" a="1"/>
  <c r="C81" i="2" s="1"/>
  <c r="AE81" i="2" s="1"/>
  <c r="C80" i="2" a="1"/>
  <c r="C80" i="2" s="1"/>
  <c r="AE80" i="2" s="1"/>
  <c r="C79" i="2" a="1"/>
  <c r="C79" i="2" s="1"/>
  <c r="AI79" i="2" s="1"/>
  <c r="C78" i="2" a="1"/>
  <c r="C78" i="2" s="1"/>
  <c r="AE78" i="2" s="1"/>
  <c r="C77" i="2" a="1"/>
  <c r="C77" i="2" s="1"/>
  <c r="AI77" i="2" s="1"/>
  <c r="C76" i="2" a="1"/>
  <c r="C76" i="2" s="1"/>
  <c r="AE76" i="2" s="1"/>
  <c r="C75" i="2" a="1"/>
  <c r="C75" i="2" s="1"/>
  <c r="AD75" i="2" s="1"/>
  <c r="C74" i="2" a="1"/>
  <c r="C74" i="2" s="1"/>
  <c r="AI74" i="2" s="1"/>
  <c r="C73" i="2" a="1"/>
  <c r="C73" i="2" s="1"/>
  <c r="AE73" i="2" s="1"/>
  <c r="C72" i="2" a="1"/>
  <c r="C72" i="2" s="1"/>
  <c r="AI72" i="2" s="1"/>
  <c r="C71" i="2" a="1"/>
  <c r="C71" i="2" s="1"/>
  <c r="AE71" i="2" s="1"/>
  <c r="C70" i="2" a="1"/>
  <c r="C70" i="2" s="1"/>
  <c r="AG70" i="2" s="1"/>
  <c r="C69" i="2" a="1"/>
  <c r="C69" i="2" s="1"/>
  <c r="C68" i="2" a="1"/>
  <c r="C68" i="2" s="1"/>
  <c r="AI68" i="2" s="1"/>
  <c r="C67" i="2" a="1"/>
  <c r="C67" i="2" s="1"/>
  <c r="AI67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 a="1"/>
  <c r="L28" i="2" s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B1" i="2"/>
  <c r="C66" i="2" a="1"/>
  <c r="C66" i="2" s="1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I62" i="2"/>
  <c r="BD62" i="2" s="1"/>
  <c r="AH62" i="2"/>
  <c r="BC62" i="2" s="1"/>
  <c r="AG62" i="2"/>
  <c r="BB62" i="2" s="1"/>
  <c r="AF62" i="2"/>
  <c r="BA62" i="2" s="1"/>
  <c r="AE62" i="2"/>
  <c r="AZ62" i="2" s="1"/>
  <c r="AD62" i="2"/>
  <c r="AY62" i="2" s="1"/>
  <c r="AC62" i="2"/>
  <c r="AX62" i="2" s="1"/>
  <c r="AX63" i="2" s="1"/>
  <c r="AX64" i="2" s="1"/>
  <c r="AX65" i="2" s="1"/>
  <c r="AB62" i="2"/>
  <c r="AW62" i="2" s="1"/>
  <c r="AW63" i="2" s="1"/>
  <c r="AW64" i="2" s="1"/>
  <c r="AW65" i="2" s="1"/>
  <c r="AA62" i="2"/>
  <c r="AV62" i="2" s="1"/>
  <c r="Z62" i="2"/>
  <c r="AU62" i="2" s="1"/>
  <c r="AU63" i="2" s="1"/>
  <c r="AU64" i="2" s="1"/>
  <c r="AU65" i="2" s="1"/>
  <c r="Y62" i="2"/>
  <c r="AT62" i="2" s="1"/>
  <c r="X62" i="2"/>
  <c r="AS62" i="2" s="1"/>
  <c r="W62" i="2"/>
  <c r="AR62" i="2" s="1"/>
  <c r="V62" i="2"/>
  <c r="AQ62" i="2" s="1"/>
  <c r="U62" i="2"/>
  <c r="AP62" i="2" s="1"/>
  <c r="AP63" i="2" s="1"/>
  <c r="T62" i="2"/>
  <c r="AO62" i="2" s="1"/>
  <c r="AO63" i="2" s="1"/>
  <c r="S62" i="2"/>
  <c r="AN62" i="2" s="1"/>
  <c r="R62" i="2"/>
  <c r="AM62" i="2" s="1"/>
  <c r="AM63" i="2" s="1"/>
  <c r="AM64" i="2" s="1"/>
  <c r="AM65" i="2" s="1"/>
  <c r="Q62" i="2"/>
  <c r="AL62" i="2" s="1"/>
  <c r="P62" i="2"/>
  <c r="AK62" i="2" s="1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I58" i="2"/>
  <c r="AH58" i="2"/>
  <c r="BC58" i="2" s="1"/>
  <c r="BC59" i="2" s="1"/>
  <c r="BC60" i="2" s="1"/>
  <c r="BC61" i="2" s="1"/>
  <c r="AG58" i="2"/>
  <c r="AF58" i="2"/>
  <c r="AE58" i="2"/>
  <c r="AD58" i="2"/>
  <c r="AC58" i="2"/>
  <c r="AX58" i="2" s="1"/>
  <c r="AX59" i="2" s="1"/>
  <c r="AX60" i="2" s="1"/>
  <c r="AX61" i="2" s="1"/>
  <c r="AB58" i="2"/>
  <c r="AW58" i="2" s="1"/>
  <c r="AW59" i="2" s="1"/>
  <c r="AW60" i="2" s="1"/>
  <c r="AW61" i="2" s="1"/>
  <c r="AA58" i="2"/>
  <c r="Z58" i="2"/>
  <c r="AU58" i="2" s="1"/>
  <c r="AU59" i="2" s="1"/>
  <c r="AU60" i="2" s="1"/>
  <c r="AU61" i="2" s="1"/>
  <c r="Y58" i="2"/>
  <c r="X58" i="2"/>
  <c r="W58" i="2"/>
  <c r="V58" i="2"/>
  <c r="U58" i="2"/>
  <c r="AP58" i="2" s="1"/>
  <c r="AP59" i="2" s="1"/>
  <c r="T58" i="2"/>
  <c r="AO58" i="2" s="1"/>
  <c r="AO59" i="2" s="1"/>
  <c r="AO60" i="2" s="1"/>
  <c r="AO61" i="2" s="1"/>
  <c r="S58" i="2"/>
  <c r="R58" i="2"/>
  <c r="AM58" i="2" s="1"/>
  <c r="AM59" i="2" s="1"/>
  <c r="AM60" i="2" s="1"/>
  <c r="AM61" i="2" s="1"/>
  <c r="Q58" i="2"/>
  <c r="P58" i="2"/>
  <c r="AI57" i="2"/>
  <c r="BD57" i="2" s="1"/>
  <c r="AH57" i="2"/>
  <c r="BC57" i="2" s="1"/>
  <c r="AG57" i="2"/>
  <c r="BB57" i="2" s="1"/>
  <c r="BB58" i="2" s="1"/>
  <c r="BB59" i="2" s="1"/>
  <c r="BB60" i="2" s="1"/>
  <c r="BB61" i="2" s="1"/>
  <c r="AF57" i="2"/>
  <c r="BA57" i="2" s="1"/>
  <c r="BA58" i="2" s="1"/>
  <c r="BA59" i="2" s="1"/>
  <c r="BA60" i="2" s="1"/>
  <c r="BA61" i="2" s="1"/>
  <c r="AE57" i="2"/>
  <c r="AZ57" i="2" s="1"/>
  <c r="AD57" i="2"/>
  <c r="AY57" i="2" s="1"/>
  <c r="AY58" i="2" s="1"/>
  <c r="AC57" i="2"/>
  <c r="AX57" i="2" s="1"/>
  <c r="AB57" i="2"/>
  <c r="AW57" i="2" s="1"/>
  <c r="AA57" i="2"/>
  <c r="AV57" i="2" s="1"/>
  <c r="Z57" i="2"/>
  <c r="AU57" i="2" s="1"/>
  <c r="Y57" i="2"/>
  <c r="AT57" i="2" s="1"/>
  <c r="AT58" i="2" s="1"/>
  <c r="AT59" i="2" s="1"/>
  <c r="AT60" i="2" s="1"/>
  <c r="AT61" i="2" s="1"/>
  <c r="X57" i="2"/>
  <c r="AS57" i="2" s="1"/>
  <c r="AS58" i="2" s="1"/>
  <c r="AS59" i="2" s="1"/>
  <c r="AS60" i="2" s="1"/>
  <c r="AS61" i="2" s="1"/>
  <c r="W57" i="2"/>
  <c r="AR57" i="2" s="1"/>
  <c r="V57" i="2"/>
  <c r="AQ57" i="2" s="1"/>
  <c r="AQ58" i="2" s="1"/>
  <c r="AQ59" i="2" s="1"/>
  <c r="AQ60" i="2" s="1"/>
  <c r="AQ61" i="2" s="1"/>
  <c r="U57" i="2"/>
  <c r="AP57" i="2" s="1"/>
  <c r="T57" i="2"/>
  <c r="AO57" i="2" s="1"/>
  <c r="S57" i="2"/>
  <c r="AN57" i="2" s="1"/>
  <c r="R57" i="2"/>
  <c r="AM57" i="2" s="1"/>
  <c r="Q57" i="2"/>
  <c r="AL57" i="2" s="1"/>
  <c r="AL58" i="2" s="1"/>
  <c r="AL59" i="2" s="1"/>
  <c r="AL60" i="2" s="1"/>
  <c r="AL61" i="2" s="1"/>
  <c r="P57" i="2"/>
  <c r="AK57" i="2" s="1"/>
  <c r="AK58" i="2" s="1"/>
  <c r="AK59" i="2" s="1"/>
  <c r="AK60" i="2" s="1"/>
  <c r="AK61" i="2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I53" i="2"/>
  <c r="AH53" i="2"/>
  <c r="AG53" i="2"/>
  <c r="BB53" i="2" s="1"/>
  <c r="BB54" i="2" s="1"/>
  <c r="BB55" i="2" s="1"/>
  <c r="BB56" i="2" s="1"/>
  <c r="AF53" i="2"/>
  <c r="BA53" i="2" s="1"/>
  <c r="BA54" i="2" s="1"/>
  <c r="BA55" i="2" s="1"/>
  <c r="BA56" i="2" s="1"/>
  <c r="AE53" i="2"/>
  <c r="AD53" i="2"/>
  <c r="AY53" i="2" s="1"/>
  <c r="AY54" i="2" s="1"/>
  <c r="AY55" i="2" s="1"/>
  <c r="AY56" i="2" s="1"/>
  <c r="AC53" i="2"/>
  <c r="AB53" i="2"/>
  <c r="AA53" i="2"/>
  <c r="Z53" i="2"/>
  <c r="Y53" i="2"/>
  <c r="AT53" i="2" s="1"/>
  <c r="AT54" i="2" s="1"/>
  <c r="AT55" i="2" s="1"/>
  <c r="AT56" i="2" s="1"/>
  <c r="X53" i="2"/>
  <c r="AS53" i="2" s="1"/>
  <c r="AS54" i="2" s="1"/>
  <c r="AS55" i="2" s="1"/>
  <c r="AS56" i="2" s="1"/>
  <c r="W53" i="2"/>
  <c r="V53" i="2"/>
  <c r="AQ53" i="2" s="1"/>
  <c r="AQ54" i="2" s="1"/>
  <c r="AQ55" i="2" s="1"/>
  <c r="AQ56" i="2" s="1"/>
  <c r="U53" i="2"/>
  <c r="T53" i="2"/>
  <c r="S53" i="2"/>
  <c r="R53" i="2"/>
  <c r="Q53" i="2"/>
  <c r="AL53" i="2" s="1"/>
  <c r="AL54" i="2" s="1"/>
  <c r="P53" i="2"/>
  <c r="AK53" i="2" s="1"/>
  <c r="AK54" i="2" s="1"/>
  <c r="AK55" i="2" s="1"/>
  <c r="AK56" i="2" s="1"/>
  <c r="AI52" i="2"/>
  <c r="BD52" i="2" s="1"/>
  <c r="AH52" i="2"/>
  <c r="BC52" i="2" s="1"/>
  <c r="BC53" i="2" s="1"/>
  <c r="BC54" i="2" s="1"/>
  <c r="BC55" i="2" s="1"/>
  <c r="BC56" i="2" s="1"/>
  <c r="AG52" i="2"/>
  <c r="BB52" i="2" s="1"/>
  <c r="AF52" i="2"/>
  <c r="BA52" i="2" s="1"/>
  <c r="AE52" i="2"/>
  <c r="AZ52" i="2" s="1"/>
  <c r="AD52" i="2"/>
  <c r="AY52" i="2" s="1"/>
  <c r="AC52" i="2"/>
  <c r="AX52" i="2" s="1"/>
  <c r="AX53" i="2" s="1"/>
  <c r="AB52" i="2"/>
  <c r="AW52" i="2" s="1"/>
  <c r="AW53" i="2" s="1"/>
  <c r="AW54" i="2" s="1"/>
  <c r="AW55" i="2" s="1"/>
  <c r="AW56" i="2" s="1"/>
  <c r="AA52" i="2"/>
  <c r="AV52" i="2" s="1"/>
  <c r="Z52" i="2"/>
  <c r="AU52" i="2" s="1"/>
  <c r="AU53" i="2" s="1"/>
  <c r="Y52" i="2"/>
  <c r="AT52" i="2" s="1"/>
  <c r="X52" i="2"/>
  <c r="AS52" i="2" s="1"/>
  <c r="W52" i="2"/>
  <c r="AR52" i="2" s="1"/>
  <c r="V52" i="2"/>
  <c r="AQ52" i="2" s="1"/>
  <c r="U52" i="2"/>
  <c r="AP52" i="2" s="1"/>
  <c r="AP53" i="2" s="1"/>
  <c r="T52" i="2"/>
  <c r="AO52" i="2" s="1"/>
  <c r="AO53" i="2" s="1"/>
  <c r="AO54" i="2" s="1"/>
  <c r="AO55" i="2" s="1"/>
  <c r="AO56" i="2" s="1"/>
  <c r="S52" i="2"/>
  <c r="AN52" i="2" s="1"/>
  <c r="R52" i="2"/>
  <c r="AM52" i="2" s="1"/>
  <c r="AM53" i="2" s="1"/>
  <c r="Q52" i="2"/>
  <c r="AL52" i="2" s="1"/>
  <c r="P52" i="2"/>
  <c r="AK52" i="2" s="1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AI49" i="2"/>
  <c r="AH49" i="2"/>
  <c r="AG49" i="2"/>
  <c r="BB49" i="2" s="1"/>
  <c r="BB50" i="2" s="1"/>
  <c r="AF49" i="2"/>
  <c r="BA49" i="2" s="1"/>
  <c r="BA50" i="2" s="1"/>
  <c r="BA51" i="2" s="1"/>
  <c r="AE49" i="2"/>
  <c r="AD49" i="2"/>
  <c r="AY49" i="2" s="1"/>
  <c r="AY50" i="2" s="1"/>
  <c r="AY51" i="2" s="1"/>
  <c r="AC49" i="2"/>
  <c r="AB49" i="2"/>
  <c r="AA49" i="2"/>
  <c r="Z49" i="2"/>
  <c r="Y49" i="2"/>
  <c r="AT49" i="2" s="1"/>
  <c r="AT50" i="2" s="1"/>
  <c r="AT51" i="2" s="1"/>
  <c r="X49" i="2"/>
  <c r="AS49" i="2" s="1"/>
  <c r="AS50" i="2" s="1"/>
  <c r="AS51" i="2" s="1"/>
  <c r="W49" i="2"/>
  <c r="V49" i="2"/>
  <c r="AQ49" i="2" s="1"/>
  <c r="AQ50" i="2" s="1"/>
  <c r="U49" i="2"/>
  <c r="T49" i="2"/>
  <c r="S49" i="2"/>
  <c r="R49" i="2"/>
  <c r="Q49" i="2"/>
  <c r="AL49" i="2" s="1"/>
  <c r="AL50" i="2" s="1"/>
  <c r="P49" i="2"/>
  <c r="AK49" i="2" s="1"/>
  <c r="AK50" i="2" s="1"/>
  <c r="AK51" i="2" s="1"/>
  <c r="AI48" i="2"/>
  <c r="BD48" i="2" s="1"/>
  <c r="AH48" i="2"/>
  <c r="BC48" i="2" s="1"/>
  <c r="BC49" i="2" s="1"/>
  <c r="BC50" i="2" s="1"/>
  <c r="BC51" i="2" s="1"/>
  <c r="AG48" i="2"/>
  <c r="BB48" i="2" s="1"/>
  <c r="AF48" i="2"/>
  <c r="BA48" i="2" s="1"/>
  <c r="AE48" i="2"/>
  <c r="AZ48" i="2" s="1"/>
  <c r="AD48" i="2"/>
  <c r="AY48" i="2" s="1"/>
  <c r="AC48" i="2"/>
  <c r="AX48" i="2" s="1"/>
  <c r="AX49" i="2" s="1"/>
  <c r="AB48" i="2"/>
  <c r="AW48" i="2" s="1"/>
  <c r="AW49" i="2" s="1"/>
  <c r="AA48" i="2"/>
  <c r="AV48" i="2" s="1"/>
  <c r="Z48" i="2"/>
  <c r="AU48" i="2" s="1"/>
  <c r="AU49" i="2" s="1"/>
  <c r="Y48" i="2"/>
  <c r="AT48" i="2" s="1"/>
  <c r="X48" i="2"/>
  <c r="AS48" i="2" s="1"/>
  <c r="W48" i="2"/>
  <c r="AR48" i="2" s="1"/>
  <c r="V48" i="2"/>
  <c r="AQ48" i="2" s="1"/>
  <c r="U48" i="2"/>
  <c r="AP48" i="2" s="1"/>
  <c r="AP49" i="2" s="1"/>
  <c r="T48" i="2"/>
  <c r="AO48" i="2" s="1"/>
  <c r="AO49" i="2" s="1"/>
  <c r="S48" i="2"/>
  <c r="AN48" i="2" s="1"/>
  <c r="R48" i="2"/>
  <c r="AM48" i="2" s="1"/>
  <c r="AM49" i="2" s="1"/>
  <c r="Q48" i="2"/>
  <c r="AL48" i="2" s="1"/>
  <c r="P48" i="2"/>
  <c r="AK48" i="2" s="1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I45" i="2"/>
  <c r="AH45" i="2"/>
  <c r="AG45" i="2"/>
  <c r="BB45" i="2" s="1"/>
  <c r="BB46" i="2" s="1"/>
  <c r="AF45" i="2"/>
  <c r="BA45" i="2" s="1"/>
  <c r="BA46" i="2" s="1"/>
  <c r="BA47" i="2" s="1"/>
  <c r="AE45" i="2"/>
  <c r="AD45" i="2"/>
  <c r="AY45" i="2" s="1"/>
  <c r="AY46" i="2" s="1"/>
  <c r="AY47" i="2" s="1"/>
  <c r="AC45" i="2"/>
  <c r="AB45" i="2"/>
  <c r="AA45" i="2"/>
  <c r="Z45" i="2"/>
  <c r="Y45" i="2"/>
  <c r="AT45" i="2" s="1"/>
  <c r="AT46" i="2" s="1"/>
  <c r="AT47" i="2" s="1"/>
  <c r="X45" i="2"/>
  <c r="AS45" i="2" s="1"/>
  <c r="AS46" i="2" s="1"/>
  <c r="W45" i="2"/>
  <c r="V45" i="2"/>
  <c r="AQ45" i="2" s="1"/>
  <c r="AQ46" i="2" s="1"/>
  <c r="U45" i="2"/>
  <c r="T45" i="2"/>
  <c r="S45" i="2"/>
  <c r="R45" i="2"/>
  <c r="Q45" i="2"/>
  <c r="AL45" i="2" s="1"/>
  <c r="AL46" i="2" s="1"/>
  <c r="AL47" i="2" s="1"/>
  <c r="P45" i="2"/>
  <c r="AK45" i="2" s="1"/>
  <c r="AK46" i="2" s="1"/>
  <c r="AK47" i="2" s="1"/>
  <c r="AI44" i="2"/>
  <c r="BD44" i="2" s="1"/>
  <c r="AH44" i="2"/>
  <c r="BC44" i="2" s="1"/>
  <c r="BC45" i="2" s="1"/>
  <c r="BC46" i="2" s="1"/>
  <c r="BC47" i="2" s="1"/>
  <c r="AG44" i="2"/>
  <c r="BB44" i="2" s="1"/>
  <c r="AF44" i="2"/>
  <c r="BA44" i="2" s="1"/>
  <c r="AE44" i="2"/>
  <c r="AZ44" i="2" s="1"/>
  <c r="AD44" i="2"/>
  <c r="AY44" i="2" s="1"/>
  <c r="AC44" i="2"/>
  <c r="AX44" i="2" s="1"/>
  <c r="AX45" i="2" s="1"/>
  <c r="AX46" i="2" s="1"/>
  <c r="AX47" i="2" s="1"/>
  <c r="AB44" i="2"/>
  <c r="AW44" i="2" s="1"/>
  <c r="AW45" i="2" s="1"/>
  <c r="AA44" i="2"/>
  <c r="AV44" i="2" s="1"/>
  <c r="Z44" i="2"/>
  <c r="AU44" i="2" s="1"/>
  <c r="AU45" i="2" s="1"/>
  <c r="AU46" i="2" s="1"/>
  <c r="AU47" i="2" s="1"/>
  <c r="Y44" i="2"/>
  <c r="AT44" i="2" s="1"/>
  <c r="X44" i="2"/>
  <c r="AS44" i="2" s="1"/>
  <c r="W44" i="2"/>
  <c r="AR44" i="2" s="1"/>
  <c r="V44" i="2"/>
  <c r="AQ44" i="2" s="1"/>
  <c r="U44" i="2"/>
  <c r="AP44" i="2" s="1"/>
  <c r="AP45" i="2" s="1"/>
  <c r="T44" i="2"/>
  <c r="AO44" i="2" s="1"/>
  <c r="AO45" i="2" s="1"/>
  <c r="S44" i="2"/>
  <c r="AN44" i="2" s="1"/>
  <c r="R44" i="2"/>
  <c r="AM44" i="2" s="1"/>
  <c r="AM45" i="2" s="1"/>
  <c r="AM46" i="2" s="1"/>
  <c r="AM47" i="2" s="1"/>
  <c r="Q44" i="2"/>
  <c r="AL44" i="2" s="1"/>
  <c r="P44" i="2"/>
  <c r="AK44" i="2" s="1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AI40" i="2"/>
  <c r="AH40" i="2"/>
  <c r="BC40" i="2" s="1"/>
  <c r="BC41" i="2" s="1"/>
  <c r="BC42" i="2" s="1"/>
  <c r="BC43" i="2" s="1"/>
  <c r="AG40" i="2"/>
  <c r="AF40" i="2"/>
  <c r="AE40" i="2"/>
  <c r="AD40" i="2"/>
  <c r="AC40" i="2"/>
  <c r="AX40" i="2" s="1"/>
  <c r="AX41" i="2" s="1"/>
  <c r="AX42" i="2" s="1"/>
  <c r="AX43" i="2" s="1"/>
  <c r="AB40" i="2"/>
  <c r="AW40" i="2" s="1"/>
  <c r="AW41" i="2" s="1"/>
  <c r="AW42" i="2" s="1"/>
  <c r="AW43" i="2" s="1"/>
  <c r="AA40" i="2"/>
  <c r="Z40" i="2"/>
  <c r="AU40" i="2" s="1"/>
  <c r="AU41" i="2" s="1"/>
  <c r="AU42" i="2" s="1"/>
  <c r="AU43" i="2" s="1"/>
  <c r="Y40" i="2"/>
  <c r="X40" i="2"/>
  <c r="W40" i="2"/>
  <c r="V40" i="2"/>
  <c r="U40" i="2"/>
  <c r="AP40" i="2" s="1"/>
  <c r="AP41" i="2" s="1"/>
  <c r="T40" i="2"/>
  <c r="AO40" i="2" s="1"/>
  <c r="AO41" i="2" s="1"/>
  <c r="AO42" i="2" s="1"/>
  <c r="AO43" i="2" s="1"/>
  <c r="S40" i="2"/>
  <c r="R40" i="2"/>
  <c r="AM40" i="2" s="1"/>
  <c r="AM41" i="2" s="1"/>
  <c r="AM42" i="2" s="1"/>
  <c r="AM43" i="2" s="1"/>
  <c r="Q40" i="2"/>
  <c r="P40" i="2"/>
  <c r="AI39" i="2"/>
  <c r="BD39" i="2" s="1"/>
  <c r="AH39" i="2"/>
  <c r="BC39" i="2" s="1"/>
  <c r="AG39" i="2"/>
  <c r="BB39" i="2" s="1"/>
  <c r="BB40" i="2" s="1"/>
  <c r="BB41" i="2" s="1"/>
  <c r="BB42" i="2" s="1"/>
  <c r="BB43" i="2" s="1"/>
  <c r="AF39" i="2"/>
  <c r="BA39" i="2" s="1"/>
  <c r="BA40" i="2" s="1"/>
  <c r="BA41" i="2" s="1"/>
  <c r="BA42" i="2" s="1"/>
  <c r="BA43" i="2" s="1"/>
  <c r="AE39" i="2"/>
  <c r="AZ39" i="2" s="1"/>
  <c r="AD39" i="2"/>
  <c r="AY39" i="2" s="1"/>
  <c r="AY40" i="2" s="1"/>
  <c r="AC39" i="2"/>
  <c r="AX39" i="2" s="1"/>
  <c r="AB39" i="2"/>
  <c r="AW39" i="2" s="1"/>
  <c r="AA39" i="2"/>
  <c r="AV39" i="2" s="1"/>
  <c r="Z39" i="2"/>
  <c r="AU39" i="2" s="1"/>
  <c r="Y39" i="2"/>
  <c r="AT39" i="2" s="1"/>
  <c r="AT40" i="2" s="1"/>
  <c r="AT41" i="2" s="1"/>
  <c r="AT42" i="2" s="1"/>
  <c r="AT43" i="2" s="1"/>
  <c r="X39" i="2"/>
  <c r="AS39" i="2" s="1"/>
  <c r="AS40" i="2" s="1"/>
  <c r="AS41" i="2" s="1"/>
  <c r="AS42" i="2" s="1"/>
  <c r="AS43" i="2" s="1"/>
  <c r="W39" i="2"/>
  <c r="AR39" i="2" s="1"/>
  <c r="V39" i="2"/>
  <c r="AQ39" i="2" s="1"/>
  <c r="AQ40" i="2" s="1"/>
  <c r="AQ41" i="2" s="1"/>
  <c r="AQ42" i="2" s="1"/>
  <c r="AQ43" i="2" s="1"/>
  <c r="U39" i="2"/>
  <c r="AP39" i="2" s="1"/>
  <c r="T39" i="2"/>
  <c r="AO39" i="2" s="1"/>
  <c r="S39" i="2"/>
  <c r="AN39" i="2" s="1"/>
  <c r="R39" i="2"/>
  <c r="AM39" i="2" s="1"/>
  <c r="Q39" i="2"/>
  <c r="AL39" i="2" s="1"/>
  <c r="AL40" i="2" s="1"/>
  <c r="AL41" i="2" s="1"/>
  <c r="AL42" i="2" s="1"/>
  <c r="AL43" i="2" s="1"/>
  <c r="P39" i="2"/>
  <c r="AK39" i="2" s="1"/>
  <c r="AK40" i="2" s="1"/>
  <c r="AK41" i="2" s="1"/>
  <c r="AK42" i="2" s="1"/>
  <c r="AK43" i="2" s="1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AI35" i="2"/>
  <c r="AH35" i="2"/>
  <c r="AG35" i="2"/>
  <c r="BB35" i="2" s="1"/>
  <c r="BB36" i="2" s="1"/>
  <c r="BB37" i="2" s="1"/>
  <c r="BB38" i="2" s="1"/>
  <c r="AF35" i="2"/>
  <c r="BA35" i="2" s="1"/>
  <c r="BA36" i="2" s="1"/>
  <c r="BA37" i="2" s="1"/>
  <c r="BA38" i="2" s="1"/>
  <c r="AE35" i="2"/>
  <c r="AD35" i="2"/>
  <c r="AY35" i="2" s="1"/>
  <c r="AY36" i="2" s="1"/>
  <c r="AY37" i="2" s="1"/>
  <c r="AY38" i="2" s="1"/>
  <c r="AC35" i="2"/>
  <c r="AB35" i="2"/>
  <c r="AA35" i="2"/>
  <c r="Z35" i="2"/>
  <c r="Y35" i="2"/>
  <c r="AT35" i="2" s="1"/>
  <c r="AT36" i="2" s="1"/>
  <c r="AT37" i="2" s="1"/>
  <c r="AT38" i="2" s="1"/>
  <c r="X35" i="2"/>
  <c r="AS35" i="2" s="1"/>
  <c r="AS36" i="2" s="1"/>
  <c r="AS37" i="2" s="1"/>
  <c r="AS38" i="2" s="1"/>
  <c r="W35" i="2"/>
  <c r="V35" i="2"/>
  <c r="AQ35" i="2" s="1"/>
  <c r="AQ36" i="2" s="1"/>
  <c r="AQ37" i="2" s="1"/>
  <c r="AQ38" i="2" s="1"/>
  <c r="U35" i="2"/>
  <c r="T35" i="2"/>
  <c r="S35" i="2"/>
  <c r="R35" i="2"/>
  <c r="Q35" i="2"/>
  <c r="AL35" i="2" s="1"/>
  <c r="AL36" i="2" s="1"/>
  <c r="P35" i="2"/>
  <c r="AK35" i="2" s="1"/>
  <c r="AK36" i="2" s="1"/>
  <c r="AK37" i="2" s="1"/>
  <c r="AK38" i="2" s="1"/>
  <c r="AI34" i="2"/>
  <c r="BD34" i="2" s="1"/>
  <c r="AH34" i="2"/>
  <c r="BC34" i="2" s="1"/>
  <c r="BC35" i="2" s="1"/>
  <c r="BC36" i="2" s="1"/>
  <c r="BC37" i="2" s="1"/>
  <c r="BC38" i="2" s="1"/>
  <c r="AG34" i="2"/>
  <c r="BB34" i="2" s="1"/>
  <c r="AF34" i="2"/>
  <c r="BA34" i="2" s="1"/>
  <c r="AE34" i="2"/>
  <c r="AZ34" i="2" s="1"/>
  <c r="AD34" i="2"/>
  <c r="AY34" i="2" s="1"/>
  <c r="AC34" i="2"/>
  <c r="AX34" i="2" s="1"/>
  <c r="AX35" i="2" s="1"/>
  <c r="AB34" i="2"/>
  <c r="AW34" i="2" s="1"/>
  <c r="AW35" i="2" s="1"/>
  <c r="AW36" i="2" s="1"/>
  <c r="AW37" i="2" s="1"/>
  <c r="AW38" i="2" s="1"/>
  <c r="AA34" i="2"/>
  <c r="AV34" i="2" s="1"/>
  <c r="Z34" i="2"/>
  <c r="AU34" i="2" s="1"/>
  <c r="AU35" i="2" s="1"/>
  <c r="Y34" i="2"/>
  <c r="AT34" i="2" s="1"/>
  <c r="X34" i="2"/>
  <c r="AS34" i="2" s="1"/>
  <c r="W34" i="2"/>
  <c r="AR34" i="2" s="1"/>
  <c r="V34" i="2"/>
  <c r="AQ34" i="2" s="1"/>
  <c r="U34" i="2"/>
  <c r="AP34" i="2" s="1"/>
  <c r="AP35" i="2" s="1"/>
  <c r="T34" i="2"/>
  <c r="AO34" i="2" s="1"/>
  <c r="AO35" i="2" s="1"/>
  <c r="AO36" i="2" s="1"/>
  <c r="AO37" i="2" s="1"/>
  <c r="AO38" i="2" s="1"/>
  <c r="S34" i="2"/>
  <c r="AN34" i="2" s="1"/>
  <c r="R34" i="2"/>
  <c r="AM34" i="2" s="1"/>
  <c r="AM35" i="2" s="1"/>
  <c r="Q34" i="2"/>
  <c r="AL34" i="2" s="1"/>
  <c r="P34" i="2"/>
  <c r="AK34" i="2" s="1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I31" i="2"/>
  <c r="AH31" i="2"/>
  <c r="AG31" i="2"/>
  <c r="BB31" i="2" s="1"/>
  <c r="BB32" i="2" s="1"/>
  <c r="AF31" i="2"/>
  <c r="BA31" i="2" s="1"/>
  <c r="BA32" i="2" s="1"/>
  <c r="BA33" i="2" s="1"/>
  <c r="AE31" i="2"/>
  <c r="AD31" i="2"/>
  <c r="AY31" i="2" s="1"/>
  <c r="AY32" i="2" s="1"/>
  <c r="AY33" i="2" s="1"/>
  <c r="AC31" i="2"/>
  <c r="AB31" i="2"/>
  <c r="AA31" i="2"/>
  <c r="Z31" i="2"/>
  <c r="Y31" i="2"/>
  <c r="AT31" i="2" s="1"/>
  <c r="AT32" i="2" s="1"/>
  <c r="AT33" i="2" s="1"/>
  <c r="X31" i="2"/>
  <c r="AS31" i="2" s="1"/>
  <c r="AS32" i="2" s="1"/>
  <c r="AS33" i="2" s="1"/>
  <c r="W31" i="2"/>
  <c r="V31" i="2"/>
  <c r="AQ31" i="2" s="1"/>
  <c r="AQ32" i="2" s="1"/>
  <c r="U31" i="2"/>
  <c r="T31" i="2"/>
  <c r="S31" i="2"/>
  <c r="R31" i="2"/>
  <c r="Q31" i="2"/>
  <c r="AL31" i="2" s="1"/>
  <c r="AL32" i="2" s="1"/>
  <c r="P31" i="2"/>
  <c r="AK31" i="2" s="1"/>
  <c r="AK32" i="2" s="1"/>
  <c r="AK33" i="2" s="1"/>
  <c r="AI30" i="2"/>
  <c r="BD30" i="2" s="1"/>
  <c r="AH30" i="2"/>
  <c r="BC30" i="2" s="1"/>
  <c r="BC31" i="2" s="1"/>
  <c r="BC32" i="2" s="1"/>
  <c r="BC33" i="2" s="1"/>
  <c r="AG30" i="2"/>
  <c r="BB30" i="2" s="1"/>
  <c r="AF30" i="2"/>
  <c r="BA30" i="2" s="1"/>
  <c r="AE30" i="2"/>
  <c r="AZ30" i="2" s="1"/>
  <c r="AD30" i="2"/>
  <c r="AY30" i="2" s="1"/>
  <c r="AC30" i="2"/>
  <c r="AX30" i="2" s="1"/>
  <c r="AX31" i="2" s="1"/>
  <c r="AB30" i="2"/>
  <c r="AW30" i="2" s="1"/>
  <c r="AW31" i="2" s="1"/>
  <c r="AA30" i="2"/>
  <c r="AV30" i="2" s="1"/>
  <c r="Z30" i="2"/>
  <c r="AU30" i="2" s="1"/>
  <c r="AU31" i="2" s="1"/>
  <c r="Y30" i="2"/>
  <c r="AT30" i="2" s="1"/>
  <c r="X30" i="2"/>
  <c r="AS30" i="2" s="1"/>
  <c r="W30" i="2"/>
  <c r="AR30" i="2" s="1"/>
  <c r="V30" i="2"/>
  <c r="AQ30" i="2" s="1"/>
  <c r="U30" i="2"/>
  <c r="AP30" i="2" s="1"/>
  <c r="AP31" i="2" s="1"/>
  <c r="T30" i="2"/>
  <c r="AO30" i="2" s="1"/>
  <c r="AO31" i="2" s="1"/>
  <c r="S30" i="2"/>
  <c r="AN30" i="2" s="1"/>
  <c r="R30" i="2"/>
  <c r="AM30" i="2" s="1"/>
  <c r="AM31" i="2" s="1"/>
  <c r="Q30" i="2"/>
  <c r="AL30" i="2" s="1"/>
  <c r="P30" i="2"/>
  <c r="AK30" i="2" s="1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AI27" i="2"/>
  <c r="AH27" i="2"/>
  <c r="AG27" i="2"/>
  <c r="BB27" i="2" s="1"/>
  <c r="BB28" i="2" s="1"/>
  <c r="AF27" i="2"/>
  <c r="BA27" i="2" s="1"/>
  <c r="BA28" i="2" s="1"/>
  <c r="BA29" i="2" s="1"/>
  <c r="AE27" i="2"/>
  <c r="AD27" i="2"/>
  <c r="AY27" i="2" s="1"/>
  <c r="AY28" i="2" s="1"/>
  <c r="AY29" i="2" s="1"/>
  <c r="AC27" i="2"/>
  <c r="AB27" i="2"/>
  <c r="AA27" i="2"/>
  <c r="Z27" i="2"/>
  <c r="Y27" i="2"/>
  <c r="AT27" i="2" s="1"/>
  <c r="AT28" i="2" s="1"/>
  <c r="AT29" i="2" s="1"/>
  <c r="X27" i="2"/>
  <c r="AS27" i="2" s="1"/>
  <c r="AS28" i="2" s="1"/>
  <c r="W27" i="2"/>
  <c r="V27" i="2"/>
  <c r="AQ27" i="2" s="1"/>
  <c r="AQ28" i="2" s="1"/>
  <c r="U27" i="2"/>
  <c r="T27" i="2"/>
  <c r="S27" i="2"/>
  <c r="R27" i="2"/>
  <c r="Q27" i="2"/>
  <c r="AL27" i="2" s="1"/>
  <c r="AL28" i="2" s="1"/>
  <c r="AL29" i="2" s="1"/>
  <c r="P27" i="2"/>
  <c r="AK27" i="2" s="1"/>
  <c r="AK28" i="2" s="1"/>
  <c r="AK29" i="2" s="1"/>
  <c r="AI26" i="2"/>
  <c r="BD26" i="2" s="1"/>
  <c r="AH26" i="2"/>
  <c r="BC26" i="2" s="1"/>
  <c r="BC27" i="2" s="1"/>
  <c r="AG26" i="2"/>
  <c r="BB26" i="2" s="1"/>
  <c r="AF26" i="2"/>
  <c r="BA26" i="2" s="1"/>
  <c r="AE26" i="2"/>
  <c r="AZ26" i="2" s="1"/>
  <c r="AD26" i="2"/>
  <c r="AY26" i="2" s="1"/>
  <c r="AC26" i="2"/>
  <c r="AX26" i="2" s="1"/>
  <c r="AX27" i="2" s="1"/>
  <c r="AX28" i="2" s="1"/>
  <c r="AX29" i="2" s="1"/>
  <c r="AB26" i="2"/>
  <c r="AW26" i="2" s="1"/>
  <c r="AW27" i="2" s="1"/>
  <c r="AW28" i="2" s="1"/>
  <c r="AW29" i="2" s="1"/>
  <c r="AA26" i="2"/>
  <c r="AV26" i="2" s="1"/>
  <c r="Z26" i="2"/>
  <c r="AU26" i="2" s="1"/>
  <c r="AU27" i="2" s="1"/>
  <c r="Y26" i="2"/>
  <c r="AT26" i="2" s="1"/>
  <c r="X26" i="2"/>
  <c r="AS26" i="2" s="1"/>
  <c r="W26" i="2"/>
  <c r="AR26" i="2" s="1"/>
  <c r="V26" i="2"/>
  <c r="AQ26" i="2" s="1"/>
  <c r="U26" i="2"/>
  <c r="AP26" i="2" s="1"/>
  <c r="AP27" i="2" s="1"/>
  <c r="AP28" i="2" s="1"/>
  <c r="AP29" i="2" s="1"/>
  <c r="T26" i="2"/>
  <c r="AO26" i="2" s="1"/>
  <c r="AO27" i="2" s="1"/>
  <c r="AO28" i="2" s="1"/>
  <c r="AO29" i="2" s="1"/>
  <c r="S26" i="2"/>
  <c r="AN26" i="2" s="1"/>
  <c r="R26" i="2"/>
  <c r="AM26" i="2" s="1"/>
  <c r="AM27" i="2" s="1"/>
  <c r="AM28" i="2" s="1"/>
  <c r="AM29" i="2" s="1"/>
  <c r="Q26" i="2"/>
  <c r="AL26" i="2" s="1"/>
  <c r="P26" i="2"/>
  <c r="AK26" i="2" s="1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I22" i="2"/>
  <c r="AH22" i="2"/>
  <c r="BC22" i="2" s="1"/>
  <c r="BC23" i="2" s="1"/>
  <c r="BC24" i="2" s="1"/>
  <c r="BC25" i="2" s="1"/>
  <c r="AG22" i="2"/>
  <c r="AF22" i="2"/>
  <c r="AE22" i="2"/>
  <c r="AD22" i="2"/>
  <c r="AC22" i="2"/>
  <c r="AX22" i="2" s="1"/>
  <c r="AX23" i="2" s="1"/>
  <c r="AB22" i="2"/>
  <c r="AA22" i="2"/>
  <c r="Z22" i="2"/>
  <c r="AU22" i="2" s="1"/>
  <c r="AU23" i="2" s="1"/>
  <c r="AU24" i="2" s="1"/>
  <c r="AU25" i="2" s="1"/>
  <c r="Y22" i="2"/>
  <c r="X22" i="2"/>
  <c r="W22" i="2"/>
  <c r="V22" i="2"/>
  <c r="U22" i="2"/>
  <c r="AP22" i="2" s="1"/>
  <c r="AP23" i="2" s="1"/>
  <c r="T22" i="2"/>
  <c r="S22" i="2"/>
  <c r="R22" i="2"/>
  <c r="AM22" i="2" s="1"/>
  <c r="AM23" i="2" s="1"/>
  <c r="Q22" i="2"/>
  <c r="P22" i="2"/>
  <c r="AI21" i="2"/>
  <c r="BD21" i="2" s="1"/>
  <c r="AH21" i="2"/>
  <c r="BC21" i="2" s="1"/>
  <c r="AG21" i="2"/>
  <c r="BB21" i="2" s="1"/>
  <c r="BB22" i="2" s="1"/>
  <c r="BB23" i="2" s="1"/>
  <c r="BB24" i="2" s="1"/>
  <c r="BB25" i="2" s="1"/>
  <c r="AF21" i="2"/>
  <c r="BA21" i="2" s="1"/>
  <c r="BA22" i="2" s="1"/>
  <c r="BA23" i="2" s="1"/>
  <c r="BA24" i="2" s="1"/>
  <c r="BA25" i="2" s="1"/>
  <c r="AE21" i="2"/>
  <c r="AZ21" i="2" s="1"/>
  <c r="AD21" i="2"/>
  <c r="AY21" i="2" s="1"/>
  <c r="AY22" i="2" s="1"/>
  <c r="AC21" i="2"/>
  <c r="AX21" i="2" s="1"/>
  <c r="AB21" i="2"/>
  <c r="AW21" i="2" s="1"/>
  <c r="AA21" i="2"/>
  <c r="AV21" i="2" s="1"/>
  <c r="Z21" i="2"/>
  <c r="AU21" i="2" s="1"/>
  <c r="Y21" i="2"/>
  <c r="AT21" i="2" s="1"/>
  <c r="AT22" i="2" s="1"/>
  <c r="AT23" i="2" s="1"/>
  <c r="AT24" i="2" s="1"/>
  <c r="AT25" i="2" s="1"/>
  <c r="X21" i="2"/>
  <c r="AS21" i="2" s="1"/>
  <c r="W21" i="2"/>
  <c r="AR21" i="2" s="1"/>
  <c r="V21" i="2"/>
  <c r="AQ21" i="2" s="1"/>
  <c r="AQ22" i="2" s="1"/>
  <c r="AQ23" i="2" s="1"/>
  <c r="AQ24" i="2" s="1"/>
  <c r="AQ25" i="2" s="1"/>
  <c r="U21" i="2"/>
  <c r="AP21" i="2" s="1"/>
  <c r="T21" i="2"/>
  <c r="AO21" i="2" s="1"/>
  <c r="S21" i="2"/>
  <c r="AN21" i="2" s="1"/>
  <c r="R21" i="2"/>
  <c r="AM21" i="2" s="1"/>
  <c r="Q21" i="2"/>
  <c r="AL21" i="2" s="1"/>
  <c r="AL22" i="2" s="1"/>
  <c r="P21" i="2"/>
  <c r="AK21" i="2" s="1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AI17" i="2"/>
  <c r="AH17" i="2"/>
  <c r="AG17" i="2"/>
  <c r="BB17" i="2" s="1"/>
  <c r="BB18" i="2" s="1"/>
  <c r="BB19" i="2" s="1"/>
  <c r="BB20" i="2" s="1"/>
  <c r="AF17" i="2"/>
  <c r="AE17" i="2"/>
  <c r="AD17" i="2"/>
  <c r="AY17" i="2" s="1"/>
  <c r="AY18" i="2" s="1"/>
  <c r="AC17" i="2"/>
  <c r="AB17" i="2"/>
  <c r="AA17" i="2"/>
  <c r="Z17" i="2"/>
  <c r="Y17" i="2"/>
  <c r="AT17" i="2" s="1"/>
  <c r="AT18" i="2" s="1"/>
  <c r="AT19" i="2" s="1"/>
  <c r="AT20" i="2" s="1"/>
  <c r="X17" i="2"/>
  <c r="AS17" i="2" s="1"/>
  <c r="W17" i="2"/>
  <c r="V17" i="2"/>
  <c r="AQ17" i="2" s="1"/>
  <c r="AQ18" i="2" s="1"/>
  <c r="U17" i="2"/>
  <c r="T17" i="2"/>
  <c r="S17" i="2"/>
  <c r="R17" i="2"/>
  <c r="Q17" i="2"/>
  <c r="AL17" i="2" s="1"/>
  <c r="AL18" i="2" s="1"/>
  <c r="P17" i="2"/>
  <c r="AK17" i="2" s="1"/>
  <c r="AI16" i="2"/>
  <c r="BD16" i="2" s="1"/>
  <c r="BD17" i="2" s="1"/>
  <c r="BD18" i="2" s="1"/>
  <c r="BD19" i="2" s="1"/>
  <c r="BD20" i="2" s="1"/>
  <c r="AH16" i="2"/>
  <c r="BC16" i="2" s="1"/>
  <c r="BC17" i="2" s="1"/>
  <c r="BC18" i="2" s="1"/>
  <c r="BC19" i="2" s="1"/>
  <c r="BC20" i="2" s="1"/>
  <c r="AG16" i="2"/>
  <c r="BB16" i="2" s="1"/>
  <c r="AF16" i="2"/>
  <c r="BA16" i="2" s="1"/>
  <c r="AE16" i="2"/>
  <c r="AZ16" i="2" s="1"/>
  <c r="AD16" i="2"/>
  <c r="AY16" i="2" s="1"/>
  <c r="AC16" i="2"/>
  <c r="AX16" i="2" s="1"/>
  <c r="AX17" i="2" s="1"/>
  <c r="AX18" i="2" s="1"/>
  <c r="AX19" i="2" s="1"/>
  <c r="AX20" i="2" s="1"/>
  <c r="AB16" i="2"/>
  <c r="AW16" i="2" s="1"/>
  <c r="AW17" i="2" s="1"/>
  <c r="AW18" i="2" s="1"/>
  <c r="AW19" i="2" s="1"/>
  <c r="AW20" i="2" s="1"/>
  <c r="AA16" i="2"/>
  <c r="AV16" i="2" s="1"/>
  <c r="AV17" i="2" s="1"/>
  <c r="AV18" i="2" s="1"/>
  <c r="AV19" i="2" s="1"/>
  <c r="AV20" i="2" s="1"/>
  <c r="Z16" i="2"/>
  <c r="AU16" i="2" s="1"/>
  <c r="AU17" i="2" s="1"/>
  <c r="AU18" i="2" s="1"/>
  <c r="AU19" i="2" s="1"/>
  <c r="AU20" i="2" s="1"/>
  <c r="Y16" i="2"/>
  <c r="AT16" i="2" s="1"/>
  <c r="X16" i="2"/>
  <c r="AS16" i="2" s="1"/>
  <c r="W16" i="2"/>
  <c r="AR16" i="2" s="1"/>
  <c r="V16" i="2"/>
  <c r="AQ16" i="2" s="1"/>
  <c r="U16" i="2"/>
  <c r="AP16" i="2" s="1"/>
  <c r="AP17" i="2" s="1"/>
  <c r="AP18" i="2" s="1"/>
  <c r="AP19" i="2" s="1"/>
  <c r="AP20" i="2" s="1"/>
  <c r="T16" i="2"/>
  <c r="AO16" i="2" s="1"/>
  <c r="AO17" i="2" s="1"/>
  <c r="AO18" i="2" s="1"/>
  <c r="AO19" i="2" s="1"/>
  <c r="AO20" i="2" s="1"/>
  <c r="S16" i="2"/>
  <c r="AN16" i="2" s="1"/>
  <c r="AN17" i="2" s="1"/>
  <c r="AN18" i="2" s="1"/>
  <c r="AN19" i="2" s="1"/>
  <c r="AN20" i="2" s="1"/>
  <c r="R16" i="2"/>
  <c r="AM16" i="2" s="1"/>
  <c r="AM17" i="2" s="1"/>
  <c r="Q16" i="2"/>
  <c r="AL16" i="2" s="1"/>
  <c r="P16" i="2"/>
  <c r="AK16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AI12" i="2"/>
  <c r="AH12" i="2"/>
  <c r="BC12" i="2" s="1"/>
  <c r="BC13" i="2" s="1"/>
  <c r="BC14" i="2" s="1"/>
  <c r="BC15" i="2" s="1"/>
  <c r="AG12" i="2"/>
  <c r="AF12" i="2"/>
  <c r="AE12" i="2"/>
  <c r="AD12" i="2"/>
  <c r="AC12" i="2"/>
  <c r="AX12" i="2" s="1"/>
  <c r="AX13" i="2" s="1"/>
  <c r="AB12" i="2"/>
  <c r="AA12" i="2"/>
  <c r="Z12" i="2"/>
  <c r="AU12" i="2" s="1"/>
  <c r="AU13" i="2" s="1"/>
  <c r="AU14" i="2" s="1"/>
  <c r="AU15" i="2" s="1"/>
  <c r="Y12" i="2"/>
  <c r="X12" i="2"/>
  <c r="W12" i="2"/>
  <c r="V12" i="2"/>
  <c r="U12" i="2"/>
  <c r="AP12" i="2" s="1"/>
  <c r="AP13" i="2" s="1"/>
  <c r="T12" i="2"/>
  <c r="S12" i="2"/>
  <c r="R12" i="2"/>
  <c r="AM12" i="2" s="1"/>
  <c r="AM13" i="2" s="1"/>
  <c r="Q12" i="2"/>
  <c r="P12" i="2"/>
  <c r="AI11" i="2"/>
  <c r="BD11" i="2" s="1"/>
  <c r="AH11" i="2"/>
  <c r="BC11" i="2" s="1"/>
  <c r="AG11" i="2"/>
  <c r="BB11" i="2" s="1"/>
  <c r="BB12" i="2" s="1"/>
  <c r="BB13" i="2" s="1"/>
  <c r="BB14" i="2" s="1"/>
  <c r="BB15" i="2" s="1"/>
  <c r="AF11" i="2"/>
  <c r="BA11" i="2" s="1"/>
  <c r="BA12" i="2" s="1"/>
  <c r="BA13" i="2" s="1"/>
  <c r="BA14" i="2" s="1"/>
  <c r="BA15" i="2" s="1"/>
  <c r="AE11" i="2"/>
  <c r="AZ11" i="2" s="1"/>
  <c r="AZ12" i="2" s="1"/>
  <c r="AZ13" i="2" s="1"/>
  <c r="AZ14" i="2" s="1"/>
  <c r="AZ15" i="2" s="1"/>
  <c r="AD11" i="2"/>
  <c r="AY11" i="2" s="1"/>
  <c r="AY12" i="2" s="1"/>
  <c r="AC11" i="2"/>
  <c r="AX11" i="2" s="1"/>
  <c r="AB11" i="2"/>
  <c r="AW11" i="2" s="1"/>
  <c r="AA11" i="2"/>
  <c r="AV11" i="2" s="1"/>
  <c r="Z11" i="2"/>
  <c r="AU11" i="2" s="1"/>
  <c r="Y11" i="2"/>
  <c r="AT11" i="2" s="1"/>
  <c r="AT12" i="2" s="1"/>
  <c r="AT13" i="2" s="1"/>
  <c r="AT14" i="2" s="1"/>
  <c r="AT15" i="2" s="1"/>
  <c r="X11" i="2"/>
  <c r="AS11" i="2" s="1"/>
  <c r="W11" i="2"/>
  <c r="AR11" i="2" s="1"/>
  <c r="V11" i="2"/>
  <c r="AQ11" i="2" s="1"/>
  <c r="AQ12" i="2" s="1"/>
  <c r="AQ13" i="2" s="1"/>
  <c r="AQ14" i="2" s="1"/>
  <c r="AQ15" i="2" s="1"/>
  <c r="U11" i="2"/>
  <c r="AP11" i="2" s="1"/>
  <c r="T11" i="2"/>
  <c r="AO11" i="2" s="1"/>
  <c r="S11" i="2"/>
  <c r="AN11" i="2" s="1"/>
  <c r="R11" i="2"/>
  <c r="AM11" i="2" s="1"/>
  <c r="Q11" i="2"/>
  <c r="AL11" i="2" s="1"/>
  <c r="AL12" i="2" s="1"/>
  <c r="P11" i="2"/>
  <c r="AK11" i="2" s="1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I7" i="2"/>
  <c r="AH7" i="2"/>
  <c r="AG7" i="2"/>
  <c r="BB7" i="2" s="1"/>
  <c r="BB8" i="2" s="1"/>
  <c r="BB9" i="2" s="1"/>
  <c r="BB10" i="2" s="1"/>
  <c r="AF7" i="2"/>
  <c r="AE7" i="2"/>
  <c r="AD7" i="2"/>
  <c r="AY7" i="2" s="1"/>
  <c r="AY8" i="2" s="1"/>
  <c r="AC7" i="2"/>
  <c r="AB7" i="2"/>
  <c r="AA7" i="2"/>
  <c r="Z7" i="2"/>
  <c r="Y7" i="2"/>
  <c r="AT7" i="2" s="1"/>
  <c r="AT8" i="2" s="1"/>
  <c r="AT9" i="2" s="1"/>
  <c r="AT10" i="2" s="1"/>
  <c r="X7" i="2"/>
  <c r="AS7" i="2" s="1"/>
  <c r="W7" i="2"/>
  <c r="AR7" i="2" s="1"/>
  <c r="AR8" i="2" s="1"/>
  <c r="AR9" i="2" s="1"/>
  <c r="AR10" i="2" s="1"/>
  <c r="V7" i="2"/>
  <c r="AQ7" i="2" s="1"/>
  <c r="AQ8" i="2" s="1"/>
  <c r="U7" i="2"/>
  <c r="T7" i="2"/>
  <c r="S7" i="2"/>
  <c r="R7" i="2"/>
  <c r="Q7" i="2"/>
  <c r="AL7" i="2" s="1"/>
  <c r="AL8" i="2" s="1"/>
  <c r="P7" i="2"/>
  <c r="AK7" i="2" s="1"/>
  <c r="AI6" i="2"/>
  <c r="BD6" i="2" s="1"/>
  <c r="BD7" i="2" s="1"/>
  <c r="BD8" i="2" s="1"/>
  <c r="BD9" i="2" s="1"/>
  <c r="BD10" i="2" s="1"/>
  <c r="AH6" i="2"/>
  <c r="BC6" i="2" s="1"/>
  <c r="BC7" i="2" s="1"/>
  <c r="BC8" i="2" s="1"/>
  <c r="BC9" i="2" s="1"/>
  <c r="BC10" i="2" s="1"/>
  <c r="AG6" i="2"/>
  <c r="BB6" i="2" s="1"/>
  <c r="AF6" i="2"/>
  <c r="BA6" i="2" s="1"/>
  <c r="AE6" i="2"/>
  <c r="AZ6" i="2" s="1"/>
  <c r="AD6" i="2"/>
  <c r="AY6" i="2" s="1"/>
  <c r="AC6" i="2"/>
  <c r="AX6" i="2" s="1"/>
  <c r="AX7" i="2" s="1"/>
  <c r="AX8" i="2" s="1"/>
  <c r="AX9" i="2" s="1"/>
  <c r="AX10" i="2" s="1"/>
  <c r="AB6" i="2"/>
  <c r="AW6" i="2" s="1"/>
  <c r="AW7" i="2" s="1"/>
  <c r="AW8" i="2" s="1"/>
  <c r="AW9" i="2" s="1"/>
  <c r="AW10" i="2" s="1"/>
  <c r="AA6" i="2"/>
  <c r="AV6" i="2" s="1"/>
  <c r="AV7" i="2" s="1"/>
  <c r="AV8" i="2" s="1"/>
  <c r="AV9" i="2" s="1"/>
  <c r="AV10" i="2" s="1"/>
  <c r="Z6" i="2"/>
  <c r="AU6" i="2" s="1"/>
  <c r="AU7" i="2" s="1"/>
  <c r="AU8" i="2" s="1"/>
  <c r="AU9" i="2" s="1"/>
  <c r="AU10" i="2" s="1"/>
  <c r="Y6" i="2"/>
  <c r="AT6" i="2" s="1"/>
  <c r="X6" i="2"/>
  <c r="AS6" i="2" s="1"/>
  <c r="W6" i="2"/>
  <c r="AR6" i="2" s="1"/>
  <c r="V6" i="2"/>
  <c r="AQ6" i="2" s="1"/>
  <c r="U6" i="2"/>
  <c r="AP6" i="2" s="1"/>
  <c r="AP7" i="2" s="1"/>
  <c r="AP8" i="2" s="1"/>
  <c r="AP9" i="2" s="1"/>
  <c r="AP10" i="2" s="1"/>
  <c r="T6" i="2"/>
  <c r="AO6" i="2" s="1"/>
  <c r="AO7" i="2" s="1"/>
  <c r="AO8" i="2" s="1"/>
  <c r="AO9" i="2" s="1"/>
  <c r="AO10" i="2" s="1"/>
  <c r="S6" i="2"/>
  <c r="AN6" i="2" s="1"/>
  <c r="AN7" i="2" s="1"/>
  <c r="AN8" i="2" s="1"/>
  <c r="AN9" i="2" s="1"/>
  <c r="AN10" i="2" s="1"/>
  <c r="R6" i="2"/>
  <c r="AM6" i="2" s="1"/>
  <c r="AM7" i="2" s="1"/>
  <c r="Q6" i="2"/>
  <c r="AL6" i="2" s="1"/>
  <c r="P6" i="2"/>
  <c r="AK6" i="2" s="1"/>
  <c r="G20" i="2"/>
  <c r="G25" i="2"/>
  <c r="G47" i="2"/>
  <c r="G10" i="2"/>
  <c r="G18" i="2"/>
  <c r="G27" i="2"/>
  <c r="G26" i="2"/>
  <c r="G64" i="2"/>
  <c r="G41" i="2"/>
  <c r="G28" i="2"/>
  <c r="G51" i="2"/>
  <c r="G40" i="2"/>
  <c r="G50" i="2"/>
  <c r="G9" i="2"/>
  <c r="G59" i="2"/>
  <c r="G37" i="2"/>
  <c r="G30" i="2"/>
  <c r="G12" i="2"/>
  <c r="G24" i="2"/>
  <c r="G34" i="2"/>
  <c r="G49" i="2"/>
  <c r="G60" i="2"/>
  <c r="G19" i="2"/>
  <c r="G29" i="2"/>
  <c r="G45" i="2"/>
  <c r="G42" i="2"/>
  <c r="G35" i="2"/>
  <c r="G36" i="2"/>
  <c r="G4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1" i="2"/>
  <c r="I22" i="2"/>
  <c r="I23" i="2"/>
  <c r="I24" i="2"/>
  <c r="I25" i="2"/>
  <c r="I26" i="2"/>
  <c r="I27" i="2"/>
  <c r="I28" i="2"/>
  <c r="I29" i="2"/>
  <c r="I12" i="2"/>
  <c r="I13" i="2"/>
  <c r="I14" i="2"/>
  <c r="I15" i="2"/>
  <c r="I16" i="2"/>
  <c r="I17" i="2"/>
  <c r="I18" i="2"/>
  <c r="I19" i="2"/>
  <c r="I20" i="2"/>
  <c r="I11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AK63" i="2" l="1"/>
  <c r="AK64" i="2" s="1"/>
  <c r="AK65" i="2" s="1"/>
  <c r="AS63" i="2"/>
  <c r="AS64" i="2" s="1"/>
  <c r="F188" i="2" a="1"/>
  <c r="F188" i="2" s="1"/>
  <c r="F187" i="2" a="1"/>
  <c r="F187" i="2" s="1"/>
  <c r="F186" i="2" a="1"/>
  <c r="F186" i="2" s="1"/>
  <c r="F184" i="2" a="1"/>
  <c r="F184" i="2" s="1"/>
  <c r="S184" i="2"/>
  <c r="BC63" i="2"/>
  <c r="BC64" i="2" s="1"/>
  <c r="BC65" i="2" s="1"/>
  <c r="AR17" i="2"/>
  <c r="AR18" i="2" s="1"/>
  <c r="AR19" i="2" s="1"/>
  <c r="AR20" i="2" s="1"/>
  <c r="AZ22" i="2"/>
  <c r="AZ23" i="2" s="1"/>
  <c r="AZ24" i="2" s="1"/>
  <c r="AZ25" i="2" s="1"/>
  <c r="AN27" i="2"/>
  <c r="AN28" i="2" s="1"/>
  <c r="AN29" i="2" s="1"/>
  <c r="AV27" i="2"/>
  <c r="AV28" i="2" s="1"/>
  <c r="AV29" i="2" s="1"/>
  <c r="BD27" i="2"/>
  <c r="BD28" i="2" s="1"/>
  <c r="BD29" i="2" s="1"/>
  <c r="AR27" i="2"/>
  <c r="AR28" i="2" s="1"/>
  <c r="AR29" i="2" s="1"/>
  <c r="AZ27" i="2"/>
  <c r="AZ28" i="2" s="1"/>
  <c r="AZ29" i="2" s="1"/>
  <c r="AV31" i="2"/>
  <c r="AV32" i="2" s="1"/>
  <c r="AV33" i="2" s="1"/>
  <c r="AR31" i="2"/>
  <c r="AR32" i="2" s="1"/>
  <c r="AR33" i="2" s="1"/>
  <c r="AV35" i="2"/>
  <c r="AV36" i="2" s="1"/>
  <c r="AV37" i="2" s="1"/>
  <c r="AV38" i="2" s="1"/>
  <c r="AZ40" i="2"/>
  <c r="AZ41" i="2" s="1"/>
  <c r="AZ42" i="2" s="1"/>
  <c r="AZ43" i="2" s="1"/>
  <c r="AV40" i="2"/>
  <c r="AV41" i="2" s="1"/>
  <c r="AV42" i="2" s="1"/>
  <c r="AV43" i="2" s="1"/>
  <c r="AN45" i="2"/>
  <c r="AN46" i="2" s="1"/>
  <c r="AN47" i="2" s="1"/>
  <c r="AV45" i="2"/>
  <c r="AV46" i="2" s="1"/>
  <c r="AV47" i="2" s="1"/>
  <c r="BD45" i="2"/>
  <c r="BD46" i="2" s="1"/>
  <c r="BD47" i="2" s="1"/>
  <c r="AR45" i="2"/>
  <c r="AR46" i="2" s="1"/>
  <c r="AR47" i="2" s="1"/>
  <c r="AZ45" i="2"/>
  <c r="AV49" i="2"/>
  <c r="AV50" i="2" s="1"/>
  <c r="AV51" i="2" s="1"/>
  <c r="AR49" i="2"/>
  <c r="AR50" i="2" s="1"/>
  <c r="AR51" i="2" s="1"/>
  <c r="AV53" i="2"/>
  <c r="AV54" i="2" s="1"/>
  <c r="AV55" i="2" s="1"/>
  <c r="AV56" i="2" s="1"/>
  <c r="AZ58" i="2"/>
  <c r="AZ59" i="2" s="1"/>
  <c r="AZ60" i="2" s="1"/>
  <c r="AZ61" i="2" s="1"/>
  <c r="AV58" i="2"/>
  <c r="AV59" i="2" s="1"/>
  <c r="AV60" i="2" s="1"/>
  <c r="AV61" i="2" s="1"/>
  <c r="AN63" i="2"/>
  <c r="AN64" i="2" s="1"/>
  <c r="AN65" i="2" s="1"/>
  <c r="AV63" i="2"/>
  <c r="AV64" i="2" s="1"/>
  <c r="AV65" i="2" s="1"/>
  <c r="BD63" i="2"/>
  <c r="BD64" i="2" s="1"/>
  <c r="BD65" i="2" s="1"/>
  <c r="AL63" i="2"/>
  <c r="AL64" i="2" s="1"/>
  <c r="AL65" i="2" s="1"/>
  <c r="AT63" i="2"/>
  <c r="AT64" i="2" s="1"/>
  <c r="AT65" i="2" s="1"/>
  <c r="BB63" i="2"/>
  <c r="BB64" i="2" s="1"/>
  <c r="X178" i="2"/>
  <c r="AA174" i="2"/>
  <c r="BA63" i="2"/>
  <c r="BA64" i="2" s="1"/>
  <c r="BA65" i="2" s="1"/>
  <c r="AQ33" i="2"/>
  <c r="AW32" i="2"/>
  <c r="AW33" i="2" s="1"/>
  <c r="AP24" i="2"/>
  <c r="AP25" i="2" s="1"/>
  <c r="BB29" i="2"/>
  <c r="BB33" i="2"/>
  <c r="BA7" i="2"/>
  <c r="BA8" i="2" s="1"/>
  <c r="BA9" i="2" s="1"/>
  <c r="BA10" i="2" s="1"/>
  <c r="AK8" i="2"/>
  <c r="AK9" i="2" s="1"/>
  <c r="AK10" i="2" s="1"/>
  <c r="AO12" i="2"/>
  <c r="AO13" i="2" s="1"/>
  <c r="AO14" i="2" s="1"/>
  <c r="AO15" i="2" s="1"/>
  <c r="AW12" i="2"/>
  <c r="AW13" i="2" s="1"/>
  <c r="AW14" i="2" s="1"/>
  <c r="AW15" i="2" s="1"/>
  <c r="AK12" i="2"/>
  <c r="AK13" i="2" s="1"/>
  <c r="AK14" i="2" s="1"/>
  <c r="AK15" i="2" s="1"/>
  <c r="AS12" i="2"/>
  <c r="AS13" i="2" s="1"/>
  <c r="AS14" i="2" s="1"/>
  <c r="AS15" i="2" s="1"/>
  <c r="BA17" i="2"/>
  <c r="BA18" i="2" s="1"/>
  <c r="BA19" i="2" s="1"/>
  <c r="BA20" i="2" s="1"/>
  <c r="AK18" i="2"/>
  <c r="AK19" i="2" s="1"/>
  <c r="AK20" i="2" s="1"/>
  <c r="AS18" i="2"/>
  <c r="AS19" i="2" s="1"/>
  <c r="AS20" i="2" s="1"/>
  <c r="AO22" i="2"/>
  <c r="AO23" i="2" s="1"/>
  <c r="AO24" i="2" s="1"/>
  <c r="AO25" i="2" s="1"/>
  <c r="AW22" i="2"/>
  <c r="AW23" i="2" s="1"/>
  <c r="AW24" i="2" s="1"/>
  <c r="AW25" i="2" s="1"/>
  <c r="AK22" i="2"/>
  <c r="AK23" i="2" s="1"/>
  <c r="AK24" i="2" s="1"/>
  <c r="AK25" i="2" s="1"/>
  <c r="AS22" i="2"/>
  <c r="AM32" i="2"/>
  <c r="AM33" i="2" s="1"/>
  <c r="AS29" i="2"/>
  <c r="AX24" i="2"/>
  <c r="AX25" i="2" s="1"/>
  <c r="AP32" i="2"/>
  <c r="AP33" i="2" s="1"/>
  <c r="AS8" i="2"/>
  <c r="AS9" i="2" s="1"/>
  <c r="AS10" i="2" s="1"/>
  <c r="AM18" i="2"/>
  <c r="AM19" i="2" s="1"/>
  <c r="AM20" i="2" s="1"/>
  <c r="BC28" i="2"/>
  <c r="BC29" i="2" s="1"/>
  <c r="AM36" i="2"/>
  <c r="AM37" i="2" s="1"/>
  <c r="AM38" i="2" s="1"/>
  <c r="AU36" i="2"/>
  <c r="AU37" i="2" s="1"/>
  <c r="AU38" i="2" s="1"/>
  <c r="AY41" i="2"/>
  <c r="AY42" i="2" s="1"/>
  <c r="AY43" i="2" s="1"/>
  <c r="AQ47" i="2"/>
  <c r="AM50" i="2"/>
  <c r="AM51" i="2" s="1"/>
  <c r="AU50" i="2"/>
  <c r="AU51" i="2" s="1"/>
  <c r="AQ51" i="2"/>
  <c r="AQ9" i="2"/>
  <c r="AQ10" i="2" s="1"/>
  <c r="AQ19" i="2"/>
  <c r="AQ20" i="2" s="1"/>
  <c r="AY23" i="2"/>
  <c r="AY24" i="2" s="1"/>
  <c r="AY25" i="2" s="1"/>
  <c r="AQ29" i="2"/>
  <c r="AU32" i="2"/>
  <c r="AU33" i="2" s="1"/>
  <c r="AM14" i="2"/>
  <c r="AM15" i="2" s="1"/>
  <c r="AO46" i="2"/>
  <c r="AO47" i="2" s="1"/>
  <c r="AW46" i="2"/>
  <c r="AW47" i="2" s="1"/>
  <c r="AS47" i="2"/>
  <c r="AO50" i="2"/>
  <c r="AO51" i="2" s="1"/>
  <c r="AW50" i="2"/>
  <c r="AW51" i="2" s="1"/>
  <c r="AM8" i="2"/>
  <c r="AM9" i="2" s="1"/>
  <c r="AM10" i="2" s="1"/>
  <c r="AY19" i="2"/>
  <c r="AY20" i="2" s="1"/>
  <c r="AM24" i="2"/>
  <c r="AM25" i="2" s="1"/>
  <c r="AP14" i="2"/>
  <c r="AP15" i="2" s="1"/>
  <c r="AX36" i="2"/>
  <c r="AX37" i="2" s="1"/>
  <c r="AX38" i="2" s="1"/>
  <c r="AP42" i="2"/>
  <c r="AP43" i="2" s="1"/>
  <c r="BB47" i="2"/>
  <c r="AP50" i="2"/>
  <c r="AP51" i="2" s="1"/>
  <c r="AX50" i="2"/>
  <c r="AX51" i="2" s="1"/>
  <c r="AL51" i="2"/>
  <c r="BB51" i="2"/>
  <c r="AS23" i="2"/>
  <c r="AS24" i="2" s="1"/>
  <c r="AS25" i="2" s="1"/>
  <c r="AX32" i="2"/>
  <c r="AX33" i="2" s="1"/>
  <c r="AP36" i="2"/>
  <c r="AP37" i="2" s="1"/>
  <c r="AP38" i="2" s="1"/>
  <c r="AL37" i="2"/>
  <c r="AL38" i="2" s="1"/>
  <c r="AP46" i="2"/>
  <c r="AP47" i="2" s="1"/>
  <c r="AY9" i="2"/>
  <c r="AY10" i="2" s="1"/>
  <c r="AY13" i="2"/>
  <c r="AY14" i="2" s="1"/>
  <c r="AY15" i="2" s="1"/>
  <c r="AU28" i="2"/>
  <c r="AU29" i="2" s="1"/>
  <c r="AO32" i="2"/>
  <c r="AO33" i="2" s="1"/>
  <c r="AL9" i="2"/>
  <c r="AL10" i="2" s="1"/>
  <c r="AL13" i="2"/>
  <c r="AL14" i="2" s="1"/>
  <c r="AL15" i="2" s="1"/>
  <c r="AX14" i="2"/>
  <c r="AX15" i="2" s="1"/>
  <c r="AL19" i="2"/>
  <c r="AL20" i="2" s="1"/>
  <c r="AL23" i="2"/>
  <c r="AL24" i="2" s="1"/>
  <c r="AL25" i="2" s="1"/>
  <c r="AL33" i="2"/>
  <c r="AZ7" i="2"/>
  <c r="AZ8" i="2" s="1"/>
  <c r="AZ9" i="2" s="1"/>
  <c r="AZ10" i="2" s="1"/>
  <c r="AN12" i="2"/>
  <c r="AN13" i="2" s="1"/>
  <c r="AN14" i="2" s="1"/>
  <c r="AN15" i="2" s="1"/>
  <c r="AV12" i="2"/>
  <c r="AV13" i="2" s="1"/>
  <c r="AV14" i="2" s="1"/>
  <c r="AV15" i="2" s="1"/>
  <c r="BD12" i="2"/>
  <c r="BD13" i="2" s="1"/>
  <c r="BD14" i="2" s="1"/>
  <c r="BD15" i="2" s="1"/>
  <c r="AR12" i="2"/>
  <c r="AR13" i="2" s="1"/>
  <c r="AR14" i="2" s="1"/>
  <c r="AR15" i="2" s="1"/>
  <c r="AZ17" i="2"/>
  <c r="AZ18" i="2" s="1"/>
  <c r="AZ19" i="2" s="1"/>
  <c r="AZ20" i="2" s="1"/>
  <c r="AN22" i="2"/>
  <c r="AN23" i="2" s="1"/>
  <c r="AN24" i="2" s="1"/>
  <c r="AN25" i="2" s="1"/>
  <c r="AV22" i="2"/>
  <c r="AV23" i="2" s="1"/>
  <c r="AV24" i="2" s="1"/>
  <c r="AV25" i="2" s="1"/>
  <c r="BD22" i="2"/>
  <c r="BD23" i="2" s="1"/>
  <c r="BD24" i="2" s="1"/>
  <c r="BD25" i="2" s="1"/>
  <c r="AR22" i="2"/>
  <c r="AR23" i="2" s="1"/>
  <c r="AR24" i="2" s="1"/>
  <c r="AR25" i="2" s="1"/>
  <c r="AZ31" i="2"/>
  <c r="AZ32" i="2" s="1"/>
  <c r="AZ33" i="2" s="1"/>
  <c r="AM54" i="2"/>
  <c r="AM55" i="2" s="1"/>
  <c r="AM56" i="2" s="1"/>
  <c r="AU54" i="2"/>
  <c r="AU55" i="2" s="1"/>
  <c r="AU56" i="2" s="1"/>
  <c r="AY59" i="2"/>
  <c r="AY60" i="2" s="1"/>
  <c r="AY61" i="2" s="1"/>
  <c r="AQ63" i="2"/>
  <c r="AQ64" i="2" s="1"/>
  <c r="AQ65" i="2" s="1"/>
  <c r="AY63" i="2"/>
  <c r="AY64" i="2" s="1"/>
  <c r="AY65" i="2" s="1"/>
  <c r="AR63" i="2"/>
  <c r="AR64" i="2" s="1"/>
  <c r="AR65" i="2" s="1"/>
  <c r="AZ63" i="2"/>
  <c r="AZ64" i="2" s="1"/>
  <c r="AZ65" i="2" s="1"/>
  <c r="AO64" i="2"/>
  <c r="AO65" i="2" s="1"/>
  <c r="AS65" i="2"/>
  <c r="AP54" i="2"/>
  <c r="AP55" i="2" s="1"/>
  <c r="AP56" i="2" s="1"/>
  <c r="AX54" i="2"/>
  <c r="AX55" i="2" s="1"/>
  <c r="AX56" i="2" s="1"/>
  <c r="AL55" i="2"/>
  <c r="AL56" i="2" s="1"/>
  <c r="AP60" i="2"/>
  <c r="AP61" i="2" s="1"/>
  <c r="AP64" i="2"/>
  <c r="AP65" i="2" s="1"/>
  <c r="BB65" i="2"/>
  <c r="AN31" i="2"/>
  <c r="AN32" i="2" s="1"/>
  <c r="AN33" i="2" s="1"/>
  <c r="BD31" i="2"/>
  <c r="BD32" i="2" s="1"/>
  <c r="BD33" i="2" s="1"/>
  <c r="AR35" i="2"/>
  <c r="AR36" i="2" s="1"/>
  <c r="AR37" i="2" s="1"/>
  <c r="AR38" i="2" s="1"/>
  <c r="AZ35" i="2"/>
  <c r="AZ36" i="2" s="1"/>
  <c r="AZ37" i="2" s="1"/>
  <c r="AZ38" i="2" s="1"/>
  <c r="AN35" i="2"/>
  <c r="AN36" i="2" s="1"/>
  <c r="AN37" i="2" s="1"/>
  <c r="AN38" i="2" s="1"/>
  <c r="BD35" i="2"/>
  <c r="BD36" i="2" s="1"/>
  <c r="BD37" i="2" s="1"/>
  <c r="BD38" i="2" s="1"/>
  <c r="AN40" i="2"/>
  <c r="AN41" i="2" s="1"/>
  <c r="AN42" i="2" s="1"/>
  <c r="AN43" i="2" s="1"/>
  <c r="BD40" i="2"/>
  <c r="BD41" i="2" s="1"/>
  <c r="BD42" i="2" s="1"/>
  <c r="BD43" i="2" s="1"/>
  <c r="AR40" i="2"/>
  <c r="AR41" i="2" s="1"/>
  <c r="AR42" i="2" s="1"/>
  <c r="AR43" i="2" s="1"/>
  <c r="AZ46" i="2"/>
  <c r="AZ47" i="2" s="1"/>
  <c r="AZ49" i="2"/>
  <c r="AZ50" i="2" s="1"/>
  <c r="AZ51" i="2" s="1"/>
  <c r="AN49" i="2"/>
  <c r="AN50" i="2" s="1"/>
  <c r="AN51" i="2" s="1"/>
  <c r="BD49" i="2"/>
  <c r="BD50" i="2" s="1"/>
  <c r="BD51" i="2" s="1"/>
  <c r="AR53" i="2"/>
  <c r="AR54" i="2" s="1"/>
  <c r="AR55" i="2" s="1"/>
  <c r="AR56" i="2" s="1"/>
  <c r="AZ53" i="2"/>
  <c r="AZ54" i="2" s="1"/>
  <c r="AZ55" i="2" s="1"/>
  <c r="AZ56" i="2" s="1"/>
  <c r="AN53" i="2"/>
  <c r="AN54" i="2" s="1"/>
  <c r="AN55" i="2" s="1"/>
  <c r="AN56" i="2" s="1"/>
  <c r="BD53" i="2"/>
  <c r="BD54" i="2" s="1"/>
  <c r="BD55" i="2" s="1"/>
  <c r="BD56" i="2" s="1"/>
  <c r="AN58" i="2"/>
  <c r="AN59" i="2" s="1"/>
  <c r="AN60" i="2" s="1"/>
  <c r="AN61" i="2" s="1"/>
  <c r="BD58" i="2"/>
  <c r="BD59" i="2" s="1"/>
  <c r="BD60" i="2" s="1"/>
  <c r="BD61" i="2" s="1"/>
  <c r="AR58" i="2"/>
  <c r="AR59" i="2" s="1"/>
  <c r="AR60" i="2" s="1"/>
  <c r="AR61" i="2" s="1"/>
  <c r="AZ85" i="2"/>
  <c r="AZ86" i="2" s="1"/>
  <c r="AZ104" i="2"/>
  <c r="BD109" i="2"/>
  <c r="BB70" i="2"/>
  <c r="AZ95" i="2"/>
  <c r="AZ96" i="2" s="1"/>
  <c r="AY75" i="2"/>
  <c r="AZ80" i="2"/>
  <c r="AZ81" i="2" s="1"/>
  <c r="BD99" i="2"/>
  <c r="AZ114" i="2"/>
  <c r="AZ90" i="2"/>
  <c r="AZ91" i="2" s="1"/>
  <c r="BD124" i="2"/>
  <c r="BD119" i="2"/>
  <c r="S168" i="2"/>
  <c r="AF176" i="2"/>
  <c r="AE185" i="2"/>
  <c r="X194" i="2"/>
  <c r="W203" i="2"/>
  <c r="T215" i="2"/>
  <c r="P234" i="2"/>
  <c r="AC275" i="2"/>
  <c r="E191" i="2"/>
  <c r="E199" i="2"/>
  <c r="E207" i="2"/>
  <c r="E215" i="2"/>
  <c r="E223" i="2"/>
  <c r="E231" i="2"/>
  <c r="E239" i="2"/>
  <c r="E247" i="2"/>
  <c r="E255" i="2"/>
  <c r="E263" i="2"/>
  <c r="E271" i="2"/>
  <c r="E279" i="2"/>
  <c r="E287" i="2"/>
  <c r="E295" i="2"/>
  <c r="E303" i="2"/>
  <c r="E311" i="2"/>
  <c r="E319" i="2"/>
  <c r="E327" i="2"/>
  <c r="E335" i="2"/>
  <c r="E343" i="2"/>
  <c r="E351" i="2"/>
  <c r="E359" i="2"/>
  <c r="E367" i="2"/>
  <c r="E375" i="2"/>
  <c r="E383" i="2"/>
  <c r="E391" i="2"/>
  <c r="E399" i="2"/>
  <c r="E407" i="2"/>
  <c r="E415" i="2"/>
  <c r="E423" i="2"/>
  <c r="E431" i="2"/>
  <c r="E439" i="2"/>
  <c r="E447" i="2"/>
  <c r="G178" i="2"/>
  <c r="D190" i="2"/>
  <c r="G194" i="2"/>
  <c r="D206" i="2"/>
  <c r="G210" i="2"/>
  <c r="D222" i="2"/>
  <c r="G226" i="2"/>
  <c r="D238" i="2"/>
  <c r="G242" i="2"/>
  <c r="D254" i="2"/>
  <c r="G258" i="2"/>
  <c r="D270" i="2"/>
  <c r="G274" i="2"/>
  <c r="D286" i="2"/>
  <c r="G290" i="2"/>
  <c r="D302" i="2"/>
  <c r="G306" i="2"/>
  <c r="D318" i="2"/>
  <c r="G322" i="2"/>
  <c r="D334" i="2"/>
  <c r="G338" i="2"/>
  <c r="D350" i="2"/>
  <c r="G354" i="2"/>
  <c r="D366" i="2"/>
  <c r="G370" i="2"/>
  <c r="D382" i="2"/>
  <c r="G386" i="2"/>
  <c r="D398" i="2"/>
  <c r="G402" i="2"/>
  <c r="D414" i="2"/>
  <c r="G418" i="2"/>
  <c r="D430" i="2"/>
  <c r="G434" i="2"/>
  <c r="D446" i="2"/>
  <c r="G450" i="2"/>
  <c r="AF168" i="2"/>
  <c r="AE177" i="2"/>
  <c r="X186" i="2"/>
  <c r="W195" i="2"/>
  <c r="AB205" i="2"/>
  <c r="AH216" i="2"/>
  <c r="W238" i="2"/>
  <c r="Q283" i="2"/>
  <c r="E192" i="2"/>
  <c r="E200" i="2"/>
  <c r="E208" i="2"/>
  <c r="E216" i="2"/>
  <c r="E224" i="2"/>
  <c r="E232" i="2"/>
  <c r="E272" i="2"/>
  <c r="AE169" i="2"/>
  <c r="AB197" i="2"/>
  <c r="Y241" i="2"/>
  <c r="E193" i="2"/>
  <c r="E201" i="2"/>
  <c r="E209" i="2"/>
  <c r="E217" i="2"/>
  <c r="E225" i="2"/>
  <c r="E233" i="2"/>
  <c r="E241" i="2"/>
  <c r="E249" i="2"/>
  <c r="E257" i="2"/>
  <c r="E265" i="2"/>
  <c r="E273" i="2"/>
  <c r="E281" i="2"/>
  <c r="E289" i="2"/>
  <c r="E297" i="2"/>
  <c r="E305" i="2"/>
  <c r="E313" i="2"/>
  <c r="E321" i="2"/>
  <c r="E329" i="2"/>
  <c r="E337" i="2"/>
  <c r="E345" i="2"/>
  <c r="E353" i="2"/>
  <c r="E361" i="2"/>
  <c r="E369" i="2"/>
  <c r="E377" i="2"/>
  <c r="E385" i="2"/>
  <c r="E393" i="2"/>
  <c r="E401" i="2"/>
  <c r="E409" i="2"/>
  <c r="E417" i="2"/>
  <c r="E425" i="2"/>
  <c r="E433" i="2"/>
  <c r="E441" i="2"/>
  <c r="E449" i="2"/>
  <c r="G174" i="2"/>
  <c r="G190" i="2"/>
  <c r="D202" i="2"/>
  <c r="G206" i="2"/>
  <c r="D218" i="2"/>
  <c r="G222" i="2"/>
  <c r="D234" i="2"/>
  <c r="G238" i="2"/>
  <c r="D250" i="2"/>
  <c r="G254" i="2"/>
  <c r="D266" i="2"/>
  <c r="G270" i="2"/>
  <c r="D282" i="2"/>
  <c r="G286" i="2"/>
  <c r="D298" i="2"/>
  <c r="G302" i="2"/>
  <c r="D314" i="2"/>
  <c r="G318" i="2"/>
  <c r="D330" i="2"/>
  <c r="G334" i="2"/>
  <c r="D346" i="2"/>
  <c r="G350" i="2"/>
  <c r="D362" i="2"/>
  <c r="G366" i="2"/>
  <c r="D378" i="2"/>
  <c r="G382" i="2"/>
  <c r="D394" i="2"/>
  <c r="G398" i="2"/>
  <c r="D410" i="2"/>
  <c r="G414" i="2"/>
  <c r="D426" i="2"/>
  <c r="G430" i="2"/>
  <c r="D442" i="2"/>
  <c r="G446" i="2"/>
  <c r="X170" i="2"/>
  <c r="W179" i="2"/>
  <c r="AB189" i="2"/>
  <c r="AA198" i="2"/>
  <c r="S208" i="2"/>
  <c r="T221" i="2"/>
  <c r="Q250" i="2"/>
  <c r="AH297" i="2"/>
  <c r="E194" i="2"/>
  <c r="E202" i="2"/>
  <c r="E210" i="2"/>
  <c r="E218" i="2"/>
  <c r="E226" i="2"/>
  <c r="E234" i="2"/>
  <c r="E242" i="2"/>
  <c r="E250" i="2"/>
  <c r="E258" i="2"/>
  <c r="E266" i="2"/>
  <c r="E274" i="2"/>
  <c r="E282" i="2"/>
  <c r="E290" i="2"/>
  <c r="E298" i="2"/>
  <c r="E306" i="2"/>
  <c r="E314" i="2"/>
  <c r="E322" i="2"/>
  <c r="E330" i="2"/>
  <c r="E338" i="2"/>
  <c r="E346" i="2"/>
  <c r="E354" i="2"/>
  <c r="E362" i="2"/>
  <c r="E370" i="2"/>
  <c r="E378" i="2"/>
  <c r="E386" i="2"/>
  <c r="E394" i="2"/>
  <c r="E402" i="2"/>
  <c r="E410" i="2"/>
  <c r="E418" i="2"/>
  <c r="E426" i="2"/>
  <c r="E434" i="2"/>
  <c r="E442" i="2"/>
  <c r="E450" i="2"/>
  <c r="W171" i="2"/>
  <c r="AB181" i="2"/>
  <c r="AA190" i="2"/>
  <c r="S200" i="2"/>
  <c r="AF208" i="2"/>
  <c r="AD223" i="2"/>
  <c r="Y253" i="2"/>
  <c r="AF361" i="2"/>
  <c r="E195" i="2"/>
  <c r="E203" i="2"/>
  <c r="E211" i="2"/>
  <c r="E219" i="2"/>
  <c r="E227" i="2"/>
  <c r="E235" i="2"/>
  <c r="E243" i="2"/>
  <c r="E251" i="2"/>
  <c r="E259" i="2"/>
  <c r="E267" i="2"/>
  <c r="E275" i="2"/>
  <c r="E283" i="2"/>
  <c r="E291" i="2"/>
  <c r="E299" i="2"/>
  <c r="E307" i="2"/>
  <c r="E315" i="2"/>
  <c r="E323" i="2"/>
  <c r="E331" i="2"/>
  <c r="E339" i="2"/>
  <c r="E347" i="2"/>
  <c r="E355" i="2"/>
  <c r="E363" i="2"/>
  <c r="E371" i="2"/>
  <c r="E379" i="2"/>
  <c r="E387" i="2"/>
  <c r="E395" i="2"/>
  <c r="E403" i="2"/>
  <c r="E411" i="2"/>
  <c r="E419" i="2"/>
  <c r="E427" i="2"/>
  <c r="E435" i="2"/>
  <c r="E443" i="2"/>
  <c r="E451" i="2"/>
  <c r="G170" i="2"/>
  <c r="G186" i="2"/>
  <c r="D198" i="2"/>
  <c r="G202" i="2"/>
  <c r="D214" i="2"/>
  <c r="G218" i="2"/>
  <c r="D230" i="2"/>
  <c r="G234" i="2"/>
  <c r="D246" i="2"/>
  <c r="D262" i="2"/>
  <c r="G266" i="2"/>
  <c r="D278" i="2"/>
  <c r="D294" i="2"/>
  <c r="D310" i="2"/>
  <c r="D326" i="2"/>
  <c r="D342" i="2"/>
  <c r="D358" i="2"/>
  <c r="D374" i="2"/>
  <c r="D390" i="2"/>
  <c r="D406" i="2"/>
  <c r="D422" i="2"/>
  <c r="D438" i="2"/>
  <c r="T165" i="2"/>
  <c r="AB173" i="2"/>
  <c r="AA182" i="2"/>
  <c r="S192" i="2"/>
  <c r="AF200" i="2"/>
  <c r="AE209" i="2"/>
  <c r="AA225" i="2"/>
  <c r="X258" i="2"/>
  <c r="E188" i="2"/>
  <c r="E196" i="2"/>
  <c r="E212" i="2"/>
  <c r="E220" i="2"/>
  <c r="E236" i="2"/>
  <c r="E252" i="2"/>
  <c r="E340" i="2"/>
  <c r="AB165" i="2"/>
  <c r="AE201" i="2"/>
  <c r="AD229" i="2"/>
  <c r="G166" i="2"/>
  <c r="G182" i="2"/>
  <c r="D194" i="2"/>
  <c r="G198" i="2"/>
  <c r="D210" i="2"/>
  <c r="G214" i="2"/>
  <c r="D226" i="2"/>
  <c r="G230" i="2"/>
  <c r="D242" i="2"/>
  <c r="G246" i="2"/>
  <c r="G262" i="2"/>
  <c r="G278" i="2"/>
  <c r="G294" i="2"/>
  <c r="G310" i="2"/>
  <c r="G326" i="2"/>
  <c r="G342" i="2"/>
  <c r="G358" i="2"/>
  <c r="G374" i="2"/>
  <c r="G390" i="2"/>
  <c r="G406" i="2"/>
  <c r="G422" i="2"/>
  <c r="G438" i="2"/>
  <c r="AA166" i="2"/>
  <c r="S176" i="2"/>
  <c r="AF184" i="2"/>
  <c r="AE193" i="2"/>
  <c r="X202" i="2"/>
  <c r="X211" i="2"/>
  <c r="W232" i="2"/>
  <c r="U270" i="2"/>
  <c r="E190" i="2"/>
  <c r="E198" i="2"/>
  <c r="E206" i="2"/>
  <c r="E302" i="2"/>
  <c r="W163" i="2"/>
  <c r="P162" i="2"/>
  <c r="X162" i="2"/>
  <c r="AI162" i="2"/>
  <c r="G162" i="2"/>
  <c r="U161" i="2"/>
  <c r="S160" i="2"/>
  <c r="AG160" i="2"/>
  <c r="AE159" i="2"/>
  <c r="G158" i="2"/>
  <c r="T158" i="2"/>
  <c r="W158" i="2"/>
  <c r="AF158" i="2"/>
  <c r="X157" i="2"/>
  <c r="AA157" i="2"/>
  <c r="AF157" i="2"/>
  <c r="AI157" i="2"/>
  <c r="P157" i="2"/>
  <c r="S157" i="2"/>
  <c r="X155" i="2"/>
  <c r="AA155" i="2"/>
  <c r="AF155" i="2"/>
  <c r="AI155" i="2"/>
  <c r="P155" i="2"/>
  <c r="S155" i="2"/>
  <c r="G154" i="2"/>
  <c r="T154" i="2"/>
  <c r="W154" i="2"/>
  <c r="AB154" i="2"/>
  <c r="AE154" i="2"/>
  <c r="F153" i="2" a="1"/>
  <c r="F153" i="2" s="1"/>
  <c r="E153" i="2" s="1"/>
  <c r="P153" i="2"/>
  <c r="S153" i="2"/>
  <c r="X153" i="2"/>
  <c r="AA153" i="2"/>
  <c r="AF153" i="2"/>
  <c r="AI153" i="2"/>
  <c r="AE152" i="2"/>
  <c r="T152" i="2"/>
  <c r="W152" i="2"/>
  <c r="AB152" i="2"/>
  <c r="P151" i="2"/>
  <c r="X151" i="2"/>
  <c r="AF151" i="2"/>
  <c r="T150" i="2"/>
  <c r="W150" i="2"/>
  <c r="G150" i="2"/>
  <c r="AB150" i="2"/>
  <c r="AE150" i="2"/>
  <c r="AA149" i="2"/>
  <c r="AF149" i="2"/>
  <c r="F149" i="2" a="1"/>
  <c r="F149" i="2" s="1"/>
  <c r="AI149" i="2"/>
  <c r="P149" i="2"/>
  <c r="S149" i="2"/>
  <c r="X149" i="2"/>
  <c r="AE204" i="2"/>
  <c r="W204" i="2"/>
  <c r="AD204" i="2"/>
  <c r="V204" i="2"/>
  <c r="AC204" i="2"/>
  <c r="U204" i="2"/>
  <c r="AB204" i="2"/>
  <c r="T204" i="2"/>
  <c r="AH204" i="2"/>
  <c r="Z204" i="2"/>
  <c r="R204" i="2"/>
  <c r="AG204" i="2"/>
  <c r="Y204" i="2"/>
  <c r="Q204" i="2"/>
  <c r="AB268" i="2"/>
  <c r="T268" i="2"/>
  <c r="AI268" i="2"/>
  <c r="AA268" i="2"/>
  <c r="S268" i="2"/>
  <c r="AH268" i="2"/>
  <c r="Z268" i="2"/>
  <c r="R268" i="2"/>
  <c r="AE268" i="2"/>
  <c r="W268" i="2"/>
  <c r="X268" i="2"/>
  <c r="V268" i="2"/>
  <c r="U268" i="2"/>
  <c r="AG268" i="2"/>
  <c r="Q268" i="2"/>
  <c r="AF268" i="2"/>
  <c r="P268" i="2"/>
  <c r="AD268" i="2"/>
  <c r="AC268" i="2"/>
  <c r="Y268" i="2"/>
  <c r="AB332" i="2"/>
  <c r="T332" i="2"/>
  <c r="AI332" i="2"/>
  <c r="AA332" i="2"/>
  <c r="S332" i="2"/>
  <c r="AH332" i="2"/>
  <c r="Z332" i="2"/>
  <c r="R332" i="2"/>
  <c r="AG332" i="2"/>
  <c r="Y332" i="2"/>
  <c r="Q332" i="2"/>
  <c r="AE332" i="2"/>
  <c r="W332" i="2"/>
  <c r="AF332" i="2"/>
  <c r="AC332" i="2"/>
  <c r="X332" i="2"/>
  <c r="U332" i="2"/>
  <c r="P332" i="2"/>
  <c r="V332" i="2"/>
  <c r="AG388" i="2"/>
  <c r="Y388" i="2"/>
  <c r="Q388" i="2"/>
  <c r="AF388" i="2"/>
  <c r="X388" i="2"/>
  <c r="P388" i="2"/>
  <c r="AE388" i="2"/>
  <c r="W388" i="2"/>
  <c r="AD388" i="2"/>
  <c r="V388" i="2"/>
  <c r="T388" i="2"/>
  <c r="AI388" i="2"/>
  <c r="S388" i="2"/>
  <c r="AH388" i="2"/>
  <c r="R388" i="2"/>
  <c r="AA388" i="2"/>
  <c r="AC388" i="2"/>
  <c r="AB388" i="2"/>
  <c r="Z388" i="2"/>
  <c r="U388" i="2"/>
  <c r="AD444" i="2"/>
  <c r="V444" i="2"/>
  <c r="AC444" i="2"/>
  <c r="U444" i="2"/>
  <c r="AB444" i="2"/>
  <c r="T444" i="2"/>
  <c r="AI444" i="2"/>
  <c r="AA444" i="2"/>
  <c r="S444" i="2"/>
  <c r="AG444" i="2"/>
  <c r="Y444" i="2"/>
  <c r="Q444" i="2"/>
  <c r="P444" i="2"/>
  <c r="AH444" i="2"/>
  <c r="AF444" i="2"/>
  <c r="AE444" i="2"/>
  <c r="X444" i="2"/>
  <c r="W444" i="2"/>
  <c r="R444" i="2"/>
  <c r="Z444" i="2"/>
  <c r="Q164" i="2"/>
  <c r="AI172" i="2"/>
  <c r="AI188" i="2"/>
  <c r="P228" i="2"/>
  <c r="AI165" i="2"/>
  <c r="AA165" i="2"/>
  <c r="S165" i="2"/>
  <c r="AH165" i="2"/>
  <c r="Z165" i="2"/>
  <c r="R165" i="2"/>
  <c r="AG165" i="2"/>
  <c r="Y165" i="2"/>
  <c r="Q165" i="2"/>
  <c r="AF165" i="2"/>
  <c r="X165" i="2"/>
  <c r="P165" i="2"/>
  <c r="AD165" i="2"/>
  <c r="V165" i="2"/>
  <c r="AC165" i="2"/>
  <c r="AI173" i="2"/>
  <c r="AA173" i="2"/>
  <c r="S173" i="2"/>
  <c r="AH173" i="2"/>
  <c r="Z173" i="2"/>
  <c r="R173" i="2"/>
  <c r="AG173" i="2"/>
  <c r="Y173" i="2"/>
  <c r="Q173" i="2"/>
  <c r="AF173" i="2"/>
  <c r="X173" i="2"/>
  <c r="P173" i="2"/>
  <c r="AD173" i="2"/>
  <c r="V173" i="2"/>
  <c r="AC173" i="2"/>
  <c r="U173" i="2"/>
  <c r="AI181" i="2"/>
  <c r="AA181" i="2"/>
  <c r="S181" i="2"/>
  <c r="AH181" i="2"/>
  <c r="Z181" i="2"/>
  <c r="R181" i="2"/>
  <c r="AG181" i="2"/>
  <c r="Y181" i="2"/>
  <c r="Q181" i="2"/>
  <c r="AF181" i="2"/>
  <c r="X181" i="2"/>
  <c r="P181" i="2"/>
  <c r="AD181" i="2"/>
  <c r="V181" i="2"/>
  <c r="AC181" i="2"/>
  <c r="U181" i="2"/>
  <c r="AI189" i="2"/>
  <c r="AA189" i="2"/>
  <c r="S189" i="2"/>
  <c r="AH189" i="2"/>
  <c r="Z189" i="2"/>
  <c r="R189" i="2"/>
  <c r="AG189" i="2"/>
  <c r="Y189" i="2"/>
  <c r="Q189" i="2"/>
  <c r="AF189" i="2"/>
  <c r="X189" i="2"/>
  <c r="P189" i="2"/>
  <c r="AD189" i="2"/>
  <c r="V189" i="2"/>
  <c r="AC189" i="2"/>
  <c r="U189" i="2"/>
  <c r="AI197" i="2"/>
  <c r="AA197" i="2"/>
  <c r="S197" i="2"/>
  <c r="AH197" i="2"/>
  <c r="Z197" i="2"/>
  <c r="R197" i="2"/>
  <c r="AG197" i="2"/>
  <c r="Y197" i="2"/>
  <c r="Q197" i="2"/>
  <c r="AF197" i="2"/>
  <c r="X197" i="2"/>
  <c r="P197" i="2"/>
  <c r="AD197" i="2"/>
  <c r="V197" i="2"/>
  <c r="AC197" i="2"/>
  <c r="U197" i="2"/>
  <c r="AI205" i="2"/>
  <c r="AA205" i="2"/>
  <c r="S205" i="2"/>
  <c r="AH205" i="2"/>
  <c r="Z205" i="2"/>
  <c r="R205" i="2"/>
  <c r="AG205" i="2"/>
  <c r="Y205" i="2"/>
  <c r="Q205" i="2"/>
  <c r="AF205" i="2"/>
  <c r="X205" i="2"/>
  <c r="P205" i="2"/>
  <c r="AD205" i="2"/>
  <c r="V205" i="2"/>
  <c r="AC205" i="2"/>
  <c r="U205" i="2"/>
  <c r="AH213" i="2"/>
  <c r="Z213" i="2"/>
  <c r="R213" i="2"/>
  <c r="AG213" i="2"/>
  <c r="Y213" i="2"/>
  <c r="Q213" i="2"/>
  <c r="AF213" i="2"/>
  <c r="X213" i="2"/>
  <c r="P213" i="2"/>
  <c r="AE213" i="2"/>
  <c r="W213" i="2"/>
  <c r="AC213" i="2"/>
  <c r="U213" i="2"/>
  <c r="AB213" i="2"/>
  <c r="AA213" i="2"/>
  <c r="V213" i="2"/>
  <c r="T213" i="2"/>
  <c r="AI213" i="2"/>
  <c r="AH221" i="2"/>
  <c r="Z221" i="2"/>
  <c r="R221" i="2"/>
  <c r="AG221" i="2"/>
  <c r="Y221" i="2"/>
  <c r="Q221" i="2"/>
  <c r="AF221" i="2"/>
  <c r="X221" i="2"/>
  <c r="P221" i="2"/>
  <c r="AE221" i="2"/>
  <c r="W221" i="2"/>
  <c r="AC221" i="2"/>
  <c r="U221" i="2"/>
  <c r="S221" i="2"/>
  <c r="AI221" i="2"/>
  <c r="AD221" i="2"/>
  <c r="AA221" i="2"/>
  <c r="V221" i="2"/>
  <c r="AH229" i="2"/>
  <c r="Z229" i="2"/>
  <c r="R229" i="2"/>
  <c r="AG229" i="2"/>
  <c r="Y229" i="2"/>
  <c r="Q229" i="2"/>
  <c r="AF229" i="2"/>
  <c r="X229" i="2"/>
  <c r="P229" i="2"/>
  <c r="AE229" i="2"/>
  <c r="W229" i="2"/>
  <c r="AC229" i="2"/>
  <c r="U229" i="2"/>
  <c r="AB229" i="2"/>
  <c r="AA229" i="2"/>
  <c r="V229" i="2"/>
  <c r="T229" i="2"/>
  <c r="AI229" i="2"/>
  <c r="AH237" i="2"/>
  <c r="Z237" i="2"/>
  <c r="R237" i="2"/>
  <c r="AG237" i="2"/>
  <c r="Y237" i="2"/>
  <c r="Q237" i="2"/>
  <c r="AF237" i="2"/>
  <c r="X237" i="2"/>
  <c r="P237" i="2"/>
  <c r="AE237" i="2"/>
  <c r="W237" i="2"/>
  <c r="AC237" i="2"/>
  <c r="U237" i="2"/>
  <c r="S237" i="2"/>
  <c r="AI237" i="2"/>
  <c r="AD237" i="2"/>
  <c r="AA237" i="2"/>
  <c r="V237" i="2"/>
  <c r="AF245" i="2"/>
  <c r="X245" i="2"/>
  <c r="P245" i="2"/>
  <c r="AE245" i="2"/>
  <c r="W245" i="2"/>
  <c r="AD245" i="2"/>
  <c r="V245" i="2"/>
  <c r="AI245" i="2"/>
  <c r="AA245" i="2"/>
  <c r="S245" i="2"/>
  <c r="T245" i="2"/>
  <c r="AH245" i="2"/>
  <c r="R245" i="2"/>
  <c r="AG245" i="2"/>
  <c r="Q245" i="2"/>
  <c r="AC245" i="2"/>
  <c r="Z245" i="2"/>
  <c r="Y245" i="2"/>
  <c r="U245" i="2"/>
  <c r="AF253" i="2"/>
  <c r="X253" i="2"/>
  <c r="P253" i="2"/>
  <c r="AE253" i="2"/>
  <c r="W253" i="2"/>
  <c r="AD253" i="2"/>
  <c r="V253" i="2"/>
  <c r="AI253" i="2"/>
  <c r="AA253" i="2"/>
  <c r="S253" i="2"/>
  <c r="T253" i="2"/>
  <c r="AH253" i="2"/>
  <c r="R253" i="2"/>
  <c r="AG253" i="2"/>
  <c r="Q253" i="2"/>
  <c r="AC253" i="2"/>
  <c r="Z253" i="2"/>
  <c r="U253" i="2"/>
  <c r="AB253" i="2"/>
  <c r="AF261" i="2"/>
  <c r="X261" i="2"/>
  <c r="P261" i="2"/>
  <c r="AE261" i="2"/>
  <c r="W261" i="2"/>
  <c r="AD261" i="2"/>
  <c r="V261" i="2"/>
  <c r="AI261" i="2"/>
  <c r="AA261" i="2"/>
  <c r="S261" i="2"/>
  <c r="T261" i="2"/>
  <c r="AH261" i="2"/>
  <c r="R261" i="2"/>
  <c r="AG261" i="2"/>
  <c r="Q261" i="2"/>
  <c r="AC261" i="2"/>
  <c r="AB261" i="2"/>
  <c r="Z261" i="2"/>
  <c r="Y261" i="2"/>
  <c r="U261" i="2"/>
  <c r="AF269" i="2"/>
  <c r="X269" i="2"/>
  <c r="P269" i="2"/>
  <c r="AE269" i="2"/>
  <c r="W269" i="2"/>
  <c r="AD269" i="2"/>
  <c r="V269" i="2"/>
  <c r="AI269" i="2"/>
  <c r="AA269" i="2"/>
  <c r="S269" i="2"/>
  <c r="T269" i="2"/>
  <c r="AH269" i="2"/>
  <c r="R269" i="2"/>
  <c r="AG269" i="2"/>
  <c r="Q269" i="2"/>
  <c r="AC269" i="2"/>
  <c r="AB269" i="2"/>
  <c r="Z269" i="2"/>
  <c r="Y269" i="2"/>
  <c r="AF277" i="2"/>
  <c r="X277" i="2"/>
  <c r="P277" i="2"/>
  <c r="AE277" i="2"/>
  <c r="W277" i="2"/>
  <c r="AD277" i="2"/>
  <c r="V277" i="2"/>
  <c r="AI277" i="2"/>
  <c r="AA277" i="2"/>
  <c r="S277" i="2"/>
  <c r="T277" i="2"/>
  <c r="AH277" i="2"/>
  <c r="R277" i="2"/>
  <c r="AG277" i="2"/>
  <c r="Q277" i="2"/>
  <c r="AC277" i="2"/>
  <c r="AB277" i="2"/>
  <c r="Z277" i="2"/>
  <c r="Y277" i="2"/>
  <c r="U277" i="2"/>
  <c r="AF285" i="2"/>
  <c r="X285" i="2"/>
  <c r="P285" i="2"/>
  <c r="AE285" i="2"/>
  <c r="W285" i="2"/>
  <c r="AD285" i="2"/>
  <c r="V285" i="2"/>
  <c r="AI285" i="2"/>
  <c r="AA285" i="2"/>
  <c r="S285" i="2"/>
  <c r="T285" i="2"/>
  <c r="AH285" i="2"/>
  <c r="R285" i="2"/>
  <c r="AG285" i="2"/>
  <c r="Q285" i="2"/>
  <c r="AC285" i="2"/>
  <c r="AB285" i="2"/>
  <c r="Z285" i="2"/>
  <c r="Y285" i="2"/>
  <c r="AF293" i="2"/>
  <c r="X293" i="2"/>
  <c r="P293" i="2"/>
  <c r="AE293" i="2"/>
  <c r="W293" i="2"/>
  <c r="AD293" i="2"/>
  <c r="V293" i="2"/>
  <c r="AI293" i="2"/>
  <c r="AA293" i="2"/>
  <c r="S293" i="2"/>
  <c r="T293" i="2"/>
  <c r="AB293" i="2"/>
  <c r="Y293" i="2"/>
  <c r="U293" i="2"/>
  <c r="R293" i="2"/>
  <c r="Q293" i="2"/>
  <c r="AH293" i="2"/>
  <c r="AG293" i="2"/>
  <c r="AC293" i="2"/>
  <c r="Z293" i="2"/>
  <c r="AF301" i="2"/>
  <c r="X301" i="2"/>
  <c r="P301" i="2"/>
  <c r="AE301" i="2"/>
  <c r="W301" i="2"/>
  <c r="AD301" i="2"/>
  <c r="V301" i="2"/>
  <c r="AI301" i="2"/>
  <c r="AA301" i="2"/>
  <c r="S301" i="2"/>
  <c r="Y301" i="2"/>
  <c r="T301" i="2"/>
  <c r="AH301" i="2"/>
  <c r="AC301" i="2"/>
  <c r="AB301" i="2"/>
  <c r="AG301" i="2"/>
  <c r="Z301" i="2"/>
  <c r="U301" i="2"/>
  <c r="R301" i="2"/>
  <c r="Q301" i="2"/>
  <c r="AF309" i="2"/>
  <c r="X309" i="2"/>
  <c r="P309" i="2"/>
  <c r="AE309" i="2"/>
  <c r="W309" i="2"/>
  <c r="AD309" i="2"/>
  <c r="V309" i="2"/>
  <c r="AI309" i="2"/>
  <c r="AA309" i="2"/>
  <c r="S309" i="2"/>
  <c r="Y309" i="2"/>
  <c r="T309" i="2"/>
  <c r="AH309" i="2"/>
  <c r="R309" i="2"/>
  <c r="AC309" i="2"/>
  <c r="AB309" i="2"/>
  <c r="Q309" i="2"/>
  <c r="AG309" i="2"/>
  <c r="Z309" i="2"/>
  <c r="U309" i="2"/>
  <c r="AF317" i="2"/>
  <c r="X317" i="2"/>
  <c r="P317" i="2"/>
  <c r="AE317" i="2"/>
  <c r="W317" i="2"/>
  <c r="AD317" i="2"/>
  <c r="V317" i="2"/>
  <c r="AI317" i="2"/>
  <c r="AA317" i="2"/>
  <c r="S317" i="2"/>
  <c r="Y317" i="2"/>
  <c r="T317" i="2"/>
  <c r="AH317" i="2"/>
  <c r="R317" i="2"/>
  <c r="AC317" i="2"/>
  <c r="AB317" i="2"/>
  <c r="Z317" i="2"/>
  <c r="U317" i="2"/>
  <c r="Q317" i="2"/>
  <c r="AG317" i="2"/>
  <c r="AF325" i="2"/>
  <c r="X325" i="2"/>
  <c r="P325" i="2"/>
  <c r="AE325" i="2"/>
  <c r="W325" i="2"/>
  <c r="AD325" i="2"/>
  <c r="V325" i="2"/>
  <c r="AC325" i="2"/>
  <c r="AI325" i="2"/>
  <c r="AA325" i="2"/>
  <c r="S325" i="2"/>
  <c r="Y325" i="2"/>
  <c r="T325" i="2"/>
  <c r="R325" i="2"/>
  <c r="AG325" i="2"/>
  <c r="AB325" i="2"/>
  <c r="AH325" i="2"/>
  <c r="Z325" i="2"/>
  <c r="U325" i="2"/>
  <c r="Q325" i="2"/>
  <c r="AF333" i="2"/>
  <c r="X333" i="2"/>
  <c r="P333" i="2"/>
  <c r="AE333" i="2"/>
  <c r="W333" i="2"/>
  <c r="AD333" i="2"/>
  <c r="V333" i="2"/>
  <c r="AC333" i="2"/>
  <c r="U333" i="2"/>
  <c r="AI333" i="2"/>
  <c r="AA333" i="2"/>
  <c r="S333" i="2"/>
  <c r="AH333" i="2"/>
  <c r="AB333" i="2"/>
  <c r="Z333" i="2"/>
  <c r="T333" i="2"/>
  <c r="R333" i="2"/>
  <c r="AG333" i="2"/>
  <c r="Y333" i="2"/>
  <c r="Q333" i="2"/>
  <c r="AF341" i="2"/>
  <c r="X341" i="2"/>
  <c r="P341" i="2"/>
  <c r="AE341" i="2"/>
  <c r="W341" i="2"/>
  <c r="AD341" i="2"/>
  <c r="V341" i="2"/>
  <c r="AC341" i="2"/>
  <c r="U341" i="2"/>
  <c r="AI341" i="2"/>
  <c r="AA341" i="2"/>
  <c r="S341" i="2"/>
  <c r="Y341" i="2"/>
  <c r="R341" i="2"/>
  <c r="Q341" i="2"/>
  <c r="AG341" i="2"/>
  <c r="AB341" i="2"/>
  <c r="AH341" i="2"/>
  <c r="Z341" i="2"/>
  <c r="T341" i="2"/>
  <c r="AD349" i="2"/>
  <c r="V349" i="2"/>
  <c r="AC349" i="2"/>
  <c r="U349" i="2"/>
  <c r="AB349" i="2"/>
  <c r="T349" i="2"/>
  <c r="AG349" i="2"/>
  <c r="Y349" i="2"/>
  <c r="Q349" i="2"/>
  <c r="AE349" i="2"/>
  <c r="AA349" i="2"/>
  <c r="Z349" i="2"/>
  <c r="X349" i="2"/>
  <c r="AI349" i="2"/>
  <c r="S349" i="2"/>
  <c r="AH349" i="2"/>
  <c r="W349" i="2"/>
  <c r="R349" i="2"/>
  <c r="AF349" i="2"/>
  <c r="P349" i="2"/>
  <c r="AD357" i="2"/>
  <c r="V357" i="2"/>
  <c r="AC357" i="2"/>
  <c r="U357" i="2"/>
  <c r="AB357" i="2"/>
  <c r="T357" i="2"/>
  <c r="AG357" i="2"/>
  <c r="Y357" i="2"/>
  <c r="Q357" i="2"/>
  <c r="AE357" i="2"/>
  <c r="AA357" i="2"/>
  <c r="Z357" i="2"/>
  <c r="X357" i="2"/>
  <c r="AI357" i="2"/>
  <c r="S357" i="2"/>
  <c r="R357" i="2"/>
  <c r="AH357" i="2"/>
  <c r="AF357" i="2"/>
  <c r="W357" i="2"/>
  <c r="P357" i="2"/>
  <c r="AD365" i="2"/>
  <c r="V365" i="2"/>
  <c r="AC365" i="2"/>
  <c r="U365" i="2"/>
  <c r="AB365" i="2"/>
  <c r="T365" i="2"/>
  <c r="AG365" i="2"/>
  <c r="Y365" i="2"/>
  <c r="Q365" i="2"/>
  <c r="AE365" i="2"/>
  <c r="AA365" i="2"/>
  <c r="Z365" i="2"/>
  <c r="X365" i="2"/>
  <c r="AI365" i="2"/>
  <c r="S365" i="2"/>
  <c r="AF365" i="2"/>
  <c r="R365" i="2"/>
  <c r="P365" i="2"/>
  <c r="AH365" i="2"/>
  <c r="W365" i="2"/>
  <c r="AD373" i="2"/>
  <c r="V373" i="2"/>
  <c r="AC373" i="2"/>
  <c r="U373" i="2"/>
  <c r="AB373" i="2"/>
  <c r="T373" i="2"/>
  <c r="AG373" i="2"/>
  <c r="Y373" i="2"/>
  <c r="Q373" i="2"/>
  <c r="AE373" i="2"/>
  <c r="AA373" i="2"/>
  <c r="Z373" i="2"/>
  <c r="X373" i="2"/>
  <c r="AI373" i="2"/>
  <c r="S373" i="2"/>
  <c r="AF373" i="2"/>
  <c r="W373" i="2"/>
  <c r="P373" i="2"/>
  <c r="AH373" i="2"/>
  <c r="R373" i="2"/>
  <c r="AC381" i="2"/>
  <c r="U381" i="2"/>
  <c r="AB381" i="2"/>
  <c r="T381" i="2"/>
  <c r="AI381" i="2"/>
  <c r="AA381" i="2"/>
  <c r="S381" i="2"/>
  <c r="AH381" i="2"/>
  <c r="Z381" i="2"/>
  <c r="R381" i="2"/>
  <c r="AF381" i="2"/>
  <c r="P381" i="2"/>
  <c r="AE381" i="2"/>
  <c r="AD381" i="2"/>
  <c r="W381" i="2"/>
  <c r="Q381" i="2"/>
  <c r="Y381" i="2"/>
  <c r="AG381" i="2"/>
  <c r="V381" i="2"/>
  <c r="X381" i="2"/>
  <c r="AC389" i="2"/>
  <c r="U389" i="2"/>
  <c r="AB389" i="2"/>
  <c r="T389" i="2"/>
  <c r="AI389" i="2"/>
  <c r="AA389" i="2"/>
  <c r="S389" i="2"/>
  <c r="AH389" i="2"/>
  <c r="Z389" i="2"/>
  <c r="R389" i="2"/>
  <c r="AF389" i="2"/>
  <c r="P389" i="2"/>
  <c r="AE389" i="2"/>
  <c r="AD389" i="2"/>
  <c r="W389" i="2"/>
  <c r="Q389" i="2"/>
  <c r="Y389" i="2"/>
  <c r="X389" i="2"/>
  <c r="V389" i="2"/>
  <c r="AG389" i="2"/>
  <c r="AC397" i="2"/>
  <c r="U397" i="2"/>
  <c r="AB397" i="2"/>
  <c r="T397" i="2"/>
  <c r="AI397" i="2"/>
  <c r="AA397" i="2"/>
  <c r="S397" i="2"/>
  <c r="AH397" i="2"/>
  <c r="Z397" i="2"/>
  <c r="R397" i="2"/>
  <c r="AF397" i="2"/>
  <c r="P397" i="2"/>
  <c r="AE397" i="2"/>
  <c r="AD397" i="2"/>
  <c r="W397" i="2"/>
  <c r="Q397" i="2"/>
  <c r="Y397" i="2"/>
  <c r="X397" i="2"/>
  <c r="V397" i="2"/>
  <c r="AG397" i="2"/>
  <c r="AC405" i="2"/>
  <c r="U405" i="2"/>
  <c r="AB405" i="2"/>
  <c r="T405" i="2"/>
  <c r="AI405" i="2"/>
  <c r="AA405" i="2"/>
  <c r="S405" i="2"/>
  <c r="AH405" i="2"/>
  <c r="Z405" i="2"/>
  <c r="R405" i="2"/>
  <c r="AF405" i="2"/>
  <c r="P405" i="2"/>
  <c r="AE405" i="2"/>
  <c r="AD405" i="2"/>
  <c r="W405" i="2"/>
  <c r="Q405" i="2"/>
  <c r="Y405" i="2"/>
  <c r="X405" i="2"/>
  <c r="V405" i="2"/>
  <c r="AG405" i="2"/>
  <c r="AC413" i="2"/>
  <c r="U413" i="2"/>
  <c r="AB413" i="2"/>
  <c r="T413" i="2"/>
  <c r="AI413" i="2"/>
  <c r="AA413" i="2"/>
  <c r="S413" i="2"/>
  <c r="AH413" i="2"/>
  <c r="Z413" i="2"/>
  <c r="R413" i="2"/>
  <c r="AF413" i="2"/>
  <c r="P413" i="2"/>
  <c r="AE413" i="2"/>
  <c r="AD413" i="2"/>
  <c r="W413" i="2"/>
  <c r="Q413" i="2"/>
  <c r="Y413" i="2"/>
  <c r="X413" i="2"/>
  <c r="AG413" i="2"/>
  <c r="V413" i="2"/>
  <c r="AH421" i="2"/>
  <c r="Z421" i="2"/>
  <c r="R421" i="2"/>
  <c r="AG421" i="2"/>
  <c r="AF421" i="2"/>
  <c r="X421" i="2"/>
  <c r="P421" i="2"/>
  <c r="AE421" i="2"/>
  <c r="W421" i="2"/>
  <c r="Y421" i="2"/>
  <c r="V421" i="2"/>
  <c r="U421" i="2"/>
  <c r="AI421" i="2"/>
  <c r="T421" i="2"/>
  <c r="Q421" i="2"/>
  <c r="AB421" i="2"/>
  <c r="AD421" i="2"/>
  <c r="AC421" i="2"/>
  <c r="AA421" i="2"/>
  <c r="S421" i="2"/>
  <c r="AH429" i="2"/>
  <c r="Z429" i="2"/>
  <c r="R429" i="2"/>
  <c r="AG429" i="2"/>
  <c r="Y429" i="2"/>
  <c r="Q429" i="2"/>
  <c r="AF429" i="2"/>
  <c r="X429" i="2"/>
  <c r="P429" i="2"/>
  <c r="AE429" i="2"/>
  <c r="W429" i="2"/>
  <c r="AC429" i="2"/>
  <c r="U429" i="2"/>
  <c r="S429" i="2"/>
  <c r="AI429" i="2"/>
  <c r="AD429" i="2"/>
  <c r="AA429" i="2"/>
  <c r="V429" i="2"/>
  <c r="T429" i="2"/>
  <c r="AB429" i="2"/>
  <c r="AH437" i="2"/>
  <c r="Z437" i="2"/>
  <c r="R437" i="2"/>
  <c r="AG437" i="2"/>
  <c r="Y437" i="2"/>
  <c r="Q437" i="2"/>
  <c r="AF437" i="2"/>
  <c r="X437" i="2"/>
  <c r="P437" i="2"/>
  <c r="AE437" i="2"/>
  <c r="W437" i="2"/>
  <c r="AC437" i="2"/>
  <c r="U437" i="2"/>
  <c r="AB437" i="2"/>
  <c r="AA437" i="2"/>
  <c r="V437" i="2"/>
  <c r="T437" i="2"/>
  <c r="AI437" i="2"/>
  <c r="AD437" i="2"/>
  <c r="S437" i="2"/>
  <c r="AH445" i="2"/>
  <c r="Z445" i="2"/>
  <c r="R445" i="2"/>
  <c r="AG445" i="2"/>
  <c r="Y445" i="2"/>
  <c r="Q445" i="2"/>
  <c r="AF445" i="2"/>
  <c r="X445" i="2"/>
  <c r="P445" i="2"/>
  <c r="AE445" i="2"/>
  <c r="W445" i="2"/>
  <c r="AC445" i="2"/>
  <c r="U445" i="2"/>
  <c r="S445" i="2"/>
  <c r="AI445" i="2"/>
  <c r="AD445" i="2"/>
  <c r="V445" i="2"/>
  <c r="AB445" i="2"/>
  <c r="AA445" i="2"/>
  <c r="T445" i="2"/>
  <c r="AH453" i="2"/>
  <c r="Z453" i="2"/>
  <c r="R453" i="2"/>
  <c r="AG453" i="2"/>
  <c r="Y453" i="2"/>
  <c r="Q453" i="2"/>
  <c r="AF453" i="2"/>
  <c r="X453" i="2"/>
  <c r="P453" i="2"/>
  <c r="AE453" i="2"/>
  <c r="W453" i="2"/>
  <c r="AC453" i="2"/>
  <c r="U453" i="2"/>
  <c r="AB453" i="2"/>
  <c r="AA453" i="2"/>
  <c r="V453" i="2"/>
  <c r="T453" i="2"/>
  <c r="AI453" i="2"/>
  <c r="AD453" i="2"/>
  <c r="S453" i="2"/>
  <c r="G151" i="2"/>
  <c r="G155" i="2"/>
  <c r="G159" i="2"/>
  <c r="G163" i="2"/>
  <c r="G167" i="2"/>
  <c r="G171" i="2"/>
  <c r="G175" i="2"/>
  <c r="G179" i="2"/>
  <c r="G183" i="2"/>
  <c r="G187" i="2"/>
  <c r="G191" i="2"/>
  <c r="G195" i="2"/>
  <c r="G203" i="2"/>
  <c r="G207" i="2"/>
  <c r="G211" i="2"/>
  <c r="G215" i="2"/>
  <c r="G219" i="2"/>
  <c r="G223" i="2"/>
  <c r="G227" i="2"/>
  <c r="G235" i="2"/>
  <c r="G243" i="2"/>
  <c r="G247" i="2"/>
  <c r="G251" i="2"/>
  <c r="G255" i="2"/>
  <c r="G259" i="2"/>
  <c r="G267" i="2"/>
  <c r="G275" i="2"/>
  <c r="G279" i="2"/>
  <c r="G283" i="2"/>
  <c r="G291" i="2"/>
  <c r="G299" i="2"/>
  <c r="G307" i="2"/>
  <c r="G311" i="2"/>
  <c r="G315" i="2"/>
  <c r="G323" i="2"/>
  <c r="G331" i="2"/>
  <c r="G335" i="2"/>
  <c r="G339" i="2"/>
  <c r="G347" i="2"/>
  <c r="G355" i="2"/>
  <c r="G363" i="2"/>
  <c r="G367" i="2"/>
  <c r="G371" i="2"/>
  <c r="G379" i="2"/>
  <c r="G387" i="2"/>
  <c r="G391" i="2"/>
  <c r="G395" i="2"/>
  <c r="G403" i="2"/>
  <c r="G411" i="2"/>
  <c r="G419" i="2"/>
  <c r="G427" i="2"/>
  <c r="G431" i="2"/>
  <c r="G435" i="2"/>
  <c r="G443" i="2"/>
  <c r="G447" i="2"/>
  <c r="G451" i="2"/>
  <c r="Q149" i="2"/>
  <c r="Y149" i="2"/>
  <c r="AG149" i="2"/>
  <c r="U150" i="2"/>
  <c r="AC150" i="2"/>
  <c r="Q151" i="2"/>
  <c r="Y151" i="2"/>
  <c r="AG151" i="2"/>
  <c r="U152" i="2"/>
  <c r="AC152" i="2"/>
  <c r="Q153" i="2"/>
  <c r="Y153" i="2"/>
  <c r="AG153" i="2"/>
  <c r="U154" i="2"/>
  <c r="AC154" i="2"/>
  <c r="Q155" i="2"/>
  <c r="Y155" i="2"/>
  <c r="AG155" i="2"/>
  <c r="U156" i="2"/>
  <c r="AC156" i="2"/>
  <c r="Q157" i="2"/>
  <c r="Y157" i="2"/>
  <c r="AG157" i="2"/>
  <c r="U158" i="2"/>
  <c r="P160" i="2"/>
  <c r="AI160" i="2"/>
  <c r="Q162" i="2"/>
  <c r="T163" i="2"/>
  <c r="S164" i="2"/>
  <c r="U165" i="2"/>
  <c r="X168" i="2"/>
  <c r="P170" i="2"/>
  <c r="AB171" i="2"/>
  <c r="T173" i="2"/>
  <c r="X176" i="2"/>
  <c r="P178" i="2"/>
  <c r="AB179" i="2"/>
  <c r="T181" i="2"/>
  <c r="X184" i="2"/>
  <c r="P186" i="2"/>
  <c r="AB187" i="2"/>
  <c r="T189" i="2"/>
  <c r="X192" i="2"/>
  <c r="P194" i="2"/>
  <c r="AB195" i="2"/>
  <c r="T197" i="2"/>
  <c r="X200" i="2"/>
  <c r="P202" i="2"/>
  <c r="AB203" i="2"/>
  <c r="T205" i="2"/>
  <c r="X208" i="2"/>
  <c r="P210" i="2"/>
  <c r="AI211" i="2"/>
  <c r="R220" i="2"/>
  <c r="X224" i="2"/>
  <c r="AE228" i="2"/>
  <c r="T237" i="2"/>
  <c r="T251" i="2"/>
  <c r="AG259" i="2"/>
  <c r="U285" i="2"/>
  <c r="AF340" i="2"/>
  <c r="AE180" i="2"/>
  <c r="W180" i="2"/>
  <c r="AD180" i="2"/>
  <c r="V180" i="2"/>
  <c r="AC180" i="2"/>
  <c r="U180" i="2"/>
  <c r="AB180" i="2"/>
  <c r="T180" i="2"/>
  <c r="AH180" i="2"/>
  <c r="Z180" i="2"/>
  <c r="R180" i="2"/>
  <c r="AG180" i="2"/>
  <c r="Y180" i="2"/>
  <c r="Q180" i="2"/>
  <c r="AD236" i="2"/>
  <c r="V236" i="2"/>
  <c r="AC236" i="2"/>
  <c r="U236" i="2"/>
  <c r="AB236" i="2"/>
  <c r="T236" i="2"/>
  <c r="AI236" i="2"/>
  <c r="AA236" i="2"/>
  <c r="S236" i="2"/>
  <c r="AG236" i="2"/>
  <c r="Y236" i="2"/>
  <c r="Q236" i="2"/>
  <c r="P236" i="2"/>
  <c r="AH236" i="2"/>
  <c r="AF236" i="2"/>
  <c r="AE236" i="2"/>
  <c r="X236" i="2"/>
  <c r="W236" i="2"/>
  <c r="AB276" i="2"/>
  <c r="T276" i="2"/>
  <c r="AI276" i="2"/>
  <c r="AA276" i="2"/>
  <c r="S276" i="2"/>
  <c r="AH276" i="2"/>
  <c r="Z276" i="2"/>
  <c r="R276" i="2"/>
  <c r="AE276" i="2"/>
  <c r="W276" i="2"/>
  <c r="X276" i="2"/>
  <c r="V276" i="2"/>
  <c r="U276" i="2"/>
  <c r="AG276" i="2"/>
  <c r="Q276" i="2"/>
  <c r="AF276" i="2"/>
  <c r="P276" i="2"/>
  <c r="AD276" i="2"/>
  <c r="Y276" i="2"/>
  <c r="AB316" i="2"/>
  <c r="T316" i="2"/>
  <c r="AI316" i="2"/>
  <c r="AA316" i="2"/>
  <c r="S316" i="2"/>
  <c r="AH316" i="2"/>
  <c r="Z316" i="2"/>
  <c r="R316" i="2"/>
  <c r="AE316" i="2"/>
  <c r="W316" i="2"/>
  <c r="AC316" i="2"/>
  <c r="X316" i="2"/>
  <c r="V316" i="2"/>
  <c r="AG316" i="2"/>
  <c r="Q316" i="2"/>
  <c r="AF316" i="2"/>
  <c r="P316" i="2"/>
  <c r="AD316" i="2"/>
  <c r="Y316" i="2"/>
  <c r="U316" i="2"/>
  <c r="AH364" i="2"/>
  <c r="Z364" i="2"/>
  <c r="R364" i="2"/>
  <c r="AG364" i="2"/>
  <c r="Y364" i="2"/>
  <c r="Q364" i="2"/>
  <c r="AF364" i="2"/>
  <c r="X364" i="2"/>
  <c r="P364" i="2"/>
  <c r="AC364" i="2"/>
  <c r="U364" i="2"/>
  <c r="AI364" i="2"/>
  <c r="S364" i="2"/>
  <c r="AE364" i="2"/>
  <c r="AD364" i="2"/>
  <c r="AB364" i="2"/>
  <c r="W364" i="2"/>
  <c r="V364" i="2"/>
  <c r="T364" i="2"/>
  <c r="AA364" i="2"/>
  <c r="AG404" i="2"/>
  <c r="Y404" i="2"/>
  <c r="Q404" i="2"/>
  <c r="AF404" i="2"/>
  <c r="X404" i="2"/>
  <c r="P404" i="2"/>
  <c r="AE404" i="2"/>
  <c r="W404" i="2"/>
  <c r="AD404" i="2"/>
  <c r="V404" i="2"/>
  <c r="T404" i="2"/>
  <c r="AI404" i="2"/>
  <c r="S404" i="2"/>
  <c r="AH404" i="2"/>
  <c r="R404" i="2"/>
  <c r="AA404" i="2"/>
  <c r="AC404" i="2"/>
  <c r="AB404" i="2"/>
  <c r="Z404" i="2"/>
  <c r="U404" i="2"/>
  <c r="AD428" i="2"/>
  <c r="V428" i="2"/>
  <c r="AC428" i="2"/>
  <c r="U428" i="2"/>
  <c r="AB428" i="2"/>
  <c r="T428" i="2"/>
  <c r="AI428" i="2"/>
  <c r="AA428" i="2"/>
  <c r="S428" i="2"/>
  <c r="AG428" i="2"/>
  <c r="Y428" i="2"/>
  <c r="Q428" i="2"/>
  <c r="P428" i="2"/>
  <c r="AH428" i="2"/>
  <c r="AF428" i="2"/>
  <c r="AE428" i="2"/>
  <c r="W428" i="2"/>
  <c r="Z428" i="2"/>
  <c r="X428" i="2"/>
  <c r="R428" i="2"/>
  <c r="AB156" i="2"/>
  <c r="AI204" i="2"/>
  <c r="AD332" i="2"/>
  <c r="AE158" i="2"/>
  <c r="AD158" i="2"/>
  <c r="AC158" i="2"/>
  <c r="AB158" i="2"/>
  <c r="AH158" i="2"/>
  <c r="AE166" i="2"/>
  <c r="W166" i="2"/>
  <c r="AD166" i="2"/>
  <c r="V166" i="2"/>
  <c r="AC166" i="2"/>
  <c r="U166" i="2"/>
  <c r="AB166" i="2"/>
  <c r="T166" i="2"/>
  <c r="AH166" i="2"/>
  <c r="Z166" i="2"/>
  <c r="R166" i="2"/>
  <c r="AG166" i="2"/>
  <c r="Y166" i="2"/>
  <c r="Q166" i="2"/>
  <c r="AE174" i="2"/>
  <c r="W174" i="2"/>
  <c r="AD174" i="2"/>
  <c r="V174" i="2"/>
  <c r="AC174" i="2"/>
  <c r="U174" i="2"/>
  <c r="AB174" i="2"/>
  <c r="T174" i="2"/>
  <c r="AH174" i="2"/>
  <c r="Z174" i="2"/>
  <c r="R174" i="2"/>
  <c r="AG174" i="2"/>
  <c r="Y174" i="2"/>
  <c r="Q174" i="2"/>
  <c r="AE182" i="2"/>
  <c r="W182" i="2"/>
  <c r="AD182" i="2"/>
  <c r="V182" i="2"/>
  <c r="AC182" i="2"/>
  <c r="U182" i="2"/>
  <c r="AB182" i="2"/>
  <c r="T182" i="2"/>
  <c r="AH182" i="2"/>
  <c r="Z182" i="2"/>
  <c r="R182" i="2"/>
  <c r="AG182" i="2"/>
  <c r="Y182" i="2"/>
  <c r="Q182" i="2"/>
  <c r="AE190" i="2"/>
  <c r="W190" i="2"/>
  <c r="AD190" i="2"/>
  <c r="V190" i="2"/>
  <c r="AC190" i="2"/>
  <c r="U190" i="2"/>
  <c r="AB190" i="2"/>
  <c r="T190" i="2"/>
  <c r="AH190" i="2"/>
  <c r="Z190" i="2"/>
  <c r="R190" i="2"/>
  <c r="AG190" i="2"/>
  <c r="Y190" i="2"/>
  <c r="Q190" i="2"/>
  <c r="AE198" i="2"/>
  <c r="W198" i="2"/>
  <c r="AD198" i="2"/>
  <c r="V198" i="2"/>
  <c r="AC198" i="2"/>
  <c r="U198" i="2"/>
  <c r="AB198" i="2"/>
  <c r="T198" i="2"/>
  <c r="AH198" i="2"/>
  <c r="Z198" i="2"/>
  <c r="R198" i="2"/>
  <c r="AG198" i="2"/>
  <c r="Y198" i="2"/>
  <c r="Q198" i="2"/>
  <c r="AE206" i="2"/>
  <c r="W206" i="2"/>
  <c r="AD206" i="2"/>
  <c r="V206" i="2"/>
  <c r="AC206" i="2"/>
  <c r="U206" i="2"/>
  <c r="AB206" i="2"/>
  <c r="T206" i="2"/>
  <c r="AH206" i="2"/>
  <c r="Z206" i="2"/>
  <c r="R206" i="2"/>
  <c r="AG206" i="2"/>
  <c r="Y206" i="2"/>
  <c r="Q206" i="2"/>
  <c r="AD214" i="2"/>
  <c r="V214" i="2"/>
  <c r="AC214" i="2"/>
  <c r="U214" i="2"/>
  <c r="AB214" i="2"/>
  <c r="T214" i="2"/>
  <c r="AI214" i="2"/>
  <c r="AA214" i="2"/>
  <c r="S214" i="2"/>
  <c r="AG214" i="2"/>
  <c r="Y214" i="2"/>
  <c r="Q214" i="2"/>
  <c r="AE214" i="2"/>
  <c r="Z214" i="2"/>
  <c r="X214" i="2"/>
  <c r="W214" i="2"/>
  <c r="P214" i="2"/>
  <c r="AH214" i="2"/>
  <c r="AD222" i="2"/>
  <c r="V222" i="2"/>
  <c r="AC222" i="2"/>
  <c r="U222" i="2"/>
  <c r="AB222" i="2"/>
  <c r="T222" i="2"/>
  <c r="AI222" i="2"/>
  <c r="AA222" i="2"/>
  <c r="S222" i="2"/>
  <c r="AG222" i="2"/>
  <c r="Y222" i="2"/>
  <c r="Q222" i="2"/>
  <c r="R222" i="2"/>
  <c r="P222" i="2"/>
  <c r="AH222" i="2"/>
  <c r="AF222" i="2"/>
  <c r="Z222" i="2"/>
  <c r="X222" i="2"/>
  <c r="AD230" i="2"/>
  <c r="V230" i="2"/>
  <c r="AC230" i="2"/>
  <c r="U230" i="2"/>
  <c r="AB230" i="2"/>
  <c r="T230" i="2"/>
  <c r="AI230" i="2"/>
  <c r="AA230" i="2"/>
  <c r="S230" i="2"/>
  <c r="AG230" i="2"/>
  <c r="Y230" i="2"/>
  <c r="Q230" i="2"/>
  <c r="AE230" i="2"/>
  <c r="Z230" i="2"/>
  <c r="X230" i="2"/>
  <c r="W230" i="2"/>
  <c r="P230" i="2"/>
  <c r="AH230" i="2"/>
  <c r="AD238" i="2"/>
  <c r="V238" i="2"/>
  <c r="AC238" i="2"/>
  <c r="U238" i="2"/>
  <c r="AB238" i="2"/>
  <c r="T238" i="2"/>
  <c r="AI238" i="2"/>
  <c r="AA238" i="2"/>
  <c r="S238" i="2"/>
  <c r="AG238" i="2"/>
  <c r="Y238" i="2"/>
  <c r="Q238" i="2"/>
  <c r="R238" i="2"/>
  <c r="P238" i="2"/>
  <c r="AH238" i="2"/>
  <c r="AF238" i="2"/>
  <c r="Z238" i="2"/>
  <c r="X238" i="2"/>
  <c r="AB246" i="2"/>
  <c r="T246" i="2"/>
  <c r="AI246" i="2"/>
  <c r="AA246" i="2"/>
  <c r="S246" i="2"/>
  <c r="AH246" i="2"/>
  <c r="Z246" i="2"/>
  <c r="R246" i="2"/>
  <c r="AE246" i="2"/>
  <c r="W246" i="2"/>
  <c r="AF246" i="2"/>
  <c r="P246" i="2"/>
  <c r="AD246" i="2"/>
  <c r="AC246" i="2"/>
  <c r="Y246" i="2"/>
  <c r="V246" i="2"/>
  <c r="AG246" i="2"/>
  <c r="X246" i="2"/>
  <c r="U246" i="2"/>
  <c r="Q246" i="2"/>
  <c r="AB254" i="2"/>
  <c r="T254" i="2"/>
  <c r="AI254" i="2"/>
  <c r="AA254" i="2"/>
  <c r="S254" i="2"/>
  <c r="AH254" i="2"/>
  <c r="Z254" i="2"/>
  <c r="R254" i="2"/>
  <c r="AE254" i="2"/>
  <c r="W254" i="2"/>
  <c r="AF254" i="2"/>
  <c r="P254" i="2"/>
  <c r="AD254" i="2"/>
  <c r="AC254" i="2"/>
  <c r="Y254" i="2"/>
  <c r="V254" i="2"/>
  <c r="AG254" i="2"/>
  <c r="X254" i="2"/>
  <c r="Q254" i="2"/>
  <c r="AB262" i="2"/>
  <c r="T262" i="2"/>
  <c r="AI262" i="2"/>
  <c r="AA262" i="2"/>
  <c r="S262" i="2"/>
  <c r="AH262" i="2"/>
  <c r="Z262" i="2"/>
  <c r="R262" i="2"/>
  <c r="AE262" i="2"/>
  <c r="W262" i="2"/>
  <c r="AF262" i="2"/>
  <c r="P262" i="2"/>
  <c r="AD262" i="2"/>
  <c r="AC262" i="2"/>
  <c r="Y262" i="2"/>
  <c r="X262" i="2"/>
  <c r="V262" i="2"/>
  <c r="U262" i="2"/>
  <c r="Q262" i="2"/>
  <c r="AB270" i="2"/>
  <c r="T270" i="2"/>
  <c r="AI270" i="2"/>
  <c r="AA270" i="2"/>
  <c r="S270" i="2"/>
  <c r="AH270" i="2"/>
  <c r="Z270" i="2"/>
  <c r="R270" i="2"/>
  <c r="AE270" i="2"/>
  <c r="W270" i="2"/>
  <c r="AF270" i="2"/>
  <c r="P270" i="2"/>
  <c r="AD270" i="2"/>
  <c r="AC270" i="2"/>
  <c r="Y270" i="2"/>
  <c r="X270" i="2"/>
  <c r="V270" i="2"/>
  <c r="AG270" i="2"/>
  <c r="Q270" i="2"/>
  <c r="AB278" i="2"/>
  <c r="T278" i="2"/>
  <c r="AI278" i="2"/>
  <c r="AA278" i="2"/>
  <c r="S278" i="2"/>
  <c r="AH278" i="2"/>
  <c r="Z278" i="2"/>
  <c r="R278" i="2"/>
  <c r="AE278" i="2"/>
  <c r="W278" i="2"/>
  <c r="AF278" i="2"/>
  <c r="P278" i="2"/>
  <c r="AD278" i="2"/>
  <c r="AC278" i="2"/>
  <c r="Y278" i="2"/>
  <c r="X278" i="2"/>
  <c r="V278" i="2"/>
  <c r="U278" i="2"/>
  <c r="Q278" i="2"/>
  <c r="AB286" i="2"/>
  <c r="T286" i="2"/>
  <c r="AI286" i="2"/>
  <c r="AA286" i="2"/>
  <c r="S286" i="2"/>
  <c r="AH286" i="2"/>
  <c r="Z286" i="2"/>
  <c r="R286" i="2"/>
  <c r="AE286" i="2"/>
  <c r="W286" i="2"/>
  <c r="AF286" i="2"/>
  <c r="P286" i="2"/>
  <c r="AD286" i="2"/>
  <c r="AC286" i="2"/>
  <c r="Y286" i="2"/>
  <c r="X286" i="2"/>
  <c r="V286" i="2"/>
  <c r="AG286" i="2"/>
  <c r="Q286" i="2"/>
  <c r="AB294" i="2"/>
  <c r="T294" i="2"/>
  <c r="AI294" i="2"/>
  <c r="AA294" i="2"/>
  <c r="S294" i="2"/>
  <c r="AH294" i="2"/>
  <c r="Z294" i="2"/>
  <c r="R294" i="2"/>
  <c r="AE294" i="2"/>
  <c r="W294" i="2"/>
  <c r="AF294" i="2"/>
  <c r="P294" i="2"/>
  <c r="X294" i="2"/>
  <c r="Y294" i="2"/>
  <c r="V294" i="2"/>
  <c r="U294" i="2"/>
  <c r="Q294" i="2"/>
  <c r="AG294" i="2"/>
  <c r="AD294" i="2"/>
  <c r="AC294" i="2"/>
  <c r="AB302" i="2"/>
  <c r="T302" i="2"/>
  <c r="AI302" i="2"/>
  <c r="AA302" i="2"/>
  <c r="S302" i="2"/>
  <c r="AH302" i="2"/>
  <c r="Z302" i="2"/>
  <c r="R302" i="2"/>
  <c r="AE302" i="2"/>
  <c r="W302" i="2"/>
  <c r="U302" i="2"/>
  <c r="AF302" i="2"/>
  <c r="P302" i="2"/>
  <c r="AD302" i="2"/>
  <c r="Y302" i="2"/>
  <c r="X302" i="2"/>
  <c r="AC302" i="2"/>
  <c r="V302" i="2"/>
  <c r="Q302" i="2"/>
  <c r="AB310" i="2"/>
  <c r="T310" i="2"/>
  <c r="AI310" i="2"/>
  <c r="AA310" i="2"/>
  <c r="S310" i="2"/>
  <c r="AH310" i="2"/>
  <c r="Z310" i="2"/>
  <c r="R310" i="2"/>
  <c r="AE310" i="2"/>
  <c r="W310" i="2"/>
  <c r="U310" i="2"/>
  <c r="AF310" i="2"/>
  <c r="P310" i="2"/>
  <c r="AD310" i="2"/>
  <c r="Y310" i="2"/>
  <c r="X310" i="2"/>
  <c r="AG310" i="2"/>
  <c r="AC310" i="2"/>
  <c r="V310" i="2"/>
  <c r="Q310" i="2"/>
  <c r="AB318" i="2"/>
  <c r="T318" i="2"/>
  <c r="AI318" i="2"/>
  <c r="AA318" i="2"/>
  <c r="S318" i="2"/>
  <c r="AH318" i="2"/>
  <c r="Z318" i="2"/>
  <c r="R318" i="2"/>
  <c r="AE318" i="2"/>
  <c r="W318" i="2"/>
  <c r="U318" i="2"/>
  <c r="AF318" i="2"/>
  <c r="P318" i="2"/>
  <c r="AD318" i="2"/>
  <c r="Y318" i="2"/>
  <c r="X318" i="2"/>
  <c r="AG318" i="2"/>
  <c r="AC318" i="2"/>
  <c r="V318" i="2"/>
  <c r="Q318" i="2"/>
  <c r="AB326" i="2"/>
  <c r="T326" i="2"/>
  <c r="AI326" i="2"/>
  <c r="AA326" i="2"/>
  <c r="S326" i="2"/>
  <c r="AH326" i="2"/>
  <c r="Z326" i="2"/>
  <c r="R326" i="2"/>
  <c r="AG326" i="2"/>
  <c r="Y326" i="2"/>
  <c r="Q326" i="2"/>
  <c r="AE326" i="2"/>
  <c r="W326" i="2"/>
  <c r="X326" i="2"/>
  <c r="U326" i="2"/>
  <c r="P326" i="2"/>
  <c r="AF326" i="2"/>
  <c r="AD326" i="2"/>
  <c r="V326" i="2"/>
  <c r="AC326" i="2"/>
  <c r="AB334" i="2"/>
  <c r="T334" i="2"/>
  <c r="AI334" i="2"/>
  <c r="AA334" i="2"/>
  <c r="S334" i="2"/>
  <c r="AH334" i="2"/>
  <c r="Z334" i="2"/>
  <c r="R334" i="2"/>
  <c r="AG334" i="2"/>
  <c r="Y334" i="2"/>
  <c r="Q334" i="2"/>
  <c r="AE334" i="2"/>
  <c r="W334" i="2"/>
  <c r="AD334" i="2"/>
  <c r="AC334" i="2"/>
  <c r="V334" i="2"/>
  <c r="U334" i="2"/>
  <c r="AF334" i="2"/>
  <c r="X334" i="2"/>
  <c r="P334" i="2"/>
  <c r="AH342" i="2"/>
  <c r="AG342" i="2"/>
  <c r="AF342" i="2"/>
  <c r="AB342" i="2"/>
  <c r="T342" i="2"/>
  <c r="AA342" i="2"/>
  <c r="S342" i="2"/>
  <c r="Z342" i="2"/>
  <c r="R342" i="2"/>
  <c r="Y342" i="2"/>
  <c r="Q342" i="2"/>
  <c r="AE342" i="2"/>
  <c r="W342" i="2"/>
  <c r="X342" i="2"/>
  <c r="U342" i="2"/>
  <c r="P342" i="2"/>
  <c r="AI342" i="2"/>
  <c r="AD342" i="2"/>
  <c r="AC342" i="2"/>
  <c r="V342" i="2"/>
  <c r="AH350" i="2"/>
  <c r="Z350" i="2"/>
  <c r="R350" i="2"/>
  <c r="AG350" i="2"/>
  <c r="Y350" i="2"/>
  <c r="Q350" i="2"/>
  <c r="AF350" i="2"/>
  <c r="X350" i="2"/>
  <c r="P350" i="2"/>
  <c r="AC350" i="2"/>
  <c r="U350" i="2"/>
  <c r="AA350" i="2"/>
  <c r="W350" i="2"/>
  <c r="V350" i="2"/>
  <c r="T350" i="2"/>
  <c r="AE350" i="2"/>
  <c r="AD350" i="2"/>
  <c r="S350" i="2"/>
  <c r="AI350" i="2"/>
  <c r="AB350" i="2"/>
  <c r="AH358" i="2"/>
  <c r="Z358" i="2"/>
  <c r="R358" i="2"/>
  <c r="AG358" i="2"/>
  <c r="Y358" i="2"/>
  <c r="Q358" i="2"/>
  <c r="AF358" i="2"/>
  <c r="X358" i="2"/>
  <c r="P358" i="2"/>
  <c r="AC358" i="2"/>
  <c r="U358" i="2"/>
  <c r="AA358" i="2"/>
  <c r="W358" i="2"/>
  <c r="V358" i="2"/>
  <c r="T358" i="2"/>
  <c r="AE358" i="2"/>
  <c r="AD358" i="2"/>
  <c r="AB358" i="2"/>
  <c r="AI358" i="2"/>
  <c r="S358" i="2"/>
  <c r="AH366" i="2"/>
  <c r="Z366" i="2"/>
  <c r="R366" i="2"/>
  <c r="AG366" i="2"/>
  <c r="Y366" i="2"/>
  <c r="Q366" i="2"/>
  <c r="AF366" i="2"/>
  <c r="X366" i="2"/>
  <c r="P366" i="2"/>
  <c r="AC366" i="2"/>
  <c r="U366" i="2"/>
  <c r="AA366" i="2"/>
  <c r="W366" i="2"/>
  <c r="V366" i="2"/>
  <c r="T366" i="2"/>
  <c r="AE366" i="2"/>
  <c r="AI366" i="2"/>
  <c r="AB366" i="2"/>
  <c r="S366" i="2"/>
  <c r="AD366" i="2"/>
  <c r="AH374" i="2"/>
  <c r="Z374" i="2"/>
  <c r="R374" i="2"/>
  <c r="AG374" i="2"/>
  <c r="Y374" i="2"/>
  <c r="Q374" i="2"/>
  <c r="AF374" i="2"/>
  <c r="X374" i="2"/>
  <c r="P374" i="2"/>
  <c r="AC374" i="2"/>
  <c r="U374" i="2"/>
  <c r="AA374" i="2"/>
  <c r="W374" i="2"/>
  <c r="V374" i="2"/>
  <c r="T374" i="2"/>
  <c r="AE374" i="2"/>
  <c r="S374" i="2"/>
  <c r="AI374" i="2"/>
  <c r="AD374" i="2"/>
  <c r="AB374" i="2"/>
  <c r="AG382" i="2"/>
  <c r="Y382" i="2"/>
  <c r="Q382" i="2"/>
  <c r="AF382" i="2"/>
  <c r="X382" i="2"/>
  <c r="P382" i="2"/>
  <c r="AE382" i="2"/>
  <c r="W382" i="2"/>
  <c r="AD382" i="2"/>
  <c r="V382" i="2"/>
  <c r="AB382" i="2"/>
  <c r="AA382" i="2"/>
  <c r="Z382" i="2"/>
  <c r="AI382" i="2"/>
  <c r="S382" i="2"/>
  <c r="AC382" i="2"/>
  <c r="U382" i="2"/>
  <c r="T382" i="2"/>
  <c r="R382" i="2"/>
  <c r="AH382" i="2"/>
  <c r="AG390" i="2"/>
  <c r="Y390" i="2"/>
  <c r="Q390" i="2"/>
  <c r="AF390" i="2"/>
  <c r="X390" i="2"/>
  <c r="P390" i="2"/>
  <c r="AE390" i="2"/>
  <c r="W390" i="2"/>
  <c r="AD390" i="2"/>
  <c r="V390" i="2"/>
  <c r="AB390" i="2"/>
  <c r="AA390" i="2"/>
  <c r="Z390" i="2"/>
  <c r="AI390" i="2"/>
  <c r="S390" i="2"/>
  <c r="AC390" i="2"/>
  <c r="U390" i="2"/>
  <c r="T390" i="2"/>
  <c r="R390" i="2"/>
  <c r="AH390" i="2"/>
  <c r="AG398" i="2"/>
  <c r="Y398" i="2"/>
  <c r="Q398" i="2"/>
  <c r="AF398" i="2"/>
  <c r="X398" i="2"/>
  <c r="P398" i="2"/>
  <c r="AE398" i="2"/>
  <c r="W398" i="2"/>
  <c r="AD398" i="2"/>
  <c r="V398" i="2"/>
  <c r="AB398" i="2"/>
  <c r="AA398" i="2"/>
  <c r="Z398" i="2"/>
  <c r="AI398" i="2"/>
  <c r="S398" i="2"/>
  <c r="AC398" i="2"/>
  <c r="U398" i="2"/>
  <c r="T398" i="2"/>
  <c r="R398" i="2"/>
  <c r="AH398" i="2"/>
  <c r="AG406" i="2"/>
  <c r="Y406" i="2"/>
  <c r="Q406" i="2"/>
  <c r="AF406" i="2"/>
  <c r="X406" i="2"/>
  <c r="P406" i="2"/>
  <c r="AE406" i="2"/>
  <c r="W406" i="2"/>
  <c r="AD406" i="2"/>
  <c r="V406" i="2"/>
  <c r="AB406" i="2"/>
  <c r="AA406" i="2"/>
  <c r="Z406" i="2"/>
  <c r="AI406" i="2"/>
  <c r="S406" i="2"/>
  <c r="AC406" i="2"/>
  <c r="U406" i="2"/>
  <c r="T406" i="2"/>
  <c r="R406" i="2"/>
  <c r="AH406" i="2"/>
  <c r="AG414" i="2"/>
  <c r="Y414" i="2"/>
  <c r="Q414" i="2"/>
  <c r="AF414" i="2"/>
  <c r="X414" i="2"/>
  <c r="P414" i="2"/>
  <c r="AE414" i="2"/>
  <c r="W414" i="2"/>
  <c r="AD414" i="2"/>
  <c r="V414" i="2"/>
  <c r="AB414" i="2"/>
  <c r="AA414" i="2"/>
  <c r="Z414" i="2"/>
  <c r="AI414" i="2"/>
  <c r="S414" i="2"/>
  <c r="AC414" i="2"/>
  <c r="U414" i="2"/>
  <c r="T414" i="2"/>
  <c r="R414" i="2"/>
  <c r="AH414" i="2"/>
  <c r="AD422" i="2"/>
  <c r="V422" i="2"/>
  <c r="AC422" i="2"/>
  <c r="U422" i="2"/>
  <c r="AB422" i="2"/>
  <c r="T422" i="2"/>
  <c r="AI422" i="2"/>
  <c r="AA422" i="2"/>
  <c r="S422" i="2"/>
  <c r="AH422" i="2"/>
  <c r="R422" i="2"/>
  <c r="AG422" i="2"/>
  <c r="Q422" i="2"/>
  <c r="AF422" i="2"/>
  <c r="P422" i="2"/>
  <c r="AE422" i="2"/>
  <c r="Y422" i="2"/>
  <c r="X422" i="2"/>
  <c r="W422" i="2"/>
  <c r="Z422" i="2"/>
  <c r="AD430" i="2"/>
  <c r="V430" i="2"/>
  <c r="AC430" i="2"/>
  <c r="U430" i="2"/>
  <c r="AB430" i="2"/>
  <c r="T430" i="2"/>
  <c r="AI430" i="2"/>
  <c r="AA430" i="2"/>
  <c r="S430" i="2"/>
  <c r="AG430" i="2"/>
  <c r="Y430" i="2"/>
  <c r="Q430" i="2"/>
  <c r="R430" i="2"/>
  <c r="P430" i="2"/>
  <c r="AH430" i="2"/>
  <c r="AF430" i="2"/>
  <c r="X430" i="2"/>
  <c r="AE430" i="2"/>
  <c r="Z430" i="2"/>
  <c r="W430" i="2"/>
  <c r="AD438" i="2"/>
  <c r="V438" i="2"/>
  <c r="AC438" i="2"/>
  <c r="U438" i="2"/>
  <c r="AB438" i="2"/>
  <c r="T438" i="2"/>
  <c r="AI438" i="2"/>
  <c r="AA438" i="2"/>
  <c r="S438" i="2"/>
  <c r="AG438" i="2"/>
  <c r="Y438" i="2"/>
  <c r="Q438" i="2"/>
  <c r="AE438" i="2"/>
  <c r="Z438" i="2"/>
  <c r="X438" i="2"/>
  <c r="W438" i="2"/>
  <c r="P438" i="2"/>
  <c r="AH438" i="2"/>
  <c r="R438" i="2"/>
  <c r="AF438" i="2"/>
  <c r="AD446" i="2"/>
  <c r="V446" i="2"/>
  <c r="AC446" i="2"/>
  <c r="U446" i="2"/>
  <c r="AB446" i="2"/>
  <c r="T446" i="2"/>
  <c r="AI446" i="2"/>
  <c r="AA446" i="2"/>
  <c r="S446" i="2"/>
  <c r="AG446" i="2"/>
  <c r="Y446" i="2"/>
  <c r="Q446" i="2"/>
  <c r="R446" i="2"/>
  <c r="P446" i="2"/>
  <c r="AH446" i="2"/>
  <c r="AF446" i="2"/>
  <c r="Z446" i="2"/>
  <c r="X446" i="2"/>
  <c r="W446" i="2"/>
  <c r="AE446" i="2"/>
  <c r="D189" i="2"/>
  <c r="D197" i="2"/>
  <c r="D205" i="2"/>
  <c r="D213" i="2"/>
  <c r="D217" i="2"/>
  <c r="D221" i="2"/>
  <c r="D225" i="2"/>
  <c r="D229" i="2"/>
  <c r="D233" i="2"/>
  <c r="D237" i="2"/>
  <c r="D245" i="2"/>
  <c r="D253" i="2"/>
  <c r="D261" i="2"/>
  <c r="D269" i="2"/>
  <c r="D273" i="2"/>
  <c r="D277" i="2"/>
  <c r="D285" i="2"/>
  <c r="D289" i="2"/>
  <c r="D293" i="2"/>
  <c r="D301" i="2"/>
  <c r="D305" i="2"/>
  <c r="D309" i="2"/>
  <c r="D313" i="2"/>
  <c r="D317" i="2"/>
  <c r="D325" i="2"/>
  <c r="D333" i="2"/>
  <c r="D341" i="2"/>
  <c r="D345" i="2"/>
  <c r="D349" i="2"/>
  <c r="D357" i="2"/>
  <c r="D365" i="2"/>
  <c r="D373" i="2"/>
  <c r="D381" i="2"/>
  <c r="D389" i="2"/>
  <c r="D397" i="2"/>
  <c r="D405" i="2"/>
  <c r="D413" i="2"/>
  <c r="D421" i="2"/>
  <c r="D429" i="2"/>
  <c r="D437" i="2"/>
  <c r="D445" i="2"/>
  <c r="D453" i="2"/>
  <c r="R149" i="2"/>
  <c r="Z149" i="2"/>
  <c r="AH149" i="2"/>
  <c r="V150" i="2"/>
  <c r="AD150" i="2"/>
  <c r="R151" i="2"/>
  <c r="Z151" i="2"/>
  <c r="AH151" i="2"/>
  <c r="V152" i="2"/>
  <c r="AD152" i="2"/>
  <c r="R153" i="2"/>
  <c r="Z153" i="2"/>
  <c r="AH153" i="2"/>
  <c r="V154" i="2"/>
  <c r="AD154" i="2"/>
  <c r="R155" i="2"/>
  <c r="Z155" i="2"/>
  <c r="AH155" i="2"/>
  <c r="V156" i="2"/>
  <c r="AD156" i="2"/>
  <c r="R157" i="2"/>
  <c r="Z157" i="2"/>
  <c r="AH157" i="2"/>
  <c r="V158" i="2"/>
  <c r="AI158" i="2"/>
  <c r="T161" i="2"/>
  <c r="S162" i="2"/>
  <c r="U163" i="2"/>
  <c r="W165" i="2"/>
  <c r="AI166" i="2"/>
  <c r="S170" i="2"/>
  <c r="AE171" i="2"/>
  <c r="W173" i="2"/>
  <c r="AI174" i="2"/>
  <c r="S178" i="2"/>
  <c r="AE179" i="2"/>
  <c r="W181" i="2"/>
  <c r="AI182" i="2"/>
  <c r="S186" i="2"/>
  <c r="AE187" i="2"/>
  <c r="W189" i="2"/>
  <c r="AI190" i="2"/>
  <c r="S194" i="2"/>
  <c r="AE195" i="2"/>
  <c r="W197" i="2"/>
  <c r="AI198" i="2"/>
  <c r="S202" i="2"/>
  <c r="AE203" i="2"/>
  <c r="W205" i="2"/>
  <c r="AI206" i="2"/>
  <c r="S210" i="2"/>
  <c r="T212" i="2"/>
  <c r="S229" i="2"/>
  <c r="AB237" i="2"/>
  <c r="AC243" i="2"/>
  <c r="AC260" i="2"/>
  <c r="U286" i="2"/>
  <c r="AE164" i="2"/>
  <c r="W164" i="2"/>
  <c r="AD164" i="2"/>
  <c r="V164" i="2"/>
  <c r="AC164" i="2"/>
  <c r="U164" i="2"/>
  <c r="AB164" i="2"/>
  <c r="T164" i="2"/>
  <c r="AH164" i="2"/>
  <c r="Z164" i="2"/>
  <c r="R164" i="2"/>
  <c r="AE196" i="2"/>
  <c r="W196" i="2"/>
  <c r="AD196" i="2"/>
  <c r="V196" i="2"/>
  <c r="AC196" i="2"/>
  <c r="U196" i="2"/>
  <c r="AB196" i="2"/>
  <c r="T196" i="2"/>
  <c r="AH196" i="2"/>
  <c r="Z196" i="2"/>
  <c r="R196" i="2"/>
  <c r="AG196" i="2"/>
  <c r="Y196" i="2"/>
  <c r="Q196" i="2"/>
  <c r="AB252" i="2"/>
  <c r="T252" i="2"/>
  <c r="AI252" i="2"/>
  <c r="AA252" i="2"/>
  <c r="S252" i="2"/>
  <c r="AH252" i="2"/>
  <c r="Z252" i="2"/>
  <c r="R252" i="2"/>
  <c r="AE252" i="2"/>
  <c r="W252" i="2"/>
  <c r="X252" i="2"/>
  <c r="V252" i="2"/>
  <c r="U252" i="2"/>
  <c r="AG252" i="2"/>
  <c r="Q252" i="2"/>
  <c r="AD252" i="2"/>
  <c r="AF252" i="2"/>
  <c r="AC252" i="2"/>
  <c r="Y252" i="2"/>
  <c r="AB300" i="2"/>
  <c r="T300" i="2"/>
  <c r="AI300" i="2"/>
  <c r="AA300" i="2"/>
  <c r="S300" i="2"/>
  <c r="AH300" i="2"/>
  <c r="Z300" i="2"/>
  <c r="R300" i="2"/>
  <c r="AE300" i="2"/>
  <c r="W300" i="2"/>
  <c r="AC300" i="2"/>
  <c r="X300" i="2"/>
  <c r="AG300" i="2"/>
  <c r="Q300" i="2"/>
  <c r="AF300" i="2"/>
  <c r="P300" i="2"/>
  <c r="AD300" i="2"/>
  <c r="Y300" i="2"/>
  <c r="V300" i="2"/>
  <c r="U300" i="2"/>
  <c r="AG380" i="2"/>
  <c r="Y380" i="2"/>
  <c r="Q380" i="2"/>
  <c r="AF380" i="2"/>
  <c r="X380" i="2"/>
  <c r="P380" i="2"/>
  <c r="AE380" i="2"/>
  <c r="W380" i="2"/>
  <c r="AD380" i="2"/>
  <c r="V380" i="2"/>
  <c r="T380" i="2"/>
  <c r="AI380" i="2"/>
  <c r="S380" i="2"/>
  <c r="AH380" i="2"/>
  <c r="R380" i="2"/>
  <c r="AA380" i="2"/>
  <c r="AC380" i="2"/>
  <c r="AB380" i="2"/>
  <c r="Z380" i="2"/>
  <c r="U380" i="2"/>
  <c r="AI199" i="2"/>
  <c r="AA199" i="2"/>
  <c r="S199" i="2"/>
  <c r="AH199" i="2"/>
  <c r="Z199" i="2"/>
  <c r="R199" i="2"/>
  <c r="AG199" i="2"/>
  <c r="Y199" i="2"/>
  <c r="Q199" i="2"/>
  <c r="AF199" i="2"/>
  <c r="X199" i="2"/>
  <c r="P199" i="2"/>
  <c r="AD199" i="2"/>
  <c r="V199" i="2"/>
  <c r="AC199" i="2"/>
  <c r="U199" i="2"/>
  <c r="AH231" i="2"/>
  <c r="Z231" i="2"/>
  <c r="R231" i="2"/>
  <c r="AG231" i="2"/>
  <c r="Y231" i="2"/>
  <c r="Q231" i="2"/>
  <c r="AF231" i="2"/>
  <c r="X231" i="2"/>
  <c r="P231" i="2"/>
  <c r="AE231" i="2"/>
  <c r="W231" i="2"/>
  <c r="AC231" i="2"/>
  <c r="U231" i="2"/>
  <c r="AD231" i="2"/>
  <c r="AB231" i="2"/>
  <c r="AA231" i="2"/>
  <c r="V231" i="2"/>
  <c r="S231" i="2"/>
  <c r="AF263" i="2"/>
  <c r="X263" i="2"/>
  <c r="P263" i="2"/>
  <c r="AE263" i="2"/>
  <c r="W263" i="2"/>
  <c r="AD263" i="2"/>
  <c r="V263" i="2"/>
  <c r="AI263" i="2"/>
  <c r="AA263" i="2"/>
  <c r="S263" i="2"/>
  <c r="AB263" i="2"/>
  <c r="Z263" i="2"/>
  <c r="Y263" i="2"/>
  <c r="U263" i="2"/>
  <c r="T263" i="2"/>
  <c r="AH263" i="2"/>
  <c r="R263" i="2"/>
  <c r="AC263" i="2"/>
  <c r="Q263" i="2"/>
  <c r="AF287" i="2"/>
  <c r="X287" i="2"/>
  <c r="P287" i="2"/>
  <c r="AE287" i="2"/>
  <c r="W287" i="2"/>
  <c r="AD287" i="2"/>
  <c r="V287" i="2"/>
  <c r="AI287" i="2"/>
  <c r="AA287" i="2"/>
  <c r="S287" i="2"/>
  <c r="AB287" i="2"/>
  <c r="Z287" i="2"/>
  <c r="Y287" i="2"/>
  <c r="U287" i="2"/>
  <c r="T287" i="2"/>
  <c r="AH287" i="2"/>
  <c r="R287" i="2"/>
  <c r="AG287" i="2"/>
  <c r="AC287" i="2"/>
  <c r="Q287" i="2"/>
  <c r="AF319" i="2"/>
  <c r="X319" i="2"/>
  <c r="P319" i="2"/>
  <c r="AE319" i="2"/>
  <c r="W319" i="2"/>
  <c r="AD319" i="2"/>
  <c r="V319" i="2"/>
  <c r="AI319" i="2"/>
  <c r="AA319" i="2"/>
  <c r="S319" i="2"/>
  <c r="AG319" i="2"/>
  <c r="Q319" i="2"/>
  <c r="AB319" i="2"/>
  <c r="Z319" i="2"/>
  <c r="U319" i="2"/>
  <c r="T319" i="2"/>
  <c r="AC319" i="2"/>
  <c r="Y319" i="2"/>
  <c r="R319" i="2"/>
  <c r="AD343" i="2"/>
  <c r="V343" i="2"/>
  <c r="AC343" i="2"/>
  <c r="U343" i="2"/>
  <c r="AB343" i="2"/>
  <c r="T343" i="2"/>
  <c r="AG343" i="2"/>
  <c r="Y343" i="2"/>
  <c r="Q343" i="2"/>
  <c r="W343" i="2"/>
  <c r="AI343" i="2"/>
  <c r="S343" i="2"/>
  <c r="AH343" i="2"/>
  <c r="R343" i="2"/>
  <c r="AF343" i="2"/>
  <c r="P343" i="2"/>
  <c r="AA343" i="2"/>
  <c r="AE343" i="2"/>
  <c r="Z343" i="2"/>
  <c r="X343" i="2"/>
  <c r="AC383" i="2"/>
  <c r="U383" i="2"/>
  <c r="AB383" i="2"/>
  <c r="T383" i="2"/>
  <c r="AI383" i="2"/>
  <c r="AA383" i="2"/>
  <c r="S383" i="2"/>
  <c r="AH383" i="2"/>
  <c r="Z383" i="2"/>
  <c r="R383" i="2"/>
  <c r="X383" i="2"/>
  <c r="W383" i="2"/>
  <c r="V383" i="2"/>
  <c r="AE383" i="2"/>
  <c r="AG383" i="2"/>
  <c r="AF383" i="2"/>
  <c r="AD383" i="2"/>
  <c r="Q383" i="2"/>
  <c r="Y383" i="2"/>
  <c r="P383" i="2"/>
  <c r="AC407" i="2"/>
  <c r="U407" i="2"/>
  <c r="AB407" i="2"/>
  <c r="T407" i="2"/>
  <c r="AI407" i="2"/>
  <c r="AA407" i="2"/>
  <c r="S407" i="2"/>
  <c r="AH407" i="2"/>
  <c r="Z407" i="2"/>
  <c r="R407" i="2"/>
  <c r="X407" i="2"/>
  <c r="W407" i="2"/>
  <c r="V407" i="2"/>
  <c r="AE407" i="2"/>
  <c r="AG407" i="2"/>
  <c r="AF407" i="2"/>
  <c r="AD407" i="2"/>
  <c r="Q407" i="2"/>
  <c r="P407" i="2"/>
  <c r="Y407" i="2"/>
  <c r="AH439" i="2"/>
  <c r="Z439" i="2"/>
  <c r="R439" i="2"/>
  <c r="AG439" i="2"/>
  <c r="Y439" i="2"/>
  <c r="Q439" i="2"/>
  <c r="AF439" i="2"/>
  <c r="X439" i="2"/>
  <c r="P439" i="2"/>
  <c r="AE439" i="2"/>
  <c r="W439" i="2"/>
  <c r="AC439" i="2"/>
  <c r="U439" i="2"/>
  <c r="AD439" i="2"/>
  <c r="AB439" i="2"/>
  <c r="AA439" i="2"/>
  <c r="V439" i="2"/>
  <c r="AI439" i="2"/>
  <c r="T439" i="2"/>
  <c r="S439" i="2"/>
  <c r="S151" i="2"/>
  <c r="AA151" i="2"/>
  <c r="AI151" i="2"/>
  <c r="W156" i="2"/>
  <c r="AE156" i="2"/>
  <c r="T159" i="2"/>
  <c r="Y164" i="2"/>
  <c r="T167" i="2"/>
  <c r="P172" i="2"/>
  <c r="T175" i="2"/>
  <c r="P180" i="2"/>
  <c r="P188" i="2"/>
  <c r="T191" i="2"/>
  <c r="P196" i="2"/>
  <c r="T199" i="2"/>
  <c r="P204" i="2"/>
  <c r="T207" i="2"/>
  <c r="AE212" i="2"/>
  <c r="AF244" i="2"/>
  <c r="Y311" i="2"/>
  <c r="AD220" i="2"/>
  <c r="V220" i="2"/>
  <c r="AC220" i="2"/>
  <c r="U220" i="2"/>
  <c r="AB220" i="2"/>
  <c r="T220" i="2"/>
  <c r="AI220" i="2"/>
  <c r="AA220" i="2"/>
  <c r="S220" i="2"/>
  <c r="AG220" i="2"/>
  <c r="Y220" i="2"/>
  <c r="Q220" i="2"/>
  <c r="P220" i="2"/>
  <c r="AH220" i="2"/>
  <c r="AF220" i="2"/>
  <c r="AE220" i="2"/>
  <c r="X220" i="2"/>
  <c r="W220" i="2"/>
  <c r="AB292" i="2"/>
  <c r="T292" i="2"/>
  <c r="AI292" i="2"/>
  <c r="AA292" i="2"/>
  <c r="S292" i="2"/>
  <c r="AH292" i="2"/>
  <c r="Z292" i="2"/>
  <c r="R292" i="2"/>
  <c r="AE292" i="2"/>
  <c r="W292" i="2"/>
  <c r="X292" i="2"/>
  <c r="Y292" i="2"/>
  <c r="V292" i="2"/>
  <c r="U292" i="2"/>
  <c r="Q292" i="2"/>
  <c r="AG292" i="2"/>
  <c r="P292" i="2"/>
  <c r="AF292" i="2"/>
  <c r="AC292" i="2"/>
  <c r="AH348" i="2"/>
  <c r="Z348" i="2"/>
  <c r="R348" i="2"/>
  <c r="AG348" i="2"/>
  <c r="Y348" i="2"/>
  <c r="Q348" i="2"/>
  <c r="AF348" i="2"/>
  <c r="X348" i="2"/>
  <c r="P348" i="2"/>
  <c r="AC348" i="2"/>
  <c r="U348" i="2"/>
  <c r="AI348" i="2"/>
  <c r="S348" i="2"/>
  <c r="AE348" i="2"/>
  <c r="AD348" i="2"/>
  <c r="AB348" i="2"/>
  <c r="W348" i="2"/>
  <c r="AA348" i="2"/>
  <c r="T348" i="2"/>
  <c r="V348" i="2"/>
  <c r="AG412" i="2"/>
  <c r="Y412" i="2"/>
  <c r="Q412" i="2"/>
  <c r="AF412" i="2"/>
  <c r="X412" i="2"/>
  <c r="P412" i="2"/>
  <c r="AE412" i="2"/>
  <c r="W412" i="2"/>
  <c r="AD412" i="2"/>
  <c r="V412" i="2"/>
  <c r="T412" i="2"/>
  <c r="AI412" i="2"/>
  <c r="S412" i="2"/>
  <c r="AH412" i="2"/>
  <c r="R412" i="2"/>
  <c r="AA412" i="2"/>
  <c r="AC412" i="2"/>
  <c r="AB412" i="2"/>
  <c r="Z412" i="2"/>
  <c r="U412" i="2"/>
  <c r="AI183" i="2"/>
  <c r="AA183" i="2"/>
  <c r="S183" i="2"/>
  <c r="AH183" i="2"/>
  <c r="Z183" i="2"/>
  <c r="R183" i="2"/>
  <c r="AG183" i="2"/>
  <c r="Y183" i="2"/>
  <c r="Q183" i="2"/>
  <c r="AF183" i="2"/>
  <c r="X183" i="2"/>
  <c r="P183" i="2"/>
  <c r="AD183" i="2"/>
  <c r="V183" i="2"/>
  <c r="AC183" i="2"/>
  <c r="U183" i="2"/>
  <c r="AH239" i="2"/>
  <c r="Z239" i="2"/>
  <c r="R239" i="2"/>
  <c r="AG239" i="2"/>
  <c r="Y239" i="2"/>
  <c r="Q239" i="2"/>
  <c r="AF239" i="2"/>
  <c r="X239" i="2"/>
  <c r="P239" i="2"/>
  <c r="AE239" i="2"/>
  <c r="W239" i="2"/>
  <c r="AC239" i="2"/>
  <c r="U239" i="2"/>
  <c r="T239" i="2"/>
  <c r="S239" i="2"/>
  <c r="AI239" i="2"/>
  <c r="AB239" i="2"/>
  <c r="AA239" i="2"/>
  <c r="AD351" i="2"/>
  <c r="V351" i="2"/>
  <c r="AC351" i="2"/>
  <c r="U351" i="2"/>
  <c r="AB351" i="2"/>
  <c r="T351" i="2"/>
  <c r="AG351" i="2"/>
  <c r="Y351" i="2"/>
  <c r="Q351" i="2"/>
  <c r="W351" i="2"/>
  <c r="AI351" i="2"/>
  <c r="S351" i="2"/>
  <c r="AH351" i="2"/>
  <c r="R351" i="2"/>
  <c r="AF351" i="2"/>
  <c r="P351" i="2"/>
  <c r="AA351" i="2"/>
  <c r="Z351" i="2"/>
  <c r="X351" i="2"/>
  <c r="AE351" i="2"/>
  <c r="AC399" i="2"/>
  <c r="U399" i="2"/>
  <c r="AB399" i="2"/>
  <c r="T399" i="2"/>
  <c r="AI399" i="2"/>
  <c r="AA399" i="2"/>
  <c r="S399" i="2"/>
  <c r="AH399" i="2"/>
  <c r="Z399" i="2"/>
  <c r="R399" i="2"/>
  <c r="X399" i="2"/>
  <c r="W399" i="2"/>
  <c r="V399" i="2"/>
  <c r="AE399" i="2"/>
  <c r="AG399" i="2"/>
  <c r="AF399" i="2"/>
  <c r="AD399" i="2"/>
  <c r="Q399" i="2"/>
  <c r="P399" i="2"/>
  <c r="Y399" i="2"/>
  <c r="AE160" i="2"/>
  <c r="W160" i="2"/>
  <c r="AD160" i="2"/>
  <c r="V160" i="2"/>
  <c r="AC160" i="2"/>
  <c r="U160" i="2"/>
  <c r="AB160" i="2"/>
  <c r="T160" i="2"/>
  <c r="AH160" i="2"/>
  <c r="Z160" i="2"/>
  <c r="R160" i="2"/>
  <c r="AE168" i="2"/>
  <c r="W168" i="2"/>
  <c r="AD168" i="2"/>
  <c r="V168" i="2"/>
  <c r="AC168" i="2"/>
  <c r="U168" i="2"/>
  <c r="AB168" i="2"/>
  <c r="T168" i="2"/>
  <c r="AH168" i="2"/>
  <c r="Z168" i="2"/>
  <c r="R168" i="2"/>
  <c r="AG168" i="2"/>
  <c r="Y168" i="2"/>
  <c r="Q168" i="2"/>
  <c r="AE176" i="2"/>
  <c r="W176" i="2"/>
  <c r="AD176" i="2"/>
  <c r="V176" i="2"/>
  <c r="AC176" i="2"/>
  <c r="U176" i="2"/>
  <c r="AB176" i="2"/>
  <c r="T176" i="2"/>
  <c r="AH176" i="2"/>
  <c r="Z176" i="2"/>
  <c r="R176" i="2"/>
  <c r="AG176" i="2"/>
  <c r="Y176" i="2"/>
  <c r="Q176" i="2"/>
  <c r="AE184" i="2"/>
  <c r="W184" i="2"/>
  <c r="AD184" i="2"/>
  <c r="V184" i="2"/>
  <c r="AC184" i="2"/>
  <c r="U184" i="2"/>
  <c r="AB184" i="2"/>
  <c r="T184" i="2"/>
  <c r="AH184" i="2"/>
  <c r="Z184" i="2"/>
  <c r="R184" i="2"/>
  <c r="AG184" i="2"/>
  <c r="Y184" i="2"/>
  <c r="Q184" i="2"/>
  <c r="AE192" i="2"/>
  <c r="W192" i="2"/>
  <c r="AD192" i="2"/>
  <c r="V192" i="2"/>
  <c r="AC192" i="2"/>
  <c r="U192" i="2"/>
  <c r="AB192" i="2"/>
  <c r="T192" i="2"/>
  <c r="AH192" i="2"/>
  <c r="Z192" i="2"/>
  <c r="R192" i="2"/>
  <c r="AG192" i="2"/>
  <c r="Y192" i="2"/>
  <c r="Q192" i="2"/>
  <c r="AE200" i="2"/>
  <c r="W200" i="2"/>
  <c r="AD200" i="2"/>
  <c r="V200" i="2"/>
  <c r="AC200" i="2"/>
  <c r="U200" i="2"/>
  <c r="AB200" i="2"/>
  <c r="T200" i="2"/>
  <c r="AH200" i="2"/>
  <c r="Z200" i="2"/>
  <c r="R200" i="2"/>
  <c r="AG200" i="2"/>
  <c r="Y200" i="2"/>
  <c r="Q200" i="2"/>
  <c r="AE208" i="2"/>
  <c r="W208" i="2"/>
  <c r="AD208" i="2"/>
  <c r="V208" i="2"/>
  <c r="AC208" i="2"/>
  <c r="U208" i="2"/>
  <c r="AB208" i="2"/>
  <c r="T208" i="2"/>
  <c r="AH208" i="2"/>
  <c r="Z208" i="2"/>
  <c r="R208" i="2"/>
  <c r="AG208" i="2"/>
  <c r="Y208" i="2"/>
  <c r="Q208" i="2"/>
  <c r="AD216" i="2"/>
  <c r="V216" i="2"/>
  <c r="AC216" i="2"/>
  <c r="U216" i="2"/>
  <c r="AB216" i="2"/>
  <c r="T216" i="2"/>
  <c r="AI216" i="2"/>
  <c r="AA216" i="2"/>
  <c r="S216" i="2"/>
  <c r="AG216" i="2"/>
  <c r="Y216" i="2"/>
  <c r="Q216" i="2"/>
  <c r="AF216" i="2"/>
  <c r="AE216" i="2"/>
  <c r="Z216" i="2"/>
  <c r="X216" i="2"/>
  <c r="R216" i="2"/>
  <c r="P216" i="2"/>
  <c r="AD224" i="2"/>
  <c r="V224" i="2"/>
  <c r="AC224" i="2"/>
  <c r="U224" i="2"/>
  <c r="AB224" i="2"/>
  <c r="T224" i="2"/>
  <c r="AI224" i="2"/>
  <c r="AA224" i="2"/>
  <c r="S224" i="2"/>
  <c r="AG224" i="2"/>
  <c r="Y224" i="2"/>
  <c r="Q224" i="2"/>
  <c r="W224" i="2"/>
  <c r="R224" i="2"/>
  <c r="P224" i="2"/>
  <c r="AH224" i="2"/>
  <c r="AE224" i="2"/>
  <c r="Z224" i="2"/>
  <c r="AD232" i="2"/>
  <c r="V232" i="2"/>
  <c r="AC232" i="2"/>
  <c r="U232" i="2"/>
  <c r="AB232" i="2"/>
  <c r="T232" i="2"/>
  <c r="AI232" i="2"/>
  <c r="AA232" i="2"/>
  <c r="S232" i="2"/>
  <c r="AG232" i="2"/>
  <c r="Y232" i="2"/>
  <c r="Q232" i="2"/>
  <c r="AF232" i="2"/>
  <c r="AE232" i="2"/>
  <c r="Z232" i="2"/>
  <c r="X232" i="2"/>
  <c r="R232" i="2"/>
  <c r="P232" i="2"/>
  <c r="AB240" i="2"/>
  <c r="T240" i="2"/>
  <c r="AI240" i="2"/>
  <c r="AA240" i="2"/>
  <c r="S240" i="2"/>
  <c r="AH240" i="2"/>
  <c r="Z240" i="2"/>
  <c r="AE240" i="2"/>
  <c r="X240" i="2"/>
  <c r="W240" i="2"/>
  <c r="V240" i="2"/>
  <c r="AG240" i="2"/>
  <c r="U240" i="2"/>
  <c r="AD240" i="2"/>
  <c r="Q240" i="2"/>
  <c r="Y240" i="2"/>
  <c r="R240" i="2"/>
  <c r="P240" i="2"/>
  <c r="AF240" i="2"/>
  <c r="AB248" i="2"/>
  <c r="T248" i="2"/>
  <c r="AI248" i="2"/>
  <c r="AA248" i="2"/>
  <c r="S248" i="2"/>
  <c r="AH248" i="2"/>
  <c r="Z248" i="2"/>
  <c r="R248" i="2"/>
  <c r="AE248" i="2"/>
  <c r="W248" i="2"/>
  <c r="X248" i="2"/>
  <c r="V248" i="2"/>
  <c r="U248" i="2"/>
  <c r="AG248" i="2"/>
  <c r="Q248" i="2"/>
  <c r="AD248" i="2"/>
  <c r="AF248" i="2"/>
  <c r="AC248" i="2"/>
  <c r="Y248" i="2"/>
  <c r="P248" i="2"/>
  <c r="AB256" i="2"/>
  <c r="T256" i="2"/>
  <c r="AI256" i="2"/>
  <c r="AA256" i="2"/>
  <c r="S256" i="2"/>
  <c r="AH256" i="2"/>
  <c r="Z256" i="2"/>
  <c r="R256" i="2"/>
  <c r="AE256" i="2"/>
  <c r="W256" i="2"/>
  <c r="X256" i="2"/>
  <c r="V256" i="2"/>
  <c r="U256" i="2"/>
  <c r="AG256" i="2"/>
  <c r="Q256" i="2"/>
  <c r="AD256" i="2"/>
  <c r="AF256" i="2"/>
  <c r="AC256" i="2"/>
  <c r="P256" i="2"/>
  <c r="AB264" i="2"/>
  <c r="T264" i="2"/>
  <c r="AI264" i="2"/>
  <c r="AA264" i="2"/>
  <c r="S264" i="2"/>
  <c r="AH264" i="2"/>
  <c r="Z264" i="2"/>
  <c r="R264" i="2"/>
  <c r="AE264" i="2"/>
  <c r="W264" i="2"/>
  <c r="X264" i="2"/>
  <c r="V264" i="2"/>
  <c r="U264" i="2"/>
  <c r="AG264" i="2"/>
  <c r="Q264" i="2"/>
  <c r="AF264" i="2"/>
  <c r="P264" i="2"/>
  <c r="AD264" i="2"/>
  <c r="AC264" i="2"/>
  <c r="Y264" i="2"/>
  <c r="AB272" i="2"/>
  <c r="T272" i="2"/>
  <c r="AI272" i="2"/>
  <c r="AA272" i="2"/>
  <c r="S272" i="2"/>
  <c r="AH272" i="2"/>
  <c r="Z272" i="2"/>
  <c r="R272" i="2"/>
  <c r="AE272" i="2"/>
  <c r="W272" i="2"/>
  <c r="X272" i="2"/>
  <c r="V272" i="2"/>
  <c r="U272" i="2"/>
  <c r="AG272" i="2"/>
  <c r="Q272" i="2"/>
  <c r="AF272" i="2"/>
  <c r="P272" i="2"/>
  <c r="AD272" i="2"/>
  <c r="AC272" i="2"/>
  <c r="AB280" i="2"/>
  <c r="T280" i="2"/>
  <c r="AI280" i="2"/>
  <c r="AA280" i="2"/>
  <c r="S280" i="2"/>
  <c r="AH280" i="2"/>
  <c r="Z280" i="2"/>
  <c r="R280" i="2"/>
  <c r="AE280" i="2"/>
  <c r="W280" i="2"/>
  <c r="X280" i="2"/>
  <c r="V280" i="2"/>
  <c r="U280" i="2"/>
  <c r="AG280" i="2"/>
  <c r="Q280" i="2"/>
  <c r="AF280" i="2"/>
  <c r="P280" i="2"/>
  <c r="AD280" i="2"/>
  <c r="AC280" i="2"/>
  <c r="Y280" i="2"/>
  <c r="AB288" i="2"/>
  <c r="T288" i="2"/>
  <c r="AI288" i="2"/>
  <c r="AA288" i="2"/>
  <c r="S288" i="2"/>
  <c r="AH288" i="2"/>
  <c r="Z288" i="2"/>
  <c r="R288" i="2"/>
  <c r="AE288" i="2"/>
  <c r="W288" i="2"/>
  <c r="X288" i="2"/>
  <c r="V288" i="2"/>
  <c r="U288" i="2"/>
  <c r="AG288" i="2"/>
  <c r="Q288" i="2"/>
  <c r="AF288" i="2"/>
  <c r="P288" i="2"/>
  <c r="AD288" i="2"/>
  <c r="AC288" i="2"/>
  <c r="AB296" i="2"/>
  <c r="T296" i="2"/>
  <c r="AI296" i="2"/>
  <c r="AA296" i="2"/>
  <c r="S296" i="2"/>
  <c r="AH296" i="2"/>
  <c r="Z296" i="2"/>
  <c r="R296" i="2"/>
  <c r="AE296" i="2"/>
  <c r="W296" i="2"/>
  <c r="AC296" i="2"/>
  <c r="X296" i="2"/>
  <c r="AG296" i="2"/>
  <c r="Q296" i="2"/>
  <c r="AF296" i="2"/>
  <c r="P296" i="2"/>
  <c r="AD296" i="2"/>
  <c r="Y296" i="2"/>
  <c r="V296" i="2"/>
  <c r="AB304" i="2"/>
  <c r="T304" i="2"/>
  <c r="AI304" i="2"/>
  <c r="AA304" i="2"/>
  <c r="S304" i="2"/>
  <c r="AH304" i="2"/>
  <c r="Z304" i="2"/>
  <c r="R304" i="2"/>
  <c r="AE304" i="2"/>
  <c r="W304" i="2"/>
  <c r="AC304" i="2"/>
  <c r="X304" i="2"/>
  <c r="V304" i="2"/>
  <c r="AG304" i="2"/>
  <c r="Q304" i="2"/>
  <c r="AF304" i="2"/>
  <c r="P304" i="2"/>
  <c r="AD304" i="2"/>
  <c r="Y304" i="2"/>
  <c r="U304" i="2"/>
  <c r="AB312" i="2"/>
  <c r="T312" i="2"/>
  <c r="AI312" i="2"/>
  <c r="AA312" i="2"/>
  <c r="S312" i="2"/>
  <c r="AH312" i="2"/>
  <c r="Z312" i="2"/>
  <c r="R312" i="2"/>
  <c r="AE312" i="2"/>
  <c r="W312" i="2"/>
  <c r="AC312" i="2"/>
  <c r="X312" i="2"/>
  <c r="V312" i="2"/>
  <c r="AG312" i="2"/>
  <c r="Q312" i="2"/>
  <c r="AF312" i="2"/>
  <c r="P312" i="2"/>
  <c r="AD312" i="2"/>
  <c r="Y312" i="2"/>
  <c r="U312" i="2"/>
  <c r="AB320" i="2"/>
  <c r="T320" i="2"/>
  <c r="AI320" i="2"/>
  <c r="AA320" i="2"/>
  <c r="S320" i="2"/>
  <c r="AH320" i="2"/>
  <c r="Z320" i="2"/>
  <c r="R320" i="2"/>
  <c r="AE320" i="2"/>
  <c r="W320" i="2"/>
  <c r="AC320" i="2"/>
  <c r="X320" i="2"/>
  <c r="V320" i="2"/>
  <c r="AG320" i="2"/>
  <c r="Q320" i="2"/>
  <c r="AF320" i="2"/>
  <c r="P320" i="2"/>
  <c r="AD320" i="2"/>
  <c r="Y320" i="2"/>
  <c r="U320" i="2"/>
  <c r="AB328" i="2"/>
  <c r="T328" i="2"/>
  <c r="AI328" i="2"/>
  <c r="AA328" i="2"/>
  <c r="S328" i="2"/>
  <c r="AH328" i="2"/>
  <c r="Z328" i="2"/>
  <c r="R328" i="2"/>
  <c r="AG328" i="2"/>
  <c r="Y328" i="2"/>
  <c r="Q328" i="2"/>
  <c r="AE328" i="2"/>
  <c r="W328" i="2"/>
  <c r="AC328" i="2"/>
  <c r="V328" i="2"/>
  <c r="U328" i="2"/>
  <c r="AF328" i="2"/>
  <c r="AD328" i="2"/>
  <c r="X328" i="2"/>
  <c r="P328" i="2"/>
  <c r="AB336" i="2"/>
  <c r="T336" i="2"/>
  <c r="AI336" i="2"/>
  <c r="AA336" i="2"/>
  <c r="S336" i="2"/>
  <c r="AH336" i="2"/>
  <c r="Z336" i="2"/>
  <c r="R336" i="2"/>
  <c r="AG336" i="2"/>
  <c r="Y336" i="2"/>
  <c r="Q336" i="2"/>
  <c r="AE336" i="2"/>
  <c r="W336" i="2"/>
  <c r="P336" i="2"/>
  <c r="AF336" i="2"/>
  <c r="AD336" i="2"/>
  <c r="X336" i="2"/>
  <c r="V336" i="2"/>
  <c r="AC336" i="2"/>
  <c r="U336" i="2"/>
  <c r="AH344" i="2"/>
  <c r="Z344" i="2"/>
  <c r="R344" i="2"/>
  <c r="AG344" i="2"/>
  <c r="Y344" i="2"/>
  <c r="Q344" i="2"/>
  <c r="AF344" i="2"/>
  <c r="X344" i="2"/>
  <c r="P344" i="2"/>
  <c r="AC344" i="2"/>
  <c r="U344" i="2"/>
  <c r="AI344" i="2"/>
  <c r="S344" i="2"/>
  <c r="AE344" i="2"/>
  <c r="AD344" i="2"/>
  <c r="AB344" i="2"/>
  <c r="W344" i="2"/>
  <c r="V344" i="2"/>
  <c r="T344" i="2"/>
  <c r="AA344" i="2"/>
  <c r="AH352" i="2"/>
  <c r="Z352" i="2"/>
  <c r="R352" i="2"/>
  <c r="AG352" i="2"/>
  <c r="Y352" i="2"/>
  <c r="Q352" i="2"/>
  <c r="AF352" i="2"/>
  <c r="X352" i="2"/>
  <c r="P352" i="2"/>
  <c r="AC352" i="2"/>
  <c r="U352" i="2"/>
  <c r="AI352" i="2"/>
  <c r="S352" i="2"/>
  <c r="AE352" i="2"/>
  <c r="AD352" i="2"/>
  <c r="AB352" i="2"/>
  <c r="W352" i="2"/>
  <c r="V352" i="2"/>
  <c r="T352" i="2"/>
  <c r="AA352" i="2"/>
  <c r="AH360" i="2"/>
  <c r="Z360" i="2"/>
  <c r="R360" i="2"/>
  <c r="AG360" i="2"/>
  <c r="Y360" i="2"/>
  <c r="Q360" i="2"/>
  <c r="AF360" i="2"/>
  <c r="X360" i="2"/>
  <c r="P360" i="2"/>
  <c r="AC360" i="2"/>
  <c r="U360" i="2"/>
  <c r="AI360" i="2"/>
  <c r="S360" i="2"/>
  <c r="AE360" i="2"/>
  <c r="AD360" i="2"/>
  <c r="AB360" i="2"/>
  <c r="W360" i="2"/>
  <c r="AA360" i="2"/>
  <c r="T360" i="2"/>
  <c r="V360" i="2"/>
  <c r="AH368" i="2"/>
  <c r="Z368" i="2"/>
  <c r="R368" i="2"/>
  <c r="AG368" i="2"/>
  <c r="Y368" i="2"/>
  <c r="Q368" i="2"/>
  <c r="AF368" i="2"/>
  <c r="X368" i="2"/>
  <c r="P368" i="2"/>
  <c r="AC368" i="2"/>
  <c r="U368" i="2"/>
  <c r="AI368" i="2"/>
  <c r="S368" i="2"/>
  <c r="AE368" i="2"/>
  <c r="AD368" i="2"/>
  <c r="AB368" i="2"/>
  <c r="W368" i="2"/>
  <c r="AA368" i="2"/>
  <c r="V368" i="2"/>
  <c r="AH376" i="2"/>
  <c r="Z376" i="2"/>
  <c r="R376" i="2"/>
  <c r="AG376" i="2"/>
  <c r="Y376" i="2"/>
  <c r="Q376" i="2"/>
  <c r="AF376" i="2"/>
  <c r="X376" i="2"/>
  <c r="P376" i="2"/>
  <c r="AC376" i="2"/>
  <c r="U376" i="2"/>
  <c r="AI376" i="2"/>
  <c r="S376" i="2"/>
  <c r="AE376" i="2"/>
  <c r="AD376" i="2"/>
  <c r="AB376" i="2"/>
  <c r="W376" i="2"/>
  <c r="V376" i="2"/>
  <c r="AA376" i="2"/>
  <c r="T376" i="2"/>
  <c r="AG384" i="2"/>
  <c r="Y384" i="2"/>
  <c r="Q384" i="2"/>
  <c r="AF384" i="2"/>
  <c r="X384" i="2"/>
  <c r="P384" i="2"/>
  <c r="AE384" i="2"/>
  <c r="W384" i="2"/>
  <c r="AD384" i="2"/>
  <c r="V384" i="2"/>
  <c r="T384" i="2"/>
  <c r="AI384" i="2"/>
  <c r="S384" i="2"/>
  <c r="AH384" i="2"/>
  <c r="R384" i="2"/>
  <c r="AA384" i="2"/>
  <c r="U384" i="2"/>
  <c r="AC384" i="2"/>
  <c r="AB384" i="2"/>
  <c r="Z384" i="2"/>
  <c r="AG392" i="2"/>
  <c r="Y392" i="2"/>
  <c r="Q392" i="2"/>
  <c r="AF392" i="2"/>
  <c r="X392" i="2"/>
  <c r="P392" i="2"/>
  <c r="AE392" i="2"/>
  <c r="W392" i="2"/>
  <c r="AD392" i="2"/>
  <c r="V392" i="2"/>
  <c r="T392" i="2"/>
  <c r="AI392" i="2"/>
  <c r="S392" i="2"/>
  <c r="AH392" i="2"/>
  <c r="R392" i="2"/>
  <c r="AA392" i="2"/>
  <c r="U392" i="2"/>
  <c r="AC392" i="2"/>
  <c r="AB392" i="2"/>
  <c r="Z392" i="2"/>
  <c r="AG400" i="2"/>
  <c r="Y400" i="2"/>
  <c r="Q400" i="2"/>
  <c r="AF400" i="2"/>
  <c r="X400" i="2"/>
  <c r="P400" i="2"/>
  <c r="AE400" i="2"/>
  <c r="W400" i="2"/>
  <c r="AD400" i="2"/>
  <c r="V400" i="2"/>
  <c r="T400" i="2"/>
  <c r="AI400" i="2"/>
  <c r="S400" i="2"/>
  <c r="AH400" i="2"/>
  <c r="R400" i="2"/>
  <c r="AA400" i="2"/>
  <c r="U400" i="2"/>
  <c r="AC400" i="2"/>
  <c r="AB400" i="2"/>
  <c r="Z400" i="2"/>
  <c r="AG408" i="2"/>
  <c r="Y408" i="2"/>
  <c r="Q408" i="2"/>
  <c r="AF408" i="2"/>
  <c r="X408" i="2"/>
  <c r="P408" i="2"/>
  <c r="AE408" i="2"/>
  <c r="W408" i="2"/>
  <c r="AD408" i="2"/>
  <c r="V408" i="2"/>
  <c r="T408" i="2"/>
  <c r="AI408" i="2"/>
  <c r="S408" i="2"/>
  <c r="AH408" i="2"/>
  <c r="R408" i="2"/>
  <c r="AA408" i="2"/>
  <c r="U408" i="2"/>
  <c r="AC408" i="2"/>
  <c r="AB408" i="2"/>
  <c r="Z408" i="2"/>
  <c r="AG416" i="2"/>
  <c r="Y416" i="2"/>
  <c r="Q416" i="2"/>
  <c r="AF416" i="2"/>
  <c r="X416" i="2"/>
  <c r="P416" i="2"/>
  <c r="AE416" i="2"/>
  <c r="W416" i="2"/>
  <c r="AD416" i="2"/>
  <c r="V416" i="2"/>
  <c r="T416" i="2"/>
  <c r="AI416" i="2"/>
  <c r="S416" i="2"/>
  <c r="AH416" i="2"/>
  <c r="R416" i="2"/>
  <c r="AA416" i="2"/>
  <c r="U416" i="2"/>
  <c r="AC416" i="2"/>
  <c r="AB416" i="2"/>
  <c r="Z416" i="2"/>
  <c r="AD424" i="2"/>
  <c r="V424" i="2"/>
  <c r="AC424" i="2"/>
  <c r="U424" i="2"/>
  <c r="AB424" i="2"/>
  <c r="T424" i="2"/>
  <c r="AI424" i="2"/>
  <c r="AA424" i="2"/>
  <c r="S424" i="2"/>
  <c r="Z424" i="2"/>
  <c r="Y424" i="2"/>
  <c r="X424" i="2"/>
  <c r="W424" i="2"/>
  <c r="Q424" i="2"/>
  <c r="P424" i="2"/>
  <c r="AF424" i="2"/>
  <c r="AH424" i="2"/>
  <c r="AG424" i="2"/>
  <c r="AE424" i="2"/>
  <c r="R424" i="2"/>
  <c r="AD432" i="2"/>
  <c r="V432" i="2"/>
  <c r="AC432" i="2"/>
  <c r="U432" i="2"/>
  <c r="AB432" i="2"/>
  <c r="T432" i="2"/>
  <c r="AI432" i="2"/>
  <c r="AA432" i="2"/>
  <c r="S432" i="2"/>
  <c r="AG432" i="2"/>
  <c r="Y432" i="2"/>
  <c r="Q432" i="2"/>
  <c r="W432" i="2"/>
  <c r="R432" i="2"/>
  <c r="P432" i="2"/>
  <c r="AH432" i="2"/>
  <c r="Z432" i="2"/>
  <c r="AF432" i="2"/>
  <c r="AE432" i="2"/>
  <c r="X432" i="2"/>
  <c r="AD440" i="2"/>
  <c r="V440" i="2"/>
  <c r="AC440" i="2"/>
  <c r="U440" i="2"/>
  <c r="AB440" i="2"/>
  <c r="T440" i="2"/>
  <c r="AI440" i="2"/>
  <c r="AA440" i="2"/>
  <c r="S440" i="2"/>
  <c r="AG440" i="2"/>
  <c r="Y440" i="2"/>
  <c r="Q440" i="2"/>
  <c r="AF440" i="2"/>
  <c r="AE440" i="2"/>
  <c r="Z440" i="2"/>
  <c r="X440" i="2"/>
  <c r="R440" i="2"/>
  <c r="P440" i="2"/>
  <c r="AH440" i="2"/>
  <c r="W440" i="2"/>
  <c r="AD448" i="2"/>
  <c r="V448" i="2"/>
  <c r="AC448" i="2"/>
  <c r="U448" i="2"/>
  <c r="AB448" i="2"/>
  <c r="T448" i="2"/>
  <c r="AI448" i="2"/>
  <c r="AA448" i="2"/>
  <c r="S448" i="2"/>
  <c r="AG448" i="2"/>
  <c r="Y448" i="2"/>
  <c r="Q448" i="2"/>
  <c r="W448" i="2"/>
  <c r="R448" i="2"/>
  <c r="P448" i="2"/>
  <c r="AH448" i="2"/>
  <c r="AE448" i="2"/>
  <c r="Z448" i="2"/>
  <c r="X448" i="2"/>
  <c r="AF448" i="2"/>
  <c r="D192" i="2"/>
  <c r="D196" i="2"/>
  <c r="D200" i="2"/>
  <c r="D204" i="2"/>
  <c r="D208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T149" i="2"/>
  <c r="AB149" i="2"/>
  <c r="P150" i="2"/>
  <c r="X150" i="2"/>
  <c r="AF150" i="2"/>
  <c r="T151" i="2"/>
  <c r="AB151" i="2"/>
  <c r="P152" i="2"/>
  <c r="X152" i="2"/>
  <c r="AF152" i="2"/>
  <c r="T153" i="2"/>
  <c r="AB153" i="2"/>
  <c r="P154" i="2"/>
  <c r="X154" i="2"/>
  <c r="AF154" i="2"/>
  <c r="T155" i="2"/>
  <c r="AB155" i="2"/>
  <c r="P156" i="2"/>
  <c r="X156" i="2"/>
  <c r="AF156" i="2"/>
  <c r="T157" i="2"/>
  <c r="AB157" i="2"/>
  <c r="P158" i="2"/>
  <c r="X158" i="2"/>
  <c r="U159" i="2"/>
  <c r="X160" i="2"/>
  <c r="Y162" i="2"/>
  <c r="AB163" i="2"/>
  <c r="AA164" i="2"/>
  <c r="AE165" i="2"/>
  <c r="W167" i="2"/>
  <c r="AI168" i="2"/>
  <c r="AA170" i="2"/>
  <c r="S172" i="2"/>
  <c r="AE173" i="2"/>
  <c r="AI176" i="2"/>
  <c r="AA178" i="2"/>
  <c r="S180" i="2"/>
  <c r="AE181" i="2"/>
  <c r="W183" i="2"/>
  <c r="AI184" i="2"/>
  <c r="AA186" i="2"/>
  <c r="S188" i="2"/>
  <c r="AE189" i="2"/>
  <c r="W191" i="2"/>
  <c r="AI192" i="2"/>
  <c r="AA194" i="2"/>
  <c r="S196" i="2"/>
  <c r="AE197" i="2"/>
  <c r="W199" i="2"/>
  <c r="AI200" i="2"/>
  <c r="AA202" i="2"/>
  <c r="S204" i="2"/>
  <c r="AE205" i="2"/>
  <c r="W207" i="2"/>
  <c r="AI208" i="2"/>
  <c r="AA210" i="2"/>
  <c r="S213" i="2"/>
  <c r="AB221" i="2"/>
  <c r="R230" i="2"/>
  <c r="AE238" i="2"/>
  <c r="AB245" i="2"/>
  <c r="U254" i="2"/>
  <c r="AG263" i="2"/>
  <c r="AC276" i="2"/>
  <c r="T368" i="2"/>
  <c r="AD212" i="2"/>
  <c r="V212" i="2"/>
  <c r="AC212" i="2"/>
  <c r="U212" i="2"/>
  <c r="AI212" i="2"/>
  <c r="AA212" i="2"/>
  <c r="S212" i="2"/>
  <c r="AG212" i="2"/>
  <c r="Y212" i="2"/>
  <c r="Q212" i="2"/>
  <c r="AB212" i="2"/>
  <c r="Z212" i="2"/>
  <c r="X212" i="2"/>
  <c r="W212" i="2"/>
  <c r="AH212" i="2"/>
  <c r="R212" i="2"/>
  <c r="AF212" i="2"/>
  <c r="P212" i="2"/>
  <c r="AB340" i="2"/>
  <c r="T340" i="2"/>
  <c r="AI340" i="2"/>
  <c r="AA340" i="2"/>
  <c r="S340" i="2"/>
  <c r="AH340" i="2"/>
  <c r="Z340" i="2"/>
  <c r="R340" i="2"/>
  <c r="AG340" i="2"/>
  <c r="Y340" i="2"/>
  <c r="Q340" i="2"/>
  <c r="AE340" i="2"/>
  <c r="W340" i="2"/>
  <c r="V340" i="2"/>
  <c r="P340" i="2"/>
  <c r="AD340" i="2"/>
  <c r="AC340" i="2"/>
  <c r="X340" i="2"/>
  <c r="U340" i="2"/>
  <c r="T156" i="2"/>
  <c r="AI175" i="2"/>
  <c r="AA175" i="2"/>
  <c r="S175" i="2"/>
  <c r="AH175" i="2"/>
  <c r="Z175" i="2"/>
  <c r="R175" i="2"/>
  <c r="AG175" i="2"/>
  <c r="Y175" i="2"/>
  <c r="Q175" i="2"/>
  <c r="AF175" i="2"/>
  <c r="X175" i="2"/>
  <c r="P175" i="2"/>
  <c r="AD175" i="2"/>
  <c r="V175" i="2"/>
  <c r="AC175" i="2"/>
  <c r="U175" i="2"/>
  <c r="AH215" i="2"/>
  <c r="Z215" i="2"/>
  <c r="R215" i="2"/>
  <c r="AG215" i="2"/>
  <c r="Y215" i="2"/>
  <c r="Q215" i="2"/>
  <c r="AF215" i="2"/>
  <c r="X215" i="2"/>
  <c r="P215" i="2"/>
  <c r="AE215" i="2"/>
  <c r="W215" i="2"/>
  <c r="AC215" i="2"/>
  <c r="U215" i="2"/>
  <c r="AD215" i="2"/>
  <c r="AB215" i="2"/>
  <c r="AA215" i="2"/>
  <c r="V215" i="2"/>
  <c r="S215" i="2"/>
  <c r="AF271" i="2"/>
  <c r="X271" i="2"/>
  <c r="P271" i="2"/>
  <c r="AE271" i="2"/>
  <c r="W271" i="2"/>
  <c r="AD271" i="2"/>
  <c r="V271" i="2"/>
  <c r="AI271" i="2"/>
  <c r="AA271" i="2"/>
  <c r="S271" i="2"/>
  <c r="AB271" i="2"/>
  <c r="Z271" i="2"/>
  <c r="Y271" i="2"/>
  <c r="U271" i="2"/>
  <c r="T271" i="2"/>
  <c r="AH271" i="2"/>
  <c r="R271" i="2"/>
  <c r="AG271" i="2"/>
  <c r="AC271" i="2"/>
  <c r="Q271" i="2"/>
  <c r="AF303" i="2"/>
  <c r="X303" i="2"/>
  <c r="P303" i="2"/>
  <c r="AE303" i="2"/>
  <c r="W303" i="2"/>
  <c r="AD303" i="2"/>
  <c r="V303" i="2"/>
  <c r="AI303" i="2"/>
  <c r="AA303" i="2"/>
  <c r="S303" i="2"/>
  <c r="AG303" i="2"/>
  <c r="Q303" i="2"/>
  <c r="AB303" i="2"/>
  <c r="Z303" i="2"/>
  <c r="U303" i="2"/>
  <c r="T303" i="2"/>
  <c r="AH303" i="2"/>
  <c r="AC303" i="2"/>
  <c r="Y303" i="2"/>
  <c r="R303" i="2"/>
  <c r="AD359" i="2"/>
  <c r="V359" i="2"/>
  <c r="AC359" i="2"/>
  <c r="U359" i="2"/>
  <c r="AB359" i="2"/>
  <c r="T359" i="2"/>
  <c r="AG359" i="2"/>
  <c r="Y359" i="2"/>
  <c r="Q359" i="2"/>
  <c r="W359" i="2"/>
  <c r="AI359" i="2"/>
  <c r="S359" i="2"/>
  <c r="AH359" i="2"/>
  <c r="R359" i="2"/>
  <c r="AF359" i="2"/>
  <c r="P359" i="2"/>
  <c r="AA359" i="2"/>
  <c r="X359" i="2"/>
  <c r="AE359" i="2"/>
  <c r="Z359" i="2"/>
  <c r="AC415" i="2"/>
  <c r="U415" i="2"/>
  <c r="AB415" i="2"/>
  <c r="T415" i="2"/>
  <c r="AI415" i="2"/>
  <c r="AA415" i="2"/>
  <c r="S415" i="2"/>
  <c r="AH415" i="2"/>
  <c r="Z415" i="2"/>
  <c r="R415" i="2"/>
  <c r="X415" i="2"/>
  <c r="W415" i="2"/>
  <c r="V415" i="2"/>
  <c r="AE415" i="2"/>
  <c r="AG415" i="2"/>
  <c r="AF415" i="2"/>
  <c r="AD415" i="2"/>
  <c r="Q415" i="2"/>
  <c r="P415" i="2"/>
  <c r="Y415" i="2"/>
  <c r="AI161" i="2"/>
  <c r="AA161" i="2"/>
  <c r="S161" i="2"/>
  <c r="AH161" i="2"/>
  <c r="Z161" i="2"/>
  <c r="R161" i="2"/>
  <c r="AG161" i="2"/>
  <c r="Y161" i="2"/>
  <c r="Q161" i="2"/>
  <c r="AF161" i="2"/>
  <c r="X161" i="2"/>
  <c r="P161" i="2"/>
  <c r="AD161" i="2"/>
  <c r="V161" i="2"/>
  <c r="AI169" i="2"/>
  <c r="AA169" i="2"/>
  <c r="S169" i="2"/>
  <c r="AH169" i="2"/>
  <c r="Z169" i="2"/>
  <c r="R169" i="2"/>
  <c r="AG169" i="2"/>
  <c r="Y169" i="2"/>
  <c r="Q169" i="2"/>
  <c r="AF169" i="2"/>
  <c r="X169" i="2"/>
  <c r="P169" i="2"/>
  <c r="AD169" i="2"/>
  <c r="V169" i="2"/>
  <c r="AC169" i="2"/>
  <c r="U169" i="2"/>
  <c r="AI177" i="2"/>
  <c r="AA177" i="2"/>
  <c r="S177" i="2"/>
  <c r="AH177" i="2"/>
  <c r="Z177" i="2"/>
  <c r="R177" i="2"/>
  <c r="AG177" i="2"/>
  <c r="Y177" i="2"/>
  <c r="Q177" i="2"/>
  <c r="AF177" i="2"/>
  <c r="X177" i="2"/>
  <c r="P177" i="2"/>
  <c r="AD177" i="2"/>
  <c r="V177" i="2"/>
  <c r="AC177" i="2"/>
  <c r="U177" i="2"/>
  <c r="AI185" i="2"/>
  <c r="AA185" i="2"/>
  <c r="S185" i="2"/>
  <c r="AH185" i="2"/>
  <c r="Z185" i="2"/>
  <c r="R185" i="2"/>
  <c r="AG185" i="2"/>
  <c r="Y185" i="2"/>
  <c r="Q185" i="2"/>
  <c r="AF185" i="2"/>
  <c r="X185" i="2"/>
  <c r="P185" i="2"/>
  <c r="AD185" i="2"/>
  <c r="V185" i="2"/>
  <c r="AC185" i="2"/>
  <c r="U185" i="2"/>
  <c r="AI193" i="2"/>
  <c r="AA193" i="2"/>
  <c r="S193" i="2"/>
  <c r="AH193" i="2"/>
  <c r="Z193" i="2"/>
  <c r="R193" i="2"/>
  <c r="AG193" i="2"/>
  <c r="Y193" i="2"/>
  <c r="Q193" i="2"/>
  <c r="AF193" i="2"/>
  <c r="X193" i="2"/>
  <c r="P193" i="2"/>
  <c r="AD193" i="2"/>
  <c r="V193" i="2"/>
  <c r="AC193" i="2"/>
  <c r="U193" i="2"/>
  <c r="AI201" i="2"/>
  <c r="AA201" i="2"/>
  <c r="S201" i="2"/>
  <c r="AH201" i="2"/>
  <c r="Z201" i="2"/>
  <c r="R201" i="2"/>
  <c r="AG201" i="2"/>
  <c r="Y201" i="2"/>
  <c r="Q201" i="2"/>
  <c r="AF201" i="2"/>
  <c r="X201" i="2"/>
  <c r="P201" i="2"/>
  <c r="AD201" i="2"/>
  <c r="V201" i="2"/>
  <c r="AC201" i="2"/>
  <c r="U201" i="2"/>
  <c r="AI209" i="2"/>
  <c r="AA209" i="2"/>
  <c r="S209" i="2"/>
  <c r="AH209" i="2"/>
  <c r="Z209" i="2"/>
  <c r="R209" i="2"/>
  <c r="AG209" i="2"/>
  <c r="Y209" i="2"/>
  <c r="Q209" i="2"/>
  <c r="AF209" i="2"/>
  <c r="X209" i="2"/>
  <c r="P209" i="2"/>
  <c r="AD209" i="2"/>
  <c r="V209" i="2"/>
  <c r="AC209" i="2"/>
  <c r="U209" i="2"/>
  <c r="AH217" i="2"/>
  <c r="Z217" i="2"/>
  <c r="R217" i="2"/>
  <c r="AG217" i="2"/>
  <c r="Y217" i="2"/>
  <c r="Q217" i="2"/>
  <c r="AF217" i="2"/>
  <c r="X217" i="2"/>
  <c r="P217" i="2"/>
  <c r="AE217" i="2"/>
  <c r="W217" i="2"/>
  <c r="AC217" i="2"/>
  <c r="U217" i="2"/>
  <c r="AI217" i="2"/>
  <c r="AD217" i="2"/>
  <c r="AB217" i="2"/>
  <c r="AA217" i="2"/>
  <c r="T217" i="2"/>
  <c r="S217" i="2"/>
  <c r="AH225" i="2"/>
  <c r="Z225" i="2"/>
  <c r="R225" i="2"/>
  <c r="AG225" i="2"/>
  <c r="Y225" i="2"/>
  <c r="Q225" i="2"/>
  <c r="AF225" i="2"/>
  <c r="X225" i="2"/>
  <c r="P225" i="2"/>
  <c r="AE225" i="2"/>
  <c r="W225" i="2"/>
  <c r="AC225" i="2"/>
  <c r="U225" i="2"/>
  <c r="V225" i="2"/>
  <c r="T225" i="2"/>
  <c r="S225" i="2"/>
  <c r="AD225" i="2"/>
  <c r="AB225" i="2"/>
  <c r="AH233" i="2"/>
  <c r="Z233" i="2"/>
  <c r="R233" i="2"/>
  <c r="AG233" i="2"/>
  <c r="Y233" i="2"/>
  <c r="Q233" i="2"/>
  <c r="AF233" i="2"/>
  <c r="X233" i="2"/>
  <c r="P233" i="2"/>
  <c r="AE233" i="2"/>
  <c r="W233" i="2"/>
  <c r="AC233" i="2"/>
  <c r="U233" i="2"/>
  <c r="AI233" i="2"/>
  <c r="AD233" i="2"/>
  <c r="AB233" i="2"/>
  <c r="AA233" i="2"/>
  <c r="T233" i="2"/>
  <c r="S233" i="2"/>
  <c r="AF241" i="2"/>
  <c r="X241" i="2"/>
  <c r="P241" i="2"/>
  <c r="AE241" i="2"/>
  <c r="W241" i="2"/>
  <c r="AD241" i="2"/>
  <c r="V241" i="2"/>
  <c r="AI241" i="2"/>
  <c r="AA241" i="2"/>
  <c r="S241" i="2"/>
  <c r="T241" i="2"/>
  <c r="AH241" i="2"/>
  <c r="R241" i="2"/>
  <c r="AG241" i="2"/>
  <c r="Q241" i="2"/>
  <c r="AC241" i="2"/>
  <c r="Z241" i="2"/>
  <c r="AB241" i="2"/>
  <c r="U241" i="2"/>
  <c r="AF249" i="2"/>
  <c r="X249" i="2"/>
  <c r="P249" i="2"/>
  <c r="AE249" i="2"/>
  <c r="W249" i="2"/>
  <c r="AD249" i="2"/>
  <c r="V249" i="2"/>
  <c r="AI249" i="2"/>
  <c r="AA249" i="2"/>
  <c r="S249" i="2"/>
  <c r="T249" i="2"/>
  <c r="AH249" i="2"/>
  <c r="R249" i="2"/>
  <c r="AG249" i="2"/>
  <c r="Q249" i="2"/>
  <c r="AC249" i="2"/>
  <c r="Z249" i="2"/>
  <c r="AB249" i="2"/>
  <c r="Y249" i="2"/>
  <c r="AF257" i="2"/>
  <c r="X257" i="2"/>
  <c r="P257" i="2"/>
  <c r="AE257" i="2"/>
  <c r="W257" i="2"/>
  <c r="AD257" i="2"/>
  <c r="V257" i="2"/>
  <c r="AI257" i="2"/>
  <c r="AA257" i="2"/>
  <c r="S257" i="2"/>
  <c r="T257" i="2"/>
  <c r="AH257" i="2"/>
  <c r="R257" i="2"/>
  <c r="AG257" i="2"/>
  <c r="Q257" i="2"/>
  <c r="AC257" i="2"/>
  <c r="Z257" i="2"/>
  <c r="Y257" i="2"/>
  <c r="U257" i="2"/>
  <c r="AF265" i="2"/>
  <c r="X265" i="2"/>
  <c r="P265" i="2"/>
  <c r="AE265" i="2"/>
  <c r="W265" i="2"/>
  <c r="AD265" i="2"/>
  <c r="V265" i="2"/>
  <c r="AI265" i="2"/>
  <c r="AA265" i="2"/>
  <c r="S265" i="2"/>
  <c r="T265" i="2"/>
  <c r="AH265" i="2"/>
  <c r="R265" i="2"/>
  <c r="AG265" i="2"/>
  <c r="Q265" i="2"/>
  <c r="AC265" i="2"/>
  <c r="AB265" i="2"/>
  <c r="Z265" i="2"/>
  <c r="Y265" i="2"/>
  <c r="U265" i="2"/>
  <c r="AF273" i="2"/>
  <c r="X273" i="2"/>
  <c r="P273" i="2"/>
  <c r="AE273" i="2"/>
  <c r="W273" i="2"/>
  <c r="AD273" i="2"/>
  <c r="V273" i="2"/>
  <c r="AI273" i="2"/>
  <c r="AA273" i="2"/>
  <c r="S273" i="2"/>
  <c r="T273" i="2"/>
  <c r="AH273" i="2"/>
  <c r="R273" i="2"/>
  <c r="AG273" i="2"/>
  <c r="Q273" i="2"/>
  <c r="AC273" i="2"/>
  <c r="AB273" i="2"/>
  <c r="Z273" i="2"/>
  <c r="U273" i="2"/>
  <c r="AF281" i="2"/>
  <c r="X281" i="2"/>
  <c r="P281" i="2"/>
  <c r="AE281" i="2"/>
  <c r="W281" i="2"/>
  <c r="AD281" i="2"/>
  <c r="V281" i="2"/>
  <c r="AI281" i="2"/>
  <c r="AA281" i="2"/>
  <c r="S281" i="2"/>
  <c r="T281" i="2"/>
  <c r="AH281" i="2"/>
  <c r="R281" i="2"/>
  <c r="AG281" i="2"/>
  <c r="Q281" i="2"/>
  <c r="AC281" i="2"/>
  <c r="AB281" i="2"/>
  <c r="Z281" i="2"/>
  <c r="Y281" i="2"/>
  <c r="U281" i="2"/>
  <c r="AF289" i="2"/>
  <c r="X289" i="2"/>
  <c r="P289" i="2"/>
  <c r="AE289" i="2"/>
  <c r="W289" i="2"/>
  <c r="AD289" i="2"/>
  <c r="V289" i="2"/>
  <c r="AI289" i="2"/>
  <c r="AA289" i="2"/>
  <c r="S289" i="2"/>
  <c r="T289" i="2"/>
  <c r="AH289" i="2"/>
  <c r="R289" i="2"/>
  <c r="AG289" i="2"/>
  <c r="Q289" i="2"/>
  <c r="AC289" i="2"/>
  <c r="AB289" i="2"/>
  <c r="Z289" i="2"/>
  <c r="U289" i="2"/>
  <c r="AF297" i="2"/>
  <c r="X297" i="2"/>
  <c r="P297" i="2"/>
  <c r="AE297" i="2"/>
  <c r="W297" i="2"/>
  <c r="AD297" i="2"/>
  <c r="V297" i="2"/>
  <c r="AI297" i="2"/>
  <c r="AA297" i="2"/>
  <c r="S297" i="2"/>
  <c r="Y297" i="2"/>
  <c r="T297" i="2"/>
  <c r="AC297" i="2"/>
  <c r="AB297" i="2"/>
  <c r="Z297" i="2"/>
  <c r="U297" i="2"/>
  <c r="R297" i="2"/>
  <c r="Q297" i="2"/>
  <c r="AG297" i="2"/>
  <c r="AF305" i="2"/>
  <c r="X305" i="2"/>
  <c r="P305" i="2"/>
  <c r="AE305" i="2"/>
  <c r="W305" i="2"/>
  <c r="AD305" i="2"/>
  <c r="V305" i="2"/>
  <c r="AI305" i="2"/>
  <c r="AA305" i="2"/>
  <c r="S305" i="2"/>
  <c r="Y305" i="2"/>
  <c r="T305" i="2"/>
  <c r="AH305" i="2"/>
  <c r="R305" i="2"/>
  <c r="AC305" i="2"/>
  <c r="AB305" i="2"/>
  <c r="AG305" i="2"/>
  <c r="Z305" i="2"/>
  <c r="Q305" i="2"/>
  <c r="AF313" i="2"/>
  <c r="X313" i="2"/>
  <c r="P313" i="2"/>
  <c r="AE313" i="2"/>
  <c r="W313" i="2"/>
  <c r="AD313" i="2"/>
  <c r="V313" i="2"/>
  <c r="AI313" i="2"/>
  <c r="AA313" i="2"/>
  <c r="S313" i="2"/>
  <c r="Y313" i="2"/>
  <c r="T313" i="2"/>
  <c r="AH313" i="2"/>
  <c r="R313" i="2"/>
  <c r="AC313" i="2"/>
  <c r="AB313" i="2"/>
  <c r="U313" i="2"/>
  <c r="Q313" i="2"/>
  <c r="Z313" i="2"/>
  <c r="AF321" i="2"/>
  <c r="X321" i="2"/>
  <c r="P321" i="2"/>
  <c r="AE321" i="2"/>
  <c r="W321" i="2"/>
  <c r="AD321" i="2"/>
  <c r="V321" i="2"/>
  <c r="AI321" i="2"/>
  <c r="AA321" i="2"/>
  <c r="S321" i="2"/>
  <c r="Y321" i="2"/>
  <c r="T321" i="2"/>
  <c r="AH321" i="2"/>
  <c r="R321" i="2"/>
  <c r="AC321" i="2"/>
  <c r="AB321" i="2"/>
  <c r="AG321" i="2"/>
  <c r="Z321" i="2"/>
  <c r="U321" i="2"/>
  <c r="Q321" i="2"/>
  <c r="AF329" i="2"/>
  <c r="X329" i="2"/>
  <c r="P329" i="2"/>
  <c r="AE329" i="2"/>
  <c r="W329" i="2"/>
  <c r="AD329" i="2"/>
  <c r="V329" i="2"/>
  <c r="AC329" i="2"/>
  <c r="U329" i="2"/>
  <c r="AI329" i="2"/>
  <c r="AA329" i="2"/>
  <c r="S329" i="2"/>
  <c r="AB329" i="2"/>
  <c r="Y329" i="2"/>
  <c r="T329" i="2"/>
  <c r="Q329" i="2"/>
  <c r="AH329" i="2"/>
  <c r="R329" i="2"/>
  <c r="AG329" i="2"/>
  <c r="AF337" i="2"/>
  <c r="X337" i="2"/>
  <c r="P337" i="2"/>
  <c r="AE337" i="2"/>
  <c r="W337" i="2"/>
  <c r="AD337" i="2"/>
  <c r="V337" i="2"/>
  <c r="AC337" i="2"/>
  <c r="U337" i="2"/>
  <c r="AI337" i="2"/>
  <c r="AA337" i="2"/>
  <c r="S337" i="2"/>
  <c r="R337" i="2"/>
  <c r="AH337" i="2"/>
  <c r="AG337" i="2"/>
  <c r="Z337" i="2"/>
  <c r="Y337" i="2"/>
  <c r="AB337" i="2"/>
  <c r="T337" i="2"/>
  <c r="Q337" i="2"/>
  <c r="AD345" i="2"/>
  <c r="V345" i="2"/>
  <c r="AC345" i="2"/>
  <c r="U345" i="2"/>
  <c r="AB345" i="2"/>
  <c r="T345" i="2"/>
  <c r="AG345" i="2"/>
  <c r="Y345" i="2"/>
  <c r="Q345" i="2"/>
  <c r="AE345" i="2"/>
  <c r="AA345" i="2"/>
  <c r="Z345" i="2"/>
  <c r="X345" i="2"/>
  <c r="AI345" i="2"/>
  <c r="S345" i="2"/>
  <c r="AH345" i="2"/>
  <c r="AF345" i="2"/>
  <c r="R345" i="2"/>
  <c r="P345" i="2"/>
  <c r="AD353" i="2"/>
  <c r="V353" i="2"/>
  <c r="AC353" i="2"/>
  <c r="U353" i="2"/>
  <c r="AB353" i="2"/>
  <c r="T353" i="2"/>
  <c r="AG353" i="2"/>
  <c r="Y353" i="2"/>
  <c r="Q353" i="2"/>
  <c r="AE353" i="2"/>
  <c r="AA353" i="2"/>
  <c r="Z353" i="2"/>
  <c r="X353" i="2"/>
  <c r="AI353" i="2"/>
  <c r="S353" i="2"/>
  <c r="P353" i="2"/>
  <c r="AF353" i="2"/>
  <c r="W353" i="2"/>
  <c r="AH353" i="2"/>
  <c r="R353" i="2"/>
  <c r="AD361" i="2"/>
  <c r="V361" i="2"/>
  <c r="AC361" i="2"/>
  <c r="U361" i="2"/>
  <c r="AB361" i="2"/>
  <c r="T361" i="2"/>
  <c r="AG361" i="2"/>
  <c r="Y361" i="2"/>
  <c r="Q361" i="2"/>
  <c r="AE361" i="2"/>
  <c r="AA361" i="2"/>
  <c r="Z361" i="2"/>
  <c r="X361" i="2"/>
  <c r="AI361" i="2"/>
  <c r="S361" i="2"/>
  <c r="W361" i="2"/>
  <c r="P361" i="2"/>
  <c r="AH361" i="2"/>
  <c r="R361" i="2"/>
  <c r="AD369" i="2"/>
  <c r="V369" i="2"/>
  <c r="AC369" i="2"/>
  <c r="U369" i="2"/>
  <c r="AB369" i="2"/>
  <c r="T369" i="2"/>
  <c r="AG369" i="2"/>
  <c r="Y369" i="2"/>
  <c r="Q369" i="2"/>
  <c r="AE369" i="2"/>
  <c r="AA369" i="2"/>
  <c r="Z369" i="2"/>
  <c r="X369" i="2"/>
  <c r="AI369" i="2"/>
  <c r="S369" i="2"/>
  <c r="AH369" i="2"/>
  <c r="W369" i="2"/>
  <c r="R369" i="2"/>
  <c r="AF369" i="2"/>
  <c r="P369" i="2"/>
  <c r="AC377" i="2"/>
  <c r="AI377" i="2"/>
  <c r="AA377" i="2"/>
  <c r="AH377" i="2"/>
  <c r="AF377" i="2"/>
  <c r="V377" i="2"/>
  <c r="AE377" i="2"/>
  <c r="U377" i="2"/>
  <c r="AD377" i="2"/>
  <c r="T377" i="2"/>
  <c r="Y377" i="2"/>
  <c r="Q377" i="2"/>
  <c r="AG377" i="2"/>
  <c r="AB377" i="2"/>
  <c r="Z377" i="2"/>
  <c r="X377" i="2"/>
  <c r="S377" i="2"/>
  <c r="R377" i="2"/>
  <c r="P377" i="2"/>
  <c r="W377" i="2"/>
  <c r="AC385" i="2"/>
  <c r="U385" i="2"/>
  <c r="AB385" i="2"/>
  <c r="T385" i="2"/>
  <c r="AI385" i="2"/>
  <c r="AA385" i="2"/>
  <c r="S385" i="2"/>
  <c r="AH385" i="2"/>
  <c r="Z385" i="2"/>
  <c r="R385" i="2"/>
  <c r="AF385" i="2"/>
  <c r="P385" i="2"/>
  <c r="AE385" i="2"/>
  <c r="AD385" i="2"/>
  <c r="W385" i="2"/>
  <c r="AG385" i="2"/>
  <c r="Y385" i="2"/>
  <c r="X385" i="2"/>
  <c r="V385" i="2"/>
  <c r="Q385" i="2"/>
  <c r="AC393" i="2"/>
  <c r="U393" i="2"/>
  <c r="AB393" i="2"/>
  <c r="T393" i="2"/>
  <c r="AI393" i="2"/>
  <c r="AA393" i="2"/>
  <c r="S393" i="2"/>
  <c r="AH393" i="2"/>
  <c r="Z393" i="2"/>
  <c r="R393" i="2"/>
  <c r="AF393" i="2"/>
  <c r="P393" i="2"/>
  <c r="AE393" i="2"/>
  <c r="AD393" i="2"/>
  <c r="W393" i="2"/>
  <c r="AG393" i="2"/>
  <c r="Y393" i="2"/>
  <c r="X393" i="2"/>
  <c r="V393" i="2"/>
  <c r="Q393" i="2"/>
  <c r="AC401" i="2"/>
  <c r="U401" i="2"/>
  <c r="AB401" i="2"/>
  <c r="T401" i="2"/>
  <c r="AI401" i="2"/>
  <c r="AA401" i="2"/>
  <c r="S401" i="2"/>
  <c r="AH401" i="2"/>
  <c r="Z401" i="2"/>
  <c r="R401" i="2"/>
  <c r="AF401" i="2"/>
  <c r="P401" i="2"/>
  <c r="AE401" i="2"/>
  <c r="AD401" i="2"/>
  <c r="W401" i="2"/>
  <c r="AG401" i="2"/>
  <c r="Y401" i="2"/>
  <c r="X401" i="2"/>
  <c r="V401" i="2"/>
  <c r="Q401" i="2"/>
  <c r="AC409" i="2"/>
  <c r="U409" i="2"/>
  <c r="AB409" i="2"/>
  <c r="T409" i="2"/>
  <c r="AI409" i="2"/>
  <c r="AA409" i="2"/>
  <c r="S409" i="2"/>
  <c r="AH409" i="2"/>
  <c r="Z409" i="2"/>
  <c r="R409" i="2"/>
  <c r="AF409" i="2"/>
  <c r="P409" i="2"/>
  <c r="AE409" i="2"/>
  <c r="AD409" i="2"/>
  <c r="W409" i="2"/>
  <c r="AG409" i="2"/>
  <c r="Y409" i="2"/>
  <c r="X409" i="2"/>
  <c r="V409" i="2"/>
  <c r="Q409" i="2"/>
  <c r="AC417" i="2"/>
  <c r="U417" i="2"/>
  <c r="AB417" i="2"/>
  <c r="T417" i="2"/>
  <c r="AI417" i="2"/>
  <c r="AA417" i="2"/>
  <c r="S417" i="2"/>
  <c r="AH417" i="2"/>
  <c r="Z417" i="2"/>
  <c r="R417" i="2"/>
  <c r="AF417" i="2"/>
  <c r="P417" i="2"/>
  <c r="AE417" i="2"/>
  <c r="AD417" i="2"/>
  <c r="W417" i="2"/>
  <c r="AG417" i="2"/>
  <c r="Y417" i="2"/>
  <c r="X417" i="2"/>
  <c r="V417" i="2"/>
  <c r="Q417" i="2"/>
  <c r="AH425" i="2"/>
  <c r="Z425" i="2"/>
  <c r="R425" i="2"/>
  <c r="AG425" i="2"/>
  <c r="Y425" i="2"/>
  <c r="Q425" i="2"/>
  <c r="AF425" i="2"/>
  <c r="X425" i="2"/>
  <c r="P425" i="2"/>
  <c r="AE425" i="2"/>
  <c r="W425" i="2"/>
  <c r="V425" i="2"/>
  <c r="U425" i="2"/>
  <c r="T425" i="2"/>
  <c r="AI425" i="2"/>
  <c r="S425" i="2"/>
  <c r="AC425" i="2"/>
  <c r="AB425" i="2"/>
  <c r="AA425" i="2"/>
  <c r="AD425" i="2"/>
  <c r="AH433" i="2"/>
  <c r="Z433" i="2"/>
  <c r="R433" i="2"/>
  <c r="AG433" i="2"/>
  <c r="Y433" i="2"/>
  <c r="Q433" i="2"/>
  <c r="AF433" i="2"/>
  <c r="X433" i="2"/>
  <c r="P433" i="2"/>
  <c r="AE433" i="2"/>
  <c r="W433" i="2"/>
  <c r="AC433" i="2"/>
  <c r="U433" i="2"/>
  <c r="V433" i="2"/>
  <c r="T433" i="2"/>
  <c r="S433" i="2"/>
  <c r="AD433" i="2"/>
  <c r="AB433" i="2"/>
  <c r="AA433" i="2"/>
  <c r="AI433" i="2"/>
  <c r="AH441" i="2"/>
  <c r="Z441" i="2"/>
  <c r="R441" i="2"/>
  <c r="AG441" i="2"/>
  <c r="Y441" i="2"/>
  <c r="Q441" i="2"/>
  <c r="AF441" i="2"/>
  <c r="X441" i="2"/>
  <c r="P441" i="2"/>
  <c r="AE441" i="2"/>
  <c r="W441" i="2"/>
  <c r="AC441" i="2"/>
  <c r="U441" i="2"/>
  <c r="AI441" i="2"/>
  <c r="AD441" i="2"/>
  <c r="AB441" i="2"/>
  <c r="AA441" i="2"/>
  <c r="S441" i="2"/>
  <c r="V441" i="2"/>
  <c r="T441" i="2"/>
  <c r="AH449" i="2"/>
  <c r="Z449" i="2"/>
  <c r="R449" i="2"/>
  <c r="AG449" i="2"/>
  <c r="Y449" i="2"/>
  <c r="Q449" i="2"/>
  <c r="AF449" i="2"/>
  <c r="X449" i="2"/>
  <c r="P449" i="2"/>
  <c r="AE449" i="2"/>
  <c r="W449" i="2"/>
  <c r="AC449" i="2"/>
  <c r="U449" i="2"/>
  <c r="V449" i="2"/>
  <c r="T449" i="2"/>
  <c r="S449" i="2"/>
  <c r="AB449" i="2"/>
  <c r="AI449" i="2"/>
  <c r="AD449" i="2"/>
  <c r="AA449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377" i="2"/>
  <c r="G381" i="2"/>
  <c r="G385" i="2"/>
  <c r="G389" i="2"/>
  <c r="G393" i="2"/>
  <c r="G397" i="2"/>
  <c r="G401" i="2"/>
  <c r="G405" i="2"/>
  <c r="G409" i="2"/>
  <c r="G413" i="2"/>
  <c r="G417" i="2"/>
  <c r="G421" i="2"/>
  <c r="G425" i="2"/>
  <c r="G429" i="2"/>
  <c r="G433" i="2"/>
  <c r="G437" i="2"/>
  <c r="G441" i="2"/>
  <c r="G445" i="2"/>
  <c r="G449" i="2"/>
  <c r="G453" i="2"/>
  <c r="U149" i="2"/>
  <c r="AC149" i="2"/>
  <c r="Q150" i="2"/>
  <c r="Y150" i="2"/>
  <c r="AG150" i="2"/>
  <c r="U151" i="2"/>
  <c r="AC151" i="2"/>
  <c r="Q152" i="2"/>
  <c r="Y152" i="2"/>
  <c r="AG152" i="2"/>
  <c r="U153" i="2"/>
  <c r="AC153" i="2"/>
  <c r="Q154" i="2"/>
  <c r="Y154" i="2"/>
  <c r="AG154" i="2"/>
  <c r="U155" i="2"/>
  <c r="AC155" i="2"/>
  <c r="Q156" i="2"/>
  <c r="Y156" i="2"/>
  <c r="AG156" i="2"/>
  <c r="U157" i="2"/>
  <c r="AC157" i="2"/>
  <c r="Q158" i="2"/>
  <c r="Y158" i="2"/>
  <c r="W159" i="2"/>
  <c r="Y160" i="2"/>
  <c r="AB161" i="2"/>
  <c r="AC163" i="2"/>
  <c r="AF164" i="2"/>
  <c r="P166" i="2"/>
  <c r="T169" i="2"/>
  <c r="P174" i="2"/>
  <c r="AB175" i="2"/>
  <c r="T177" i="2"/>
  <c r="X180" i="2"/>
  <c r="P182" i="2"/>
  <c r="AB183" i="2"/>
  <c r="T185" i="2"/>
  <c r="X188" i="2"/>
  <c r="P190" i="2"/>
  <c r="AB191" i="2"/>
  <c r="T193" i="2"/>
  <c r="X196" i="2"/>
  <c r="P198" i="2"/>
  <c r="AB199" i="2"/>
  <c r="T201" i="2"/>
  <c r="X204" i="2"/>
  <c r="P206" i="2"/>
  <c r="T209" i="2"/>
  <c r="AD213" i="2"/>
  <c r="W222" i="2"/>
  <c r="AF230" i="2"/>
  <c r="S235" i="2"/>
  <c r="V239" i="2"/>
  <c r="AC255" i="2"/>
  <c r="AG278" i="2"/>
  <c r="AC291" i="2"/>
  <c r="AH319" i="2"/>
  <c r="Y391" i="2"/>
  <c r="AE172" i="2"/>
  <c r="W172" i="2"/>
  <c r="AD172" i="2"/>
  <c r="V172" i="2"/>
  <c r="AC172" i="2"/>
  <c r="U172" i="2"/>
  <c r="AB172" i="2"/>
  <c r="T172" i="2"/>
  <c r="AH172" i="2"/>
  <c r="Z172" i="2"/>
  <c r="R172" i="2"/>
  <c r="AG172" i="2"/>
  <c r="Y172" i="2"/>
  <c r="Q172" i="2"/>
  <c r="AD228" i="2"/>
  <c r="V228" i="2"/>
  <c r="AC228" i="2"/>
  <c r="U228" i="2"/>
  <c r="AB228" i="2"/>
  <c r="T228" i="2"/>
  <c r="AI228" i="2"/>
  <c r="AA228" i="2"/>
  <c r="S228" i="2"/>
  <c r="AG228" i="2"/>
  <c r="Y228" i="2"/>
  <c r="Q228" i="2"/>
  <c r="Z228" i="2"/>
  <c r="X228" i="2"/>
  <c r="W228" i="2"/>
  <c r="R228" i="2"/>
  <c r="AH228" i="2"/>
  <c r="AF228" i="2"/>
  <c r="AB260" i="2"/>
  <c r="T260" i="2"/>
  <c r="AI260" i="2"/>
  <c r="AA260" i="2"/>
  <c r="S260" i="2"/>
  <c r="AH260" i="2"/>
  <c r="Z260" i="2"/>
  <c r="R260" i="2"/>
  <c r="AE260" i="2"/>
  <c r="W260" i="2"/>
  <c r="X260" i="2"/>
  <c r="V260" i="2"/>
  <c r="U260" i="2"/>
  <c r="AG260" i="2"/>
  <c r="Q260" i="2"/>
  <c r="AF260" i="2"/>
  <c r="AD260" i="2"/>
  <c r="Y260" i="2"/>
  <c r="P260" i="2"/>
  <c r="AB308" i="2"/>
  <c r="T308" i="2"/>
  <c r="AI308" i="2"/>
  <c r="AA308" i="2"/>
  <c r="S308" i="2"/>
  <c r="AH308" i="2"/>
  <c r="Z308" i="2"/>
  <c r="R308" i="2"/>
  <c r="AE308" i="2"/>
  <c r="W308" i="2"/>
  <c r="AC308" i="2"/>
  <c r="X308" i="2"/>
  <c r="V308" i="2"/>
  <c r="AG308" i="2"/>
  <c r="Q308" i="2"/>
  <c r="AF308" i="2"/>
  <c r="P308" i="2"/>
  <c r="AD308" i="2"/>
  <c r="Y308" i="2"/>
  <c r="U308" i="2"/>
  <c r="AH356" i="2"/>
  <c r="Z356" i="2"/>
  <c r="R356" i="2"/>
  <c r="AG356" i="2"/>
  <c r="Y356" i="2"/>
  <c r="Q356" i="2"/>
  <c r="AF356" i="2"/>
  <c r="X356" i="2"/>
  <c r="P356" i="2"/>
  <c r="AC356" i="2"/>
  <c r="U356" i="2"/>
  <c r="AI356" i="2"/>
  <c r="S356" i="2"/>
  <c r="AE356" i="2"/>
  <c r="AD356" i="2"/>
  <c r="AB356" i="2"/>
  <c r="W356" i="2"/>
  <c r="AA356" i="2"/>
  <c r="V356" i="2"/>
  <c r="T356" i="2"/>
  <c r="AG396" i="2"/>
  <c r="Y396" i="2"/>
  <c r="Q396" i="2"/>
  <c r="AF396" i="2"/>
  <c r="X396" i="2"/>
  <c r="P396" i="2"/>
  <c r="AE396" i="2"/>
  <c r="W396" i="2"/>
  <c r="AD396" i="2"/>
  <c r="V396" i="2"/>
  <c r="T396" i="2"/>
  <c r="AI396" i="2"/>
  <c r="S396" i="2"/>
  <c r="AH396" i="2"/>
  <c r="R396" i="2"/>
  <c r="AA396" i="2"/>
  <c r="AC396" i="2"/>
  <c r="AB396" i="2"/>
  <c r="Z396" i="2"/>
  <c r="U396" i="2"/>
  <c r="AD436" i="2"/>
  <c r="V436" i="2"/>
  <c r="AC436" i="2"/>
  <c r="U436" i="2"/>
  <c r="AB436" i="2"/>
  <c r="T436" i="2"/>
  <c r="AI436" i="2"/>
  <c r="AA436" i="2"/>
  <c r="S436" i="2"/>
  <c r="AG436" i="2"/>
  <c r="Y436" i="2"/>
  <c r="Q436" i="2"/>
  <c r="Z436" i="2"/>
  <c r="X436" i="2"/>
  <c r="W436" i="2"/>
  <c r="R436" i="2"/>
  <c r="AF436" i="2"/>
  <c r="AH436" i="2"/>
  <c r="AE436" i="2"/>
  <c r="P436" i="2"/>
  <c r="AI167" i="2"/>
  <c r="AA167" i="2"/>
  <c r="S167" i="2"/>
  <c r="AH167" i="2"/>
  <c r="Z167" i="2"/>
  <c r="R167" i="2"/>
  <c r="AG167" i="2"/>
  <c r="Y167" i="2"/>
  <c r="Q167" i="2"/>
  <c r="AF167" i="2"/>
  <c r="X167" i="2"/>
  <c r="P167" i="2"/>
  <c r="AD167" i="2"/>
  <c r="V167" i="2"/>
  <c r="AC167" i="2"/>
  <c r="U167" i="2"/>
  <c r="AI207" i="2"/>
  <c r="AA207" i="2"/>
  <c r="S207" i="2"/>
  <c r="AH207" i="2"/>
  <c r="Z207" i="2"/>
  <c r="R207" i="2"/>
  <c r="AG207" i="2"/>
  <c r="Y207" i="2"/>
  <c r="Q207" i="2"/>
  <c r="AF207" i="2"/>
  <c r="X207" i="2"/>
  <c r="P207" i="2"/>
  <c r="AD207" i="2"/>
  <c r="V207" i="2"/>
  <c r="AC207" i="2"/>
  <c r="U207" i="2"/>
  <c r="AF247" i="2"/>
  <c r="X247" i="2"/>
  <c r="P247" i="2"/>
  <c r="AE247" i="2"/>
  <c r="W247" i="2"/>
  <c r="AD247" i="2"/>
  <c r="V247" i="2"/>
  <c r="AI247" i="2"/>
  <c r="AA247" i="2"/>
  <c r="S247" i="2"/>
  <c r="AB247" i="2"/>
  <c r="Z247" i="2"/>
  <c r="Y247" i="2"/>
  <c r="U247" i="2"/>
  <c r="AH247" i="2"/>
  <c r="R247" i="2"/>
  <c r="AC247" i="2"/>
  <c r="T247" i="2"/>
  <c r="AF295" i="2"/>
  <c r="X295" i="2"/>
  <c r="P295" i="2"/>
  <c r="AE295" i="2"/>
  <c r="W295" i="2"/>
  <c r="AD295" i="2"/>
  <c r="V295" i="2"/>
  <c r="AI295" i="2"/>
  <c r="AA295" i="2"/>
  <c r="S295" i="2"/>
  <c r="AG295" i="2"/>
  <c r="Q295" i="2"/>
  <c r="AB295" i="2"/>
  <c r="U295" i="2"/>
  <c r="T295" i="2"/>
  <c r="AH295" i="2"/>
  <c r="AC295" i="2"/>
  <c r="Z295" i="2"/>
  <c r="Y295" i="2"/>
  <c r="R295" i="2"/>
  <c r="AF327" i="2"/>
  <c r="X327" i="2"/>
  <c r="P327" i="2"/>
  <c r="AE327" i="2"/>
  <c r="W327" i="2"/>
  <c r="AD327" i="2"/>
  <c r="V327" i="2"/>
  <c r="AC327" i="2"/>
  <c r="U327" i="2"/>
  <c r="AI327" i="2"/>
  <c r="AA327" i="2"/>
  <c r="S327" i="2"/>
  <c r="Z327" i="2"/>
  <c r="T327" i="2"/>
  <c r="R327" i="2"/>
  <c r="AH327" i="2"/>
  <c r="AG327" i="2"/>
  <c r="AB327" i="2"/>
  <c r="Y327" i="2"/>
  <c r="Q327" i="2"/>
  <c r="AD375" i="2"/>
  <c r="V375" i="2"/>
  <c r="AC375" i="2"/>
  <c r="U375" i="2"/>
  <c r="AB375" i="2"/>
  <c r="T375" i="2"/>
  <c r="AG375" i="2"/>
  <c r="Y375" i="2"/>
  <c r="Q375" i="2"/>
  <c r="W375" i="2"/>
  <c r="AI375" i="2"/>
  <c r="S375" i="2"/>
  <c r="AH375" i="2"/>
  <c r="R375" i="2"/>
  <c r="AF375" i="2"/>
  <c r="P375" i="2"/>
  <c r="AA375" i="2"/>
  <c r="AE375" i="2"/>
  <c r="Z375" i="2"/>
  <c r="X375" i="2"/>
  <c r="AH423" i="2"/>
  <c r="Z423" i="2"/>
  <c r="R423" i="2"/>
  <c r="AG423" i="2"/>
  <c r="Y423" i="2"/>
  <c r="Q423" i="2"/>
  <c r="AF423" i="2"/>
  <c r="X423" i="2"/>
  <c r="P423" i="2"/>
  <c r="AE423" i="2"/>
  <c r="W423" i="2"/>
  <c r="AD423" i="2"/>
  <c r="AC423" i="2"/>
  <c r="AB423" i="2"/>
  <c r="AA423" i="2"/>
  <c r="AI423" i="2"/>
  <c r="T423" i="2"/>
  <c r="V423" i="2"/>
  <c r="U423" i="2"/>
  <c r="S423" i="2"/>
  <c r="AE162" i="2"/>
  <c r="W162" i="2"/>
  <c r="AD162" i="2"/>
  <c r="V162" i="2"/>
  <c r="AC162" i="2"/>
  <c r="U162" i="2"/>
  <c r="AB162" i="2"/>
  <c r="T162" i="2"/>
  <c r="AH162" i="2"/>
  <c r="Z162" i="2"/>
  <c r="R162" i="2"/>
  <c r="AE170" i="2"/>
  <c r="W170" i="2"/>
  <c r="AD170" i="2"/>
  <c r="V170" i="2"/>
  <c r="AC170" i="2"/>
  <c r="U170" i="2"/>
  <c r="AB170" i="2"/>
  <c r="T170" i="2"/>
  <c r="AH170" i="2"/>
  <c r="Z170" i="2"/>
  <c r="R170" i="2"/>
  <c r="AG170" i="2"/>
  <c r="Y170" i="2"/>
  <c r="Q170" i="2"/>
  <c r="AE178" i="2"/>
  <c r="W178" i="2"/>
  <c r="AD178" i="2"/>
  <c r="V178" i="2"/>
  <c r="AC178" i="2"/>
  <c r="U178" i="2"/>
  <c r="AB178" i="2"/>
  <c r="T178" i="2"/>
  <c r="AH178" i="2"/>
  <c r="Z178" i="2"/>
  <c r="R178" i="2"/>
  <c r="AG178" i="2"/>
  <c r="Y178" i="2"/>
  <c r="Q178" i="2"/>
  <c r="AE186" i="2"/>
  <c r="W186" i="2"/>
  <c r="AD186" i="2"/>
  <c r="V186" i="2"/>
  <c r="AC186" i="2"/>
  <c r="U186" i="2"/>
  <c r="AB186" i="2"/>
  <c r="T186" i="2"/>
  <c r="AH186" i="2"/>
  <c r="Z186" i="2"/>
  <c r="R186" i="2"/>
  <c r="AG186" i="2"/>
  <c r="Y186" i="2"/>
  <c r="Q186" i="2"/>
  <c r="AE194" i="2"/>
  <c r="W194" i="2"/>
  <c r="AD194" i="2"/>
  <c r="V194" i="2"/>
  <c r="AC194" i="2"/>
  <c r="U194" i="2"/>
  <c r="AB194" i="2"/>
  <c r="T194" i="2"/>
  <c r="AH194" i="2"/>
  <c r="Z194" i="2"/>
  <c r="R194" i="2"/>
  <c r="AG194" i="2"/>
  <c r="Y194" i="2"/>
  <c r="Q194" i="2"/>
  <c r="AE202" i="2"/>
  <c r="W202" i="2"/>
  <c r="AD202" i="2"/>
  <c r="V202" i="2"/>
  <c r="AC202" i="2"/>
  <c r="U202" i="2"/>
  <c r="AB202" i="2"/>
  <c r="T202" i="2"/>
  <c r="AH202" i="2"/>
  <c r="Z202" i="2"/>
  <c r="R202" i="2"/>
  <c r="AG202" i="2"/>
  <c r="Y202" i="2"/>
  <c r="Q202" i="2"/>
  <c r="AE210" i="2"/>
  <c r="W210" i="2"/>
  <c r="AD210" i="2"/>
  <c r="V210" i="2"/>
  <c r="AC210" i="2"/>
  <c r="U210" i="2"/>
  <c r="AB210" i="2"/>
  <c r="T210" i="2"/>
  <c r="AH210" i="2"/>
  <c r="Z210" i="2"/>
  <c r="R210" i="2"/>
  <c r="AG210" i="2"/>
  <c r="Y210" i="2"/>
  <c r="Q210" i="2"/>
  <c r="AD218" i="2"/>
  <c r="V218" i="2"/>
  <c r="AC218" i="2"/>
  <c r="U218" i="2"/>
  <c r="AB218" i="2"/>
  <c r="T218" i="2"/>
  <c r="AI218" i="2"/>
  <c r="AA218" i="2"/>
  <c r="S218" i="2"/>
  <c r="AG218" i="2"/>
  <c r="Y218" i="2"/>
  <c r="Q218" i="2"/>
  <c r="AH218" i="2"/>
  <c r="AF218" i="2"/>
  <c r="AE218" i="2"/>
  <c r="Z218" i="2"/>
  <c r="W218" i="2"/>
  <c r="R218" i="2"/>
  <c r="AD226" i="2"/>
  <c r="V226" i="2"/>
  <c r="AC226" i="2"/>
  <c r="U226" i="2"/>
  <c r="AB226" i="2"/>
  <c r="T226" i="2"/>
  <c r="AI226" i="2"/>
  <c r="AA226" i="2"/>
  <c r="S226" i="2"/>
  <c r="AG226" i="2"/>
  <c r="Y226" i="2"/>
  <c r="Q226" i="2"/>
  <c r="X226" i="2"/>
  <c r="W226" i="2"/>
  <c r="R226" i="2"/>
  <c r="P226" i="2"/>
  <c r="AF226" i="2"/>
  <c r="AE226" i="2"/>
  <c r="AD234" i="2"/>
  <c r="V234" i="2"/>
  <c r="AC234" i="2"/>
  <c r="U234" i="2"/>
  <c r="AB234" i="2"/>
  <c r="T234" i="2"/>
  <c r="AI234" i="2"/>
  <c r="AA234" i="2"/>
  <c r="S234" i="2"/>
  <c r="AG234" i="2"/>
  <c r="Y234" i="2"/>
  <c r="Q234" i="2"/>
  <c r="AH234" i="2"/>
  <c r="AF234" i="2"/>
  <c r="AE234" i="2"/>
  <c r="Z234" i="2"/>
  <c r="W234" i="2"/>
  <c r="R234" i="2"/>
  <c r="AB242" i="2"/>
  <c r="T242" i="2"/>
  <c r="AI242" i="2"/>
  <c r="AA242" i="2"/>
  <c r="S242" i="2"/>
  <c r="AH242" i="2"/>
  <c r="Z242" i="2"/>
  <c r="R242" i="2"/>
  <c r="AE242" i="2"/>
  <c r="W242" i="2"/>
  <c r="AF242" i="2"/>
  <c r="P242" i="2"/>
  <c r="AD242" i="2"/>
  <c r="AC242" i="2"/>
  <c r="Y242" i="2"/>
  <c r="V242" i="2"/>
  <c r="X242" i="2"/>
  <c r="U242" i="2"/>
  <c r="Q242" i="2"/>
  <c r="AB250" i="2"/>
  <c r="T250" i="2"/>
  <c r="AI250" i="2"/>
  <c r="AA250" i="2"/>
  <c r="S250" i="2"/>
  <c r="AH250" i="2"/>
  <c r="Z250" i="2"/>
  <c r="R250" i="2"/>
  <c r="AE250" i="2"/>
  <c r="W250" i="2"/>
  <c r="AF250" i="2"/>
  <c r="P250" i="2"/>
  <c r="AD250" i="2"/>
  <c r="AC250" i="2"/>
  <c r="Y250" i="2"/>
  <c r="V250" i="2"/>
  <c r="AG250" i="2"/>
  <c r="X250" i="2"/>
  <c r="U250" i="2"/>
  <c r="AB258" i="2"/>
  <c r="T258" i="2"/>
  <c r="AI258" i="2"/>
  <c r="AA258" i="2"/>
  <c r="S258" i="2"/>
  <c r="AH258" i="2"/>
  <c r="Z258" i="2"/>
  <c r="R258" i="2"/>
  <c r="AE258" i="2"/>
  <c r="W258" i="2"/>
  <c r="AF258" i="2"/>
  <c r="P258" i="2"/>
  <c r="AD258" i="2"/>
  <c r="AC258" i="2"/>
  <c r="Y258" i="2"/>
  <c r="V258" i="2"/>
  <c r="AG258" i="2"/>
  <c r="U258" i="2"/>
  <c r="Q258" i="2"/>
  <c r="AB266" i="2"/>
  <c r="T266" i="2"/>
  <c r="AI266" i="2"/>
  <c r="AA266" i="2"/>
  <c r="S266" i="2"/>
  <c r="AH266" i="2"/>
  <c r="Z266" i="2"/>
  <c r="R266" i="2"/>
  <c r="AE266" i="2"/>
  <c r="W266" i="2"/>
  <c r="AF266" i="2"/>
  <c r="P266" i="2"/>
  <c r="AD266" i="2"/>
  <c r="AC266" i="2"/>
  <c r="Y266" i="2"/>
  <c r="X266" i="2"/>
  <c r="V266" i="2"/>
  <c r="AG266" i="2"/>
  <c r="U266" i="2"/>
  <c r="AB274" i="2"/>
  <c r="T274" i="2"/>
  <c r="AI274" i="2"/>
  <c r="AA274" i="2"/>
  <c r="S274" i="2"/>
  <c r="AH274" i="2"/>
  <c r="Z274" i="2"/>
  <c r="R274" i="2"/>
  <c r="AE274" i="2"/>
  <c r="W274" i="2"/>
  <c r="AF274" i="2"/>
  <c r="P274" i="2"/>
  <c r="AD274" i="2"/>
  <c r="AC274" i="2"/>
  <c r="Y274" i="2"/>
  <c r="X274" i="2"/>
  <c r="V274" i="2"/>
  <c r="AG274" i="2"/>
  <c r="U274" i="2"/>
  <c r="Q274" i="2"/>
  <c r="AB282" i="2"/>
  <c r="T282" i="2"/>
  <c r="AI282" i="2"/>
  <c r="AA282" i="2"/>
  <c r="S282" i="2"/>
  <c r="AH282" i="2"/>
  <c r="Z282" i="2"/>
  <c r="R282" i="2"/>
  <c r="AE282" i="2"/>
  <c r="W282" i="2"/>
  <c r="AF282" i="2"/>
  <c r="P282" i="2"/>
  <c r="AD282" i="2"/>
  <c r="AC282" i="2"/>
  <c r="Y282" i="2"/>
  <c r="X282" i="2"/>
  <c r="V282" i="2"/>
  <c r="AG282" i="2"/>
  <c r="U282" i="2"/>
  <c r="AB290" i="2"/>
  <c r="T290" i="2"/>
  <c r="AI290" i="2"/>
  <c r="AA290" i="2"/>
  <c r="S290" i="2"/>
  <c r="AH290" i="2"/>
  <c r="Z290" i="2"/>
  <c r="R290" i="2"/>
  <c r="AE290" i="2"/>
  <c r="W290" i="2"/>
  <c r="AF290" i="2"/>
  <c r="P290" i="2"/>
  <c r="AD290" i="2"/>
  <c r="AC290" i="2"/>
  <c r="Y290" i="2"/>
  <c r="X290" i="2"/>
  <c r="V290" i="2"/>
  <c r="AG290" i="2"/>
  <c r="U290" i="2"/>
  <c r="Q290" i="2"/>
  <c r="AB298" i="2"/>
  <c r="T298" i="2"/>
  <c r="AI298" i="2"/>
  <c r="AA298" i="2"/>
  <c r="S298" i="2"/>
  <c r="AH298" i="2"/>
  <c r="Z298" i="2"/>
  <c r="R298" i="2"/>
  <c r="AE298" i="2"/>
  <c r="W298" i="2"/>
  <c r="U298" i="2"/>
  <c r="AF298" i="2"/>
  <c r="P298" i="2"/>
  <c r="Y298" i="2"/>
  <c r="X298" i="2"/>
  <c r="AG298" i="2"/>
  <c r="AD298" i="2"/>
  <c r="AC298" i="2"/>
  <c r="V298" i="2"/>
  <c r="Q298" i="2"/>
  <c r="AB306" i="2"/>
  <c r="T306" i="2"/>
  <c r="AI306" i="2"/>
  <c r="AA306" i="2"/>
  <c r="S306" i="2"/>
  <c r="AH306" i="2"/>
  <c r="Z306" i="2"/>
  <c r="R306" i="2"/>
  <c r="AE306" i="2"/>
  <c r="W306" i="2"/>
  <c r="U306" i="2"/>
  <c r="AF306" i="2"/>
  <c r="P306" i="2"/>
  <c r="AD306" i="2"/>
  <c r="Y306" i="2"/>
  <c r="X306" i="2"/>
  <c r="AG306" i="2"/>
  <c r="AC306" i="2"/>
  <c r="V306" i="2"/>
  <c r="Q306" i="2"/>
  <c r="AB314" i="2"/>
  <c r="T314" i="2"/>
  <c r="AI314" i="2"/>
  <c r="AA314" i="2"/>
  <c r="S314" i="2"/>
  <c r="AH314" i="2"/>
  <c r="Z314" i="2"/>
  <c r="R314" i="2"/>
  <c r="AE314" i="2"/>
  <c r="W314" i="2"/>
  <c r="U314" i="2"/>
  <c r="AF314" i="2"/>
  <c r="P314" i="2"/>
  <c r="AD314" i="2"/>
  <c r="Y314" i="2"/>
  <c r="X314" i="2"/>
  <c r="AG314" i="2"/>
  <c r="AC314" i="2"/>
  <c r="V314" i="2"/>
  <c r="Q314" i="2"/>
  <c r="AB322" i="2"/>
  <c r="T322" i="2"/>
  <c r="AI322" i="2"/>
  <c r="AA322" i="2"/>
  <c r="S322" i="2"/>
  <c r="AH322" i="2"/>
  <c r="Z322" i="2"/>
  <c r="R322" i="2"/>
  <c r="AE322" i="2"/>
  <c r="W322" i="2"/>
  <c r="U322" i="2"/>
  <c r="AF322" i="2"/>
  <c r="P322" i="2"/>
  <c r="AD322" i="2"/>
  <c r="Y322" i="2"/>
  <c r="X322" i="2"/>
  <c r="AG322" i="2"/>
  <c r="AC322" i="2"/>
  <c r="Q322" i="2"/>
  <c r="AB330" i="2"/>
  <c r="T330" i="2"/>
  <c r="AI330" i="2"/>
  <c r="AA330" i="2"/>
  <c r="S330" i="2"/>
  <c r="AH330" i="2"/>
  <c r="Z330" i="2"/>
  <c r="R330" i="2"/>
  <c r="AG330" i="2"/>
  <c r="Y330" i="2"/>
  <c r="Q330" i="2"/>
  <c r="AE330" i="2"/>
  <c r="W330" i="2"/>
  <c r="AD330" i="2"/>
  <c r="X330" i="2"/>
  <c r="V330" i="2"/>
  <c r="P330" i="2"/>
  <c r="AF330" i="2"/>
  <c r="AC330" i="2"/>
  <c r="U330" i="2"/>
  <c r="AB338" i="2"/>
  <c r="T338" i="2"/>
  <c r="AI338" i="2"/>
  <c r="AA338" i="2"/>
  <c r="S338" i="2"/>
  <c r="AH338" i="2"/>
  <c r="Z338" i="2"/>
  <c r="R338" i="2"/>
  <c r="AG338" i="2"/>
  <c r="Y338" i="2"/>
  <c r="Q338" i="2"/>
  <c r="AE338" i="2"/>
  <c r="W338" i="2"/>
  <c r="U338" i="2"/>
  <c r="AF338" i="2"/>
  <c r="AC338" i="2"/>
  <c r="X338" i="2"/>
  <c r="AD338" i="2"/>
  <c r="V338" i="2"/>
  <c r="P338" i="2"/>
  <c r="AH346" i="2"/>
  <c r="Z346" i="2"/>
  <c r="R346" i="2"/>
  <c r="AG346" i="2"/>
  <c r="Y346" i="2"/>
  <c r="Q346" i="2"/>
  <c r="AF346" i="2"/>
  <c r="X346" i="2"/>
  <c r="P346" i="2"/>
  <c r="AC346" i="2"/>
  <c r="U346" i="2"/>
  <c r="AA346" i="2"/>
  <c r="W346" i="2"/>
  <c r="V346" i="2"/>
  <c r="T346" i="2"/>
  <c r="AE346" i="2"/>
  <c r="AB346" i="2"/>
  <c r="AI346" i="2"/>
  <c r="AD346" i="2"/>
  <c r="S346" i="2"/>
  <c r="AH354" i="2"/>
  <c r="Z354" i="2"/>
  <c r="R354" i="2"/>
  <c r="AG354" i="2"/>
  <c r="Y354" i="2"/>
  <c r="Q354" i="2"/>
  <c r="AF354" i="2"/>
  <c r="X354" i="2"/>
  <c r="P354" i="2"/>
  <c r="AC354" i="2"/>
  <c r="U354" i="2"/>
  <c r="AA354" i="2"/>
  <c r="W354" i="2"/>
  <c r="V354" i="2"/>
  <c r="T354" i="2"/>
  <c r="AE354" i="2"/>
  <c r="AI354" i="2"/>
  <c r="AB354" i="2"/>
  <c r="S354" i="2"/>
  <c r="AD354" i="2"/>
  <c r="AH362" i="2"/>
  <c r="Z362" i="2"/>
  <c r="R362" i="2"/>
  <c r="AG362" i="2"/>
  <c r="Y362" i="2"/>
  <c r="Q362" i="2"/>
  <c r="AF362" i="2"/>
  <c r="X362" i="2"/>
  <c r="P362" i="2"/>
  <c r="AC362" i="2"/>
  <c r="U362" i="2"/>
  <c r="AA362" i="2"/>
  <c r="W362" i="2"/>
  <c r="V362" i="2"/>
  <c r="T362" i="2"/>
  <c r="AE362" i="2"/>
  <c r="AI362" i="2"/>
  <c r="AD362" i="2"/>
  <c r="S362" i="2"/>
  <c r="AB362" i="2"/>
  <c r="AH370" i="2"/>
  <c r="Z370" i="2"/>
  <c r="R370" i="2"/>
  <c r="AG370" i="2"/>
  <c r="Y370" i="2"/>
  <c r="Q370" i="2"/>
  <c r="AF370" i="2"/>
  <c r="X370" i="2"/>
  <c r="P370" i="2"/>
  <c r="AC370" i="2"/>
  <c r="U370" i="2"/>
  <c r="AA370" i="2"/>
  <c r="W370" i="2"/>
  <c r="V370" i="2"/>
  <c r="T370" i="2"/>
  <c r="AE370" i="2"/>
  <c r="AD370" i="2"/>
  <c r="AB370" i="2"/>
  <c r="AI370" i="2"/>
  <c r="S370" i="2"/>
  <c r="AG378" i="2"/>
  <c r="Y378" i="2"/>
  <c r="Q378" i="2"/>
  <c r="AF378" i="2"/>
  <c r="X378" i="2"/>
  <c r="P378" i="2"/>
  <c r="AE378" i="2"/>
  <c r="W378" i="2"/>
  <c r="AD378" i="2"/>
  <c r="V378" i="2"/>
  <c r="AB378" i="2"/>
  <c r="AA378" i="2"/>
  <c r="Z378" i="2"/>
  <c r="AI378" i="2"/>
  <c r="S378" i="2"/>
  <c r="AH378" i="2"/>
  <c r="U378" i="2"/>
  <c r="T378" i="2"/>
  <c r="R378" i="2"/>
  <c r="AC378" i="2"/>
  <c r="AG386" i="2"/>
  <c r="Y386" i="2"/>
  <c r="Q386" i="2"/>
  <c r="AF386" i="2"/>
  <c r="X386" i="2"/>
  <c r="P386" i="2"/>
  <c r="AE386" i="2"/>
  <c r="W386" i="2"/>
  <c r="AD386" i="2"/>
  <c r="V386" i="2"/>
  <c r="AB386" i="2"/>
  <c r="AA386" i="2"/>
  <c r="Z386" i="2"/>
  <c r="AI386" i="2"/>
  <c r="S386" i="2"/>
  <c r="AH386" i="2"/>
  <c r="U386" i="2"/>
  <c r="AC386" i="2"/>
  <c r="T386" i="2"/>
  <c r="R386" i="2"/>
  <c r="AG394" i="2"/>
  <c r="Y394" i="2"/>
  <c r="Q394" i="2"/>
  <c r="AF394" i="2"/>
  <c r="X394" i="2"/>
  <c r="P394" i="2"/>
  <c r="AE394" i="2"/>
  <c r="W394" i="2"/>
  <c r="AD394" i="2"/>
  <c r="V394" i="2"/>
  <c r="AB394" i="2"/>
  <c r="AA394" i="2"/>
  <c r="Z394" i="2"/>
  <c r="AI394" i="2"/>
  <c r="S394" i="2"/>
  <c r="AH394" i="2"/>
  <c r="U394" i="2"/>
  <c r="T394" i="2"/>
  <c r="AC394" i="2"/>
  <c r="R394" i="2"/>
  <c r="AG402" i="2"/>
  <c r="Y402" i="2"/>
  <c r="Q402" i="2"/>
  <c r="AF402" i="2"/>
  <c r="X402" i="2"/>
  <c r="P402" i="2"/>
  <c r="AE402" i="2"/>
  <c r="W402" i="2"/>
  <c r="AD402" i="2"/>
  <c r="V402" i="2"/>
  <c r="AB402" i="2"/>
  <c r="AA402" i="2"/>
  <c r="Z402" i="2"/>
  <c r="AI402" i="2"/>
  <c r="S402" i="2"/>
  <c r="AH402" i="2"/>
  <c r="U402" i="2"/>
  <c r="T402" i="2"/>
  <c r="AC402" i="2"/>
  <c r="R402" i="2"/>
  <c r="AG410" i="2"/>
  <c r="Y410" i="2"/>
  <c r="Q410" i="2"/>
  <c r="AF410" i="2"/>
  <c r="X410" i="2"/>
  <c r="P410" i="2"/>
  <c r="AE410" i="2"/>
  <c r="W410" i="2"/>
  <c r="AD410" i="2"/>
  <c r="V410" i="2"/>
  <c r="AB410" i="2"/>
  <c r="AA410" i="2"/>
  <c r="Z410" i="2"/>
  <c r="AI410" i="2"/>
  <c r="S410" i="2"/>
  <c r="AH410" i="2"/>
  <c r="U410" i="2"/>
  <c r="T410" i="2"/>
  <c r="R410" i="2"/>
  <c r="AI418" i="2"/>
  <c r="AG418" i="2"/>
  <c r="Y418" i="2"/>
  <c r="Q418" i="2"/>
  <c r="AF418" i="2"/>
  <c r="X418" i="2"/>
  <c r="P418" i="2"/>
  <c r="AE418" i="2"/>
  <c r="W418" i="2"/>
  <c r="AD418" i="2"/>
  <c r="V418" i="2"/>
  <c r="AB418" i="2"/>
  <c r="AA418" i="2"/>
  <c r="Z418" i="2"/>
  <c r="S418" i="2"/>
  <c r="AH418" i="2"/>
  <c r="U418" i="2"/>
  <c r="T418" i="2"/>
  <c r="R418" i="2"/>
  <c r="AC418" i="2"/>
  <c r="AD426" i="2"/>
  <c r="V426" i="2"/>
  <c r="AC426" i="2"/>
  <c r="U426" i="2"/>
  <c r="AB426" i="2"/>
  <c r="T426" i="2"/>
  <c r="AI426" i="2"/>
  <c r="AA426" i="2"/>
  <c r="S426" i="2"/>
  <c r="AH426" i="2"/>
  <c r="R426" i="2"/>
  <c r="AG426" i="2"/>
  <c r="Q426" i="2"/>
  <c r="AF426" i="2"/>
  <c r="P426" i="2"/>
  <c r="AE426" i="2"/>
  <c r="X426" i="2"/>
  <c r="Z426" i="2"/>
  <c r="Y426" i="2"/>
  <c r="W426" i="2"/>
  <c r="AD434" i="2"/>
  <c r="V434" i="2"/>
  <c r="AC434" i="2"/>
  <c r="U434" i="2"/>
  <c r="AB434" i="2"/>
  <c r="T434" i="2"/>
  <c r="AI434" i="2"/>
  <c r="AA434" i="2"/>
  <c r="S434" i="2"/>
  <c r="AG434" i="2"/>
  <c r="Y434" i="2"/>
  <c r="Q434" i="2"/>
  <c r="X434" i="2"/>
  <c r="W434" i="2"/>
  <c r="R434" i="2"/>
  <c r="P434" i="2"/>
  <c r="AE434" i="2"/>
  <c r="AH434" i="2"/>
  <c r="AF434" i="2"/>
  <c r="Z434" i="2"/>
  <c r="AD442" i="2"/>
  <c r="V442" i="2"/>
  <c r="AC442" i="2"/>
  <c r="U442" i="2"/>
  <c r="AB442" i="2"/>
  <c r="T442" i="2"/>
  <c r="AI442" i="2"/>
  <c r="AA442" i="2"/>
  <c r="S442" i="2"/>
  <c r="AG442" i="2"/>
  <c r="Y442" i="2"/>
  <c r="Q442" i="2"/>
  <c r="AH442" i="2"/>
  <c r="AF442" i="2"/>
  <c r="AE442" i="2"/>
  <c r="Z442" i="2"/>
  <c r="W442" i="2"/>
  <c r="R442" i="2"/>
  <c r="P442" i="2"/>
  <c r="X442" i="2"/>
  <c r="AD450" i="2"/>
  <c r="V450" i="2"/>
  <c r="AC450" i="2"/>
  <c r="U450" i="2"/>
  <c r="AB450" i="2"/>
  <c r="T450" i="2"/>
  <c r="AI450" i="2"/>
  <c r="AA450" i="2"/>
  <c r="S450" i="2"/>
  <c r="AG450" i="2"/>
  <c r="Y450" i="2"/>
  <c r="Q450" i="2"/>
  <c r="X450" i="2"/>
  <c r="W450" i="2"/>
  <c r="R450" i="2"/>
  <c r="P450" i="2"/>
  <c r="AF450" i="2"/>
  <c r="AE450" i="2"/>
  <c r="Z450" i="2"/>
  <c r="AH450" i="2"/>
  <c r="D191" i="2"/>
  <c r="D199" i="2"/>
  <c r="D207" i="2"/>
  <c r="D215" i="2"/>
  <c r="D231" i="2"/>
  <c r="D235" i="2"/>
  <c r="D239" i="2"/>
  <c r="D247" i="2"/>
  <c r="D263" i="2"/>
  <c r="D267" i="2"/>
  <c r="D271" i="2"/>
  <c r="D279" i="2"/>
  <c r="D287" i="2"/>
  <c r="D295" i="2"/>
  <c r="D303" i="2"/>
  <c r="D319" i="2"/>
  <c r="D327" i="2"/>
  <c r="D343" i="2"/>
  <c r="D351" i="2"/>
  <c r="D359" i="2"/>
  <c r="D375" i="2"/>
  <c r="D383" i="2"/>
  <c r="D399" i="2"/>
  <c r="D407" i="2"/>
  <c r="D415" i="2"/>
  <c r="D423" i="2"/>
  <c r="D439" i="2"/>
  <c r="V149" i="2"/>
  <c r="AD149" i="2"/>
  <c r="R150" i="2"/>
  <c r="Z150" i="2"/>
  <c r="AH150" i="2"/>
  <c r="V151" i="2"/>
  <c r="AD151" i="2"/>
  <c r="R152" i="2"/>
  <c r="Z152" i="2"/>
  <c r="AH152" i="2"/>
  <c r="V153" i="2"/>
  <c r="AD153" i="2"/>
  <c r="R154" i="2"/>
  <c r="Z154" i="2"/>
  <c r="AH154" i="2"/>
  <c r="V155" i="2"/>
  <c r="AD155" i="2"/>
  <c r="R156" i="2"/>
  <c r="Z156" i="2"/>
  <c r="AH156" i="2"/>
  <c r="V157" i="2"/>
  <c r="AD157" i="2"/>
  <c r="R158" i="2"/>
  <c r="Z158" i="2"/>
  <c r="AA160" i="2"/>
  <c r="AC161" i="2"/>
  <c r="AF162" i="2"/>
  <c r="AG164" i="2"/>
  <c r="S166" i="2"/>
  <c r="AE167" i="2"/>
  <c r="W169" i="2"/>
  <c r="AI170" i="2"/>
  <c r="AA172" i="2"/>
  <c r="S174" i="2"/>
  <c r="AE175" i="2"/>
  <c r="W177" i="2"/>
  <c r="AI178" i="2"/>
  <c r="AA180" i="2"/>
  <c r="S182" i="2"/>
  <c r="AE183" i="2"/>
  <c r="W185" i="2"/>
  <c r="AI186" i="2"/>
  <c r="S190" i="2"/>
  <c r="W193" i="2"/>
  <c r="AI194" i="2"/>
  <c r="AA196" i="2"/>
  <c r="S198" i="2"/>
  <c r="AE199" i="2"/>
  <c r="W201" i="2"/>
  <c r="AI202" i="2"/>
  <c r="AA204" i="2"/>
  <c r="S206" i="2"/>
  <c r="AE207" i="2"/>
  <c r="W209" i="2"/>
  <c r="AI210" i="2"/>
  <c r="R214" i="2"/>
  <c r="X218" i="2"/>
  <c r="AE222" i="2"/>
  <c r="AH226" i="2"/>
  <c r="T231" i="2"/>
  <c r="AD239" i="2"/>
  <c r="AG247" i="2"/>
  <c r="Y256" i="2"/>
  <c r="AD292" i="2"/>
  <c r="V322" i="2"/>
  <c r="AC410" i="2"/>
  <c r="AE188" i="2"/>
  <c r="W188" i="2"/>
  <c r="AD188" i="2"/>
  <c r="V188" i="2"/>
  <c r="AC188" i="2"/>
  <c r="U188" i="2"/>
  <c r="AB188" i="2"/>
  <c r="T188" i="2"/>
  <c r="AH188" i="2"/>
  <c r="Z188" i="2"/>
  <c r="R188" i="2"/>
  <c r="AG188" i="2"/>
  <c r="Y188" i="2"/>
  <c r="Q188" i="2"/>
  <c r="AB244" i="2"/>
  <c r="T244" i="2"/>
  <c r="AI244" i="2"/>
  <c r="AA244" i="2"/>
  <c r="S244" i="2"/>
  <c r="AH244" i="2"/>
  <c r="Z244" i="2"/>
  <c r="R244" i="2"/>
  <c r="AE244" i="2"/>
  <c r="W244" i="2"/>
  <c r="X244" i="2"/>
  <c r="V244" i="2"/>
  <c r="U244" i="2"/>
  <c r="AG244" i="2"/>
  <c r="Q244" i="2"/>
  <c r="AD244" i="2"/>
  <c r="AC244" i="2"/>
  <c r="Y244" i="2"/>
  <c r="P244" i="2"/>
  <c r="AB284" i="2"/>
  <c r="T284" i="2"/>
  <c r="AI284" i="2"/>
  <c r="AA284" i="2"/>
  <c r="S284" i="2"/>
  <c r="AH284" i="2"/>
  <c r="Z284" i="2"/>
  <c r="R284" i="2"/>
  <c r="AE284" i="2"/>
  <c r="W284" i="2"/>
  <c r="X284" i="2"/>
  <c r="V284" i="2"/>
  <c r="U284" i="2"/>
  <c r="AG284" i="2"/>
  <c r="Q284" i="2"/>
  <c r="AF284" i="2"/>
  <c r="P284" i="2"/>
  <c r="AD284" i="2"/>
  <c r="AC284" i="2"/>
  <c r="Y284" i="2"/>
  <c r="AB324" i="2"/>
  <c r="T324" i="2"/>
  <c r="AI324" i="2"/>
  <c r="AA324" i="2"/>
  <c r="S324" i="2"/>
  <c r="AH324" i="2"/>
  <c r="Z324" i="2"/>
  <c r="R324" i="2"/>
  <c r="AE324" i="2"/>
  <c r="W324" i="2"/>
  <c r="AC324" i="2"/>
  <c r="X324" i="2"/>
  <c r="V324" i="2"/>
  <c r="AG324" i="2"/>
  <c r="Q324" i="2"/>
  <c r="AF324" i="2"/>
  <c r="P324" i="2"/>
  <c r="AD324" i="2"/>
  <c r="Y324" i="2"/>
  <c r="U324" i="2"/>
  <c r="AH372" i="2"/>
  <c r="Z372" i="2"/>
  <c r="R372" i="2"/>
  <c r="AG372" i="2"/>
  <c r="Y372" i="2"/>
  <c r="Q372" i="2"/>
  <c r="AF372" i="2"/>
  <c r="X372" i="2"/>
  <c r="P372" i="2"/>
  <c r="AC372" i="2"/>
  <c r="U372" i="2"/>
  <c r="AI372" i="2"/>
  <c r="S372" i="2"/>
  <c r="AE372" i="2"/>
  <c r="AD372" i="2"/>
  <c r="AB372" i="2"/>
  <c r="W372" i="2"/>
  <c r="T372" i="2"/>
  <c r="AA372" i="2"/>
  <c r="V372" i="2"/>
  <c r="AD420" i="2"/>
  <c r="V420" i="2"/>
  <c r="AB420" i="2"/>
  <c r="T420" i="2"/>
  <c r="AI420" i="2"/>
  <c r="AA420" i="2"/>
  <c r="S420" i="2"/>
  <c r="AF420" i="2"/>
  <c r="R420" i="2"/>
  <c r="AE420" i="2"/>
  <c r="Q420" i="2"/>
  <c r="AC420" i="2"/>
  <c r="P420" i="2"/>
  <c r="Z420" i="2"/>
  <c r="AH420" i="2"/>
  <c r="AG420" i="2"/>
  <c r="W420" i="2"/>
  <c r="Y420" i="2"/>
  <c r="X420" i="2"/>
  <c r="U420" i="2"/>
  <c r="AD452" i="2"/>
  <c r="V452" i="2"/>
  <c r="AC452" i="2"/>
  <c r="U452" i="2"/>
  <c r="AB452" i="2"/>
  <c r="T452" i="2"/>
  <c r="AI452" i="2"/>
  <c r="AA452" i="2"/>
  <c r="S452" i="2"/>
  <c r="AG452" i="2"/>
  <c r="Y452" i="2"/>
  <c r="Q452" i="2"/>
  <c r="Z452" i="2"/>
  <c r="X452" i="2"/>
  <c r="W452" i="2"/>
  <c r="R452" i="2"/>
  <c r="AH452" i="2"/>
  <c r="AF452" i="2"/>
  <c r="AE452" i="2"/>
  <c r="P452" i="2"/>
  <c r="AI159" i="2"/>
  <c r="AA159" i="2"/>
  <c r="S159" i="2"/>
  <c r="AH159" i="2"/>
  <c r="Z159" i="2"/>
  <c r="R159" i="2"/>
  <c r="AG159" i="2"/>
  <c r="Y159" i="2"/>
  <c r="Q159" i="2"/>
  <c r="AF159" i="2"/>
  <c r="X159" i="2"/>
  <c r="P159" i="2"/>
  <c r="AD159" i="2"/>
  <c r="V159" i="2"/>
  <c r="AI191" i="2"/>
  <c r="AA191" i="2"/>
  <c r="S191" i="2"/>
  <c r="AH191" i="2"/>
  <c r="Z191" i="2"/>
  <c r="R191" i="2"/>
  <c r="AG191" i="2"/>
  <c r="Y191" i="2"/>
  <c r="Q191" i="2"/>
  <c r="AF191" i="2"/>
  <c r="X191" i="2"/>
  <c r="P191" i="2"/>
  <c r="AD191" i="2"/>
  <c r="V191" i="2"/>
  <c r="AC191" i="2"/>
  <c r="U191" i="2"/>
  <c r="AH223" i="2"/>
  <c r="Z223" i="2"/>
  <c r="R223" i="2"/>
  <c r="AG223" i="2"/>
  <c r="Y223" i="2"/>
  <c r="Q223" i="2"/>
  <c r="AF223" i="2"/>
  <c r="X223" i="2"/>
  <c r="P223" i="2"/>
  <c r="AE223" i="2"/>
  <c r="W223" i="2"/>
  <c r="AC223" i="2"/>
  <c r="U223" i="2"/>
  <c r="T223" i="2"/>
  <c r="S223" i="2"/>
  <c r="AI223" i="2"/>
  <c r="AB223" i="2"/>
  <c r="AA223" i="2"/>
  <c r="AF255" i="2"/>
  <c r="X255" i="2"/>
  <c r="P255" i="2"/>
  <c r="AE255" i="2"/>
  <c r="W255" i="2"/>
  <c r="AD255" i="2"/>
  <c r="V255" i="2"/>
  <c r="AI255" i="2"/>
  <c r="AA255" i="2"/>
  <c r="S255" i="2"/>
  <c r="AB255" i="2"/>
  <c r="Z255" i="2"/>
  <c r="Y255" i="2"/>
  <c r="U255" i="2"/>
  <c r="AH255" i="2"/>
  <c r="R255" i="2"/>
  <c r="T255" i="2"/>
  <c r="Q255" i="2"/>
  <c r="AG255" i="2"/>
  <c r="AF279" i="2"/>
  <c r="X279" i="2"/>
  <c r="P279" i="2"/>
  <c r="AE279" i="2"/>
  <c r="W279" i="2"/>
  <c r="AD279" i="2"/>
  <c r="V279" i="2"/>
  <c r="AI279" i="2"/>
  <c r="AA279" i="2"/>
  <c r="S279" i="2"/>
  <c r="AB279" i="2"/>
  <c r="Z279" i="2"/>
  <c r="Y279" i="2"/>
  <c r="U279" i="2"/>
  <c r="T279" i="2"/>
  <c r="AH279" i="2"/>
  <c r="R279" i="2"/>
  <c r="AC279" i="2"/>
  <c r="Q279" i="2"/>
  <c r="AF311" i="2"/>
  <c r="X311" i="2"/>
  <c r="P311" i="2"/>
  <c r="AE311" i="2"/>
  <c r="W311" i="2"/>
  <c r="AD311" i="2"/>
  <c r="V311" i="2"/>
  <c r="AI311" i="2"/>
  <c r="AA311" i="2"/>
  <c r="S311" i="2"/>
  <c r="AG311" i="2"/>
  <c r="Q311" i="2"/>
  <c r="AB311" i="2"/>
  <c r="Z311" i="2"/>
  <c r="U311" i="2"/>
  <c r="T311" i="2"/>
  <c r="R311" i="2"/>
  <c r="AH311" i="2"/>
  <c r="AC311" i="2"/>
  <c r="AF335" i="2"/>
  <c r="X335" i="2"/>
  <c r="P335" i="2"/>
  <c r="AE335" i="2"/>
  <c r="W335" i="2"/>
  <c r="AD335" i="2"/>
  <c r="V335" i="2"/>
  <c r="AC335" i="2"/>
  <c r="U335" i="2"/>
  <c r="AI335" i="2"/>
  <c r="AA335" i="2"/>
  <c r="S335" i="2"/>
  <c r="Q335" i="2"/>
  <c r="AG335" i="2"/>
  <c r="AB335" i="2"/>
  <c r="Y335" i="2"/>
  <c r="T335" i="2"/>
  <c r="AH335" i="2"/>
  <c r="Z335" i="2"/>
  <c r="R335" i="2"/>
  <c r="AD367" i="2"/>
  <c r="V367" i="2"/>
  <c r="AC367" i="2"/>
  <c r="U367" i="2"/>
  <c r="AB367" i="2"/>
  <c r="T367" i="2"/>
  <c r="AG367" i="2"/>
  <c r="Y367" i="2"/>
  <c r="Q367" i="2"/>
  <c r="W367" i="2"/>
  <c r="AI367" i="2"/>
  <c r="S367" i="2"/>
  <c r="AH367" i="2"/>
  <c r="R367" i="2"/>
  <c r="AF367" i="2"/>
  <c r="P367" i="2"/>
  <c r="AA367" i="2"/>
  <c r="AE367" i="2"/>
  <c r="X367" i="2"/>
  <c r="Z367" i="2"/>
  <c r="AC391" i="2"/>
  <c r="U391" i="2"/>
  <c r="AB391" i="2"/>
  <c r="T391" i="2"/>
  <c r="AI391" i="2"/>
  <c r="AA391" i="2"/>
  <c r="S391" i="2"/>
  <c r="AH391" i="2"/>
  <c r="Z391" i="2"/>
  <c r="R391" i="2"/>
  <c r="X391" i="2"/>
  <c r="W391" i="2"/>
  <c r="V391" i="2"/>
  <c r="AE391" i="2"/>
  <c r="AG391" i="2"/>
  <c r="AF391" i="2"/>
  <c r="AD391" i="2"/>
  <c r="Q391" i="2"/>
  <c r="P391" i="2"/>
  <c r="AH431" i="2"/>
  <c r="Z431" i="2"/>
  <c r="R431" i="2"/>
  <c r="AG431" i="2"/>
  <c r="Y431" i="2"/>
  <c r="Q431" i="2"/>
  <c r="AF431" i="2"/>
  <c r="X431" i="2"/>
  <c r="P431" i="2"/>
  <c r="AE431" i="2"/>
  <c r="W431" i="2"/>
  <c r="AC431" i="2"/>
  <c r="U431" i="2"/>
  <c r="T431" i="2"/>
  <c r="S431" i="2"/>
  <c r="AI431" i="2"/>
  <c r="AB431" i="2"/>
  <c r="AA431" i="2"/>
  <c r="V431" i="2"/>
  <c r="AD431" i="2"/>
  <c r="AH447" i="2"/>
  <c r="Z447" i="2"/>
  <c r="R447" i="2"/>
  <c r="AG447" i="2"/>
  <c r="Y447" i="2"/>
  <c r="Q447" i="2"/>
  <c r="AF447" i="2"/>
  <c r="X447" i="2"/>
  <c r="P447" i="2"/>
  <c r="AE447" i="2"/>
  <c r="W447" i="2"/>
  <c r="AC447" i="2"/>
  <c r="U447" i="2"/>
  <c r="T447" i="2"/>
  <c r="S447" i="2"/>
  <c r="AI447" i="2"/>
  <c r="AA447" i="2"/>
  <c r="AD447" i="2"/>
  <c r="AB447" i="2"/>
  <c r="V447" i="2"/>
  <c r="AI163" i="2"/>
  <c r="AA163" i="2"/>
  <c r="S163" i="2"/>
  <c r="AH163" i="2"/>
  <c r="Z163" i="2"/>
  <c r="R163" i="2"/>
  <c r="AG163" i="2"/>
  <c r="Y163" i="2"/>
  <c r="Q163" i="2"/>
  <c r="AF163" i="2"/>
  <c r="X163" i="2"/>
  <c r="P163" i="2"/>
  <c r="AD163" i="2"/>
  <c r="V163" i="2"/>
  <c r="AI171" i="2"/>
  <c r="AA171" i="2"/>
  <c r="S171" i="2"/>
  <c r="AH171" i="2"/>
  <c r="Z171" i="2"/>
  <c r="R171" i="2"/>
  <c r="AG171" i="2"/>
  <c r="Y171" i="2"/>
  <c r="Q171" i="2"/>
  <c r="AF171" i="2"/>
  <c r="X171" i="2"/>
  <c r="P171" i="2"/>
  <c r="AD171" i="2"/>
  <c r="V171" i="2"/>
  <c r="AC171" i="2"/>
  <c r="U171" i="2"/>
  <c r="AI179" i="2"/>
  <c r="AA179" i="2"/>
  <c r="S179" i="2"/>
  <c r="AH179" i="2"/>
  <c r="Z179" i="2"/>
  <c r="R179" i="2"/>
  <c r="AG179" i="2"/>
  <c r="Y179" i="2"/>
  <c r="Q179" i="2"/>
  <c r="AF179" i="2"/>
  <c r="X179" i="2"/>
  <c r="P179" i="2"/>
  <c r="AD179" i="2"/>
  <c r="V179" i="2"/>
  <c r="AC179" i="2"/>
  <c r="U179" i="2"/>
  <c r="AI187" i="2"/>
  <c r="AA187" i="2"/>
  <c r="S187" i="2"/>
  <c r="AH187" i="2"/>
  <c r="Z187" i="2"/>
  <c r="R187" i="2"/>
  <c r="AG187" i="2"/>
  <c r="Y187" i="2"/>
  <c r="Q187" i="2"/>
  <c r="AF187" i="2"/>
  <c r="X187" i="2"/>
  <c r="P187" i="2"/>
  <c r="AD187" i="2"/>
  <c r="V187" i="2"/>
  <c r="AC187" i="2"/>
  <c r="U187" i="2"/>
  <c r="AI195" i="2"/>
  <c r="AA195" i="2"/>
  <c r="S195" i="2"/>
  <c r="AH195" i="2"/>
  <c r="Z195" i="2"/>
  <c r="R195" i="2"/>
  <c r="AG195" i="2"/>
  <c r="Y195" i="2"/>
  <c r="Q195" i="2"/>
  <c r="AF195" i="2"/>
  <c r="X195" i="2"/>
  <c r="P195" i="2"/>
  <c r="AD195" i="2"/>
  <c r="V195" i="2"/>
  <c r="AC195" i="2"/>
  <c r="U195" i="2"/>
  <c r="AI203" i="2"/>
  <c r="AA203" i="2"/>
  <c r="S203" i="2"/>
  <c r="AH203" i="2"/>
  <c r="Z203" i="2"/>
  <c r="R203" i="2"/>
  <c r="AG203" i="2"/>
  <c r="Y203" i="2"/>
  <c r="Q203" i="2"/>
  <c r="AF203" i="2"/>
  <c r="X203" i="2"/>
  <c r="P203" i="2"/>
  <c r="AD203" i="2"/>
  <c r="V203" i="2"/>
  <c r="AC203" i="2"/>
  <c r="U203" i="2"/>
  <c r="AH211" i="2"/>
  <c r="Z211" i="2"/>
  <c r="AG211" i="2"/>
  <c r="Y211" i="2"/>
  <c r="AE211" i="2"/>
  <c r="AC211" i="2"/>
  <c r="U211" i="2"/>
  <c r="AF211" i="2"/>
  <c r="S211" i="2"/>
  <c r="AD211" i="2"/>
  <c r="R211" i="2"/>
  <c r="AB211" i="2"/>
  <c r="Q211" i="2"/>
  <c r="AA211" i="2"/>
  <c r="P211" i="2"/>
  <c r="W211" i="2"/>
  <c r="V211" i="2"/>
  <c r="AH219" i="2"/>
  <c r="Z219" i="2"/>
  <c r="R219" i="2"/>
  <c r="AG219" i="2"/>
  <c r="Y219" i="2"/>
  <c r="Q219" i="2"/>
  <c r="AF219" i="2"/>
  <c r="X219" i="2"/>
  <c r="P219" i="2"/>
  <c r="AE219" i="2"/>
  <c r="W219" i="2"/>
  <c r="AC219" i="2"/>
  <c r="U219" i="2"/>
  <c r="AI219" i="2"/>
  <c r="AD219" i="2"/>
  <c r="AB219" i="2"/>
  <c r="V219" i="2"/>
  <c r="T219" i="2"/>
  <c r="AH227" i="2"/>
  <c r="Z227" i="2"/>
  <c r="R227" i="2"/>
  <c r="AG227" i="2"/>
  <c r="Y227" i="2"/>
  <c r="Q227" i="2"/>
  <c r="AF227" i="2"/>
  <c r="X227" i="2"/>
  <c r="P227" i="2"/>
  <c r="AE227" i="2"/>
  <c r="W227" i="2"/>
  <c r="AC227" i="2"/>
  <c r="U227" i="2"/>
  <c r="AA227" i="2"/>
  <c r="V227" i="2"/>
  <c r="T227" i="2"/>
  <c r="S227" i="2"/>
  <c r="AI227" i="2"/>
  <c r="AD227" i="2"/>
  <c r="AH235" i="2"/>
  <c r="Z235" i="2"/>
  <c r="R235" i="2"/>
  <c r="AG235" i="2"/>
  <c r="Y235" i="2"/>
  <c r="Q235" i="2"/>
  <c r="AF235" i="2"/>
  <c r="X235" i="2"/>
  <c r="P235" i="2"/>
  <c r="AE235" i="2"/>
  <c r="W235" i="2"/>
  <c r="AC235" i="2"/>
  <c r="U235" i="2"/>
  <c r="AI235" i="2"/>
  <c r="AD235" i="2"/>
  <c r="AB235" i="2"/>
  <c r="V235" i="2"/>
  <c r="T235" i="2"/>
  <c r="AF243" i="2"/>
  <c r="X243" i="2"/>
  <c r="P243" i="2"/>
  <c r="AE243" i="2"/>
  <c r="W243" i="2"/>
  <c r="AD243" i="2"/>
  <c r="V243" i="2"/>
  <c r="AI243" i="2"/>
  <c r="AA243" i="2"/>
  <c r="S243" i="2"/>
  <c r="AB243" i="2"/>
  <c r="Z243" i="2"/>
  <c r="Y243" i="2"/>
  <c r="U243" i="2"/>
  <c r="AH243" i="2"/>
  <c r="R243" i="2"/>
  <c r="AG243" i="2"/>
  <c r="T243" i="2"/>
  <c r="Q243" i="2"/>
  <c r="AF251" i="2"/>
  <c r="X251" i="2"/>
  <c r="P251" i="2"/>
  <c r="AE251" i="2"/>
  <c r="W251" i="2"/>
  <c r="AD251" i="2"/>
  <c r="V251" i="2"/>
  <c r="AI251" i="2"/>
  <c r="AA251" i="2"/>
  <c r="S251" i="2"/>
  <c r="AB251" i="2"/>
  <c r="Z251" i="2"/>
  <c r="Y251" i="2"/>
  <c r="U251" i="2"/>
  <c r="AH251" i="2"/>
  <c r="R251" i="2"/>
  <c r="Q251" i="2"/>
  <c r="AG251" i="2"/>
  <c r="AC251" i="2"/>
  <c r="AF259" i="2"/>
  <c r="X259" i="2"/>
  <c r="P259" i="2"/>
  <c r="AE259" i="2"/>
  <c r="W259" i="2"/>
  <c r="AD259" i="2"/>
  <c r="V259" i="2"/>
  <c r="AI259" i="2"/>
  <c r="AA259" i="2"/>
  <c r="S259" i="2"/>
  <c r="AB259" i="2"/>
  <c r="Z259" i="2"/>
  <c r="Y259" i="2"/>
  <c r="U259" i="2"/>
  <c r="AH259" i="2"/>
  <c r="R259" i="2"/>
  <c r="AC259" i="2"/>
  <c r="T259" i="2"/>
  <c r="Q259" i="2"/>
  <c r="AF267" i="2"/>
  <c r="X267" i="2"/>
  <c r="P267" i="2"/>
  <c r="AE267" i="2"/>
  <c r="W267" i="2"/>
  <c r="AD267" i="2"/>
  <c r="V267" i="2"/>
  <c r="AI267" i="2"/>
  <c r="AA267" i="2"/>
  <c r="S267" i="2"/>
  <c r="AB267" i="2"/>
  <c r="Z267" i="2"/>
  <c r="Y267" i="2"/>
  <c r="U267" i="2"/>
  <c r="T267" i="2"/>
  <c r="AH267" i="2"/>
  <c r="R267" i="2"/>
  <c r="AG267" i="2"/>
  <c r="AC267" i="2"/>
  <c r="AF275" i="2"/>
  <c r="X275" i="2"/>
  <c r="P275" i="2"/>
  <c r="AE275" i="2"/>
  <c r="W275" i="2"/>
  <c r="AD275" i="2"/>
  <c r="V275" i="2"/>
  <c r="AI275" i="2"/>
  <c r="AA275" i="2"/>
  <c r="S275" i="2"/>
  <c r="AB275" i="2"/>
  <c r="Z275" i="2"/>
  <c r="Y275" i="2"/>
  <c r="U275" i="2"/>
  <c r="T275" i="2"/>
  <c r="AH275" i="2"/>
  <c r="R275" i="2"/>
  <c r="Q275" i="2"/>
  <c r="AG275" i="2"/>
  <c r="AF283" i="2"/>
  <c r="X283" i="2"/>
  <c r="P283" i="2"/>
  <c r="AE283" i="2"/>
  <c r="W283" i="2"/>
  <c r="AD283" i="2"/>
  <c r="V283" i="2"/>
  <c r="AI283" i="2"/>
  <c r="AA283" i="2"/>
  <c r="S283" i="2"/>
  <c r="AB283" i="2"/>
  <c r="Z283" i="2"/>
  <c r="Y283" i="2"/>
  <c r="U283" i="2"/>
  <c r="T283" i="2"/>
  <c r="AH283" i="2"/>
  <c r="R283" i="2"/>
  <c r="AG283" i="2"/>
  <c r="AC283" i="2"/>
  <c r="AF291" i="2"/>
  <c r="X291" i="2"/>
  <c r="P291" i="2"/>
  <c r="AE291" i="2"/>
  <c r="W291" i="2"/>
  <c r="AD291" i="2"/>
  <c r="V291" i="2"/>
  <c r="AI291" i="2"/>
  <c r="AA291" i="2"/>
  <c r="S291" i="2"/>
  <c r="AB291" i="2"/>
  <c r="Z291" i="2"/>
  <c r="Y291" i="2"/>
  <c r="U291" i="2"/>
  <c r="T291" i="2"/>
  <c r="AH291" i="2"/>
  <c r="R291" i="2"/>
  <c r="Q291" i="2"/>
  <c r="AG291" i="2"/>
  <c r="AF299" i="2"/>
  <c r="X299" i="2"/>
  <c r="P299" i="2"/>
  <c r="AE299" i="2"/>
  <c r="W299" i="2"/>
  <c r="AD299" i="2"/>
  <c r="V299" i="2"/>
  <c r="AI299" i="2"/>
  <c r="AA299" i="2"/>
  <c r="S299" i="2"/>
  <c r="AG299" i="2"/>
  <c r="Q299" i="2"/>
  <c r="AB299" i="2"/>
  <c r="U299" i="2"/>
  <c r="T299" i="2"/>
  <c r="R299" i="2"/>
  <c r="AH299" i="2"/>
  <c r="AC299" i="2"/>
  <c r="Z299" i="2"/>
  <c r="Y299" i="2"/>
  <c r="AF307" i="2"/>
  <c r="X307" i="2"/>
  <c r="P307" i="2"/>
  <c r="AE307" i="2"/>
  <c r="W307" i="2"/>
  <c r="AD307" i="2"/>
  <c r="V307" i="2"/>
  <c r="AI307" i="2"/>
  <c r="AA307" i="2"/>
  <c r="S307" i="2"/>
  <c r="AG307" i="2"/>
  <c r="Q307" i="2"/>
  <c r="AB307" i="2"/>
  <c r="Z307" i="2"/>
  <c r="U307" i="2"/>
  <c r="T307" i="2"/>
  <c r="AH307" i="2"/>
  <c r="AC307" i="2"/>
  <c r="Y307" i="2"/>
  <c r="R307" i="2"/>
  <c r="AF315" i="2"/>
  <c r="X315" i="2"/>
  <c r="P315" i="2"/>
  <c r="AE315" i="2"/>
  <c r="W315" i="2"/>
  <c r="AD315" i="2"/>
  <c r="V315" i="2"/>
  <c r="AI315" i="2"/>
  <c r="AA315" i="2"/>
  <c r="S315" i="2"/>
  <c r="AG315" i="2"/>
  <c r="Q315" i="2"/>
  <c r="AB315" i="2"/>
  <c r="Z315" i="2"/>
  <c r="U315" i="2"/>
  <c r="T315" i="2"/>
  <c r="Y315" i="2"/>
  <c r="R315" i="2"/>
  <c r="AH315" i="2"/>
  <c r="AC315" i="2"/>
  <c r="AF323" i="2"/>
  <c r="X323" i="2"/>
  <c r="P323" i="2"/>
  <c r="AE323" i="2"/>
  <c r="W323" i="2"/>
  <c r="AD323" i="2"/>
  <c r="V323" i="2"/>
  <c r="AI323" i="2"/>
  <c r="AA323" i="2"/>
  <c r="S323" i="2"/>
  <c r="AG323" i="2"/>
  <c r="Q323" i="2"/>
  <c r="AB323" i="2"/>
  <c r="Z323" i="2"/>
  <c r="U323" i="2"/>
  <c r="T323" i="2"/>
  <c r="AH323" i="2"/>
  <c r="AC323" i="2"/>
  <c r="Y323" i="2"/>
  <c r="R323" i="2"/>
  <c r="AF331" i="2"/>
  <c r="X331" i="2"/>
  <c r="P331" i="2"/>
  <c r="AE331" i="2"/>
  <c r="W331" i="2"/>
  <c r="AD331" i="2"/>
  <c r="V331" i="2"/>
  <c r="AC331" i="2"/>
  <c r="U331" i="2"/>
  <c r="AI331" i="2"/>
  <c r="AA331" i="2"/>
  <c r="S331" i="2"/>
  <c r="AG331" i="2"/>
  <c r="Z331" i="2"/>
  <c r="Y331" i="2"/>
  <c r="R331" i="2"/>
  <c r="Q331" i="2"/>
  <c r="AH331" i="2"/>
  <c r="AB331" i="2"/>
  <c r="T331" i="2"/>
  <c r="AF339" i="2"/>
  <c r="X339" i="2"/>
  <c r="P339" i="2"/>
  <c r="AE339" i="2"/>
  <c r="W339" i="2"/>
  <c r="AD339" i="2"/>
  <c r="V339" i="2"/>
  <c r="AC339" i="2"/>
  <c r="U339" i="2"/>
  <c r="AI339" i="2"/>
  <c r="AA339" i="2"/>
  <c r="S339" i="2"/>
  <c r="T339" i="2"/>
  <c r="Q339" i="2"/>
  <c r="AH339" i="2"/>
  <c r="AB339" i="2"/>
  <c r="Z339" i="2"/>
  <c r="AG339" i="2"/>
  <c r="Y339" i="2"/>
  <c r="R339" i="2"/>
  <c r="AD347" i="2"/>
  <c r="V347" i="2"/>
  <c r="AC347" i="2"/>
  <c r="U347" i="2"/>
  <c r="AB347" i="2"/>
  <c r="T347" i="2"/>
  <c r="AG347" i="2"/>
  <c r="Y347" i="2"/>
  <c r="Q347" i="2"/>
  <c r="W347" i="2"/>
  <c r="AI347" i="2"/>
  <c r="S347" i="2"/>
  <c r="AH347" i="2"/>
  <c r="R347" i="2"/>
  <c r="AF347" i="2"/>
  <c r="P347" i="2"/>
  <c r="AA347" i="2"/>
  <c r="AE347" i="2"/>
  <c r="X347" i="2"/>
  <c r="Z347" i="2"/>
  <c r="AD355" i="2"/>
  <c r="V355" i="2"/>
  <c r="AC355" i="2"/>
  <c r="U355" i="2"/>
  <c r="AB355" i="2"/>
  <c r="T355" i="2"/>
  <c r="AG355" i="2"/>
  <c r="Y355" i="2"/>
  <c r="Q355" i="2"/>
  <c r="W355" i="2"/>
  <c r="AI355" i="2"/>
  <c r="S355" i="2"/>
  <c r="AH355" i="2"/>
  <c r="R355" i="2"/>
  <c r="AF355" i="2"/>
  <c r="P355" i="2"/>
  <c r="AA355" i="2"/>
  <c r="AE355" i="2"/>
  <c r="Z355" i="2"/>
  <c r="X355" i="2"/>
  <c r="AD363" i="2"/>
  <c r="V363" i="2"/>
  <c r="AC363" i="2"/>
  <c r="U363" i="2"/>
  <c r="AB363" i="2"/>
  <c r="T363" i="2"/>
  <c r="AG363" i="2"/>
  <c r="Y363" i="2"/>
  <c r="Q363" i="2"/>
  <c r="W363" i="2"/>
  <c r="AI363" i="2"/>
  <c r="S363" i="2"/>
  <c r="AH363" i="2"/>
  <c r="R363" i="2"/>
  <c r="AF363" i="2"/>
  <c r="P363" i="2"/>
  <c r="AA363" i="2"/>
  <c r="Z363" i="2"/>
  <c r="AE363" i="2"/>
  <c r="X363" i="2"/>
  <c r="AD371" i="2"/>
  <c r="V371" i="2"/>
  <c r="AC371" i="2"/>
  <c r="U371" i="2"/>
  <c r="AB371" i="2"/>
  <c r="T371" i="2"/>
  <c r="AG371" i="2"/>
  <c r="Y371" i="2"/>
  <c r="Q371" i="2"/>
  <c r="W371" i="2"/>
  <c r="AI371" i="2"/>
  <c r="S371" i="2"/>
  <c r="AH371" i="2"/>
  <c r="R371" i="2"/>
  <c r="AF371" i="2"/>
  <c r="P371" i="2"/>
  <c r="AA371" i="2"/>
  <c r="Z371" i="2"/>
  <c r="X371" i="2"/>
  <c r="AE371" i="2"/>
  <c r="AC379" i="2"/>
  <c r="U379" i="2"/>
  <c r="AB379" i="2"/>
  <c r="T379" i="2"/>
  <c r="AI379" i="2"/>
  <c r="AA379" i="2"/>
  <c r="S379" i="2"/>
  <c r="AH379" i="2"/>
  <c r="Z379" i="2"/>
  <c r="R379" i="2"/>
  <c r="X379" i="2"/>
  <c r="W379" i="2"/>
  <c r="V379" i="2"/>
  <c r="AE379" i="2"/>
  <c r="Y379" i="2"/>
  <c r="Q379" i="2"/>
  <c r="P379" i="2"/>
  <c r="AG379" i="2"/>
  <c r="AD379" i="2"/>
  <c r="AF379" i="2"/>
  <c r="AC387" i="2"/>
  <c r="U387" i="2"/>
  <c r="AB387" i="2"/>
  <c r="T387" i="2"/>
  <c r="AI387" i="2"/>
  <c r="AA387" i="2"/>
  <c r="S387" i="2"/>
  <c r="AH387" i="2"/>
  <c r="Z387" i="2"/>
  <c r="R387" i="2"/>
  <c r="X387" i="2"/>
  <c r="W387" i="2"/>
  <c r="V387" i="2"/>
  <c r="AE387" i="2"/>
  <c r="Y387" i="2"/>
  <c r="Q387" i="2"/>
  <c r="P387" i="2"/>
  <c r="AG387" i="2"/>
  <c r="AF387" i="2"/>
  <c r="AD387" i="2"/>
  <c r="AC395" i="2"/>
  <c r="U395" i="2"/>
  <c r="AB395" i="2"/>
  <c r="T395" i="2"/>
  <c r="AI395" i="2"/>
  <c r="AA395" i="2"/>
  <c r="S395" i="2"/>
  <c r="AH395" i="2"/>
  <c r="Z395" i="2"/>
  <c r="R395" i="2"/>
  <c r="X395" i="2"/>
  <c r="W395" i="2"/>
  <c r="V395" i="2"/>
  <c r="AE395" i="2"/>
  <c r="Y395" i="2"/>
  <c r="Q395" i="2"/>
  <c r="P395" i="2"/>
  <c r="AG395" i="2"/>
  <c r="AF395" i="2"/>
  <c r="AD395" i="2"/>
  <c r="AC403" i="2"/>
  <c r="U403" i="2"/>
  <c r="AB403" i="2"/>
  <c r="T403" i="2"/>
  <c r="AI403" i="2"/>
  <c r="AA403" i="2"/>
  <c r="S403" i="2"/>
  <c r="AH403" i="2"/>
  <c r="Z403" i="2"/>
  <c r="R403" i="2"/>
  <c r="X403" i="2"/>
  <c r="W403" i="2"/>
  <c r="V403" i="2"/>
  <c r="AE403" i="2"/>
  <c r="Y403" i="2"/>
  <c r="Q403" i="2"/>
  <c r="P403" i="2"/>
  <c r="AG403" i="2"/>
  <c r="AF403" i="2"/>
  <c r="AD403" i="2"/>
  <c r="AC411" i="2"/>
  <c r="U411" i="2"/>
  <c r="AB411" i="2"/>
  <c r="T411" i="2"/>
  <c r="AI411" i="2"/>
  <c r="AA411" i="2"/>
  <c r="S411" i="2"/>
  <c r="AH411" i="2"/>
  <c r="Z411" i="2"/>
  <c r="R411" i="2"/>
  <c r="X411" i="2"/>
  <c r="W411" i="2"/>
  <c r="V411" i="2"/>
  <c r="AE411" i="2"/>
  <c r="Y411" i="2"/>
  <c r="Q411" i="2"/>
  <c r="P411" i="2"/>
  <c r="AG411" i="2"/>
  <c r="AF411" i="2"/>
  <c r="AD411" i="2"/>
  <c r="AH419" i="2"/>
  <c r="Z419" i="2"/>
  <c r="R419" i="2"/>
  <c r="AF419" i="2"/>
  <c r="X419" i="2"/>
  <c r="P419" i="2"/>
  <c r="AE419" i="2"/>
  <c r="W419" i="2"/>
  <c r="AA419" i="2"/>
  <c r="Y419" i="2"/>
  <c r="V419" i="2"/>
  <c r="AI419" i="2"/>
  <c r="U419" i="2"/>
  <c r="AD419" i="2"/>
  <c r="AC419" i="2"/>
  <c r="AB419" i="2"/>
  <c r="Q419" i="2"/>
  <c r="AG419" i="2"/>
  <c r="T419" i="2"/>
  <c r="S419" i="2"/>
  <c r="AH427" i="2"/>
  <c r="Z427" i="2"/>
  <c r="R427" i="2"/>
  <c r="AG427" i="2"/>
  <c r="Y427" i="2"/>
  <c r="Q427" i="2"/>
  <c r="AF427" i="2"/>
  <c r="X427" i="2"/>
  <c r="P427" i="2"/>
  <c r="AE427" i="2"/>
  <c r="W427" i="2"/>
  <c r="AC427" i="2"/>
  <c r="U427" i="2"/>
  <c r="AI427" i="2"/>
  <c r="AD427" i="2"/>
  <c r="AB427" i="2"/>
  <c r="V427" i="2"/>
  <c r="T427" i="2"/>
  <c r="S427" i="2"/>
  <c r="AA427" i="2"/>
  <c r="AH435" i="2"/>
  <c r="Z435" i="2"/>
  <c r="R435" i="2"/>
  <c r="AG435" i="2"/>
  <c r="Y435" i="2"/>
  <c r="Q435" i="2"/>
  <c r="AF435" i="2"/>
  <c r="X435" i="2"/>
  <c r="P435" i="2"/>
  <c r="AE435" i="2"/>
  <c r="W435" i="2"/>
  <c r="AC435" i="2"/>
  <c r="U435" i="2"/>
  <c r="AA435" i="2"/>
  <c r="V435" i="2"/>
  <c r="T435" i="2"/>
  <c r="S435" i="2"/>
  <c r="AI435" i="2"/>
  <c r="AD435" i="2"/>
  <c r="AB435" i="2"/>
  <c r="AH443" i="2"/>
  <c r="Z443" i="2"/>
  <c r="R443" i="2"/>
  <c r="AG443" i="2"/>
  <c r="Y443" i="2"/>
  <c r="Q443" i="2"/>
  <c r="AF443" i="2"/>
  <c r="X443" i="2"/>
  <c r="P443" i="2"/>
  <c r="AE443" i="2"/>
  <c r="W443" i="2"/>
  <c r="AC443" i="2"/>
  <c r="U443" i="2"/>
  <c r="AI443" i="2"/>
  <c r="AD443" i="2"/>
  <c r="AB443" i="2"/>
  <c r="T443" i="2"/>
  <c r="AA443" i="2"/>
  <c r="V443" i="2"/>
  <c r="S443" i="2"/>
  <c r="AH451" i="2"/>
  <c r="Z451" i="2"/>
  <c r="R451" i="2"/>
  <c r="AG451" i="2"/>
  <c r="Y451" i="2"/>
  <c r="Q451" i="2"/>
  <c r="AF451" i="2"/>
  <c r="X451" i="2"/>
  <c r="P451" i="2"/>
  <c r="AE451" i="2"/>
  <c r="W451" i="2"/>
  <c r="AC451" i="2"/>
  <c r="U451" i="2"/>
  <c r="AA451" i="2"/>
  <c r="V451" i="2"/>
  <c r="T451" i="2"/>
  <c r="S451" i="2"/>
  <c r="AD451" i="2"/>
  <c r="AI451" i="2"/>
  <c r="AB451" i="2"/>
  <c r="G152" i="2"/>
  <c r="G156" i="2"/>
  <c r="G160" i="2"/>
  <c r="G164" i="2"/>
  <c r="G168" i="2"/>
  <c r="G172" i="2"/>
  <c r="G176" i="2"/>
  <c r="G180" i="2"/>
  <c r="G184" i="2"/>
  <c r="G188" i="2"/>
  <c r="G192" i="2"/>
  <c r="G196" i="2"/>
  <c r="G200" i="2"/>
  <c r="G204" i="2"/>
  <c r="G208" i="2"/>
  <c r="G212" i="2"/>
  <c r="G216" i="2"/>
  <c r="G220" i="2"/>
  <c r="G224" i="2"/>
  <c r="G228" i="2"/>
  <c r="G232" i="2"/>
  <c r="G236" i="2"/>
  <c r="G240" i="2"/>
  <c r="G244" i="2"/>
  <c r="G248" i="2"/>
  <c r="G252" i="2"/>
  <c r="G256" i="2"/>
  <c r="G260" i="2"/>
  <c r="G264" i="2"/>
  <c r="G268" i="2"/>
  <c r="G272" i="2"/>
  <c r="G276" i="2"/>
  <c r="G280" i="2"/>
  <c r="G284" i="2"/>
  <c r="G288" i="2"/>
  <c r="G292" i="2"/>
  <c r="G296" i="2"/>
  <c r="G300" i="2"/>
  <c r="G304" i="2"/>
  <c r="G308" i="2"/>
  <c r="G312" i="2"/>
  <c r="G316" i="2"/>
  <c r="G320" i="2"/>
  <c r="G324" i="2"/>
  <c r="G328" i="2"/>
  <c r="G332" i="2"/>
  <c r="G336" i="2"/>
  <c r="G340" i="2"/>
  <c r="G344" i="2"/>
  <c r="G348" i="2"/>
  <c r="G352" i="2"/>
  <c r="G356" i="2"/>
  <c r="G360" i="2"/>
  <c r="G364" i="2"/>
  <c r="G368" i="2"/>
  <c r="G372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W149" i="2"/>
  <c r="S150" i="2"/>
  <c r="AA150" i="2"/>
  <c r="W151" i="2"/>
  <c r="S152" i="2"/>
  <c r="AA152" i="2"/>
  <c r="W153" i="2"/>
  <c r="S154" i="2"/>
  <c r="AA154" i="2"/>
  <c r="W155" i="2"/>
  <c r="S156" i="2"/>
  <c r="AA156" i="2"/>
  <c r="W157" i="2"/>
  <c r="S158" i="2"/>
  <c r="AA158" i="2"/>
  <c r="AC159" i="2"/>
  <c r="AF160" i="2"/>
  <c r="AE161" i="2"/>
  <c r="AG162" i="2"/>
  <c r="P164" i="2"/>
  <c r="AI164" i="2"/>
  <c r="X166" i="2"/>
  <c r="P168" i="2"/>
  <c r="AB169" i="2"/>
  <c r="T171" i="2"/>
  <c r="AF172" i="2"/>
  <c r="X174" i="2"/>
  <c r="P176" i="2"/>
  <c r="AB177" i="2"/>
  <c r="T179" i="2"/>
  <c r="AF180" i="2"/>
  <c r="X182" i="2"/>
  <c r="P184" i="2"/>
  <c r="AB185" i="2"/>
  <c r="T187" i="2"/>
  <c r="AF188" i="2"/>
  <c r="X190" i="2"/>
  <c r="P192" i="2"/>
  <c r="AB193" i="2"/>
  <c r="T195" i="2"/>
  <c r="AF196" i="2"/>
  <c r="X198" i="2"/>
  <c r="P200" i="2"/>
  <c r="AB201" i="2"/>
  <c r="T203" i="2"/>
  <c r="AF204" i="2"/>
  <c r="X206" i="2"/>
  <c r="P208" i="2"/>
  <c r="AB209" i="2"/>
  <c r="T211" i="2"/>
  <c r="AF214" i="2"/>
  <c r="S219" i="2"/>
  <c r="V223" i="2"/>
  <c r="AB227" i="2"/>
  <c r="AI231" i="2"/>
  <c r="R236" i="2"/>
  <c r="AC240" i="2"/>
  <c r="U249" i="2"/>
  <c r="AB257" i="2"/>
  <c r="U269" i="2"/>
  <c r="Q282" i="2"/>
  <c r="U296" i="2"/>
  <c r="Z329" i="2"/>
  <c r="T148" i="2"/>
  <c r="AB148" i="2"/>
  <c r="U148" i="2"/>
  <c r="AC148" i="2"/>
  <c r="V148" i="2"/>
  <c r="AD148" i="2"/>
  <c r="G148" i="2"/>
  <c r="W148" i="2"/>
  <c r="AE148" i="2"/>
  <c r="P148" i="2"/>
  <c r="X148" i="2"/>
  <c r="AF148" i="2"/>
  <c r="Q148" i="2"/>
  <c r="Y148" i="2"/>
  <c r="AG148" i="2"/>
  <c r="R148" i="2"/>
  <c r="Z148" i="2"/>
  <c r="AH148" i="2"/>
  <c r="S148" i="2"/>
  <c r="AA148" i="2"/>
  <c r="Q147" i="2"/>
  <c r="G147" i="2"/>
  <c r="Y147" i="2"/>
  <c r="AG147" i="2"/>
  <c r="P147" i="2"/>
  <c r="X147" i="2"/>
  <c r="AF147" i="2"/>
  <c r="R147" i="2"/>
  <c r="Z147" i="2"/>
  <c r="AH147" i="2"/>
  <c r="S147" i="2"/>
  <c r="AA147" i="2"/>
  <c r="AI147" i="2"/>
  <c r="T147" i="2"/>
  <c r="AB147" i="2"/>
  <c r="U147" i="2"/>
  <c r="AC147" i="2"/>
  <c r="V147" i="2"/>
  <c r="AD147" i="2"/>
  <c r="W147" i="2"/>
  <c r="T146" i="2"/>
  <c r="AB146" i="2"/>
  <c r="U146" i="2"/>
  <c r="AC146" i="2"/>
  <c r="V146" i="2"/>
  <c r="AD146" i="2"/>
  <c r="W146" i="2"/>
  <c r="AE146" i="2"/>
  <c r="P146" i="2"/>
  <c r="X146" i="2"/>
  <c r="AF146" i="2"/>
  <c r="Q146" i="2"/>
  <c r="Y146" i="2"/>
  <c r="AG146" i="2"/>
  <c r="R146" i="2"/>
  <c r="Z146" i="2"/>
  <c r="AH146" i="2"/>
  <c r="G146" i="2"/>
  <c r="S146" i="2"/>
  <c r="AA146" i="2"/>
  <c r="P145" i="2"/>
  <c r="X145" i="2"/>
  <c r="AF145" i="2"/>
  <c r="Q145" i="2"/>
  <c r="Y145" i="2"/>
  <c r="AG145" i="2"/>
  <c r="R145" i="2"/>
  <c r="Z145" i="2"/>
  <c r="AH145" i="2"/>
  <c r="S145" i="2"/>
  <c r="AA145" i="2"/>
  <c r="AI145" i="2"/>
  <c r="T145" i="2"/>
  <c r="AB145" i="2"/>
  <c r="G145" i="2"/>
  <c r="U145" i="2"/>
  <c r="AC145" i="2"/>
  <c r="V145" i="2"/>
  <c r="AD145" i="2"/>
  <c r="W145" i="2"/>
  <c r="T144" i="2"/>
  <c r="AB144" i="2"/>
  <c r="U144" i="2"/>
  <c r="AC144" i="2"/>
  <c r="V144" i="2"/>
  <c r="AD144" i="2"/>
  <c r="G144" i="2"/>
  <c r="W144" i="2"/>
  <c r="AE144" i="2"/>
  <c r="P144" i="2"/>
  <c r="X144" i="2"/>
  <c r="AF144" i="2"/>
  <c r="Q144" i="2"/>
  <c r="Y144" i="2"/>
  <c r="AG144" i="2"/>
  <c r="R144" i="2"/>
  <c r="Z144" i="2"/>
  <c r="AH144" i="2"/>
  <c r="S144" i="2"/>
  <c r="AA144" i="2"/>
  <c r="P143" i="2"/>
  <c r="X143" i="2"/>
  <c r="AF143" i="2"/>
  <c r="G143" i="2"/>
  <c r="Q143" i="2"/>
  <c r="Y143" i="2"/>
  <c r="AG143" i="2"/>
  <c r="R143" i="2"/>
  <c r="Z143" i="2"/>
  <c r="AH143" i="2"/>
  <c r="S143" i="2"/>
  <c r="AA143" i="2"/>
  <c r="AI143" i="2"/>
  <c r="T143" i="2"/>
  <c r="AB143" i="2"/>
  <c r="U143" i="2"/>
  <c r="AC143" i="2"/>
  <c r="V143" i="2"/>
  <c r="AD143" i="2"/>
  <c r="W143" i="2"/>
  <c r="T142" i="2"/>
  <c r="U142" i="2"/>
  <c r="AB142" i="2"/>
  <c r="AC142" i="2"/>
  <c r="V142" i="2"/>
  <c r="AD142" i="2"/>
  <c r="W142" i="2"/>
  <c r="AE142" i="2"/>
  <c r="P142" i="2"/>
  <c r="X142" i="2"/>
  <c r="AF142" i="2"/>
  <c r="Q142" i="2"/>
  <c r="Y142" i="2"/>
  <c r="AG142" i="2"/>
  <c r="R142" i="2"/>
  <c r="Z142" i="2"/>
  <c r="AH142" i="2"/>
  <c r="G142" i="2"/>
  <c r="S142" i="2"/>
  <c r="AA142" i="2"/>
  <c r="P141" i="2"/>
  <c r="X141" i="2"/>
  <c r="AF141" i="2"/>
  <c r="Q141" i="2"/>
  <c r="Y141" i="2"/>
  <c r="AG141" i="2"/>
  <c r="R141" i="2"/>
  <c r="Z141" i="2"/>
  <c r="AH141" i="2"/>
  <c r="S141" i="2"/>
  <c r="AA141" i="2"/>
  <c r="AI141" i="2"/>
  <c r="T141" i="2"/>
  <c r="AB141" i="2"/>
  <c r="G141" i="2"/>
  <c r="U141" i="2"/>
  <c r="AC141" i="2"/>
  <c r="V141" i="2"/>
  <c r="AD141" i="2"/>
  <c r="W141" i="2"/>
  <c r="T140" i="2"/>
  <c r="AB140" i="2"/>
  <c r="U140" i="2"/>
  <c r="AC140" i="2"/>
  <c r="V140" i="2"/>
  <c r="AD140" i="2"/>
  <c r="G140" i="2"/>
  <c r="W140" i="2"/>
  <c r="AE140" i="2"/>
  <c r="P140" i="2"/>
  <c r="X140" i="2"/>
  <c r="AF140" i="2"/>
  <c r="Q140" i="2"/>
  <c r="Y140" i="2"/>
  <c r="AG140" i="2"/>
  <c r="R140" i="2"/>
  <c r="Z140" i="2"/>
  <c r="AH140" i="2"/>
  <c r="S140" i="2"/>
  <c r="AA140" i="2"/>
  <c r="P139" i="2"/>
  <c r="X139" i="2"/>
  <c r="AF139" i="2"/>
  <c r="G139" i="2"/>
  <c r="Q139" i="2"/>
  <c r="Y139" i="2"/>
  <c r="AG139" i="2"/>
  <c r="R139" i="2"/>
  <c r="Z139" i="2"/>
  <c r="AH139" i="2"/>
  <c r="S139" i="2"/>
  <c r="AA139" i="2"/>
  <c r="AI139" i="2"/>
  <c r="T139" i="2"/>
  <c r="AB139" i="2"/>
  <c r="U139" i="2"/>
  <c r="AC139" i="2"/>
  <c r="V139" i="2"/>
  <c r="AD139" i="2"/>
  <c r="W139" i="2"/>
  <c r="T138" i="2"/>
  <c r="AB138" i="2"/>
  <c r="U138" i="2"/>
  <c r="AC138" i="2"/>
  <c r="V138" i="2"/>
  <c r="AD138" i="2"/>
  <c r="W138" i="2"/>
  <c r="AE138" i="2"/>
  <c r="P138" i="2"/>
  <c r="X138" i="2"/>
  <c r="AF138" i="2"/>
  <c r="Q138" i="2"/>
  <c r="Y138" i="2"/>
  <c r="AG138" i="2"/>
  <c r="R138" i="2"/>
  <c r="Z138" i="2"/>
  <c r="AH138" i="2"/>
  <c r="G138" i="2"/>
  <c r="S138" i="2"/>
  <c r="AA138" i="2"/>
  <c r="P137" i="2"/>
  <c r="X137" i="2"/>
  <c r="AF137" i="2"/>
  <c r="Q137" i="2"/>
  <c r="Y137" i="2"/>
  <c r="AG137" i="2"/>
  <c r="R137" i="2"/>
  <c r="Z137" i="2"/>
  <c r="AH137" i="2"/>
  <c r="S137" i="2"/>
  <c r="AA137" i="2"/>
  <c r="AI137" i="2"/>
  <c r="T137" i="2"/>
  <c r="AB137" i="2"/>
  <c r="G137" i="2"/>
  <c r="U137" i="2"/>
  <c r="AC137" i="2"/>
  <c r="V137" i="2"/>
  <c r="AD137" i="2"/>
  <c r="W137" i="2"/>
  <c r="T136" i="2"/>
  <c r="AB136" i="2"/>
  <c r="U136" i="2"/>
  <c r="AC136" i="2"/>
  <c r="V136" i="2"/>
  <c r="AD136" i="2"/>
  <c r="G136" i="2"/>
  <c r="W136" i="2"/>
  <c r="AE136" i="2"/>
  <c r="P136" i="2"/>
  <c r="X136" i="2"/>
  <c r="AF136" i="2"/>
  <c r="Q136" i="2"/>
  <c r="Y136" i="2"/>
  <c r="AG136" i="2"/>
  <c r="R136" i="2"/>
  <c r="Z136" i="2"/>
  <c r="AH136" i="2"/>
  <c r="S136" i="2"/>
  <c r="AA136" i="2"/>
  <c r="Q135" i="2"/>
  <c r="G135" i="2"/>
  <c r="Y135" i="2"/>
  <c r="AG135" i="2"/>
  <c r="P135" i="2"/>
  <c r="X135" i="2"/>
  <c r="AF135" i="2"/>
  <c r="R135" i="2"/>
  <c r="Z135" i="2"/>
  <c r="AH135" i="2"/>
  <c r="S135" i="2"/>
  <c r="AA135" i="2"/>
  <c r="AI135" i="2"/>
  <c r="T135" i="2"/>
  <c r="AB135" i="2"/>
  <c r="U135" i="2"/>
  <c r="AC135" i="2"/>
  <c r="V135" i="2"/>
  <c r="AD135" i="2"/>
  <c r="W135" i="2"/>
  <c r="T134" i="2"/>
  <c r="AB134" i="2"/>
  <c r="U134" i="2"/>
  <c r="AC134" i="2"/>
  <c r="V134" i="2"/>
  <c r="AD134" i="2"/>
  <c r="W134" i="2"/>
  <c r="AE134" i="2"/>
  <c r="P134" i="2"/>
  <c r="X134" i="2"/>
  <c r="AF134" i="2"/>
  <c r="Q134" i="2"/>
  <c r="Y134" i="2"/>
  <c r="AG134" i="2"/>
  <c r="R134" i="2"/>
  <c r="Z134" i="2"/>
  <c r="AH134" i="2"/>
  <c r="G134" i="2"/>
  <c r="S134" i="2"/>
  <c r="AA134" i="2"/>
  <c r="G133" i="2"/>
  <c r="P133" i="2"/>
  <c r="X133" i="2"/>
  <c r="AF133" i="2"/>
  <c r="Q133" i="2"/>
  <c r="Y133" i="2"/>
  <c r="AG133" i="2"/>
  <c r="R133" i="2"/>
  <c r="Z133" i="2"/>
  <c r="AH133" i="2"/>
  <c r="S133" i="2"/>
  <c r="AA133" i="2"/>
  <c r="AI133" i="2"/>
  <c r="T133" i="2"/>
  <c r="AB133" i="2"/>
  <c r="U133" i="2"/>
  <c r="AC133" i="2"/>
  <c r="V133" i="2"/>
  <c r="AD133" i="2"/>
  <c r="W133" i="2"/>
  <c r="T132" i="2"/>
  <c r="AB132" i="2"/>
  <c r="U132" i="2"/>
  <c r="AC132" i="2"/>
  <c r="V132" i="2"/>
  <c r="AD132" i="2"/>
  <c r="G132" i="2"/>
  <c r="W132" i="2"/>
  <c r="AE132" i="2"/>
  <c r="P132" i="2"/>
  <c r="X132" i="2"/>
  <c r="AF132" i="2"/>
  <c r="Q132" i="2"/>
  <c r="Y132" i="2"/>
  <c r="AG132" i="2"/>
  <c r="R132" i="2"/>
  <c r="Z132" i="2"/>
  <c r="AH132" i="2"/>
  <c r="S132" i="2"/>
  <c r="AA132" i="2"/>
  <c r="Q131" i="2"/>
  <c r="G131" i="2"/>
  <c r="Y131" i="2"/>
  <c r="AG131" i="2"/>
  <c r="P131" i="2"/>
  <c r="X131" i="2"/>
  <c r="AF131" i="2"/>
  <c r="R131" i="2"/>
  <c r="Z131" i="2"/>
  <c r="AH131" i="2"/>
  <c r="S131" i="2"/>
  <c r="AA131" i="2"/>
  <c r="AI131" i="2"/>
  <c r="T131" i="2"/>
  <c r="AB131" i="2"/>
  <c r="U131" i="2"/>
  <c r="AC131" i="2"/>
  <c r="V131" i="2"/>
  <c r="AD131" i="2"/>
  <c r="W131" i="2"/>
  <c r="U130" i="2"/>
  <c r="AC130" i="2"/>
  <c r="T130" i="2"/>
  <c r="AB130" i="2"/>
  <c r="V130" i="2"/>
  <c r="AD130" i="2"/>
  <c r="W130" i="2"/>
  <c r="AE130" i="2"/>
  <c r="P130" i="2"/>
  <c r="X130" i="2"/>
  <c r="AF130" i="2"/>
  <c r="Q130" i="2"/>
  <c r="Y130" i="2"/>
  <c r="AG130" i="2"/>
  <c r="R130" i="2"/>
  <c r="Z130" i="2"/>
  <c r="AH130" i="2"/>
  <c r="G130" i="2"/>
  <c r="S130" i="2"/>
  <c r="AA130" i="2"/>
  <c r="P129" i="2"/>
  <c r="X129" i="2"/>
  <c r="AF129" i="2"/>
  <c r="Q129" i="2"/>
  <c r="Y129" i="2"/>
  <c r="AG129" i="2"/>
  <c r="R129" i="2"/>
  <c r="Z129" i="2"/>
  <c r="AH129" i="2"/>
  <c r="S129" i="2"/>
  <c r="AA129" i="2"/>
  <c r="AI129" i="2"/>
  <c r="T129" i="2"/>
  <c r="AB129" i="2"/>
  <c r="G129" i="2"/>
  <c r="U129" i="2"/>
  <c r="AC129" i="2"/>
  <c r="V129" i="2"/>
  <c r="AD129" i="2"/>
  <c r="W129" i="2"/>
  <c r="U128" i="2"/>
  <c r="AC128" i="2"/>
  <c r="T128" i="2"/>
  <c r="AB128" i="2"/>
  <c r="V128" i="2"/>
  <c r="AD128" i="2"/>
  <c r="G128" i="2"/>
  <c r="W128" i="2"/>
  <c r="AE128" i="2"/>
  <c r="P128" i="2"/>
  <c r="X128" i="2"/>
  <c r="AF128" i="2"/>
  <c r="Q128" i="2"/>
  <c r="Y128" i="2"/>
  <c r="AG128" i="2"/>
  <c r="R128" i="2"/>
  <c r="Z128" i="2"/>
  <c r="AH128" i="2"/>
  <c r="S128" i="2"/>
  <c r="AA128" i="2"/>
  <c r="W127" i="2"/>
  <c r="AE127" i="2"/>
  <c r="P127" i="2"/>
  <c r="X127" i="2"/>
  <c r="AF127" i="2"/>
  <c r="G127" i="2"/>
  <c r="Q127" i="2"/>
  <c r="Y127" i="2"/>
  <c r="AG127" i="2"/>
  <c r="R127" i="2"/>
  <c r="Z127" i="2"/>
  <c r="AH127" i="2"/>
  <c r="S127" i="2"/>
  <c r="AA127" i="2"/>
  <c r="AI127" i="2"/>
  <c r="T127" i="2"/>
  <c r="AB127" i="2"/>
  <c r="U127" i="2"/>
  <c r="AC127" i="2"/>
  <c r="V127" i="2"/>
  <c r="T126" i="2"/>
  <c r="AB126" i="2"/>
  <c r="U126" i="2"/>
  <c r="AC126" i="2"/>
  <c r="V126" i="2"/>
  <c r="AD126" i="2"/>
  <c r="W126" i="2"/>
  <c r="AE126" i="2"/>
  <c r="P126" i="2"/>
  <c r="X126" i="2"/>
  <c r="AF126" i="2"/>
  <c r="Q126" i="2"/>
  <c r="Y126" i="2"/>
  <c r="AG126" i="2"/>
  <c r="R126" i="2"/>
  <c r="Z126" i="2"/>
  <c r="AH126" i="2"/>
  <c r="G126" i="2"/>
  <c r="S126" i="2"/>
  <c r="AA126" i="2"/>
  <c r="P125" i="2"/>
  <c r="X125" i="2"/>
  <c r="AF125" i="2"/>
  <c r="Q125" i="2"/>
  <c r="R125" i="2"/>
  <c r="Z125" i="2"/>
  <c r="AH125" i="2"/>
  <c r="S125" i="2"/>
  <c r="AA125" i="2"/>
  <c r="AI125" i="2"/>
  <c r="T125" i="2"/>
  <c r="AB125" i="2"/>
  <c r="AG125" i="2"/>
  <c r="G125" i="2"/>
  <c r="U125" i="2"/>
  <c r="AC125" i="2"/>
  <c r="Y125" i="2"/>
  <c r="V125" i="2"/>
  <c r="AD125" i="2"/>
  <c r="W125" i="2"/>
  <c r="U124" i="2"/>
  <c r="AP124" i="2" s="1"/>
  <c r="AC124" i="2"/>
  <c r="AX124" i="2" s="1"/>
  <c r="T124" i="2"/>
  <c r="AO124" i="2" s="1"/>
  <c r="AB124" i="2"/>
  <c r="AW124" i="2" s="1"/>
  <c r="V124" i="2"/>
  <c r="AQ124" i="2" s="1"/>
  <c r="AD124" i="2"/>
  <c r="AY124" i="2" s="1"/>
  <c r="G124" i="2"/>
  <c r="W124" i="2"/>
  <c r="AR124" i="2" s="1"/>
  <c r="AE124" i="2"/>
  <c r="AZ124" i="2" s="1"/>
  <c r="AZ125" i="2" s="1"/>
  <c r="P124" i="2"/>
  <c r="AK124" i="2" s="1"/>
  <c r="X124" i="2"/>
  <c r="AS124" i="2" s="1"/>
  <c r="AF124" i="2"/>
  <c r="BA124" i="2" s="1"/>
  <c r="Q124" i="2"/>
  <c r="AL124" i="2" s="1"/>
  <c r="Y124" i="2"/>
  <c r="AT124" i="2" s="1"/>
  <c r="AG124" i="2"/>
  <c r="BB124" i="2" s="1"/>
  <c r="R124" i="2"/>
  <c r="AM124" i="2" s="1"/>
  <c r="Z124" i="2"/>
  <c r="AU124" i="2" s="1"/>
  <c r="AH124" i="2"/>
  <c r="BC124" i="2" s="1"/>
  <c r="S124" i="2"/>
  <c r="AN124" i="2" s="1"/>
  <c r="AA124" i="2"/>
  <c r="AV124" i="2" s="1"/>
  <c r="P123" i="2"/>
  <c r="G123" i="2"/>
  <c r="Q123" i="2"/>
  <c r="X123" i="2"/>
  <c r="Y123" i="2"/>
  <c r="AF123" i="2"/>
  <c r="AG123" i="2"/>
  <c r="T123" i="2"/>
  <c r="AB123" i="2"/>
  <c r="U123" i="2"/>
  <c r="AC123" i="2"/>
  <c r="V123" i="2"/>
  <c r="AD123" i="2"/>
  <c r="W123" i="2"/>
  <c r="AE123" i="2"/>
  <c r="R123" i="2"/>
  <c r="Z123" i="2"/>
  <c r="AH123" i="2"/>
  <c r="S123" i="2"/>
  <c r="AA123" i="2"/>
  <c r="P122" i="2"/>
  <c r="X122" i="2"/>
  <c r="AF122" i="2"/>
  <c r="Q122" i="2"/>
  <c r="Y122" i="2"/>
  <c r="AG122" i="2"/>
  <c r="R122" i="2"/>
  <c r="Z122" i="2"/>
  <c r="AH122" i="2"/>
  <c r="G122" i="2"/>
  <c r="S122" i="2"/>
  <c r="AA122" i="2"/>
  <c r="AI122" i="2"/>
  <c r="T122" i="2"/>
  <c r="AB122" i="2"/>
  <c r="U122" i="2"/>
  <c r="AC122" i="2"/>
  <c r="V122" i="2"/>
  <c r="AD122" i="2"/>
  <c r="W122" i="2"/>
  <c r="T121" i="2"/>
  <c r="AB121" i="2"/>
  <c r="G121" i="2"/>
  <c r="U121" i="2"/>
  <c r="AC121" i="2"/>
  <c r="V121" i="2"/>
  <c r="AD121" i="2"/>
  <c r="W121" i="2"/>
  <c r="AE121" i="2"/>
  <c r="P121" i="2"/>
  <c r="X121" i="2"/>
  <c r="AF121" i="2"/>
  <c r="Q121" i="2"/>
  <c r="Y121" i="2"/>
  <c r="AG121" i="2"/>
  <c r="R121" i="2"/>
  <c r="Z121" i="2"/>
  <c r="AH121" i="2"/>
  <c r="S121" i="2"/>
  <c r="AA121" i="2"/>
  <c r="P120" i="2"/>
  <c r="X120" i="2"/>
  <c r="AF120" i="2"/>
  <c r="Q120" i="2"/>
  <c r="Y120" i="2"/>
  <c r="AG120" i="2"/>
  <c r="R120" i="2"/>
  <c r="Z120" i="2"/>
  <c r="AH120" i="2"/>
  <c r="S120" i="2"/>
  <c r="AA120" i="2"/>
  <c r="AI120" i="2"/>
  <c r="T120" i="2"/>
  <c r="AB120" i="2"/>
  <c r="U120" i="2"/>
  <c r="AC120" i="2"/>
  <c r="V120" i="2"/>
  <c r="AD120" i="2"/>
  <c r="G120" i="2"/>
  <c r="W120" i="2"/>
  <c r="T119" i="2"/>
  <c r="AO119" i="2" s="1"/>
  <c r="AB119" i="2"/>
  <c r="AW119" i="2" s="1"/>
  <c r="AW120" i="2" s="1"/>
  <c r="AW121" i="2" s="1"/>
  <c r="U119" i="2"/>
  <c r="AP119" i="2" s="1"/>
  <c r="AP120" i="2" s="1"/>
  <c r="AC119" i="2"/>
  <c r="AX119" i="2" s="1"/>
  <c r="V119" i="2"/>
  <c r="AQ119" i="2" s="1"/>
  <c r="AD119" i="2"/>
  <c r="AY119" i="2" s="1"/>
  <c r="W119" i="2"/>
  <c r="AR119" i="2" s="1"/>
  <c r="AE119" i="2"/>
  <c r="AZ119" i="2" s="1"/>
  <c r="AZ120" i="2" s="1"/>
  <c r="P119" i="2"/>
  <c r="AK119" i="2" s="1"/>
  <c r="X119" i="2"/>
  <c r="AS119" i="2" s="1"/>
  <c r="AF119" i="2"/>
  <c r="BA119" i="2" s="1"/>
  <c r="G119" i="2"/>
  <c r="Q119" i="2"/>
  <c r="AL119" i="2" s="1"/>
  <c r="Y119" i="2"/>
  <c r="AT119" i="2" s="1"/>
  <c r="AG119" i="2"/>
  <c r="BB119" i="2" s="1"/>
  <c r="R119" i="2"/>
  <c r="AM119" i="2" s="1"/>
  <c r="Z119" i="2"/>
  <c r="AU119" i="2" s="1"/>
  <c r="AH119" i="2"/>
  <c r="BC119" i="2" s="1"/>
  <c r="S119" i="2"/>
  <c r="AN119" i="2" s="1"/>
  <c r="AA119" i="2"/>
  <c r="AV119" i="2" s="1"/>
  <c r="P118" i="2"/>
  <c r="X118" i="2"/>
  <c r="AF118" i="2"/>
  <c r="Q118" i="2"/>
  <c r="Y118" i="2"/>
  <c r="AG118" i="2"/>
  <c r="R118" i="2"/>
  <c r="Z118" i="2"/>
  <c r="AH118" i="2"/>
  <c r="G118" i="2"/>
  <c r="S118" i="2"/>
  <c r="AA118" i="2"/>
  <c r="AI118" i="2"/>
  <c r="T118" i="2"/>
  <c r="AB118" i="2"/>
  <c r="U118" i="2"/>
  <c r="AC118" i="2"/>
  <c r="V118" i="2"/>
  <c r="AD118" i="2"/>
  <c r="W118" i="2"/>
  <c r="T117" i="2"/>
  <c r="AB117" i="2"/>
  <c r="G117" i="2"/>
  <c r="U117" i="2"/>
  <c r="AC117" i="2"/>
  <c r="V117" i="2"/>
  <c r="AD117" i="2"/>
  <c r="W117" i="2"/>
  <c r="AE117" i="2"/>
  <c r="P117" i="2"/>
  <c r="X117" i="2"/>
  <c r="AF117" i="2"/>
  <c r="Q117" i="2"/>
  <c r="Y117" i="2"/>
  <c r="AG117" i="2"/>
  <c r="R117" i="2"/>
  <c r="Z117" i="2"/>
  <c r="AH117" i="2"/>
  <c r="S117" i="2"/>
  <c r="AA117" i="2"/>
  <c r="P116" i="2"/>
  <c r="X116" i="2"/>
  <c r="AF116" i="2"/>
  <c r="Q116" i="2"/>
  <c r="Y116" i="2"/>
  <c r="AG116" i="2"/>
  <c r="R116" i="2"/>
  <c r="Z116" i="2"/>
  <c r="AH116" i="2"/>
  <c r="S116" i="2"/>
  <c r="AA116" i="2"/>
  <c r="AI116" i="2"/>
  <c r="T116" i="2"/>
  <c r="AB116" i="2"/>
  <c r="U116" i="2"/>
  <c r="AC116" i="2"/>
  <c r="V116" i="2"/>
  <c r="AD116" i="2"/>
  <c r="G116" i="2"/>
  <c r="W116" i="2"/>
  <c r="T115" i="2"/>
  <c r="AB115" i="2"/>
  <c r="U115" i="2"/>
  <c r="AC115" i="2"/>
  <c r="V115" i="2"/>
  <c r="AD115" i="2"/>
  <c r="W115" i="2"/>
  <c r="AE115" i="2"/>
  <c r="P115" i="2"/>
  <c r="X115" i="2"/>
  <c r="AF115" i="2"/>
  <c r="G115" i="2"/>
  <c r="Q115" i="2"/>
  <c r="Y115" i="2"/>
  <c r="AG115" i="2"/>
  <c r="R115" i="2"/>
  <c r="Z115" i="2"/>
  <c r="AH115" i="2"/>
  <c r="S115" i="2"/>
  <c r="AA115" i="2"/>
  <c r="P114" i="2"/>
  <c r="AK114" i="2" s="1"/>
  <c r="X114" i="2"/>
  <c r="AS114" i="2" s="1"/>
  <c r="AF114" i="2"/>
  <c r="BA114" i="2" s="1"/>
  <c r="Q114" i="2"/>
  <c r="AL114" i="2" s="1"/>
  <c r="Y114" i="2"/>
  <c r="AT114" i="2" s="1"/>
  <c r="AG114" i="2"/>
  <c r="BB114" i="2" s="1"/>
  <c r="R114" i="2"/>
  <c r="AM114" i="2" s="1"/>
  <c r="AM115" i="2" s="1"/>
  <c r="AM116" i="2" s="1"/>
  <c r="AM117" i="2" s="1"/>
  <c r="AM118" i="2" s="1"/>
  <c r="Z114" i="2"/>
  <c r="AU114" i="2" s="1"/>
  <c r="AH114" i="2"/>
  <c r="BC114" i="2" s="1"/>
  <c r="G114" i="2"/>
  <c r="S114" i="2"/>
  <c r="AN114" i="2" s="1"/>
  <c r="AA114" i="2"/>
  <c r="AV114" i="2" s="1"/>
  <c r="AI114" i="2"/>
  <c r="BD114" i="2" s="1"/>
  <c r="BD115" i="2" s="1"/>
  <c r="T114" i="2"/>
  <c r="AO114" i="2" s="1"/>
  <c r="AB114" i="2"/>
  <c r="AW114" i="2" s="1"/>
  <c r="U114" i="2"/>
  <c r="AP114" i="2" s="1"/>
  <c r="AC114" i="2"/>
  <c r="AX114" i="2" s="1"/>
  <c r="V114" i="2"/>
  <c r="AQ114" i="2" s="1"/>
  <c r="AQ115" i="2" s="1"/>
  <c r="AQ116" i="2" s="1"/>
  <c r="AQ117" i="2" s="1"/>
  <c r="AQ118" i="2" s="1"/>
  <c r="AD114" i="2"/>
  <c r="AY114" i="2" s="1"/>
  <c r="W114" i="2"/>
  <c r="AR114" i="2" s="1"/>
  <c r="T113" i="2"/>
  <c r="AB113" i="2"/>
  <c r="G113" i="2"/>
  <c r="U113" i="2"/>
  <c r="AC113" i="2"/>
  <c r="V113" i="2"/>
  <c r="AD113" i="2"/>
  <c r="W113" i="2"/>
  <c r="AE113" i="2"/>
  <c r="P113" i="2"/>
  <c r="X113" i="2"/>
  <c r="AF113" i="2"/>
  <c r="Q113" i="2"/>
  <c r="Y113" i="2"/>
  <c r="AG113" i="2"/>
  <c r="R113" i="2"/>
  <c r="Z113" i="2"/>
  <c r="AH113" i="2"/>
  <c r="S113" i="2"/>
  <c r="AA113" i="2"/>
  <c r="P112" i="2"/>
  <c r="X112" i="2"/>
  <c r="AF112" i="2"/>
  <c r="Q112" i="2"/>
  <c r="Y112" i="2"/>
  <c r="AG112" i="2"/>
  <c r="R112" i="2"/>
  <c r="Z112" i="2"/>
  <c r="AH112" i="2"/>
  <c r="S112" i="2"/>
  <c r="AA112" i="2"/>
  <c r="AI112" i="2"/>
  <c r="T112" i="2"/>
  <c r="AB112" i="2"/>
  <c r="U112" i="2"/>
  <c r="AC112" i="2"/>
  <c r="V112" i="2"/>
  <c r="AD112" i="2"/>
  <c r="G112" i="2"/>
  <c r="W112" i="2"/>
  <c r="P111" i="2"/>
  <c r="R111" i="2"/>
  <c r="X111" i="2"/>
  <c r="Z111" i="2"/>
  <c r="AF111" i="2"/>
  <c r="AH111" i="2"/>
  <c r="T111" i="2"/>
  <c r="AB111" i="2"/>
  <c r="U111" i="2"/>
  <c r="AC111" i="2"/>
  <c r="V111" i="2"/>
  <c r="AD111" i="2"/>
  <c r="W111" i="2"/>
  <c r="AE111" i="2"/>
  <c r="G111" i="2"/>
  <c r="Q111" i="2"/>
  <c r="Y111" i="2"/>
  <c r="AG111" i="2"/>
  <c r="S111" i="2"/>
  <c r="AA111" i="2"/>
  <c r="P110" i="2"/>
  <c r="X110" i="2"/>
  <c r="AF110" i="2"/>
  <c r="Q110" i="2"/>
  <c r="Y110" i="2"/>
  <c r="AG110" i="2"/>
  <c r="R110" i="2"/>
  <c r="Z110" i="2"/>
  <c r="AH110" i="2"/>
  <c r="G110" i="2"/>
  <c r="S110" i="2"/>
  <c r="AA110" i="2"/>
  <c r="AI110" i="2"/>
  <c r="T110" i="2"/>
  <c r="AB110" i="2"/>
  <c r="U110" i="2"/>
  <c r="AC110" i="2"/>
  <c r="V110" i="2"/>
  <c r="AD110" i="2"/>
  <c r="W110" i="2"/>
  <c r="T109" i="2"/>
  <c r="AO109" i="2" s="1"/>
  <c r="AB109" i="2"/>
  <c r="AW109" i="2" s="1"/>
  <c r="G109" i="2"/>
  <c r="U109" i="2"/>
  <c r="AP109" i="2" s="1"/>
  <c r="AP110" i="2" s="1"/>
  <c r="AC109" i="2"/>
  <c r="AX109" i="2" s="1"/>
  <c r="AX110" i="2" s="1"/>
  <c r="V109" i="2"/>
  <c r="AQ109" i="2" s="1"/>
  <c r="AQ110" i="2" s="1"/>
  <c r="AD109" i="2"/>
  <c r="AY109" i="2" s="1"/>
  <c r="AY110" i="2" s="1"/>
  <c r="W109" i="2"/>
  <c r="AR109" i="2" s="1"/>
  <c r="AR110" i="2" s="1"/>
  <c r="AE109" i="2"/>
  <c r="AZ109" i="2" s="1"/>
  <c r="AZ110" i="2" s="1"/>
  <c r="P109" i="2"/>
  <c r="AK109" i="2" s="1"/>
  <c r="X109" i="2"/>
  <c r="AS109" i="2" s="1"/>
  <c r="AF109" i="2"/>
  <c r="BA109" i="2" s="1"/>
  <c r="Q109" i="2"/>
  <c r="AL109" i="2" s="1"/>
  <c r="Y109" i="2"/>
  <c r="AT109" i="2" s="1"/>
  <c r="AG109" i="2"/>
  <c r="BB109" i="2" s="1"/>
  <c r="R109" i="2"/>
  <c r="AM109" i="2" s="1"/>
  <c r="Z109" i="2"/>
  <c r="AU109" i="2" s="1"/>
  <c r="AH109" i="2"/>
  <c r="BC109" i="2" s="1"/>
  <c r="S109" i="2"/>
  <c r="AN109" i="2" s="1"/>
  <c r="AA109" i="2"/>
  <c r="AV109" i="2" s="1"/>
  <c r="X108" i="2"/>
  <c r="Y108" i="2"/>
  <c r="AF108" i="2"/>
  <c r="AG108" i="2"/>
  <c r="P108" i="2"/>
  <c r="Q108" i="2"/>
  <c r="R108" i="2"/>
  <c r="Z108" i="2"/>
  <c r="AH108" i="2"/>
  <c r="S108" i="2"/>
  <c r="AA108" i="2"/>
  <c r="AI108" i="2"/>
  <c r="T108" i="2"/>
  <c r="AB108" i="2"/>
  <c r="U108" i="2"/>
  <c r="AC108" i="2"/>
  <c r="V108" i="2"/>
  <c r="AD108" i="2"/>
  <c r="G108" i="2"/>
  <c r="W108" i="2"/>
  <c r="U107" i="2"/>
  <c r="AC107" i="2"/>
  <c r="T107" i="2"/>
  <c r="AB107" i="2"/>
  <c r="V107" i="2"/>
  <c r="AD107" i="2"/>
  <c r="W107" i="2"/>
  <c r="AE107" i="2"/>
  <c r="P107" i="2"/>
  <c r="X107" i="2"/>
  <c r="AF107" i="2"/>
  <c r="G107" i="2"/>
  <c r="Q107" i="2"/>
  <c r="Y107" i="2"/>
  <c r="AG107" i="2"/>
  <c r="R107" i="2"/>
  <c r="Z107" i="2"/>
  <c r="AH107" i="2"/>
  <c r="S107" i="2"/>
  <c r="AA107" i="2"/>
  <c r="P106" i="2"/>
  <c r="X106" i="2"/>
  <c r="AF106" i="2"/>
  <c r="Q106" i="2"/>
  <c r="Y106" i="2"/>
  <c r="AG106" i="2"/>
  <c r="R106" i="2"/>
  <c r="Z106" i="2"/>
  <c r="AH106" i="2"/>
  <c r="G106" i="2"/>
  <c r="S106" i="2"/>
  <c r="AA106" i="2"/>
  <c r="AI106" i="2"/>
  <c r="T106" i="2"/>
  <c r="AB106" i="2"/>
  <c r="U106" i="2"/>
  <c r="AC106" i="2"/>
  <c r="V106" i="2"/>
  <c r="AD106" i="2"/>
  <c r="W106" i="2"/>
  <c r="P105" i="2"/>
  <c r="Q105" i="2"/>
  <c r="X105" i="2"/>
  <c r="Y105" i="2"/>
  <c r="AF105" i="2"/>
  <c r="AG105" i="2"/>
  <c r="T105" i="2"/>
  <c r="AB105" i="2"/>
  <c r="G105" i="2"/>
  <c r="U105" i="2"/>
  <c r="AC105" i="2"/>
  <c r="V105" i="2"/>
  <c r="AD105" i="2"/>
  <c r="W105" i="2"/>
  <c r="AE105" i="2"/>
  <c r="R105" i="2"/>
  <c r="Z105" i="2"/>
  <c r="AH105" i="2"/>
  <c r="S105" i="2"/>
  <c r="AA105" i="2"/>
  <c r="P104" i="2"/>
  <c r="AK104" i="2" s="1"/>
  <c r="X104" i="2"/>
  <c r="AS104" i="2" s="1"/>
  <c r="AF104" i="2"/>
  <c r="BA104" i="2" s="1"/>
  <c r="Q104" i="2"/>
  <c r="AL104" i="2" s="1"/>
  <c r="Y104" i="2"/>
  <c r="AT104" i="2" s="1"/>
  <c r="AG104" i="2"/>
  <c r="BB104" i="2" s="1"/>
  <c r="R104" i="2"/>
  <c r="AM104" i="2" s="1"/>
  <c r="AM105" i="2" s="1"/>
  <c r="AM106" i="2" s="1"/>
  <c r="AM107" i="2" s="1"/>
  <c r="AM108" i="2" s="1"/>
  <c r="Z104" i="2"/>
  <c r="AU104" i="2" s="1"/>
  <c r="AH104" i="2"/>
  <c r="BC104" i="2" s="1"/>
  <c r="S104" i="2"/>
  <c r="AN104" i="2" s="1"/>
  <c r="AA104" i="2"/>
  <c r="AV104" i="2" s="1"/>
  <c r="AI104" i="2"/>
  <c r="BD104" i="2" s="1"/>
  <c r="BD105" i="2" s="1"/>
  <c r="T104" i="2"/>
  <c r="AO104" i="2" s="1"/>
  <c r="AB104" i="2"/>
  <c r="AW104" i="2" s="1"/>
  <c r="U104" i="2"/>
  <c r="AP104" i="2" s="1"/>
  <c r="AC104" i="2"/>
  <c r="AX104" i="2" s="1"/>
  <c r="V104" i="2"/>
  <c r="AQ104" i="2" s="1"/>
  <c r="AD104" i="2"/>
  <c r="AY104" i="2" s="1"/>
  <c r="G104" i="2"/>
  <c r="W104" i="2"/>
  <c r="AR104" i="2" s="1"/>
  <c r="T103" i="2"/>
  <c r="AB103" i="2"/>
  <c r="G103" i="2"/>
  <c r="U103" i="2"/>
  <c r="AC103" i="2"/>
  <c r="V103" i="2"/>
  <c r="AD103" i="2"/>
  <c r="W103" i="2"/>
  <c r="AE103" i="2"/>
  <c r="P103" i="2"/>
  <c r="X103" i="2"/>
  <c r="AF103" i="2"/>
  <c r="Q103" i="2"/>
  <c r="Y103" i="2"/>
  <c r="AG103" i="2"/>
  <c r="R103" i="2"/>
  <c r="Z103" i="2"/>
  <c r="AH103" i="2"/>
  <c r="S103" i="2"/>
  <c r="AA103" i="2"/>
  <c r="P102" i="2"/>
  <c r="X102" i="2"/>
  <c r="AF102" i="2"/>
  <c r="Q102" i="2"/>
  <c r="Y102" i="2"/>
  <c r="AG102" i="2"/>
  <c r="R102" i="2"/>
  <c r="Z102" i="2"/>
  <c r="AH102" i="2"/>
  <c r="S102" i="2"/>
  <c r="AA102" i="2"/>
  <c r="AI102" i="2"/>
  <c r="T102" i="2"/>
  <c r="AB102" i="2"/>
  <c r="U102" i="2"/>
  <c r="AC102" i="2"/>
  <c r="G102" i="2"/>
  <c r="V102" i="2"/>
  <c r="AD102" i="2"/>
  <c r="W102" i="2"/>
  <c r="T101" i="2"/>
  <c r="W101" i="2"/>
  <c r="AE101" i="2"/>
  <c r="G101" i="2"/>
  <c r="P101" i="2"/>
  <c r="X101" i="2"/>
  <c r="AF101" i="2"/>
  <c r="AC101" i="2"/>
  <c r="V101" i="2"/>
  <c r="Q101" i="2"/>
  <c r="Y101" i="2"/>
  <c r="AG101" i="2"/>
  <c r="AB101" i="2"/>
  <c r="AD101" i="2"/>
  <c r="R101" i="2"/>
  <c r="Z101" i="2"/>
  <c r="AH101" i="2"/>
  <c r="U101" i="2"/>
  <c r="S101" i="2"/>
  <c r="AA101" i="2"/>
  <c r="P100" i="2"/>
  <c r="X100" i="2"/>
  <c r="AF100" i="2"/>
  <c r="G100" i="2"/>
  <c r="Q100" i="2"/>
  <c r="Y100" i="2"/>
  <c r="AG100" i="2"/>
  <c r="R100" i="2"/>
  <c r="Z100" i="2"/>
  <c r="AH100" i="2"/>
  <c r="S100" i="2"/>
  <c r="AA100" i="2"/>
  <c r="AI100" i="2"/>
  <c r="T100" i="2"/>
  <c r="AB100" i="2"/>
  <c r="U100" i="2"/>
  <c r="AC100" i="2"/>
  <c r="V100" i="2"/>
  <c r="AD100" i="2"/>
  <c r="W100" i="2"/>
  <c r="H203" i="2"/>
  <c r="H204" i="2"/>
  <c r="H216" i="2"/>
  <c r="H224" i="2"/>
  <c r="H229" i="2"/>
  <c r="H232" i="2"/>
  <c r="H233" i="2"/>
  <c r="H234" i="2"/>
  <c r="H235" i="2"/>
  <c r="H237" i="2"/>
  <c r="H238" i="2"/>
  <c r="H239" i="2"/>
  <c r="H240" i="2"/>
  <c r="H241" i="2"/>
  <c r="H243" i="2"/>
  <c r="H244" i="2"/>
  <c r="H245" i="2"/>
  <c r="H256" i="2"/>
  <c r="H270" i="2"/>
  <c r="H271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7" i="2"/>
  <c r="H298" i="2"/>
  <c r="H299" i="2"/>
  <c r="H300" i="2"/>
  <c r="H301" i="2"/>
  <c r="H302" i="2"/>
  <c r="H303" i="2"/>
  <c r="H304" i="2"/>
  <c r="H305" i="2"/>
  <c r="H306" i="2"/>
  <c r="H307" i="2"/>
  <c r="H309" i="2"/>
  <c r="H310" i="2"/>
  <c r="H311" i="2"/>
  <c r="H312" i="2"/>
  <c r="H313" i="2"/>
  <c r="H314" i="2"/>
  <c r="H315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9" i="2"/>
  <c r="H360" i="2"/>
  <c r="H361" i="2"/>
  <c r="H363" i="2"/>
  <c r="H364" i="2"/>
  <c r="H365" i="2"/>
  <c r="H366" i="2"/>
  <c r="H367" i="2"/>
  <c r="H368" i="2"/>
  <c r="H369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5" i="2"/>
  <c r="H386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384" i="2"/>
  <c r="H370" i="2"/>
  <c r="H387" i="2"/>
  <c r="H242" i="2"/>
  <c r="H358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296" i="2"/>
  <c r="H308" i="2"/>
  <c r="H362" i="2"/>
  <c r="H231" i="2"/>
  <c r="H316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453" i="2"/>
  <c r="H192" i="2"/>
  <c r="H193" i="2"/>
  <c r="H194" i="2"/>
  <c r="H197" i="2"/>
  <c r="H198" i="2"/>
  <c r="H199" i="2"/>
  <c r="H214" i="2"/>
  <c r="H215" i="2"/>
  <c r="H217" i="2"/>
  <c r="H218" i="2"/>
  <c r="H219" i="2"/>
  <c r="H220" i="2"/>
  <c r="H221" i="2"/>
  <c r="H225" i="2"/>
  <c r="H226" i="2"/>
  <c r="H227" i="2"/>
  <c r="H228" i="2"/>
  <c r="H230" i="2"/>
  <c r="H200" i="2"/>
  <c r="H201" i="2"/>
  <c r="H202" i="2"/>
  <c r="H205" i="2"/>
  <c r="H206" i="2"/>
  <c r="H207" i="2"/>
  <c r="H211" i="2"/>
  <c r="H212" i="2"/>
  <c r="H222" i="2"/>
  <c r="H223" i="2"/>
  <c r="H236" i="2"/>
  <c r="H189" i="2"/>
  <c r="H190" i="2"/>
  <c r="H191" i="2"/>
  <c r="H195" i="2"/>
  <c r="H196" i="2"/>
  <c r="H208" i="2"/>
  <c r="H209" i="2"/>
  <c r="H210" i="2"/>
  <c r="H213" i="2"/>
  <c r="T99" i="2"/>
  <c r="AO99" i="2" s="1"/>
  <c r="AB99" i="2"/>
  <c r="AW99" i="2" s="1"/>
  <c r="U99" i="2"/>
  <c r="AP99" i="2" s="1"/>
  <c r="AC99" i="2"/>
  <c r="AX99" i="2" s="1"/>
  <c r="AX100" i="2" s="1"/>
  <c r="AX101" i="2" s="1"/>
  <c r="V99" i="2"/>
  <c r="AQ99" i="2" s="1"/>
  <c r="AD99" i="2"/>
  <c r="AY99" i="2" s="1"/>
  <c r="AY100" i="2" s="1"/>
  <c r="W99" i="2"/>
  <c r="AR99" i="2" s="1"/>
  <c r="AE99" i="2"/>
  <c r="AZ99" i="2" s="1"/>
  <c r="AZ100" i="2" s="1"/>
  <c r="P99" i="2"/>
  <c r="AK99" i="2" s="1"/>
  <c r="X99" i="2"/>
  <c r="AS99" i="2" s="1"/>
  <c r="AF99" i="2"/>
  <c r="BA99" i="2" s="1"/>
  <c r="Q99" i="2"/>
  <c r="AL99" i="2" s="1"/>
  <c r="AL100" i="2" s="1"/>
  <c r="AL101" i="2" s="1"/>
  <c r="AL102" i="2" s="1"/>
  <c r="AL103" i="2" s="1"/>
  <c r="Y99" i="2"/>
  <c r="AT99" i="2" s="1"/>
  <c r="AG99" i="2"/>
  <c r="BB99" i="2" s="1"/>
  <c r="R99" i="2"/>
  <c r="AM99" i="2" s="1"/>
  <c r="Z99" i="2"/>
  <c r="AU99" i="2" s="1"/>
  <c r="AH99" i="2"/>
  <c r="BC99" i="2" s="1"/>
  <c r="G99" i="2"/>
  <c r="S99" i="2"/>
  <c r="AN99" i="2" s="1"/>
  <c r="AA99" i="2"/>
  <c r="AV99" i="2" s="1"/>
  <c r="AV100" i="2" s="1"/>
  <c r="AH69" i="2"/>
  <c r="Z69" i="2"/>
  <c r="R69" i="2"/>
  <c r="AG69" i="2"/>
  <c r="Y69" i="2"/>
  <c r="Q69" i="2"/>
  <c r="AF69" i="2"/>
  <c r="X69" i="2"/>
  <c r="P69" i="2"/>
  <c r="AE69" i="2"/>
  <c r="W69" i="2"/>
  <c r="AD69" i="2"/>
  <c r="V69" i="2"/>
  <c r="AC69" i="2"/>
  <c r="U69" i="2"/>
  <c r="AB69" i="2"/>
  <c r="T69" i="2"/>
  <c r="AI69" i="2"/>
  <c r="AA69" i="2"/>
  <c r="S69" i="2"/>
  <c r="P98" i="2"/>
  <c r="X98" i="2"/>
  <c r="AF98" i="2"/>
  <c r="Q98" i="2"/>
  <c r="Y98" i="2"/>
  <c r="AG98" i="2"/>
  <c r="R98" i="2"/>
  <c r="Z98" i="2"/>
  <c r="AH98" i="2"/>
  <c r="S98" i="2"/>
  <c r="AA98" i="2"/>
  <c r="AI98" i="2"/>
  <c r="T98" i="2"/>
  <c r="AB98" i="2"/>
  <c r="G98" i="2"/>
  <c r="U98" i="2"/>
  <c r="AC98" i="2"/>
  <c r="V98" i="2"/>
  <c r="AD98" i="2"/>
  <c r="W98" i="2"/>
  <c r="T97" i="2"/>
  <c r="AB97" i="2"/>
  <c r="U97" i="2"/>
  <c r="AC97" i="2"/>
  <c r="G97" i="2"/>
  <c r="V97" i="2"/>
  <c r="AD97" i="2"/>
  <c r="W97" i="2"/>
  <c r="AE97" i="2"/>
  <c r="P97" i="2"/>
  <c r="X97" i="2"/>
  <c r="AF97" i="2"/>
  <c r="Q97" i="2"/>
  <c r="Y97" i="2"/>
  <c r="AG97" i="2"/>
  <c r="R97" i="2"/>
  <c r="Z97" i="2"/>
  <c r="AH97" i="2"/>
  <c r="S97" i="2"/>
  <c r="AA97" i="2"/>
  <c r="G96" i="2"/>
  <c r="P96" i="2"/>
  <c r="X96" i="2"/>
  <c r="AF96" i="2"/>
  <c r="Q96" i="2"/>
  <c r="Y96" i="2"/>
  <c r="AG96" i="2"/>
  <c r="R96" i="2"/>
  <c r="Z96" i="2"/>
  <c r="AH96" i="2"/>
  <c r="S96" i="2"/>
  <c r="AA96" i="2"/>
  <c r="AI96" i="2"/>
  <c r="T96" i="2"/>
  <c r="AB96" i="2"/>
  <c r="U96" i="2"/>
  <c r="AC96" i="2"/>
  <c r="V96" i="2"/>
  <c r="AD96" i="2"/>
  <c r="W96" i="2"/>
  <c r="P95" i="2"/>
  <c r="AK95" i="2" s="1"/>
  <c r="X95" i="2"/>
  <c r="AS95" i="2" s="1"/>
  <c r="AF95" i="2"/>
  <c r="BA95" i="2" s="1"/>
  <c r="Q95" i="2"/>
  <c r="AL95" i="2" s="1"/>
  <c r="Y95" i="2"/>
  <c r="AT95" i="2" s="1"/>
  <c r="AG95" i="2"/>
  <c r="BB95" i="2" s="1"/>
  <c r="G95" i="2"/>
  <c r="R95" i="2"/>
  <c r="AM95" i="2" s="1"/>
  <c r="Z95" i="2"/>
  <c r="AU95" i="2" s="1"/>
  <c r="AH95" i="2"/>
  <c r="BC95" i="2" s="1"/>
  <c r="S95" i="2"/>
  <c r="AN95" i="2" s="1"/>
  <c r="AA95" i="2"/>
  <c r="AV95" i="2" s="1"/>
  <c r="AI95" i="2"/>
  <c r="BD95" i="2" s="1"/>
  <c r="T95" i="2"/>
  <c r="AO95" i="2" s="1"/>
  <c r="AB95" i="2"/>
  <c r="AW95" i="2" s="1"/>
  <c r="U95" i="2"/>
  <c r="AP95" i="2" s="1"/>
  <c r="AC95" i="2"/>
  <c r="AX95" i="2" s="1"/>
  <c r="V95" i="2"/>
  <c r="AQ95" i="2" s="1"/>
  <c r="AD95" i="2"/>
  <c r="AY95" i="2" s="1"/>
  <c r="W95" i="2"/>
  <c r="AR95" i="2" s="1"/>
  <c r="BU6" i="2"/>
  <c r="BM6" i="2"/>
  <c r="BT6" i="2"/>
  <c r="BL6" i="2"/>
  <c r="BS6" i="2"/>
  <c r="BK6" i="2"/>
  <c r="BR6" i="2"/>
  <c r="BJ6" i="2"/>
  <c r="BY6" i="2"/>
  <c r="BQ6" i="2"/>
  <c r="BI6" i="2"/>
  <c r="BX6" i="2"/>
  <c r="BP6" i="2"/>
  <c r="BH6" i="2"/>
  <c r="BW6" i="2"/>
  <c r="BO6" i="2"/>
  <c r="BG6" i="2"/>
  <c r="BV6" i="2"/>
  <c r="BN6" i="2"/>
  <c r="BF6" i="2"/>
  <c r="G94" i="2"/>
  <c r="T94" i="2"/>
  <c r="AB94" i="2"/>
  <c r="U94" i="2"/>
  <c r="AC94" i="2"/>
  <c r="V94" i="2"/>
  <c r="AD94" i="2"/>
  <c r="W94" i="2"/>
  <c r="AE94" i="2"/>
  <c r="P94" i="2"/>
  <c r="X94" i="2"/>
  <c r="AF94" i="2"/>
  <c r="Q94" i="2"/>
  <c r="Y94" i="2"/>
  <c r="AG94" i="2"/>
  <c r="R94" i="2"/>
  <c r="Z94" i="2"/>
  <c r="AH94" i="2"/>
  <c r="S94" i="2"/>
  <c r="AA94" i="2"/>
  <c r="P93" i="2"/>
  <c r="X93" i="2"/>
  <c r="AF93" i="2"/>
  <c r="Q93" i="2"/>
  <c r="Y93" i="2"/>
  <c r="AG93" i="2"/>
  <c r="R93" i="2"/>
  <c r="Z93" i="2"/>
  <c r="AH93" i="2"/>
  <c r="S93" i="2"/>
  <c r="AA93" i="2"/>
  <c r="AI93" i="2"/>
  <c r="T93" i="2"/>
  <c r="AB93" i="2"/>
  <c r="U93" i="2"/>
  <c r="AC93" i="2"/>
  <c r="G93" i="2"/>
  <c r="V93" i="2"/>
  <c r="AD93" i="2"/>
  <c r="W93" i="2"/>
  <c r="T92" i="2"/>
  <c r="AB92" i="2"/>
  <c r="U92" i="2"/>
  <c r="AC92" i="2"/>
  <c r="V92" i="2"/>
  <c r="AD92" i="2"/>
  <c r="W92" i="2"/>
  <c r="AE92" i="2"/>
  <c r="G92" i="2"/>
  <c r="P92" i="2"/>
  <c r="X92" i="2"/>
  <c r="AF92" i="2"/>
  <c r="Q92" i="2"/>
  <c r="Y92" i="2"/>
  <c r="AG92" i="2"/>
  <c r="R92" i="2"/>
  <c r="Z92" i="2"/>
  <c r="AH92" i="2"/>
  <c r="S92" i="2"/>
  <c r="AA92" i="2"/>
  <c r="Y91" i="2"/>
  <c r="P91" i="2"/>
  <c r="X91" i="2"/>
  <c r="AF91" i="2"/>
  <c r="G91" i="2"/>
  <c r="R91" i="2"/>
  <c r="Z91" i="2"/>
  <c r="AH91" i="2"/>
  <c r="S91" i="2"/>
  <c r="AA91" i="2"/>
  <c r="AI91" i="2"/>
  <c r="Q91" i="2"/>
  <c r="T91" i="2"/>
  <c r="AB91" i="2"/>
  <c r="AG91" i="2"/>
  <c r="U91" i="2"/>
  <c r="AC91" i="2"/>
  <c r="V91" i="2"/>
  <c r="AD91" i="2"/>
  <c r="W91" i="2"/>
  <c r="P90" i="2"/>
  <c r="AK90" i="2" s="1"/>
  <c r="X90" i="2"/>
  <c r="AS90" i="2" s="1"/>
  <c r="AF90" i="2"/>
  <c r="BA90" i="2" s="1"/>
  <c r="Q90" i="2"/>
  <c r="AL90" i="2" s="1"/>
  <c r="Y90" i="2"/>
  <c r="AT90" i="2" s="1"/>
  <c r="AT91" i="2" s="1"/>
  <c r="AG90" i="2"/>
  <c r="BB90" i="2" s="1"/>
  <c r="BB91" i="2" s="1"/>
  <c r="R90" i="2"/>
  <c r="AM90" i="2" s="1"/>
  <c r="Z90" i="2"/>
  <c r="AU90" i="2" s="1"/>
  <c r="AH90" i="2"/>
  <c r="BC90" i="2" s="1"/>
  <c r="S90" i="2"/>
  <c r="AN90" i="2" s="1"/>
  <c r="AN91" i="2" s="1"/>
  <c r="AN92" i="2" s="1"/>
  <c r="AA90" i="2"/>
  <c r="AV90" i="2" s="1"/>
  <c r="AI90" i="2"/>
  <c r="BD90" i="2" s="1"/>
  <c r="G90" i="2"/>
  <c r="T90" i="2"/>
  <c r="AO90" i="2" s="1"/>
  <c r="AB90" i="2"/>
  <c r="AW90" i="2" s="1"/>
  <c r="U90" i="2"/>
  <c r="AP90" i="2" s="1"/>
  <c r="AC90" i="2"/>
  <c r="AX90" i="2" s="1"/>
  <c r="V90" i="2"/>
  <c r="AQ90" i="2" s="1"/>
  <c r="AD90" i="2"/>
  <c r="AY90" i="2" s="1"/>
  <c r="W90" i="2"/>
  <c r="AR90" i="2" s="1"/>
  <c r="U89" i="2"/>
  <c r="AC89" i="2"/>
  <c r="T89" i="2"/>
  <c r="AB89" i="2"/>
  <c r="G89" i="2"/>
  <c r="V89" i="2"/>
  <c r="AD89" i="2"/>
  <c r="W89" i="2"/>
  <c r="AE89" i="2"/>
  <c r="P89" i="2"/>
  <c r="X89" i="2"/>
  <c r="AF89" i="2"/>
  <c r="Q89" i="2"/>
  <c r="Y89" i="2"/>
  <c r="AG89" i="2"/>
  <c r="R89" i="2"/>
  <c r="Z89" i="2"/>
  <c r="AH89" i="2"/>
  <c r="S89" i="2"/>
  <c r="AA89" i="2"/>
  <c r="G88" i="2"/>
  <c r="P88" i="2"/>
  <c r="X88" i="2"/>
  <c r="AF88" i="2"/>
  <c r="Q88" i="2"/>
  <c r="Y88" i="2"/>
  <c r="AG88" i="2"/>
  <c r="R88" i="2"/>
  <c r="Z88" i="2"/>
  <c r="AH88" i="2"/>
  <c r="S88" i="2"/>
  <c r="AA88" i="2"/>
  <c r="AI88" i="2"/>
  <c r="T88" i="2"/>
  <c r="AB88" i="2"/>
  <c r="U88" i="2"/>
  <c r="AC88" i="2"/>
  <c r="V88" i="2"/>
  <c r="AD88" i="2"/>
  <c r="W88" i="2"/>
  <c r="T87" i="2"/>
  <c r="AB87" i="2"/>
  <c r="U87" i="2"/>
  <c r="AC87" i="2"/>
  <c r="V87" i="2"/>
  <c r="AD87" i="2"/>
  <c r="W87" i="2"/>
  <c r="AE87" i="2"/>
  <c r="P87" i="2"/>
  <c r="X87" i="2"/>
  <c r="AF87" i="2"/>
  <c r="Q87" i="2"/>
  <c r="Y87" i="2"/>
  <c r="AG87" i="2"/>
  <c r="G87" i="2"/>
  <c r="R87" i="2"/>
  <c r="Z87" i="2"/>
  <c r="AH87" i="2"/>
  <c r="S87" i="2"/>
  <c r="AA87" i="2"/>
  <c r="Q86" i="2"/>
  <c r="Y86" i="2"/>
  <c r="AG86" i="2"/>
  <c r="AF86" i="2"/>
  <c r="R86" i="2"/>
  <c r="Z86" i="2"/>
  <c r="AH86" i="2"/>
  <c r="X86" i="2"/>
  <c r="AA86" i="2"/>
  <c r="G86" i="2"/>
  <c r="T86" i="2"/>
  <c r="AB86" i="2"/>
  <c r="S86" i="2"/>
  <c r="U86" i="2"/>
  <c r="AC86" i="2"/>
  <c r="P86" i="2"/>
  <c r="AI86" i="2"/>
  <c r="V86" i="2"/>
  <c r="AD86" i="2"/>
  <c r="W86" i="2"/>
  <c r="P85" i="2"/>
  <c r="AK85" i="2" s="1"/>
  <c r="X85" i="2"/>
  <c r="AS85" i="2" s="1"/>
  <c r="AF85" i="2"/>
  <c r="BA85" i="2" s="1"/>
  <c r="Q85" i="2"/>
  <c r="AL85" i="2" s="1"/>
  <c r="Y85" i="2"/>
  <c r="AT85" i="2" s="1"/>
  <c r="AG85" i="2"/>
  <c r="BB85" i="2" s="1"/>
  <c r="BB86" i="2" s="1"/>
  <c r="BB87" i="2" s="1"/>
  <c r="R85" i="2"/>
  <c r="AM85" i="2" s="1"/>
  <c r="Z85" i="2"/>
  <c r="AU85" i="2" s="1"/>
  <c r="AH85" i="2"/>
  <c r="BC85" i="2" s="1"/>
  <c r="S85" i="2"/>
  <c r="AN85" i="2" s="1"/>
  <c r="AA85" i="2"/>
  <c r="AV85" i="2" s="1"/>
  <c r="AI85" i="2"/>
  <c r="BD85" i="2" s="1"/>
  <c r="T85" i="2"/>
  <c r="AO85" i="2" s="1"/>
  <c r="AO86" i="2" s="1"/>
  <c r="AB85" i="2"/>
  <c r="AW85" i="2" s="1"/>
  <c r="F85" i="2" a="1"/>
  <c r="F85" i="2" s="1"/>
  <c r="U85" i="2"/>
  <c r="AP85" i="2" s="1"/>
  <c r="AC85" i="2"/>
  <c r="AX85" i="2" s="1"/>
  <c r="G85" i="2"/>
  <c r="V85" i="2"/>
  <c r="AQ85" i="2" s="1"/>
  <c r="AD85" i="2"/>
  <c r="AY85" i="2" s="1"/>
  <c r="AY86" i="2" s="1"/>
  <c r="W85" i="2"/>
  <c r="AR85" i="2" s="1"/>
  <c r="G84" i="2"/>
  <c r="T84" i="2"/>
  <c r="AB84" i="2"/>
  <c r="U84" i="2"/>
  <c r="AC84" i="2"/>
  <c r="V84" i="2"/>
  <c r="AD84" i="2"/>
  <c r="F84" i="2" a="1"/>
  <c r="F84" i="2" s="1"/>
  <c r="W84" i="2"/>
  <c r="AE84" i="2"/>
  <c r="P84" i="2"/>
  <c r="X84" i="2"/>
  <c r="AF84" i="2"/>
  <c r="Q84" i="2"/>
  <c r="Y84" i="2"/>
  <c r="AG84" i="2"/>
  <c r="R84" i="2"/>
  <c r="Z84" i="2"/>
  <c r="AH84" i="2"/>
  <c r="S84" i="2"/>
  <c r="AA84" i="2"/>
  <c r="P83" i="2"/>
  <c r="X83" i="2"/>
  <c r="AF83" i="2"/>
  <c r="Y83" i="2"/>
  <c r="Q83" i="2"/>
  <c r="AG83" i="2"/>
  <c r="G83" i="2"/>
  <c r="R83" i="2"/>
  <c r="Z83" i="2"/>
  <c r="AH83" i="2"/>
  <c r="S83" i="2"/>
  <c r="AA83" i="2"/>
  <c r="AI83" i="2"/>
  <c r="T83" i="2"/>
  <c r="AB83" i="2"/>
  <c r="U83" i="2"/>
  <c r="AC83" i="2"/>
  <c r="V83" i="2"/>
  <c r="AD83" i="2"/>
  <c r="W83" i="2"/>
  <c r="G82" i="2"/>
  <c r="T82" i="2"/>
  <c r="AB82" i="2"/>
  <c r="U82" i="2"/>
  <c r="AC82" i="2"/>
  <c r="V82" i="2"/>
  <c r="AD82" i="2"/>
  <c r="W82" i="2"/>
  <c r="AE82" i="2"/>
  <c r="P82" i="2"/>
  <c r="X82" i="2"/>
  <c r="AF82" i="2"/>
  <c r="Q82" i="2"/>
  <c r="Y82" i="2"/>
  <c r="AG82" i="2"/>
  <c r="R82" i="2"/>
  <c r="Z82" i="2"/>
  <c r="AH82" i="2"/>
  <c r="S82" i="2"/>
  <c r="AA82" i="2"/>
  <c r="G81" i="2"/>
  <c r="P81" i="2"/>
  <c r="X81" i="2"/>
  <c r="AF81" i="2"/>
  <c r="Q81" i="2"/>
  <c r="Y81" i="2"/>
  <c r="AG81" i="2"/>
  <c r="R81" i="2"/>
  <c r="Z81" i="2"/>
  <c r="AH81" i="2"/>
  <c r="S81" i="2"/>
  <c r="AA81" i="2"/>
  <c r="AI81" i="2"/>
  <c r="T81" i="2"/>
  <c r="AB81" i="2"/>
  <c r="U81" i="2"/>
  <c r="AC81" i="2"/>
  <c r="V81" i="2"/>
  <c r="AD81" i="2"/>
  <c r="W81" i="2"/>
  <c r="G80" i="2"/>
  <c r="P80" i="2"/>
  <c r="AK80" i="2" s="1"/>
  <c r="X80" i="2"/>
  <c r="AS80" i="2" s="1"/>
  <c r="AF80" i="2"/>
  <c r="BA80" i="2" s="1"/>
  <c r="Q80" i="2"/>
  <c r="AL80" i="2" s="1"/>
  <c r="AL81" i="2" s="1"/>
  <c r="AL82" i="2" s="1"/>
  <c r="AL83" i="2" s="1"/>
  <c r="AL84" i="2" s="1"/>
  <c r="Y80" i="2"/>
  <c r="AT80" i="2" s="1"/>
  <c r="AG80" i="2"/>
  <c r="BB80" i="2" s="1"/>
  <c r="R80" i="2"/>
  <c r="AM80" i="2" s="1"/>
  <c r="Z80" i="2"/>
  <c r="AU80" i="2" s="1"/>
  <c r="AH80" i="2"/>
  <c r="BC80" i="2" s="1"/>
  <c r="S80" i="2"/>
  <c r="AN80" i="2" s="1"/>
  <c r="AA80" i="2"/>
  <c r="AV80" i="2" s="1"/>
  <c r="AI80" i="2"/>
  <c r="BD80" i="2" s="1"/>
  <c r="BD81" i="2" s="1"/>
  <c r="BD82" i="2" s="1"/>
  <c r="BD83" i="2" s="1"/>
  <c r="BD84" i="2" s="1"/>
  <c r="T80" i="2"/>
  <c r="AO80" i="2" s="1"/>
  <c r="AB80" i="2"/>
  <c r="AW80" i="2" s="1"/>
  <c r="U80" i="2"/>
  <c r="AP80" i="2" s="1"/>
  <c r="AC80" i="2"/>
  <c r="AX80" i="2" s="1"/>
  <c r="V80" i="2"/>
  <c r="AQ80" i="2" s="1"/>
  <c r="AD80" i="2"/>
  <c r="AY80" i="2" s="1"/>
  <c r="W80" i="2"/>
  <c r="AR80" i="2" s="1"/>
  <c r="G69" i="2"/>
  <c r="G52" i="2"/>
  <c r="U79" i="2"/>
  <c r="AC79" i="2"/>
  <c r="T79" i="2"/>
  <c r="AB79" i="2"/>
  <c r="V79" i="2"/>
  <c r="AD79" i="2"/>
  <c r="G79" i="2"/>
  <c r="W79" i="2"/>
  <c r="AE79" i="2"/>
  <c r="P79" i="2"/>
  <c r="X79" i="2"/>
  <c r="AF79" i="2"/>
  <c r="Q79" i="2"/>
  <c r="Y79" i="2"/>
  <c r="AG79" i="2"/>
  <c r="R79" i="2"/>
  <c r="Z79" i="2"/>
  <c r="AH79" i="2"/>
  <c r="S79" i="2"/>
  <c r="AA79" i="2"/>
  <c r="P78" i="2"/>
  <c r="X78" i="2"/>
  <c r="AF78" i="2"/>
  <c r="G78" i="2"/>
  <c r="Q78" i="2"/>
  <c r="Y78" i="2"/>
  <c r="AG78" i="2"/>
  <c r="R78" i="2"/>
  <c r="Z78" i="2"/>
  <c r="AH78" i="2"/>
  <c r="S78" i="2"/>
  <c r="AA78" i="2"/>
  <c r="AI78" i="2"/>
  <c r="T78" i="2"/>
  <c r="AB78" i="2"/>
  <c r="U78" i="2"/>
  <c r="AC78" i="2"/>
  <c r="V78" i="2"/>
  <c r="AD78" i="2"/>
  <c r="W78" i="2"/>
  <c r="U77" i="2"/>
  <c r="V77" i="2"/>
  <c r="AC77" i="2"/>
  <c r="AD77" i="2"/>
  <c r="T77" i="2"/>
  <c r="AB77" i="2"/>
  <c r="W77" i="2"/>
  <c r="AE77" i="2"/>
  <c r="P77" i="2"/>
  <c r="X77" i="2"/>
  <c r="AF77" i="2"/>
  <c r="Q77" i="2"/>
  <c r="Y77" i="2"/>
  <c r="AG77" i="2"/>
  <c r="R77" i="2"/>
  <c r="Z77" i="2"/>
  <c r="AH77" i="2"/>
  <c r="G77" i="2"/>
  <c r="S77" i="2"/>
  <c r="AA77" i="2"/>
  <c r="P76" i="2"/>
  <c r="X76" i="2"/>
  <c r="AF76" i="2"/>
  <c r="Q76" i="2"/>
  <c r="Y76" i="2"/>
  <c r="AG76" i="2"/>
  <c r="R76" i="2"/>
  <c r="Z76" i="2"/>
  <c r="AH76" i="2"/>
  <c r="S76" i="2"/>
  <c r="AA76" i="2"/>
  <c r="AI76" i="2"/>
  <c r="T76" i="2"/>
  <c r="AB76" i="2"/>
  <c r="G76" i="2"/>
  <c r="U76" i="2"/>
  <c r="AC76" i="2"/>
  <c r="V76" i="2"/>
  <c r="AD76" i="2"/>
  <c r="W76" i="2"/>
  <c r="Q75" i="2"/>
  <c r="AL75" i="2" s="1"/>
  <c r="R75" i="2"/>
  <c r="AM75" i="2" s="1"/>
  <c r="AM76" i="2" s="1"/>
  <c r="W75" i="2"/>
  <c r="AR75" i="2" s="1"/>
  <c r="Y75" i="2"/>
  <c r="AT75" i="2" s="1"/>
  <c r="Z75" i="2"/>
  <c r="AU75" i="2" s="1"/>
  <c r="AE75" i="2"/>
  <c r="AZ75" i="2" s="1"/>
  <c r="AZ76" i="2" s="1"/>
  <c r="AG75" i="2"/>
  <c r="BB75" i="2" s="1"/>
  <c r="G75" i="2"/>
  <c r="AH75" i="2"/>
  <c r="BC75" i="2" s="1"/>
  <c r="P75" i="2"/>
  <c r="AK75" i="2" s="1"/>
  <c r="AK76" i="2" s="1"/>
  <c r="X75" i="2"/>
  <c r="AS75" i="2" s="1"/>
  <c r="AF75" i="2"/>
  <c r="BA75" i="2" s="1"/>
  <c r="S75" i="2"/>
  <c r="AN75" i="2" s="1"/>
  <c r="AA75" i="2"/>
  <c r="AV75" i="2" s="1"/>
  <c r="AI75" i="2"/>
  <c r="BD75" i="2" s="1"/>
  <c r="T75" i="2"/>
  <c r="AO75" i="2" s="1"/>
  <c r="AB75" i="2"/>
  <c r="AW75" i="2" s="1"/>
  <c r="U75" i="2"/>
  <c r="AP75" i="2" s="1"/>
  <c r="AC75" i="2"/>
  <c r="AX75" i="2" s="1"/>
  <c r="V75" i="2"/>
  <c r="AQ75" i="2" s="1"/>
  <c r="T74" i="2"/>
  <c r="AB74" i="2"/>
  <c r="U74" i="2"/>
  <c r="AC74" i="2"/>
  <c r="V74" i="2"/>
  <c r="AD74" i="2"/>
  <c r="G74" i="2"/>
  <c r="W74" i="2"/>
  <c r="AE74" i="2"/>
  <c r="P74" i="2"/>
  <c r="X74" i="2"/>
  <c r="AF74" i="2"/>
  <c r="Q74" i="2"/>
  <c r="Y74" i="2"/>
  <c r="AG74" i="2"/>
  <c r="R74" i="2"/>
  <c r="Z74" i="2"/>
  <c r="AH74" i="2"/>
  <c r="S74" i="2"/>
  <c r="AA74" i="2"/>
  <c r="G73" i="2"/>
  <c r="P73" i="2"/>
  <c r="X73" i="2"/>
  <c r="AF73" i="2"/>
  <c r="Q73" i="2"/>
  <c r="Y73" i="2"/>
  <c r="AG73" i="2"/>
  <c r="R73" i="2"/>
  <c r="Z73" i="2"/>
  <c r="AH73" i="2"/>
  <c r="S73" i="2"/>
  <c r="AA73" i="2"/>
  <c r="AI73" i="2"/>
  <c r="T73" i="2"/>
  <c r="AB73" i="2"/>
  <c r="U73" i="2"/>
  <c r="AC73" i="2"/>
  <c r="V73" i="2"/>
  <c r="AD73" i="2"/>
  <c r="W73" i="2"/>
  <c r="T72" i="2"/>
  <c r="AB72" i="2"/>
  <c r="U72" i="2"/>
  <c r="AC72" i="2"/>
  <c r="V72" i="2"/>
  <c r="AD72" i="2"/>
  <c r="W72" i="2"/>
  <c r="AE72" i="2"/>
  <c r="P72" i="2"/>
  <c r="X72" i="2"/>
  <c r="AF72" i="2"/>
  <c r="Q72" i="2"/>
  <c r="Y72" i="2"/>
  <c r="AG72" i="2"/>
  <c r="G72" i="2"/>
  <c r="R72" i="2"/>
  <c r="Z72" i="2"/>
  <c r="AH72" i="2"/>
  <c r="S72" i="2"/>
  <c r="AA72" i="2"/>
  <c r="Q71" i="2"/>
  <c r="Y71" i="2"/>
  <c r="AG71" i="2"/>
  <c r="P71" i="2"/>
  <c r="X71" i="2"/>
  <c r="AF71" i="2"/>
  <c r="R71" i="2"/>
  <c r="Z71" i="2"/>
  <c r="AH71" i="2"/>
  <c r="S71" i="2"/>
  <c r="AA71" i="2"/>
  <c r="AI71" i="2"/>
  <c r="G71" i="2"/>
  <c r="T71" i="2"/>
  <c r="AB71" i="2"/>
  <c r="U71" i="2"/>
  <c r="AC71" i="2"/>
  <c r="V71" i="2"/>
  <c r="AD71" i="2"/>
  <c r="W71" i="2"/>
  <c r="R70" i="2"/>
  <c r="AM70" i="2" s="1"/>
  <c r="Z70" i="2"/>
  <c r="AU70" i="2" s="1"/>
  <c r="AH70" i="2"/>
  <c r="BC70" i="2" s="1"/>
  <c r="F70" i="2" a="1"/>
  <c r="F70" i="2" s="1"/>
  <c r="S70" i="2"/>
  <c r="AN70" i="2" s="1"/>
  <c r="AA70" i="2"/>
  <c r="AV70" i="2" s="1"/>
  <c r="AV71" i="2" s="1"/>
  <c r="AI70" i="2"/>
  <c r="BD70" i="2" s="1"/>
  <c r="G70" i="2"/>
  <c r="T70" i="2"/>
  <c r="AO70" i="2" s="1"/>
  <c r="AB70" i="2"/>
  <c r="AW70" i="2" s="1"/>
  <c r="U70" i="2"/>
  <c r="AP70" i="2" s="1"/>
  <c r="AC70" i="2"/>
  <c r="AX70" i="2" s="1"/>
  <c r="V70" i="2"/>
  <c r="AQ70" i="2" s="1"/>
  <c r="AD70" i="2"/>
  <c r="AY70" i="2" s="1"/>
  <c r="AY71" i="2" s="1"/>
  <c r="AY72" i="2" s="1"/>
  <c r="AY73" i="2" s="1"/>
  <c r="AY74" i="2" s="1"/>
  <c r="W70" i="2"/>
  <c r="AR70" i="2" s="1"/>
  <c r="AE70" i="2"/>
  <c r="AZ70" i="2" s="1"/>
  <c r="AZ71" i="2" s="1"/>
  <c r="AZ72" i="2" s="1"/>
  <c r="AZ73" i="2" s="1"/>
  <c r="P70" i="2"/>
  <c r="AK70" i="2" s="1"/>
  <c r="X70" i="2"/>
  <c r="AS70" i="2" s="1"/>
  <c r="AF70" i="2"/>
  <c r="BA70" i="2" s="1"/>
  <c r="Q70" i="2"/>
  <c r="AL70" i="2" s="1"/>
  <c r="Y70" i="2"/>
  <c r="AT70" i="2" s="1"/>
  <c r="G43" i="2"/>
  <c r="F50" i="2" a="1"/>
  <c r="F50" i="2" s="1"/>
  <c r="F25" i="2" a="1"/>
  <c r="F25" i="2" s="1"/>
  <c r="F55" i="2" a="1"/>
  <c r="F55" i="2" s="1"/>
  <c r="F41" i="2" a="1"/>
  <c r="F41" i="2" s="1"/>
  <c r="F34" i="2" a="1"/>
  <c r="F34" i="2" s="1"/>
  <c r="F53" i="2" a="1"/>
  <c r="F53" i="2" s="1"/>
  <c r="F16" i="2" a="1"/>
  <c r="F16" i="2" s="1"/>
  <c r="F48" i="2" a="1"/>
  <c r="F48" i="2" s="1"/>
  <c r="F59" i="2" a="1"/>
  <c r="F59" i="2" s="1"/>
  <c r="F61" i="2" a="1"/>
  <c r="F61" i="2" s="1"/>
  <c r="F89" i="2" s="1" a="1"/>
  <c r="F89" i="2" s="1"/>
  <c r="F49" i="2" a="1"/>
  <c r="F49" i="2" s="1"/>
  <c r="F28" i="2" a="1"/>
  <c r="F28" i="2" s="1"/>
  <c r="F38" i="2" a="1"/>
  <c r="F38" i="2" s="1"/>
  <c r="F74" i="2" s="1" a="1"/>
  <c r="F74" i="2" s="1"/>
  <c r="F43" i="2" a="1"/>
  <c r="F43" i="2" s="1"/>
  <c r="F79" i="2" s="1" a="1"/>
  <c r="F79" i="2" s="1"/>
  <c r="F54" i="2" a="1"/>
  <c r="F54" i="2" s="1"/>
  <c r="F30" i="2" a="1"/>
  <c r="F30" i="2" s="1"/>
  <c r="F65" i="2" a="1"/>
  <c r="F65" i="2" s="1"/>
  <c r="F29" i="2" a="1"/>
  <c r="F29" i="2" s="1"/>
  <c r="F27" i="2" a="1"/>
  <c r="F27" i="2" s="1"/>
  <c r="F39" i="2" a="1"/>
  <c r="F39" i="2" s="1"/>
  <c r="F51" i="2" a="1"/>
  <c r="F51" i="2" s="1"/>
  <c r="F60" i="2" a="1"/>
  <c r="F60" i="2" s="1"/>
  <c r="P68" i="2"/>
  <c r="V68" i="2"/>
  <c r="X68" i="2"/>
  <c r="AB68" i="2"/>
  <c r="G68" i="2"/>
  <c r="AF68" i="2"/>
  <c r="T68" i="2"/>
  <c r="Z68" i="2"/>
  <c r="AD68" i="2"/>
  <c r="R68" i="2"/>
  <c r="AH68" i="2"/>
  <c r="U68" i="2"/>
  <c r="AC68" i="2"/>
  <c r="W68" i="2"/>
  <c r="AE68" i="2"/>
  <c r="Q68" i="2"/>
  <c r="Y68" i="2"/>
  <c r="AG68" i="2"/>
  <c r="S68" i="2"/>
  <c r="AA68" i="2"/>
  <c r="T67" i="2"/>
  <c r="AB67" i="2"/>
  <c r="U67" i="2"/>
  <c r="AC67" i="2"/>
  <c r="V67" i="2"/>
  <c r="AD67" i="2"/>
  <c r="W67" i="2"/>
  <c r="AE67" i="2"/>
  <c r="P67" i="2"/>
  <c r="X67" i="2"/>
  <c r="AF67" i="2"/>
  <c r="Q67" i="2"/>
  <c r="Y67" i="2"/>
  <c r="AG67" i="2"/>
  <c r="R67" i="2"/>
  <c r="Z67" i="2"/>
  <c r="AH67" i="2"/>
  <c r="G67" i="2"/>
  <c r="S67" i="2"/>
  <c r="AA67" i="2"/>
  <c r="AD66" i="2"/>
  <c r="AY66" i="2" s="1"/>
  <c r="AE66" i="2"/>
  <c r="AZ66" i="2" s="1"/>
  <c r="Q66" i="2"/>
  <c r="AL66" i="2" s="1"/>
  <c r="AG66" i="2"/>
  <c r="BB66" i="2" s="1"/>
  <c r="V66" i="2"/>
  <c r="AQ66" i="2" s="1"/>
  <c r="U66" i="2"/>
  <c r="AP66" i="2" s="1"/>
  <c r="W66" i="2"/>
  <c r="AR66" i="2" s="1"/>
  <c r="AR67" i="2" s="1"/>
  <c r="Y66" i="2"/>
  <c r="AT66" i="2" s="1"/>
  <c r="AC66" i="2"/>
  <c r="AX66" i="2" s="1"/>
  <c r="P66" i="2"/>
  <c r="AK66" i="2" s="1"/>
  <c r="AK67" i="2" s="1"/>
  <c r="X66" i="2"/>
  <c r="AS66" i="2" s="1"/>
  <c r="AF66" i="2"/>
  <c r="BA66" i="2" s="1"/>
  <c r="R66" i="2"/>
  <c r="AM66" i="2" s="1"/>
  <c r="Z66" i="2"/>
  <c r="AU66" i="2" s="1"/>
  <c r="AH66" i="2"/>
  <c r="BC66" i="2" s="1"/>
  <c r="BC67" i="2" s="1"/>
  <c r="BC68" i="2" s="1"/>
  <c r="S66" i="2"/>
  <c r="AN66" i="2" s="1"/>
  <c r="AA66" i="2"/>
  <c r="AV66" i="2" s="1"/>
  <c r="AI66" i="2"/>
  <c r="BD66" i="2" s="1"/>
  <c r="BD67" i="2" s="1"/>
  <c r="BD68" i="2" s="1"/>
  <c r="BD69" i="2" s="1"/>
  <c r="G66" i="2"/>
  <c r="T66" i="2"/>
  <c r="AO66" i="2" s="1"/>
  <c r="AB66" i="2"/>
  <c r="AW66" i="2" s="1"/>
  <c r="G53" i="2"/>
  <c r="G13" i="2"/>
  <c r="G21" i="2"/>
  <c r="G61" i="2"/>
  <c r="G6" i="2"/>
  <c r="G14" i="2"/>
  <c r="G22" i="2"/>
  <c r="G38" i="2"/>
  <c r="G54" i="2"/>
  <c r="G62" i="2"/>
  <c r="G7" i="2"/>
  <c r="G15" i="2"/>
  <c r="G23" i="2"/>
  <c r="G31" i="2"/>
  <c r="G39" i="2"/>
  <c r="G55" i="2"/>
  <c r="G63" i="2"/>
  <c r="G8" i="2"/>
  <c r="G16" i="2"/>
  <c r="G32" i="2"/>
  <c r="G48" i="2"/>
  <c r="G56" i="2"/>
  <c r="G17" i="2"/>
  <c r="G33" i="2"/>
  <c r="G57" i="2"/>
  <c r="G65" i="2"/>
  <c r="G58" i="2"/>
  <c r="G11" i="2"/>
  <c r="G44" i="2"/>
  <c r="F150" i="2" l="1" a="1"/>
  <c r="F150" i="2" s="1"/>
  <c r="AN67" i="2"/>
  <c r="AN68" i="2" s="1"/>
  <c r="AY87" i="2"/>
  <c r="AY88" i="2" s="1"/>
  <c r="AY89" i="2" s="1"/>
  <c r="AL110" i="2"/>
  <c r="AL111" i="2" s="1"/>
  <c r="AL112" i="2" s="1"/>
  <c r="AL113" i="2" s="1"/>
  <c r="AR68" i="2"/>
  <c r="AR69" i="2" s="1"/>
  <c r="BA71" i="2"/>
  <c r="BA72" i="2" s="1"/>
  <c r="BA73" i="2" s="1"/>
  <c r="BA74" i="2" s="1"/>
  <c r="BB76" i="2"/>
  <c r="BB77" i="2" s="1"/>
  <c r="BB78" i="2" s="1"/>
  <c r="BB79" i="2" s="1"/>
  <c r="AQ86" i="2"/>
  <c r="AW91" i="2"/>
  <c r="AW92" i="2" s="1"/>
  <c r="AW93" i="2" s="1"/>
  <c r="AW94" i="2" s="1"/>
  <c r="AM91" i="2"/>
  <c r="AW96" i="2"/>
  <c r="AW97" i="2" s="1"/>
  <c r="AW98" i="2" s="1"/>
  <c r="AN100" i="2"/>
  <c r="BA100" i="2"/>
  <c r="BA101" i="2" s="1"/>
  <c r="BA102" i="2" s="1"/>
  <c r="AM67" i="2"/>
  <c r="AM68" i="2" s="1"/>
  <c r="AM69" i="2" s="1"/>
  <c r="AO115" i="2"/>
  <c r="AO116" i="2" s="1"/>
  <c r="AO117" i="2" s="1"/>
  <c r="AO118" i="2" s="1"/>
  <c r="AN110" i="2"/>
  <c r="AN111" i="2" s="1"/>
  <c r="AR115" i="2"/>
  <c r="AR116" i="2" s="1"/>
  <c r="AR117" i="2" s="1"/>
  <c r="AR118" i="2" s="1"/>
  <c r="AZ67" i="2"/>
  <c r="AP76" i="2"/>
  <c r="AP77" i="2" s="1"/>
  <c r="AP78" i="2" s="1"/>
  <c r="AP79" i="2" s="1"/>
  <c r="AW86" i="2"/>
  <c r="BC91" i="2"/>
  <c r="AT67" i="2"/>
  <c r="AT68" i="2" s="1"/>
  <c r="AT69" i="2" s="1"/>
  <c r="BD86" i="2"/>
  <c r="BD87" i="2" s="1"/>
  <c r="BD88" i="2" s="1"/>
  <c r="BD89" i="2" s="1"/>
  <c r="AL86" i="2"/>
  <c r="AL87" i="2" s="1"/>
  <c r="AL88" i="2" s="1"/>
  <c r="AL89" i="2" s="1"/>
  <c r="AP91" i="2"/>
  <c r="AP92" i="2" s="1"/>
  <c r="AP93" i="2" s="1"/>
  <c r="AP94" i="2" s="1"/>
  <c r="AP96" i="2"/>
  <c r="AP97" i="2" s="1"/>
  <c r="AP98" i="2" s="1"/>
  <c r="AM96" i="2"/>
  <c r="AM97" i="2" s="1"/>
  <c r="AM98" i="2" s="1"/>
  <c r="AL71" i="2"/>
  <c r="AL72" i="2" s="1"/>
  <c r="AL73" i="2" s="1"/>
  <c r="AL74" i="2" s="1"/>
  <c r="AT81" i="2"/>
  <c r="AT82" i="2" s="1"/>
  <c r="AT83" i="2" s="1"/>
  <c r="AT84" i="2" s="1"/>
  <c r="BC69" i="2"/>
  <c r="BA86" i="2"/>
  <c r="BA87" i="2" s="1"/>
  <c r="BA88" i="2" s="1"/>
  <c r="BA89" i="2" s="1"/>
  <c r="AR86" i="2"/>
  <c r="AR87" i="2" s="1"/>
  <c r="AR88" i="2" s="1"/>
  <c r="AR89" i="2" s="1"/>
  <c r="AN69" i="2"/>
  <c r="AO76" i="2"/>
  <c r="AO77" i="2" s="1"/>
  <c r="AO78" i="2" s="1"/>
  <c r="AO79" i="2" s="1"/>
  <c r="AO81" i="2"/>
  <c r="AO82" i="2" s="1"/>
  <c r="AO83" i="2" s="1"/>
  <c r="AO84" i="2" s="1"/>
  <c r="AU67" i="2"/>
  <c r="AK71" i="2"/>
  <c r="AK72" i="2" s="1"/>
  <c r="AK73" i="2" s="1"/>
  <c r="AK74" i="2" s="1"/>
  <c r="AU76" i="2"/>
  <c r="AU77" i="2" s="1"/>
  <c r="AU78" i="2" s="1"/>
  <c r="AU79" i="2" s="1"/>
  <c r="AY81" i="2"/>
  <c r="AY82" i="2" s="1"/>
  <c r="AY83" i="2" s="1"/>
  <c r="AN81" i="2"/>
  <c r="AN82" i="2" s="1"/>
  <c r="AN83" i="2" s="1"/>
  <c r="AN84" i="2" s="1"/>
  <c r="AS81" i="2"/>
  <c r="AS82" i="2" s="1"/>
  <c r="BD96" i="2"/>
  <c r="BD97" i="2" s="1"/>
  <c r="AO100" i="2"/>
  <c r="AO101" i="2" s="1"/>
  <c r="AO102" i="2" s="1"/>
  <c r="AO103" i="2" s="1"/>
  <c r="BB110" i="2"/>
  <c r="BB111" i="2" s="1"/>
  <c r="BB112" i="2" s="1"/>
  <c r="BB113" i="2" s="1"/>
  <c r="AY105" i="2"/>
  <c r="AY106" i="2" s="1"/>
  <c r="AY107" i="2" s="1"/>
  <c r="AY108" i="2" s="1"/>
  <c r="AN105" i="2"/>
  <c r="AN106" i="2" s="1"/>
  <c r="AN107" i="2" s="1"/>
  <c r="AN108" i="2" s="1"/>
  <c r="AS105" i="2"/>
  <c r="AS106" i="2" s="1"/>
  <c r="AS107" i="2" s="1"/>
  <c r="AS108" i="2" s="1"/>
  <c r="AT110" i="2"/>
  <c r="AT111" i="2" s="1"/>
  <c r="AT112" i="2" s="1"/>
  <c r="AT113" i="2" s="1"/>
  <c r="AQ111" i="2"/>
  <c r="AV86" i="2"/>
  <c r="BC105" i="2"/>
  <c r="BC106" i="2" s="1"/>
  <c r="BC107" i="2" s="1"/>
  <c r="BC108" i="2" s="1"/>
  <c r="AK105" i="2"/>
  <c r="AK106" i="2" s="1"/>
  <c r="AK107" i="2" s="1"/>
  <c r="AK108" i="2" s="1"/>
  <c r="AX111" i="2"/>
  <c r="AX112" i="2" s="1"/>
  <c r="AX113" i="2" s="1"/>
  <c r="BC115" i="2"/>
  <c r="BC116" i="2" s="1"/>
  <c r="BC117" i="2" s="1"/>
  <c r="BC118" i="2" s="1"/>
  <c r="AK115" i="2"/>
  <c r="AK116" i="2" s="1"/>
  <c r="AK117" i="2" s="1"/>
  <c r="AK118" i="2" s="1"/>
  <c r="AK68" i="2"/>
  <c r="AK69" i="2" s="1"/>
  <c r="AK77" i="2"/>
  <c r="AK78" i="2" s="1"/>
  <c r="AK79" i="2" s="1"/>
  <c r="BB100" i="2"/>
  <c r="BB101" i="2" s="1"/>
  <c r="BB102" i="2" s="1"/>
  <c r="BB103" i="2" s="1"/>
  <c r="AU105" i="2"/>
  <c r="AU106" i="2" s="1"/>
  <c r="AU107" i="2" s="1"/>
  <c r="AU108" i="2" s="1"/>
  <c r="AP111" i="2"/>
  <c r="AU115" i="2"/>
  <c r="AU116" i="2" s="1"/>
  <c r="AU117" i="2" s="1"/>
  <c r="AU118" i="2" s="1"/>
  <c r="AT100" i="2"/>
  <c r="AT101" i="2" s="1"/>
  <c r="AT102" i="2" s="1"/>
  <c r="AT103" i="2" s="1"/>
  <c r="AP105" i="2"/>
  <c r="AP106" i="2" s="1"/>
  <c r="AP107" i="2" s="1"/>
  <c r="AP108" i="2" s="1"/>
  <c r="AW115" i="2"/>
  <c r="AW116" i="2" s="1"/>
  <c r="AW117" i="2" s="1"/>
  <c r="AW118" i="2" s="1"/>
  <c r="AN101" i="2"/>
  <c r="BC71" i="2"/>
  <c r="BC72" i="2" s="1"/>
  <c r="BC73" i="2" s="1"/>
  <c r="BC74" i="2" s="1"/>
  <c r="AQ87" i="2"/>
  <c r="AQ88" i="2" s="1"/>
  <c r="AQ89" i="2" s="1"/>
  <c r="BB96" i="2"/>
  <c r="BD106" i="2"/>
  <c r="BD107" i="2" s="1"/>
  <c r="BD108" i="2" s="1"/>
  <c r="AL105" i="2"/>
  <c r="AL106" i="2" s="1"/>
  <c r="AL107" i="2" s="1"/>
  <c r="AL108" i="2" s="1"/>
  <c r="AT92" i="2"/>
  <c r="AT93" i="2" s="1"/>
  <c r="AT94" i="2" s="1"/>
  <c r="AW67" i="2"/>
  <c r="AW68" i="2" s="1"/>
  <c r="AW69" i="2" s="1"/>
  <c r="AQ67" i="2"/>
  <c r="AO71" i="2"/>
  <c r="AO72" i="2" s="1"/>
  <c r="AO73" i="2" s="1"/>
  <c r="AO74" i="2" s="1"/>
  <c r="AN76" i="2"/>
  <c r="AN77" i="2" s="1"/>
  <c r="AP81" i="2"/>
  <c r="AP82" i="2" s="1"/>
  <c r="AP83" i="2" s="1"/>
  <c r="AP84" i="2" s="1"/>
  <c r="AM81" i="2"/>
  <c r="AM82" i="2" s="1"/>
  <c r="AM83" i="2" s="1"/>
  <c r="AM84" i="2" s="1"/>
  <c r="AW87" i="2"/>
  <c r="AW88" i="2" s="1"/>
  <c r="AW89" i="2" s="1"/>
  <c r="AQ91" i="2"/>
  <c r="AQ92" i="2" s="1"/>
  <c r="AQ93" i="2" s="1"/>
  <c r="AQ94" i="2" s="1"/>
  <c r="AN93" i="2"/>
  <c r="AN94" i="2" s="1"/>
  <c r="AQ96" i="2"/>
  <c r="AQ97" i="2" s="1"/>
  <c r="AQ98" i="2" s="1"/>
  <c r="BC96" i="2"/>
  <c r="BC97" i="2" s="1"/>
  <c r="BC98" i="2" s="1"/>
  <c r="AV115" i="2"/>
  <c r="AV116" i="2" s="1"/>
  <c r="AV117" i="2" s="1"/>
  <c r="AV118" i="2" s="1"/>
  <c r="AK91" i="2"/>
  <c r="AK96" i="2"/>
  <c r="AK97" i="2" s="1"/>
  <c r="AK98" i="2" s="1"/>
  <c r="AV105" i="2"/>
  <c r="AV106" i="2" s="1"/>
  <c r="AV107" i="2" s="1"/>
  <c r="AV108" i="2" s="1"/>
  <c r="AY111" i="2"/>
  <c r="AV101" i="2"/>
  <c r="AV102" i="2" s="1"/>
  <c r="AV103" i="2" s="1"/>
  <c r="AX102" i="2"/>
  <c r="AX103" i="2" s="1"/>
  <c r="AQ112" i="2"/>
  <c r="AQ113" i="2" s="1"/>
  <c r="AS115" i="2"/>
  <c r="AS116" i="2" s="1"/>
  <c r="AS117" i="2" s="1"/>
  <c r="AS118" i="2" s="1"/>
  <c r="BA103" i="2"/>
  <c r="AP100" i="2"/>
  <c r="AP101" i="2" s="1"/>
  <c r="AP102" i="2" s="1"/>
  <c r="AP103" i="2" s="1"/>
  <c r="AQ105" i="2"/>
  <c r="AQ106" i="2" s="1"/>
  <c r="AQ107" i="2" s="1"/>
  <c r="AQ108" i="2" s="1"/>
  <c r="AX115" i="2"/>
  <c r="AX116" i="2" s="1"/>
  <c r="AX117" i="2" s="1"/>
  <c r="AX118" i="2" s="1"/>
  <c r="AM92" i="2"/>
  <c r="AM93" i="2" s="1"/>
  <c r="AM94" i="2" s="1"/>
  <c r="AX86" i="2"/>
  <c r="AX87" i="2" s="1"/>
  <c r="AX88" i="2" s="1"/>
  <c r="AX89" i="2" s="1"/>
  <c r="AK86" i="2"/>
  <c r="AK87" i="2" s="1"/>
  <c r="AK88" i="2" s="1"/>
  <c r="AK89" i="2" s="1"/>
  <c r="AT96" i="2"/>
  <c r="AT97" i="2" s="1"/>
  <c r="AT98" i="2" s="1"/>
  <c r="AK100" i="2"/>
  <c r="AK101" i="2" s="1"/>
  <c r="AK102" i="2" s="1"/>
  <c r="AK103" i="2" s="1"/>
  <c r="AN112" i="2"/>
  <c r="AN113" i="2" s="1"/>
  <c r="AS110" i="2"/>
  <c r="AS111" i="2" s="1"/>
  <c r="AS112" i="2" s="1"/>
  <c r="AS113" i="2" s="1"/>
  <c r="BA67" i="2"/>
  <c r="BA68" i="2" s="1"/>
  <c r="BA69" i="2" s="1"/>
  <c r="BB67" i="2"/>
  <c r="BB68" i="2" s="1"/>
  <c r="BB69" i="2" s="1"/>
  <c r="AS67" i="2"/>
  <c r="AS68" i="2" s="1"/>
  <c r="AS69" i="2" s="1"/>
  <c r="AL67" i="2"/>
  <c r="AL68" i="2" s="1"/>
  <c r="AL69" i="2" s="1"/>
  <c r="AR71" i="2"/>
  <c r="AR72" i="2" s="1"/>
  <c r="AR73" i="2" s="1"/>
  <c r="AR74" i="2" s="1"/>
  <c r="BD71" i="2"/>
  <c r="BD72" i="2" s="1"/>
  <c r="BD73" i="2" s="1"/>
  <c r="BD74" i="2" s="1"/>
  <c r="AX76" i="2"/>
  <c r="AX77" i="2" s="1"/>
  <c r="AX78" i="2" s="1"/>
  <c r="AX79" i="2" s="1"/>
  <c r="AS76" i="2"/>
  <c r="AS77" i="2" s="1"/>
  <c r="AS78" i="2" s="1"/>
  <c r="AS79" i="2" s="1"/>
  <c r="AR76" i="2"/>
  <c r="AR77" i="2" s="1"/>
  <c r="AR78" i="2" s="1"/>
  <c r="AR79" i="2" s="1"/>
  <c r="AX81" i="2"/>
  <c r="AX82" i="2" s="1"/>
  <c r="AX83" i="2" s="1"/>
  <c r="AX84" i="2" s="1"/>
  <c r="AU81" i="2"/>
  <c r="AU82" i="2" s="1"/>
  <c r="AU83" i="2" s="1"/>
  <c r="AU84" i="2" s="1"/>
  <c r="AM86" i="2"/>
  <c r="AM87" i="2" s="1"/>
  <c r="AM88" i="2" s="1"/>
  <c r="AM89" i="2" s="1"/>
  <c r="AY91" i="2"/>
  <c r="AY92" i="2" s="1"/>
  <c r="AY93" i="2" s="1"/>
  <c r="AY94" i="2" s="1"/>
  <c r="AV91" i="2"/>
  <c r="AV92" i="2" s="1"/>
  <c r="AV93" i="2" s="1"/>
  <c r="AV94" i="2" s="1"/>
  <c r="BA91" i="2"/>
  <c r="BA92" i="2" s="1"/>
  <c r="BA93" i="2" s="1"/>
  <c r="BA94" i="2" s="1"/>
  <c r="AY96" i="2"/>
  <c r="AY97" i="2" s="1"/>
  <c r="AY98" i="2" s="1"/>
  <c r="AN96" i="2"/>
  <c r="AN97" i="2" s="1"/>
  <c r="AN98" i="2" s="1"/>
  <c r="BA96" i="2"/>
  <c r="BA97" i="2" s="1"/>
  <c r="BA98" i="2" s="1"/>
  <c r="AM100" i="2"/>
  <c r="AM101" i="2" s="1"/>
  <c r="AM102" i="2" s="1"/>
  <c r="AM103" i="2" s="1"/>
  <c r="AR100" i="2"/>
  <c r="AR101" i="2" s="1"/>
  <c r="AR102" i="2" s="1"/>
  <c r="AR103" i="2" s="1"/>
  <c r="AO105" i="2"/>
  <c r="AO106" i="2" s="1"/>
  <c r="AO107" i="2" s="1"/>
  <c r="AO108" i="2" s="1"/>
  <c r="AT105" i="2"/>
  <c r="AT106" i="2" s="1"/>
  <c r="AT107" i="2" s="1"/>
  <c r="AT108" i="2" s="1"/>
  <c r="AU110" i="2"/>
  <c r="AU111" i="2" s="1"/>
  <c r="AU112" i="2" s="1"/>
  <c r="AU113" i="2" s="1"/>
  <c r="AZ111" i="2"/>
  <c r="AZ112" i="2" s="1"/>
  <c r="AZ113" i="2" s="1"/>
  <c r="AO110" i="2"/>
  <c r="AO111" i="2" s="1"/>
  <c r="AO112" i="2" s="1"/>
  <c r="AO113" i="2" s="1"/>
  <c r="BD116" i="2"/>
  <c r="BD117" i="2" s="1"/>
  <c r="BD118" i="2" s="1"/>
  <c r="AT115" i="2"/>
  <c r="AT116" i="2" s="1"/>
  <c r="AT117" i="2" s="1"/>
  <c r="AT118" i="2" s="1"/>
  <c r="AZ68" i="2"/>
  <c r="AZ69" i="2" s="1"/>
  <c r="AV72" i="2"/>
  <c r="AV73" i="2" s="1"/>
  <c r="AV74" i="2" s="1"/>
  <c r="BB88" i="2"/>
  <c r="BB89" i="2" s="1"/>
  <c r="AS91" i="2"/>
  <c r="AS92" i="2" s="1"/>
  <c r="AS93" i="2" s="1"/>
  <c r="AS94" i="2" s="1"/>
  <c r="AS96" i="2"/>
  <c r="AS97" i="2" s="1"/>
  <c r="AS98" i="2" s="1"/>
  <c r="AY101" i="2"/>
  <c r="AY102" i="2" s="1"/>
  <c r="AY103" i="2" s="1"/>
  <c r="AR105" i="2"/>
  <c r="AR106" i="2" s="1"/>
  <c r="AR107" i="2" s="1"/>
  <c r="AR108" i="2" s="1"/>
  <c r="AM110" i="2"/>
  <c r="AM111" i="2" s="1"/>
  <c r="AM112" i="2" s="1"/>
  <c r="AM113" i="2" s="1"/>
  <c r="AR111" i="2"/>
  <c r="AR112" i="2" s="1"/>
  <c r="AR113" i="2" s="1"/>
  <c r="AL115" i="2"/>
  <c r="AL116" i="2" s="1"/>
  <c r="AL117" i="2" s="1"/>
  <c r="AL118" i="2" s="1"/>
  <c r="AP71" i="2"/>
  <c r="AP72" i="2" s="1"/>
  <c r="AP73" i="2" s="1"/>
  <c r="AP74" i="2" s="1"/>
  <c r="AM77" i="2"/>
  <c r="AM78" i="2" s="1"/>
  <c r="AM79" i="2" s="1"/>
  <c r="AV67" i="2"/>
  <c r="AV68" i="2" s="1"/>
  <c r="AV69" i="2" s="1"/>
  <c r="AX67" i="2"/>
  <c r="AX68" i="2" s="1"/>
  <c r="AX69" i="2" s="1"/>
  <c r="AY67" i="2"/>
  <c r="AY68" i="2" s="1"/>
  <c r="AY69" i="2" s="1"/>
  <c r="AT71" i="2"/>
  <c r="AT72" i="2" s="1"/>
  <c r="AT73" i="2" s="1"/>
  <c r="AT74" i="2" s="1"/>
  <c r="AQ71" i="2"/>
  <c r="AQ72" i="2" s="1"/>
  <c r="AQ73" i="2" s="1"/>
  <c r="AQ74" i="2" s="1"/>
  <c r="AN71" i="2"/>
  <c r="AN72" i="2" s="1"/>
  <c r="AN73" i="2" s="1"/>
  <c r="AN74" i="2" s="1"/>
  <c r="AW76" i="2"/>
  <c r="AW77" i="2" s="1"/>
  <c r="AW78" i="2" s="1"/>
  <c r="AW79" i="2" s="1"/>
  <c r="BC76" i="2"/>
  <c r="BC77" i="2" s="1"/>
  <c r="BC78" i="2" s="1"/>
  <c r="BC79" i="2" s="1"/>
  <c r="AL76" i="2"/>
  <c r="AL77" i="2" s="1"/>
  <c r="AL78" i="2" s="1"/>
  <c r="AL79" i="2" s="1"/>
  <c r="AW81" i="2"/>
  <c r="AW82" i="2" s="1"/>
  <c r="AW83" i="2" s="1"/>
  <c r="AW84" i="2" s="1"/>
  <c r="BB81" i="2"/>
  <c r="BB82" i="2" s="1"/>
  <c r="BB83" i="2" s="1"/>
  <c r="BB84" i="2" s="1"/>
  <c r="AO87" i="2"/>
  <c r="AO88" i="2" s="1"/>
  <c r="AO89" i="2" s="1"/>
  <c r="AT86" i="2"/>
  <c r="AT87" i="2" s="1"/>
  <c r="AT88" i="2" s="1"/>
  <c r="AT89" i="2" s="1"/>
  <c r="AX91" i="2"/>
  <c r="AX92" i="2" s="1"/>
  <c r="AX93" i="2" s="1"/>
  <c r="AX94" i="2" s="1"/>
  <c r="BC92" i="2"/>
  <c r="BC93" i="2" s="1"/>
  <c r="BC94" i="2" s="1"/>
  <c r="AK92" i="2"/>
  <c r="AK93" i="2" s="1"/>
  <c r="AK94" i="2" s="1"/>
  <c r="AX96" i="2"/>
  <c r="AX97" i="2" s="1"/>
  <c r="AX98" i="2" s="1"/>
  <c r="AU96" i="2"/>
  <c r="AU97" i="2" s="1"/>
  <c r="AU98" i="2" s="1"/>
  <c r="AQ100" i="2"/>
  <c r="AQ101" i="2" s="1"/>
  <c r="AQ102" i="2" s="1"/>
  <c r="AQ103" i="2" s="1"/>
  <c r="BA105" i="2"/>
  <c r="BA106" i="2" s="1"/>
  <c r="BA107" i="2" s="1"/>
  <c r="BA108" i="2" s="1"/>
  <c r="AY112" i="2"/>
  <c r="AY113" i="2" s="1"/>
  <c r="AY115" i="2"/>
  <c r="AY116" i="2" s="1"/>
  <c r="AY117" i="2" s="1"/>
  <c r="AY118" i="2" s="1"/>
  <c r="AN115" i="2"/>
  <c r="AN116" i="2" s="1"/>
  <c r="AN117" i="2" s="1"/>
  <c r="AN118" i="2" s="1"/>
  <c r="BA115" i="2"/>
  <c r="BA116" i="2" s="1"/>
  <c r="BA117" i="2" s="1"/>
  <c r="BA118" i="2" s="1"/>
  <c r="AV87" i="2"/>
  <c r="AV88" i="2" s="1"/>
  <c r="AV89" i="2" s="1"/>
  <c r="AU68" i="2"/>
  <c r="AU69" i="2" s="1"/>
  <c r="AP67" i="2"/>
  <c r="AP68" i="2" s="1"/>
  <c r="AP69" i="2" s="1"/>
  <c r="AS71" i="2"/>
  <c r="AS72" i="2" s="1"/>
  <c r="AS73" i="2" s="1"/>
  <c r="AS74" i="2" s="1"/>
  <c r="AW71" i="2"/>
  <c r="AW72" i="2" s="1"/>
  <c r="AW73" i="2" s="1"/>
  <c r="AW74" i="2" s="1"/>
  <c r="AU71" i="2"/>
  <c r="AU72" i="2" s="1"/>
  <c r="AU73" i="2" s="1"/>
  <c r="AU74" i="2" s="1"/>
  <c r="AV76" i="2"/>
  <c r="AV77" i="2" s="1"/>
  <c r="AV78" i="2" s="1"/>
  <c r="AV79" i="2" s="1"/>
  <c r="AZ77" i="2"/>
  <c r="AZ78" i="2" s="1"/>
  <c r="AZ79" i="2" s="1"/>
  <c r="AR81" i="2"/>
  <c r="AR82" i="2" s="1"/>
  <c r="AR83" i="2" s="1"/>
  <c r="AR84" i="2" s="1"/>
  <c r="AV81" i="2"/>
  <c r="AV82" i="2" s="1"/>
  <c r="AV83" i="2" s="1"/>
  <c r="AV84" i="2" s="1"/>
  <c r="BA81" i="2"/>
  <c r="BA82" i="2" s="1"/>
  <c r="BA83" i="2" s="1"/>
  <c r="BA84" i="2" s="1"/>
  <c r="AN86" i="2"/>
  <c r="AN87" i="2" s="1"/>
  <c r="AN88" i="2" s="1"/>
  <c r="AN89" i="2" s="1"/>
  <c r="AS86" i="2"/>
  <c r="AS87" i="2" s="1"/>
  <c r="AS88" i="2" s="1"/>
  <c r="AS89" i="2" s="1"/>
  <c r="AO91" i="2"/>
  <c r="AO92" i="2" s="1"/>
  <c r="AO93" i="2" s="1"/>
  <c r="AO94" i="2" s="1"/>
  <c r="BB92" i="2"/>
  <c r="BB93" i="2" s="1"/>
  <c r="BB94" i="2" s="1"/>
  <c r="AO96" i="2"/>
  <c r="AO97" i="2" s="1"/>
  <c r="AO98" i="2" s="1"/>
  <c r="BB97" i="2"/>
  <c r="BB98" i="2" s="1"/>
  <c r="AS100" i="2"/>
  <c r="AS101" i="2" s="1"/>
  <c r="AS102" i="2" s="1"/>
  <c r="AS103" i="2" s="1"/>
  <c r="AW100" i="2"/>
  <c r="AW101" i="2" s="1"/>
  <c r="AW102" i="2" s="1"/>
  <c r="AW103" i="2" s="1"/>
  <c r="AX105" i="2"/>
  <c r="AX106" i="2" s="1"/>
  <c r="AX107" i="2" s="1"/>
  <c r="AX108" i="2" s="1"/>
  <c r="AV110" i="2"/>
  <c r="AV111" i="2" s="1"/>
  <c r="AV112" i="2" s="1"/>
  <c r="AV113" i="2" s="1"/>
  <c r="BA110" i="2"/>
  <c r="BA111" i="2" s="1"/>
  <c r="BA112" i="2" s="1"/>
  <c r="BA113" i="2" s="1"/>
  <c r="AP112" i="2"/>
  <c r="AP113" i="2" s="1"/>
  <c r="AP115" i="2"/>
  <c r="AP116" i="2" s="1"/>
  <c r="AP117" i="2" s="1"/>
  <c r="AP118" i="2" s="1"/>
  <c r="BD76" i="2"/>
  <c r="BD77" i="2" s="1"/>
  <c r="BD78" i="2" s="1"/>
  <c r="BD79" i="2" s="1"/>
  <c r="AQ68" i="2"/>
  <c r="AQ69" i="2" s="1"/>
  <c r="AM71" i="2"/>
  <c r="AM72" i="2" s="1"/>
  <c r="AM73" i="2" s="1"/>
  <c r="AM74" i="2" s="1"/>
  <c r="AY84" i="2"/>
  <c r="BD98" i="2"/>
  <c r="BC100" i="2"/>
  <c r="BC101" i="2" s="1"/>
  <c r="BC102" i="2" s="1"/>
  <c r="BC103" i="2" s="1"/>
  <c r="AN102" i="2"/>
  <c r="AN103" i="2" s="1"/>
  <c r="AN78" i="2"/>
  <c r="AN79" i="2" s="1"/>
  <c r="AS83" i="2"/>
  <c r="AS84" i="2" s="1"/>
  <c r="BC86" i="2"/>
  <c r="BC87" i="2" s="1"/>
  <c r="BC88" i="2" s="1"/>
  <c r="BC89" i="2" s="1"/>
  <c r="AO67" i="2"/>
  <c r="AO68" i="2" s="1"/>
  <c r="AO69" i="2" s="1"/>
  <c r="AZ74" i="2"/>
  <c r="AQ76" i="2"/>
  <c r="AQ77" i="2" s="1"/>
  <c r="AQ78" i="2" s="1"/>
  <c r="AQ79" i="2" s="1"/>
  <c r="BA76" i="2"/>
  <c r="BA77" i="2" s="1"/>
  <c r="BA78" i="2" s="1"/>
  <c r="BA79" i="2" s="1"/>
  <c r="AT76" i="2"/>
  <c r="AT77" i="2" s="1"/>
  <c r="AT78" i="2" s="1"/>
  <c r="AT79" i="2" s="1"/>
  <c r="AQ81" i="2"/>
  <c r="AQ82" i="2" s="1"/>
  <c r="AQ83" i="2" s="1"/>
  <c r="AQ84" i="2" s="1"/>
  <c r="BC81" i="2"/>
  <c r="BC82" i="2" s="1"/>
  <c r="BC83" i="2" s="1"/>
  <c r="BC84" i="2" s="1"/>
  <c r="AK81" i="2"/>
  <c r="AK82" i="2" s="1"/>
  <c r="AK83" i="2" s="1"/>
  <c r="AK84" i="2" s="1"/>
  <c r="AP86" i="2"/>
  <c r="AP87" i="2" s="1"/>
  <c r="AP88" i="2" s="1"/>
  <c r="AP89" i="2" s="1"/>
  <c r="AU86" i="2"/>
  <c r="AU87" i="2" s="1"/>
  <c r="AU88" i="2" s="1"/>
  <c r="AU89" i="2" s="1"/>
  <c r="AR91" i="2"/>
  <c r="AR92" i="2" s="1"/>
  <c r="AR93" i="2" s="1"/>
  <c r="AR94" i="2" s="1"/>
  <c r="BD91" i="2"/>
  <c r="BD92" i="2" s="1"/>
  <c r="BD93" i="2" s="1"/>
  <c r="BD94" i="2" s="1"/>
  <c r="AL91" i="2"/>
  <c r="AL92" i="2" s="1"/>
  <c r="AL93" i="2" s="1"/>
  <c r="AL94" i="2" s="1"/>
  <c r="AR96" i="2"/>
  <c r="AR97" i="2" s="1"/>
  <c r="AR98" i="2" s="1"/>
  <c r="AV96" i="2"/>
  <c r="AV97" i="2" s="1"/>
  <c r="AV98" i="2" s="1"/>
  <c r="AL96" i="2"/>
  <c r="AL97" i="2" s="1"/>
  <c r="AL98" i="2" s="1"/>
  <c r="AU100" i="2"/>
  <c r="AU101" i="2" s="1"/>
  <c r="AU102" i="2" s="1"/>
  <c r="AU103" i="2" s="1"/>
  <c r="AZ101" i="2"/>
  <c r="AZ102" i="2" s="1"/>
  <c r="AZ103" i="2" s="1"/>
  <c r="AW105" i="2"/>
  <c r="AW106" i="2" s="1"/>
  <c r="AW107" i="2" s="1"/>
  <c r="AW108" i="2" s="1"/>
  <c r="BB105" i="2"/>
  <c r="BB106" i="2" s="1"/>
  <c r="BB107" i="2" s="1"/>
  <c r="BB108" i="2" s="1"/>
  <c r="BC110" i="2"/>
  <c r="BC111" i="2" s="1"/>
  <c r="BC112" i="2" s="1"/>
  <c r="BC113" i="2" s="1"/>
  <c r="AK110" i="2"/>
  <c r="AK111" i="2" s="1"/>
  <c r="AK112" i="2" s="1"/>
  <c r="AK113" i="2" s="1"/>
  <c r="AW110" i="2"/>
  <c r="AW111" i="2" s="1"/>
  <c r="AW112" i="2" s="1"/>
  <c r="AW113" i="2" s="1"/>
  <c r="BB115" i="2"/>
  <c r="BB116" i="2" s="1"/>
  <c r="BB117" i="2" s="1"/>
  <c r="BB118" i="2" s="1"/>
  <c r="AZ115" i="2"/>
  <c r="AZ116" i="2" s="1"/>
  <c r="AZ117" i="2" s="1"/>
  <c r="AZ118" i="2" s="1"/>
  <c r="AZ87" i="2"/>
  <c r="AZ88" i="2" s="1"/>
  <c r="AZ89" i="2" s="1"/>
  <c r="BD100" i="2"/>
  <c r="BD101" i="2" s="1"/>
  <c r="BD102" i="2" s="1"/>
  <c r="BD103" i="2" s="1"/>
  <c r="AY76" i="2"/>
  <c r="AY77" i="2" s="1"/>
  <c r="AY78" i="2" s="1"/>
  <c r="AY79" i="2" s="1"/>
  <c r="BD110" i="2"/>
  <c r="BD111" i="2" s="1"/>
  <c r="BD112" i="2" s="1"/>
  <c r="BD113" i="2" s="1"/>
  <c r="AX71" i="2"/>
  <c r="AX72" i="2" s="1"/>
  <c r="AX73" i="2" s="1"/>
  <c r="AX74" i="2" s="1"/>
  <c r="AU91" i="2"/>
  <c r="AU92" i="2" s="1"/>
  <c r="AU93" i="2" s="1"/>
  <c r="AU94" i="2" s="1"/>
  <c r="CM6" i="2"/>
  <c r="CE6" i="2"/>
  <c r="CT6" i="2"/>
  <c r="CL6" i="2"/>
  <c r="CD6" i="2"/>
  <c r="CS6" i="2"/>
  <c r="CK6" i="2"/>
  <c r="CC6" i="2"/>
  <c r="CR6" i="2"/>
  <c r="CJ6" i="2"/>
  <c r="CB6" i="2"/>
  <c r="CQ6" i="2"/>
  <c r="CI6" i="2"/>
  <c r="CA6" i="2"/>
  <c r="CP6" i="2"/>
  <c r="CH6" i="2"/>
  <c r="CO6" i="2"/>
  <c r="CG6" i="2"/>
  <c r="CN6" i="2"/>
  <c r="CF6" i="2"/>
  <c r="AZ97" i="2"/>
  <c r="AZ98" i="2" s="1"/>
  <c r="AZ105" i="2"/>
  <c r="AZ106" i="2" s="1"/>
  <c r="AZ107" i="2" s="1"/>
  <c r="AZ108" i="2" s="1"/>
  <c r="AZ92" i="2"/>
  <c r="AZ93" i="2" s="1"/>
  <c r="AZ94" i="2" s="1"/>
  <c r="BB71" i="2"/>
  <c r="BB72" i="2" s="1"/>
  <c r="BB73" i="2" s="1"/>
  <c r="BB74" i="2" s="1"/>
  <c r="AZ82" i="2"/>
  <c r="AZ83" i="2" s="1"/>
  <c r="AZ84" i="2" s="1"/>
  <c r="AR125" i="2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O120" i="2"/>
  <c r="AO121" i="2" s="1"/>
  <c r="AX125" i="2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N125" i="2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P121" i="2"/>
  <c r="AP122" i="2" s="1"/>
  <c r="AP123" i="2" s="1"/>
  <c r="AX120" i="2"/>
  <c r="AM120" i="2"/>
  <c r="AM121" i="2" s="1"/>
  <c r="AM122" i="2" s="1"/>
  <c r="AM123" i="2" s="1"/>
  <c r="AZ126" i="2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Y125" i="2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BA125" i="2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AO125" i="2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U125" i="2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AP125" i="2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BC125" i="2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AQ125" i="2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S125" i="2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T125" i="2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AV125" i="2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K125" i="2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L125" i="2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W125" i="2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M125" i="2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BB125" i="2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BD125" i="2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AO122" i="2"/>
  <c r="AO123" i="2" s="1"/>
  <c r="AW122" i="2"/>
  <c r="AW123" i="2" s="1"/>
  <c r="AZ121" i="2"/>
  <c r="AZ122" i="2" s="1"/>
  <c r="AZ123" i="2" s="1"/>
  <c r="AX121" i="2"/>
  <c r="AX122" i="2" s="1"/>
  <c r="AX123" i="2" s="1"/>
  <c r="AY120" i="2"/>
  <c r="AY121" i="2" s="1"/>
  <c r="AY122" i="2" s="1"/>
  <c r="AY123" i="2" s="1"/>
  <c r="AL120" i="2"/>
  <c r="AL121" i="2" s="1"/>
  <c r="AL122" i="2" s="1"/>
  <c r="AL123" i="2" s="1"/>
  <c r="AR120" i="2"/>
  <c r="AR121" i="2" s="1"/>
  <c r="AR122" i="2" s="1"/>
  <c r="AR123" i="2" s="1"/>
  <c r="BB120" i="2"/>
  <c r="BB121" i="2" s="1"/>
  <c r="BB122" i="2" s="1"/>
  <c r="BB123" i="2" s="1"/>
  <c r="AT120" i="2"/>
  <c r="AT121" i="2" s="1"/>
  <c r="AT122" i="2" s="1"/>
  <c r="AT123" i="2" s="1"/>
  <c r="AN120" i="2"/>
  <c r="AN121" i="2" s="1"/>
  <c r="AN122" i="2" s="1"/>
  <c r="AN123" i="2" s="1"/>
  <c r="AS120" i="2"/>
  <c r="AS121" i="2" s="1"/>
  <c r="AS122" i="2" s="1"/>
  <c r="AS123" i="2" s="1"/>
  <c r="AU120" i="2"/>
  <c r="AU121" i="2" s="1"/>
  <c r="AU122" i="2" s="1"/>
  <c r="AU123" i="2" s="1"/>
  <c r="AQ120" i="2"/>
  <c r="AQ121" i="2" s="1"/>
  <c r="AQ122" i="2" s="1"/>
  <c r="AQ123" i="2" s="1"/>
  <c r="BC120" i="2"/>
  <c r="BC121" i="2" s="1"/>
  <c r="BC122" i="2" s="1"/>
  <c r="BC123" i="2" s="1"/>
  <c r="AK120" i="2"/>
  <c r="AK121" i="2" s="1"/>
  <c r="AK122" i="2" s="1"/>
  <c r="AK123" i="2" s="1"/>
  <c r="AV120" i="2"/>
  <c r="AV121" i="2" s="1"/>
  <c r="AV122" i="2" s="1"/>
  <c r="AV123" i="2" s="1"/>
  <c r="BA120" i="2"/>
  <c r="BA121" i="2" s="1"/>
  <c r="BA122" i="2" s="1"/>
  <c r="BA123" i="2" s="1"/>
  <c r="BD120" i="2"/>
  <c r="BD121" i="2" s="1"/>
  <c r="BD122" i="2" s="1"/>
  <c r="BD123" i="2" s="1"/>
  <c r="F108" i="2" a="1"/>
  <c r="F108" i="2" s="1"/>
  <c r="E108" i="2" s="1"/>
  <c r="BV7" i="2"/>
  <c r="BQ7" i="2"/>
  <c r="BM7" i="2"/>
  <c r="BO7" i="2"/>
  <c r="BJ7" i="2"/>
  <c r="BW7" i="2"/>
  <c r="BR7" i="2"/>
  <c r="F94" i="2" a="1"/>
  <c r="F94" i="2" s="1"/>
  <c r="BH7" i="2"/>
  <c r="BK7" i="2"/>
  <c r="BG7" i="2"/>
  <c r="BY7" i="2"/>
  <c r="BU7" i="2"/>
  <c r="BP7" i="2"/>
  <c r="BS7" i="2"/>
  <c r="BF7" i="2"/>
  <c r="BX7" i="2"/>
  <c r="BL7" i="2"/>
  <c r="BN7" i="2"/>
  <c r="BI7" i="2"/>
  <c r="BT7" i="2"/>
  <c r="F113" i="2" a="1"/>
  <c r="F113" i="2" s="1"/>
  <c r="E113" i="2" s="1"/>
  <c r="F86" i="2" a="1"/>
  <c r="F86" i="2" s="1"/>
  <c r="F81" i="2" a="1"/>
  <c r="F81" i="2" s="1"/>
  <c r="F82" i="2" s="1" a="1"/>
  <c r="F82" i="2" s="1"/>
  <c r="F71" i="2" a="1"/>
  <c r="F71" i="2" s="1"/>
  <c r="D70" i="2"/>
  <c r="F44" i="2" a="1"/>
  <c r="F44" i="2" s="1"/>
  <c r="F63" i="2" a="1"/>
  <c r="F63" i="2" s="1"/>
  <c r="F58" i="2" a="1"/>
  <c r="F58" i="2" s="1"/>
  <c r="F56" i="2" a="1"/>
  <c r="F56" i="2" s="1"/>
  <c r="F69" i="2" s="1" a="1"/>
  <c r="F69" i="2" s="1"/>
  <c r="F103" i="2" s="1" a="1"/>
  <c r="F103" i="2" s="1"/>
  <c r="E103" i="2" s="1"/>
  <c r="F57" i="2" a="1"/>
  <c r="F57" i="2" s="1"/>
  <c r="D66" i="2"/>
  <c r="F151" i="2" l="1" a="1"/>
  <c r="F151" i="2" s="1"/>
  <c r="F152" i="2" s="1" a="1"/>
  <c r="F152" i="2" s="1"/>
  <c r="AK165" i="2"/>
  <c r="D164" i="2"/>
  <c r="CQ7" i="2"/>
  <c r="CI7" i="2"/>
  <c r="CA7" i="2"/>
  <c r="CP7" i="2"/>
  <c r="CH7" i="2"/>
  <c r="CO7" i="2"/>
  <c r="CG7" i="2"/>
  <c r="CN7" i="2"/>
  <c r="CF7" i="2"/>
  <c r="CM7" i="2"/>
  <c r="CE7" i="2"/>
  <c r="CT7" i="2"/>
  <c r="CL7" i="2"/>
  <c r="CD7" i="2"/>
  <c r="CS7" i="2"/>
  <c r="CK7" i="2"/>
  <c r="CC7" i="2"/>
  <c r="CR7" i="2"/>
  <c r="CJ7" i="2"/>
  <c r="CB7" i="2"/>
  <c r="BT8" i="2"/>
  <c r="BX8" i="2"/>
  <c r="BU8" i="2"/>
  <c r="BH8" i="2"/>
  <c r="BO8" i="2"/>
  <c r="BI8" i="2"/>
  <c r="BF8" i="2"/>
  <c r="BY8" i="2"/>
  <c r="BR8" i="2"/>
  <c r="BM8" i="2"/>
  <c r="BN8" i="2"/>
  <c r="BS8" i="2"/>
  <c r="BG8" i="2"/>
  <c r="BW8" i="2"/>
  <c r="BQ8" i="2"/>
  <c r="BL8" i="2"/>
  <c r="BP8" i="2"/>
  <c r="BK8" i="2"/>
  <c r="BJ8" i="2"/>
  <c r="BV8" i="2"/>
  <c r="D124" i="2"/>
  <c r="D126" i="2"/>
  <c r="D125" i="2"/>
  <c r="F118" i="2" a="1"/>
  <c r="F118" i="2" s="1"/>
  <c r="E118" i="2" s="1"/>
  <c r="F87" i="2" a="1"/>
  <c r="F87" i="2" s="1"/>
  <c r="F88" i="2" s="1" a="1"/>
  <c r="F88" i="2" s="1"/>
  <c r="F83" i="2" a="1"/>
  <c r="F83" i="2" s="1"/>
  <c r="F77" i="2" a="1"/>
  <c r="F77" i="2" s="1"/>
  <c r="F78" i="2" s="1" a="1"/>
  <c r="F78" i="2" s="1"/>
  <c r="F72" i="2" a="1"/>
  <c r="F72" i="2" s="1"/>
  <c r="F73" i="2" s="1" a="1"/>
  <c r="F73" i="2" s="1"/>
  <c r="D71" i="2"/>
  <c r="D69" i="2"/>
  <c r="F52" i="2" a="1"/>
  <c r="F52" i="2" s="1"/>
  <c r="F66" i="2" s="1" a="1"/>
  <c r="F66" i="2" s="1"/>
  <c r="F67" i="2" s="1" a="1"/>
  <c r="F67" i="2" s="1"/>
  <c r="D67" i="2"/>
  <c r="D68" i="2"/>
  <c r="D34" i="2"/>
  <c r="D30" i="2"/>
  <c r="D44" i="2"/>
  <c r="D52" i="2"/>
  <c r="D45" i="2"/>
  <c r="D48" i="2"/>
  <c r="D40" i="2"/>
  <c r="D39" i="2"/>
  <c r="D32" i="2"/>
  <c r="D31" i="2"/>
  <c r="D16" i="2"/>
  <c r="D7" i="2"/>
  <c r="D11" i="2"/>
  <c r="D6" i="2"/>
  <c r="F154" i="2" l="1" a="1"/>
  <c r="F154" i="2" s="1"/>
  <c r="AK166" i="2"/>
  <c r="D165" i="2"/>
  <c r="CM8" i="2"/>
  <c r="CE8" i="2"/>
  <c r="CT8" i="2"/>
  <c r="CL8" i="2"/>
  <c r="CD8" i="2"/>
  <c r="CS8" i="2"/>
  <c r="CK8" i="2"/>
  <c r="CC8" i="2"/>
  <c r="CR8" i="2"/>
  <c r="CJ8" i="2"/>
  <c r="CB8" i="2"/>
  <c r="CQ8" i="2"/>
  <c r="CI8" i="2"/>
  <c r="CA8" i="2"/>
  <c r="CP8" i="2"/>
  <c r="CH8" i="2"/>
  <c r="CO8" i="2"/>
  <c r="CG8" i="2"/>
  <c r="CN8" i="2"/>
  <c r="CF8" i="2"/>
  <c r="BV9" i="2"/>
  <c r="BL9" i="2"/>
  <c r="BS9" i="2"/>
  <c r="BY9" i="2"/>
  <c r="BH9" i="2"/>
  <c r="BJ9" i="2"/>
  <c r="BQ9" i="2"/>
  <c r="BN9" i="2"/>
  <c r="BF9" i="2"/>
  <c r="BU9" i="2"/>
  <c r="BK9" i="2"/>
  <c r="BW9" i="2"/>
  <c r="BM9" i="2"/>
  <c r="BI9" i="2"/>
  <c r="BX9" i="2"/>
  <c r="BP9" i="2"/>
  <c r="BG9" i="2"/>
  <c r="BR9" i="2"/>
  <c r="BO9" i="2"/>
  <c r="BT9" i="2"/>
  <c r="F123" i="2" a="1"/>
  <c r="F123" i="2" s="1"/>
  <c r="E123" i="2" s="1"/>
  <c r="D127" i="2"/>
  <c r="F75" i="2" a="1"/>
  <c r="F75" i="2" s="1"/>
  <c r="F76" i="2" s="1" a="1"/>
  <c r="F76" i="2" s="1"/>
  <c r="F90" i="2" a="1"/>
  <c r="F90" i="2" s="1"/>
  <c r="D72" i="2"/>
  <c r="F68" i="2" a="1"/>
  <c r="F68" i="2" s="1"/>
  <c r="F62" i="2" a="1"/>
  <c r="F62" i="2" s="1"/>
  <c r="F80" i="2" s="1" a="1"/>
  <c r="F80" i="2" s="1"/>
  <c r="D36" i="2"/>
  <c r="D35" i="2"/>
  <c r="D37" i="2"/>
  <c r="D53" i="2"/>
  <c r="D46" i="2"/>
  <c r="D47" i="2"/>
  <c r="D50" i="2"/>
  <c r="D49" i="2"/>
  <c r="D41" i="2"/>
  <c r="D38" i="2"/>
  <c r="D33" i="2"/>
  <c r="D17" i="2"/>
  <c r="D12" i="2"/>
  <c r="D8" i="2"/>
  <c r="H6" i="2"/>
  <c r="F155" i="2" l="1" a="1"/>
  <c r="F155" i="2" s="1"/>
  <c r="F156" i="2" s="1" a="1"/>
  <c r="F156" i="2" s="1"/>
  <c r="F157" i="2" s="1" a="1"/>
  <c r="F157" i="2" s="1"/>
  <c r="AK167" i="2"/>
  <c r="D166" i="2"/>
  <c r="CQ9" i="2"/>
  <c r="CI9" i="2"/>
  <c r="CA9" i="2"/>
  <c r="CP9" i="2"/>
  <c r="CH9" i="2"/>
  <c r="CO9" i="2"/>
  <c r="CG9" i="2"/>
  <c r="CN9" i="2"/>
  <c r="CF9" i="2"/>
  <c r="CM9" i="2"/>
  <c r="CE9" i="2"/>
  <c r="CT9" i="2"/>
  <c r="CL9" i="2"/>
  <c r="CD9" i="2"/>
  <c r="CS9" i="2"/>
  <c r="CK9" i="2"/>
  <c r="CC9" i="2"/>
  <c r="CR9" i="2"/>
  <c r="CJ9" i="2"/>
  <c r="CB9" i="2"/>
  <c r="BG10" i="2"/>
  <c r="BM10" i="2"/>
  <c r="BF10" i="2"/>
  <c r="BH10" i="2"/>
  <c r="BV10" i="2"/>
  <c r="BT10" i="2"/>
  <c r="BP10" i="2"/>
  <c r="BW10" i="2"/>
  <c r="BN10" i="2"/>
  <c r="BY10" i="2"/>
  <c r="BO10" i="2"/>
  <c r="BX10" i="2"/>
  <c r="BK10" i="2"/>
  <c r="BQ10" i="2"/>
  <c r="BS10" i="2"/>
  <c r="BR10" i="2"/>
  <c r="BI10" i="2"/>
  <c r="BU10" i="2"/>
  <c r="BJ10" i="2"/>
  <c r="BL10" i="2"/>
  <c r="F128" i="2" a="1"/>
  <c r="F128" i="2" s="1"/>
  <c r="D128" i="2"/>
  <c r="F91" i="2" a="1"/>
  <c r="F91" i="2" s="1"/>
  <c r="F92" i="2" s="1" a="1"/>
  <c r="F92" i="2" s="1"/>
  <c r="F99" i="2" s="1" a="1"/>
  <c r="F99" i="2" s="1"/>
  <c r="F100" i="2" s="1" a="1"/>
  <c r="F100" i="2" s="1"/>
  <c r="D73" i="2"/>
  <c r="E6" i="2"/>
  <c r="D54" i="2"/>
  <c r="D51" i="2"/>
  <c r="D42" i="2"/>
  <c r="D43" i="2"/>
  <c r="H7" i="2"/>
  <c r="E7" i="2" s="1"/>
  <c r="D18" i="2"/>
  <c r="D13" i="2"/>
  <c r="D9" i="2"/>
  <c r="D10" i="2"/>
  <c r="F159" i="2" l="1" a="1"/>
  <c r="F159" i="2" s="1"/>
  <c r="AK168" i="2"/>
  <c r="D167" i="2"/>
  <c r="CM10" i="2"/>
  <c r="CE10" i="2"/>
  <c r="CT10" i="2"/>
  <c r="CL10" i="2"/>
  <c r="CD10" i="2"/>
  <c r="CS10" i="2"/>
  <c r="CK10" i="2"/>
  <c r="CC10" i="2"/>
  <c r="CR10" i="2"/>
  <c r="CJ10" i="2"/>
  <c r="CB10" i="2"/>
  <c r="CQ10" i="2"/>
  <c r="CI10" i="2"/>
  <c r="CA10" i="2"/>
  <c r="CP10" i="2"/>
  <c r="CH10" i="2"/>
  <c r="CO10" i="2"/>
  <c r="CG10" i="2"/>
  <c r="CN10" i="2"/>
  <c r="CF10" i="2"/>
  <c r="F133" i="2" a="1"/>
  <c r="F133" i="2" s="1"/>
  <c r="E133" i="2" s="1"/>
  <c r="E128" i="2"/>
  <c r="F101" i="2" a="1"/>
  <c r="F101" i="2" s="1"/>
  <c r="BJ11" i="2"/>
  <c r="BS11" i="2"/>
  <c r="BP11" i="2"/>
  <c r="BF11" i="2"/>
  <c r="BL11" i="2"/>
  <c r="BR11" i="2"/>
  <c r="BX11" i="2"/>
  <c r="BW11" i="2"/>
  <c r="BH11" i="2"/>
  <c r="BO11" i="2"/>
  <c r="BU11" i="2"/>
  <c r="BQ11" i="2"/>
  <c r="BY11" i="2"/>
  <c r="BT11" i="2"/>
  <c r="BM11" i="2"/>
  <c r="BI11" i="2"/>
  <c r="BK11" i="2"/>
  <c r="BN11" i="2"/>
  <c r="BV11" i="2"/>
  <c r="BG11" i="2"/>
  <c r="D129" i="2"/>
  <c r="D104" i="2"/>
  <c r="F93" i="2" a="1"/>
  <c r="F93" i="2" s="1"/>
  <c r="D74" i="2"/>
  <c r="D55" i="2"/>
  <c r="D19" i="2"/>
  <c r="D15" i="2"/>
  <c r="D14" i="2"/>
  <c r="H8" i="2"/>
  <c r="E8" i="2" s="1"/>
  <c r="F160" i="2" l="1" a="1"/>
  <c r="F160" i="2" s="1"/>
  <c r="AK169" i="2"/>
  <c r="D168" i="2"/>
  <c r="CQ11" i="2"/>
  <c r="CI11" i="2"/>
  <c r="CA11" i="2"/>
  <c r="CP11" i="2"/>
  <c r="CH11" i="2"/>
  <c r="CO11" i="2"/>
  <c r="CG11" i="2"/>
  <c r="CN11" i="2"/>
  <c r="CF11" i="2"/>
  <c r="CM11" i="2"/>
  <c r="CE11" i="2"/>
  <c r="CT11" i="2"/>
  <c r="CL11" i="2"/>
  <c r="CD11" i="2"/>
  <c r="CS11" i="2"/>
  <c r="CK11" i="2"/>
  <c r="CC11" i="2"/>
  <c r="CR11" i="2"/>
  <c r="CJ11" i="2"/>
  <c r="CB11" i="2"/>
  <c r="F138" i="2" a="1"/>
  <c r="F138" i="2" s="1"/>
  <c r="E138" i="2" s="1"/>
  <c r="F102" i="2" a="1"/>
  <c r="F102" i="2" s="1"/>
  <c r="BQ12" i="2"/>
  <c r="BV12" i="2"/>
  <c r="BM12" i="2"/>
  <c r="BU12" i="2"/>
  <c r="BX12" i="2"/>
  <c r="BP12" i="2"/>
  <c r="BI12" i="2"/>
  <c r="BW12" i="2"/>
  <c r="BF12" i="2"/>
  <c r="BG12" i="2"/>
  <c r="BN12" i="2"/>
  <c r="BT12" i="2"/>
  <c r="BO12" i="2"/>
  <c r="BR12" i="2"/>
  <c r="BS12" i="2"/>
  <c r="BK12" i="2"/>
  <c r="BY12" i="2"/>
  <c r="BH12" i="2"/>
  <c r="BL12" i="2"/>
  <c r="BJ12" i="2"/>
  <c r="D130" i="2"/>
  <c r="D105" i="2"/>
  <c r="F95" i="2" a="1"/>
  <c r="F95" i="2" s="1"/>
  <c r="D75" i="2"/>
  <c r="D56" i="2"/>
  <c r="H9" i="2"/>
  <c r="E9" i="2" s="1"/>
  <c r="D20" i="2"/>
  <c r="F161" i="2" l="1" a="1"/>
  <c r="F161" i="2" s="1"/>
  <c r="F162" i="2" s="1" a="1"/>
  <c r="F162" i="2" s="1"/>
  <c r="F164" i="2" a="1"/>
  <c r="F164" i="2" s="1"/>
  <c r="AK170" i="2"/>
  <c r="D169" i="2"/>
  <c r="CM12" i="2"/>
  <c r="CE12" i="2"/>
  <c r="CT12" i="2"/>
  <c r="CL12" i="2"/>
  <c r="CD12" i="2"/>
  <c r="CS12" i="2"/>
  <c r="CK12" i="2"/>
  <c r="CC12" i="2"/>
  <c r="CR12" i="2"/>
  <c r="CJ12" i="2"/>
  <c r="CB12" i="2"/>
  <c r="CQ12" i="2"/>
  <c r="CI12" i="2"/>
  <c r="CA12" i="2"/>
  <c r="CP12" i="2"/>
  <c r="CH12" i="2"/>
  <c r="CO12" i="2"/>
  <c r="CG12" i="2"/>
  <c r="CN12" i="2"/>
  <c r="CF12" i="2"/>
  <c r="F143" i="2" a="1"/>
  <c r="F143" i="2" s="1"/>
  <c r="F148" i="2" s="1" a="1"/>
  <c r="F148" i="2" s="1"/>
  <c r="F104" i="2" a="1"/>
  <c r="F104" i="2" s="1"/>
  <c r="F105" i="2" s="1" a="1"/>
  <c r="F105" i="2" s="1"/>
  <c r="BJ13" i="2"/>
  <c r="BK13" i="2"/>
  <c r="BT13" i="2"/>
  <c r="BW13" i="2"/>
  <c r="BU13" i="2"/>
  <c r="BY13" i="2"/>
  <c r="BF13" i="2"/>
  <c r="BL13" i="2"/>
  <c r="BS13" i="2"/>
  <c r="BN13" i="2"/>
  <c r="BI13" i="2"/>
  <c r="BM13" i="2"/>
  <c r="BO13" i="2"/>
  <c r="BX13" i="2"/>
  <c r="BQ13" i="2"/>
  <c r="BH13" i="2"/>
  <c r="BR13" i="2"/>
  <c r="BG13" i="2"/>
  <c r="BP13" i="2"/>
  <c r="BV13" i="2"/>
  <c r="D131" i="2"/>
  <c r="D106" i="2"/>
  <c r="F96" i="2" a="1"/>
  <c r="F96" i="2" s="1"/>
  <c r="D76" i="2"/>
  <c r="D57" i="2"/>
  <c r="D22" i="2"/>
  <c r="D21" i="2"/>
  <c r="H10" i="2"/>
  <c r="E10" i="2" s="1"/>
  <c r="F165" i="2" l="1" a="1"/>
  <c r="F165" i="2" s="1"/>
  <c r="AK171" i="2"/>
  <c r="D170" i="2"/>
  <c r="E148" i="2"/>
  <c r="F158" i="2" a="1"/>
  <c r="F158" i="2" s="1"/>
  <c r="CQ13" i="2"/>
  <c r="CI13" i="2"/>
  <c r="CA13" i="2"/>
  <c r="CP13" i="2"/>
  <c r="CH13" i="2"/>
  <c r="CO13" i="2"/>
  <c r="CG13" i="2"/>
  <c r="CN13" i="2"/>
  <c r="CF13" i="2"/>
  <c r="CM13" i="2"/>
  <c r="CE13" i="2"/>
  <c r="CT13" i="2"/>
  <c r="CL13" i="2"/>
  <c r="CD13" i="2"/>
  <c r="CS13" i="2"/>
  <c r="CK13" i="2"/>
  <c r="CC13" i="2"/>
  <c r="CR13" i="2"/>
  <c r="CJ13" i="2"/>
  <c r="CB13" i="2"/>
  <c r="E143" i="2"/>
  <c r="F106" i="2" a="1"/>
  <c r="F106" i="2" s="1"/>
  <c r="BV14" i="2"/>
  <c r="BH14" i="2"/>
  <c r="BM14" i="2"/>
  <c r="BL14" i="2"/>
  <c r="BW14" i="2"/>
  <c r="BP14" i="2"/>
  <c r="BQ14" i="2"/>
  <c r="BI14" i="2"/>
  <c r="BF14" i="2"/>
  <c r="BT14" i="2"/>
  <c r="BG14" i="2"/>
  <c r="BX14" i="2"/>
  <c r="BN14" i="2"/>
  <c r="BY14" i="2"/>
  <c r="BK14" i="2"/>
  <c r="BR14" i="2"/>
  <c r="BO14" i="2"/>
  <c r="BS14" i="2"/>
  <c r="BU14" i="2"/>
  <c r="BJ14" i="2"/>
  <c r="D132" i="2"/>
  <c r="D107" i="2"/>
  <c r="F97" i="2" a="1"/>
  <c r="F97" i="2" s="1"/>
  <c r="D77" i="2"/>
  <c r="D58" i="2"/>
  <c r="D23" i="2"/>
  <c r="H11" i="2"/>
  <c r="E11" i="2" s="1"/>
  <c r="F166" i="2" l="1" a="1"/>
  <c r="F166" i="2" s="1"/>
  <c r="F163" i="2" a="1"/>
  <c r="F163" i="2" s="1"/>
  <c r="E163" i="2" s="1"/>
  <c r="E158" i="2"/>
  <c r="AK172" i="2"/>
  <c r="D171" i="2"/>
  <c r="CM14" i="2"/>
  <c r="CE14" i="2"/>
  <c r="CT14" i="2"/>
  <c r="CL14" i="2"/>
  <c r="CD14" i="2"/>
  <c r="CS14" i="2"/>
  <c r="CK14" i="2"/>
  <c r="CC14" i="2"/>
  <c r="CR14" i="2"/>
  <c r="CJ14" i="2"/>
  <c r="CB14" i="2"/>
  <c r="CQ14" i="2"/>
  <c r="CI14" i="2"/>
  <c r="CA14" i="2"/>
  <c r="CP14" i="2"/>
  <c r="CH14" i="2"/>
  <c r="CO14" i="2"/>
  <c r="CG14" i="2"/>
  <c r="CN14" i="2"/>
  <c r="CF14" i="2"/>
  <c r="F107" i="2" a="1"/>
  <c r="F107" i="2" s="1"/>
  <c r="F109" i="2" s="1" a="1"/>
  <c r="F109" i="2" s="1"/>
  <c r="BO15" i="2"/>
  <c r="BF15" i="2"/>
  <c r="BW15" i="2"/>
  <c r="BJ15" i="2"/>
  <c r="BR15" i="2"/>
  <c r="BX15" i="2"/>
  <c r="BI15" i="2"/>
  <c r="BL15" i="2"/>
  <c r="BN15" i="2"/>
  <c r="BV15" i="2"/>
  <c r="BU15" i="2"/>
  <c r="BK15" i="2"/>
  <c r="BG15" i="2"/>
  <c r="BQ15" i="2"/>
  <c r="BM15" i="2"/>
  <c r="BS15" i="2"/>
  <c r="BY15" i="2"/>
  <c r="BT15" i="2"/>
  <c r="BP15" i="2"/>
  <c r="BH15" i="2"/>
  <c r="D133" i="2"/>
  <c r="D108" i="2"/>
  <c r="F98" i="2" a="1"/>
  <c r="F98" i="2" s="1"/>
  <c r="D78" i="2"/>
  <c r="D59" i="2"/>
  <c r="H12" i="2"/>
  <c r="E12" i="2" s="1"/>
  <c r="F167" i="2" l="1" a="1"/>
  <c r="F167" i="2" s="1"/>
  <c r="F168" i="2" a="1"/>
  <c r="F168" i="2" s="1"/>
  <c r="E168" i="2" s="1"/>
  <c r="AK173" i="2"/>
  <c r="D172" i="2"/>
  <c r="CT15" i="2"/>
  <c r="CL15" i="2"/>
  <c r="CD15" i="2"/>
  <c r="CP15" i="2"/>
  <c r="CH15" i="2"/>
  <c r="CK15" i="2"/>
  <c r="CA15" i="2"/>
  <c r="CJ15" i="2"/>
  <c r="CS15" i="2"/>
  <c r="CI15" i="2"/>
  <c r="CR15" i="2"/>
  <c r="CG15" i="2"/>
  <c r="CQ15" i="2"/>
  <c r="CF15" i="2"/>
  <c r="CO15" i="2"/>
  <c r="CE15" i="2"/>
  <c r="CN15" i="2"/>
  <c r="CC15" i="2"/>
  <c r="CM15" i="2"/>
  <c r="CB15" i="2"/>
  <c r="F110" i="2" a="1"/>
  <c r="F110" i="2" s="1"/>
  <c r="F111" i="2" s="1" a="1"/>
  <c r="F111" i="2" s="1"/>
  <c r="BH16" i="2"/>
  <c r="BS16" i="2"/>
  <c r="BK16" i="2"/>
  <c r="BL16" i="2"/>
  <c r="BJ16" i="2"/>
  <c r="BP16" i="2"/>
  <c r="BM16" i="2"/>
  <c r="BU16" i="2"/>
  <c r="BY16" i="2"/>
  <c r="BG16" i="2"/>
  <c r="BN16" i="2"/>
  <c r="BR16" i="2"/>
  <c r="BO16" i="2"/>
  <c r="BI16" i="2"/>
  <c r="BW16" i="2"/>
  <c r="BT16" i="2"/>
  <c r="BQ16" i="2"/>
  <c r="BV16" i="2"/>
  <c r="BX16" i="2"/>
  <c r="BF16" i="2"/>
  <c r="D134" i="2"/>
  <c r="D109" i="2"/>
  <c r="D79" i="2"/>
  <c r="D60" i="2"/>
  <c r="D24" i="2"/>
  <c r="H13" i="2"/>
  <c r="E13" i="2" s="1"/>
  <c r="F173" i="2" l="1" a="1"/>
  <c r="F173" i="2" s="1"/>
  <c r="E173" i="2" s="1"/>
  <c r="F169" i="2" a="1"/>
  <c r="F169" i="2" s="1"/>
  <c r="AK174" i="2"/>
  <c r="D173" i="2"/>
  <c r="CP16" i="2"/>
  <c r="CH16" i="2"/>
  <c r="CT16" i="2"/>
  <c r="CL16" i="2"/>
  <c r="CD16" i="2"/>
  <c r="CM16" i="2"/>
  <c r="CB16" i="2"/>
  <c r="CK16" i="2"/>
  <c r="CA16" i="2"/>
  <c r="CJ16" i="2"/>
  <c r="CS16" i="2"/>
  <c r="CI16" i="2"/>
  <c r="CR16" i="2"/>
  <c r="CG16" i="2"/>
  <c r="CQ16" i="2"/>
  <c r="CF16" i="2"/>
  <c r="CO16" i="2"/>
  <c r="CE16" i="2"/>
  <c r="CN16" i="2"/>
  <c r="CC16" i="2"/>
  <c r="BF17" i="2"/>
  <c r="BT17" i="2"/>
  <c r="BR17" i="2"/>
  <c r="BU17" i="2"/>
  <c r="BL17" i="2"/>
  <c r="BX17" i="2"/>
  <c r="BO17" i="2"/>
  <c r="BW17" i="2"/>
  <c r="BN17" i="2"/>
  <c r="BM17" i="2"/>
  <c r="BK17" i="2"/>
  <c r="BY17" i="2"/>
  <c r="BH17" i="2"/>
  <c r="BV17" i="2"/>
  <c r="BI17" i="2"/>
  <c r="BG17" i="2"/>
  <c r="BP17" i="2"/>
  <c r="BS17" i="2"/>
  <c r="BJ17" i="2"/>
  <c r="BQ17" i="2"/>
  <c r="D135" i="2"/>
  <c r="F112" i="2" a="1"/>
  <c r="F112" i="2" s="1"/>
  <c r="D110" i="2"/>
  <c r="D80" i="2"/>
  <c r="D61" i="2"/>
  <c r="D25" i="2"/>
  <c r="H14" i="2"/>
  <c r="E14" i="2" s="1"/>
  <c r="F178" i="2" l="1" a="1"/>
  <c r="F178" i="2" s="1"/>
  <c r="E178" i="2" s="1"/>
  <c r="F170" i="2" a="1"/>
  <c r="F170" i="2" s="1"/>
  <c r="AK175" i="2"/>
  <c r="D174" i="2"/>
  <c r="CT17" i="2"/>
  <c r="CL17" i="2"/>
  <c r="CD17" i="2"/>
  <c r="CP17" i="2"/>
  <c r="CH17" i="2"/>
  <c r="CN17" i="2"/>
  <c r="CC17" i="2"/>
  <c r="CM17" i="2"/>
  <c r="CB17" i="2"/>
  <c r="CK17" i="2"/>
  <c r="CA17" i="2"/>
  <c r="CJ17" i="2"/>
  <c r="CS17" i="2"/>
  <c r="CI17" i="2"/>
  <c r="CR17" i="2"/>
  <c r="CG17" i="2"/>
  <c r="CQ17" i="2"/>
  <c r="CF17" i="2"/>
  <c r="CO17" i="2"/>
  <c r="CE17" i="2"/>
  <c r="BQ18" i="2"/>
  <c r="BG18" i="2"/>
  <c r="BY18" i="2"/>
  <c r="BW18" i="2"/>
  <c r="BU18" i="2"/>
  <c r="BJ18" i="2"/>
  <c r="BI18" i="2"/>
  <c r="BK18" i="2"/>
  <c r="BO18" i="2"/>
  <c r="BR18" i="2"/>
  <c r="BS18" i="2"/>
  <c r="BV18" i="2"/>
  <c r="BM18" i="2"/>
  <c r="BX18" i="2"/>
  <c r="BT18" i="2"/>
  <c r="BP18" i="2"/>
  <c r="BH18" i="2"/>
  <c r="BN18" i="2"/>
  <c r="BL18" i="2"/>
  <c r="BF18" i="2"/>
  <c r="D136" i="2"/>
  <c r="F114" i="2" a="1"/>
  <c r="F114" i="2" s="1"/>
  <c r="D111" i="2"/>
  <c r="D81" i="2"/>
  <c r="D62" i="2"/>
  <c r="D26" i="2"/>
  <c r="H15" i="2"/>
  <c r="E15" i="2" s="1"/>
  <c r="F183" i="2" l="1" a="1"/>
  <c r="F183" i="2" s="1"/>
  <c r="E183" i="2" s="1"/>
  <c r="F171" i="2" a="1"/>
  <c r="F171" i="2" s="1"/>
  <c r="AK176" i="2"/>
  <c r="D175" i="2"/>
  <c r="CP18" i="2"/>
  <c r="CH18" i="2"/>
  <c r="CT18" i="2"/>
  <c r="CL18" i="2"/>
  <c r="CD18" i="2"/>
  <c r="CO18" i="2"/>
  <c r="CE18" i="2"/>
  <c r="CN18" i="2"/>
  <c r="CC18" i="2"/>
  <c r="CM18" i="2"/>
  <c r="CB18" i="2"/>
  <c r="CK18" i="2"/>
  <c r="CA18" i="2"/>
  <c r="CJ18" i="2"/>
  <c r="CS18" i="2"/>
  <c r="CI18" i="2"/>
  <c r="CR18" i="2"/>
  <c r="CG18" i="2"/>
  <c r="CQ18" i="2"/>
  <c r="CF18" i="2"/>
  <c r="BF19" i="2"/>
  <c r="BP19" i="2"/>
  <c r="BV19" i="2"/>
  <c r="BK19" i="2"/>
  <c r="BW19" i="2"/>
  <c r="BL19" i="2"/>
  <c r="BT19" i="2"/>
  <c r="BS19" i="2"/>
  <c r="BI19" i="2"/>
  <c r="BY19" i="2"/>
  <c r="BN19" i="2"/>
  <c r="BX19" i="2"/>
  <c r="BR19" i="2"/>
  <c r="BJ19" i="2"/>
  <c r="BG19" i="2"/>
  <c r="BH19" i="2"/>
  <c r="BM19" i="2"/>
  <c r="BO19" i="2"/>
  <c r="BU19" i="2"/>
  <c r="BQ19" i="2"/>
  <c r="D137" i="2"/>
  <c r="F115" i="2" a="1"/>
  <c r="F115" i="2" s="1"/>
  <c r="D112" i="2"/>
  <c r="D82" i="2"/>
  <c r="D63" i="2"/>
  <c r="D27" i="2"/>
  <c r="H16" i="2"/>
  <c r="E16" i="2" s="1"/>
  <c r="F172" i="2" l="1" a="1"/>
  <c r="F172" i="2" s="1"/>
  <c r="AK177" i="2"/>
  <c r="D176" i="2"/>
  <c r="CT19" i="2"/>
  <c r="CL19" i="2"/>
  <c r="CD19" i="2"/>
  <c r="CP19" i="2"/>
  <c r="CH19" i="2"/>
  <c r="CQ19" i="2"/>
  <c r="CF19" i="2"/>
  <c r="CO19" i="2"/>
  <c r="CE19" i="2"/>
  <c r="CN19" i="2"/>
  <c r="CC19" i="2"/>
  <c r="CM19" i="2"/>
  <c r="CB19" i="2"/>
  <c r="CK19" i="2"/>
  <c r="CA19" i="2"/>
  <c r="CJ19" i="2"/>
  <c r="CS19" i="2"/>
  <c r="CI19" i="2"/>
  <c r="CR19" i="2"/>
  <c r="CG19" i="2"/>
  <c r="BQ20" i="2"/>
  <c r="BH20" i="2"/>
  <c r="BX20" i="2"/>
  <c r="BS20" i="2"/>
  <c r="BK20" i="2"/>
  <c r="BV20" i="2"/>
  <c r="BG20" i="2"/>
  <c r="BN20" i="2"/>
  <c r="BO20" i="2"/>
  <c r="BJ20" i="2"/>
  <c r="BY20" i="2"/>
  <c r="BL20" i="2"/>
  <c r="BP20" i="2"/>
  <c r="BU20" i="2"/>
  <c r="BT20" i="2"/>
  <c r="BM20" i="2"/>
  <c r="BR20" i="2"/>
  <c r="BI20" i="2"/>
  <c r="BW20" i="2"/>
  <c r="BF20" i="2"/>
  <c r="D138" i="2"/>
  <c r="F116" i="2" a="1"/>
  <c r="F116" i="2" s="1"/>
  <c r="D113" i="2"/>
  <c r="D83" i="2"/>
  <c r="D64" i="2"/>
  <c r="D28" i="2"/>
  <c r="H17" i="2"/>
  <c r="E17" i="2" s="1"/>
  <c r="F174" i="2" l="1" a="1"/>
  <c r="F174" i="2" s="1"/>
  <c r="AK178" i="2"/>
  <c r="D177" i="2"/>
  <c r="CP20" i="2"/>
  <c r="CH20" i="2"/>
  <c r="CT20" i="2"/>
  <c r="CL20" i="2"/>
  <c r="CD20" i="2"/>
  <c r="CR20" i="2"/>
  <c r="CG20" i="2"/>
  <c r="CQ20" i="2"/>
  <c r="CF20" i="2"/>
  <c r="CO20" i="2"/>
  <c r="CE20" i="2"/>
  <c r="CN20" i="2"/>
  <c r="CC20" i="2"/>
  <c r="CM20" i="2"/>
  <c r="CB20" i="2"/>
  <c r="CK20" i="2"/>
  <c r="CA20" i="2"/>
  <c r="CJ20" i="2"/>
  <c r="CS20" i="2"/>
  <c r="CI20" i="2"/>
  <c r="BF21" i="2"/>
  <c r="BM21" i="2"/>
  <c r="BL21" i="2"/>
  <c r="BN21" i="2"/>
  <c r="BS21" i="2"/>
  <c r="BK21" i="2"/>
  <c r="BW21" i="2"/>
  <c r="BT21" i="2"/>
  <c r="BY21" i="2"/>
  <c r="BG21" i="2"/>
  <c r="BX21" i="2"/>
  <c r="BP21" i="2"/>
  <c r="BO21" i="2"/>
  <c r="BQ21" i="2"/>
  <c r="BR21" i="2"/>
  <c r="BI21" i="2"/>
  <c r="BU21" i="2"/>
  <c r="BJ21" i="2"/>
  <c r="BV21" i="2"/>
  <c r="BH21" i="2"/>
  <c r="D139" i="2"/>
  <c r="F117" i="2" a="1"/>
  <c r="F117" i="2" s="1"/>
  <c r="D114" i="2"/>
  <c r="D84" i="2"/>
  <c r="D65" i="2"/>
  <c r="D29" i="2"/>
  <c r="H18" i="2"/>
  <c r="E18" i="2" s="1"/>
  <c r="F175" i="2" l="1" a="1"/>
  <c r="F175" i="2" s="1"/>
  <c r="AK179" i="2"/>
  <c r="D178" i="2"/>
  <c r="CT21" i="2"/>
  <c r="CL21" i="2"/>
  <c r="CD21" i="2"/>
  <c r="CP21" i="2"/>
  <c r="CH21" i="2"/>
  <c r="CS21" i="2"/>
  <c r="CI21" i="2"/>
  <c r="CR21" i="2"/>
  <c r="CG21" i="2"/>
  <c r="CQ21" i="2"/>
  <c r="CF21" i="2"/>
  <c r="CO21" i="2"/>
  <c r="CE21" i="2"/>
  <c r="CN21" i="2"/>
  <c r="CC21" i="2"/>
  <c r="CM21" i="2"/>
  <c r="CB21" i="2"/>
  <c r="CK21" i="2"/>
  <c r="CA21" i="2"/>
  <c r="CJ21" i="2"/>
  <c r="BH22" i="2"/>
  <c r="BI22" i="2"/>
  <c r="BP22" i="2"/>
  <c r="BT22" i="2"/>
  <c r="BN22" i="2"/>
  <c r="BV22" i="2"/>
  <c r="BR22" i="2"/>
  <c r="BX22" i="2"/>
  <c r="BW22" i="2"/>
  <c r="BL22" i="2"/>
  <c r="BJ22" i="2"/>
  <c r="BQ22" i="2"/>
  <c r="BG22" i="2"/>
  <c r="BK22" i="2"/>
  <c r="BM22" i="2"/>
  <c r="BU22" i="2"/>
  <c r="BO22" i="2"/>
  <c r="BY22" i="2"/>
  <c r="BS22" i="2"/>
  <c r="BF22" i="2"/>
  <c r="D140" i="2"/>
  <c r="F119" i="2" a="1"/>
  <c r="F119" i="2" s="1"/>
  <c r="D115" i="2"/>
  <c r="D85" i="2"/>
  <c r="H19" i="2"/>
  <c r="E19" i="2" s="1"/>
  <c r="F176" i="2" l="1" a="1"/>
  <c r="F176" i="2" s="1"/>
  <c r="AK180" i="2"/>
  <c r="D179" i="2"/>
  <c r="CP22" i="2"/>
  <c r="CH22" i="2"/>
  <c r="CT22" i="2"/>
  <c r="CL22" i="2"/>
  <c r="CD22" i="2"/>
  <c r="CJ22" i="2"/>
  <c r="CS22" i="2"/>
  <c r="CI22" i="2"/>
  <c r="CR22" i="2"/>
  <c r="CG22" i="2"/>
  <c r="CQ22" i="2"/>
  <c r="CF22" i="2"/>
  <c r="CO22" i="2"/>
  <c r="CE22" i="2"/>
  <c r="CN22" i="2"/>
  <c r="CC22" i="2"/>
  <c r="CM22" i="2"/>
  <c r="CB22" i="2"/>
  <c r="CK22" i="2"/>
  <c r="CA22" i="2"/>
  <c r="BF23" i="2"/>
  <c r="BQ23" i="2"/>
  <c r="BT23" i="2"/>
  <c r="BU23" i="2"/>
  <c r="BX23" i="2"/>
  <c r="BM23" i="2"/>
  <c r="BY23" i="2"/>
  <c r="BK23" i="2"/>
  <c r="BL23" i="2"/>
  <c r="BV23" i="2"/>
  <c r="BI23" i="2"/>
  <c r="BS23" i="2"/>
  <c r="BP23" i="2"/>
  <c r="BJ23" i="2"/>
  <c r="BR23" i="2"/>
  <c r="BO23" i="2"/>
  <c r="BG23" i="2"/>
  <c r="BW23" i="2"/>
  <c r="BN23" i="2"/>
  <c r="BH23" i="2"/>
  <c r="D141" i="2"/>
  <c r="F120" i="2" a="1"/>
  <c r="F120" i="2" s="1"/>
  <c r="D116" i="2"/>
  <c r="D86" i="2"/>
  <c r="H20" i="2"/>
  <c r="E20" i="2" s="1"/>
  <c r="F177" i="2" l="1" a="1"/>
  <c r="F177" i="2" s="1"/>
  <c r="AK181" i="2"/>
  <c r="D180" i="2"/>
  <c r="CT23" i="2"/>
  <c r="CL23" i="2"/>
  <c r="CD23" i="2"/>
  <c r="CP23" i="2"/>
  <c r="CH23" i="2"/>
  <c r="CK23" i="2"/>
  <c r="CA23" i="2"/>
  <c r="CJ23" i="2"/>
  <c r="CS23" i="2"/>
  <c r="CI23" i="2"/>
  <c r="CR23" i="2"/>
  <c r="CG23" i="2"/>
  <c r="CQ23" i="2"/>
  <c r="CF23" i="2"/>
  <c r="CO23" i="2"/>
  <c r="CE23" i="2"/>
  <c r="CN23" i="2"/>
  <c r="CC23" i="2"/>
  <c r="CM23" i="2"/>
  <c r="CB23" i="2"/>
  <c r="BH24" i="2"/>
  <c r="BO24" i="2"/>
  <c r="BS24" i="2"/>
  <c r="BK24" i="2"/>
  <c r="BU24" i="2"/>
  <c r="BR24" i="2"/>
  <c r="BI24" i="2"/>
  <c r="BW24" i="2"/>
  <c r="BJ24" i="2"/>
  <c r="BV24" i="2"/>
  <c r="BM24" i="2"/>
  <c r="BQ24" i="2"/>
  <c r="BN24" i="2"/>
  <c r="BT24" i="2"/>
  <c r="BY24" i="2"/>
  <c r="BG24" i="2"/>
  <c r="BP24" i="2"/>
  <c r="BL24" i="2"/>
  <c r="BX24" i="2"/>
  <c r="BF24" i="2"/>
  <c r="F121" i="2" a="1"/>
  <c r="F121" i="2" s="1"/>
  <c r="D142" i="2"/>
  <c r="D117" i="2"/>
  <c r="D87" i="2"/>
  <c r="H21" i="2"/>
  <c r="E21" i="2" s="1"/>
  <c r="F179" i="2" l="1" a="1"/>
  <c r="F179" i="2" s="1"/>
  <c r="F180" i="2" s="1" a="1"/>
  <c r="F180" i="2" s="1"/>
  <c r="AK182" i="2"/>
  <c r="D181" i="2"/>
  <c r="CP24" i="2"/>
  <c r="CH24" i="2"/>
  <c r="CT24" i="2"/>
  <c r="CL24" i="2"/>
  <c r="CD24" i="2"/>
  <c r="CM24" i="2"/>
  <c r="CB24" i="2"/>
  <c r="CK24" i="2"/>
  <c r="CA24" i="2"/>
  <c r="CJ24" i="2"/>
  <c r="CS24" i="2"/>
  <c r="CI24" i="2"/>
  <c r="CR24" i="2"/>
  <c r="CG24" i="2"/>
  <c r="CQ24" i="2"/>
  <c r="CF24" i="2"/>
  <c r="CO24" i="2"/>
  <c r="CE24" i="2"/>
  <c r="CN24" i="2"/>
  <c r="CC24" i="2"/>
  <c r="F122" i="2" a="1"/>
  <c r="F122" i="2" s="1"/>
  <c r="F124" i="2" s="1" a="1"/>
  <c r="F124" i="2" s="1"/>
  <c r="BF25" i="2"/>
  <c r="BG25" i="2"/>
  <c r="BQ25" i="2"/>
  <c r="BW25" i="2"/>
  <c r="BK25" i="2"/>
  <c r="BM25" i="2"/>
  <c r="BS25" i="2"/>
  <c r="BL25" i="2"/>
  <c r="BT25" i="2"/>
  <c r="BV25" i="2"/>
  <c r="BR25" i="2"/>
  <c r="BO25" i="2"/>
  <c r="BX25" i="2"/>
  <c r="BI25" i="2"/>
  <c r="BY25" i="2"/>
  <c r="BP25" i="2"/>
  <c r="BN25" i="2"/>
  <c r="BJ25" i="2"/>
  <c r="BU25" i="2"/>
  <c r="BH25" i="2"/>
  <c r="D143" i="2"/>
  <c r="D118" i="2"/>
  <c r="D88" i="2"/>
  <c r="H22" i="2"/>
  <c r="E22" i="2" s="1"/>
  <c r="F181" i="2" l="1" a="1"/>
  <c r="F181" i="2" s="1"/>
  <c r="F182" i="2" s="1" a="1"/>
  <c r="F182" i="2" s="1"/>
  <c r="AK183" i="2"/>
  <c r="D182" i="2"/>
  <c r="CT25" i="2"/>
  <c r="CL25" i="2"/>
  <c r="CD25" i="2"/>
  <c r="CP25" i="2"/>
  <c r="CH25" i="2"/>
  <c r="CN25" i="2"/>
  <c r="CC25" i="2"/>
  <c r="CM25" i="2"/>
  <c r="CB25" i="2"/>
  <c r="CK25" i="2"/>
  <c r="CA25" i="2"/>
  <c r="CJ25" i="2"/>
  <c r="CS25" i="2"/>
  <c r="CI25" i="2"/>
  <c r="CR25" i="2"/>
  <c r="CG25" i="2"/>
  <c r="CQ25" i="2"/>
  <c r="CF25" i="2"/>
  <c r="CO25" i="2"/>
  <c r="CE25" i="2"/>
  <c r="BH26" i="2"/>
  <c r="BP26" i="2"/>
  <c r="BO26" i="2"/>
  <c r="BL26" i="2"/>
  <c r="BW26" i="2"/>
  <c r="BU26" i="2"/>
  <c r="BY26" i="2"/>
  <c r="BR26" i="2"/>
  <c r="BS26" i="2"/>
  <c r="BQ26" i="2"/>
  <c r="BJ26" i="2"/>
  <c r="BI26" i="2"/>
  <c r="BV26" i="2"/>
  <c r="BM26" i="2"/>
  <c r="BG26" i="2"/>
  <c r="BN26" i="2"/>
  <c r="BX26" i="2"/>
  <c r="BT26" i="2"/>
  <c r="BK26" i="2"/>
  <c r="BF26" i="2"/>
  <c r="F125" i="2" a="1"/>
  <c r="F125" i="2" s="1"/>
  <c r="D144" i="2"/>
  <c r="D119" i="2"/>
  <c r="D89" i="2"/>
  <c r="H23" i="2"/>
  <c r="E23" i="2" s="1"/>
  <c r="AK184" i="2" l="1"/>
  <c r="D183" i="2"/>
  <c r="CP26" i="2"/>
  <c r="CH26" i="2"/>
  <c r="CT26" i="2"/>
  <c r="CL26" i="2"/>
  <c r="CD26" i="2"/>
  <c r="CO26" i="2"/>
  <c r="CE26" i="2"/>
  <c r="CN26" i="2"/>
  <c r="CC26" i="2"/>
  <c r="CM26" i="2"/>
  <c r="CB26" i="2"/>
  <c r="CK26" i="2"/>
  <c r="CA26" i="2"/>
  <c r="CJ26" i="2"/>
  <c r="CS26" i="2"/>
  <c r="CI26" i="2"/>
  <c r="CR26" i="2"/>
  <c r="CG26" i="2"/>
  <c r="CQ26" i="2"/>
  <c r="CF26" i="2"/>
  <c r="F126" i="2" a="1"/>
  <c r="F126" i="2" s="1"/>
  <c r="F127" i="2" s="1" a="1"/>
  <c r="F127" i="2" s="1"/>
  <c r="BF27" i="2"/>
  <c r="BN27" i="2"/>
  <c r="BI27" i="2"/>
  <c r="BR27" i="2"/>
  <c r="BL27" i="2"/>
  <c r="BK27" i="2"/>
  <c r="BG27" i="2"/>
  <c r="BJ27" i="2"/>
  <c r="BY27" i="2"/>
  <c r="BO27" i="2"/>
  <c r="BT27" i="2"/>
  <c r="BM27" i="2"/>
  <c r="BQ27" i="2"/>
  <c r="BU27" i="2"/>
  <c r="BP27" i="2"/>
  <c r="BX27" i="2"/>
  <c r="BV27" i="2"/>
  <c r="BS27" i="2"/>
  <c r="BW27" i="2"/>
  <c r="BH27" i="2"/>
  <c r="D145" i="2"/>
  <c r="D120" i="2"/>
  <c r="D90" i="2"/>
  <c r="H24" i="2"/>
  <c r="E24" i="2" s="1"/>
  <c r="AK185" i="2" l="1"/>
  <c r="D184" i="2"/>
  <c r="CT27" i="2"/>
  <c r="CL27" i="2"/>
  <c r="CD27" i="2"/>
  <c r="CP27" i="2"/>
  <c r="CH27" i="2"/>
  <c r="CQ27" i="2"/>
  <c r="CF27" i="2"/>
  <c r="CO27" i="2"/>
  <c r="CE27" i="2"/>
  <c r="CN27" i="2"/>
  <c r="CC27" i="2"/>
  <c r="CM27" i="2"/>
  <c r="CB27" i="2"/>
  <c r="CK27" i="2"/>
  <c r="CA27" i="2"/>
  <c r="CJ27" i="2"/>
  <c r="CS27" i="2"/>
  <c r="CI27" i="2"/>
  <c r="CR27" i="2"/>
  <c r="CG27" i="2"/>
  <c r="BV28" i="2"/>
  <c r="BY28" i="2"/>
  <c r="BL28" i="2"/>
  <c r="BF28" i="2"/>
  <c r="BH28" i="2"/>
  <c r="BX28" i="2"/>
  <c r="BM28" i="2"/>
  <c r="BJ28" i="2"/>
  <c r="BR28" i="2"/>
  <c r="BQ28" i="2"/>
  <c r="BP28" i="2"/>
  <c r="BI28" i="2"/>
  <c r="BS28" i="2"/>
  <c r="BU28" i="2"/>
  <c r="BO28" i="2"/>
  <c r="BK28" i="2"/>
  <c r="BN28" i="2"/>
  <c r="BW28" i="2"/>
  <c r="BT28" i="2"/>
  <c r="BG28" i="2"/>
  <c r="F129" i="2" a="1"/>
  <c r="F129" i="2" s="1"/>
  <c r="D146" i="2"/>
  <c r="D121" i="2"/>
  <c r="D91" i="2"/>
  <c r="H25" i="2"/>
  <c r="E25" i="2" s="1"/>
  <c r="AK186" i="2" l="1"/>
  <c r="D185" i="2"/>
  <c r="CP28" i="2"/>
  <c r="CH28" i="2"/>
  <c r="CT28" i="2"/>
  <c r="CL28" i="2"/>
  <c r="CD28" i="2"/>
  <c r="CR28" i="2"/>
  <c r="CG28" i="2"/>
  <c r="CQ28" i="2"/>
  <c r="CF28" i="2"/>
  <c r="CO28" i="2"/>
  <c r="CE28" i="2"/>
  <c r="CN28" i="2"/>
  <c r="CC28" i="2"/>
  <c r="CM28" i="2"/>
  <c r="CB28" i="2"/>
  <c r="CK28" i="2"/>
  <c r="CA28" i="2"/>
  <c r="CJ28" i="2"/>
  <c r="CS28" i="2"/>
  <c r="CI28" i="2"/>
  <c r="BS29" i="2"/>
  <c r="BR29" i="2"/>
  <c r="BG29" i="2"/>
  <c r="BI29" i="2"/>
  <c r="BJ29" i="2"/>
  <c r="BT29" i="2"/>
  <c r="BO29" i="2"/>
  <c r="BP29" i="2"/>
  <c r="BM29" i="2"/>
  <c r="BL29" i="2"/>
  <c r="BN29" i="2"/>
  <c r="BH29" i="2"/>
  <c r="BV29" i="2"/>
  <c r="BK29" i="2"/>
  <c r="BF29" i="2"/>
  <c r="BW29" i="2"/>
  <c r="BU29" i="2"/>
  <c r="BQ29" i="2"/>
  <c r="BX29" i="2"/>
  <c r="BY29" i="2"/>
  <c r="F130" i="2" a="1"/>
  <c r="F130" i="2" s="1"/>
  <c r="D147" i="2"/>
  <c r="D122" i="2"/>
  <c r="D92" i="2"/>
  <c r="H26" i="2"/>
  <c r="E26" i="2" s="1"/>
  <c r="AK187" i="2" l="1"/>
  <c r="D186" i="2"/>
  <c r="CT29" i="2"/>
  <c r="CL29" i="2"/>
  <c r="CD29" i="2"/>
  <c r="CP29" i="2"/>
  <c r="CH29" i="2"/>
  <c r="CS29" i="2"/>
  <c r="CI29" i="2"/>
  <c r="CR29" i="2"/>
  <c r="CG29" i="2"/>
  <c r="CQ29" i="2"/>
  <c r="CF29" i="2"/>
  <c r="CO29" i="2"/>
  <c r="CE29" i="2"/>
  <c r="CN29" i="2"/>
  <c r="CC29" i="2"/>
  <c r="CM29" i="2"/>
  <c r="CB29" i="2"/>
  <c r="CK29" i="2"/>
  <c r="CA29" i="2"/>
  <c r="CJ29" i="2"/>
  <c r="BY30" i="2"/>
  <c r="BW30" i="2"/>
  <c r="BH30" i="2"/>
  <c r="BP30" i="2"/>
  <c r="BI30" i="2"/>
  <c r="BX30" i="2"/>
  <c r="BN30" i="2"/>
  <c r="BG30" i="2"/>
  <c r="BF30" i="2"/>
  <c r="BO30" i="2"/>
  <c r="BQ30" i="2"/>
  <c r="BK30" i="2"/>
  <c r="BL30" i="2"/>
  <c r="BT30" i="2"/>
  <c r="BR30" i="2"/>
  <c r="BU30" i="2"/>
  <c r="BV30" i="2"/>
  <c r="BM30" i="2"/>
  <c r="BJ30" i="2"/>
  <c r="BS30" i="2"/>
  <c r="F131" i="2" a="1"/>
  <c r="F131" i="2" s="1"/>
  <c r="D148" i="2"/>
  <c r="D123" i="2"/>
  <c r="D93" i="2"/>
  <c r="H27" i="2"/>
  <c r="E27" i="2" s="1"/>
  <c r="AK188" i="2" l="1"/>
  <c r="D187" i="2"/>
  <c r="CP30" i="2"/>
  <c r="CH30" i="2"/>
  <c r="CT30" i="2"/>
  <c r="CL30" i="2"/>
  <c r="CD30" i="2"/>
  <c r="CJ30" i="2"/>
  <c r="CS30" i="2"/>
  <c r="CI30" i="2"/>
  <c r="CR30" i="2"/>
  <c r="CG30" i="2"/>
  <c r="CQ30" i="2"/>
  <c r="CF30" i="2"/>
  <c r="CO30" i="2"/>
  <c r="CE30" i="2"/>
  <c r="CN30" i="2"/>
  <c r="CC30" i="2"/>
  <c r="CM30" i="2"/>
  <c r="CB30" i="2"/>
  <c r="CK30" i="2"/>
  <c r="CA30" i="2"/>
  <c r="D149" i="2"/>
  <c r="BS31" i="2"/>
  <c r="BU31" i="2"/>
  <c r="BK31" i="2"/>
  <c r="BG31" i="2"/>
  <c r="BP31" i="2"/>
  <c r="BJ31" i="2"/>
  <c r="BR31" i="2"/>
  <c r="BQ31" i="2"/>
  <c r="BN31" i="2"/>
  <c r="BH31" i="2"/>
  <c r="BM31" i="2"/>
  <c r="BT31" i="2"/>
  <c r="BO31" i="2"/>
  <c r="BX31" i="2"/>
  <c r="BW31" i="2"/>
  <c r="BV31" i="2"/>
  <c r="BL31" i="2"/>
  <c r="BF31" i="2"/>
  <c r="BI31" i="2"/>
  <c r="BY31" i="2"/>
  <c r="F132" i="2" a="1"/>
  <c r="F132" i="2" s="1"/>
  <c r="D94" i="2"/>
  <c r="H28" i="2"/>
  <c r="E28" i="2" s="1"/>
  <c r="AK189" i="2" l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D188" i="2"/>
  <c r="CT31" i="2"/>
  <c r="CL31" i="2"/>
  <c r="CD31" i="2"/>
  <c r="CP31" i="2"/>
  <c r="CH31" i="2"/>
  <c r="CK31" i="2"/>
  <c r="CA31" i="2"/>
  <c r="CJ31" i="2"/>
  <c r="CS31" i="2"/>
  <c r="CI31" i="2"/>
  <c r="CR31" i="2"/>
  <c r="CG31" i="2"/>
  <c r="CQ31" i="2"/>
  <c r="CF31" i="2"/>
  <c r="CO31" i="2"/>
  <c r="CE31" i="2"/>
  <c r="CN31" i="2"/>
  <c r="CC31" i="2"/>
  <c r="CM31" i="2"/>
  <c r="CB31" i="2"/>
  <c r="D150" i="2"/>
  <c r="BY32" i="2"/>
  <c r="BV32" i="2"/>
  <c r="BT32" i="2"/>
  <c r="BQ32" i="2"/>
  <c r="BG32" i="2"/>
  <c r="BI32" i="2"/>
  <c r="BW32" i="2"/>
  <c r="BM32" i="2"/>
  <c r="BR32" i="2"/>
  <c r="BK32" i="2"/>
  <c r="BF32" i="2"/>
  <c r="BX32" i="2"/>
  <c r="BH32" i="2"/>
  <c r="BJ32" i="2"/>
  <c r="BU32" i="2"/>
  <c r="BL32" i="2"/>
  <c r="BO32" i="2"/>
  <c r="BN32" i="2"/>
  <c r="BP32" i="2"/>
  <c r="BS32" i="2"/>
  <c r="F134" i="2" a="1"/>
  <c r="F134" i="2" s="1"/>
  <c r="D95" i="2"/>
  <c r="H29" i="2"/>
  <c r="CP32" i="2" l="1"/>
  <c r="CH32" i="2"/>
  <c r="CT32" i="2"/>
  <c r="CL32" i="2"/>
  <c r="CD32" i="2"/>
  <c r="CM32" i="2"/>
  <c r="CB32" i="2"/>
  <c r="CK32" i="2"/>
  <c r="CA32" i="2"/>
  <c r="CJ32" i="2"/>
  <c r="CS32" i="2"/>
  <c r="CI32" i="2"/>
  <c r="CR32" i="2"/>
  <c r="CG32" i="2"/>
  <c r="CQ32" i="2"/>
  <c r="CF32" i="2"/>
  <c r="CO32" i="2"/>
  <c r="CE32" i="2"/>
  <c r="CN32" i="2"/>
  <c r="CC32" i="2"/>
  <c r="D151" i="2"/>
  <c r="F135" i="2" a="1"/>
  <c r="F135" i="2" s="1"/>
  <c r="F136" i="2" s="1" a="1"/>
  <c r="F136" i="2" s="1"/>
  <c r="BH33" i="2"/>
  <c r="BG33" i="2"/>
  <c r="BO33" i="2"/>
  <c r="BR33" i="2"/>
  <c r="BY33" i="2"/>
  <c r="BS33" i="2"/>
  <c r="BL33" i="2"/>
  <c r="BX33" i="2"/>
  <c r="BM33" i="2"/>
  <c r="BQ33" i="2"/>
  <c r="BP33" i="2"/>
  <c r="BU33" i="2"/>
  <c r="BF33" i="2"/>
  <c r="BW33" i="2"/>
  <c r="BT33" i="2"/>
  <c r="BN33" i="2"/>
  <c r="BJ33" i="2"/>
  <c r="BK33" i="2"/>
  <c r="BI33" i="2"/>
  <c r="BV33" i="2"/>
  <c r="D96" i="2"/>
  <c r="H30" i="2"/>
  <c r="E30" i="2" s="1"/>
  <c r="E29" i="2"/>
  <c r="CM33" i="2" l="1"/>
  <c r="CE33" i="2"/>
  <c r="CT33" i="2"/>
  <c r="CL33" i="2"/>
  <c r="CD33" i="2"/>
  <c r="CQ33" i="2"/>
  <c r="CI33" i="2"/>
  <c r="CP33" i="2"/>
  <c r="CH33" i="2"/>
  <c r="CS33" i="2"/>
  <c r="CC33" i="2"/>
  <c r="CR33" i="2"/>
  <c r="CB33" i="2"/>
  <c r="CO33" i="2"/>
  <c r="CA33" i="2"/>
  <c r="CN33" i="2"/>
  <c r="CK33" i="2"/>
  <c r="CJ33" i="2"/>
  <c r="CG33" i="2"/>
  <c r="CF33" i="2"/>
  <c r="D152" i="2"/>
  <c r="BV34" i="2"/>
  <c r="BN34" i="2"/>
  <c r="BU34" i="2"/>
  <c r="BX34" i="2"/>
  <c r="BR34" i="2"/>
  <c r="BI34" i="2"/>
  <c r="BT34" i="2"/>
  <c r="BP34" i="2"/>
  <c r="BL34" i="2"/>
  <c r="BO34" i="2"/>
  <c r="BK34" i="2"/>
  <c r="BW34" i="2"/>
  <c r="BQ34" i="2"/>
  <c r="BS34" i="2"/>
  <c r="BG34" i="2"/>
  <c r="BJ34" i="2"/>
  <c r="BF34" i="2"/>
  <c r="BM34" i="2"/>
  <c r="BY34" i="2"/>
  <c r="BH34" i="2"/>
  <c r="F137" i="2" a="1"/>
  <c r="F137" i="2" s="1"/>
  <c r="D97" i="2"/>
  <c r="H31" i="2"/>
  <c r="E31" i="2" s="1"/>
  <c r="CR34" i="2" l="1"/>
  <c r="CJ34" i="2"/>
  <c r="CQ34" i="2"/>
  <c r="CI34" i="2"/>
  <c r="CA34" i="2"/>
  <c r="CP34" i="2"/>
  <c r="CH34" i="2"/>
  <c r="CM34" i="2"/>
  <c r="CE34" i="2"/>
  <c r="CT34" i="2"/>
  <c r="CL34" i="2"/>
  <c r="CD34" i="2"/>
  <c r="CS34" i="2"/>
  <c r="CO34" i="2"/>
  <c r="CN34" i="2"/>
  <c r="CK34" i="2"/>
  <c r="CG34" i="2"/>
  <c r="CF34" i="2"/>
  <c r="CC34" i="2"/>
  <c r="CB34" i="2"/>
  <c r="D153" i="2"/>
  <c r="BF35" i="2"/>
  <c r="BQ35" i="2"/>
  <c r="BL35" i="2"/>
  <c r="BR35" i="2"/>
  <c r="BV35" i="2"/>
  <c r="BH35" i="2"/>
  <c r="BW35" i="2"/>
  <c r="BP35" i="2"/>
  <c r="BX35" i="2"/>
  <c r="BY35" i="2"/>
  <c r="BG35" i="2"/>
  <c r="BK35" i="2"/>
  <c r="BT35" i="2"/>
  <c r="BU35" i="2"/>
  <c r="BJ35" i="2"/>
  <c r="BM35" i="2"/>
  <c r="BS35" i="2"/>
  <c r="BO35" i="2"/>
  <c r="BI35" i="2"/>
  <c r="BN35" i="2"/>
  <c r="F139" i="2" a="1"/>
  <c r="F139" i="2" s="1"/>
  <c r="D99" i="2"/>
  <c r="D98" i="2"/>
  <c r="H32" i="2"/>
  <c r="E32" i="2" s="1"/>
  <c r="CN35" i="2" l="1"/>
  <c r="CF35" i="2"/>
  <c r="CM35" i="2"/>
  <c r="CE35" i="2"/>
  <c r="CT35" i="2"/>
  <c r="CL35" i="2"/>
  <c r="CD35" i="2"/>
  <c r="CQ35" i="2"/>
  <c r="CI35" i="2"/>
  <c r="CA35" i="2"/>
  <c r="CP35" i="2"/>
  <c r="CH35" i="2"/>
  <c r="CS35" i="2"/>
  <c r="CR35" i="2"/>
  <c r="CO35" i="2"/>
  <c r="CK35" i="2"/>
  <c r="CJ35" i="2"/>
  <c r="CG35" i="2"/>
  <c r="CC35" i="2"/>
  <c r="CB35" i="2"/>
  <c r="D154" i="2"/>
  <c r="BS36" i="2"/>
  <c r="BF36" i="2"/>
  <c r="BX36" i="2"/>
  <c r="BN36" i="2"/>
  <c r="BM36" i="2"/>
  <c r="BP36" i="2"/>
  <c r="BR36" i="2"/>
  <c r="BT36" i="2"/>
  <c r="BI36" i="2"/>
  <c r="BJ36" i="2"/>
  <c r="BG36" i="2"/>
  <c r="BW36" i="2"/>
  <c r="BL36" i="2"/>
  <c r="BV36" i="2"/>
  <c r="BK36" i="2"/>
  <c r="BO36" i="2"/>
  <c r="BU36" i="2"/>
  <c r="BY36" i="2"/>
  <c r="BH36" i="2"/>
  <c r="BQ36" i="2"/>
  <c r="F140" i="2" a="1"/>
  <c r="F140" i="2" s="1"/>
  <c r="D100" i="2"/>
  <c r="H33" i="2"/>
  <c r="E33" i="2" s="1"/>
  <c r="CR36" i="2" l="1"/>
  <c r="CJ36" i="2"/>
  <c r="CB36" i="2"/>
  <c r="CQ36" i="2"/>
  <c r="CI36" i="2"/>
  <c r="CA36" i="2"/>
  <c r="CP36" i="2"/>
  <c r="CH36" i="2"/>
  <c r="CM36" i="2"/>
  <c r="CE36" i="2"/>
  <c r="CT36" i="2"/>
  <c r="CL36" i="2"/>
  <c r="CD36" i="2"/>
  <c r="CS36" i="2"/>
  <c r="CO36" i="2"/>
  <c r="CN36" i="2"/>
  <c r="CK36" i="2"/>
  <c r="CG36" i="2"/>
  <c r="CF36" i="2"/>
  <c r="CC36" i="2"/>
  <c r="D155" i="2"/>
  <c r="BI37" i="2"/>
  <c r="BQ37" i="2"/>
  <c r="BO37" i="2"/>
  <c r="BW37" i="2"/>
  <c r="BT37" i="2"/>
  <c r="BN37" i="2"/>
  <c r="BL37" i="2"/>
  <c r="BU37" i="2"/>
  <c r="BS37" i="2"/>
  <c r="BH37" i="2"/>
  <c r="BK37" i="2"/>
  <c r="BG37" i="2"/>
  <c r="BR37" i="2"/>
  <c r="BX37" i="2"/>
  <c r="BM37" i="2"/>
  <c r="BY37" i="2"/>
  <c r="BV37" i="2"/>
  <c r="BJ37" i="2"/>
  <c r="BP37" i="2"/>
  <c r="BF37" i="2"/>
  <c r="F141" i="2" a="1"/>
  <c r="F141" i="2" s="1"/>
  <c r="D101" i="2"/>
  <c r="H34" i="2"/>
  <c r="E34" i="2" s="1"/>
  <c r="CN37" i="2" l="1"/>
  <c r="CF37" i="2"/>
  <c r="CM37" i="2"/>
  <c r="CE37" i="2"/>
  <c r="CT37" i="2"/>
  <c r="CL37" i="2"/>
  <c r="CD37" i="2"/>
  <c r="CR37" i="2"/>
  <c r="CJ37" i="2"/>
  <c r="CB37" i="2"/>
  <c r="CQ37" i="2"/>
  <c r="CI37" i="2"/>
  <c r="CA37" i="2"/>
  <c r="CP37" i="2"/>
  <c r="CH37" i="2"/>
  <c r="CC37" i="2"/>
  <c r="CS37" i="2"/>
  <c r="CO37" i="2"/>
  <c r="CK37" i="2"/>
  <c r="CG37" i="2"/>
  <c r="D156" i="2"/>
  <c r="BF38" i="2"/>
  <c r="BY38" i="2"/>
  <c r="BG38" i="2"/>
  <c r="BU38" i="2"/>
  <c r="BW38" i="2"/>
  <c r="BL38" i="2"/>
  <c r="BP38" i="2"/>
  <c r="BO38" i="2"/>
  <c r="BJ38" i="2"/>
  <c r="BX38" i="2"/>
  <c r="BH38" i="2"/>
  <c r="BN38" i="2"/>
  <c r="BQ38" i="2"/>
  <c r="BM38" i="2"/>
  <c r="BK38" i="2"/>
  <c r="BV38" i="2"/>
  <c r="BR38" i="2"/>
  <c r="BS38" i="2"/>
  <c r="BT38" i="2"/>
  <c r="BI38" i="2"/>
  <c r="F142" i="2" a="1"/>
  <c r="F142" i="2" s="1"/>
  <c r="D103" i="2"/>
  <c r="D102" i="2"/>
  <c r="H35" i="2"/>
  <c r="E35" i="2" s="1"/>
  <c r="CR38" i="2" l="1"/>
  <c r="CJ38" i="2"/>
  <c r="CB38" i="2"/>
  <c r="CQ38" i="2"/>
  <c r="CI38" i="2"/>
  <c r="CA38" i="2"/>
  <c r="CP38" i="2"/>
  <c r="CH38" i="2"/>
  <c r="CN38" i="2"/>
  <c r="CF38" i="2"/>
  <c r="CM38" i="2"/>
  <c r="CE38" i="2"/>
  <c r="CT38" i="2"/>
  <c r="CL38" i="2"/>
  <c r="CD38" i="2"/>
  <c r="CO38" i="2"/>
  <c r="CK38" i="2"/>
  <c r="CG38" i="2"/>
  <c r="CC38" i="2"/>
  <c r="CS38" i="2"/>
  <c r="D157" i="2"/>
  <c r="F144" i="2" a="1"/>
  <c r="F144" i="2" s="1"/>
  <c r="F145" i="2" s="1" a="1"/>
  <c r="F145" i="2" s="1"/>
  <c r="BI39" i="2"/>
  <c r="BU39" i="2"/>
  <c r="BT39" i="2"/>
  <c r="BK39" i="2"/>
  <c r="BH39" i="2"/>
  <c r="BP39" i="2"/>
  <c r="BG39" i="2"/>
  <c r="BO39" i="2"/>
  <c r="BN39" i="2"/>
  <c r="BM39" i="2"/>
  <c r="BX39" i="2"/>
  <c r="BY39" i="2"/>
  <c r="BV39" i="2"/>
  <c r="BS39" i="2"/>
  <c r="BL39" i="2"/>
  <c r="BR39" i="2"/>
  <c r="BQ39" i="2"/>
  <c r="BJ39" i="2"/>
  <c r="BW39" i="2"/>
  <c r="BF39" i="2"/>
  <c r="H36" i="2"/>
  <c r="E36" i="2" s="1"/>
  <c r="CN39" i="2" l="1"/>
  <c r="CF39" i="2"/>
  <c r="CM39" i="2"/>
  <c r="CE39" i="2"/>
  <c r="CT39" i="2"/>
  <c r="CL39" i="2"/>
  <c r="CD39" i="2"/>
  <c r="CR39" i="2"/>
  <c r="CJ39" i="2"/>
  <c r="CB39" i="2"/>
  <c r="CQ39" i="2"/>
  <c r="CI39" i="2"/>
  <c r="CA39" i="2"/>
  <c r="CP39" i="2"/>
  <c r="CH39" i="2"/>
  <c r="CS39" i="2"/>
  <c r="CO39" i="2"/>
  <c r="CK39" i="2"/>
  <c r="CG39" i="2"/>
  <c r="CC39" i="2"/>
  <c r="D158" i="2"/>
  <c r="BF40" i="2"/>
  <c r="BR40" i="2"/>
  <c r="BY40" i="2"/>
  <c r="BO40" i="2"/>
  <c r="BK40" i="2"/>
  <c r="BL40" i="2"/>
  <c r="BW40" i="2"/>
  <c r="BT40" i="2"/>
  <c r="BJ40" i="2"/>
  <c r="BS40" i="2"/>
  <c r="BM40" i="2"/>
  <c r="BP40" i="2"/>
  <c r="BU40" i="2"/>
  <c r="BX40" i="2"/>
  <c r="BG40" i="2"/>
  <c r="BQ40" i="2"/>
  <c r="BV40" i="2"/>
  <c r="BN40" i="2"/>
  <c r="BH40" i="2"/>
  <c r="BI40" i="2"/>
  <c r="F146" i="2" a="1"/>
  <c r="F146" i="2" s="1"/>
  <c r="H37" i="2"/>
  <c r="E37" i="2" s="1"/>
  <c r="CR40" i="2" l="1"/>
  <c r="CJ40" i="2"/>
  <c r="CB40" i="2"/>
  <c r="CQ40" i="2"/>
  <c r="CI40" i="2"/>
  <c r="CA40" i="2"/>
  <c r="CP40" i="2"/>
  <c r="CH40" i="2"/>
  <c r="CN40" i="2"/>
  <c r="CF40" i="2"/>
  <c r="CM40" i="2"/>
  <c r="CE40" i="2"/>
  <c r="CT40" i="2"/>
  <c r="CL40" i="2"/>
  <c r="CD40" i="2"/>
  <c r="CG40" i="2"/>
  <c r="CC40" i="2"/>
  <c r="CS40" i="2"/>
  <c r="CO40" i="2"/>
  <c r="CK40" i="2"/>
  <c r="D159" i="2"/>
  <c r="F147" i="2" a="1"/>
  <c r="F147" i="2" s="1"/>
  <c r="BJ41" i="2"/>
  <c r="BF41" i="2"/>
  <c r="BI41" i="2"/>
  <c r="BQ41" i="2"/>
  <c r="BP41" i="2"/>
  <c r="BT41" i="2"/>
  <c r="BO41" i="2"/>
  <c r="BU41" i="2"/>
  <c r="BG41" i="2"/>
  <c r="BM41" i="2"/>
  <c r="BY41" i="2"/>
  <c r="BN41" i="2"/>
  <c r="BX41" i="2"/>
  <c r="BS41" i="2"/>
  <c r="BL41" i="2"/>
  <c r="BR41" i="2"/>
  <c r="BV41" i="2"/>
  <c r="BK41" i="2"/>
  <c r="BH41" i="2"/>
  <c r="BW41" i="2"/>
  <c r="H38" i="2"/>
  <c r="E38" i="2" s="1"/>
  <c r="CO41" i="2" l="1"/>
  <c r="CG41" i="2"/>
  <c r="CN41" i="2"/>
  <c r="CF41" i="2"/>
  <c r="CM41" i="2"/>
  <c r="CE41" i="2"/>
  <c r="CT41" i="2"/>
  <c r="CL41" i="2"/>
  <c r="CD41" i="2"/>
  <c r="CS41" i="2"/>
  <c r="CK41" i="2"/>
  <c r="CR41" i="2"/>
  <c r="CJ41" i="2"/>
  <c r="CB41" i="2"/>
  <c r="CQ41" i="2"/>
  <c r="CI41" i="2"/>
  <c r="CA41" i="2"/>
  <c r="CP41" i="2"/>
  <c r="CH41" i="2"/>
  <c r="CC41" i="2"/>
  <c r="D160" i="2"/>
  <c r="BW42" i="2"/>
  <c r="BR42" i="2"/>
  <c r="BN42" i="2"/>
  <c r="BU42" i="2"/>
  <c r="BQ42" i="2"/>
  <c r="BH42" i="2"/>
  <c r="BL42" i="2"/>
  <c r="BY42" i="2"/>
  <c r="BO42" i="2"/>
  <c r="BI42" i="2"/>
  <c r="BK42" i="2"/>
  <c r="BS42" i="2"/>
  <c r="BM42" i="2"/>
  <c r="BT42" i="2"/>
  <c r="BF42" i="2"/>
  <c r="BV42" i="2"/>
  <c r="BX42" i="2"/>
  <c r="BG42" i="2"/>
  <c r="BP42" i="2"/>
  <c r="BJ42" i="2"/>
  <c r="H39" i="2"/>
  <c r="E39" i="2" s="1"/>
  <c r="CS42" i="2" l="1"/>
  <c r="CK42" i="2"/>
  <c r="CC42" i="2"/>
  <c r="CR42" i="2"/>
  <c r="CJ42" i="2"/>
  <c r="CB42" i="2"/>
  <c r="CQ42" i="2"/>
  <c r="CI42" i="2"/>
  <c r="CA42" i="2"/>
  <c r="CP42" i="2"/>
  <c r="CH42" i="2"/>
  <c r="CO42" i="2"/>
  <c r="CG42" i="2"/>
  <c r="CN42" i="2"/>
  <c r="CF42" i="2"/>
  <c r="CM42" i="2"/>
  <c r="CE42" i="2"/>
  <c r="CT42" i="2"/>
  <c r="CL42" i="2"/>
  <c r="CD42" i="2"/>
  <c r="D161" i="2"/>
  <c r="BT43" i="2"/>
  <c r="BR43" i="2"/>
  <c r="BX43" i="2"/>
  <c r="BM43" i="2"/>
  <c r="BO43" i="2"/>
  <c r="BQ43" i="2"/>
  <c r="BW43" i="2"/>
  <c r="BJ43" i="2"/>
  <c r="BV43" i="2"/>
  <c r="BS43" i="2"/>
  <c r="BY43" i="2"/>
  <c r="BU43" i="2"/>
  <c r="BI43" i="2"/>
  <c r="BG43" i="2"/>
  <c r="BH43" i="2"/>
  <c r="BP43" i="2"/>
  <c r="BF43" i="2"/>
  <c r="BK43" i="2"/>
  <c r="BL43" i="2"/>
  <c r="BN43" i="2"/>
  <c r="H40" i="2"/>
  <c r="E40" i="2" s="1"/>
  <c r="CO43" i="2" l="1"/>
  <c r="CG43" i="2"/>
  <c r="CN43" i="2"/>
  <c r="CF43" i="2"/>
  <c r="CM43" i="2"/>
  <c r="CE43" i="2"/>
  <c r="CT43" i="2"/>
  <c r="CL43" i="2"/>
  <c r="CD43" i="2"/>
  <c r="CS43" i="2"/>
  <c r="CK43" i="2"/>
  <c r="CC43" i="2"/>
  <c r="CR43" i="2"/>
  <c r="CJ43" i="2"/>
  <c r="CB43" i="2"/>
  <c r="CQ43" i="2"/>
  <c r="CI43" i="2"/>
  <c r="CA43" i="2"/>
  <c r="CP43" i="2"/>
  <c r="CH43" i="2"/>
  <c r="D162" i="2"/>
  <c r="BF44" i="2"/>
  <c r="BV44" i="2"/>
  <c r="BT44" i="2"/>
  <c r="BN44" i="2"/>
  <c r="BP44" i="2"/>
  <c r="BU44" i="2"/>
  <c r="BJ44" i="2"/>
  <c r="BM44" i="2"/>
  <c r="BO44" i="2"/>
  <c r="BL44" i="2"/>
  <c r="BH44" i="2"/>
  <c r="BY44" i="2"/>
  <c r="BW44" i="2"/>
  <c r="BX44" i="2"/>
  <c r="BK44" i="2"/>
  <c r="BG44" i="2"/>
  <c r="BS44" i="2"/>
  <c r="BQ44" i="2"/>
  <c r="BR44" i="2"/>
  <c r="BI44" i="2"/>
  <c r="H41" i="2"/>
  <c r="E41" i="2" s="1"/>
  <c r="CS44" i="2" l="1"/>
  <c r="CK44" i="2"/>
  <c r="CC44" i="2"/>
  <c r="CR44" i="2"/>
  <c r="CJ44" i="2"/>
  <c r="CB44" i="2"/>
  <c r="CQ44" i="2"/>
  <c r="CI44" i="2"/>
  <c r="CA44" i="2"/>
  <c r="CP44" i="2"/>
  <c r="CH44" i="2"/>
  <c r="CO44" i="2"/>
  <c r="CG44" i="2"/>
  <c r="CN44" i="2"/>
  <c r="CF44" i="2"/>
  <c r="CM44" i="2"/>
  <c r="CE44" i="2"/>
  <c r="CT44" i="2"/>
  <c r="CL44" i="2"/>
  <c r="CD44" i="2"/>
  <c r="D163" i="2"/>
  <c r="BI45" i="2"/>
  <c r="BG45" i="2"/>
  <c r="BY45" i="2"/>
  <c r="BM45" i="2"/>
  <c r="BN45" i="2"/>
  <c r="BR45" i="2"/>
  <c r="BK45" i="2"/>
  <c r="BH45" i="2"/>
  <c r="BJ45" i="2"/>
  <c r="BT45" i="2"/>
  <c r="BQ45" i="2"/>
  <c r="BX45" i="2"/>
  <c r="BL45" i="2"/>
  <c r="BU45" i="2"/>
  <c r="BV45" i="2"/>
  <c r="BS45" i="2"/>
  <c r="BW45" i="2"/>
  <c r="BO45" i="2"/>
  <c r="BP45" i="2"/>
  <c r="BF45" i="2"/>
  <c r="H42" i="2"/>
  <c r="E42" i="2" s="1"/>
  <c r="CO45" i="2" l="1"/>
  <c r="CG45" i="2"/>
  <c r="CN45" i="2"/>
  <c r="CF45" i="2"/>
  <c r="CM45" i="2"/>
  <c r="CE45" i="2"/>
  <c r="CT45" i="2"/>
  <c r="CL45" i="2"/>
  <c r="CD45" i="2"/>
  <c r="CS45" i="2"/>
  <c r="CK45" i="2"/>
  <c r="CC45" i="2"/>
  <c r="CR45" i="2"/>
  <c r="CJ45" i="2"/>
  <c r="CB45" i="2"/>
  <c r="CQ45" i="2"/>
  <c r="CI45" i="2"/>
  <c r="CA45" i="2"/>
  <c r="CP45" i="2"/>
  <c r="CH45" i="2"/>
  <c r="BF46" i="2"/>
  <c r="BS46" i="2"/>
  <c r="BX46" i="2"/>
  <c r="BH46" i="2"/>
  <c r="BM46" i="2"/>
  <c r="BV46" i="2"/>
  <c r="BQ46" i="2"/>
  <c r="BK46" i="2"/>
  <c r="BY46" i="2"/>
  <c r="BO46" i="2"/>
  <c r="BU46" i="2"/>
  <c r="BT46" i="2"/>
  <c r="BR46" i="2"/>
  <c r="BG46" i="2"/>
  <c r="BP46" i="2"/>
  <c r="BW46" i="2"/>
  <c r="BL46" i="2"/>
  <c r="BJ46" i="2"/>
  <c r="BN46" i="2"/>
  <c r="BI46" i="2"/>
  <c r="H43" i="2"/>
  <c r="E43" i="2" s="1"/>
  <c r="CS46" i="2" l="1"/>
  <c r="CK46" i="2"/>
  <c r="CC46" i="2"/>
  <c r="CR46" i="2"/>
  <c r="CJ46" i="2"/>
  <c r="CB46" i="2"/>
  <c r="CQ46" i="2"/>
  <c r="CI46" i="2"/>
  <c r="CA46" i="2"/>
  <c r="CP46" i="2"/>
  <c r="CH46" i="2"/>
  <c r="CO46" i="2"/>
  <c r="CG46" i="2"/>
  <c r="CN46" i="2"/>
  <c r="CF46" i="2"/>
  <c r="CM46" i="2"/>
  <c r="CE46" i="2"/>
  <c r="CT46" i="2"/>
  <c r="CL46" i="2"/>
  <c r="CD46" i="2"/>
  <c r="BI47" i="2"/>
  <c r="BW47" i="2"/>
  <c r="BT47" i="2"/>
  <c r="BK47" i="2"/>
  <c r="BH47" i="2"/>
  <c r="BU47" i="2"/>
  <c r="BQ47" i="2"/>
  <c r="BJ47" i="2"/>
  <c r="BN47" i="2"/>
  <c r="BX47" i="2"/>
  <c r="BG47" i="2"/>
  <c r="BO47" i="2"/>
  <c r="BV47" i="2"/>
  <c r="BS47" i="2"/>
  <c r="BP47" i="2"/>
  <c r="BL47" i="2"/>
  <c r="BR47" i="2"/>
  <c r="BY47" i="2"/>
  <c r="BM47" i="2"/>
  <c r="BF47" i="2"/>
  <c r="H44" i="2"/>
  <c r="E44" i="2" s="1"/>
  <c r="CO47" i="2" l="1"/>
  <c r="CG47" i="2"/>
  <c r="CN47" i="2"/>
  <c r="CF47" i="2"/>
  <c r="CM47" i="2"/>
  <c r="CE47" i="2"/>
  <c r="CT47" i="2"/>
  <c r="CL47" i="2"/>
  <c r="CD47" i="2"/>
  <c r="CS47" i="2"/>
  <c r="CK47" i="2"/>
  <c r="CC47" i="2"/>
  <c r="CR47" i="2"/>
  <c r="CJ47" i="2"/>
  <c r="CB47" i="2"/>
  <c r="CQ47" i="2"/>
  <c r="CI47" i="2"/>
  <c r="CA47" i="2"/>
  <c r="CP47" i="2"/>
  <c r="CH47" i="2"/>
  <c r="BR48" i="2"/>
  <c r="BN48" i="2"/>
  <c r="BL48" i="2"/>
  <c r="BM48" i="2"/>
  <c r="BP48" i="2"/>
  <c r="BG48" i="2"/>
  <c r="BQ48" i="2"/>
  <c r="BT48" i="2"/>
  <c r="BH48" i="2"/>
  <c r="BF48" i="2"/>
  <c r="BJ48" i="2"/>
  <c r="BV48" i="2"/>
  <c r="BI48" i="2"/>
  <c r="BO48" i="2"/>
  <c r="BY48" i="2"/>
  <c r="BS48" i="2"/>
  <c r="BX48" i="2"/>
  <c r="BU48" i="2"/>
  <c r="BW48" i="2"/>
  <c r="BK48" i="2"/>
  <c r="H45" i="2"/>
  <c r="E45" i="2" s="1"/>
  <c r="CS48" i="2" l="1"/>
  <c r="CK48" i="2"/>
  <c r="CC48" i="2"/>
  <c r="CR48" i="2"/>
  <c r="CJ48" i="2"/>
  <c r="CB48" i="2"/>
  <c r="CQ48" i="2"/>
  <c r="CI48" i="2"/>
  <c r="CA48" i="2"/>
  <c r="CP48" i="2"/>
  <c r="CH48" i="2"/>
  <c r="CO48" i="2"/>
  <c r="CG48" i="2"/>
  <c r="CN48" i="2"/>
  <c r="CF48" i="2"/>
  <c r="CM48" i="2"/>
  <c r="CE48" i="2"/>
  <c r="CT48" i="2"/>
  <c r="CL48" i="2"/>
  <c r="CD48" i="2"/>
  <c r="BX49" i="2"/>
  <c r="BI49" i="2"/>
  <c r="BP49" i="2"/>
  <c r="BK49" i="2"/>
  <c r="BS49" i="2"/>
  <c r="BV49" i="2"/>
  <c r="BT49" i="2"/>
  <c r="BM49" i="2"/>
  <c r="BY49" i="2"/>
  <c r="BL49" i="2"/>
  <c r="BW49" i="2"/>
  <c r="BQ49" i="2"/>
  <c r="BU49" i="2"/>
  <c r="BO49" i="2"/>
  <c r="BF49" i="2"/>
  <c r="BG49" i="2"/>
  <c r="BN49" i="2"/>
  <c r="BJ49" i="2"/>
  <c r="BH49" i="2"/>
  <c r="BR49" i="2"/>
  <c r="H46" i="2"/>
  <c r="E46" i="2" s="1"/>
  <c r="CO49" i="2" l="1"/>
  <c r="CG49" i="2"/>
  <c r="CN49" i="2"/>
  <c r="CF49" i="2"/>
  <c r="CM49" i="2"/>
  <c r="CE49" i="2"/>
  <c r="CT49" i="2"/>
  <c r="CL49" i="2"/>
  <c r="CD49" i="2"/>
  <c r="CS49" i="2"/>
  <c r="CK49" i="2"/>
  <c r="CC49" i="2"/>
  <c r="CR49" i="2"/>
  <c r="CJ49" i="2"/>
  <c r="CB49" i="2"/>
  <c r="CQ49" i="2"/>
  <c r="CI49" i="2"/>
  <c r="CA49" i="2"/>
  <c r="CP49" i="2"/>
  <c r="CH49" i="2"/>
  <c r="BR50" i="2"/>
  <c r="BG50" i="2"/>
  <c r="BQ50" i="2"/>
  <c r="BM50" i="2"/>
  <c r="BK50" i="2"/>
  <c r="BH50" i="2"/>
  <c r="BF50" i="2"/>
  <c r="BW50" i="2"/>
  <c r="BT50" i="2"/>
  <c r="BP50" i="2"/>
  <c r="BJ50" i="2"/>
  <c r="BO50" i="2"/>
  <c r="BL50" i="2"/>
  <c r="BV50" i="2"/>
  <c r="BI50" i="2"/>
  <c r="BN50" i="2"/>
  <c r="BU50" i="2"/>
  <c r="BY50" i="2"/>
  <c r="BS50" i="2"/>
  <c r="BX50" i="2"/>
  <c r="H47" i="2"/>
  <c r="E47" i="2" s="1"/>
  <c r="CP50" i="2" l="1"/>
  <c r="CT50" i="2"/>
  <c r="CK50" i="2"/>
  <c r="CC50" i="2"/>
  <c r="CS50" i="2"/>
  <c r="CJ50" i="2"/>
  <c r="CB50" i="2"/>
  <c r="CR50" i="2"/>
  <c r="CI50" i="2"/>
  <c r="CA50" i="2"/>
  <c r="CQ50" i="2"/>
  <c r="CH50" i="2"/>
  <c r="CO50" i="2"/>
  <c r="CG50" i="2"/>
  <c r="CN50" i="2"/>
  <c r="CF50" i="2"/>
  <c r="CM50" i="2"/>
  <c r="CE50" i="2"/>
  <c r="CL50" i="2"/>
  <c r="CD50" i="2"/>
  <c r="BL51" i="2"/>
  <c r="BX51" i="2"/>
  <c r="BN51" i="2"/>
  <c r="BO51" i="2"/>
  <c r="BW51" i="2"/>
  <c r="BM51" i="2"/>
  <c r="BU51" i="2"/>
  <c r="BT51" i="2"/>
  <c r="BS51" i="2"/>
  <c r="BI51" i="2"/>
  <c r="BJ51" i="2"/>
  <c r="BF51" i="2"/>
  <c r="BQ51" i="2"/>
  <c r="BK51" i="2"/>
  <c r="BR51" i="2"/>
  <c r="BY51" i="2"/>
  <c r="BV51" i="2"/>
  <c r="BP51" i="2"/>
  <c r="BH51" i="2"/>
  <c r="BG51" i="2"/>
  <c r="H48" i="2"/>
  <c r="E48" i="2" s="1"/>
  <c r="CP51" i="2" l="1"/>
  <c r="CH51" i="2"/>
  <c r="CT51" i="2"/>
  <c r="CL51" i="2"/>
  <c r="CD51" i="2"/>
  <c r="CJ51" i="2"/>
  <c r="CS51" i="2"/>
  <c r="CI51" i="2"/>
  <c r="CR51" i="2"/>
  <c r="CG51" i="2"/>
  <c r="CQ51" i="2"/>
  <c r="CF51" i="2"/>
  <c r="CO51" i="2"/>
  <c r="CE51" i="2"/>
  <c r="CN51" i="2"/>
  <c r="CC51" i="2"/>
  <c r="CM51" i="2"/>
  <c r="CB51" i="2"/>
  <c r="CK51" i="2"/>
  <c r="CA51" i="2"/>
  <c r="BG52" i="2"/>
  <c r="BY52" i="2"/>
  <c r="BF52" i="2"/>
  <c r="BT52" i="2"/>
  <c r="BO52" i="2"/>
  <c r="BR52" i="2"/>
  <c r="BU52" i="2"/>
  <c r="BH52" i="2"/>
  <c r="BP52" i="2"/>
  <c r="BK52" i="2"/>
  <c r="BI52" i="2"/>
  <c r="BM52" i="2"/>
  <c r="BX52" i="2"/>
  <c r="BJ52" i="2"/>
  <c r="BN52" i="2"/>
  <c r="BV52" i="2"/>
  <c r="BQ52" i="2"/>
  <c r="BS52" i="2"/>
  <c r="BW52" i="2"/>
  <c r="BL52" i="2"/>
  <c r="H49" i="2"/>
  <c r="E49" i="2" s="1"/>
  <c r="CT52" i="2" l="1"/>
  <c r="CL52" i="2"/>
  <c r="CD52" i="2"/>
  <c r="CP52" i="2"/>
  <c r="CH52" i="2"/>
  <c r="CK52" i="2"/>
  <c r="CA52" i="2"/>
  <c r="CJ52" i="2"/>
  <c r="CS52" i="2"/>
  <c r="CI52" i="2"/>
  <c r="CR52" i="2"/>
  <c r="CG52" i="2"/>
  <c r="CQ52" i="2"/>
  <c r="CF52" i="2"/>
  <c r="CO52" i="2"/>
  <c r="CE52" i="2"/>
  <c r="CN52" i="2"/>
  <c r="CC52" i="2"/>
  <c r="CM52" i="2"/>
  <c r="CB52" i="2"/>
  <c r="BW53" i="2"/>
  <c r="BI53" i="2"/>
  <c r="BU53" i="2"/>
  <c r="BQ53" i="2"/>
  <c r="BX53" i="2"/>
  <c r="BP53" i="2"/>
  <c r="BO53" i="2"/>
  <c r="BG53" i="2"/>
  <c r="BL53" i="2"/>
  <c r="BV53" i="2"/>
  <c r="BM53" i="2"/>
  <c r="BH53" i="2"/>
  <c r="BT53" i="2"/>
  <c r="BN53" i="2"/>
  <c r="BF53" i="2"/>
  <c r="BS53" i="2"/>
  <c r="BJ53" i="2"/>
  <c r="BK53" i="2"/>
  <c r="BR53" i="2"/>
  <c r="BY53" i="2"/>
  <c r="H50" i="2"/>
  <c r="E50" i="2" s="1"/>
  <c r="CP53" i="2" l="1"/>
  <c r="CH53" i="2"/>
  <c r="CT53" i="2"/>
  <c r="CL53" i="2"/>
  <c r="CD53" i="2"/>
  <c r="CM53" i="2"/>
  <c r="CB53" i="2"/>
  <c r="CK53" i="2"/>
  <c r="CA53" i="2"/>
  <c r="CJ53" i="2"/>
  <c r="CS53" i="2"/>
  <c r="CI53" i="2"/>
  <c r="CR53" i="2"/>
  <c r="CG53" i="2"/>
  <c r="CQ53" i="2"/>
  <c r="CF53" i="2"/>
  <c r="CO53" i="2"/>
  <c r="CE53" i="2"/>
  <c r="CN53" i="2"/>
  <c r="CC53" i="2"/>
  <c r="BY54" i="2"/>
  <c r="BS54" i="2"/>
  <c r="BH54" i="2"/>
  <c r="BG54" i="2"/>
  <c r="BQ54" i="2"/>
  <c r="BF54" i="2"/>
  <c r="BO54" i="2"/>
  <c r="BK54" i="2"/>
  <c r="BN54" i="2"/>
  <c r="BV54" i="2"/>
  <c r="BP54" i="2"/>
  <c r="BI54" i="2"/>
  <c r="BU54" i="2"/>
  <c r="BR54" i="2"/>
  <c r="BM54" i="2"/>
  <c r="BJ54" i="2"/>
  <c r="BT54" i="2"/>
  <c r="BL54" i="2"/>
  <c r="BX54" i="2"/>
  <c r="BW54" i="2"/>
  <c r="H51" i="2"/>
  <c r="E51" i="2" s="1"/>
  <c r="CT54" i="2" l="1"/>
  <c r="CL54" i="2"/>
  <c r="CD54" i="2"/>
  <c r="CP54" i="2"/>
  <c r="CH54" i="2"/>
  <c r="CN54" i="2"/>
  <c r="CC54" i="2"/>
  <c r="CM54" i="2"/>
  <c r="CB54" i="2"/>
  <c r="CK54" i="2"/>
  <c r="CA54" i="2"/>
  <c r="CJ54" i="2"/>
  <c r="CS54" i="2"/>
  <c r="CI54" i="2"/>
  <c r="CR54" i="2"/>
  <c r="CG54" i="2"/>
  <c r="CQ54" i="2"/>
  <c r="CF54" i="2"/>
  <c r="CO54" i="2"/>
  <c r="CE54" i="2"/>
  <c r="BN55" i="2"/>
  <c r="BW55" i="2"/>
  <c r="BJ55" i="2"/>
  <c r="BI55" i="2"/>
  <c r="BK55" i="2"/>
  <c r="BG55" i="2"/>
  <c r="BU55" i="2"/>
  <c r="BY55" i="2"/>
  <c r="BX55" i="2"/>
  <c r="BM55" i="2"/>
  <c r="BP55" i="2"/>
  <c r="BO55" i="2"/>
  <c r="BH55" i="2"/>
  <c r="BT55" i="2"/>
  <c r="BQ55" i="2"/>
  <c r="BL55" i="2"/>
  <c r="BR55" i="2"/>
  <c r="BV55" i="2"/>
  <c r="BF55" i="2"/>
  <c r="BS55" i="2"/>
  <c r="H52" i="2"/>
  <c r="E52" i="2" s="1"/>
  <c r="CP55" i="2" l="1"/>
  <c r="CH55" i="2"/>
  <c r="CT55" i="2"/>
  <c r="CL55" i="2"/>
  <c r="CD55" i="2"/>
  <c r="CO55" i="2"/>
  <c r="CE55" i="2"/>
  <c r="CN55" i="2"/>
  <c r="CC55" i="2"/>
  <c r="CM55" i="2"/>
  <c r="CB55" i="2"/>
  <c r="CK55" i="2"/>
  <c r="CA55" i="2"/>
  <c r="CJ55" i="2"/>
  <c r="CS55" i="2"/>
  <c r="CI55" i="2"/>
  <c r="CR55" i="2"/>
  <c r="CG55" i="2"/>
  <c r="CQ55" i="2"/>
  <c r="CF55" i="2"/>
  <c r="BR56" i="2"/>
  <c r="BH56" i="2"/>
  <c r="BX56" i="2"/>
  <c r="BK56" i="2"/>
  <c r="BN56" i="2"/>
  <c r="BS56" i="2"/>
  <c r="BL56" i="2"/>
  <c r="BO56" i="2"/>
  <c r="BY56" i="2"/>
  <c r="BI56" i="2"/>
  <c r="BF56" i="2"/>
  <c r="BQ56" i="2"/>
  <c r="BP56" i="2"/>
  <c r="BU56" i="2"/>
  <c r="BJ56" i="2"/>
  <c r="BV56" i="2"/>
  <c r="BT56" i="2"/>
  <c r="BM56" i="2"/>
  <c r="BG56" i="2"/>
  <c r="BW56" i="2"/>
  <c r="H53" i="2"/>
  <c r="E53" i="2" s="1"/>
  <c r="CT56" i="2" l="1"/>
  <c r="CL56" i="2"/>
  <c r="CD56" i="2"/>
  <c r="CP56" i="2"/>
  <c r="CH56" i="2"/>
  <c r="CQ56" i="2"/>
  <c r="CF56" i="2"/>
  <c r="CO56" i="2"/>
  <c r="CE56" i="2"/>
  <c r="CN56" i="2"/>
  <c r="CC56" i="2"/>
  <c r="CM56" i="2"/>
  <c r="CB56" i="2"/>
  <c r="CK56" i="2"/>
  <c r="CA56" i="2"/>
  <c r="CJ56" i="2"/>
  <c r="CS56" i="2"/>
  <c r="CI56" i="2"/>
  <c r="CR56" i="2"/>
  <c r="CG56" i="2"/>
  <c r="BW57" i="2"/>
  <c r="BV57" i="2"/>
  <c r="BQ57" i="2"/>
  <c r="BO57" i="2"/>
  <c r="BK57" i="2"/>
  <c r="BG57" i="2"/>
  <c r="BL57" i="2"/>
  <c r="BM57" i="2"/>
  <c r="BU57" i="2"/>
  <c r="BI57" i="2"/>
  <c r="BS57" i="2"/>
  <c r="BH57" i="2"/>
  <c r="BX57" i="2"/>
  <c r="BJ57" i="2"/>
  <c r="BF57" i="2"/>
  <c r="BT57" i="2"/>
  <c r="BP57" i="2"/>
  <c r="BY57" i="2"/>
  <c r="BN57" i="2"/>
  <c r="BR57" i="2"/>
  <c r="H54" i="2"/>
  <c r="E54" i="2" s="1"/>
  <c r="CP57" i="2" l="1"/>
  <c r="CH57" i="2"/>
  <c r="CT57" i="2"/>
  <c r="CL57" i="2"/>
  <c r="CD57" i="2"/>
  <c r="CR57" i="2"/>
  <c r="CG57" i="2"/>
  <c r="CQ57" i="2"/>
  <c r="CF57" i="2"/>
  <c r="CO57" i="2"/>
  <c r="CE57" i="2"/>
  <c r="CN57" i="2"/>
  <c r="CC57" i="2"/>
  <c r="CM57" i="2"/>
  <c r="CB57" i="2"/>
  <c r="CK57" i="2"/>
  <c r="CA57" i="2"/>
  <c r="CJ57" i="2"/>
  <c r="CS57" i="2"/>
  <c r="CI57" i="2"/>
  <c r="BP58" i="2"/>
  <c r="BU58" i="2"/>
  <c r="BK58" i="2"/>
  <c r="BW58" i="2"/>
  <c r="BR58" i="2"/>
  <c r="BT58" i="2"/>
  <c r="BH58" i="2"/>
  <c r="BM58" i="2"/>
  <c r="BO58" i="2"/>
  <c r="BX58" i="2"/>
  <c r="BN58" i="2"/>
  <c r="BF58" i="2"/>
  <c r="BS58" i="2"/>
  <c r="BL58" i="2"/>
  <c r="BQ58" i="2"/>
  <c r="BY58" i="2"/>
  <c r="BJ58" i="2"/>
  <c r="BI58" i="2"/>
  <c r="BG58" i="2"/>
  <c r="BV58" i="2"/>
  <c r="H55" i="2"/>
  <c r="E55" i="2" s="1"/>
  <c r="CT58" i="2" l="1"/>
  <c r="CL58" i="2"/>
  <c r="CD58" i="2"/>
  <c r="CP58" i="2"/>
  <c r="CH58" i="2"/>
  <c r="CS58" i="2"/>
  <c r="CI58" i="2"/>
  <c r="CR58" i="2"/>
  <c r="CG58" i="2"/>
  <c r="CQ58" i="2"/>
  <c r="CF58" i="2"/>
  <c r="CO58" i="2"/>
  <c r="CE58" i="2"/>
  <c r="CN58" i="2"/>
  <c r="CC58" i="2"/>
  <c r="CM58" i="2"/>
  <c r="CB58" i="2"/>
  <c r="CK58" i="2"/>
  <c r="CA58" i="2"/>
  <c r="CJ58" i="2"/>
  <c r="BV59" i="2"/>
  <c r="BY59" i="2"/>
  <c r="BF59" i="2"/>
  <c r="BM59" i="2"/>
  <c r="BW59" i="2"/>
  <c r="BH59" i="2"/>
  <c r="BG59" i="2"/>
  <c r="BN59" i="2"/>
  <c r="BI59" i="2"/>
  <c r="BL59" i="2"/>
  <c r="BX59" i="2"/>
  <c r="BT59" i="2"/>
  <c r="BU59" i="2"/>
  <c r="BQ59" i="2"/>
  <c r="BK59" i="2"/>
  <c r="BJ59" i="2"/>
  <c r="BS59" i="2"/>
  <c r="BO59" i="2"/>
  <c r="BR59" i="2"/>
  <c r="BP59" i="2"/>
  <c r="H56" i="2"/>
  <c r="E56" i="2" s="1"/>
  <c r="CP59" i="2" l="1"/>
  <c r="CH59" i="2"/>
  <c r="CT59" i="2"/>
  <c r="CL59" i="2"/>
  <c r="CD59" i="2"/>
  <c r="CJ59" i="2"/>
  <c r="CS59" i="2"/>
  <c r="CI59" i="2"/>
  <c r="CR59" i="2"/>
  <c r="CG59" i="2"/>
  <c r="CQ59" i="2"/>
  <c r="CF59" i="2"/>
  <c r="CO59" i="2"/>
  <c r="CE59" i="2"/>
  <c r="CN59" i="2"/>
  <c r="CC59" i="2"/>
  <c r="CM59" i="2"/>
  <c r="CB59" i="2"/>
  <c r="CK59" i="2"/>
  <c r="CA59" i="2"/>
  <c r="BP60" i="2"/>
  <c r="BJ60" i="2"/>
  <c r="BT60" i="2"/>
  <c r="BN60" i="2"/>
  <c r="BM60" i="2"/>
  <c r="BX60" i="2"/>
  <c r="BF60" i="2"/>
  <c r="BO60" i="2"/>
  <c r="BQ60" i="2"/>
  <c r="BL60" i="2"/>
  <c r="BH60" i="2"/>
  <c r="BY60" i="2"/>
  <c r="BR60" i="2"/>
  <c r="BG60" i="2"/>
  <c r="BK60" i="2"/>
  <c r="BS60" i="2"/>
  <c r="BU60" i="2"/>
  <c r="BI60" i="2"/>
  <c r="BW60" i="2"/>
  <c r="BV60" i="2"/>
  <c r="H57" i="2"/>
  <c r="E57" i="2" s="1"/>
  <c r="CT60" i="2" l="1"/>
  <c r="CL60" i="2"/>
  <c r="CD60" i="2"/>
  <c r="CP60" i="2"/>
  <c r="CH60" i="2"/>
  <c r="CK60" i="2"/>
  <c r="CA60" i="2"/>
  <c r="CJ60" i="2"/>
  <c r="CS60" i="2"/>
  <c r="CI60" i="2"/>
  <c r="CR60" i="2"/>
  <c r="CG60" i="2"/>
  <c r="CQ60" i="2"/>
  <c r="CF60" i="2"/>
  <c r="CO60" i="2"/>
  <c r="CE60" i="2"/>
  <c r="CN60" i="2"/>
  <c r="CC60" i="2"/>
  <c r="CM60" i="2"/>
  <c r="CB60" i="2"/>
  <c r="BV61" i="2"/>
  <c r="BS61" i="2"/>
  <c r="BY61" i="2"/>
  <c r="BO61" i="2"/>
  <c r="BN61" i="2"/>
  <c r="BF61" i="2"/>
  <c r="BK61" i="2"/>
  <c r="BT61" i="2"/>
  <c r="BI61" i="2"/>
  <c r="BG61" i="2"/>
  <c r="BL61" i="2"/>
  <c r="BX61" i="2"/>
  <c r="BJ61" i="2"/>
  <c r="BW61" i="2"/>
  <c r="BH61" i="2"/>
  <c r="BU61" i="2"/>
  <c r="BR61" i="2"/>
  <c r="BQ61" i="2"/>
  <c r="BM61" i="2"/>
  <c r="BP61" i="2"/>
  <c r="H58" i="2"/>
  <c r="E58" i="2" s="1"/>
  <c r="CP61" i="2" l="1"/>
  <c r="CH61" i="2"/>
  <c r="CT61" i="2"/>
  <c r="CL61" i="2"/>
  <c r="CD61" i="2"/>
  <c r="CM61" i="2"/>
  <c r="CB61" i="2"/>
  <c r="CK61" i="2"/>
  <c r="CA61" i="2"/>
  <c r="CJ61" i="2"/>
  <c r="CS61" i="2"/>
  <c r="CI61" i="2"/>
  <c r="CR61" i="2"/>
  <c r="CG61" i="2"/>
  <c r="CQ61" i="2"/>
  <c r="CF61" i="2"/>
  <c r="CO61" i="2"/>
  <c r="CE61" i="2"/>
  <c r="CN61" i="2"/>
  <c r="CC61" i="2"/>
  <c r="BP62" i="2"/>
  <c r="BM62" i="2"/>
  <c r="BH62" i="2"/>
  <c r="BL62" i="2"/>
  <c r="BK62" i="2"/>
  <c r="BY62" i="2"/>
  <c r="BU62" i="2"/>
  <c r="BO62" i="2"/>
  <c r="BT62" i="2"/>
  <c r="BQ62" i="2"/>
  <c r="BW62" i="2"/>
  <c r="BG62" i="2"/>
  <c r="BF62" i="2"/>
  <c r="BS62" i="2"/>
  <c r="BX62" i="2"/>
  <c r="BR62" i="2"/>
  <c r="BJ62" i="2"/>
  <c r="BI62" i="2"/>
  <c r="BN62" i="2"/>
  <c r="BV62" i="2"/>
  <c r="H59" i="2"/>
  <c r="E59" i="2" s="1"/>
  <c r="CT62" i="2" l="1"/>
  <c r="CL62" i="2"/>
  <c r="CD62" i="2"/>
  <c r="CP62" i="2"/>
  <c r="CH62" i="2"/>
  <c r="CN62" i="2"/>
  <c r="CC62" i="2"/>
  <c r="CM62" i="2"/>
  <c r="CB62" i="2"/>
  <c r="CK62" i="2"/>
  <c r="CA62" i="2"/>
  <c r="CJ62" i="2"/>
  <c r="CS62" i="2"/>
  <c r="CI62" i="2"/>
  <c r="CR62" i="2"/>
  <c r="CG62" i="2"/>
  <c r="CQ62" i="2"/>
  <c r="CF62" i="2"/>
  <c r="CO62" i="2"/>
  <c r="CE62" i="2"/>
  <c r="BO63" i="2"/>
  <c r="BV63" i="2"/>
  <c r="BX63" i="2"/>
  <c r="BU63" i="2"/>
  <c r="BH63" i="2"/>
  <c r="BL63" i="2"/>
  <c r="BW63" i="2"/>
  <c r="BG63" i="2"/>
  <c r="BI63" i="2"/>
  <c r="BS63" i="2"/>
  <c r="BQ63" i="2"/>
  <c r="BY63" i="2"/>
  <c r="BM63" i="2"/>
  <c r="BR63" i="2"/>
  <c r="BN63" i="2"/>
  <c r="BJ63" i="2"/>
  <c r="BF63" i="2"/>
  <c r="BT63" i="2"/>
  <c r="BK63" i="2"/>
  <c r="BP63" i="2"/>
  <c r="H60" i="2"/>
  <c r="E60" i="2" s="1"/>
  <c r="CP63" i="2" l="1"/>
  <c r="CH63" i="2"/>
  <c r="CT63" i="2"/>
  <c r="CL63" i="2"/>
  <c r="CD63" i="2"/>
  <c r="CO63" i="2"/>
  <c r="CE63" i="2"/>
  <c r="CN63" i="2"/>
  <c r="CC63" i="2"/>
  <c r="CM63" i="2"/>
  <c r="CB63" i="2"/>
  <c r="CK63" i="2"/>
  <c r="CA63" i="2"/>
  <c r="CJ63" i="2"/>
  <c r="CS63" i="2"/>
  <c r="CI63" i="2"/>
  <c r="CR63" i="2"/>
  <c r="CG63" i="2"/>
  <c r="CQ63" i="2"/>
  <c r="CF63" i="2"/>
  <c r="BY64" i="2"/>
  <c r="BU64" i="2"/>
  <c r="BJ64" i="2"/>
  <c r="BK64" i="2"/>
  <c r="BN64" i="2"/>
  <c r="BQ64" i="2"/>
  <c r="BW64" i="2"/>
  <c r="BX64" i="2"/>
  <c r="BG64" i="2"/>
  <c r="BT64" i="2"/>
  <c r="BR64" i="2"/>
  <c r="BS64" i="2"/>
  <c r="BL64" i="2"/>
  <c r="BV64" i="2"/>
  <c r="BP64" i="2"/>
  <c r="BF64" i="2"/>
  <c r="BM64" i="2"/>
  <c r="BI64" i="2"/>
  <c r="BH64" i="2"/>
  <c r="BO64" i="2"/>
  <c r="H61" i="2"/>
  <c r="E61" i="2" s="1"/>
  <c r="CT64" i="2" l="1"/>
  <c r="CL64" i="2"/>
  <c r="CD64" i="2"/>
  <c r="CP64" i="2"/>
  <c r="CH64" i="2"/>
  <c r="CQ64" i="2"/>
  <c r="CF64" i="2"/>
  <c r="CO64" i="2"/>
  <c r="CE64" i="2"/>
  <c r="CN64" i="2"/>
  <c r="CC64" i="2"/>
  <c r="CM64" i="2"/>
  <c r="CB64" i="2"/>
  <c r="CK64" i="2"/>
  <c r="CA64" i="2"/>
  <c r="CJ64" i="2"/>
  <c r="CS64" i="2"/>
  <c r="CI64" i="2"/>
  <c r="CR64" i="2"/>
  <c r="CG64" i="2"/>
  <c r="BL65" i="2"/>
  <c r="BY65" i="2"/>
  <c r="BF65" i="2"/>
  <c r="BS65" i="2"/>
  <c r="BX65" i="2"/>
  <c r="BK65" i="2"/>
  <c r="BM65" i="2"/>
  <c r="BN65" i="2"/>
  <c r="BG65" i="2"/>
  <c r="BO65" i="2"/>
  <c r="BH65" i="2"/>
  <c r="BP65" i="2"/>
  <c r="BR65" i="2"/>
  <c r="BW65" i="2"/>
  <c r="BJ65" i="2"/>
  <c r="BI65" i="2"/>
  <c r="BV65" i="2"/>
  <c r="BT65" i="2"/>
  <c r="BQ65" i="2"/>
  <c r="BU65" i="2"/>
  <c r="H62" i="2"/>
  <c r="E62" i="2" s="1"/>
  <c r="CP65" i="2" l="1"/>
  <c r="CH65" i="2"/>
  <c r="CT65" i="2"/>
  <c r="CL65" i="2"/>
  <c r="CD65" i="2"/>
  <c r="CR65" i="2"/>
  <c r="CG65" i="2"/>
  <c r="CQ65" i="2"/>
  <c r="CF65" i="2"/>
  <c r="CO65" i="2"/>
  <c r="CE65" i="2"/>
  <c r="CN65" i="2"/>
  <c r="CC65" i="2"/>
  <c r="CM65" i="2"/>
  <c r="CB65" i="2"/>
  <c r="CK65" i="2"/>
  <c r="CA65" i="2"/>
  <c r="CJ65" i="2"/>
  <c r="CS65" i="2"/>
  <c r="CI65" i="2"/>
  <c r="BR66" i="2"/>
  <c r="BX66" i="2"/>
  <c r="BU66" i="2"/>
  <c r="BI66" i="2"/>
  <c r="BP66" i="2"/>
  <c r="BN66" i="2"/>
  <c r="BS66" i="2"/>
  <c r="BJ66" i="2"/>
  <c r="BH66" i="2"/>
  <c r="BF66" i="2"/>
  <c r="BV66" i="2"/>
  <c r="BG66" i="2"/>
  <c r="BL66" i="2"/>
  <c r="BQ66" i="2"/>
  <c r="BM66" i="2"/>
  <c r="BT66" i="2"/>
  <c r="BW66" i="2"/>
  <c r="BO66" i="2"/>
  <c r="BK66" i="2"/>
  <c r="BY66" i="2"/>
  <c r="H63" i="2"/>
  <c r="E63" i="2" s="1"/>
  <c r="CT66" i="2" l="1"/>
  <c r="CL66" i="2"/>
  <c r="CD66" i="2"/>
  <c r="CP66" i="2"/>
  <c r="CH66" i="2"/>
  <c r="CS66" i="2"/>
  <c r="CI66" i="2"/>
  <c r="CR66" i="2"/>
  <c r="CG66" i="2"/>
  <c r="CQ66" i="2"/>
  <c r="CF66" i="2"/>
  <c r="CO66" i="2"/>
  <c r="CE66" i="2"/>
  <c r="CN66" i="2"/>
  <c r="CC66" i="2"/>
  <c r="CM66" i="2"/>
  <c r="CB66" i="2"/>
  <c r="CK66" i="2"/>
  <c r="CA66" i="2"/>
  <c r="CJ66" i="2"/>
  <c r="BT67" i="2"/>
  <c r="BI67" i="2"/>
  <c r="BY67" i="2"/>
  <c r="BG67" i="2"/>
  <c r="BJ67" i="2"/>
  <c r="BK67" i="2"/>
  <c r="BM67" i="2"/>
  <c r="BV67" i="2"/>
  <c r="BS67" i="2"/>
  <c r="BU67" i="2"/>
  <c r="BO67" i="2"/>
  <c r="BQ67" i="2"/>
  <c r="BF67" i="2"/>
  <c r="BN67" i="2"/>
  <c r="BX67" i="2"/>
  <c r="BW67" i="2"/>
  <c r="BL67" i="2"/>
  <c r="BH67" i="2"/>
  <c r="BP67" i="2"/>
  <c r="BR67" i="2"/>
  <c r="H64" i="2"/>
  <c r="E64" i="2" s="1"/>
  <c r="CP67" i="2" l="1"/>
  <c r="CH67" i="2"/>
  <c r="CT67" i="2"/>
  <c r="CL67" i="2"/>
  <c r="CD67" i="2"/>
  <c r="CJ67" i="2"/>
  <c r="CS67" i="2"/>
  <c r="CI67" i="2"/>
  <c r="CR67" i="2"/>
  <c r="CG67" i="2"/>
  <c r="CQ67" i="2"/>
  <c r="CF67" i="2"/>
  <c r="CO67" i="2"/>
  <c r="CE67" i="2"/>
  <c r="CN67" i="2"/>
  <c r="CC67" i="2"/>
  <c r="CM67" i="2"/>
  <c r="CB67" i="2"/>
  <c r="CK67" i="2"/>
  <c r="CA67" i="2"/>
  <c r="BR68" i="2"/>
  <c r="BW68" i="2"/>
  <c r="BQ68" i="2"/>
  <c r="BV68" i="2"/>
  <c r="BG68" i="2"/>
  <c r="BP68" i="2"/>
  <c r="BY68" i="2"/>
  <c r="BX68" i="2"/>
  <c r="BM68" i="2"/>
  <c r="BH68" i="2"/>
  <c r="BN68" i="2"/>
  <c r="BU68" i="2"/>
  <c r="BK68" i="2"/>
  <c r="BI68" i="2"/>
  <c r="BO68" i="2"/>
  <c r="BL68" i="2"/>
  <c r="BF68" i="2"/>
  <c r="BS68" i="2"/>
  <c r="BJ68" i="2"/>
  <c r="BT68" i="2"/>
  <c r="H65" i="2"/>
  <c r="E65" i="2" s="1"/>
  <c r="CT68" i="2" l="1"/>
  <c r="CL68" i="2"/>
  <c r="CD68" i="2"/>
  <c r="CP68" i="2"/>
  <c r="CH68" i="2"/>
  <c r="CK68" i="2"/>
  <c r="CA68" i="2"/>
  <c r="CJ68" i="2"/>
  <c r="CS68" i="2"/>
  <c r="CI68" i="2"/>
  <c r="CR68" i="2"/>
  <c r="CG68" i="2"/>
  <c r="CQ68" i="2"/>
  <c r="CF68" i="2"/>
  <c r="CO68" i="2"/>
  <c r="CE68" i="2"/>
  <c r="CN68" i="2"/>
  <c r="CC68" i="2"/>
  <c r="CM68" i="2"/>
  <c r="CB68" i="2"/>
  <c r="BT69" i="2"/>
  <c r="BL69" i="2"/>
  <c r="BU69" i="2"/>
  <c r="BX69" i="2"/>
  <c r="BV69" i="2"/>
  <c r="BN69" i="2"/>
  <c r="BO69" i="2"/>
  <c r="BY69" i="2"/>
  <c r="BQ69" i="2"/>
  <c r="BS69" i="2"/>
  <c r="BI69" i="2"/>
  <c r="BH69" i="2"/>
  <c r="BP69" i="2"/>
  <c r="BW69" i="2"/>
  <c r="BJ69" i="2"/>
  <c r="BF69" i="2"/>
  <c r="BK69" i="2"/>
  <c r="BM69" i="2"/>
  <c r="BG69" i="2"/>
  <c r="BR69" i="2"/>
  <c r="H66" i="2"/>
  <c r="E66" i="2" s="1"/>
  <c r="CS69" i="2" l="1"/>
  <c r="CK69" i="2"/>
  <c r="CC69" i="2"/>
  <c r="CR69" i="2"/>
  <c r="CQ69" i="2"/>
  <c r="CP69" i="2"/>
  <c r="CH69" i="2"/>
  <c r="CO69" i="2"/>
  <c r="CG69" i="2"/>
  <c r="CT69" i="2"/>
  <c r="CL69" i="2"/>
  <c r="CD69" i="2"/>
  <c r="CB69" i="2"/>
  <c r="CA69" i="2"/>
  <c r="CN69" i="2"/>
  <c r="CM69" i="2"/>
  <c r="CJ69" i="2"/>
  <c r="CI69" i="2"/>
  <c r="CF69" i="2"/>
  <c r="CE69" i="2"/>
  <c r="BK70" i="2"/>
  <c r="BP70" i="2"/>
  <c r="BV70" i="2"/>
  <c r="BT70" i="2"/>
  <c r="BR70" i="2"/>
  <c r="BF70" i="2"/>
  <c r="BH70" i="2"/>
  <c r="BY70" i="2"/>
  <c r="BX70" i="2"/>
  <c r="BQ70" i="2"/>
  <c r="BJ70" i="2"/>
  <c r="BU70" i="2"/>
  <c r="BG70" i="2"/>
  <c r="BI70" i="2"/>
  <c r="BO70" i="2"/>
  <c r="BM70" i="2"/>
  <c r="BW70" i="2"/>
  <c r="BS70" i="2"/>
  <c r="BN70" i="2"/>
  <c r="BL70" i="2"/>
  <c r="H67" i="2"/>
  <c r="E67" i="2" s="1"/>
  <c r="CO70" i="2" l="1"/>
  <c r="CG70" i="2"/>
  <c r="CN70" i="2"/>
  <c r="CF70" i="2"/>
  <c r="CM70" i="2"/>
  <c r="CE70" i="2"/>
  <c r="CT70" i="2"/>
  <c r="CL70" i="2"/>
  <c r="CD70" i="2"/>
  <c r="CS70" i="2"/>
  <c r="CK70" i="2"/>
  <c r="CC70" i="2"/>
  <c r="CP70" i="2"/>
  <c r="CH70" i="2"/>
  <c r="CB70" i="2"/>
  <c r="CA70" i="2"/>
  <c r="CR70" i="2"/>
  <c r="CQ70" i="2"/>
  <c r="CJ70" i="2"/>
  <c r="CI70" i="2"/>
  <c r="BN71" i="2"/>
  <c r="BJ71" i="2"/>
  <c r="BV71" i="2"/>
  <c r="BW71" i="2"/>
  <c r="BX71" i="2"/>
  <c r="BK71" i="2"/>
  <c r="BL71" i="2"/>
  <c r="BM71" i="2"/>
  <c r="BU71" i="2"/>
  <c r="BY71" i="2"/>
  <c r="BT71" i="2"/>
  <c r="BG71" i="2"/>
  <c r="BR71" i="2"/>
  <c r="BO71" i="2"/>
  <c r="BH71" i="2"/>
  <c r="BS71" i="2"/>
  <c r="BI71" i="2"/>
  <c r="BQ71" i="2"/>
  <c r="BF71" i="2"/>
  <c r="BP71" i="2"/>
  <c r="H69" i="2"/>
  <c r="H68" i="2"/>
  <c r="E68" i="2" s="1"/>
  <c r="CS71" i="2" l="1"/>
  <c r="CK71" i="2"/>
  <c r="CC71" i="2"/>
  <c r="CR71" i="2"/>
  <c r="CJ71" i="2"/>
  <c r="CB71" i="2"/>
  <c r="CQ71" i="2"/>
  <c r="CI71" i="2"/>
  <c r="CA71" i="2"/>
  <c r="CP71" i="2"/>
  <c r="CH71" i="2"/>
  <c r="CO71" i="2"/>
  <c r="CG71" i="2"/>
  <c r="CT71" i="2"/>
  <c r="CL71" i="2"/>
  <c r="CD71" i="2"/>
  <c r="CN71" i="2"/>
  <c r="CM71" i="2"/>
  <c r="CF71" i="2"/>
  <c r="CE71" i="2"/>
  <c r="BG72" i="2"/>
  <c r="BM72" i="2"/>
  <c r="BW72" i="2"/>
  <c r="BF72" i="2"/>
  <c r="BL72" i="2"/>
  <c r="BV72" i="2"/>
  <c r="BT72" i="2"/>
  <c r="BP72" i="2"/>
  <c r="BH72" i="2"/>
  <c r="BQ72" i="2"/>
  <c r="BO72" i="2"/>
  <c r="BY72" i="2"/>
  <c r="BK72" i="2"/>
  <c r="BJ72" i="2"/>
  <c r="BS72" i="2"/>
  <c r="BI72" i="2"/>
  <c r="BR72" i="2"/>
  <c r="BU72" i="2"/>
  <c r="BX72" i="2"/>
  <c r="BN72" i="2"/>
  <c r="E69" i="2"/>
  <c r="H70" i="2"/>
  <c r="E70" i="2" s="1"/>
  <c r="CO72" i="2" l="1"/>
  <c r="CG72" i="2"/>
  <c r="CN72" i="2"/>
  <c r="CF72" i="2"/>
  <c r="CM72" i="2"/>
  <c r="CE72" i="2"/>
  <c r="CT72" i="2"/>
  <c r="CL72" i="2"/>
  <c r="CD72" i="2"/>
  <c r="CS72" i="2"/>
  <c r="CK72" i="2"/>
  <c r="CC72" i="2"/>
  <c r="CP72" i="2"/>
  <c r="CH72" i="2"/>
  <c r="CR72" i="2"/>
  <c r="CQ72" i="2"/>
  <c r="CJ72" i="2"/>
  <c r="CI72" i="2"/>
  <c r="CB72" i="2"/>
  <c r="CA72" i="2"/>
  <c r="BI73" i="2"/>
  <c r="BP73" i="2"/>
  <c r="BF73" i="2"/>
  <c r="BY73" i="2"/>
  <c r="BS73" i="2"/>
  <c r="BO73" i="2"/>
  <c r="BT73" i="2"/>
  <c r="BW73" i="2"/>
  <c r="BN73" i="2"/>
  <c r="BX73" i="2"/>
  <c r="BU73" i="2"/>
  <c r="BJ73" i="2"/>
  <c r="BQ73" i="2"/>
  <c r="BV73" i="2"/>
  <c r="BM73" i="2"/>
  <c r="BR73" i="2"/>
  <c r="BK73" i="2"/>
  <c r="BH73" i="2"/>
  <c r="BL73" i="2"/>
  <c r="BG73" i="2"/>
  <c r="H71" i="2"/>
  <c r="E71" i="2" s="1"/>
  <c r="CS73" i="2" l="1"/>
  <c r="CK73" i="2"/>
  <c r="CC73" i="2"/>
  <c r="CR73" i="2"/>
  <c r="CJ73" i="2"/>
  <c r="CB73" i="2"/>
  <c r="CQ73" i="2"/>
  <c r="CI73" i="2"/>
  <c r="CA73" i="2"/>
  <c r="CP73" i="2"/>
  <c r="CH73" i="2"/>
  <c r="CO73" i="2"/>
  <c r="CG73" i="2"/>
  <c r="CT73" i="2"/>
  <c r="CL73" i="2"/>
  <c r="CD73" i="2"/>
  <c r="CF73" i="2"/>
  <c r="CE73" i="2"/>
  <c r="CN73" i="2"/>
  <c r="CM73" i="2"/>
  <c r="BG74" i="2"/>
  <c r="BR74" i="2"/>
  <c r="BJ74" i="2"/>
  <c r="BW74" i="2"/>
  <c r="BY74" i="2"/>
  <c r="BM74" i="2"/>
  <c r="BF74" i="2"/>
  <c r="BL74" i="2"/>
  <c r="BH74" i="2"/>
  <c r="BV74" i="2"/>
  <c r="BX74" i="2"/>
  <c r="BO74" i="2"/>
  <c r="BP74" i="2"/>
  <c r="BT74" i="2"/>
  <c r="BU74" i="2"/>
  <c r="BK74" i="2"/>
  <c r="BQ74" i="2"/>
  <c r="BN74" i="2"/>
  <c r="BS74" i="2"/>
  <c r="BI74" i="2"/>
  <c r="H72" i="2"/>
  <c r="E72" i="2" s="1"/>
  <c r="CO74" i="2" l="1"/>
  <c r="CG74" i="2"/>
  <c r="CN74" i="2"/>
  <c r="CF74" i="2"/>
  <c r="CM74" i="2"/>
  <c r="CE74" i="2"/>
  <c r="CT74" i="2"/>
  <c r="CL74" i="2"/>
  <c r="CD74" i="2"/>
  <c r="CS74" i="2"/>
  <c r="CK74" i="2"/>
  <c r="CC74" i="2"/>
  <c r="CQ74" i="2"/>
  <c r="CP74" i="2"/>
  <c r="CH74" i="2"/>
  <c r="CR74" i="2"/>
  <c r="CJ74" i="2"/>
  <c r="CI74" i="2"/>
  <c r="CB74" i="2"/>
  <c r="CA74" i="2"/>
  <c r="BU75" i="2"/>
  <c r="BX75" i="2"/>
  <c r="BJ75" i="2"/>
  <c r="BQ75" i="2"/>
  <c r="BH75" i="2"/>
  <c r="BY75" i="2"/>
  <c r="BI75" i="2"/>
  <c r="BK75" i="2"/>
  <c r="BO75" i="2"/>
  <c r="BL75" i="2"/>
  <c r="BW75" i="2"/>
  <c r="BP75" i="2"/>
  <c r="BG75" i="2"/>
  <c r="BS75" i="2"/>
  <c r="BF75" i="2"/>
  <c r="BN75" i="2"/>
  <c r="BT75" i="2"/>
  <c r="BV75" i="2"/>
  <c r="BM75" i="2"/>
  <c r="BR75" i="2"/>
  <c r="H73" i="2"/>
  <c r="E73" i="2" s="1"/>
  <c r="CS75" i="2" l="1"/>
  <c r="CK75" i="2"/>
  <c r="CC75" i="2"/>
  <c r="CR75" i="2"/>
  <c r="CJ75" i="2"/>
  <c r="CB75" i="2"/>
  <c r="CQ75" i="2"/>
  <c r="CI75" i="2"/>
  <c r="CA75" i="2"/>
  <c r="CP75" i="2"/>
  <c r="CH75" i="2"/>
  <c r="CO75" i="2"/>
  <c r="CG75" i="2"/>
  <c r="CM75" i="2"/>
  <c r="CE75" i="2"/>
  <c r="CT75" i="2"/>
  <c r="CL75" i="2"/>
  <c r="CD75" i="2"/>
  <c r="CF75" i="2"/>
  <c r="CN75" i="2"/>
  <c r="BM76" i="2"/>
  <c r="BW76" i="2"/>
  <c r="BJ76" i="2"/>
  <c r="BT76" i="2"/>
  <c r="BH76" i="2"/>
  <c r="BN76" i="2"/>
  <c r="BP76" i="2"/>
  <c r="BK76" i="2"/>
  <c r="BQ76" i="2"/>
  <c r="BG76" i="2"/>
  <c r="BO76" i="2"/>
  <c r="BU76" i="2"/>
  <c r="BR76" i="2"/>
  <c r="BF76" i="2"/>
  <c r="BI76" i="2"/>
  <c r="BV76" i="2"/>
  <c r="BS76" i="2"/>
  <c r="BL76" i="2"/>
  <c r="BY76" i="2"/>
  <c r="BX76" i="2"/>
  <c r="H74" i="2"/>
  <c r="E74" i="2" s="1"/>
  <c r="CQ76" i="2" l="1"/>
  <c r="CO76" i="2"/>
  <c r="CG76" i="2"/>
  <c r="CN76" i="2"/>
  <c r="CF76" i="2"/>
  <c r="CM76" i="2"/>
  <c r="CE76" i="2"/>
  <c r="CL76" i="2"/>
  <c r="CD76" i="2"/>
  <c r="CT76" i="2"/>
  <c r="CK76" i="2"/>
  <c r="CC76" i="2"/>
  <c r="CR76" i="2"/>
  <c r="CI76" i="2"/>
  <c r="CA76" i="2"/>
  <c r="CP76" i="2"/>
  <c r="CH76" i="2"/>
  <c r="CS76" i="2"/>
  <c r="CJ76" i="2"/>
  <c r="CB76" i="2"/>
  <c r="BV77" i="2"/>
  <c r="BU77" i="2"/>
  <c r="BK77" i="2"/>
  <c r="BT77" i="2"/>
  <c r="BO77" i="2"/>
  <c r="BY77" i="2"/>
  <c r="BP77" i="2"/>
  <c r="BL77" i="2"/>
  <c r="BF77" i="2"/>
  <c r="BG77" i="2"/>
  <c r="BN77" i="2"/>
  <c r="BW77" i="2"/>
  <c r="BX77" i="2"/>
  <c r="BI77" i="2"/>
  <c r="BJ77" i="2"/>
  <c r="BS77" i="2"/>
  <c r="BR77" i="2"/>
  <c r="BQ77" i="2"/>
  <c r="BH77" i="2"/>
  <c r="BM77" i="2"/>
  <c r="H75" i="2"/>
  <c r="E75" i="2" s="1"/>
  <c r="CO77" i="2" l="1"/>
  <c r="CM77" i="2"/>
  <c r="CE77" i="2"/>
  <c r="CN77" i="2"/>
  <c r="CD77" i="2"/>
  <c r="CL77" i="2"/>
  <c r="CC77" i="2"/>
  <c r="CK77" i="2"/>
  <c r="CB77" i="2"/>
  <c r="CT77" i="2"/>
  <c r="CJ77" i="2"/>
  <c r="CA77" i="2"/>
  <c r="CS77" i="2"/>
  <c r="CI77" i="2"/>
  <c r="CQ77" i="2"/>
  <c r="CG77" i="2"/>
  <c r="CP77" i="2"/>
  <c r="CF77" i="2"/>
  <c r="CR77" i="2"/>
  <c r="CH77" i="2"/>
  <c r="BM78" i="2"/>
  <c r="BS78" i="2"/>
  <c r="BW78" i="2"/>
  <c r="BL78" i="2"/>
  <c r="BT78" i="2"/>
  <c r="BN78" i="2"/>
  <c r="BK78" i="2"/>
  <c r="BH78" i="2"/>
  <c r="BP78" i="2"/>
  <c r="BQ78" i="2"/>
  <c r="BI78" i="2"/>
  <c r="BG78" i="2"/>
  <c r="BY78" i="2"/>
  <c r="BU78" i="2"/>
  <c r="BJ78" i="2"/>
  <c r="BR78" i="2"/>
  <c r="BX78" i="2"/>
  <c r="BF78" i="2"/>
  <c r="BO78" i="2"/>
  <c r="BV78" i="2"/>
  <c r="H76" i="2"/>
  <c r="E76" i="2" s="1"/>
  <c r="CS78" i="2" l="1"/>
  <c r="CK78" i="2"/>
  <c r="CC78" i="2"/>
  <c r="CQ78" i="2"/>
  <c r="CI78" i="2"/>
  <c r="CA78" i="2"/>
  <c r="CO78" i="2"/>
  <c r="CE78" i="2"/>
  <c r="CN78" i="2"/>
  <c r="CD78" i="2"/>
  <c r="CM78" i="2"/>
  <c r="CB78" i="2"/>
  <c r="CL78" i="2"/>
  <c r="CJ78" i="2"/>
  <c r="CR78" i="2"/>
  <c r="CG78" i="2"/>
  <c r="CP78" i="2"/>
  <c r="CF78" i="2"/>
  <c r="CT78" i="2"/>
  <c r="CH78" i="2"/>
  <c r="BY79" i="2"/>
  <c r="BT79" i="2"/>
  <c r="BV79" i="2"/>
  <c r="BR79" i="2"/>
  <c r="BG79" i="2"/>
  <c r="BH79" i="2"/>
  <c r="BL79" i="2"/>
  <c r="BX79" i="2"/>
  <c r="BP79" i="2"/>
  <c r="BM79" i="2"/>
  <c r="BJ79" i="2"/>
  <c r="BK79" i="2"/>
  <c r="BW79" i="2"/>
  <c r="BO79" i="2"/>
  <c r="BI79" i="2"/>
  <c r="BF79" i="2"/>
  <c r="BU79" i="2"/>
  <c r="BQ79" i="2"/>
  <c r="BN79" i="2"/>
  <c r="BS79" i="2"/>
  <c r="H77" i="2"/>
  <c r="E77" i="2" s="1"/>
  <c r="CQ79" i="2" l="1"/>
  <c r="CI79" i="2"/>
  <c r="CO79" i="2"/>
  <c r="CG79" i="2"/>
  <c r="CM79" i="2"/>
  <c r="CE79" i="2"/>
  <c r="CR79" i="2"/>
  <c r="CJ79" i="2"/>
  <c r="CF79" i="2"/>
  <c r="CT79" i="2"/>
  <c r="CD79" i="2"/>
  <c r="CS79" i="2"/>
  <c r="CC79" i="2"/>
  <c r="CP79" i="2"/>
  <c r="CB79" i="2"/>
  <c r="CN79" i="2"/>
  <c r="CA79" i="2"/>
  <c r="CK79" i="2"/>
  <c r="CH79" i="2"/>
  <c r="CL79" i="2"/>
  <c r="BS80" i="2"/>
  <c r="BF80" i="2"/>
  <c r="BK80" i="2"/>
  <c r="BX80" i="2"/>
  <c r="BR80" i="2"/>
  <c r="BP80" i="2"/>
  <c r="BJ80" i="2"/>
  <c r="BU80" i="2"/>
  <c r="BY80" i="2"/>
  <c r="BI80" i="2"/>
  <c r="BL80" i="2"/>
  <c r="BV80" i="2"/>
  <c r="BQ80" i="2"/>
  <c r="BO80" i="2"/>
  <c r="BM80" i="2"/>
  <c r="BH80" i="2"/>
  <c r="BT80" i="2"/>
  <c r="BW80" i="2"/>
  <c r="BG80" i="2"/>
  <c r="BN80" i="2"/>
  <c r="H78" i="2"/>
  <c r="E78" i="2" s="1"/>
  <c r="CM80" i="2" l="1"/>
  <c r="CE80" i="2"/>
  <c r="CS80" i="2"/>
  <c r="CK80" i="2"/>
  <c r="CC80" i="2"/>
  <c r="CQ80" i="2"/>
  <c r="CI80" i="2"/>
  <c r="CA80" i="2"/>
  <c r="CN80" i="2"/>
  <c r="CF80" i="2"/>
  <c r="CR80" i="2"/>
  <c r="CB80" i="2"/>
  <c r="CP80" i="2"/>
  <c r="CO80" i="2"/>
  <c r="CL80" i="2"/>
  <c r="CJ80" i="2"/>
  <c r="CG80" i="2"/>
  <c r="CT80" i="2"/>
  <c r="CD80" i="2"/>
  <c r="CH80" i="2"/>
  <c r="BN81" i="2"/>
  <c r="BV81" i="2"/>
  <c r="BX81" i="2"/>
  <c r="BH81" i="2"/>
  <c r="BU81" i="2"/>
  <c r="BG81" i="2"/>
  <c r="BK81" i="2"/>
  <c r="BW81" i="2"/>
  <c r="BI81" i="2"/>
  <c r="BF81" i="2"/>
  <c r="BM81" i="2"/>
  <c r="BJ81" i="2"/>
  <c r="BO81" i="2"/>
  <c r="BP81" i="2"/>
  <c r="BL81" i="2"/>
  <c r="BT81" i="2"/>
  <c r="BQ81" i="2"/>
  <c r="BY81" i="2"/>
  <c r="BR81" i="2"/>
  <c r="BS81" i="2"/>
  <c r="H79" i="2"/>
  <c r="E79" i="2" s="1"/>
  <c r="CQ81" i="2" l="1"/>
  <c r="CI81" i="2"/>
  <c r="CA81" i="2"/>
  <c r="CO81" i="2"/>
  <c r="CG81" i="2"/>
  <c r="CM81" i="2"/>
  <c r="CE81" i="2"/>
  <c r="CR81" i="2"/>
  <c r="CJ81" i="2"/>
  <c r="CB81" i="2"/>
  <c r="CN81" i="2"/>
  <c r="CL81" i="2"/>
  <c r="CK81" i="2"/>
  <c r="CH81" i="2"/>
  <c r="CF81" i="2"/>
  <c r="CS81" i="2"/>
  <c r="CC81" i="2"/>
  <c r="CP81" i="2"/>
  <c r="CT81" i="2"/>
  <c r="CD81" i="2"/>
  <c r="BS82" i="2"/>
  <c r="BW82" i="2"/>
  <c r="BH82" i="2"/>
  <c r="BT82" i="2"/>
  <c r="BL82" i="2"/>
  <c r="BM82" i="2"/>
  <c r="BY82" i="2"/>
  <c r="BP82" i="2"/>
  <c r="BF82" i="2"/>
  <c r="BG82" i="2"/>
  <c r="BV82" i="2"/>
  <c r="BK82" i="2"/>
  <c r="BJ82" i="2"/>
  <c r="BR82" i="2"/>
  <c r="BX82" i="2"/>
  <c r="BQ82" i="2"/>
  <c r="BO82" i="2"/>
  <c r="BI82" i="2"/>
  <c r="BU82" i="2"/>
  <c r="BN82" i="2"/>
  <c r="H80" i="2"/>
  <c r="E80" i="2" s="1"/>
  <c r="CM82" i="2" l="1"/>
  <c r="CE82" i="2"/>
  <c r="CT82" i="2"/>
  <c r="CL82" i="2"/>
  <c r="CD82" i="2"/>
  <c r="CS82" i="2"/>
  <c r="CK82" i="2"/>
  <c r="CC82" i="2"/>
  <c r="CQ82" i="2"/>
  <c r="CI82" i="2"/>
  <c r="CA82" i="2"/>
  <c r="CN82" i="2"/>
  <c r="CF82" i="2"/>
  <c r="CO82" i="2"/>
  <c r="CJ82" i="2"/>
  <c r="CH82" i="2"/>
  <c r="CG82" i="2"/>
  <c r="CB82" i="2"/>
  <c r="CR82" i="2"/>
  <c r="CP82" i="2"/>
  <c r="BN83" i="2"/>
  <c r="BP83" i="2"/>
  <c r="BT83" i="2"/>
  <c r="BQ83" i="2"/>
  <c r="BX83" i="2"/>
  <c r="BH83" i="2"/>
  <c r="BI83" i="2"/>
  <c r="BR83" i="2"/>
  <c r="BG83" i="2"/>
  <c r="BM83" i="2"/>
  <c r="BW83" i="2"/>
  <c r="BY83" i="2"/>
  <c r="BK83" i="2"/>
  <c r="BU83" i="2"/>
  <c r="BV83" i="2"/>
  <c r="BO83" i="2"/>
  <c r="BJ83" i="2"/>
  <c r="BF83" i="2"/>
  <c r="BL83" i="2"/>
  <c r="BS83" i="2"/>
  <c r="H81" i="2"/>
  <c r="E81" i="2" s="1"/>
  <c r="CQ83" i="2" l="1"/>
  <c r="CI83" i="2"/>
  <c r="CA83" i="2"/>
  <c r="CP83" i="2"/>
  <c r="CH83" i="2"/>
  <c r="CO83" i="2"/>
  <c r="CG83" i="2"/>
  <c r="CM83" i="2"/>
  <c r="CE83" i="2"/>
  <c r="CR83" i="2"/>
  <c r="CJ83" i="2"/>
  <c r="CB83" i="2"/>
  <c r="CN83" i="2"/>
  <c r="CL83" i="2"/>
  <c r="CK83" i="2"/>
  <c r="CF83" i="2"/>
  <c r="CD83" i="2"/>
  <c r="CT83" i="2"/>
  <c r="CS83" i="2"/>
  <c r="CC83" i="2"/>
  <c r="BQ84" i="2"/>
  <c r="BY84" i="2"/>
  <c r="BI84" i="2"/>
  <c r="BS84" i="2"/>
  <c r="BW84" i="2"/>
  <c r="BF84" i="2"/>
  <c r="BU84" i="2"/>
  <c r="BM84" i="2"/>
  <c r="BH84" i="2"/>
  <c r="BP84" i="2"/>
  <c r="BO84" i="2"/>
  <c r="BL84" i="2"/>
  <c r="BR84" i="2"/>
  <c r="BV84" i="2"/>
  <c r="BT84" i="2"/>
  <c r="BJ84" i="2"/>
  <c r="BK84" i="2"/>
  <c r="BG84" i="2"/>
  <c r="BX84" i="2"/>
  <c r="BN84" i="2"/>
  <c r="H82" i="2"/>
  <c r="E82" i="2" s="1"/>
  <c r="CM84" i="2" l="1"/>
  <c r="CE84" i="2"/>
  <c r="CT84" i="2"/>
  <c r="CL84" i="2"/>
  <c r="CD84" i="2"/>
  <c r="CS84" i="2"/>
  <c r="CK84" i="2"/>
  <c r="CC84" i="2"/>
  <c r="CR84" i="2"/>
  <c r="CJ84" i="2"/>
  <c r="CQ84" i="2"/>
  <c r="CI84" i="2"/>
  <c r="CA84" i="2"/>
  <c r="CN84" i="2"/>
  <c r="CF84" i="2"/>
  <c r="CP84" i="2"/>
  <c r="CO84" i="2"/>
  <c r="CH84" i="2"/>
  <c r="CG84" i="2"/>
  <c r="CB84" i="2"/>
  <c r="BN85" i="2"/>
  <c r="BS85" i="2"/>
  <c r="BJ85" i="2"/>
  <c r="BO85" i="2"/>
  <c r="BL85" i="2"/>
  <c r="BX85" i="2"/>
  <c r="BI85" i="2"/>
  <c r="BG85" i="2"/>
  <c r="BV85" i="2"/>
  <c r="BP85" i="2"/>
  <c r="BF85" i="2"/>
  <c r="BY85" i="2"/>
  <c r="BU85" i="2"/>
  <c r="BM85" i="2"/>
  <c r="BT85" i="2"/>
  <c r="BK85" i="2"/>
  <c r="BR85" i="2"/>
  <c r="BH85" i="2"/>
  <c r="BW85" i="2"/>
  <c r="BQ85" i="2"/>
  <c r="H83" i="2"/>
  <c r="E83" i="2" s="1"/>
  <c r="CQ85" i="2" l="1"/>
  <c r="CI85" i="2"/>
  <c r="CA85" i="2"/>
  <c r="CP85" i="2"/>
  <c r="CH85" i="2"/>
  <c r="CO85" i="2"/>
  <c r="CG85" i="2"/>
  <c r="CN85" i="2"/>
  <c r="CF85" i="2"/>
  <c r="CM85" i="2"/>
  <c r="CE85" i="2"/>
  <c r="CR85" i="2"/>
  <c r="CJ85" i="2"/>
  <c r="CB85" i="2"/>
  <c r="CC85" i="2"/>
  <c r="CT85" i="2"/>
  <c r="CS85" i="2"/>
  <c r="CK85" i="2"/>
  <c r="CD85" i="2"/>
  <c r="CL85" i="2"/>
  <c r="BQ86" i="2"/>
  <c r="BK86" i="2"/>
  <c r="BY86" i="2"/>
  <c r="BG86" i="2"/>
  <c r="BO86" i="2"/>
  <c r="BF86" i="2"/>
  <c r="BI86" i="2"/>
  <c r="BJ86" i="2"/>
  <c r="BT86" i="2"/>
  <c r="BH86" i="2"/>
  <c r="BP86" i="2"/>
  <c r="BX86" i="2"/>
  <c r="BS86" i="2"/>
  <c r="BW86" i="2"/>
  <c r="BM86" i="2"/>
  <c r="BR86" i="2"/>
  <c r="BU86" i="2"/>
  <c r="BV86" i="2"/>
  <c r="BL86" i="2"/>
  <c r="BN86" i="2"/>
  <c r="H84" i="2"/>
  <c r="E84" i="2" s="1"/>
  <c r="CM86" i="2" l="1"/>
  <c r="CE86" i="2"/>
  <c r="CT86" i="2"/>
  <c r="CL86" i="2"/>
  <c r="CD86" i="2"/>
  <c r="CS86" i="2"/>
  <c r="CK86" i="2"/>
  <c r="CC86" i="2"/>
  <c r="CR86" i="2"/>
  <c r="CJ86" i="2"/>
  <c r="CB86" i="2"/>
  <c r="CQ86" i="2"/>
  <c r="CI86" i="2"/>
  <c r="CA86" i="2"/>
  <c r="CN86" i="2"/>
  <c r="CF86" i="2"/>
  <c r="CO86" i="2"/>
  <c r="CH86" i="2"/>
  <c r="CG86" i="2"/>
  <c r="CP86" i="2"/>
  <c r="BX87" i="2"/>
  <c r="BJ87" i="2"/>
  <c r="BI87" i="2"/>
  <c r="BG87" i="2"/>
  <c r="BN87" i="2"/>
  <c r="BM87" i="2"/>
  <c r="BW87" i="2"/>
  <c r="BH87" i="2"/>
  <c r="BF87" i="2"/>
  <c r="BK87" i="2"/>
  <c r="BR87" i="2"/>
  <c r="BL87" i="2"/>
  <c r="BP87" i="2"/>
  <c r="BY87" i="2"/>
  <c r="BV87" i="2"/>
  <c r="BU87" i="2"/>
  <c r="BS87" i="2"/>
  <c r="BT87" i="2"/>
  <c r="BO87" i="2"/>
  <c r="BQ87" i="2"/>
  <c r="H85" i="2"/>
  <c r="E85" i="2" s="1"/>
  <c r="CQ87" i="2" l="1"/>
  <c r="CI87" i="2"/>
  <c r="CA87" i="2"/>
  <c r="CP87" i="2"/>
  <c r="CH87" i="2"/>
  <c r="CO87" i="2"/>
  <c r="CG87" i="2"/>
  <c r="CN87" i="2"/>
  <c r="CF87" i="2"/>
  <c r="CM87" i="2"/>
  <c r="CE87" i="2"/>
  <c r="CR87" i="2"/>
  <c r="CJ87" i="2"/>
  <c r="CB87" i="2"/>
  <c r="CT87" i="2"/>
  <c r="CS87" i="2"/>
  <c r="CL87" i="2"/>
  <c r="CK87" i="2"/>
  <c r="CC87" i="2"/>
  <c r="CD87" i="2"/>
  <c r="BL88" i="2"/>
  <c r="BG88" i="2"/>
  <c r="BH88" i="2"/>
  <c r="BI88" i="2"/>
  <c r="BO88" i="2"/>
  <c r="BV88" i="2"/>
  <c r="BW88" i="2"/>
  <c r="BT88" i="2"/>
  <c r="BY88" i="2"/>
  <c r="BK88" i="2"/>
  <c r="BM88" i="2"/>
  <c r="BJ88" i="2"/>
  <c r="BQ88" i="2"/>
  <c r="BR88" i="2"/>
  <c r="BU88" i="2"/>
  <c r="BS88" i="2"/>
  <c r="BP88" i="2"/>
  <c r="BF88" i="2"/>
  <c r="BN88" i="2"/>
  <c r="BX88" i="2"/>
  <c r="H86" i="2"/>
  <c r="E86" i="2" s="1"/>
  <c r="CM88" i="2" l="1"/>
  <c r="CE88" i="2"/>
  <c r="CT88" i="2"/>
  <c r="CL88" i="2"/>
  <c r="CD88" i="2"/>
  <c r="CS88" i="2"/>
  <c r="CK88" i="2"/>
  <c r="CC88" i="2"/>
  <c r="CR88" i="2"/>
  <c r="CJ88" i="2"/>
  <c r="CB88" i="2"/>
  <c r="CQ88" i="2"/>
  <c r="CI88" i="2"/>
  <c r="CA88" i="2"/>
  <c r="CN88" i="2"/>
  <c r="CF88" i="2"/>
  <c r="CG88" i="2"/>
  <c r="CO88" i="2"/>
  <c r="CH88" i="2"/>
  <c r="CP88" i="2"/>
  <c r="BI89" i="2"/>
  <c r="BT89" i="2"/>
  <c r="BX89" i="2"/>
  <c r="BS89" i="2"/>
  <c r="BN89" i="2"/>
  <c r="BM89" i="2"/>
  <c r="BH89" i="2"/>
  <c r="BF89" i="2"/>
  <c r="BR89" i="2"/>
  <c r="BK89" i="2"/>
  <c r="BV89" i="2"/>
  <c r="BG89" i="2"/>
  <c r="BJ89" i="2"/>
  <c r="BU89" i="2"/>
  <c r="BW89" i="2"/>
  <c r="BP89" i="2"/>
  <c r="BQ89" i="2"/>
  <c r="BY89" i="2"/>
  <c r="BO89" i="2"/>
  <c r="BL89" i="2"/>
  <c r="H87" i="2"/>
  <c r="E87" i="2" s="1"/>
  <c r="CQ89" i="2" l="1"/>
  <c r="CI89" i="2"/>
  <c r="CA89" i="2"/>
  <c r="CP89" i="2"/>
  <c r="CH89" i="2"/>
  <c r="CO89" i="2"/>
  <c r="CG89" i="2"/>
  <c r="CN89" i="2"/>
  <c r="CF89" i="2"/>
  <c r="CM89" i="2"/>
  <c r="CE89" i="2"/>
  <c r="CR89" i="2"/>
  <c r="CJ89" i="2"/>
  <c r="CB89" i="2"/>
  <c r="CS89" i="2"/>
  <c r="CL89" i="2"/>
  <c r="CK89" i="2"/>
  <c r="CD89" i="2"/>
  <c r="CC89" i="2"/>
  <c r="CT89" i="2"/>
  <c r="BS90" i="2"/>
  <c r="BF90" i="2"/>
  <c r="BO90" i="2"/>
  <c r="BL90" i="2"/>
  <c r="BG90" i="2"/>
  <c r="BW90" i="2"/>
  <c r="BH90" i="2"/>
  <c r="BX90" i="2"/>
  <c r="BY90" i="2"/>
  <c r="BU90" i="2"/>
  <c r="BK90" i="2"/>
  <c r="BM90" i="2"/>
  <c r="BT90" i="2"/>
  <c r="BP90" i="2"/>
  <c r="BV90" i="2"/>
  <c r="BQ90" i="2"/>
  <c r="BJ90" i="2"/>
  <c r="BR90" i="2"/>
  <c r="BN90" i="2"/>
  <c r="BI90" i="2"/>
  <c r="H88" i="2"/>
  <c r="E88" i="2" s="1"/>
  <c r="CM90" i="2" l="1"/>
  <c r="CE90" i="2"/>
  <c r="CT90" i="2"/>
  <c r="CL90" i="2"/>
  <c r="CD90" i="2"/>
  <c r="CS90" i="2"/>
  <c r="CK90" i="2"/>
  <c r="CC90" i="2"/>
  <c r="CR90" i="2"/>
  <c r="CJ90" i="2"/>
  <c r="CB90" i="2"/>
  <c r="CQ90" i="2"/>
  <c r="CI90" i="2"/>
  <c r="CA90" i="2"/>
  <c r="CN90" i="2"/>
  <c r="CF90" i="2"/>
  <c r="CP90" i="2"/>
  <c r="CO90" i="2"/>
  <c r="CG90" i="2"/>
  <c r="CH90" i="2"/>
  <c r="BI91" i="2"/>
  <c r="BQ91" i="2"/>
  <c r="BM91" i="2"/>
  <c r="BX91" i="2"/>
  <c r="BL91" i="2"/>
  <c r="BN91" i="2"/>
  <c r="BK91" i="2"/>
  <c r="BV91" i="2"/>
  <c r="BH91" i="2"/>
  <c r="BO91" i="2"/>
  <c r="BR91" i="2"/>
  <c r="BP91" i="2"/>
  <c r="BU91" i="2"/>
  <c r="BW91" i="2"/>
  <c r="BF91" i="2"/>
  <c r="BJ91" i="2"/>
  <c r="BT91" i="2"/>
  <c r="BY91" i="2"/>
  <c r="BG91" i="2"/>
  <c r="BS91" i="2"/>
  <c r="H89" i="2"/>
  <c r="E89" i="2" s="1"/>
  <c r="CQ91" i="2" l="1"/>
  <c r="CI91" i="2"/>
  <c r="CA91" i="2"/>
  <c r="CP91" i="2"/>
  <c r="CH91" i="2"/>
  <c r="CO91" i="2"/>
  <c r="CG91" i="2"/>
  <c r="CN91" i="2"/>
  <c r="CF91" i="2"/>
  <c r="CM91" i="2"/>
  <c r="CE91" i="2"/>
  <c r="CR91" i="2"/>
  <c r="CJ91" i="2"/>
  <c r="CB91" i="2"/>
  <c r="CK91" i="2"/>
  <c r="CD91" i="2"/>
  <c r="CC91" i="2"/>
  <c r="CS91" i="2"/>
  <c r="CL91" i="2"/>
  <c r="CT91" i="2"/>
  <c r="BS92" i="2"/>
  <c r="BJ92" i="2"/>
  <c r="BP92" i="2"/>
  <c r="BV92" i="2"/>
  <c r="BX92" i="2"/>
  <c r="BG92" i="2"/>
  <c r="BF92" i="2"/>
  <c r="BR92" i="2"/>
  <c r="BK92" i="2"/>
  <c r="BY92" i="2"/>
  <c r="BW92" i="2"/>
  <c r="BO92" i="2"/>
  <c r="BN92" i="2"/>
  <c r="BQ92" i="2"/>
  <c r="BM92" i="2"/>
  <c r="BT92" i="2"/>
  <c r="BU92" i="2"/>
  <c r="BH92" i="2"/>
  <c r="BL92" i="2"/>
  <c r="BI92" i="2"/>
  <c r="H90" i="2"/>
  <c r="E90" i="2" s="1"/>
  <c r="CM92" i="2" l="1"/>
  <c r="CE92" i="2"/>
  <c r="CT92" i="2"/>
  <c r="CL92" i="2"/>
  <c r="CD92" i="2"/>
  <c r="CS92" i="2"/>
  <c r="CK92" i="2"/>
  <c r="CC92" i="2"/>
  <c r="CR92" i="2"/>
  <c r="CJ92" i="2"/>
  <c r="CB92" i="2"/>
  <c r="CQ92" i="2"/>
  <c r="CI92" i="2"/>
  <c r="CA92" i="2"/>
  <c r="CN92" i="2"/>
  <c r="CF92" i="2"/>
  <c r="CP92" i="2"/>
  <c r="CO92" i="2"/>
  <c r="CH92" i="2"/>
  <c r="CG92" i="2"/>
  <c r="BT93" i="2"/>
  <c r="BW93" i="2"/>
  <c r="BI93" i="2"/>
  <c r="BR93" i="2"/>
  <c r="BV93" i="2"/>
  <c r="BL93" i="2"/>
  <c r="BP93" i="2"/>
  <c r="BH93" i="2"/>
  <c r="BO93" i="2"/>
  <c r="BM93" i="2"/>
  <c r="BF93" i="2"/>
  <c r="BQ93" i="2"/>
  <c r="BY93" i="2"/>
  <c r="BG93" i="2"/>
  <c r="BJ93" i="2"/>
  <c r="BU93" i="2"/>
  <c r="BN93" i="2"/>
  <c r="BK93" i="2"/>
  <c r="BX93" i="2"/>
  <c r="BS93" i="2"/>
  <c r="H91" i="2"/>
  <c r="E91" i="2" s="1"/>
  <c r="CQ93" i="2" l="1"/>
  <c r="CI93" i="2"/>
  <c r="CA93" i="2"/>
  <c r="CP93" i="2"/>
  <c r="CH93" i="2"/>
  <c r="CO93" i="2"/>
  <c r="CG93" i="2"/>
  <c r="CN93" i="2"/>
  <c r="CF93" i="2"/>
  <c r="CM93" i="2"/>
  <c r="CE93" i="2"/>
  <c r="CS93" i="2"/>
  <c r="CK93" i="2"/>
  <c r="CR93" i="2"/>
  <c r="CJ93" i="2"/>
  <c r="CB93" i="2"/>
  <c r="CC93" i="2"/>
  <c r="CL93" i="2"/>
  <c r="CD93" i="2"/>
  <c r="CT93" i="2"/>
  <c r="BH94" i="2"/>
  <c r="BF94" i="2"/>
  <c r="BI94" i="2"/>
  <c r="BQ94" i="2"/>
  <c r="BX94" i="2"/>
  <c r="BP94" i="2"/>
  <c r="BK94" i="2"/>
  <c r="BG94" i="2"/>
  <c r="BM94" i="2"/>
  <c r="BL94" i="2"/>
  <c r="BW94" i="2"/>
  <c r="BS94" i="2"/>
  <c r="BR94" i="2"/>
  <c r="BJ94" i="2"/>
  <c r="BU94" i="2"/>
  <c r="BN94" i="2"/>
  <c r="BY94" i="2"/>
  <c r="BO94" i="2"/>
  <c r="BV94" i="2"/>
  <c r="BT94" i="2"/>
  <c r="H92" i="2"/>
  <c r="E92" i="2" s="1"/>
  <c r="CM94" i="2" l="1"/>
  <c r="CE94" i="2"/>
  <c r="CT94" i="2"/>
  <c r="CL94" i="2"/>
  <c r="CD94" i="2"/>
  <c r="CS94" i="2"/>
  <c r="CK94" i="2"/>
  <c r="CC94" i="2"/>
  <c r="CR94" i="2"/>
  <c r="CJ94" i="2"/>
  <c r="CB94" i="2"/>
  <c r="CQ94" i="2"/>
  <c r="CI94" i="2"/>
  <c r="CA94" i="2"/>
  <c r="CO94" i="2"/>
  <c r="CG94" i="2"/>
  <c r="CN94" i="2"/>
  <c r="CF94" i="2"/>
  <c r="CP94" i="2"/>
  <c r="CH94" i="2"/>
  <c r="BS95" i="2"/>
  <c r="BG95" i="2"/>
  <c r="BQ95" i="2"/>
  <c r="BN95" i="2"/>
  <c r="BT95" i="2"/>
  <c r="BU95" i="2"/>
  <c r="BI95" i="2"/>
  <c r="BO95" i="2"/>
  <c r="BJ95" i="2"/>
  <c r="BL95" i="2"/>
  <c r="BP95" i="2"/>
  <c r="BF95" i="2"/>
  <c r="BW95" i="2"/>
  <c r="BV95" i="2"/>
  <c r="BK95" i="2"/>
  <c r="BY95" i="2"/>
  <c r="BR95" i="2"/>
  <c r="BM95" i="2"/>
  <c r="BX95" i="2"/>
  <c r="BH95" i="2"/>
  <c r="H93" i="2"/>
  <c r="E93" i="2" s="1"/>
  <c r="CQ95" i="2" l="1"/>
  <c r="CI95" i="2"/>
  <c r="CA95" i="2"/>
  <c r="CP95" i="2"/>
  <c r="CH95" i="2"/>
  <c r="CO95" i="2"/>
  <c r="CG95" i="2"/>
  <c r="CN95" i="2"/>
  <c r="CF95" i="2"/>
  <c r="CM95" i="2"/>
  <c r="CE95" i="2"/>
  <c r="CS95" i="2"/>
  <c r="CK95" i="2"/>
  <c r="CC95" i="2"/>
  <c r="CR95" i="2"/>
  <c r="CJ95" i="2"/>
  <c r="CB95" i="2"/>
  <c r="CT95" i="2"/>
  <c r="CL95" i="2"/>
  <c r="CD95" i="2"/>
  <c r="BF96" i="2"/>
  <c r="BN96" i="2"/>
  <c r="BX96" i="2"/>
  <c r="BP96" i="2"/>
  <c r="BQ96" i="2"/>
  <c r="BY96" i="2"/>
  <c r="BK96" i="2"/>
  <c r="BI96" i="2"/>
  <c r="BM96" i="2"/>
  <c r="BV96" i="2"/>
  <c r="BL96" i="2"/>
  <c r="BU96" i="2"/>
  <c r="BG96" i="2"/>
  <c r="BO96" i="2"/>
  <c r="BH96" i="2"/>
  <c r="BR96" i="2"/>
  <c r="BW96" i="2"/>
  <c r="BJ96" i="2"/>
  <c r="BT96" i="2"/>
  <c r="BS96" i="2"/>
  <c r="H94" i="2"/>
  <c r="CM96" i="2" l="1"/>
  <c r="CE96" i="2"/>
  <c r="CT96" i="2"/>
  <c r="CL96" i="2"/>
  <c r="CD96" i="2"/>
  <c r="CS96" i="2"/>
  <c r="CK96" i="2"/>
  <c r="CC96" i="2"/>
  <c r="CR96" i="2"/>
  <c r="CJ96" i="2"/>
  <c r="CB96" i="2"/>
  <c r="CQ96" i="2"/>
  <c r="CI96" i="2"/>
  <c r="CA96" i="2"/>
  <c r="CO96" i="2"/>
  <c r="CG96" i="2"/>
  <c r="CN96" i="2"/>
  <c r="CF96" i="2"/>
  <c r="CP96" i="2"/>
  <c r="CH96" i="2"/>
  <c r="BP97" i="2"/>
  <c r="BR97" i="2"/>
  <c r="BI97" i="2"/>
  <c r="BH97" i="2"/>
  <c r="BX97" i="2"/>
  <c r="BL97" i="2"/>
  <c r="BJ97" i="2"/>
  <c r="BO97" i="2"/>
  <c r="BV97" i="2"/>
  <c r="BY97" i="2"/>
  <c r="BN97" i="2"/>
  <c r="BS97" i="2"/>
  <c r="BT97" i="2"/>
  <c r="BU97" i="2"/>
  <c r="BK97" i="2"/>
  <c r="BW97" i="2"/>
  <c r="BG97" i="2"/>
  <c r="BM97" i="2"/>
  <c r="BQ97" i="2"/>
  <c r="BF97" i="2"/>
  <c r="H95" i="2"/>
  <c r="E95" i="2" s="1"/>
  <c r="E94" i="2"/>
  <c r="CQ97" i="2" l="1"/>
  <c r="CI97" i="2"/>
  <c r="CA97" i="2"/>
  <c r="CP97" i="2"/>
  <c r="CH97" i="2"/>
  <c r="CO97" i="2"/>
  <c r="CG97" i="2"/>
  <c r="CN97" i="2"/>
  <c r="CF97" i="2"/>
  <c r="CM97" i="2"/>
  <c r="CE97" i="2"/>
  <c r="CS97" i="2"/>
  <c r="CK97" i="2"/>
  <c r="CC97" i="2"/>
  <c r="CR97" i="2"/>
  <c r="CJ97" i="2"/>
  <c r="CB97" i="2"/>
  <c r="CT97" i="2"/>
  <c r="CL97" i="2"/>
  <c r="CD97" i="2"/>
  <c r="H96" i="2"/>
  <c r="E96" i="2" s="1"/>
  <c r="BF98" i="2"/>
  <c r="BW98" i="2"/>
  <c r="BS98" i="2"/>
  <c r="BO98" i="2"/>
  <c r="BH98" i="2"/>
  <c r="BK98" i="2"/>
  <c r="BJ98" i="2"/>
  <c r="BI98" i="2"/>
  <c r="BM98" i="2"/>
  <c r="BU98" i="2"/>
  <c r="BY98" i="2"/>
  <c r="BL98" i="2"/>
  <c r="BR98" i="2"/>
  <c r="BN98" i="2"/>
  <c r="BG98" i="2"/>
  <c r="BT98" i="2"/>
  <c r="BV98" i="2"/>
  <c r="BX98" i="2"/>
  <c r="BP98" i="2"/>
  <c r="BQ98" i="2"/>
  <c r="CM98" i="2" l="1"/>
  <c r="CE98" i="2"/>
  <c r="CT98" i="2"/>
  <c r="CL98" i="2"/>
  <c r="CD98" i="2"/>
  <c r="CS98" i="2"/>
  <c r="CK98" i="2"/>
  <c r="CC98" i="2"/>
  <c r="CR98" i="2"/>
  <c r="CJ98" i="2"/>
  <c r="CB98" i="2"/>
  <c r="CQ98" i="2"/>
  <c r="CI98" i="2"/>
  <c r="CA98" i="2"/>
  <c r="CO98" i="2"/>
  <c r="CG98" i="2"/>
  <c r="CN98" i="2"/>
  <c r="CF98" i="2"/>
  <c r="CP98" i="2"/>
  <c r="CH98" i="2"/>
  <c r="BQ99" i="2"/>
  <c r="BT99" i="2"/>
  <c r="BL99" i="2"/>
  <c r="BI99" i="2"/>
  <c r="BO99" i="2"/>
  <c r="BP99" i="2"/>
  <c r="BG99" i="2"/>
  <c r="BY99" i="2"/>
  <c r="BJ99" i="2"/>
  <c r="BS99" i="2"/>
  <c r="BX99" i="2"/>
  <c r="BN99" i="2"/>
  <c r="BU99" i="2"/>
  <c r="BK99" i="2"/>
  <c r="BW99" i="2"/>
  <c r="BV99" i="2"/>
  <c r="BR99" i="2"/>
  <c r="BM99" i="2"/>
  <c r="BH99" i="2"/>
  <c r="BF99" i="2"/>
  <c r="H97" i="2"/>
  <c r="E97" i="2" s="1"/>
  <c r="CQ99" i="2" l="1"/>
  <c r="CI99" i="2"/>
  <c r="CA99" i="2"/>
  <c r="CP99" i="2"/>
  <c r="CH99" i="2"/>
  <c r="CO99" i="2"/>
  <c r="CG99" i="2"/>
  <c r="CN99" i="2"/>
  <c r="CF99" i="2"/>
  <c r="CM99" i="2"/>
  <c r="CE99" i="2"/>
  <c r="CS99" i="2"/>
  <c r="CK99" i="2"/>
  <c r="CC99" i="2"/>
  <c r="CR99" i="2"/>
  <c r="CJ99" i="2"/>
  <c r="CB99" i="2"/>
  <c r="CD99" i="2"/>
  <c r="CT99" i="2"/>
  <c r="CL99" i="2"/>
  <c r="H98" i="2"/>
  <c r="E98" i="2" s="1"/>
  <c r="BF100" i="2"/>
  <c r="BI100" i="2"/>
  <c r="BY100" i="2"/>
  <c r="BN100" i="2"/>
  <c r="BH100" i="2"/>
  <c r="BW100" i="2"/>
  <c r="BX100" i="2"/>
  <c r="BG100" i="2"/>
  <c r="BL100" i="2"/>
  <c r="BV100" i="2"/>
  <c r="BK100" i="2"/>
  <c r="BS100" i="2"/>
  <c r="BP100" i="2"/>
  <c r="BT100" i="2"/>
  <c r="BM100" i="2"/>
  <c r="BR100" i="2"/>
  <c r="BU100" i="2"/>
  <c r="BJ100" i="2"/>
  <c r="BO100" i="2"/>
  <c r="BQ100" i="2"/>
  <c r="CM100" i="2" l="1"/>
  <c r="CE100" i="2"/>
  <c r="CT100" i="2"/>
  <c r="CL100" i="2"/>
  <c r="CD100" i="2"/>
  <c r="CS100" i="2"/>
  <c r="CK100" i="2"/>
  <c r="CC100" i="2"/>
  <c r="CR100" i="2"/>
  <c r="CJ100" i="2"/>
  <c r="CB100" i="2"/>
  <c r="CQ100" i="2"/>
  <c r="CI100" i="2"/>
  <c r="CA100" i="2"/>
  <c r="CO100" i="2"/>
  <c r="CG100" i="2"/>
  <c r="CN100" i="2"/>
  <c r="CF100" i="2"/>
  <c r="CP100" i="2"/>
  <c r="CH100" i="2"/>
  <c r="BR101" i="2"/>
  <c r="BN101" i="2"/>
  <c r="BQ101" i="2"/>
  <c r="BS101" i="2"/>
  <c r="BM101" i="2"/>
  <c r="BK101" i="2"/>
  <c r="BX101" i="2"/>
  <c r="BY101" i="2"/>
  <c r="BG101" i="2"/>
  <c r="BO101" i="2"/>
  <c r="BJ101" i="2"/>
  <c r="BV101" i="2"/>
  <c r="BW101" i="2"/>
  <c r="BI101" i="2"/>
  <c r="BT101" i="2"/>
  <c r="H99" i="2"/>
  <c r="E99" i="2" s="1"/>
  <c r="BL101" i="2"/>
  <c r="BU101" i="2"/>
  <c r="BP101" i="2"/>
  <c r="BH101" i="2"/>
  <c r="BF101" i="2"/>
  <c r="CQ101" i="2" l="1"/>
  <c r="CI101" i="2"/>
  <c r="CA101" i="2"/>
  <c r="CP101" i="2"/>
  <c r="CH101" i="2"/>
  <c r="CO101" i="2"/>
  <c r="CG101" i="2"/>
  <c r="CN101" i="2"/>
  <c r="CF101" i="2"/>
  <c r="CM101" i="2"/>
  <c r="CE101" i="2"/>
  <c r="CS101" i="2"/>
  <c r="CK101" i="2"/>
  <c r="CC101" i="2"/>
  <c r="CR101" i="2"/>
  <c r="CJ101" i="2"/>
  <c r="CB101" i="2"/>
  <c r="CT101" i="2"/>
  <c r="CL101" i="2"/>
  <c r="CD101" i="2"/>
  <c r="H100" i="2"/>
  <c r="E100" i="2" s="1"/>
  <c r="BV102" i="2"/>
  <c r="BT102" i="2"/>
  <c r="BJ102" i="2"/>
  <c r="BP102" i="2"/>
  <c r="BX102" i="2"/>
  <c r="BQ102" i="2"/>
  <c r="BO102" i="2"/>
  <c r="BN102" i="2"/>
  <c r="BH102" i="2"/>
  <c r="BI102" i="2"/>
  <c r="BK102" i="2"/>
  <c r="BL102" i="2"/>
  <c r="BS102" i="2"/>
  <c r="BU102" i="2"/>
  <c r="BR102" i="2"/>
  <c r="BY102" i="2"/>
  <c r="BW102" i="2"/>
  <c r="BF102" i="2"/>
  <c r="BG102" i="2"/>
  <c r="BM102" i="2"/>
  <c r="CM102" i="2" l="1"/>
  <c r="CE102" i="2"/>
  <c r="CT102" i="2"/>
  <c r="CL102" i="2"/>
  <c r="CD102" i="2"/>
  <c r="CS102" i="2"/>
  <c r="CK102" i="2"/>
  <c r="CC102" i="2"/>
  <c r="CR102" i="2"/>
  <c r="CJ102" i="2"/>
  <c r="CB102" i="2"/>
  <c r="CQ102" i="2"/>
  <c r="CI102" i="2"/>
  <c r="CA102" i="2"/>
  <c r="CO102" i="2"/>
  <c r="CG102" i="2"/>
  <c r="CN102" i="2"/>
  <c r="CF102" i="2"/>
  <c r="CH102" i="2"/>
  <c r="CP102" i="2"/>
  <c r="BM103" i="2"/>
  <c r="BL103" i="2"/>
  <c r="BY103" i="2"/>
  <c r="BG103" i="2"/>
  <c r="BO103" i="2"/>
  <c r="BJ103" i="2"/>
  <c r="BP103" i="2"/>
  <c r="BT103" i="2"/>
  <c r="H101" i="2"/>
  <c r="E101" i="2" s="1"/>
  <c r="BU103" i="2"/>
  <c r="BI103" i="2"/>
  <c r="BQ103" i="2"/>
  <c r="BW103" i="2"/>
  <c r="BS103" i="2"/>
  <c r="BX103" i="2"/>
  <c r="BV103" i="2"/>
  <c r="BN103" i="2"/>
  <c r="BR103" i="2"/>
  <c r="BK103" i="2"/>
  <c r="BF103" i="2"/>
  <c r="BH103" i="2"/>
  <c r="CQ103" i="2" l="1"/>
  <c r="CI103" i="2"/>
  <c r="CA103" i="2"/>
  <c r="CP103" i="2"/>
  <c r="CH103" i="2"/>
  <c r="CO103" i="2"/>
  <c r="CG103" i="2"/>
  <c r="CN103" i="2"/>
  <c r="CF103" i="2"/>
  <c r="CM103" i="2"/>
  <c r="CE103" i="2"/>
  <c r="CS103" i="2"/>
  <c r="CK103" i="2"/>
  <c r="CC103" i="2"/>
  <c r="CR103" i="2"/>
  <c r="CJ103" i="2"/>
  <c r="CB103" i="2"/>
  <c r="CT103" i="2"/>
  <c r="CL103" i="2"/>
  <c r="CD103" i="2"/>
  <c r="BW104" i="2"/>
  <c r="BT104" i="2"/>
  <c r="BG104" i="2"/>
  <c r="BQ104" i="2"/>
  <c r="BH104" i="2"/>
  <c r="BM104" i="2"/>
  <c r="H102" i="2"/>
  <c r="E102" i="2" s="1"/>
  <c r="BF104" i="2"/>
  <c r="BV104" i="2"/>
  <c r="BP104" i="2"/>
  <c r="BY104" i="2"/>
  <c r="BN104" i="2"/>
  <c r="BO104" i="2"/>
  <c r="BI104" i="2"/>
  <c r="BR104" i="2"/>
  <c r="BS104" i="2"/>
  <c r="BJ104" i="2"/>
  <c r="BL104" i="2"/>
  <c r="BK104" i="2"/>
  <c r="BX104" i="2"/>
  <c r="BU104" i="2"/>
  <c r="CM104" i="2" l="1"/>
  <c r="CE104" i="2"/>
  <c r="CT104" i="2"/>
  <c r="CL104" i="2"/>
  <c r="CD104" i="2"/>
  <c r="CS104" i="2"/>
  <c r="CK104" i="2"/>
  <c r="CC104" i="2"/>
  <c r="CR104" i="2"/>
  <c r="CJ104" i="2"/>
  <c r="CB104" i="2"/>
  <c r="CQ104" i="2"/>
  <c r="CI104" i="2"/>
  <c r="CA104" i="2"/>
  <c r="CO104" i="2"/>
  <c r="CG104" i="2"/>
  <c r="CN104" i="2"/>
  <c r="CF104" i="2"/>
  <c r="CP104" i="2"/>
  <c r="CH104" i="2"/>
  <c r="BV105" i="2"/>
  <c r="BW105" i="2"/>
  <c r="BJ105" i="2"/>
  <c r="BX105" i="2"/>
  <c r="BN105" i="2"/>
  <c r="H103" i="2"/>
  <c r="BQ105" i="2"/>
  <c r="BU105" i="2"/>
  <c r="BO105" i="2"/>
  <c r="BS105" i="2"/>
  <c r="BF105" i="2"/>
  <c r="BT105" i="2"/>
  <c r="BK105" i="2"/>
  <c r="BR105" i="2"/>
  <c r="BG105" i="2"/>
  <c r="BY105" i="2"/>
  <c r="BM105" i="2"/>
  <c r="BL105" i="2"/>
  <c r="BI105" i="2"/>
  <c r="BP105" i="2"/>
  <c r="BH105" i="2"/>
  <c r="CQ105" i="2" l="1"/>
  <c r="CI105" i="2"/>
  <c r="CA105" i="2"/>
  <c r="CP105" i="2"/>
  <c r="CH105" i="2"/>
  <c r="CO105" i="2"/>
  <c r="CG105" i="2"/>
  <c r="CN105" i="2"/>
  <c r="CF105" i="2"/>
  <c r="CM105" i="2"/>
  <c r="CE105" i="2"/>
  <c r="CS105" i="2"/>
  <c r="CK105" i="2"/>
  <c r="CC105" i="2"/>
  <c r="CR105" i="2"/>
  <c r="CJ105" i="2"/>
  <c r="CB105" i="2"/>
  <c r="CL105" i="2"/>
  <c r="CD105" i="2"/>
  <c r="CT105" i="2"/>
  <c r="BF106" i="2"/>
  <c r="BH106" i="2"/>
  <c r="BN106" i="2"/>
  <c r="BK106" i="2"/>
  <c r="BX106" i="2"/>
  <c r="BU106" i="2"/>
  <c r="BO106" i="2"/>
  <c r="BV106" i="2"/>
  <c r="BM106" i="2"/>
  <c r="BP106" i="2"/>
  <c r="BY106" i="2"/>
  <c r="BT106" i="2"/>
  <c r="BJ106" i="2"/>
  <c r="H104" i="2"/>
  <c r="E104" i="2" s="1"/>
  <c r="BW106" i="2"/>
  <c r="BG106" i="2"/>
  <c r="BI106" i="2"/>
  <c r="BQ106" i="2"/>
  <c r="BL106" i="2"/>
  <c r="BR106" i="2"/>
  <c r="BS106" i="2"/>
  <c r="CM106" i="2" l="1"/>
  <c r="CE106" i="2"/>
  <c r="CT106" i="2"/>
  <c r="CL106" i="2"/>
  <c r="CD106" i="2"/>
  <c r="CS106" i="2"/>
  <c r="CK106" i="2"/>
  <c r="CC106" i="2"/>
  <c r="CR106" i="2"/>
  <c r="CJ106" i="2"/>
  <c r="CB106" i="2"/>
  <c r="CQ106" i="2"/>
  <c r="CI106" i="2"/>
  <c r="CA106" i="2"/>
  <c r="CO106" i="2"/>
  <c r="CG106" i="2"/>
  <c r="CN106" i="2"/>
  <c r="CF106" i="2"/>
  <c r="CP106" i="2"/>
  <c r="CH106" i="2"/>
  <c r="BV107" i="2"/>
  <c r="BI107" i="2"/>
  <c r="BK107" i="2"/>
  <c r="BR107" i="2"/>
  <c r="BG107" i="2"/>
  <c r="BO107" i="2"/>
  <c r="BJ107" i="2"/>
  <c r="BW107" i="2"/>
  <c r="BY107" i="2"/>
  <c r="BN107" i="2"/>
  <c r="BU107" i="2"/>
  <c r="BP107" i="2"/>
  <c r="BH107" i="2"/>
  <c r="BT107" i="2"/>
  <c r="BL107" i="2"/>
  <c r="BQ107" i="2"/>
  <c r="BX107" i="2"/>
  <c r="BF107" i="2"/>
  <c r="BS107" i="2"/>
  <c r="BM107" i="2"/>
  <c r="H105" i="2"/>
  <c r="E105" i="2" s="1"/>
  <c r="CQ107" i="2" l="1"/>
  <c r="CI107" i="2"/>
  <c r="CA107" i="2"/>
  <c r="CP107" i="2"/>
  <c r="CH107" i="2"/>
  <c r="CO107" i="2"/>
  <c r="CG107" i="2"/>
  <c r="CN107" i="2"/>
  <c r="CF107" i="2"/>
  <c r="CM107" i="2"/>
  <c r="CE107" i="2"/>
  <c r="CS107" i="2"/>
  <c r="CK107" i="2"/>
  <c r="CC107" i="2"/>
  <c r="CR107" i="2"/>
  <c r="CJ107" i="2"/>
  <c r="CB107" i="2"/>
  <c r="CT107" i="2"/>
  <c r="CL107" i="2"/>
  <c r="CD107" i="2"/>
  <c r="BM108" i="2"/>
  <c r="BP108" i="2"/>
  <c r="BW108" i="2"/>
  <c r="BR108" i="2"/>
  <c r="BK108" i="2"/>
  <c r="BQ108" i="2"/>
  <c r="BL108" i="2"/>
  <c r="BU108" i="2"/>
  <c r="BO108" i="2"/>
  <c r="BJ108" i="2"/>
  <c r="BF108" i="2"/>
  <c r="BN108" i="2"/>
  <c r="BT108" i="2"/>
  <c r="BI108" i="2"/>
  <c r="BY108" i="2"/>
  <c r="BS108" i="2"/>
  <c r="H106" i="2"/>
  <c r="E106" i="2" s="1"/>
  <c r="BX108" i="2"/>
  <c r="BH108" i="2"/>
  <c r="BG108" i="2"/>
  <c r="BV108" i="2"/>
  <c r="CT108" i="2" l="1"/>
  <c r="CR108" i="2"/>
  <c r="CM108" i="2"/>
  <c r="CE108" i="2"/>
  <c r="CL108" i="2"/>
  <c r="CD108" i="2"/>
  <c r="CK108" i="2"/>
  <c r="CC108" i="2"/>
  <c r="CS108" i="2"/>
  <c r="CJ108" i="2"/>
  <c r="CB108" i="2"/>
  <c r="CQ108" i="2"/>
  <c r="CI108" i="2"/>
  <c r="CA108" i="2"/>
  <c r="CO108" i="2"/>
  <c r="CG108" i="2"/>
  <c r="CN108" i="2"/>
  <c r="CF108" i="2"/>
  <c r="CP108" i="2"/>
  <c r="CH108" i="2"/>
  <c r="BN109" i="2"/>
  <c r="BU109" i="2"/>
  <c r="BS109" i="2"/>
  <c r="BF109" i="2"/>
  <c r="H107" i="2"/>
  <c r="E107" i="2" s="1"/>
  <c r="BL109" i="2"/>
  <c r="BW109" i="2"/>
  <c r="BG109" i="2"/>
  <c r="BP109" i="2"/>
  <c r="BR109" i="2"/>
  <c r="BH109" i="2"/>
  <c r="BJ109" i="2"/>
  <c r="BQ109" i="2"/>
  <c r="BY109" i="2"/>
  <c r="BI109" i="2"/>
  <c r="BX109" i="2"/>
  <c r="BT109" i="2"/>
  <c r="BK109" i="2"/>
  <c r="BM109" i="2"/>
  <c r="BV109" i="2"/>
  <c r="BO109" i="2"/>
  <c r="CM109" i="2" l="1"/>
  <c r="CE109" i="2"/>
  <c r="CT109" i="2"/>
  <c r="CL109" i="2"/>
  <c r="CD109" i="2"/>
  <c r="CS109" i="2"/>
  <c r="CK109" i="2"/>
  <c r="CC109" i="2"/>
  <c r="CR109" i="2"/>
  <c r="CJ109" i="2"/>
  <c r="CP109" i="2"/>
  <c r="CH109" i="2"/>
  <c r="CN109" i="2"/>
  <c r="CF109" i="2"/>
  <c r="CG109" i="2"/>
  <c r="CB109" i="2"/>
  <c r="CA109" i="2"/>
  <c r="CO109" i="2"/>
  <c r="CI109" i="2"/>
  <c r="CQ109" i="2"/>
  <c r="BN110" i="2"/>
  <c r="BO110" i="2"/>
  <c r="BT110" i="2"/>
  <c r="BX110" i="2"/>
  <c r="BF110" i="2"/>
  <c r="BP110" i="2"/>
  <c r="H108" i="2"/>
  <c r="BV110" i="2"/>
  <c r="BJ110" i="2"/>
  <c r="BG110" i="2"/>
  <c r="BS110" i="2"/>
  <c r="BQ110" i="2"/>
  <c r="BI110" i="2"/>
  <c r="BH110" i="2"/>
  <c r="BU110" i="2"/>
  <c r="BY110" i="2"/>
  <c r="BL110" i="2"/>
  <c r="BW110" i="2"/>
  <c r="BM110" i="2"/>
  <c r="BK110" i="2"/>
  <c r="BR110" i="2"/>
  <c r="CQ110" i="2" l="1"/>
  <c r="CI110" i="2"/>
  <c r="CA110" i="2"/>
  <c r="CP110" i="2"/>
  <c r="CH110" i="2"/>
  <c r="CO110" i="2"/>
  <c r="CG110" i="2"/>
  <c r="CN110" i="2"/>
  <c r="CF110" i="2"/>
  <c r="CT110" i="2"/>
  <c r="CL110" i="2"/>
  <c r="CD110" i="2"/>
  <c r="CR110" i="2"/>
  <c r="CJ110" i="2"/>
  <c r="CB110" i="2"/>
  <c r="CS110" i="2"/>
  <c r="CM110" i="2"/>
  <c r="CK110" i="2"/>
  <c r="CE110" i="2"/>
  <c r="CC110" i="2"/>
  <c r="BJ111" i="2"/>
  <c r="BK111" i="2"/>
  <c r="BY111" i="2"/>
  <c r="BQ111" i="2"/>
  <c r="BV111" i="2"/>
  <c r="BT111" i="2"/>
  <c r="BR111" i="2"/>
  <c r="BU111" i="2"/>
  <c r="BS111" i="2"/>
  <c r="BO111" i="2"/>
  <c r="BH111" i="2"/>
  <c r="BG111" i="2"/>
  <c r="BP111" i="2"/>
  <c r="BX111" i="2"/>
  <c r="BM111" i="2"/>
  <c r="H109" i="2"/>
  <c r="E109" i="2" s="1"/>
  <c r="BN111" i="2"/>
  <c r="BW111" i="2"/>
  <c r="BL111" i="2"/>
  <c r="BI111" i="2"/>
  <c r="BF111" i="2"/>
  <c r="CM111" i="2" l="1"/>
  <c r="CE111" i="2"/>
  <c r="CT111" i="2"/>
  <c r="CL111" i="2"/>
  <c r="CD111" i="2"/>
  <c r="CS111" i="2"/>
  <c r="CK111" i="2"/>
  <c r="CC111" i="2"/>
  <c r="CR111" i="2"/>
  <c r="CJ111" i="2"/>
  <c r="CB111" i="2"/>
  <c r="CQ111" i="2"/>
  <c r="CI111" i="2"/>
  <c r="CA111" i="2"/>
  <c r="CP111" i="2"/>
  <c r="CH111" i="2"/>
  <c r="CN111" i="2"/>
  <c r="CF111" i="2"/>
  <c r="CO111" i="2"/>
  <c r="CG111" i="2"/>
  <c r="BV112" i="2"/>
  <c r="BF112" i="2"/>
  <c r="BI112" i="2"/>
  <c r="BM112" i="2"/>
  <c r="BY112" i="2"/>
  <c r="BS112" i="2"/>
  <c r="BJ112" i="2"/>
  <c r="BN112" i="2"/>
  <c r="BQ112" i="2"/>
  <c r="BU112" i="2"/>
  <c r="BH112" i="2"/>
  <c r="BR112" i="2"/>
  <c r="H110" i="2"/>
  <c r="E110" i="2" s="1"/>
  <c r="BP112" i="2"/>
  <c r="BG112" i="2"/>
  <c r="BX112" i="2"/>
  <c r="BO112" i="2"/>
  <c r="BK112" i="2"/>
  <c r="BL112" i="2"/>
  <c r="BW112" i="2"/>
  <c r="BT112" i="2"/>
  <c r="CQ112" i="2" l="1"/>
  <c r="CI112" i="2"/>
  <c r="CA112" i="2"/>
  <c r="CP112" i="2"/>
  <c r="CH112" i="2"/>
  <c r="CO112" i="2"/>
  <c r="CG112" i="2"/>
  <c r="CN112" i="2"/>
  <c r="CF112" i="2"/>
  <c r="CM112" i="2"/>
  <c r="CE112" i="2"/>
  <c r="CT112" i="2"/>
  <c r="CL112" i="2"/>
  <c r="CD112" i="2"/>
  <c r="CR112" i="2"/>
  <c r="CJ112" i="2"/>
  <c r="CB112" i="2"/>
  <c r="CS112" i="2"/>
  <c r="CK112" i="2"/>
  <c r="CC112" i="2"/>
  <c r="BY113" i="2"/>
  <c r="BW113" i="2"/>
  <c r="BX113" i="2"/>
  <c r="BR113" i="2"/>
  <c r="BM113" i="2"/>
  <c r="BT113" i="2"/>
  <c r="BO113" i="2"/>
  <c r="BN113" i="2"/>
  <c r="BI113" i="2"/>
  <c r="BL113" i="2"/>
  <c r="BH113" i="2"/>
  <c r="BJ113" i="2"/>
  <c r="BV113" i="2"/>
  <c r="BG113" i="2"/>
  <c r="H111" i="2"/>
  <c r="E111" i="2" s="1"/>
  <c r="BQ113" i="2"/>
  <c r="BS113" i="2"/>
  <c r="BK113" i="2"/>
  <c r="BP113" i="2"/>
  <c r="BU113" i="2"/>
  <c r="BF113" i="2"/>
  <c r="CM113" i="2" l="1"/>
  <c r="CE113" i="2"/>
  <c r="CT113" i="2"/>
  <c r="CL113" i="2"/>
  <c r="CD113" i="2"/>
  <c r="CS113" i="2"/>
  <c r="CK113" i="2"/>
  <c r="CC113" i="2"/>
  <c r="CR113" i="2"/>
  <c r="CJ113" i="2"/>
  <c r="CB113" i="2"/>
  <c r="CQ113" i="2"/>
  <c r="CI113" i="2"/>
  <c r="CA113" i="2"/>
  <c r="CP113" i="2"/>
  <c r="CH113" i="2"/>
  <c r="CN113" i="2"/>
  <c r="CF113" i="2"/>
  <c r="CO113" i="2"/>
  <c r="CG113" i="2"/>
  <c r="H112" i="2"/>
  <c r="E112" i="2" s="1"/>
  <c r="BV114" i="2"/>
  <c r="BN114" i="2"/>
  <c r="BJ114" i="2"/>
  <c r="BY114" i="2"/>
  <c r="BS114" i="2"/>
  <c r="BR114" i="2"/>
  <c r="BU114" i="2"/>
  <c r="BQ114" i="2"/>
  <c r="BH114" i="2"/>
  <c r="BO114" i="2"/>
  <c r="BX114" i="2"/>
  <c r="BM114" i="2"/>
  <c r="BF114" i="2"/>
  <c r="BP114" i="2"/>
  <c r="BG114" i="2"/>
  <c r="BL114" i="2"/>
  <c r="BK114" i="2"/>
  <c r="BI114" i="2"/>
  <c r="BT114" i="2"/>
  <c r="BW114" i="2"/>
  <c r="CQ114" i="2" l="1"/>
  <c r="CI114" i="2"/>
  <c r="CA114" i="2"/>
  <c r="CP114" i="2"/>
  <c r="CH114" i="2"/>
  <c r="CO114" i="2"/>
  <c r="CG114" i="2"/>
  <c r="CN114" i="2"/>
  <c r="CF114" i="2"/>
  <c r="CM114" i="2"/>
  <c r="CE114" i="2"/>
  <c r="CT114" i="2"/>
  <c r="CL114" i="2"/>
  <c r="CD114" i="2"/>
  <c r="CR114" i="2"/>
  <c r="CJ114" i="2"/>
  <c r="CB114" i="2"/>
  <c r="CC114" i="2"/>
  <c r="CS114" i="2"/>
  <c r="CK114" i="2"/>
  <c r="BK115" i="2"/>
  <c r="BS115" i="2"/>
  <c r="BL115" i="2"/>
  <c r="BQ115" i="2"/>
  <c r="BM115" i="2"/>
  <c r="BG115" i="2"/>
  <c r="BX115" i="2"/>
  <c r="BH115" i="2"/>
  <c r="BW115" i="2"/>
  <c r="BT115" i="2"/>
  <c r="BU115" i="2"/>
  <c r="BJ115" i="2"/>
  <c r="BF115" i="2"/>
  <c r="BY115" i="2"/>
  <c r="BI115" i="2"/>
  <c r="BO115" i="2"/>
  <c r="BP115" i="2"/>
  <c r="BR115" i="2"/>
  <c r="BN115" i="2"/>
  <c r="BV115" i="2"/>
  <c r="H113" i="2"/>
  <c r="CM115" i="2" l="1"/>
  <c r="CE115" i="2"/>
  <c r="CT115" i="2"/>
  <c r="CL115" i="2"/>
  <c r="CD115" i="2"/>
  <c r="CS115" i="2"/>
  <c r="CK115" i="2"/>
  <c r="CC115" i="2"/>
  <c r="CR115" i="2"/>
  <c r="CJ115" i="2"/>
  <c r="CB115" i="2"/>
  <c r="CQ115" i="2"/>
  <c r="CI115" i="2"/>
  <c r="CA115" i="2"/>
  <c r="CP115" i="2"/>
  <c r="CH115" i="2"/>
  <c r="CN115" i="2"/>
  <c r="CF115" i="2"/>
  <c r="CO115" i="2"/>
  <c r="CG115" i="2"/>
  <c r="BF116" i="2"/>
  <c r="BM116" i="2"/>
  <c r="BW116" i="2"/>
  <c r="BV116" i="2"/>
  <c r="BJ116" i="2"/>
  <c r="BP116" i="2"/>
  <c r="BK116" i="2"/>
  <c r="BO116" i="2"/>
  <c r="BN116" i="2"/>
  <c r="BX116" i="2"/>
  <c r="BL116" i="2"/>
  <c r="BI116" i="2"/>
  <c r="BH116" i="2"/>
  <c r="BR116" i="2"/>
  <c r="BY116" i="2"/>
  <c r="BT116" i="2"/>
  <c r="H114" i="2"/>
  <c r="E114" i="2" s="1"/>
  <c r="BQ116" i="2"/>
  <c r="BU116" i="2"/>
  <c r="BG116" i="2"/>
  <c r="BS116" i="2"/>
  <c r="CQ116" i="2" l="1"/>
  <c r="CI116" i="2"/>
  <c r="CA116" i="2"/>
  <c r="CP116" i="2"/>
  <c r="CH116" i="2"/>
  <c r="CO116" i="2"/>
  <c r="CG116" i="2"/>
  <c r="CN116" i="2"/>
  <c r="CF116" i="2"/>
  <c r="CM116" i="2"/>
  <c r="CE116" i="2"/>
  <c r="CT116" i="2"/>
  <c r="CL116" i="2"/>
  <c r="CD116" i="2"/>
  <c r="CR116" i="2"/>
  <c r="CJ116" i="2"/>
  <c r="CB116" i="2"/>
  <c r="CS116" i="2"/>
  <c r="CK116" i="2"/>
  <c r="CC116" i="2"/>
  <c r="H115" i="2"/>
  <c r="E115" i="2" s="1"/>
  <c r="BS117" i="2"/>
  <c r="BT117" i="2"/>
  <c r="BI117" i="2"/>
  <c r="BQ117" i="2"/>
  <c r="BJ117" i="2"/>
  <c r="BG117" i="2"/>
  <c r="BY117" i="2"/>
  <c r="BK117" i="2"/>
  <c r="BW117" i="2"/>
  <c r="BH117" i="2"/>
  <c r="BN117" i="2"/>
  <c r="BF117" i="2"/>
  <c r="BO117" i="2"/>
  <c r="BL117" i="2"/>
  <c r="BU117" i="2"/>
  <c r="BP117" i="2"/>
  <c r="BM117" i="2"/>
  <c r="BV117" i="2"/>
  <c r="BR117" i="2"/>
  <c r="BX117" i="2"/>
  <c r="CM117" i="2" l="1"/>
  <c r="CE117" i="2"/>
  <c r="CT117" i="2"/>
  <c r="CL117" i="2"/>
  <c r="CD117" i="2"/>
  <c r="CS117" i="2"/>
  <c r="CK117" i="2"/>
  <c r="CC117" i="2"/>
  <c r="CR117" i="2"/>
  <c r="CJ117" i="2"/>
  <c r="CB117" i="2"/>
  <c r="CQ117" i="2"/>
  <c r="CI117" i="2"/>
  <c r="CA117" i="2"/>
  <c r="CP117" i="2"/>
  <c r="CH117" i="2"/>
  <c r="CN117" i="2"/>
  <c r="CF117" i="2"/>
  <c r="CG117" i="2"/>
  <c r="CO117" i="2"/>
  <c r="H116" i="2"/>
  <c r="E116" i="2" s="1"/>
  <c r="BK118" i="2"/>
  <c r="BQ118" i="2"/>
  <c r="BX118" i="2"/>
  <c r="BF118" i="2"/>
  <c r="BI118" i="2"/>
  <c r="BS118" i="2"/>
  <c r="BP118" i="2"/>
  <c r="BU118" i="2"/>
  <c r="BR118" i="2"/>
  <c r="BN118" i="2"/>
  <c r="BW118" i="2"/>
  <c r="BM118" i="2"/>
  <c r="BY118" i="2"/>
  <c r="BV118" i="2"/>
  <c r="BL118" i="2"/>
  <c r="BH118" i="2"/>
  <c r="BG118" i="2"/>
  <c r="BT118" i="2"/>
  <c r="BO118" i="2"/>
  <c r="BJ118" i="2"/>
  <c r="CQ118" i="2" l="1"/>
  <c r="CI118" i="2"/>
  <c r="CA118" i="2"/>
  <c r="CP118" i="2"/>
  <c r="CH118" i="2"/>
  <c r="CO118" i="2"/>
  <c r="CG118" i="2"/>
  <c r="CN118" i="2"/>
  <c r="CF118" i="2"/>
  <c r="CM118" i="2"/>
  <c r="CE118" i="2"/>
  <c r="CT118" i="2"/>
  <c r="CL118" i="2"/>
  <c r="CD118" i="2"/>
  <c r="CR118" i="2"/>
  <c r="CJ118" i="2"/>
  <c r="CB118" i="2"/>
  <c r="CS118" i="2"/>
  <c r="CC118" i="2"/>
  <c r="CK118" i="2"/>
  <c r="BJ119" i="2"/>
  <c r="BM119" i="2"/>
  <c r="BU119" i="2"/>
  <c r="BO119" i="2"/>
  <c r="BW119" i="2"/>
  <c r="BX119" i="2"/>
  <c r="BS119" i="2"/>
  <c r="BQ119" i="2"/>
  <c r="H117" i="2"/>
  <c r="E117" i="2" s="1"/>
  <c r="BH119" i="2"/>
  <c r="BF119" i="2"/>
  <c r="BP119" i="2"/>
  <c r="BT119" i="2"/>
  <c r="BV119" i="2"/>
  <c r="BN119" i="2"/>
  <c r="BL119" i="2"/>
  <c r="BG119" i="2"/>
  <c r="BY119" i="2"/>
  <c r="BR119" i="2"/>
  <c r="BI119" i="2"/>
  <c r="BK119" i="2"/>
  <c r="CS119" i="2" l="1"/>
  <c r="CK119" i="2"/>
  <c r="CC119" i="2"/>
  <c r="CQ119" i="2"/>
  <c r="CA119" i="2"/>
  <c r="CR119" i="2"/>
  <c r="CJ119" i="2"/>
  <c r="CB119" i="2"/>
  <c r="CP119" i="2"/>
  <c r="CH119" i="2"/>
  <c r="CO119" i="2"/>
  <c r="CG119" i="2"/>
  <c r="CE119" i="2"/>
  <c r="CN119" i="2"/>
  <c r="CF119" i="2"/>
  <c r="CM119" i="2"/>
  <c r="CT119" i="2"/>
  <c r="CL119" i="2"/>
  <c r="CD119" i="2"/>
  <c r="CI119" i="2"/>
  <c r="BI120" i="2"/>
  <c r="BL120" i="2"/>
  <c r="BP120" i="2"/>
  <c r="BO120" i="2"/>
  <c r="BW120" i="2"/>
  <c r="BK120" i="2"/>
  <c r="BT120" i="2"/>
  <c r="BQ120" i="2"/>
  <c r="BU120" i="2"/>
  <c r="BJ120" i="2"/>
  <c r="BG120" i="2"/>
  <c r="BR120" i="2"/>
  <c r="BF120" i="2"/>
  <c r="BS120" i="2"/>
  <c r="BY120" i="2"/>
  <c r="BH120" i="2"/>
  <c r="H118" i="2"/>
  <c r="BN120" i="2"/>
  <c r="BV120" i="2"/>
  <c r="BX120" i="2"/>
  <c r="BM120" i="2"/>
  <c r="CO120" i="2" l="1"/>
  <c r="CG120" i="2"/>
  <c r="CM120" i="2"/>
  <c r="CN120" i="2"/>
  <c r="CF120" i="2"/>
  <c r="CT120" i="2"/>
  <c r="CL120" i="2"/>
  <c r="CD120" i="2"/>
  <c r="CS120" i="2"/>
  <c r="CK120" i="2"/>
  <c r="CC120" i="2"/>
  <c r="CI120" i="2"/>
  <c r="CR120" i="2"/>
  <c r="CJ120" i="2"/>
  <c r="CB120" i="2"/>
  <c r="CA120" i="2"/>
  <c r="CQ120" i="2"/>
  <c r="CP120" i="2"/>
  <c r="CH120" i="2"/>
  <c r="CE120" i="2"/>
  <c r="BF121" i="2"/>
  <c r="BQ121" i="2"/>
  <c r="BO121" i="2"/>
  <c r="BX121" i="2"/>
  <c r="BT121" i="2"/>
  <c r="BP121" i="2"/>
  <c r="BU121" i="2"/>
  <c r="BY121" i="2"/>
  <c r="BI121" i="2"/>
  <c r="BR121" i="2"/>
  <c r="BH121" i="2"/>
  <c r="BV121" i="2"/>
  <c r="BS121" i="2"/>
  <c r="BJ121" i="2"/>
  <c r="BW121" i="2"/>
  <c r="BM121" i="2"/>
  <c r="BG121" i="2"/>
  <c r="BN121" i="2"/>
  <c r="BK121" i="2"/>
  <c r="BL121" i="2"/>
  <c r="H119" i="2"/>
  <c r="E119" i="2" s="1"/>
  <c r="CS121" i="2" l="1"/>
  <c r="CK121" i="2"/>
  <c r="CC121" i="2"/>
  <c r="CQ121" i="2"/>
  <c r="CI121" i="2"/>
  <c r="CA121" i="2"/>
  <c r="CR121" i="2"/>
  <c r="CJ121" i="2"/>
  <c r="CB121" i="2"/>
  <c r="CP121" i="2"/>
  <c r="CH121" i="2"/>
  <c r="CO121" i="2"/>
  <c r="CG121" i="2"/>
  <c r="CM121" i="2"/>
  <c r="CN121" i="2"/>
  <c r="CF121" i="2"/>
  <c r="CE121" i="2"/>
  <c r="CT121" i="2"/>
  <c r="CL121" i="2"/>
  <c r="CD121" i="2"/>
  <c r="BY122" i="2"/>
  <c r="BK122" i="2"/>
  <c r="BW122" i="2"/>
  <c r="BH122" i="2"/>
  <c r="BU122" i="2"/>
  <c r="BV122" i="2"/>
  <c r="BO122" i="2"/>
  <c r="BM122" i="2"/>
  <c r="BP122" i="2"/>
  <c r="BQ122" i="2"/>
  <c r="BL122" i="2"/>
  <c r="BN122" i="2"/>
  <c r="BJ122" i="2"/>
  <c r="BR122" i="2"/>
  <c r="BX122" i="2"/>
  <c r="BG122" i="2"/>
  <c r="BS122" i="2"/>
  <c r="BF122" i="2"/>
  <c r="BI122" i="2"/>
  <c r="BT122" i="2"/>
  <c r="H120" i="2"/>
  <c r="E120" i="2" s="1"/>
  <c r="CO122" i="2" l="1"/>
  <c r="CG122" i="2"/>
  <c r="CE122" i="2"/>
  <c r="CN122" i="2"/>
  <c r="CF122" i="2"/>
  <c r="CM122" i="2"/>
  <c r="CT122" i="2"/>
  <c r="CL122" i="2"/>
  <c r="CD122" i="2"/>
  <c r="CS122" i="2"/>
  <c r="CK122" i="2"/>
  <c r="CC122" i="2"/>
  <c r="CR122" i="2"/>
  <c r="CJ122" i="2"/>
  <c r="CB122" i="2"/>
  <c r="CI122" i="2"/>
  <c r="CQ122" i="2"/>
  <c r="CA122" i="2"/>
  <c r="CP122" i="2"/>
  <c r="CH122" i="2"/>
  <c r="BJ123" i="2"/>
  <c r="BY123" i="2"/>
  <c r="BT123" i="2"/>
  <c r="BG123" i="2"/>
  <c r="BN123" i="2"/>
  <c r="BM123" i="2"/>
  <c r="BP123" i="2"/>
  <c r="BU123" i="2"/>
  <c r="BH123" i="2"/>
  <c r="BI123" i="2"/>
  <c r="BX123" i="2"/>
  <c r="BL123" i="2"/>
  <c r="BW123" i="2"/>
  <c r="H121" i="2"/>
  <c r="E121" i="2" s="1"/>
  <c r="BQ123" i="2"/>
  <c r="BO123" i="2"/>
  <c r="BF123" i="2"/>
  <c r="BR123" i="2"/>
  <c r="BV123" i="2"/>
  <c r="BK123" i="2"/>
  <c r="BS123" i="2"/>
  <c r="CS123" i="2" l="1"/>
  <c r="CK123" i="2"/>
  <c r="CC123" i="2"/>
  <c r="CA123" i="2"/>
  <c r="CR123" i="2"/>
  <c r="CJ123" i="2"/>
  <c r="CB123" i="2"/>
  <c r="CQ123" i="2"/>
  <c r="CP123" i="2"/>
  <c r="CH123" i="2"/>
  <c r="CO123" i="2"/>
  <c r="CG123" i="2"/>
  <c r="CM123" i="2"/>
  <c r="CN123" i="2"/>
  <c r="CF123" i="2"/>
  <c r="CE123" i="2"/>
  <c r="CT123" i="2"/>
  <c r="CL123" i="2"/>
  <c r="CD123" i="2"/>
  <c r="CI123" i="2"/>
  <c r="H122" i="2"/>
  <c r="E122" i="2" s="1"/>
  <c r="BO124" i="2"/>
  <c r="BU124" i="2"/>
  <c r="BS124" i="2"/>
  <c r="BL124" i="2"/>
  <c r="BG124" i="2"/>
  <c r="BK124" i="2"/>
  <c r="BP124" i="2"/>
  <c r="BW124" i="2"/>
  <c r="BT124" i="2"/>
  <c r="BV124" i="2"/>
  <c r="BQ124" i="2"/>
  <c r="BI124" i="2"/>
  <c r="BY124" i="2"/>
  <c r="BR124" i="2"/>
  <c r="BF124" i="2"/>
  <c r="BN124" i="2"/>
  <c r="BX124" i="2"/>
  <c r="BM124" i="2"/>
  <c r="BH124" i="2"/>
  <c r="BJ124" i="2"/>
  <c r="CO124" i="2" l="1"/>
  <c r="CG124" i="2"/>
  <c r="CN124" i="2"/>
  <c r="CF124" i="2"/>
  <c r="CM124" i="2"/>
  <c r="CE124" i="2"/>
  <c r="CT124" i="2"/>
  <c r="CL124" i="2"/>
  <c r="CD124" i="2"/>
  <c r="CQ124" i="2"/>
  <c r="CS124" i="2"/>
  <c r="CK124" i="2"/>
  <c r="CC124" i="2"/>
  <c r="CA124" i="2"/>
  <c r="CR124" i="2"/>
  <c r="CJ124" i="2"/>
  <c r="CB124" i="2"/>
  <c r="CP124" i="2"/>
  <c r="CH124" i="2"/>
  <c r="CI124" i="2"/>
  <c r="BP125" i="2"/>
  <c r="BS125" i="2"/>
  <c r="BW125" i="2"/>
  <c r="BJ125" i="2"/>
  <c r="BM125" i="2"/>
  <c r="BU125" i="2"/>
  <c r="BY125" i="2"/>
  <c r="BG125" i="2"/>
  <c r="BO125" i="2"/>
  <c r="BI125" i="2"/>
  <c r="BK125" i="2"/>
  <c r="BX125" i="2"/>
  <c r="BT125" i="2"/>
  <c r="BH125" i="2"/>
  <c r="BF125" i="2"/>
  <c r="BQ125" i="2"/>
  <c r="BV125" i="2"/>
  <c r="BR125" i="2"/>
  <c r="BN125" i="2"/>
  <c r="BL125" i="2"/>
  <c r="H123" i="2"/>
  <c r="CS125" i="2" l="1"/>
  <c r="CK125" i="2"/>
  <c r="CC125" i="2"/>
  <c r="CR125" i="2"/>
  <c r="CJ125" i="2"/>
  <c r="CB125" i="2"/>
  <c r="CQ125" i="2"/>
  <c r="CI125" i="2"/>
  <c r="CA125" i="2"/>
  <c r="CE125" i="2"/>
  <c r="CP125" i="2"/>
  <c r="CH125" i="2"/>
  <c r="CO125" i="2"/>
  <c r="CG125" i="2"/>
  <c r="CN125" i="2"/>
  <c r="CF125" i="2"/>
  <c r="CM125" i="2"/>
  <c r="CT125" i="2"/>
  <c r="CL125" i="2"/>
  <c r="CD125" i="2"/>
  <c r="BG126" i="2"/>
  <c r="BJ126" i="2"/>
  <c r="BL126" i="2"/>
  <c r="H124" i="2"/>
  <c r="E124" i="2" s="1"/>
  <c r="BK126" i="2"/>
  <c r="BW126" i="2"/>
  <c r="BR126" i="2"/>
  <c r="BH126" i="2"/>
  <c r="BI126" i="2"/>
  <c r="BU126" i="2"/>
  <c r="BS126" i="2"/>
  <c r="BQ126" i="2"/>
  <c r="BN126" i="2"/>
  <c r="BX126" i="2"/>
  <c r="BF126" i="2"/>
  <c r="BY126" i="2"/>
  <c r="BV126" i="2"/>
  <c r="BT126" i="2"/>
  <c r="BO126" i="2"/>
  <c r="BM126" i="2"/>
  <c r="BP126" i="2"/>
  <c r="CO126" i="2" l="1"/>
  <c r="CG126" i="2"/>
  <c r="CN126" i="2"/>
  <c r="CF126" i="2"/>
  <c r="CA126" i="2"/>
  <c r="CM126" i="2"/>
  <c r="CE126" i="2"/>
  <c r="CT126" i="2"/>
  <c r="CL126" i="2"/>
  <c r="CD126" i="2"/>
  <c r="CS126" i="2"/>
  <c r="CK126" i="2"/>
  <c r="CC126" i="2"/>
  <c r="CQ126" i="2"/>
  <c r="CR126" i="2"/>
  <c r="CJ126" i="2"/>
  <c r="CB126" i="2"/>
  <c r="CP126" i="2"/>
  <c r="CH126" i="2"/>
  <c r="CI126" i="2"/>
  <c r="BV127" i="2"/>
  <c r="BN127" i="2"/>
  <c r="BI127" i="2"/>
  <c r="BK127" i="2"/>
  <c r="BP127" i="2"/>
  <c r="BL127" i="2"/>
  <c r="BH127" i="2"/>
  <c r="H125" i="2"/>
  <c r="E125" i="2" s="1"/>
  <c r="BJ127" i="2"/>
  <c r="BY127" i="2"/>
  <c r="BO127" i="2"/>
  <c r="BT127" i="2"/>
  <c r="BX127" i="2"/>
  <c r="BU127" i="2"/>
  <c r="BW127" i="2"/>
  <c r="BM127" i="2"/>
  <c r="BQ127" i="2"/>
  <c r="BF127" i="2"/>
  <c r="BS127" i="2"/>
  <c r="BR127" i="2"/>
  <c r="BG127" i="2"/>
  <c r="CS127" i="2" l="1"/>
  <c r="CK127" i="2"/>
  <c r="CC127" i="2"/>
  <c r="CR127" i="2"/>
  <c r="CJ127" i="2"/>
  <c r="CB127" i="2"/>
  <c r="CQ127" i="2"/>
  <c r="CI127" i="2"/>
  <c r="CA127" i="2"/>
  <c r="CM127" i="2"/>
  <c r="CP127" i="2"/>
  <c r="CH127" i="2"/>
  <c r="CE127" i="2"/>
  <c r="CO127" i="2"/>
  <c r="CG127" i="2"/>
  <c r="CN127" i="2"/>
  <c r="CF127" i="2"/>
  <c r="CT127" i="2"/>
  <c r="CL127" i="2"/>
  <c r="CD127" i="2"/>
  <c r="BK128" i="2"/>
  <c r="BR128" i="2"/>
  <c r="BT128" i="2"/>
  <c r="BH128" i="2"/>
  <c r="BI128" i="2"/>
  <c r="BM128" i="2"/>
  <c r="BG128" i="2"/>
  <c r="BS128" i="2"/>
  <c r="BL128" i="2"/>
  <c r="BN128" i="2"/>
  <c r="BW128" i="2"/>
  <c r="BO128" i="2"/>
  <c r="BF128" i="2"/>
  <c r="BU128" i="2"/>
  <c r="BY128" i="2"/>
  <c r="BQ128" i="2"/>
  <c r="BX128" i="2"/>
  <c r="BJ128" i="2"/>
  <c r="H126" i="2"/>
  <c r="E126" i="2" s="1"/>
  <c r="BP128" i="2"/>
  <c r="BV128" i="2"/>
  <c r="CO128" i="2" l="1"/>
  <c r="CG128" i="2"/>
  <c r="CN128" i="2"/>
  <c r="CF128" i="2"/>
  <c r="CM128" i="2"/>
  <c r="CE128" i="2"/>
  <c r="CT128" i="2"/>
  <c r="CL128" i="2"/>
  <c r="CD128" i="2"/>
  <c r="CS128" i="2"/>
  <c r="CK128" i="2"/>
  <c r="CC128" i="2"/>
  <c r="CQ128" i="2"/>
  <c r="CR128" i="2"/>
  <c r="CJ128" i="2"/>
  <c r="CB128" i="2"/>
  <c r="CA128" i="2"/>
  <c r="CP128" i="2"/>
  <c r="CH128" i="2"/>
  <c r="CI128" i="2"/>
  <c r="BV129" i="2"/>
  <c r="BQ129" i="2"/>
  <c r="BS129" i="2"/>
  <c r="BP129" i="2"/>
  <c r="BG129" i="2"/>
  <c r="BT129" i="2"/>
  <c r="BW129" i="2"/>
  <c r="BU129" i="2"/>
  <c r="BN129" i="2"/>
  <c r="BM129" i="2"/>
  <c r="BR129" i="2"/>
  <c r="BO129" i="2"/>
  <c r="BH129" i="2"/>
  <c r="BY129" i="2"/>
  <c r="H127" i="2"/>
  <c r="E127" i="2" s="1"/>
  <c r="BJ129" i="2"/>
  <c r="BX129" i="2"/>
  <c r="BF129" i="2"/>
  <c r="BL129" i="2"/>
  <c r="BI129" i="2"/>
  <c r="BK129" i="2"/>
  <c r="CS129" i="2" l="1"/>
  <c r="CK129" i="2"/>
  <c r="CC129" i="2"/>
  <c r="CR129" i="2"/>
  <c r="CJ129" i="2"/>
  <c r="CB129" i="2"/>
  <c r="CE129" i="2"/>
  <c r="CQ129" i="2"/>
  <c r="CI129" i="2"/>
  <c r="CA129" i="2"/>
  <c r="CP129" i="2"/>
  <c r="CH129" i="2"/>
  <c r="CO129" i="2"/>
  <c r="CG129" i="2"/>
  <c r="CN129" i="2"/>
  <c r="CF129" i="2"/>
  <c r="CM129" i="2"/>
  <c r="CT129" i="2"/>
  <c r="CL129" i="2"/>
  <c r="CD129" i="2"/>
  <c r="BP130" i="2"/>
  <c r="BI130" i="2"/>
  <c r="BJ130" i="2"/>
  <c r="BK130" i="2"/>
  <c r="BO130" i="2"/>
  <c r="BR130" i="2"/>
  <c r="BS130" i="2"/>
  <c r="BX130" i="2"/>
  <c r="H128" i="2"/>
  <c r="BY130" i="2"/>
  <c r="BM130" i="2"/>
  <c r="BT130" i="2"/>
  <c r="BQ130" i="2"/>
  <c r="BU130" i="2"/>
  <c r="BW130" i="2"/>
  <c r="BF130" i="2"/>
  <c r="BL130" i="2"/>
  <c r="BH130" i="2"/>
  <c r="BN130" i="2"/>
  <c r="BG130" i="2"/>
  <c r="BV130" i="2"/>
  <c r="CO130" i="2" l="1"/>
  <c r="CG130" i="2"/>
  <c r="CN130" i="2"/>
  <c r="CF130" i="2"/>
  <c r="CM130" i="2"/>
  <c r="CE130" i="2"/>
  <c r="CA130" i="2"/>
  <c r="CT130" i="2"/>
  <c r="CL130" i="2"/>
  <c r="CD130" i="2"/>
  <c r="CI130" i="2"/>
  <c r="CS130" i="2"/>
  <c r="CK130" i="2"/>
  <c r="CC130" i="2"/>
  <c r="CR130" i="2"/>
  <c r="CJ130" i="2"/>
  <c r="CB130" i="2"/>
  <c r="CP130" i="2"/>
  <c r="CH130" i="2"/>
  <c r="CQ130" i="2"/>
  <c r="BX131" i="2"/>
  <c r="BK131" i="2"/>
  <c r="BV131" i="2"/>
  <c r="BQ131" i="2"/>
  <c r="BT131" i="2"/>
  <c r="BJ131" i="2"/>
  <c r="BG131" i="2"/>
  <c r="BN131" i="2"/>
  <c r="BW131" i="2"/>
  <c r="BM131" i="2"/>
  <c r="BL131" i="2"/>
  <c r="BR131" i="2"/>
  <c r="BI131" i="2"/>
  <c r="H129" i="2"/>
  <c r="E129" i="2" s="1"/>
  <c r="BS131" i="2"/>
  <c r="BH131" i="2"/>
  <c r="BU131" i="2"/>
  <c r="BY131" i="2"/>
  <c r="BF131" i="2"/>
  <c r="BO131" i="2"/>
  <c r="BP131" i="2"/>
  <c r="CS131" i="2" l="1"/>
  <c r="CK131" i="2"/>
  <c r="CC131" i="2"/>
  <c r="CM131" i="2"/>
  <c r="CR131" i="2"/>
  <c r="CJ131" i="2"/>
  <c r="CB131" i="2"/>
  <c r="CQ131" i="2"/>
  <c r="CI131" i="2"/>
  <c r="CA131" i="2"/>
  <c r="CP131" i="2"/>
  <c r="CH131" i="2"/>
  <c r="CO131" i="2"/>
  <c r="CG131" i="2"/>
  <c r="CE131" i="2"/>
  <c r="CN131" i="2"/>
  <c r="CF131" i="2"/>
  <c r="CT131" i="2"/>
  <c r="CL131" i="2"/>
  <c r="CD131" i="2"/>
  <c r="BR132" i="2"/>
  <c r="BN132" i="2"/>
  <c r="BQ132" i="2"/>
  <c r="BU132" i="2"/>
  <c r="BO132" i="2"/>
  <c r="BV132" i="2"/>
  <c r="BP132" i="2"/>
  <c r="BH132" i="2"/>
  <c r="BL132" i="2"/>
  <c r="BM132" i="2"/>
  <c r="BJ132" i="2"/>
  <c r="BK132" i="2"/>
  <c r="BF132" i="2"/>
  <c r="BS132" i="2"/>
  <c r="BY132" i="2"/>
  <c r="H130" i="2"/>
  <c r="E130" i="2" s="1"/>
  <c r="BG132" i="2"/>
  <c r="BI132" i="2"/>
  <c r="BW132" i="2"/>
  <c r="BT132" i="2"/>
  <c r="BX132" i="2"/>
  <c r="CO132" i="2" l="1"/>
  <c r="CG132" i="2"/>
  <c r="CN132" i="2"/>
  <c r="CF132" i="2"/>
  <c r="CQ132" i="2"/>
  <c r="CM132" i="2"/>
  <c r="CE132" i="2"/>
  <c r="CI132" i="2"/>
  <c r="CT132" i="2"/>
  <c r="CL132" i="2"/>
  <c r="CD132" i="2"/>
  <c r="CS132" i="2"/>
  <c r="CK132" i="2"/>
  <c r="CC132" i="2"/>
  <c r="CR132" i="2"/>
  <c r="CJ132" i="2"/>
  <c r="CB132" i="2"/>
  <c r="CA132" i="2"/>
  <c r="CP132" i="2"/>
  <c r="CH132" i="2"/>
  <c r="BK133" i="2"/>
  <c r="BH133" i="2"/>
  <c r="BU133" i="2"/>
  <c r="BG133" i="2"/>
  <c r="BQ133" i="2"/>
  <c r="BT133" i="2"/>
  <c r="BJ133" i="2"/>
  <c r="BW133" i="2"/>
  <c r="BX133" i="2"/>
  <c r="BS133" i="2"/>
  <c r="BM133" i="2"/>
  <c r="BV133" i="2"/>
  <c r="BN133" i="2"/>
  <c r="BY133" i="2"/>
  <c r="BP133" i="2"/>
  <c r="BI133" i="2"/>
  <c r="H131" i="2"/>
  <c r="E131" i="2" s="1"/>
  <c r="BF133" i="2"/>
  <c r="BL133" i="2"/>
  <c r="BO133" i="2"/>
  <c r="BR133" i="2"/>
  <c r="CS133" i="2" l="1"/>
  <c r="CK133" i="2"/>
  <c r="CC133" i="2"/>
  <c r="CR133" i="2"/>
  <c r="CJ133" i="2"/>
  <c r="CB133" i="2"/>
  <c r="CQ133" i="2"/>
  <c r="CI133" i="2"/>
  <c r="CA133" i="2"/>
  <c r="CP133" i="2"/>
  <c r="CH133" i="2"/>
  <c r="CE133" i="2"/>
  <c r="CO133" i="2"/>
  <c r="CG133" i="2"/>
  <c r="CN133" i="2"/>
  <c r="CF133" i="2"/>
  <c r="CT133" i="2"/>
  <c r="CL133" i="2"/>
  <c r="CD133" i="2"/>
  <c r="CM133" i="2"/>
  <c r="BI134" i="2"/>
  <c r="BV134" i="2"/>
  <c r="BW134" i="2"/>
  <c r="BG134" i="2"/>
  <c r="BO134" i="2"/>
  <c r="BP134" i="2"/>
  <c r="BM134" i="2"/>
  <c r="BJ134" i="2"/>
  <c r="BU134" i="2"/>
  <c r="H132" i="2"/>
  <c r="E132" i="2" s="1"/>
  <c r="BY134" i="2"/>
  <c r="BS134" i="2"/>
  <c r="BT134" i="2"/>
  <c r="BH134" i="2"/>
  <c r="BR134" i="2"/>
  <c r="BL134" i="2"/>
  <c r="BF134" i="2"/>
  <c r="BN134" i="2"/>
  <c r="BX134" i="2"/>
  <c r="BQ134" i="2"/>
  <c r="BK134" i="2"/>
  <c r="CO134" i="2" l="1"/>
  <c r="CG134" i="2"/>
  <c r="CI134" i="2"/>
  <c r="CN134" i="2"/>
  <c r="CF134" i="2"/>
  <c r="CM134" i="2"/>
  <c r="CE134" i="2"/>
  <c r="CT134" i="2"/>
  <c r="CL134" i="2"/>
  <c r="CD134" i="2"/>
  <c r="CS134" i="2"/>
  <c r="CK134" i="2"/>
  <c r="CC134" i="2"/>
  <c r="CA134" i="2"/>
  <c r="CR134" i="2"/>
  <c r="CJ134" i="2"/>
  <c r="CB134" i="2"/>
  <c r="CQ134" i="2"/>
  <c r="CP134" i="2"/>
  <c r="CH134" i="2"/>
  <c r="BF135" i="2"/>
  <c r="BJ135" i="2"/>
  <c r="BG135" i="2"/>
  <c r="BK135" i="2"/>
  <c r="BQ135" i="2"/>
  <c r="BW135" i="2"/>
  <c r="BS135" i="2"/>
  <c r="BM135" i="2"/>
  <c r="BX135" i="2"/>
  <c r="BR135" i="2"/>
  <c r="BY135" i="2"/>
  <c r="BP135" i="2"/>
  <c r="BV135" i="2"/>
  <c r="BT135" i="2"/>
  <c r="BN135" i="2"/>
  <c r="BH135" i="2"/>
  <c r="BL135" i="2"/>
  <c r="H133" i="2"/>
  <c r="BU135" i="2"/>
  <c r="BO135" i="2"/>
  <c r="BI135" i="2"/>
  <c r="CS135" i="2" l="1"/>
  <c r="CK135" i="2"/>
  <c r="CC135" i="2"/>
  <c r="CR135" i="2"/>
  <c r="CJ135" i="2"/>
  <c r="CB135" i="2"/>
  <c r="CQ135" i="2"/>
  <c r="CI135" i="2"/>
  <c r="CA135" i="2"/>
  <c r="CE135" i="2"/>
  <c r="CP135" i="2"/>
  <c r="CH135" i="2"/>
  <c r="CM135" i="2"/>
  <c r="CO135" i="2"/>
  <c r="CG135" i="2"/>
  <c r="CN135" i="2"/>
  <c r="CF135" i="2"/>
  <c r="CT135" i="2"/>
  <c r="CL135" i="2"/>
  <c r="CD135" i="2"/>
  <c r="BH136" i="2"/>
  <c r="BP136" i="2"/>
  <c r="BM136" i="2"/>
  <c r="BK136" i="2"/>
  <c r="BO136" i="2"/>
  <c r="BY136" i="2"/>
  <c r="BT136" i="2"/>
  <c r="BR136" i="2"/>
  <c r="BW136" i="2"/>
  <c r="BJ136" i="2"/>
  <c r="BN136" i="2"/>
  <c r="BU136" i="2"/>
  <c r="H134" i="2"/>
  <c r="E134" i="2" s="1"/>
  <c r="BI136" i="2"/>
  <c r="BS136" i="2"/>
  <c r="BG136" i="2"/>
  <c r="BL136" i="2"/>
  <c r="BV136" i="2"/>
  <c r="BX136" i="2"/>
  <c r="BQ136" i="2"/>
  <c r="BF136" i="2"/>
  <c r="CO136" i="2" l="1"/>
  <c r="CG136" i="2"/>
  <c r="CA136" i="2"/>
  <c r="CN136" i="2"/>
  <c r="CF136" i="2"/>
  <c r="CM136" i="2"/>
  <c r="CE136" i="2"/>
  <c r="CT136" i="2"/>
  <c r="CL136" i="2"/>
  <c r="CD136" i="2"/>
  <c r="CS136" i="2"/>
  <c r="CK136" i="2"/>
  <c r="CC136" i="2"/>
  <c r="CI136" i="2"/>
  <c r="CR136" i="2"/>
  <c r="CJ136" i="2"/>
  <c r="CB136" i="2"/>
  <c r="CP136" i="2"/>
  <c r="CH136" i="2"/>
  <c r="CQ136" i="2"/>
  <c r="BU137" i="2"/>
  <c r="BR137" i="2"/>
  <c r="BK137" i="2"/>
  <c r="BF137" i="2"/>
  <c r="BL137" i="2"/>
  <c r="BQ137" i="2"/>
  <c r="BM137" i="2"/>
  <c r="BG137" i="2"/>
  <c r="BN137" i="2"/>
  <c r="BX137" i="2"/>
  <c r="BS137" i="2"/>
  <c r="BJ137" i="2"/>
  <c r="BY137" i="2"/>
  <c r="BP137" i="2"/>
  <c r="BT137" i="2"/>
  <c r="BV137" i="2"/>
  <c r="BI137" i="2"/>
  <c r="H135" i="2"/>
  <c r="E135" i="2" s="1"/>
  <c r="BW137" i="2"/>
  <c r="BO137" i="2"/>
  <c r="BH137" i="2"/>
  <c r="CS137" i="2" l="1"/>
  <c r="CK137" i="2"/>
  <c r="CC137" i="2"/>
  <c r="CR137" i="2"/>
  <c r="CJ137" i="2"/>
  <c r="CB137" i="2"/>
  <c r="CM137" i="2"/>
  <c r="CQ137" i="2"/>
  <c r="CI137" i="2"/>
  <c r="CA137" i="2"/>
  <c r="CE137" i="2"/>
  <c r="CP137" i="2"/>
  <c r="CH137" i="2"/>
  <c r="CO137" i="2"/>
  <c r="CG137" i="2"/>
  <c r="CN137" i="2"/>
  <c r="CF137" i="2"/>
  <c r="CT137" i="2"/>
  <c r="CL137" i="2"/>
  <c r="CD137" i="2"/>
  <c r="H136" i="2"/>
  <c r="E136" i="2" s="1"/>
  <c r="BV138" i="2"/>
  <c r="BJ138" i="2"/>
  <c r="BG138" i="2"/>
  <c r="BF138" i="2"/>
  <c r="BH138" i="2"/>
  <c r="BK138" i="2"/>
  <c r="BS138" i="2"/>
  <c r="BP138" i="2"/>
  <c r="BX138" i="2"/>
  <c r="BQ138" i="2"/>
  <c r="BR138" i="2"/>
  <c r="BO138" i="2"/>
  <c r="BT138" i="2"/>
  <c r="BM138" i="2"/>
  <c r="BW138" i="2"/>
  <c r="BI138" i="2"/>
  <c r="BY138" i="2"/>
  <c r="BN138" i="2"/>
  <c r="BL138" i="2"/>
  <c r="BU138" i="2"/>
  <c r="CP138" i="2" l="1"/>
  <c r="CH138" i="2"/>
  <c r="CB138" i="2"/>
  <c r="CO138" i="2"/>
  <c r="CG138" i="2"/>
  <c r="CN138" i="2"/>
  <c r="CF138" i="2"/>
  <c r="CM138" i="2"/>
  <c r="CE138" i="2"/>
  <c r="CA138" i="2"/>
  <c r="CJ138" i="2"/>
  <c r="CT138" i="2"/>
  <c r="CL138" i="2"/>
  <c r="CD138" i="2"/>
  <c r="CS138" i="2"/>
  <c r="CK138" i="2"/>
  <c r="CC138" i="2"/>
  <c r="CR138" i="2"/>
  <c r="CQ138" i="2"/>
  <c r="CI138" i="2"/>
  <c r="H137" i="2"/>
  <c r="E137" i="2" s="1"/>
  <c r="BU139" i="2"/>
  <c r="BO139" i="2"/>
  <c r="BP139" i="2"/>
  <c r="BF139" i="2"/>
  <c r="BW139" i="2"/>
  <c r="BS139" i="2"/>
  <c r="BG139" i="2"/>
  <c r="BN139" i="2"/>
  <c r="BQ139" i="2"/>
  <c r="BK139" i="2"/>
  <c r="BJ139" i="2"/>
  <c r="BI139" i="2"/>
  <c r="BL139" i="2"/>
  <c r="BR139" i="2"/>
  <c r="BM139" i="2"/>
  <c r="BY139" i="2"/>
  <c r="BT139" i="2"/>
  <c r="BX139" i="2"/>
  <c r="BH139" i="2"/>
  <c r="BV139" i="2"/>
  <c r="CT139" i="2" l="1"/>
  <c r="CL139" i="2"/>
  <c r="CD139" i="2"/>
  <c r="CS139" i="2"/>
  <c r="CK139" i="2"/>
  <c r="CC139" i="2"/>
  <c r="CM139" i="2"/>
  <c r="CR139" i="2"/>
  <c r="CJ139" i="2"/>
  <c r="CB139" i="2"/>
  <c r="CQ139" i="2"/>
  <c r="CI139" i="2"/>
  <c r="CA139" i="2"/>
  <c r="CP139" i="2"/>
  <c r="CH139" i="2"/>
  <c r="CE139" i="2"/>
  <c r="CO139" i="2"/>
  <c r="CG139" i="2"/>
  <c r="CN139" i="2"/>
  <c r="CF139" i="2"/>
  <c r="H138" i="2"/>
  <c r="BY140" i="2"/>
  <c r="BN140" i="2"/>
  <c r="BF140" i="2"/>
  <c r="BP140" i="2"/>
  <c r="BV140" i="2"/>
  <c r="BI140" i="2"/>
  <c r="BH140" i="2"/>
  <c r="BG140" i="2"/>
  <c r="BR140" i="2"/>
  <c r="BK140" i="2"/>
  <c r="BS140" i="2"/>
  <c r="BO140" i="2"/>
  <c r="BM140" i="2"/>
  <c r="BJ140" i="2"/>
  <c r="BX140" i="2"/>
  <c r="BT140" i="2"/>
  <c r="BL140" i="2"/>
  <c r="BQ140" i="2"/>
  <c r="BW140" i="2"/>
  <c r="BU140" i="2"/>
  <c r="CP140" i="2" l="1"/>
  <c r="CH140" i="2"/>
  <c r="CO140" i="2"/>
  <c r="CG140" i="2"/>
  <c r="CN140" i="2"/>
  <c r="CF140" i="2"/>
  <c r="CA140" i="2"/>
  <c r="CM140" i="2"/>
  <c r="CE140" i="2"/>
  <c r="CQ140" i="2"/>
  <c r="CT140" i="2"/>
  <c r="CL140" i="2"/>
  <c r="CD140" i="2"/>
  <c r="CS140" i="2"/>
  <c r="CK140" i="2"/>
  <c r="CC140" i="2"/>
  <c r="CR140" i="2"/>
  <c r="CJ140" i="2"/>
  <c r="CB140" i="2"/>
  <c r="CI140" i="2"/>
  <c r="BO141" i="2"/>
  <c r="BG141" i="2"/>
  <c r="BP141" i="2"/>
  <c r="H139" i="2"/>
  <c r="E139" i="2" s="1"/>
  <c r="BF141" i="2"/>
  <c r="BU141" i="2"/>
  <c r="BW141" i="2"/>
  <c r="BS141" i="2"/>
  <c r="BQ141" i="2"/>
  <c r="BJ141" i="2"/>
  <c r="BK141" i="2"/>
  <c r="BI141" i="2"/>
  <c r="BN141" i="2"/>
  <c r="BT141" i="2"/>
  <c r="BX141" i="2"/>
  <c r="BH141" i="2"/>
  <c r="BL141" i="2"/>
  <c r="BM141" i="2"/>
  <c r="BR141" i="2"/>
  <c r="BV141" i="2"/>
  <c r="BY141" i="2"/>
  <c r="CT141" i="2" l="1"/>
  <c r="CL141" i="2"/>
  <c r="CD141" i="2"/>
  <c r="CS141" i="2"/>
  <c r="CK141" i="2"/>
  <c r="CC141" i="2"/>
  <c r="CE141" i="2"/>
  <c r="CR141" i="2"/>
  <c r="CJ141" i="2"/>
  <c r="CB141" i="2"/>
  <c r="CQ141" i="2"/>
  <c r="CI141" i="2"/>
  <c r="CA141" i="2"/>
  <c r="CP141" i="2"/>
  <c r="CH141" i="2"/>
  <c r="CO141" i="2"/>
  <c r="CG141" i="2"/>
  <c r="CM141" i="2"/>
  <c r="CN141" i="2"/>
  <c r="CF141" i="2"/>
  <c r="BY142" i="2"/>
  <c r="BV142" i="2"/>
  <c r="BI142" i="2"/>
  <c r="BS142" i="2"/>
  <c r="BP142" i="2"/>
  <c r="BL142" i="2"/>
  <c r="BQ142" i="2"/>
  <c r="BR142" i="2"/>
  <c r="BX142" i="2"/>
  <c r="BK142" i="2"/>
  <c r="BW142" i="2"/>
  <c r="BG142" i="2"/>
  <c r="BN142" i="2"/>
  <c r="BH142" i="2"/>
  <c r="BM142" i="2"/>
  <c r="BT142" i="2"/>
  <c r="BJ142" i="2"/>
  <c r="BU142" i="2"/>
  <c r="BF142" i="2"/>
  <c r="H140" i="2"/>
  <c r="E140" i="2" s="1"/>
  <c r="BO142" i="2"/>
  <c r="CP142" i="2" l="1"/>
  <c r="CH142" i="2"/>
  <c r="CO142" i="2"/>
  <c r="CG142" i="2"/>
  <c r="CN142" i="2"/>
  <c r="CF142" i="2"/>
  <c r="CI142" i="2"/>
  <c r="CM142" i="2"/>
  <c r="CE142" i="2"/>
  <c r="CT142" i="2"/>
  <c r="CL142" i="2"/>
  <c r="CD142" i="2"/>
  <c r="CQ142" i="2"/>
  <c r="CS142" i="2"/>
  <c r="CK142" i="2"/>
  <c r="CC142" i="2"/>
  <c r="CR142" i="2"/>
  <c r="CJ142" i="2"/>
  <c r="CB142" i="2"/>
  <c r="CA142" i="2"/>
  <c r="BT143" i="2"/>
  <c r="BG143" i="2"/>
  <c r="BR143" i="2"/>
  <c r="BS143" i="2"/>
  <c r="BO143" i="2"/>
  <c r="BQ143" i="2"/>
  <c r="BM143" i="2"/>
  <c r="H141" i="2"/>
  <c r="E141" i="2" s="1"/>
  <c r="BU143" i="2"/>
  <c r="BV143" i="2"/>
  <c r="BF143" i="2"/>
  <c r="BW143" i="2"/>
  <c r="BI143" i="2"/>
  <c r="BH143" i="2"/>
  <c r="BK143" i="2"/>
  <c r="BL143" i="2"/>
  <c r="BJ143" i="2"/>
  <c r="BN143" i="2"/>
  <c r="BX143" i="2"/>
  <c r="BP143" i="2"/>
  <c r="BY143" i="2"/>
  <c r="CT143" i="2" l="1"/>
  <c r="CL143" i="2"/>
  <c r="CD143" i="2"/>
  <c r="CS143" i="2"/>
  <c r="CK143" i="2"/>
  <c r="CC143" i="2"/>
  <c r="CE143" i="2"/>
  <c r="CR143" i="2"/>
  <c r="CJ143" i="2"/>
  <c r="CB143" i="2"/>
  <c r="CQ143" i="2"/>
  <c r="CI143" i="2"/>
  <c r="CA143" i="2"/>
  <c r="CM143" i="2"/>
  <c r="CP143" i="2"/>
  <c r="CH143" i="2"/>
  <c r="CO143" i="2"/>
  <c r="CG143" i="2"/>
  <c r="CN143" i="2"/>
  <c r="CF143" i="2"/>
  <c r="BS144" i="2"/>
  <c r="BI144" i="2"/>
  <c r="BU144" i="2"/>
  <c r="BM144" i="2"/>
  <c r="BY144" i="2"/>
  <c r="BL144" i="2"/>
  <c r="BR144" i="2"/>
  <c r="BJ144" i="2"/>
  <c r="BW144" i="2"/>
  <c r="BG144" i="2"/>
  <c r="H142" i="2"/>
  <c r="E142" i="2" s="1"/>
  <c r="BX144" i="2"/>
  <c r="BK144" i="2"/>
  <c r="BF144" i="2"/>
  <c r="BH144" i="2"/>
  <c r="BP144" i="2"/>
  <c r="BQ144" i="2"/>
  <c r="BN144" i="2"/>
  <c r="BV144" i="2"/>
  <c r="BO144" i="2"/>
  <c r="BT144" i="2"/>
  <c r="CP144" i="2" l="1"/>
  <c r="CH144" i="2"/>
  <c r="CO144" i="2"/>
  <c r="CG144" i="2"/>
  <c r="CN144" i="2"/>
  <c r="CF144" i="2"/>
  <c r="CI144" i="2"/>
  <c r="CM144" i="2"/>
  <c r="CE144" i="2"/>
  <c r="CT144" i="2"/>
  <c r="CL144" i="2"/>
  <c r="CD144" i="2"/>
  <c r="CS144" i="2"/>
  <c r="CK144" i="2"/>
  <c r="CC144" i="2"/>
  <c r="CQ144" i="2"/>
  <c r="CR144" i="2"/>
  <c r="CJ144" i="2"/>
  <c r="CB144" i="2"/>
  <c r="CA144" i="2"/>
  <c r="BQ145" i="2"/>
  <c r="BK145" i="2"/>
  <c r="BJ145" i="2"/>
  <c r="BX145" i="2"/>
  <c r="BU145" i="2"/>
  <c r="BP145" i="2"/>
  <c r="BM145" i="2"/>
  <c r="BO145" i="2"/>
  <c r="H143" i="2"/>
  <c r="BG145" i="2"/>
  <c r="BL145" i="2"/>
  <c r="BI145" i="2"/>
  <c r="BT145" i="2"/>
  <c r="BV145" i="2"/>
  <c r="BH145" i="2"/>
  <c r="BF145" i="2"/>
  <c r="BR145" i="2"/>
  <c r="BN145" i="2"/>
  <c r="BW145" i="2"/>
  <c r="BY145" i="2"/>
  <c r="BS145" i="2"/>
  <c r="CT145" i="2" l="1"/>
  <c r="CL145" i="2"/>
  <c r="CD145" i="2"/>
  <c r="CS145" i="2"/>
  <c r="CK145" i="2"/>
  <c r="CC145" i="2"/>
  <c r="CM145" i="2"/>
  <c r="CR145" i="2"/>
  <c r="CJ145" i="2"/>
  <c r="CB145" i="2"/>
  <c r="CQ145" i="2"/>
  <c r="CI145" i="2"/>
  <c r="CA145" i="2"/>
  <c r="CE145" i="2"/>
  <c r="CP145" i="2"/>
  <c r="CH145" i="2"/>
  <c r="CO145" i="2"/>
  <c r="CG145" i="2"/>
  <c r="CN145" i="2"/>
  <c r="CF145" i="2"/>
  <c r="BT146" i="2"/>
  <c r="BO146" i="2"/>
  <c r="BX146" i="2"/>
  <c r="BS146" i="2"/>
  <c r="BJ146" i="2"/>
  <c r="BR146" i="2"/>
  <c r="BF146" i="2"/>
  <c r="BH146" i="2"/>
  <c r="BP146" i="2"/>
  <c r="BK146" i="2"/>
  <c r="BY146" i="2"/>
  <c r="BI146" i="2"/>
  <c r="BM146" i="2"/>
  <c r="BN146" i="2"/>
  <c r="BG146" i="2"/>
  <c r="H144" i="2"/>
  <c r="E144" i="2" s="1"/>
  <c r="BW146" i="2"/>
  <c r="BL146" i="2"/>
  <c r="BV146" i="2"/>
  <c r="BU146" i="2"/>
  <c r="BQ146" i="2"/>
  <c r="CP146" i="2" l="1"/>
  <c r="CH146" i="2"/>
  <c r="CO146" i="2"/>
  <c r="CG146" i="2"/>
  <c r="CN146" i="2"/>
  <c r="CF146" i="2"/>
  <c r="CI146" i="2"/>
  <c r="CM146" i="2"/>
  <c r="CE146" i="2"/>
  <c r="CT146" i="2"/>
  <c r="CL146" i="2"/>
  <c r="CD146" i="2"/>
  <c r="CQ146" i="2"/>
  <c r="CS146" i="2"/>
  <c r="CK146" i="2"/>
  <c r="CC146" i="2"/>
  <c r="CR146" i="2"/>
  <c r="CJ146" i="2"/>
  <c r="CB146" i="2"/>
  <c r="CA146" i="2"/>
  <c r="BW147" i="2"/>
  <c r="BI147" i="2"/>
  <c r="BU147" i="2"/>
  <c r="BH147" i="2"/>
  <c r="BY147" i="2"/>
  <c r="BN147" i="2"/>
  <c r="BK147" i="2"/>
  <c r="BR147" i="2"/>
  <c r="BO147" i="2"/>
  <c r="H145" i="2"/>
  <c r="E145" i="2" s="1"/>
  <c r="BG147" i="2"/>
  <c r="BF147" i="2"/>
  <c r="BX147" i="2"/>
  <c r="BV147" i="2"/>
  <c r="BL147" i="2"/>
  <c r="BQ147" i="2"/>
  <c r="BS147" i="2"/>
  <c r="BM147" i="2"/>
  <c r="BP147" i="2"/>
  <c r="BJ147" i="2"/>
  <c r="BT147" i="2"/>
  <c r="CT147" i="2" l="1"/>
  <c r="CL147" i="2"/>
  <c r="CD147" i="2"/>
  <c r="CS147" i="2"/>
  <c r="CK147" i="2"/>
  <c r="CC147" i="2"/>
  <c r="CR147" i="2"/>
  <c r="CJ147" i="2"/>
  <c r="CB147" i="2"/>
  <c r="CE147" i="2"/>
  <c r="CQ147" i="2"/>
  <c r="CI147" i="2"/>
  <c r="CA147" i="2"/>
  <c r="CP147" i="2"/>
  <c r="CH147" i="2"/>
  <c r="CO147" i="2"/>
  <c r="CG147" i="2"/>
  <c r="CM147" i="2"/>
  <c r="CN147" i="2"/>
  <c r="CF147" i="2"/>
  <c r="H146" i="2"/>
  <c r="E146" i="2" s="1"/>
  <c r="BR148" i="2"/>
  <c r="BH148" i="2"/>
  <c r="BT148" i="2"/>
  <c r="BX148" i="2"/>
  <c r="BJ148" i="2"/>
  <c r="BU148" i="2"/>
  <c r="BL148" i="2"/>
  <c r="BG148" i="2"/>
  <c r="BQ148" i="2"/>
  <c r="BI148" i="2"/>
  <c r="BS148" i="2"/>
  <c r="BF148" i="2"/>
  <c r="BK148" i="2"/>
  <c r="BP148" i="2"/>
  <c r="BN148" i="2"/>
  <c r="BM148" i="2"/>
  <c r="BV148" i="2"/>
  <c r="BO148" i="2"/>
  <c r="BY148" i="2"/>
  <c r="BW148" i="2"/>
  <c r="CP148" i="2" l="1"/>
  <c r="CH148" i="2"/>
  <c r="CO148" i="2"/>
  <c r="CG148" i="2"/>
  <c r="CA148" i="2"/>
  <c r="CN148" i="2"/>
  <c r="CF148" i="2"/>
  <c r="CM148" i="2"/>
  <c r="CE148" i="2"/>
  <c r="CI148" i="2"/>
  <c r="CT148" i="2"/>
  <c r="CL148" i="2"/>
  <c r="CD148" i="2"/>
  <c r="CS148" i="2"/>
  <c r="CK148" i="2"/>
  <c r="CC148" i="2"/>
  <c r="CR148" i="2"/>
  <c r="CJ148" i="2"/>
  <c r="CB148" i="2"/>
  <c r="CQ148" i="2"/>
  <c r="BM149" i="2"/>
  <c r="BY149" i="2"/>
  <c r="BL149" i="2"/>
  <c r="BT149" i="2"/>
  <c r="BW149" i="2"/>
  <c r="BX149" i="2"/>
  <c r="BO149" i="2"/>
  <c r="BP149" i="2"/>
  <c r="BI149" i="2"/>
  <c r="BU149" i="2"/>
  <c r="BH149" i="2"/>
  <c r="BG149" i="2"/>
  <c r="BS149" i="2"/>
  <c r="BN149" i="2"/>
  <c r="BV149" i="2"/>
  <c r="BK149" i="2"/>
  <c r="BQ149" i="2"/>
  <c r="BJ149" i="2"/>
  <c r="BR149" i="2"/>
  <c r="BF149" i="2"/>
  <c r="H147" i="2"/>
  <c r="E147" i="2" s="1"/>
  <c r="CT149" i="2" l="1"/>
  <c r="CL149" i="2"/>
  <c r="CD149" i="2"/>
  <c r="CS149" i="2"/>
  <c r="CK149" i="2"/>
  <c r="CC149" i="2"/>
  <c r="CR149" i="2"/>
  <c r="CJ149" i="2"/>
  <c r="CB149" i="2"/>
  <c r="CQ149" i="2"/>
  <c r="CI149" i="2"/>
  <c r="CA149" i="2"/>
  <c r="CP149" i="2"/>
  <c r="CH149" i="2"/>
  <c r="CO149" i="2"/>
  <c r="CG149" i="2"/>
  <c r="CN149" i="2"/>
  <c r="CF149" i="2"/>
  <c r="CM149" i="2"/>
  <c r="CE149" i="2"/>
  <c r="H148" i="2"/>
  <c r="BG150" i="2"/>
  <c r="BH150" i="2"/>
  <c r="BP150" i="2"/>
  <c r="BT150" i="2"/>
  <c r="BJ150" i="2"/>
  <c r="BN150" i="2"/>
  <c r="BU150" i="2"/>
  <c r="BX150" i="2"/>
  <c r="BY150" i="2"/>
  <c r="BK150" i="2"/>
  <c r="BR150" i="2"/>
  <c r="BO150" i="2"/>
  <c r="BF150" i="2"/>
  <c r="BV150" i="2"/>
  <c r="BL150" i="2"/>
  <c r="BQ150" i="2"/>
  <c r="BS150" i="2"/>
  <c r="BI150" i="2"/>
  <c r="BW150" i="2"/>
  <c r="BM150" i="2"/>
  <c r="CP150" i="2" l="1"/>
  <c r="CH150" i="2"/>
  <c r="CO150" i="2"/>
  <c r="CG150" i="2"/>
  <c r="CN150" i="2"/>
  <c r="CF150" i="2"/>
  <c r="CM150" i="2"/>
  <c r="CE150" i="2"/>
  <c r="CT150" i="2"/>
  <c r="CL150" i="2"/>
  <c r="CD150" i="2"/>
  <c r="CS150" i="2"/>
  <c r="CK150" i="2"/>
  <c r="CC150" i="2"/>
  <c r="CR150" i="2"/>
  <c r="CJ150" i="2"/>
  <c r="CB150" i="2"/>
  <c r="CQ150" i="2"/>
  <c r="CI150" i="2"/>
  <c r="CA150" i="2"/>
  <c r="BM151" i="2"/>
  <c r="BQ151" i="2"/>
  <c r="BO151" i="2"/>
  <c r="BX151" i="2"/>
  <c r="BT151" i="2"/>
  <c r="BR151" i="2"/>
  <c r="BP151" i="2"/>
  <c r="BW151" i="2"/>
  <c r="BL151" i="2"/>
  <c r="BU151" i="2"/>
  <c r="BI151" i="2"/>
  <c r="BV151" i="2"/>
  <c r="BK151" i="2"/>
  <c r="BN151" i="2"/>
  <c r="BH151" i="2"/>
  <c r="H149" i="2"/>
  <c r="E149" i="2" s="1"/>
  <c r="BS151" i="2"/>
  <c r="BF151" i="2"/>
  <c r="BY151" i="2"/>
  <c r="BJ151" i="2"/>
  <c r="BG151" i="2"/>
  <c r="CT151" i="2" l="1"/>
  <c r="CL151" i="2"/>
  <c r="CD151" i="2"/>
  <c r="CS151" i="2"/>
  <c r="CK151" i="2"/>
  <c r="CC151" i="2"/>
  <c r="CR151" i="2"/>
  <c r="CJ151" i="2"/>
  <c r="CB151" i="2"/>
  <c r="CQ151" i="2"/>
  <c r="CI151" i="2"/>
  <c r="CA151" i="2"/>
  <c r="CP151" i="2"/>
  <c r="CH151" i="2"/>
  <c r="CO151" i="2"/>
  <c r="CG151" i="2"/>
  <c r="CN151" i="2"/>
  <c r="CF151" i="2"/>
  <c r="CM151" i="2"/>
  <c r="CE151" i="2"/>
  <c r="BV152" i="2"/>
  <c r="BW152" i="2"/>
  <c r="BJ152" i="2"/>
  <c r="BO152" i="2"/>
  <c r="BI152" i="2"/>
  <c r="BS152" i="2"/>
  <c r="BH152" i="2"/>
  <c r="BP152" i="2"/>
  <c r="BN152" i="2"/>
  <c r="BU152" i="2"/>
  <c r="BR152" i="2"/>
  <c r="BQ152" i="2"/>
  <c r="BG152" i="2"/>
  <c r="H150" i="2"/>
  <c r="E150" i="2" s="1"/>
  <c r="BX152" i="2"/>
  <c r="BY152" i="2"/>
  <c r="BF152" i="2"/>
  <c r="BK152" i="2"/>
  <c r="BL152" i="2"/>
  <c r="BT152" i="2"/>
  <c r="BM152" i="2"/>
  <c r="CP152" i="2" l="1"/>
  <c r="CH152" i="2"/>
  <c r="CO152" i="2"/>
  <c r="CG152" i="2"/>
  <c r="CN152" i="2"/>
  <c r="CF152" i="2"/>
  <c r="CM152" i="2"/>
  <c r="CE152" i="2"/>
  <c r="CT152" i="2"/>
  <c r="CL152" i="2"/>
  <c r="CD152" i="2"/>
  <c r="CS152" i="2"/>
  <c r="CK152" i="2"/>
  <c r="CC152" i="2"/>
  <c r="CR152" i="2"/>
  <c r="CJ152" i="2"/>
  <c r="CB152" i="2"/>
  <c r="CQ152" i="2"/>
  <c r="CI152" i="2"/>
  <c r="CA152" i="2"/>
  <c r="BH153" i="2"/>
  <c r="BJ153" i="2"/>
  <c r="BQ153" i="2"/>
  <c r="BT153" i="2"/>
  <c r="BL153" i="2"/>
  <c r="BX153" i="2"/>
  <c r="BF153" i="2"/>
  <c r="BO153" i="2"/>
  <c r="BR153" i="2"/>
  <c r="BU153" i="2"/>
  <c r="BS153" i="2"/>
  <c r="BW153" i="2"/>
  <c r="BM153" i="2"/>
  <c r="BP153" i="2"/>
  <c r="BY153" i="2"/>
  <c r="BK153" i="2"/>
  <c r="H151" i="2"/>
  <c r="E151" i="2" s="1"/>
  <c r="BG153" i="2"/>
  <c r="BN153" i="2"/>
  <c r="BI153" i="2"/>
  <c r="BV153" i="2"/>
  <c r="CT153" i="2" l="1"/>
  <c r="CL153" i="2"/>
  <c r="CD153" i="2"/>
  <c r="CS153" i="2"/>
  <c r="CK153" i="2"/>
  <c r="CC153" i="2"/>
  <c r="CR153" i="2"/>
  <c r="CJ153" i="2"/>
  <c r="CB153" i="2"/>
  <c r="CQ153" i="2"/>
  <c r="CI153" i="2"/>
  <c r="CA153" i="2"/>
  <c r="CP153" i="2"/>
  <c r="CH153" i="2"/>
  <c r="CO153" i="2"/>
  <c r="CG153" i="2"/>
  <c r="CN153" i="2"/>
  <c r="CF153" i="2"/>
  <c r="CM153" i="2"/>
  <c r="CE153" i="2"/>
  <c r="BO154" i="2"/>
  <c r="BI154" i="2"/>
  <c r="H152" i="2"/>
  <c r="E152" i="2" s="1"/>
  <c r="BY154" i="2"/>
  <c r="BS154" i="2"/>
  <c r="BF154" i="2"/>
  <c r="BQ154" i="2"/>
  <c r="BW154" i="2"/>
  <c r="BT154" i="2"/>
  <c r="BN154" i="2"/>
  <c r="BV154" i="2"/>
  <c r="BP154" i="2"/>
  <c r="BU154" i="2"/>
  <c r="BX154" i="2"/>
  <c r="BJ154" i="2"/>
  <c r="BG154" i="2"/>
  <c r="BK154" i="2"/>
  <c r="BM154" i="2"/>
  <c r="BR154" i="2"/>
  <c r="BL154" i="2"/>
  <c r="BH154" i="2"/>
  <c r="CP154" i="2" l="1"/>
  <c r="CH154" i="2"/>
  <c r="CB154" i="2"/>
  <c r="CO154" i="2"/>
  <c r="CG154" i="2"/>
  <c r="CJ154" i="2"/>
  <c r="CN154" i="2"/>
  <c r="CF154" i="2"/>
  <c r="CR154" i="2"/>
  <c r="CM154" i="2"/>
  <c r="CE154" i="2"/>
  <c r="CT154" i="2"/>
  <c r="CL154" i="2"/>
  <c r="CD154" i="2"/>
  <c r="CS154" i="2"/>
  <c r="CK154" i="2"/>
  <c r="CC154" i="2"/>
  <c r="CQ154" i="2"/>
  <c r="CI154" i="2"/>
  <c r="CA154" i="2"/>
  <c r="BL155" i="2"/>
  <c r="BH155" i="2"/>
  <c r="BK155" i="2"/>
  <c r="BU155" i="2"/>
  <c r="BT155" i="2"/>
  <c r="BS155" i="2"/>
  <c r="BP155" i="2"/>
  <c r="BJ155" i="2"/>
  <c r="H153" i="2"/>
  <c r="BI155" i="2"/>
  <c r="BY155" i="2"/>
  <c r="BR155" i="2"/>
  <c r="BM155" i="2"/>
  <c r="BX155" i="2"/>
  <c r="BN155" i="2"/>
  <c r="BF155" i="2"/>
  <c r="BG155" i="2"/>
  <c r="BW155" i="2"/>
  <c r="BV155" i="2"/>
  <c r="BQ155" i="2"/>
  <c r="BO155" i="2"/>
  <c r="CT155" i="2" l="1"/>
  <c r="CL155" i="2"/>
  <c r="CD155" i="2"/>
  <c r="CS155" i="2"/>
  <c r="CK155" i="2"/>
  <c r="CC155" i="2"/>
  <c r="CR155" i="2"/>
  <c r="CJ155" i="2"/>
  <c r="CB155" i="2"/>
  <c r="CQ155" i="2"/>
  <c r="CI155" i="2"/>
  <c r="CA155" i="2"/>
  <c r="CP155" i="2"/>
  <c r="CH155" i="2"/>
  <c r="CN155" i="2"/>
  <c r="CO155" i="2"/>
  <c r="CG155" i="2"/>
  <c r="CF155" i="2"/>
  <c r="CM155" i="2"/>
  <c r="CE155" i="2"/>
  <c r="H154" i="2"/>
  <c r="E154" i="2" s="1"/>
  <c r="BO156" i="2"/>
  <c r="BK156" i="2"/>
  <c r="BQ156" i="2"/>
  <c r="BP156" i="2"/>
  <c r="BN156" i="2"/>
  <c r="BY156" i="2"/>
  <c r="BF156" i="2"/>
  <c r="BS156" i="2"/>
  <c r="BH156" i="2"/>
  <c r="BG156" i="2"/>
  <c r="BM156" i="2"/>
  <c r="BU156" i="2"/>
  <c r="BW156" i="2"/>
  <c r="BX156" i="2"/>
  <c r="BI156" i="2"/>
  <c r="BJ156" i="2"/>
  <c r="BR156" i="2"/>
  <c r="BV156" i="2"/>
  <c r="BT156" i="2"/>
  <c r="BL156" i="2"/>
  <c r="CP156" i="2" l="1"/>
  <c r="CH156" i="2"/>
  <c r="CB156" i="2"/>
  <c r="CO156" i="2"/>
  <c r="CG156" i="2"/>
  <c r="CJ156" i="2"/>
  <c r="CN156" i="2"/>
  <c r="CF156" i="2"/>
  <c r="CR156" i="2"/>
  <c r="CM156" i="2"/>
  <c r="CE156" i="2"/>
  <c r="CT156" i="2"/>
  <c r="CL156" i="2"/>
  <c r="CD156" i="2"/>
  <c r="CS156" i="2"/>
  <c r="CK156" i="2"/>
  <c r="CC156" i="2"/>
  <c r="CQ156" i="2"/>
  <c r="CI156" i="2"/>
  <c r="CA156" i="2"/>
  <c r="BL157" i="2"/>
  <c r="BP157" i="2"/>
  <c r="BJ157" i="2"/>
  <c r="BU157" i="2"/>
  <c r="BS157" i="2"/>
  <c r="BT157" i="2"/>
  <c r="BF157" i="2"/>
  <c r="BV157" i="2"/>
  <c r="BX157" i="2"/>
  <c r="BG157" i="2"/>
  <c r="BY157" i="2"/>
  <c r="BK157" i="2"/>
  <c r="H155" i="2"/>
  <c r="E155" i="2" s="1"/>
  <c r="BI157" i="2"/>
  <c r="BM157" i="2"/>
  <c r="BQ157" i="2"/>
  <c r="BR157" i="2"/>
  <c r="BW157" i="2"/>
  <c r="BH157" i="2"/>
  <c r="BN157" i="2"/>
  <c r="BO157" i="2"/>
  <c r="CT157" i="2" l="1"/>
  <c r="CL157" i="2"/>
  <c r="CD157" i="2"/>
  <c r="CN157" i="2"/>
  <c r="CS157" i="2"/>
  <c r="CK157" i="2"/>
  <c r="CC157" i="2"/>
  <c r="CR157" i="2"/>
  <c r="CJ157" i="2"/>
  <c r="CB157" i="2"/>
  <c r="CQ157" i="2"/>
  <c r="CI157" i="2"/>
  <c r="CA157" i="2"/>
  <c r="CP157" i="2"/>
  <c r="CH157" i="2"/>
  <c r="CO157" i="2"/>
  <c r="CG157" i="2"/>
  <c r="CF157" i="2"/>
  <c r="CM157" i="2"/>
  <c r="CE157" i="2"/>
  <c r="BK158" i="2"/>
  <c r="BQ158" i="2"/>
  <c r="BF158" i="2"/>
  <c r="BJ158" i="2"/>
  <c r="H156" i="2"/>
  <c r="E156" i="2" s="1"/>
  <c r="BR158" i="2"/>
  <c r="BV158" i="2"/>
  <c r="BY158" i="2"/>
  <c r="BG158" i="2"/>
  <c r="BT158" i="2"/>
  <c r="BP158" i="2"/>
  <c r="BU158" i="2"/>
  <c r="BN158" i="2"/>
  <c r="BH158" i="2"/>
  <c r="BM158" i="2"/>
  <c r="BW158" i="2"/>
  <c r="BI158" i="2"/>
  <c r="BO158" i="2"/>
  <c r="BX158" i="2"/>
  <c r="BS158" i="2"/>
  <c r="BL158" i="2"/>
  <c r="CP158" i="2" l="1"/>
  <c r="CH158" i="2"/>
  <c r="CO158" i="2"/>
  <c r="CG158" i="2"/>
  <c r="CB158" i="2"/>
  <c r="CN158" i="2"/>
  <c r="CF158" i="2"/>
  <c r="CM158" i="2"/>
  <c r="CE158" i="2"/>
  <c r="CT158" i="2"/>
  <c r="CL158" i="2"/>
  <c r="CD158" i="2"/>
  <c r="CJ158" i="2"/>
  <c r="CS158" i="2"/>
  <c r="CK158" i="2"/>
  <c r="CC158" i="2"/>
  <c r="CQ158" i="2"/>
  <c r="CI158" i="2"/>
  <c r="CA158" i="2"/>
  <c r="CR158" i="2"/>
  <c r="BL159" i="2"/>
  <c r="BJ159" i="2"/>
  <c r="BG159" i="2"/>
  <c r="H157" i="2"/>
  <c r="E157" i="2" s="1"/>
  <c r="BF159" i="2"/>
  <c r="BS159" i="2"/>
  <c r="BU159" i="2"/>
  <c r="BX159" i="2"/>
  <c r="BP159" i="2"/>
  <c r="BV159" i="2"/>
  <c r="BW159" i="2"/>
  <c r="BY159" i="2"/>
  <c r="BQ159" i="2"/>
  <c r="BI159" i="2"/>
  <c r="BM159" i="2"/>
  <c r="BO159" i="2"/>
  <c r="BH159" i="2"/>
  <c r="BT159" i="2"/>
  <c r="BR159" i="2"/>
  <c r="BN159" i="2"/>
  <c r="BK159" i="2"/>
  <c r="CT159" i="2" l="1"/>
  <c r="CL159" i="2"/>
  <c r="CD159" i="2"/>
  <c r="CS159" i="2"/>
  <c r="CK159" i="2"/>
  <c r="CC159" i="2"/>
  <c r="CR159" i="2"/>
  <c r="CJ159" i="2"/>
  <c r="CB159" i="2"/>
  <c r="CF159" i="2"/>
  <c r="CQ159" i="2"/>
  <c r="CI159" i="2"/>
  <c r="CA159" i="2"/>
  <c r="CP159" i="2"/>
  <c r="CH159" i="2"/>
  <c r="CO159" i="2"/>
  <c r="CG159" i="2"/>
  <c r="CN159" i="2"/>
  <c r="CM159" i="2"/>
  <c r="CE159" i="2"/>
  <c r="BK160" i="2"/>
  <c r="BH160" i="2"/>
  <c r="BQ160" i="2"/>
  <c r="BP160" i="2"/>
  <c r="BF160" i="2"/>
  <c r="BN160" i="2"/>
  <c r="BO160" i="2"/>
  <c r="BY160" i="2"/>
  <c r="BX160" i="2"/>
  <c r="BG160" i="2"/>
  <c r="BW160" i="2"/>
  <c r="BU160" i="2"/>
  <c r="BM160" i="2"/>
  <c r="BJ160" i="2"/>
  <c r="BR160" i="2"/>
  <c r="BT160" i="2"/>
  <c r="BI160" i="2"/>
  <c r="BV160" i="2"/>
  <c r="BS160" i="2"/>
  <c r="H158" i="2"/>
  <c r="BL160" i="2"/>
  <c r="CP160" i="2" l="1"/>
  <c r="CH160" i="2"/>
  <c r="CJ160" i="2"/>
  <c r="CO160" i="2"/>
  <c r="CG160" i="2"/>
  <c r="CB160" i="2"/>
  <c r="CN160" i="2"/>
  <c r="CF160" i="2"/>
  <c r="CM160" i="2"/>
  <c r="CE160" i="2"/>
  <c r="CT160" i="2"/>
  <c r="CL160" i="2"/>
  <c r="CD160" i="2"/>
  <c r="CS160" i="2"/>
  <c r="CK160" i="2"/>
  <c r="CC160" i="2"/>
  <c r="CQ160" i="2"/>
  <c r="CI160" i="2"/>
  <c r="CA160" i="2"/>
  <c r="CR160" i="2"/>
  <c r="BT161" i="2"/>
  <c r="BU161" i="2"/>
  <c r="BY161" i="2"/>
  <c r="BP161" i="2"/>
  <c r="BQ161" i="2"/>
  <c r="BR161" i="2"/>
  <c r="BS161" i="2"/>
  <c r="BW161" i="2"/>
  <c r="BO161" i="2"/>
  <c r="BV161" i="2"/>
  <c r="BJ161" i="2"/>
  <c r="BG161" i="2"/>
  <c r="BN161" i="2"/>
  <c r="BH161" i="2"/>
  <c r="H159" i="2"/>
  <c r="E159" i="2" s="1"/>
  <c r="BL161" i="2"/>
  <c r="BI161" i="2"/>
  <c r="BM161" i="2"/>
  <c r="BX161" i="2"/>
  <c r="BF161" i="2"/>
  <c r="BK161" i="2"/>
  <c r="CT161" i="2" l="1"/>
  <c r="CL161" i="2"/>
  <c r="CD161" i="2"/>
  <c r="CS161" i="2"/>
  <c r="CK161" i="2"/>
  <c r="CC161" i="2"/>
  <c r="CR161" i="2"/>
  <c r="CJ161" i="2"/>
  <c r="CB161" i="2"/>
  <c r="CN161" i="2"/>
  <c r="CQ161" i="2"/>
  <c r="CI161" i="2"/>
  <c r="CA161" i="2"/>
  <c r="CP161" i="2"/>
  <c r="CH161" i="2"/>
  <c r="CF161" i="2"/>
  <c r="CO161" i="2"/>
  <c r="CG161" i="2"/>
  <c r="CM161" i="2"/>
  <c r="CE161" i="2"/>
  <c r="BW162" i="2"/>
  <c r="BP162" i="2"/>
  <c r="BI162" i="2"/>
  <c r="BF162" i="2"/>
  <c r="BJ162" i="2"/>
  <c r="BS162" i="2"/>
  <c r="BY162" i="2"/>
  <c r="BK162" i="2"/>
  <c r="H160" i="2"/>
  <c r="E160" i="2" s="1"/>
  <c r="BL162" i="2"/>
  <c r="BX162" i="2"/>
  <c r="BH162" i="2"/>
  <c r="BV162" i="2"/>
  <c r="BR162" i="2"/>
  <c r="BU162" i="2"/>
  <c r="BM162" i="2"/>
  <c r="BG162" i="2"/>
  <c r="BN162" i="2"/>
  <c r="BO162" i="2"/>
  <c r="BQ162" i="2"/>
  <c r="BT162" i="2"/>
  <c r="CP162" i="2" l="1"/>
  <c r="CH162" i="2"/>
  <c r="CR162" i="2"/>
  <c r="CO162" i="2"/>
  <c r="CG162" i="2"/>
  <c r="CJ162" i="2"/>
  <c r="CN162" i="2"/>
  <c r="CF162" i="2"/>
  <c r="CM162" i="2"/>
  <c r="CE162" i="2"/>
  <c r="CT162" i="2"/>
  <c r="CL162" i="2"/>
  <c r="CD162" i="2"/>
  <c r="CS162" i="2"/>
  <c r="CK162" i="2"/>
  <c r="CC162" i="2"/>
  <c r="CB162" i="2"/>
  <c r="CQ162" i="2"/>
  <c r="CI162" i="2"/>
  <c r="CA162" i="2"/>
  <c r="H161" i="2"/>
  <c r="E161" i="2" s="1"/>
  <c r="BF163" i="2"/>
  <c r="BK163" i="2"/>
  <c r="BQ163" i="2"/>
  <c r="BM163" i="2"/>
  <c r="BH163" i="2"/>
  <c r="BI163" i="2"/>
  <c r="BG163" i="2"/>
  <c r="BY163" i="2"/>
  <c r="BU163" i="2"/>
  <c r="BX163" i="2"/>
  <c r="BS163" i="2"/>
  <c r="BP163" i="2"/>
  <c r="BT163" i="2"/>
  <c r="BV163" i="2"/>
  <c r="BN163" i="2"/>
  <c r="BR163" i="2"/>
  <c r="BL163" i="2"/>
  <c r="BO163" i="2"/>
  <c r="BJ163" i="2"/>
  <c r="BW163" i="2"/>
  <c r="CT163" i="2" l="1"/>
  <c r="CL163" i="2"/>
  <c r="CD163" i="2"/>
  <c r="CS163" i="2"/>
  <c r="CK163" i="2"/>
  <c r="CC163" i="2"/>
  <c r="CR163" i="2"/>
  <c r="CJ163" i="2"/>
  <c r="CB163" i="2"/>
  <c r="CQ163" i="2"/>
  <c r="CI163" i="2"/>
  <c r="CA163" i="2"/>
  <c r="CF163" i="2"/>
  <c r="CP163" i="2"/>
  <c r="CH163" i="2"/>
  <c r="CO163" i="2"/>
  <c r="CG163" i="2"/>
  <c r="CM163" i="2"/>
  <c r="CE163" i="2"/>
  <c r="CN163" i="2"/>
  <c r="BW164" i="2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BP164" i="2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BY164" i="2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BM164" i="2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Q164" i="2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BG164" i="2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N164" i="2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BO164" i="2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BV164" i="2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BX164" i="2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BI164" i="2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K164" i="2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S164" i="2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BR164" i="2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BJ164" i="2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H162" i="2"/>
  <c r="E162" i="2" s="1"/>
  <c r="BL164" i="2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BT164" i="2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BU164" i="2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BH164" i="2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BF164" i="2"/>
  <c r="BF165" i="2" l="1"/>
  <c r="CP164" i="2"/>
  <c r="CH164" i="2"/>
  <c r="CO164" i="2"/>
  <c r="CG164" i="2"/>
  <c r="CN164" i="2"/>
  <c r="CF164" i="2"/>
  <c r="CJ164" i="2"/>
  <c r="CM164" i="2"/>
  <c r="CE164" i="2"/>
  <c r="CT164" i="2"/>
  <c r="CL164" i="2"/>
  <c r="CD164" i="2"/>
  <c r="CR164" i="2"/>
  <c r="CS164" i="2"/>
  <c r="CK164" i="2"/>
  <c r="CC164" i="2"/>
  <c r="CB164" i="2"/>
  <c r="CQ164" i="2"/>
  <c r="CI164" i="2"/>
  <c r="CA164" i="2"/>
  <c r="H163" i="2"/>
  <c r="H164" i="2" l="1"/>
  <c r="E164" i="2" s="1"/>
  <c r="BF166" i="2"/>
  <c r="CT165" i="2"/>
  <c r="CL165" i="2"/>
  <c r="CD165" i="2"/>
  <c r="CN165" i="2"/>
  <c r="CS165" i="2"/>
  <c r="CK165" i="2"/>
  <c r="CC165" i="2"/>
  <c r="CF165" i="2"/>
  <c r="CR165" i="2"/>
  <c r="CJ165" i="2"/>
  <c r="CB165" i="2"/>
  <c r="CQ165" i="2"/>
  <c r="CI165" i="2"/>
  <c r="CA165" i="2"/>
  <c r="CP165" i="2"/>
  <c r="CH165" i="2"/>
  <c r="CO165" i="2"/>
  <c r="CG165" i="2"/>
  <c r="CM165" i="2"/>
  <c r="CE165" i="2"/>
  <c r="H165" i="2" l="1"/>
  <c r="E165" i="2" s="1"/>
  <c r="BF167" i="2"/>
  <c r="CP166" i="2"/>
  <c r="CH166" i="2"/>
  <c r="CR166" i="2"/>
  <c r="CO166" i="2"/>
  <c r="CG166" i="2"/>
  <c r="CN166" i="2"/>
  <c r="CF166" i="2"/>
  <c r="CJ166" i="2"/>
  <c r="CM166" i="2"/>
  <c r="CE166" i="2"/>
  <c r="CT166" i="2"/>
  <c r="CL166" i="2"/>
  <c r="CD166" i="2"/>
  <c r="CS166" i="2"/>
  <c r="CK166" i="2"/>
  <c r="CC166" i="2"/>
  <c r="CB166" i="2"/>
  <c r="CQ166" i="2"/>
  <c r="CI166" i="2"/>
  <c r="CA166" i="2"/>
  <c r="H166" i="2" l="1"/>
  <c r="E166" i="2" s="1"/>
  <c r="BF168" i="2"/>
  <c r="CT167" i="2"/>
  <c r="CL167" i="2"/>
  <c r="CD167" i="2"/>
  <c r="CS167" i="2"/>
  <c r="CK167" i="2"/>
  <c r="CC167" i="2"/>
  <c r="CN167" i="2"/>
  <c r="CR167" i="2"/>
  <c r="CJ167" i="2"/>
  <c r="CB167" i="2"/>
  <c r="CQ167" i="2"/>
  <c r="CI167" i="2"/>
  <c r="CA167" i="2"/>
  <c r="CP167" i="2"/>
  <c r="CH167" i="2"/>
  <c r="CF167" i="2"/>
  <c r="CO167" i="2"/>
  <c r="CG167" i="2"/>
  <c r="CM167" i="2"/>
  <c r="CE167" i="2"/>
  <c r="BF169" i="2" l="1"/>
  <c r="CP168" i="2"/>
  <c r="CH168" i="2"/>
  <c r="CO168" i="2"/>
  <c r="CG168" i="2"/>
  <c r="CN168" i="2"/>
  <c r="CF168" i="2"/>
  <c r="CJ168" i="2"/>
  <c r="CM168" i="2"/>
  <c r="CE168" i="2"/>
  <c r="CT168" i="2"/>
  <c r="CL168" i="2"/>
  <c r="CD168" i="2"/>
  <c r="CS168" i="2"/>
  <c r="CK168" i="2"/>
  <c r="CC168" i="2"/>
  <c r="CB168" i="2"/>
  <c r="CQ168" i="2"/>
  <c r="CI168" i="2"/>
  <c r="CA168" i="2"/>
  <c r="CR168" i="2"/>
  <c r="H167" i="2"/>
  <c r="E167" i="2" s="1"/>
  <c r="BF170" i="2" l="1"/>
  <c r="CT169" i="2"/>
  <c r="CL169" i="2"/>
  <c r="CD169" i="2"/>
  <c r="CS169" i="2"/>
  <c r="CK169" i="2"/>
  <c r="CC169" i="2"/>
  <c r="CR169" i="2"/>
  <c r="CJ169" i="2"/>
  <c r="CB169" i="2"/>
  <c r="CQ169" i="2"/>
  <c r="CI169" i="2"/>
  <c r="CA169" i="2"/>
  <c r="CP169" i="2"/>
  <c r="CH169" i="2"/>
  <c r="CO169" i="2"/>
  <c r="CG169" i="2"/>
  <c r="CN169" i="2"/>
  <c r="CF169" i="2"/>
  <c r="CM169" i="2"/>
  <c r="CE169" i="2"/>
  <c r="H168" i="2"/>
  <c r="H169" i="2" l="1"/>
  <c r="E169" i="2" s="1"/>
  <c r="BF171" i="2"/>
  <c r="CP170" i="2"/>
  <c r="CH170" i="2"/>
  <c r="CO170" i="2"/>
  <c r="CG170" i="2"/>
  <c r="CN170" i="2"/>
  <c r="CF170" i="2"/>
  <c r="CM170" i="2"/>
  <c r="CE170" i="2"/>
  <c r="CT170" i="2"/>
  <c r="CL170" i="2"/>
  <c r="CD170" i="2"/>
  <c r="CS170" i="2"/>
  <c r="CK170" i="2"/>
  <c r="CC170" i="2"/>
  <c r="CR170" i="2"/>
  <c r="CJ170" i="2"/>
  <c r="CB170" i="2"/>
  <c r="CQ170" i="2"/>
  <c r="CI170" i="2"/>
  <c r="CA170" i="2"/>
  <c r="H170" i="2" l="1"/>
  <c r="E170" i="2" s="1"/>
  <c r="BF172" i="2"/>
  <c r="CT171" i="2"/>
  <c r="CL171" i="2"/>
  <c r="CD171" i="2"/>
  <c r="CS171" i="2"/>
  <c r="CK171" i="2"/>
  <c r="CC171" i="2"/>
  <c r="CR171" i="2"/>
  <c r="CJ171" i="2"/>
  <c r="CB171" i="2"/>
  <c r="CQ171" i="2"/>
  <c r="CI171" i="2"/>
  <c r="CA171" i="2"/>
  <c r="CP171" i="2"/>
  <c r="CH171" i="2"/>
  <c r="CO171" i="2"/>
  <c r="CG171" i="2"/>
  <c r="CN171" i="2"/>
  <c r="CF171" i="2"/>
  <c r="CM171" i="2"/>
  <c r="CE171" i="2"/>
  <c r="H171" i="2" l="1"/>
  <c r="E171" i="2" s="1"/>
  <c r="BF173" i="2"/>
  <c r="CP172" i="2"/>
  <c r="CH172" i="2"/>
  <c r="CO172" i="2"/>
  <c r="CG172" i="2"/>
  <c r="CN172" i="2"/>
  <c r="CF172" i="2"/>
  <c r="CM172" i="2"/>
  <c r="CE172" i="2"/>
  <c r="CT172" i="2"/>
  <c r="CL172" i="2"/>
  <c r="CD172" i="2"/>
  <c r="CS172" i="2"/>
  <c r="CK172" i="2"/>
  <c r="CC172" i="2"/>
  <c r="CR172" i="2"/>
  <c r="CJ172" i="2"/>
  <c r="CB172" i="2"/>
  <c r="CQ172" i="2"/>
  <c r="CI172" i="2"/>
  <c r="CA172" i="2"/>
  <c r="H172" i="2" l="1"/>
  <c r="E172" i="2" s="1"/>
  <c r="BF174" i="2"/>
  <c r="CT173" i="2"/>
  <c r="CL173" i="2"/>
  <c r="CD173" i="2"/>
  <c r="CS173" i="2"/>
  <c r="CK173" i="2"/>
  <c r="CC173" i="2"/>
  <c r="CR173" i="2"/>
  <c r="CJ173" i="2"/>
  <c r="CB173" i="2"/>
  <c r="CQ173" i="2"/>
  <c r="CI173" i="2"/>
  <c r="CA173" i="2"/>
  <c r="CP173" i="2"/>
  <c r="CH173" i="2"/>
  <c r="CO173" i="2"/>
  <c r="CG173" i="2"/>
  <c r="CN173" i="2"/>
  <c r="CF173" i="2"/>
  <c r="CM173" i="2"/>
  <c r="CE173" i="2"/>
  <c r="H173" i="2" l="1"/>
  <c r="BF175" i="2"/>
  <c r="CP174" i="2"/>
  <c r="CH174" i="2"/>
  <c r="CO174" i="2"/>
  <c r="CG174" i="2"/>
  <c r="CN174" i="2"/>
  <c r="CF174" i="2"/>
  <c r="CM174" i="2"/>
  <c r="CE174" i="2"/>
  <c r="CT174" i="2"/>
  <c r="CL174" i="2"/>
  <c r="CD174" i="2"/>
  <c r="CS174" i="2"/>
  <c r="CK174" i="2"/>
  <c r="CC174" i="2"/>
  <c r="CR174" i="2"/>
  <c r="CJ174" i="2"/>
  <c r="CB174" i="2"/>
  <c r="CQ174" i="2"/>
  <c r="CI174" i="2"/>
  <c r="CA174" i="2"/>
  <c r="H174" i="2" l="1"/>
  <c r="E174" i="2" s="1"/>
  <c r="BF176" i="2"/>
  <c r="CT175" i="2"/>
  <c r="CL175" i="2"/>
  <c r="CD175" i="2"/>
  <c r="CS175" i="2"/>
  <c r="CK175" i="2"/>
  <c r="CC175" i="2"/>
  <c r="CR175" i="2"/>
  <c r="CJ175" i="2"/>
  <c r="CB175" i="2"/>
  <c r="CQ175" i="2"/>
  <c r="CI175" i="2"/>
  <c r="CA175" i="2"/>
  <c r="CP175" i="2"/>
  <c r="CH175" i="2"/>
  <c r="CO175" i="2"/>
  <c r="CG175" i="2"/>
  <c r="CN175" i="2"/>
  <c r="CF175" i="2"/>
  <c r="CM175" i="2"/>
  <c r="CE175" i="2"/>
  <c r="H175" i="2" l="1"/>
  <c r="E175" i="2" s="1"/>
  <c r="BF177" i="2"/>
  <c r="CP176" i="2"/>
  <c r="CH176" i="2"/>
  <c r="CO176" i="2"/>
  <c r="CG176" i="2"/>
  <c r="CN176" i="2"/>
  <c r="CF176" i="2"/>
  <c r="CM176" i="2"/>
  <c r="CE176" i="2"/>
  <c r="CT176" i="2"/>
  <c r="CL176" i="2"/>
  <c r="CD176" i="2"/>
  <c r="CS176" i="2"/>
  <c r="CK176" i="2"/>
  <c r="CC176" i="2"/>
  <c r="CR176" i="2"/>
  <c r="CJ176" i="2"/>
  <c r="CB176" i="2"/>
  <c r="CQ176" i="2"/>
  <c r="CI176" i="2"/>
  <c r="CA176" i="2"/>
  <c r="H176" i="2" l="1"/>
  <c r="E176" i="2" s="1"/>
  <c r="BF178" i="2"/>
  <c r="CT177" i="2"/>
  <c r="CL177" i="2"/>
  <c r="CD177" i="2"/>
  <c r="CS177" i="2"/>
  <c r="CK177" i="2"/>
  <c r="CC177" i="2"/>
  <c r="CR177" i="2"/>
  <c r="CJ177" i="2"/>
  <c r="CB177" i="2"/>
  <c r="CQ177" i="2"/>
  <c r="CI177" i="2"/>
  <c r="CA177" i="2"/>
  <c r="CP177" i="2"/>
  <c r="CH177" i="2"/>
  <c r="CO177" i="2"/>
  <c r="CG177" i="2"/>
  <c r="CN177" i="2"/>
  <c r="CF177" i="2"/>
  <c r="CM177" i="2"/>
  <c r="CE177" i="2"/>
  <c r="H177" i="2" l="1"/>
  <c r="E177" i="2" s="1"/>
  <c r="BF179" i="2"/>
  <c r="CP178" i="2"/>
  <c r="CH178" i="2"/>
  <c r="CO178" i="2"/>
  <c r="CG178" i="2"/>
  <c r="CN178" i="2"/>
  <c r="CF178" i="2"/>
  <c r="CM178" i="2"/>
  <c r="CE178" i="2"/>
  <c r="CT178" i="2"/>
  <c r="CL178" i="2"/>
  <c r="CD178" i="2"/>
  <c r="CS178" i="2"/>
  <c r="CK178" i="2"/>
  <c r="CC178" i="2"/>
  <c r="CR178" i="2"/>
  <c r="CJ178" i="2"/>
  <c r="CB178" i="2"/>
  <c r="CQ178" i="2"/>
  <c r="CI178" i="2"/>
  <c r="CA178" i="2"/>
  <c r="H178" i="2" l="1"/>
  <c r="BF180" i="2"/>
  <c r="CT179" i="2"/>
  <c r="CL179" i="2"/>
  <c r="CD179" i="2"/>
  <c r="CS179" i="2"/>
  <c r="CK179" i="2"/>
  <c r="CC179" i="2"/>
  <c r="CR179" i="2"/>
  <c r="CJ179" i="2"/>
  <c r="CB179" i="2"/>
  <c r="CQ179" i="2"/>
  <c r="CI179" i="2"/>
  <c r="CA179" i="2"/>
  <c r="CP179" i="2"/>
  <c r="CH179" i="2"/>
  <c r="CO179" i="2"/>
  <c r="CG179" i="2"/>
  <c r="CN179" i="2"/>
  <c r="CF179" i="2"/>
  <c r="CM179" i="2"/>
  <c r="CE179" i="2"/>
  <c r="H179" i="2" l="1"/>
  <c r="E179" i="2" s="1"/>
  <c r="BF181" i="2"/>
  <c r="CP180" i="2"/>
  <c r="CH180" i="2"/>
  <c r="CO180" i="2"/>
  <c r="CG180" i="2"/>
  <c r="CN180" i="2"/>
  <c r="CF180" i="2"/>
  <c r="CM180" i="2"/>
  <c r="CE180" i="2"/>
  <c r="CT180" i="2"/>
  <c r="CL180" i="2"/>
  <c r="CD180" i="2"/>
  <c r="CS180" i="2"/>
  <c r="CK180" i="2"/>
  <c r="CC180" i="2"/>
  <c r="CR180" i="2"/>
  <c r="CJ180" i="2"/>
  <c r="CB180" i="2"/>
  <c r="CQ180" i="2"/>
  <c r="CI180" i="2"/>
  <c r="CA180" i="2"/>
  <c r="H180" i="2" l="1"/>
  <c r="E180" i="2" s="1"/>
  <c r="BF182" i="2"/>
  <c r="CT181" i="2"/>
  <c r="CL181" i="2"/>
  <c r="CD181" i="2"/>
  <c r="CS181" i="2"/>
  <c r="CK181" i="2"/>
  <c r="CC181" i="2"/>
  <c r="CR181" i="2"/>
  <c r="CJ181" i="2"/>
  <c r="CB181" i="2"/>
  <c r="CQ181" i="2"/>
  <c r="CI181" i="2"/>
  <c r="CA181" i="2"/>
  <c r="CP181" i="2"/>
  <c r="CH181" i="2"/>
  <c r="CO181" i="2"/>
  <c r="CG181" i="2"/>
  <c r="CN181" i="2"/>
  <c r="CF181" i="2"/>
  <c r="CM181" i="2"/>
  <c r="CE181" i="2"/>
  <c r="H181" i="2" l="1"/>
  <c r="E181" i="2" s="1"/>
  <c r="BF183" i="2"/>
  <c r="CP182" i="2"/>
  <c r="CH182" i="2"/>
  <c r="CO182" i="2"/>
  <c r="CG182" i="2"/>
  <c r="CN182" i="2"/>
  <c r="CF182" i="2"/>
  <c r="CM182" i="2"/>
  <c r="CE182" i="2"/>
  <c r="CT182" i="2"/>
  <c r="CL182" i="2"/>
  <c r="CD182" i="2"/>
  <c r="CS182" i="2"/>
  <c r="CK182" i="2"/>
  <c r="CC182" i="2"/>
  <c r="CR182" i="2"/>
  <c r="CJ182" i="2"/>
  <c r="CB182" i="2"/>
  <c r="CQ182" i="2"/>
  <c r="CI182" i="2"/>
  <c r="CA182" i="2"/>
  <c r="H182" i="2" l="1"/>
  <c r="E182" i="2" s="1"/>
  <c r="BF184" i="2"/>
  <c r="CT183" i="2"/>
  <c r="CL183" i="2"/>
  <c r="CD183" i="2"/>
  <c r="CS183" i="2"/>
  <c r="CK183" i="2"/>
  <c r="CC183" i="2"/>
  <c r="CR183" i="2"/>
  <c r="CJ183" i="2"/>
  <c r="CB183" i="2"/>
  <c r="CQ183" i="2"/>
  <c r="CI183" i="2"/>
  <c r="CA183" i="2"/>
  <c r="CP183" i="2"/>
  <c r="CH183" i="2"/>
  <c r="CO183" i="2"/>
  <c r="CG183" i="2"/>
  <c r="CN183" i="2"/>
  <c r="CF183" i="2"/>
  <c r="CM183" i="2"/>
  <c r="CE183" i="2"/>
  <c r="BF185" i="2" l="1"/>
  <c r="CP184" i="2"/>
  <c r="CH184" i="2"/>
  <c r="CO184" i="2"/>
  <c r="CG184" i="2"/>
  <c r="CN184" i="2"/>
  <c r="CF184" i="2"/>
  <c r="CJ184" i="2"/>
  <c r="CM184" i="2"/>
  <c r="CE184" i="2"/>
  <c r="CR184" i="2"/>
  <c r="CT184" i="2"/>
  <c r="CL184" i="2"/>
  <c r="CD184" i="2"/>
  <c r="CS184" i="2"/>
  <c r="CK184" i="2"/>
  <c r="CC184" i="2"/>
  <c r="CB184" i="2"/>
  <c r="CQ184" i="2"/>
  <c r="CI184" i="2"/>
  <c r="CA184" i="2"/>
  <c r="H183" i="2"/>
  <c r="H184" i="2" l="1"/>
  <c r="E184" i="2" s="1"/>
  <c r="BF186" i="2"/>
  <c r="CT185" i="2"/>
  <c r="CL185" i="2"/>
  <c r="CD185" i="2"/>
  <c r="CS185" i="2"/>
  <c r="CK185" i="2"/>
  <c r="CC185" i="2"/>
  <c r="CR185" i="2"/>
  <c r="CJ185" i="2"/>
  <c r="CB185" i="2"/>
  <c r="CQ185" i="2"/>
  <c r="CI185" i="2"/>
  <c r="CA185" i="2"/>
  <c r="CP185" i="2"/>
  <c r="CH185" i="2"/>
  <c r="CN185" i="2"/>
  <c r="CO185" i="2"/>
  <c r="CG185" i="2"/>
  <c r="CM185" i="2"/>
  <c r="CE185" i="2"/>
  <c r="CF185" i="2"/>
  <c r="H185" i="2" l="1"/>
  <c r="E185" i="2" s="1"/>
  <c r="BF187" i="2"/>
  <c r="CP186" i="2"/>
  <c r="CH186" i="2"/>
  <c r="CJ186" i="2"/>
  <c r="CO186" i="2"/>
  <c r="CG186" i="2"/>
  <c r="CB186" i="2"/>
  <c r="CN186" i="2"/>
  <c r="CF186" i="2"/>
  <c r="CM186" i="2"/>
  <c r="CE186" i="2"/>
  <c r="CT186" i="2"/>
  <c r="CL186" i="2"/>
  <c r="CD186" i="2"/>
  <c r="CR186" i="2"/>
  <c r="CS186" i="2"/>
  <c r="CK186" i="2"/>
  <c r="CC186" i="2"/>
  <c r="CQ186" i="2"/>
  <c r="CI186" i="2"/>
  <c r="CA186" i="2"/>
  <c r="H186" i="2" l="1"/>
  <c r="E186" i="2" s="1"/>
  <c r="BF188" i="2"/>
  <c r="CT187" i="2"/>
  <c r="CL187" i="2"/>
  <c r="CD187" i="2"/>
  <c r="CS187" i="2"/>
  <c r="CK187" i="2"/>
  <c r="CC187" i="2"/>
  <c r="CR187" i="2"/>
  <c r="CJ187" i="2"/>
  <c r="CB187" i="2"/>
  <c r="CN187" i="2"/>
  <c r="CQ187" i="2"/>
  <c r="CI187" i="2"/>
  <c r="CA187" i="2"/>
  <c r="CP187" i="2"/>
  <c r="CH187" i="2"/>
  <c r="CO187" i="2"/>
  <c r="CG187" i="2"/>
  <c r="CF187" i="2"/>
  <c r="CM187" i="2"/>
  <c r="CE187" i="2"/>
  <c r="H187" i="2" l="1"/>
  <c r="E187" i="2" s="1"/>
  <c r="BF189" i="2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BF228" i="2" s="1"/>
  <c r="BF229" i="2" s="1"/>
  <c r="BF230" i="2" s="1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CP188" i="2"/>
  <c r="CH188" i="2"/>
  <c r="CO188" i="2"/>
  <c r="CG188" i="2"/>
  <c r="CR188" i="2"/>
  <c r="CN188" i="2"/>
  <c r="CF188" i="2"/>
  <c r="CM188" i="2"/>
  <c r="CE188" i="2"/>
  <c r="CB188" i="2"/>
  <c r="CT188" i="2"/>
  <c r="CL188" i="2"/>
  <c r="CD188" i="2"/>
  <c r="CS188" i="2"/>
  <c r="CK188" i="2"/>
  <c r="CC188" i="2"/>
  <c r="CQ188" i="2"/>
  <c r="CI188" i="2"/>
  <c r="CA188" i="2"/>
  <c r="CJ188" i="2"/>
  <c r="H18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<sst xmlns="http://schemas.openxmlformats.org/spreadsheetml/2006/main" count="386" uniqueCount="161">
  <si>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</si>
  <si>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</si>
  <si>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</si>
  <si>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</si>
  <si>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</si>
  <si>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</si>
  <si>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</si>
  <si>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</si>
  <si>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</si>
  <si>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</si>
  <si>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</si>
  <si>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</si>
  <si>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</si>
  <si>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</si>
  <si>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</si>
  <si>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</si>
  <si>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</si>
  <si>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</si>
  <si>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</si>
  <si>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</si>
  <si>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</si>
  <si>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</si>
  <si>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</si>
  <si>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</si>
  <si>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</si>
  <si>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</si>
  <si>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Rowing machine</t>
  </si>
  <si>
    <t>Treadmill running</t>
  </si>
  <si>
    <t>Stair climbing machine</t>
  </si>
  <si>
    <t>Cycling machine</t>
  </si>
  <si>
    <t>Lateral elliptical machine</t>
  </si>
  <si>
    <t>Cable face pulls</t>
  </si>
  <si>
    <t>Target ratio</t>
  </si>
  <si>
    <t>Date</t>
  </si>
  <si>
    <t>Energy allowed?</t>
  </si>
  <si>
    <t>Mean square difference</t>
  </si>
  <si>
    <t>Score</t>
  </si>
  <si>
    <t>Recovery</t>
  </si>
  <si>
    <t>EMA</t>
  </si>
  <si>
    <t>Muscle usage</t>
  </si>
  <si>
    <t>Energy level</t>
  </si>
  <si>
    <t>EMA muscle usage</t>
  </si>
  <si>
    <t>Exercise #</t>
  </si>
  <si>
    <t xml:space="preserve"> </t>
  </si>
  <si>
    <t>Exercise EMA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</si>
  <si>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</si>
  <si>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</si>
  <si>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</si>
  <si>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</si>
  <si>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</si>
  <si>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</si>
  <si>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</si>
  <si>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</si>
  <si>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</si>
  <si>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</si>
  <si>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</si>
  <si>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</si>
  <si>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</si>
  <si>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</si>
  <si>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</si>
  <si>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</si>
  <si>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</si>
  <si>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</si>
  <si>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</si>
  <si>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</si>
  <si>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</si>
  <si>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</si>
  <si>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</si>
  <si>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</si>
  <si>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</si>
  <si>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</si>
  <si>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</si>
  <si>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</si>
  <si>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</si>
  <si>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</si>
  <si>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</si>
  <si>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</si>
  <si>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</si>
  <si>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</si>
  <si>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</si>
  <si>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</si>
  <si>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</si>
  <si>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</si>
  <si>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</si>
  <si>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</si>
  <si>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</si>
  <si>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</si>
  <si>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</si>
  <si>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</si>
  <si>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#2</t>
  </si>
  <si>
    <t>#3</t>
  </si>
  <si>
    <t>#2 name</t>
  </si>
  <si>
    <t>#3 name</t>
  </si>
  <si>
    <t>Cardio</t>
  </si>
  <si>
    <t>Push-ups</t>
  </si>
  <si>
    <t>Pull-ups</t>
  </si>
  <si>
    <t>Kettlebell Swings</t>
  </si>
  <si>
    <t>Chin-ups</t>
  </si>
  <si>
    <t>Plank</t>
  </si>
  <si>
    <t>Back Hyperextensions</t>
  </si>
  <si>
    <t>Machine seated rows</t>
  </si>
  <si>
    <t>Dumbbell front raises</t>
  </si>
  <si>
    <t>One arm dumbbell rows</t>
  </si>
  <si>
    <t>Inverted rows</t>
  </si>
  <si>
    <t>Dumbbell curls</t>
  </si>
  <si>
    <t>Preacher curls</t>
  </si>
  <si>
    <t>Triceps dips</t>
  </si>
  <si>
    <t>Reverse wrist curls</t>
  </si>
  <si>
    <t>Wrist curls</t>
  </si>
  <si>
    <t>Plate pinches</t>
  </si>
  <si>
    <t>Kettlebell cossack squats</t>
  </si>
  <si>
    <t>Goblet squats</t>
  </si>
  <si>
    <t>Sumo deadlifts</t>
  </si>
  <si>
    <t>Barbell low-bar squats</t>
  </si>
  <si>
    <t>Barbell front squats</t>
  </si>
  <si>
    <t>Dumbbell walking lunges</t>
  </si>
  <si>
    <t>Barbell deadlifts</t>
  </si>
  <si>
    <t>Romanian deadlifts</t>
  </si>
  <si>
    <t>Leg presses</t>
  </si>
  <si>
    <t>Barbell hip thrusts</t>
  </si>
  <si>
    <t>Calf presses</t>
  </si>
  <si>
    <t>Machine seated leg curls</t>
  </si>
  <si>
    <t>Barbell bent-over rows</t>
  </si>
  <si>
    <t>Cable seated rows</t>
  </si>
  <si>
    <t>Cable lat pulldowns</t>
  </si>
  <si>
    <t>Dumbbell incline bench presses</t>
  </si>
  <si>
    <t>Dumbbell decline bench presses</t>
  </si>
  <si>
    <t>Barbell bench presses</t>
  </si>
  <si>
    <t>Barbell overhead presses</t>
  </si>
  <si>
    <t>Dumbbell seated side shoulder presses</t>
  </si>
  <si>
    <t>Dumbbell seated front shoulder presses</t>
  </si>
  <si>
    <t>Egyptian cable lateral raises</t>
  </si>
  <si>
    <t>Cable crossovers</t>
  </si>
  <si>
    <t>Cable triceps extensions</t>
  </si>
  <si>
    <t>EZ bar decline close grip skull crushers</t>
  </si>
  <si>
    <t>Dumbbell shoulder shrugs</t>
  </si>
  <si>
    <t>Cable shoulder shrugs</t>
  </si>
  <si>
    <t>Cable hip abductions</t>
  </si>
  <si>
    <t>Cable hip adductions</t>
  </si>
  <si>
    <t>EZ bar close grip biceps curls</t>
  </si>
  <si>
    <t>EZ bar biceps curls</t>
  </si>
  <si>
    <t>Weighted decline crunches</t>
  </si>
  <si>
    <t>Hanging leg raises</t>
  </si>
  <si>
    <t>Cable standing oblique twists</t>
  </si>
  <si>
    <t>Seated leg extensions</t>
  </si>
  <si>
    <t>Standing cable reverse flyes</t>
  </si>
  <si>
    <t>Incline face down dumbbell curls</t>
  </si>
  <si>
    <t>Exercise</t>
  </si>
  <si>
    <t>Muscle Group Tag</t>
  </si>
  <si>
    <t>ID</t>
  </si>
  <si>
    <t>Deactivate</t>
  </si>
  <si>
    <t>Freshness</t>
  </si>
  <si>
    <t>Effort</t>
  </si>
  <si>
    <t>Balance</t>
  </si>
  <si>
    <t>Total exercises</t>
  </si>
  <si>
    <t>Worst</t>
  </si>
  <si>
    <t>Best</t>
  </si>
  <si>
    <t>Deactivated</t>
  </si>
  <si>
    <t>Random</t>
  </si>
  <si>
    <t>Compound factor</t>
  </si>
  <si>
    <t>Compound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</si>
</sst>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d\ d\ mmm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0" fillId="0" borderId="3" xfId="0" applyBorder="1"/>
    <xf numFmtId="0" fontId="2" fillId="2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5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65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5" borderId="5" xfId="0" applyFill="1" applyBorder="1" applyAlignment="1">
      <alignment wrapText="1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6" fontId="0" fillId="0" borderId="5" xfId="0" applyNumberFormat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4" fontId="4" fillId="0" borderId="0" xfId="1" applyNumberFormat="1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0" fillId="5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0" xfId="1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4" fillId="7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9" fontId="4" fillId="4" borderId="10" xfId="1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 wrapText="1"/>
    </xf>
    <xf numFmtId="0" fontId="4" fillId="0" borderId="11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4" fillId="8" borderId="0" xfId="0" applyNumberFormat="1" applyFont="1" applyFill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166" fontId="0" fillId="0" borderId="0" xfId="0" applyNumberFormat="1"/>
    <xf numFmtId="0" fontId="6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9" fontId="0" fillId="0" borderId="0" xfId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1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0" fontId="4" fillId="4" borderId="11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4" fontId="0" fillId="0" borderId="4" xfId="1" applyNumberFormat="1" applyFont="1" applyBorder="1"/>
    <xf numFmtId="164" fontId="0" fillId="0" borderId="11" xfId="1" applyNumberFormat="1" applyFont="1" applyBorder="1"/>
    <xf numFmtId="164" fontId="0" fillId="0" borderId="8" xfId="1" applyNumberFormat="1" applyFont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6">
    <dxf>
      <fill>
        <patternFill>
          <bgColor rgb="FFDCC5ED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DCC5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1</xdr:col>
          <xdr:colOff>733425</xdr:colOff>
          <xdr:row>4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4</xdr:row>
          <xdr:rowOff>66675</xdr:rowOff>
        </xdr:from>
        <xdr:to>
          <xdr:col>2</xdr:col>
          <xdr:colOff>1190625</xdr:colOff>
          <xdr:row>4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FA04-AF15-40ED-BB36-D8BA010A593E}">
  <sheetPr codeName="Sheet4"/>
  <dimension ref="A1:Y63"/>
  <sheetViews>
    <sheetView workbookViewId="0">
      <pane xSplit="3" ySplit="4" topLeftCell="D5" activePane="bottomRight" state="frozen"/>
      <selection pane="topRight" activeCell="C1" sqref="C1"/>
      <selection pane="bottomLeft" activeCell="A3" sqref="A3"/>
      <selection pane="bottomRight" activeCell="G24" sqref="G24"/>
    </sheetView>
  </sheetViews>
  <sheetFormatPr defaultRowHeight="15" x14ac:dyDescent="0.25"/>
  <cols>
    <col min="1" max="1" width="17" style="6" bestFit="1" customWidth="1"/>
    <col min="2" max="2" width="6.5703125" style="6" customWidth="1"/>
    <col min="3" max="3" width="37.28515625" style="6" bestFit="1" customWidth="1"/>
    <col min="4" max="4" width="10.28515625" style="97" customWidth="1"/>
    <col min="5" max="5" width="9.140625" style="53"/>
    <col min="6" max="6" width="9.140625" style="84"/>
    <col min="7" max="8" width="9.140625" style="53"/>
    <col min="9" max="9" width="9.140625" style="85"/>
    <col min="10" max="10" width="9.140625" style="84"/>
    <col min="11" max="11" width="9.140625" style="53"/>
    <col min="12" max="12" width="9.140625" style="85"/>
    <col min="13" max="13" width="9.140625" style="84"/>
    <col min="14" max="14" width="9.140625" style="53"/>
    <col min="15" max="15" width="9.140625" style="85"/>
    <col min="16" max="16" width="9.140625" style="84"/>
    <col min="17" max="17" width="9.140625" style="53"/>
    <col min="18" max="18" width="9.140625" style="85"/>
    <col min="19" max="19" width="9.140625" style="84"/>
    <col min="20" max="23" width="9.140625" style="53"/>
    <col min="24" max="24" width="9.140625" style="85"/>
    <col min="25" max="25" width="13.140625" bestFit="1" customWidth="1"/>
  </cols>
  <sheetData>
    <row r="1" spans="1:25" x14ac:dyDescent="0.25">
      <c r="E1" s="57">
        <v>2</v>
      </c>
      <c r="F1" s="12">
        <v>2</v>
      </c>
      <c r="G1" s="6">
        <v>1</v>
      </c>
      <c r="H1" s="6">
        <v>1</v>
      </c>
      <c r="I1" s="34">
        <v>1</v>
      </c>
      <c r="J1" s="12">
        <v>3</v>
      </c>
      <c r="K1" s="6">
        <v>1</v>
      </c>
      <c r="L1" s="34">
        <v>1</v>
      </c>
      <c r="M1" s="12">
        <v>2</v>
      </c>
      <c r="N1" s="6">
        <v>1</v>
      </c>
      <c r="O1" s="34">
        <v>1</v>
      </c>
      <c r="P1" s="12">
        <v>1</v>
      </c>
      <c r="Q1" s="6">
        <v>2</v>
      </c>
      <c r="R1" s="34">
        <v>1</v>
      </c>
      <c r="S1" s="12">
        <v>1</v>
      </c>
      <c r="T1" s="6">
        <v>1</v>
      </c>
      <c r="U1" s="6">
        <v>2</v>
      </c>
      <c r="V1" s="6">
        <v>1</v>
      </c>
      <c r="W1" s="6">
        <v>1</v>
      </c>
      <c r="X1" s="34">
        <v>1</v>
      </c>
    </row>
    <row r="2" spans="1:25" s="101" customFormat="1" x14ac:dyDescent="0.25">
      <c r="A2" s="99"/>
      <c r="B2" s="99"/>
      <c r="C2" s="99"/>
      <c r="D2" s="95" t="s">
        <v>150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25" ht="69" customHeight="1" x14ac:dyDescent="0.25">
      <c r="D3" s="96"/>
      <c r="E3" s="77" t="s">
        <v>0</v>
      </c>
      <c r="F3" s="117" t="s">
        <v>1</v>
      </c>
      <c r="G3" s="118"/>
      <c r="H3" s="118"/>
      <c r="I3" s="119"/>
      <c r="J3" s="117" t="s">
        <v>2</v>
      </c>
      <c r="K3" s="118"/>
      <c r="L3" s="119"/>
      <c r="M3" s="117" t="s">
        <v>3</v>
      </c>
      <c r="N3" s="118"/>
      <c r="O3" s="119"/>
      <c r="P3" s="117" t="s">
        <v>4</v>
      </c>
      <c r="Q3" s="118"/>
      <c r="R3" s="119"/>
      <c r="S3" s="117" t="s">
        <v>5</v>
      </c>
      <c r="T3" s="118"/>
      <c r="U3" s="118"/>
      <c r="V3" s="118"/>
      <c r="W3" s="118"/>
      <c r="X3" s="119"/>
      <c r="Y3" s="94"/>
    </row>
    <row r="4" spans="1:25" ht="30" x14ac:dyDescent="0.25">
      <c r="A4" s="9" t="s">
        <v>148</v>
      </c>
      <c r="B4" s="9" t="s">
        <v>149</v>
      </c>
      <c r="C4" s="9" t="s">
        <v>147</v>
      </c>
      <c r="D4" s="95" t="s">
        <v>150</v>
      </c>
      <c r="E4" s="78" t="s">
        <v>6</v>
      </c>
      <c r="F4" s="79" t="s">
        <v>7</v>
      </c>
      <c r="G4" s="78" t="s">
        <v>8</v>
      </c>
      <c r="H4" s="78" t="s">
        <v>9</v>
      </c>
      <c r="I4" s="80" t="s">
        <v>10</v>
      </c>
      <c r="J4" s="79" t="s">
        <v>11</v>
      </c>
      <c r="K4" s="78" t="s">
        <v>12</v>
      </c>
      <c r="L4" s="80" t="s">
        <v>13</v>
      </c>
      <c r="M4" s="79" t="s">
        <v>14</v>
      </c>
      <c r="N4" s="78" t="s">
        <v>15</v>
      </c>
      <c r="O4" s="80" t="s">
        <v>16</v>
      </c>
      <c r="P4" s="79" t="s">
        <v>17</v>
      </c>
      <c r="Q4" s="78" t="s">
        <v>18</v>
      </c>
      <c r="R4" s="80" t="s">
        <v>19</v>
      </c>
      <c r="S4" s="79" t="s">
        <v>20</v>
      </c>
      <c r="T4" s="78" t="s">
        <v>21</v>
      </c>
      <c r="U4" s="78" t="s">
        <v>22</v>
      </c>
      <c r="V4" s="78" t="s">
        <v>23</v>
      </c>
      <c r="W4" s="78" t="s">
        <v>24</v>
      </c>
      <c r="X4" s="80" t="s">
        <v>25</v>
      </c>
      <c r="Y4" s="52" t="s">
        <v>159</v>
      </c>
    </row>
    <row r="5" spans="1:25" s="1" customFormat="1" x14ac:dyDescent="0.25">
      <c r="A5" s="39" t="s">
        <v>93</v>
      </c>
      <c r="B5" s="42">
        <v>1</v>
      </c>
      <c r="C5" s="42" t="s">
        <v>29</v>
      </c>
      <c r="D5" s="96"/>
      <c r="E5" s="81"/>
      <c r="F5" s="82"/>
      <c r="G5" s="81"/>
      <c r="H5" s="81"/>
      <c r="I5" s="83"/>
      <c r="J5" s="82"/>
      <c r="K5" s="81"/>
      <c r="L5" s="83"/>
      <c r="M5" s="82"/>
      <c r="N5" s="81"/>
      <c r="O5" s="83"/>
      <c r="P5" s="82"/>
      <c r="Q5" s="81"/>
      <c r="R5" s="83"/>
      <c r="S5" s="82">
        <v>1</v>
      </c>
      <c r="T5" s="81">
        <v>0.8</v>
      </c>
      <c r="U5" s="81">
        <v>0.7</v>
      </c>
      <c r="V5" s="81">
        <v>1</v>
      </c>
      <c r="W5" s="81"/>
      <c r="X5" s="83"/>
      <c r="Y5" s="55">
        <v>3</v>
      </c>
    </row>
    <row r="6" spans="1:25" x14ac:dyDescent="0.25">
      <c r="A6" s="12" t="s">
        <v>93</v>
      </c>
      <c r="B6" s="6">
        <v>2</v>
      </c>
      <c r="C6" s="6" t="s">
        <v>30</v>
      </c>
      <c r="S6" s="84">
        <v>1</v>
      </c>
      <c r="T6" s="53">
        <v>0.7</v>
      </c>
      <c r="U6" s="53">
        <v>0.8</v>
      </c>
      <c r="V6" s="53">
        <v>0.7</v>
      </c>
      <c r="W6" s="53">
        <v>0.8</v>
      </c>
      <c r="X6" s="85">
        <v>0.8</v>
      </c>
      <c r="Y6" s="54">
        <v>3</v>
      </c>
    </row>
    <row r="7" spans="1:25" x14ac:dyDescent="0.25">
      <c r="A7" s="12" t="s">
        <v>93</v>
      </c>
      <c r="B7" s="6">
        <v>3</v>
      </c>
      <c r="C7" s="6" t="s">
        <v>26</v>
      </c>
      <c r="F7" s="84">
        <v>1</v>
      </c>
      <c r="G7" s="53">
        <v>0.7</v>
      </c>
      <c r="H7" s="53">
        <v>0.7</v>
      </c>
      <c r="I7" s="85">
        <v>0.7</v>
      </c>
      <c r="M7" s="84">
        <v>0.5</v>
      </c>
      <c r="O7" s="85">
        <v>0.7</v>
      </c>
      <c r="Q7" s="53">
        <v>0.5</v>
      </c>
      <c r="S7" s="84">
        <v>0.7</v>
      </c>
      <c r="T7" s="53">
        <v>0.7</v>
      </c>
      <c r="U7" s="53">
        <v>0.9</v>
      </c>
      <c r="Y7" s="54">
        <v>3</v>
      </c>
    </row>
    <row r="8" spans="1:25" x14ac:dyDescent="0.25">
      <c r="A8" s="12" t="s">
        <v>93</v>
      </c>
      <c r="B8" s="6">
        <v>4</v>
      </c>
      <c r="C8" s="6" t="s">
        <v>28</v>
      </c>
      <c r="S8" s="84">
        <v>1</v>
      </c>
      <c r="T8" s="53">
        <v>0.7</v>
      </c>
      <c r="U8" s="53">
        <v>0.7</v>
      </c>
      <c r="V8" s="53">
        <v>1</v>
      </c>
      <c r="W8" s="53">
        <v>0.5</v>
      </c>
      <c r="Y8" s="54">
        <v>3</v>
      </c>
    </row>
    <row r="9" spans="1:25" s="19" customFormat="1" x14ac:dyDescent="0.25">
      <c r="A9" s="17" t="s">
        <v>93</v>
      </c>
      <c r="B9" s="18">
        <v>5</v>
      </c>
      <c r="C9" s="18" t="s">
        <v>27</v>
      </c>
      <c r="D9" s="98"/>
      <c r="E9" s="86"/>
      <c r="F9" s="87"/>
      <c r="G9" s="86"/>
      <c r="H9" s="86"/>
      <c r="I9" s="88"/>
      <c r="J9" s="87"/>
      <c r="K9" s="86"/>
      <c r="L9" s="88"/>
      <c r="M9" s="87"/>
      <c r="N9" s="86"/>
      <c r="O9" s="88"/>
      <c r="P9" s="87"/>
      <c r="Q9" s="86"/>
      <c r="R9" s="88"/>
      <c r="S9" s="87">
        <v>1</v>
      </c>
      <c r="T9" s="86">
        <v>0.7</v>
      </c>
      <c r="U9" s="86">
        <v>0.7</v>
      </c>
      <c r="V9" s="86">
        <v>1</v>
      </c>
      <c r="W9" s="86"/>
      <c r="X9" s="88"/>
      <c r="Y9" s="56">
        <v>3</v>
      </c>
    </row>
    <row r="10" spans="1:25" x14ac:dyDescent="0.25">
      <c r="A10" s="6" t="s">
        <v>1</v>
      </c>
      <c r="B10" s="6">
        <v>6</v>
      </c>
      <c r="C10" s="6" t="s">
        <v>99</v>
      </c>
      <c r="D10" s="97">
        <v>1</v>
      </c>
      <c r="I10" s="85">
        <v>1</v>
      </c>
      <c r="T10" s="53">
        <v>0.5</v>
      </c>
      <c r="U10" s="53">
        <v>0.7</v>
      </c>
      <c r="Y10" s="54">
        <v>2</v>
      </c>
    </row>
    <row r="11" spans="1:25" x14ac:dyDescent="0.25">
      <c r="A11" s="6" t="s">
        <v>1</v>
      </c>
      <c r="B11" s="6">
        <v>7</v>
      </c>
      <c r="C11" s="6" t="s">
        <v>122</v>
      </c>
      <c r="D11" s="97">
        <v>1</v>
      </c>
      <c r="F11" s="84">
        <v>1</v>
      </c>
      <c r="G11" s="53">
        <v>0.7</v>
      </c>
      <c r="H11" s="53">
        <v>0.7</v>
      </c>
      <c r="I11" s="85">
        <v>0.8</v>
      </c>
      <c r="M11" s="84">
        <v>0.5</v>
      </c>
      <c r="O11" s="85">
        <v>0.5</v>
      </c>
      <c r="Y11" s="54">
        <v>3</v>
      </c>
    </row>
    <row r="12" spans="1:25" x14ac:dyDescent="0.25">
      <c r="A12" s="6" t="s">
        <v>1</v>
      </c>
      <c r="B12" s="6">
        <v>8</v>
      </c>
      <c r="C12" s="6" t="s">
        <v>116</v>
      </c>
      <c r="I12" s="85">
        <v>1</v>
      </c>
      <c r="O12" s="85">
        <v>1</v>
      </c>
      <c r="Q12" s="53">
        <v>0.5</v>
      </c>
      <c r="S12" s="84">
        <v>0.6</v>
      </c>
      <c r="T12" s="53">
        <v>0.7</v>
      </c>
      <c r="U12" s="53">
        <v>1</v>
      </c>
      <c r="Y12" s="54">
        <v>3</v>
      </c>
    </row>
    <row r="13" spans="1:25" x14ac:dyDescent="0.25">
      <c r="A13" s="6" t="s">
        <v>1</v>
      </c>
      <c r="B13" s="6">
        <v>9</v>
      </c>
      <c r="C13" s="6" t="s">
        <v>124</v>
      </c>
      <c r="D13" s="97">
        <v>1</v>
      </c>
      <c r="F13" s="84">
        <v>1</v>
      </c>
      <c r="G13" s="53">
        <v>0.5</v>
      </c>
      <c r="H13" s="53">
        <v>0.6</v>
      </c>
      <c r="M13" s="84">
        <v>0.6</v>
      </c>
      <c r="O13" s="85">
        <v>0.5</v>
      </c>
      <c r="Y13" s="54">
        <v>2</v>
      </c>
    </row>
    <row r="14" spans="1:25" x14ac:dyDescent="0.25">
      <c r="A14" s="6" t="s">
        <v>1</v>
      </c>
      <c r="B14" s="6">
        <v>10</v>
      </c>
      <c r="C14" s="6" t="s">
        <v>123</v>
      </c>
      <c r="F14" s="84">
        <v>1</v>
      </c>
      <c r="G14" s="53">
        <v>0.6</v>
      </c>
      <c r="H14" s="53">
        <v>0.7</v>
      </c>
      <c r="M14" s="84">
        <v>0.5</v>
      </c>
      <c r="O14" s="85">
        <v>0.5</v>
      </c>
      <c r="Y14" s="54">
        <v>2</v>
      </c>
    </row>
    <row r="15" spans="1:25" x14ac:dyDescent="0.25">
      <c r="A15" s="6" t="s">
        <v>1</v>
      </c>
      <c r="B15" s="6">
        <v>11</v>
      </c>
      <c r="C15" s="6" t="s">
        <v>97</v>
      </c>
      <c r="F15" s="84">
        <v>1</v>
      </c>
      <c r="G15" s="53">
        <v>0.5</v>
      </c>
      <c r="H15" s="53">
        <v>0.5</v>
      </c>
      <c r="M15" s="84">
        <v>0.8</v>
      </c>
      <c r="O15" s="85">
        <v>0.8</v>
      </c>
      <c r="Y15" s="54">
        <v>3</v>
      </c>
    </row>
    <row r="16" spans="1:25" x14ac:dyDescent="0.25">
      <c r="A16" s="6" t="s">
        <v>1</v>
      </c>
      <c r="B16" s="6">
        <v>12</v>
      </c>
      <c r="C16" s="6" t="s">
        <v>103</v>
      </c>
      <c r="D16" s="97">
        <v>1</v>
      </c>
      <c r="F16" s="84">
        <v>1</v>
      </c>
      <c r="G16" s="53">
        <v>0.6</v>
      </c>
      <c r="H16" s="53">
        <v>0.6</v>
      </c>
      <c r="M16" s="84">
        <v>0.6</v>
      </c>
      <c r="O16" s="85">
        <v>0.5</v>
      </c>
      <c r="Y16" s="54">
        <v>2</v>
      </c>
    </row>
    <row r="17" spans="1:25" x14ac:dyDescent="0.25">
      <c r="A17" s="6" t="s">
        <v>1</v>
      </c>
      <c r="B17" s="6">
        <v>13</v>
      </c>
      <c r="C17" s="6" t="s">
        <v>96</v>
      </c>
      <c r="D17" s="97">
        <v>1</v>
      </c>
      <c r="I17" s="85">
        <v>0.7</v>
      </c>
      <c r="S17" s="84">
        <v>0.6</v>
      </c>
      <c r="T17" s="53">
        <v>0.6</v>
      </c>
      <c r="U17" s="53">
        <v>1</v>
      </c>
      <c r="Y17" s="54">
        <v>2</v>
      </c>
    </row>
    <row r="18" spans="1:25" x14ac:dyDescent="0.25">
      <c r="A18" s="6" t="s">
        <v>1</v>
      </c>
      <c r="B18" s="6">
        <v>14</v>
      </c>
      <c r="C18" s="6" t="s">
        <v>100</v>
      </c>
      <c r="D18" s="97">
        <v>1</v>
      </c>
      <c r="F18" s="84">
        <v>1</v>
      </c>
      <c r="G18" s="53">
        <v>0.6</v>
      </c>
      <c r="H18" s="53">
        <v>0.7</v>
      </c>
      <c r="M18" s="84">
        <v>0.5</v>
      </c>
      <c r="O18" s="85">
        <v>0.5</v>
      </c>
      <c r="Y18" s="54">
        <v>2</v>
      </c>
    </row>
    <row r="19" spans="1:25" x14ac:dyDescent="0.25">
      <c r="A19" s="6" t="s">
        <v>1</v>
      </c>
      <c r="B19" s="6">
        <v>15</v>
      </c>
      <c r="C19" s="6" t="s">
        <v>102</v>
      </c>
      <c r="D19" s="97">
        <v>1</v>
      </c>
      <c r="F19" s="84">
        <v>1</v>
      </c>
      <c r="G19" s="53">
        <v>0.6</v>
      </c>
      <c r="H19" s="53">
        <v>0.7</v>
      </c>
      <c r="M19" s="84">
        <v>0.7</v>
      </c>
      <c r="O19" s="85">
        <v>0.5</v>
      </c>
      <c r="Y19" s="54">
        <v>1</v>
      </c>
    </row>
    <row r="20" spans="1:25" x14ac:dyDescent="0.25">
      <c r="A20" s="6" t="s">
        <v>1</v>
      </c>
      <c r="B20" s="6">
        <v>16</v>
      </c>
      <c r="C20" s="6" t="s">
        <v>95</v>
      </c>
      <c r="F20" s="84">
        <v>1</v>
      </c>
      <c r="G20" s="53">
        <v>0.5</v>
      </c>
      <c r="H20" s="53">
        <v>0.5</v>
      </c>
      <c r="O20" s="85">
        <v>1</v>
      </c>
      <c r="Y20" s="54">
        <v>3</v>
      </c>
    </row>
    <row r="21" spans="1:25" x14ac:dyDescent="0.25">
      <c r="A21" s="6" t="s">
        <v>1</v>
      </c>
      <c r="B21" s="6">
        <v>17</v>
      </c>
      <c r="C21" s="6" t="s">
        <v>117</v>
      </c>
      <c r="D21" s="97">
        <v>1</v>
      </c>
      <c r="I21" s="85">
        <v>0.8</v>
      </c>
      <c r="S21" s="84">
        <v>0.6</v>
      </c>
      <c r="T21" s="53">
        <v>1</v>
      </c>
      <c r="U21" s="53">
        <v>0.9</v>
      </c>
      <c r="Y21" s="54">
        <v>2</v>
      </c>
    </row>
    <row r="22" spans="1:25" s="1" customFormat="1" x14ac:dyDescent="0.25">
      <c r="A22" s="39" t="s">
        <v>14</v>
      </c>
      <c r="B22" s="42">
        <v>18</v>
      </c>
      <c r="C22" s="42" t="s">
        <v>104</v>
      </c>
      <c r="D22" s="96"/>
      <c r="E22" s="81"/>
      <c r="F22" s="82"/>
      <c r="G22" s="81"/>
      <c r="H22" s="81"/>
      <c r="I22" s="83"/>
      <c r="J22" s="82"/>
      <c r="K22" s="81"/>
      <c r="L22" s="83"/>
      <c r="M22" s="82">
        <v>1</v>
      </c>
      <c r="N22" s="81"/>
      <c r="O22" s="83"/>
      <c r="P22" s="82"/>
      <c r="Q22" s="81"/>
      <c r="R22" s="83"/>
      <c r="S22" s="82"/>
      <c r="T22" s="81"/>
      <c r="U22" s="81"/>
      <c r="V22" s="81"/>
      <c r="W22" s="81"/>
      <c r="X22" s="83"/>
      <c r="Y22" s="55">
        <v>1</v>
      </c>
    </row>
    <row r="23" spans="1:25" x14ac:dyDescent="0.25">
      <c r="A23" s="12" t="s">
        <v>14</v>
      </c>
      <c r="B23" s="6">
        <v>19</v>
      </c>
      <c r="C23" s="6" t="s">
        <v>140</v>
      </c>
      <c r="D23" s="97">
        <v>1</v>
      </c>
      <c r="M23" s="84">
        <v>1</v>
      </c>
      <c r="Y23" s="54">
        <v>1</v>
      </c>
    </row>
    <row r="24" spans="1:25" x14ac:dyDescent="0.25">
      <c r="A24" s="12" t="s">
        <v>14</v>
      </c>
      <c r="B24" s="6">
        <v>20</v>
      </c>
      <c r="C24" s="6" t="s">
        <v>139</v>
      </c>
      <c r="D24" s="97">
        <v>1</v>
      </c>
      <c r="M24" s="84">
        <v>1</v>
      </c>
      <c r="O24" s="85">
        <v>0.5</v>
      </c>
      <c r="Y24" s="54">
        <v>1</v>
      </c>
    </row>
    <row r="25" spans="1:25" x14ac:dyDescent="0.25">
      <c r="A25" s="12" t="s">
        <v>14</v>
      </c>
      <c r="B25" s="6">
        <v>21</v>
      </c>
      <c r="C25" s="6" t="s">
        <v>146</v>
      </c>
      <c r="D25" s="97">
        <v>1</v>
      </c>
      <c r="M25" s="84">
        <v>1</v>
      </c>
      <c r="O25" s="85">
        <v>0.5</v>
      </c>
      <c r="Y25" s="54">
        <v>1</v>
      </c>
    </row>
    <row r="26" spans="1:25" s="19" customFormat="1" x14ac:dyDescent="0.25">
      <c r="A26" s="17" t="s">
        <v>14</v>
      </c>
      <c r="B26" s="18">
        <v>22</v>
      </c>
      <c r="C26" s="18" t="s">
        <v>105</v>
      </c>
      <c r="D26" s="98">
        <v>1</v>
      </c>
      <c r="E26" s="86"/>
      <c r="F26" s="87"/>
      <c r="G26" s="86"/>
      <c r="H26" s="86"/>
      <c r="I26" s="88"/>
      <c r="J26" s="87"/>
      <c r="K26" s="86"/>
      <c r="L26" s="88"/>
      <c r="M26" s="87">
        <v>1</v>
      </c>
      <c r="N26" s="86"/>
      <c r="O26" s="88">
        <v>0.5</v>
      </c>
      <c r="P26" s="87"/>
      <c r="Q26" s="86"/>
      <c r="R26" s="88"/>
      <c r="S26" s="87"/>
      <c r="T26" s="86"/>
      <c r="U26" s="86"/>
      <c r="V26" s="86"/>
      <c r="W26" s="86"/>
      <c r="X26" s="88"/>
      <c r="Y26" s="56">
        <v>1</v>
      </c>
    </row>
    <row r="27" spans="1:25" s="1" customFormat="1" x14ac:dyDescent="0.25">
      <c r="A27" s="39" t="s">
        <v>0</v>
      </c>
      <c r="B27" s="42">
        <v>23</v>
      </c>
      <c r="C27" s="42" t="s">
        <v>127</v>
      </c>
      <c r="D27" s="96">
        <v>1</v>
      </c>
      <c r="E27" s="81">
        <v>1</v>
      </c>
      <c r="F27" s="82"/>
      <c r="G27" s="81"/>
      <c r="H27" s="81"/>
      <c r="I27" s="83"/>
      <c r="J27" s="82"/>
      <c r="K27" s="81">
        <v>0.5</v>
      </c>
      <c r="L27" s="83"/>
      <c r="M27" s="82"/>
      <c r="N27" s="81">
        <v>0.8</v>
      </c>
      <c r="O27" s="83"/>
      <c r="P27" s="82"/>
      <c r="Q27" s="81"/>
      <c r="R27" s="83"/>
      <c r="S27" s="82"/>
      <c r="T27" s="81"/>
      <c r="U27" s="81"/>
      <c r="V27" s="81"/>
      <c r="W27" s="81"/>
      <c r="X27" s="83"/>
      <c r="Y27" s="55">
        <v>3</v>
      </c>
    </row>
    <row r="28" spans="1:25" x14ac:dyDescent="0.25">
      <c r="A28" s="12" t="s">
        <v>0</v>
      </c>
      <c r="B28" s="6">
        <v>24</v>
      </c>
      <c r="C28" s="6" t="s">
        <v>132</v>
      </c>
      <c r="D28" s="97">
        <v>1</v>
      </c>
      <c r="E28" s="53">
        <v>1</v>
      </c>
      <c r="Y28" s="54">
        <v>1</v>
      </c>
    </row>
    <row r="29" spans="1:25" x14ac:dyDescent="0.25">
      <c r="A29" s="12" t="s">
        <v>0</v>
      </c>
      <c r="B29" s="6">
        <v>25</v>
      </c>
      <c r="C29" s="6" t="s">
        <v>126</v>
      </c>
      <c r="E29" s="53">
        <v>1</v>
      </c>
      <c r="K29" s="53">
        <v>0.5</v>
      </c>
      <c r="N29" s="53">
        <v>1</v>
      </c>
      <c r="O29" s="85">
        <v>0.5</v>
      </c>
      <c r="Y29" s="54">
        <v>2</v>
      </c>
    </row>
    <row r="30" spans="1:25" x14ac:dyDescent="0.25">
      <c r="A30" s="12" t="s">
        <v>0</v>
      </c>
      <c r="B30" s="6">
        <v>26</v>
      </c>
      <c r="C30" s="6" t="s">
        <v>125</v>
      </c>
      <c r="E30" s="53">
        <v>0.8</v>
      </c>
      <c r="K30" s="53">
        <v>0.8</v>
      </c>
      <c r="N30" s="53">
        <v>0.8</v>
      </c>
      <c r="O30" s="85">
        <v>0.5</v>
      </c>
      <c r="Y30" s="54">
        <v>2</v>
      </c>
    </row>
    <row r="31" spans="1:25" x14ac:dyDescent="0.25">
      <c r="A31" s="12" t="s">
        <v>0</v>
      </c>
      <c r="B31" s="6">
        <v>27</v>
      </c>
      <c r="C31" s="6" t="s">
        <v>94</v>
      </c>
      <c r="D31" s="97">
        <v>1</v>
      </c>
      <c r="E31" s="53">
        <v>0.8</v>
      </c>
      <c r="K31" s="53">
        <v>0.5</v>
      </c>
      <c r="N31" s="53">
        <v>1</v>
      </c>
      <c r="Y31" s="54">
        <v>2</v>
      </c>
    </row>
    <row r="32" spans="1:25" s="1" customFormat="1" x14ac:dyDescent="0.25">
      <c r="A32" s="39" t="s">
        <v>4</v>
      </c>
      <c r="B32" s="42">
        <v>28</v>
      </c>
      <c r="C32" s="42" t="s">
        <v>143</v>
      </c>
      <c r="D32" s="96"/>
      <c r="E32" s="81"/>
      <c r="F32" s="82"/>
      <c r="G32" s="81"/>
      <c r="H32" s="81"/>
      <c r="I32" s="83"/>
      <c r="J32" s="82"/>
      <c r="K32" s="81"/>
      <c r="L32" s="83"/>
      <c r="M32" s="82"/>
      <c r="N32" s="81"/>
      <c r="O32" s="83"/>
      <c r="P32" s="82"/>
      <c r="Q32" s="81">
        <v>0.6</v>
      </c>
      <c r="R32" s="83">
        <v>1</v>
      </c>
      <c r="S32" s="82"/>
      <c r="T32" s="81"/>
      <c r="U32" s="81"/>
      <c r="V32" s="81"/>
      <c r="W32" s="81"/>
      <c r="X32" s="83"/>
      <c r="Y32" s="55">
        <v>1</v>
      </c>
    </row>
    <row r="33" spans="1:25" x14ac:dyDescent="0.25">
      <c r="A33" s="12" t="s">
        <v>4</v>
      </c>
      <c r="B33" s="6">
        <v>29</v>
      </c>
      <c r="C33" s="6" t="s">
        <v>142</v>
      </c>
      <c r="O33" s="85">
        <v>1</v>
      </c>
      <c r="P33" s="84">
        <v>0.8</v>
      </c>
      <c r="Q33" s="53">
        <v>1</v>
      </c>
      <c r="R33" s="85">
        <v>0.5</v>
      </c>
      <c r="Y33" s="54">
        <v>2</v>
      </c>
    </row>
    <row r="34" spans="1:25" x14ac:dyDescent="0.25">
      <c r="A34" s="12" t="s">
        <v>4</v>
      </c>
      <c r="B34" s="6">
        <v>30</v>
      </c>
      <c r="C34" s="6" t="s">
        <v>98</v>
      </c>
      <c r="D34" s="97">
        <v>1</v>
      </c>
      <c r="P34" s="84">
        <v>1</v>
      </c>
      <c r="Q34" s="53">
        <v>1</v>
      </c>
      <c r="R34" s="85">
        <v>0.6</v>
      </c>
      <c r="Y34" s="54">
        <v>2</v>
      </c>
    </row>
    <row r="35" spans="1:25" s="19" customFormat="1" x14ac:dyDescent="0.25">
      <c r="A35" s="17" t="s">
        <v>4</v>
      </c>
      <c r="B35" s="18">
        <v>31</v>
      </c>
      <c r="C35" s="18" t="s">
        <v>141</v>
      </c>
      <c r="D35" s="98"/>
      <c r="E35" s="86"/>
      <c r="F35" s="87"/>
      <c r="G35" s="86"/>
      <c r="H35" s="86"/>
      <c r="I35" s="88"/>
      <c r="J35" s="87"/>
      <c r="K35" s="86"/>
      <c r="L35" s="88"/>
      <c r="M35" s="87"/>
      <c r="N35" s="86"/>
      <c r="O35" s="88"/>
      <c r="P35" s="87">
        <v>1</v>
      </c>
      <c r="Q35" s="86">
        <v>0.6</v>
      </c>
      <c r="R35" s="88"/>
      <c r="S35" s="87"/>
      <c r="T35" s="86"/>
      <c r="U35" s="86"/>
      <c r="V35" s="86"/>
      <c r="W35" s="86"/>
      <c r="X35" s="88"/>
      <c r="Y35" s="56">
        <v>2</v>
      </c>
    </row>
    <row r="36" spans="1:25" s="1" customFormat="1" x14ac:dyDescent="0.25">
      <c r="A36" s="39" t="s">
        <v>16</v>
      </c>
      <c r="B36" s="42">
        <v>32</v>
      </c>
      <c r="C36" s="42" t="s">
        <v>109</v>
      </c>
      <c r="D36" s="96">
        <v>1</v>
      </c>
      <c r="E36" s="81"/>
      <c r="F36" s="82"/>
      <c r="G36" s="81"/>
      <c r="H36" s="81"/>
      <c r="I36" s="83"/>
      <c r="J36" s="82"/>
      <c r="K36" s="81"/>
      <c r="L36" s="83"/>
      <c r="M36" s="82"/>
      <c r="N36" s="81"/>
      <c r="O36" s="83">
        <v>1</v>
      </c>
      <c r="P36" s="82"/>
      <c r="Q36" s="81"/>
      <c r="R36" s="83"/>
      <c r="S36" s="82"/>
      <c r="T36" s="81"/>
      <c r="U36" s="81"/>
      <c r="V36" s="81"/>
      <c r="W36" s="81"/>
      <c r="X36" s="83"/>
      <c r="Y36" s="55">
        <v>1</v>
      </c>
    </row>
    <row r="37" spans="1:25" x14ac:dyDescent="0.25">
      <c r="A37" s="12" t="s">
        <v>16</v>
      </c>
      <c r="B37" s="6">
        <v>33</v>
      </c>
      <c r="C37" s="6" t="s">
        <v>107</v>
      </c>
      <c r="D37" s="97">
        <v>1</v>
      </c>
      <c r="O37" s="85">
        <v>1</v>
      </c>
      <c r="Y37" s="54">
        <v>1</v>
      </c>
    </row>
    <row r="38" spans="1:25" s="19" customFormat="1" x14ac:dyDescent="0.25">
      <c r="A38" s="17" t="s">
        <v>16</v>
      </c>
      <c r="B38" s="18">
        <v>34</v>
      </c>
      <c r="C38" s="18" t="s">
        <v>108</v>
      </c>
      <c r="D38" s="98">
        <v>1</v>
      </c>
      <c r="E38" s="86"/>
      <c r="F38" s="87"/>
      <c r="G38" s="86"/>
      <c r="H38" s="86"/>
      <c r="I38" s="88"/>
      <c r="J38" s="87"/>
      <c r="K38" s="86"/>
      <c r="L38" s="88"/>
      <c r="M38" s="87"/>
      <c r="N38" s="86"/>
      <c r="O38" s="88">
        <v>1</v>
      </c>
      <c r="P38" s="87"/>
      <c r="Q38" s="86"/>
      <c r="R38" s="88"/>
      <c r="S38" s="87"/>
      <c r="T38" s="86"/>
      <c r="U38" s="86"/>
      <c r="V38" s="86"/>
      <c r="W38" s="86"/>
      <c r="X38" s="88"/>
      <c r="Y38" s="56">
        <v>1</v>
      </c>
    </row>
    <row r="39" spans="1:25" s="1" customFormat="1" x14ac:dyDescent="0.25">
      <c r="A39" s="39" t="s">
        <v>5</v>
      </c>
      <c r="B39" s="42">
        <v>35</v>
      </c>
      <c r="C39" s="42" t="s">
        <v>114</v>
      </c>
      <c r="D39" s="96">
        <v>1</v>
      </c>
      <c r="E39" s="81"/>
      <c r="F39" s="82"/>
      <c r="G39" s="81"/>
      <c r="H39" s="81"/>
      <c r="I39" s="83">
        <v>0.5</v>
      </c>
      <c r="J39" s="82"/>
      <c r="K39" s="81"/>
      <c r="L39" s="83"/>
      <c r="M39" s="82"/>
      <c r="N39" s="81"/>
      <c r="O39" s="83"/>
      <c r="P39" s="82"/>
      <c r="Q39" s="81"/>
      <c r="R39" s="83"/>
      <c r="S39" s="82">
        <v>1</v>
      </c>
      <c r="T39" s="81">
        <v>0.7</v>
      </c>
      <c r="U39" s="81">
        <v>0.7</v>
      </c>
      <c r="V39" s="81">
        <v>0.5</v>
      </c>
      <c r="W39" s="81">
        <v>0.6</v>
      </c>
      <c r="X39" s="83"/>
      <c r="Y39" s="55">
        <v>2</v>
      </c>
    </row>
    <row r="40" spans="1:25" x14ac:dyDescent="0.25">
      <c r="A40" s="12" t="s">
        <v>5</v>
      </c>
      <c r="B40" s="6">
        <v>36</v>
      </c>
      <c r="C40" s="6" t="s">
        <v>119</v>
      </c>
      <c r="I40" s="85">
        <v>0.5</v>
      </c>
      <c r="Q40" s="53">
        <v>0.5</v>
      </c>
      <c r="T40" s="53">
        <v>0.8</v>
      </c>
      <c r="U40" s="53">
        <v>1</v>
      </c>
      <c r="Y40" s="54">
        <v>1</v>
      </c>
    </row>
    <row r="41" spans="1:25" x14ac:dyDescent="0.25">
      <c r="A41" s="12" t="s">
        <v>5</v>
      </c>
      <c r="B41" s="6">
        <v>37</v>
      </c>
      <c r="C41" s="6" t="s">
        <v>113</v>
      </c>
      <c r="I41" s="85">
        <v>0.5</v>
      </c>
      <c r="Q41" s="53">
        <v>0.5</v>
      </c>
      <c r="S41" s="84">
        <v>0.8</v>
      </c>
      <c r="T41" s="53">
        <v>0.7</v>
      </c>
      <c r="U41" s="53">
        <v>0.9</v>
      </c>
      <c r="V41" s="53">
        <v>0.5</v>
      </c>
      <c r="W41" s="53">
        <v>0.5</v>
      </c>
      <c r="Y41" s="54">
        <v>3</v>
      </c>
    </row>
    <row r="42" spans="1:25" x14ac:dyDescent="0.25">
      <c r="A42" s="12" t="s">
        <v>5</v>
      </c>
      <c r="B42" s="6">
        <v>38</v>
      </c>
      <c r="C42" s="6" t="s">
        <v>137</v>
      </c>
      <c r="X42" s="85">
        <v>1</v>
      </c>
      <c r="Y42" s="54">
        <v>1</v>
      </c>
    </row>
    <row r="43" spans="1:25" x14ac:dyDescent="0.25">
      <c r="A43" s="12" t="s">
        <v>5</v>
      </c>
      <c r="B43" s="6">
        <v>39</v>
      </c>
      <c r="C43" s="6" t="s">
        <v>138</v>
      </c>
      <c r="W43" s="53">
        <v>1</v>
      </c>
      <c r="Y43" s="54">
        <v>1</v>
      </c>
    </row>
    <row r="44" spans="1:25" x14ac:dyDescent="0.25">
      <c r="A44" s="12" t="s">
        <v>5</v>
      </c>
      <c r="B44" s="6">
        <v>40</v>
      </c>
      <c r="C44" s="6" t="s">
        <v>120</v>
      </c>
      <c r="V44" s="53">
        <v>1</v>
      </c>
      <c r="Y44" s="54">
        <v>1</v>
      </c>
    </row>
    <row r="45" spans="1:25" x14ac:dyDescent="0.25">
      <c r="A45" s="12" t="s">
        <v>5</v>
      </c>
      <c r="B45" s="6">
        <v>41</v>
      </c>
      <c r="C45" s="6" t="s">
        <v>115</v>
      </c>
      <c r="I45" s="85">
        <v>0.5</v>
      </c>
      <c r="S45" s="84">
        <v>0.9</v>
      </c>
      <c r="T45" s="53">
        <v>0.7</v>
      </c>
      <c r="U45" s="53">
        <v>0.8</v>
      </c>
      <c r="V45" s="53">
        <v>0.5</v>
      </c>
      <c r="W45" s="53">
        <v>0.6</v>
      </c>
      <c r="X45" s="85">
        <v>0.6</v>
      </c>
      <c r="Y45" s="54">
        <v>2</v>
      </c>
    </row>
    <row r="46" spans="1:25" x14ac:dyDescent="0.25">
      <c r="A46" s="12" t="s">
        <v>5</v>
      </c>
      <c r="B46" s="6">
        <v>42</v>
      </c>
      <c r="C46" s="6" t="s">
        <v>111</v>
      </c>
      <c r="D46" s="97">
        <v>1</v>
      </c>
      <c r="I46" s="85">
        <v>0.5</v>
      </c>
      <c r="S46" s="84">
        <v>1</v>
      </c>
      <c r="T46" s="53">
        <v>0.7</v>
      </c>
      <c r="U46" s="53">
        <v>0.7</v>
      </c>
      <c r="V46" s="53">
        <v>0.5</v>
      </c>
      <c r="W46" s="53">
        <v>0.6</v>
      </c>
      <c r="Y46" s="54">
        <v>2</v>
      </c>
    </row>
    <row r="47" spans="1:25" x14ac:dyDescent="0.25">
      <c r="A47" s="12" t="s">
        <v>5</v>
      </c>
      <c r="B47" s="6">
        <v>43</v>
      </c>
      <c r="C47" s="6" t="s">
        <v>110</v>
      </c>
      <c r="D47" s="97">
        <v>1</v>
      </c>
      <c r="I47" s="85">
        <v>0.5</v>
      </c>
      <c r="S47" s="84">
        <v>1</v>
      </c>
      <c r="T47" s="53">
        <v>0.7</v>
      </c>
      <c r="U47" s="53">
        <v>0.7</v>
      </c>
      <c r="V47" s="53">
        <v>0.5</v>
      </c>
      <c r="W47" s="53">
        <v>0.8</v>
      </c>
      <c r="X47" s="85">
        <v>0.8</v>
      </c>
      <c r="Y47" s="54">
        <v>2</v>
      </c>
    </row>
    <row r="48" spans="1:25" x14ac:dyDescent="0.25">
      <c r="A48" s="12" t="s">
        <v>5</v>
      </c>
      <c r="B48" s="6">
        <v>44</v>
      </c>
      <c r="C48" s="6" t="s">
        <v>118</v>
      </c>
      <c r="S48" s="84">
        <v>0.9</v>
      </c>
      <c r="T48" s="53">
        <v>0.7</v>
      </c>
      <c r="U48" s="53">
        <v>0.9</v>
      </c>
      <c r="V48" s="53">
        <v>0.5</v>
      </c>
      <c r="W48" s="53">
        <v>0.6</v>
      </c>
      <c r="Y48" s="54">
        <v>2</v>
      </c>
    </row>
    <row r="49" spans="1:25" x14ac:dyDescent="0.25">
      <c r="A49" s="12" t="s">
        <v>5</v>
      </c>
      <c r="B49" s="6">
        <v>45</v>
      </c>
      <c r="C49" s="6" t="s">
        <v>121</v>
      </c>
      <c r="T49" s="53">
        <v>1</v>
      </c>
      <c r="U49" s="53">
        <v>0.5</v>
      </c>
      <c r="Y49" s="54">
        <v>1</v>
      </c>
    </row>
    <row r="50" spans="1:25" x14ac:dyDescent="0.25">
      <c r="A50" s="12" t="s">
        <v>5</v>
      </c>
      <c r="B50" s="6">
        <v>46</v>
      </c>
      <c r="C50" s="6" t="s">
        <v>144</v>
      </c>
      <c r="S50" s="84">
        <v>1</v>
      </c>
      <c r="Y50" s="54">
        <v>1</v>
      </c>
    </row>
    <row r="51" spans="1:25" s="19" customFormat="1" x14ac:dyDescent="0.25">
      <c r="A51" s="17" t="s">
        <v>5</v>
      </c>
      <c r="B51" s="18">
        <v>47</v>
      </c>
      <c r="C51" s="18" t="s">
        <v>112</v>
      </c>
      <c r="D51" s="98">
        <v>1</v>
      </c>
      <c r="E51" s="86"/>
      <c r="F51" s="87"/>
      <c r="G51" s="86">
        <v>0.5</v>
      </c>
      <c r="H51" s="86">
        <v>0.5</v>
      </c>
      <c r="I51" s="88">
        <v>1</v>
      </c>
      <c r="J51" s="87"/>
      <c r="K51" s="86"/>
      <c r="L51" s="88"/>
      <c r="M51" s="87"/>
      <c r="N51" s="86"/>
      <c r="O51" s="88"/>
      <c r="P51" s="87"/>
      <c r="Q51" s="86"/>
      <c r="R51" s="88"/>
      <c r="S51" s="87">
        <v>0.7</v>
      </c>
      <c r="T51" s="86">
        <v>0.7</v>
      </c>
      <c r="U51" s="86">
        <v>0.7</v>
      </c>
      <c r="V51" s="86"/>
      <c r="W51" s="86">
        <v>0.6</v>
      </c>
      <c r="X51" s="88"/>
      <c r="Y51" s="56">
        <v>2</v>
      </c>
    </row>
    <row r="52" spans="1:25" s="1" customFormat="1" x14ac:dyDescent="0.25">
      <c r="A52" s="39" t="s">
        <v>2</v>
      </c>
      <c r="B52" s="42">
        <v>48</v>
      </c>
      <c r="C52" s="42" t="s">
        <v>128</v>
      </c>
      <c r="D52" s="96"/>
      <c r="E52" s="81"/>
      <c r="F52" s="82"/>
      <c r="G52" s="81"/>
      <c r="H52" s="81"/>
      <c r="I52" s="83"/>
      <c r="J52" s="82">
        <v>0.7</v>
      </c>
      <c r="K52" s="81">
        <v>0.9</v>
      </c>
      <c r="L52" s="83"/>
      <c r="M52" s="82"/>
      <c r="N52" s="81">
        <v>0.7</v>
      </c>
      <c r="O52" s="83"/>
      <c r="P52" s="82"/>
      <c r="Q52" s="81"/>
      <c r="R52" s="83"/>
      <c r="S52" s="82"/>
      <c r="T52" s="81"/>
      <c r="U52" s="81"/>
      <c r="V52" s="81"/>
      <c r="W52" s="81"/>
      <c r="X52" s="83"/>
      <c r="Y52" s="55">
        <v>3</v>
      </c>
    </row>
    <row r="53" spans="1:25" x14ac:dyDescent="0.25">
      <c r="A53" s="12" t="s">
        <v>2</v>
      </c>
      <c r="B53" s="6">
        <v>49</v>
      </c>
      <c r="C53" s="6" t="s">
        <v>31</v>
      </c>
      <c r="G53" s="53">
        <v>0.5</v>
      </c>
      <c r="H53" s="53">
        <v>1</v>
      </c>
      <c r="L53" s="85">
        <v>0.7</v>
      </c>
      <c r="Y53" s="54">
        <v>1</v>
      </c>
    </row>
    <row r="54" spans="1:25" x14ac:dyDescent="0.25">
      <c r="A54" s="12" t="s">
        <v>2</v>
      </c>
      <c r="B54" s="6">
        <v>50</v>
      </c>
      <c r="C54" s="6" t="s">
        <v>136</v>
      </c>
      <c r="G54" s="53">
        <v>1</v>
      </c>
      <c r="Y54" s="54">
        <v>1</v>
      </c>
    </row>
    <row r="55" spans="1:25" x14ac:dyDescent="0.25">
      <c r="A55" s="12" t="s">
        <v>2</v>
      </c>
      <c r="B55" s="6">
        <v>51</v>
      </c>
      <c r="C55" s="6" t="s">
        <v>101</v>
      </c>
      <c r="D55" s="97">
        <v>1</v>
      </c>
      <c r="J55" s="84">
        <v>0.7</v>
      </c>
      <c r="K55" s="53">
        <v>1</v>
      </c>
      <c r="O55" s="85">
        <v>0.5</v>
      </c>
      <c r="Y55" s="54">
        <v>1</v>
      </c>
    </row>
    <row r="56" spans="1:25" x14ac:dyDescent="0.25">
      <c r="A56" s="12" t="s">
        <v>2</v>
      </c>
      <c r="B56" s="6">
        <v>52</v>
      </c>
      <c r="C56" s="6" t="s">
        <v>130</v>
      </c>
      <c r="D56" s="97">
        <v>1</v>
      </c>
      <c r="J56" s="84">
        <v>0.7</v>
      </c>
      <c r="K56" s="53">
        <v>1</v>
      </c>
      <c r="N56" s="53">
        <v>0.7</v>
      </c>
      <c r="O56" s="85">
        <v>0.5</v>
      </c>
      <c r="Y56" s="54">
        <v>1</v>
      </c>
    </row>
    <row r="57" spans="1:25" x14ac:dyDescent="0.25">
      <c r="A57" s="12" t="s">
        <v>2</v>
      </c>
      <c r="B57" s="6">
        <v>53</v>
      </c>
      <c r="C57" s="6" t="s">
        <v>129</v>
      </c>
      <c r="D57" s="97">
        <v>1</v>
      </c>
      <c r="J57" s="84">
        <v>1</v>
      </c>
      <c r="K57" s="53">
        <v>0.8</v>
      </c>
      <c r="N57" s="53">
        <v>0.7</v>
      </c>
      <c r="O57" s="85">
        <v>0.5</v>
      </c>
      <c r="Y57" s="54">
        <v>1</v>
      </c>
    </row>
    <row r="58" spans="1:25" x14ac:dyDescent="0.25">
      <c r="A58" s="12" t="s">
        <v>2</v>
      </c>
      <c r="B58" s="6">
        <v>54</v>
      </c>
      <c r="C58" s="6" t="s">
        <v>135</v>
      </c>
      <c r="D58" s="97">
        <v>1</v>
      </c>
      <c r="G58" s="53">
        <v>1</v>
      </c>
      <c r="O58" s="85">
        <v>0.5</v>
      </c>
      <c r="Y58" s="54">
        <v>1</v>
      </c>
    </row>
    <row r="59" spans="1:25" x14ac:dyDescent="0.25">
      <c r="A59" s="12" t="s">
        <v>2</v>
      </c>
      <c r="B59" s="6">
        <v>55</v>
      </c>
      <c r="C59" s="6" t="s">
        <v>131</v>
      </c>
      <c r="J59" s="84">
        <v>1</v>
      </c>
      <c r="K59" s="53">
        <v>0.5</v>
      </c>
      <c r="Y59" s="54">
        <v>1</v>
      </c>
    </row>
    <row r="60" spans="1:25" s="19" customFormat="1" x14ac:dyDescent="0.25">
      <c r="A60" s="17" t="s">
        <v>2</v>
      </c>
      <c r="B60" s="18">
        <v>56</v>
      </c>
      <c r="C60" s="18" t="s">
        <v>145</v>
      </c>
      <c r="D60" s="98"/>
      <c r="E60" s="86"/>
      <c r="F60" s="87"/>
      <c r="G60" s="86">
        <v>0.5</v>
      </c>
      <c r="H60" s="86">
        <v>0.9</v>
      </c>
      <c r="I60" s="88"/>
      <c r="J60" s="87"/>
      <c r="K60" s="86"/>
      <c r="L60" s="88">
        <v>1</v>
      </c>
      <c r="M60" s="87"/>
      <c r="N60" s="86"/>
      <c r="O60" s="88"/>
      <c r="P60" s="87"/>
      <c r="Q60" s="86"/>
      <c r="R60" s="88"/>
      <c r="S60" s="87"/>
      <c r="T60" s="86"/>
      <c r="U60" s="86"/>
      <c r="V60" s="86"/>
      <c r="W60" s="86"/>
      <c r="X60" s="88"/>
      <c r="Y60" s="56">
        <v>1</v>
      </c>
    </row>
    <row r="61" spans="1:25" s="1" customFormat="1" x14ac:dyDescent="0.25">
      <c r="A61" s="39" t="s">
        <v>15</v>
      </c>
      <c r="B61" s="42">
        <v>57</v>
      </c>
      <c r="C61" s="42" t="s">
        <v>133</v>
      </c>
      <c r="D61" s="96"/>
      <c r="E61" s="81"/>
      <c r="F61" s="82"/>
      <c r="G61" s="81"/>
      <c r="H61" s="81"/>
      <c r="I61" s="83"/>
      <c r="J61" s="82"/>
      <c r="K61" s="81"/>
      <c r="L61" s="83"/>
      <c r="M61" s="82"/>
      <c r="N61" s="81">
        <v>1</v>
      </c>
      <c r="O61" s="83"/>
      <c r="P61" s="82"/>
      <c r="Q61" s="81"/>
      <c r="R61" s="83"/>
      <c r="S61" s="82"/>
      <c r="T61" s="81"/>
      <c r="U61" s="81"/>
      <c r="V61" s="81"/>
      <c r="W61" s="81"/>
      <c r="X61" s="83"/>
      <c r="Y61" s="55">
        <v>1</v>
      </c>
    </row>
    <row r="62" spans="1:25" x14ac:dyDescent="0.25">
      <c r="A62" s="12" t="s">
        <v>15</v>
      </c>
      <c r="B62" s="6">
        <v>58</v>
      </c>
      <c r="C62" s="6" t="s">
        <v>134</v>
      </c>
      <c r="N62" s="53">
        <v>1</v>
      </c>
      <c r="Y62" s="54">
        <v>1</v>
      </c>
    </row>
    <row r="63" spans="1:25" s="19" customFormat="1" x14ac:dyDescent="0.25">
      <c r="A63" s="17" t="s">
        <v>15</v>
      </c>
      <c r="B63" s="18">
        <v>59</v>
      </c>
      <c r="C63" s="18" t="s">
        <v>106</v>
      </c>
      <c r="D63" s="98"/>
      <c r="E63" s="86">
        <v>0.5</v>
      </c>
      <c r="F63" s="87"/>
      <c r="G63" s="86"/>
      <c r="H63" s="86"/>
      <c r="I63" s="88"/>
      <c r="J63" s="87"/>
      <c r="K63" s="86"/>
      <c r="L63" s="88"/>
      <c r="M63" s="87"/>
      <c r="N63" s="86">
        <v>1</v>
      </c>
      <c r="O63" s="88"/>
      <c r="P63" s="87"/>
      <c r="Q63" s="86"/>
      <c r="R63" s="88"/>
      <c r="S63" s="87"/>
      <c r="T63" s="86"/>
      <c r="U63" s="86"/>
      <c r="V63" s="86"/>
      <c r="W63" s="86"/>
      <c r="X63" s="88"/>
      <c r="Y63" s="56">
        <v>2</v>
      </c>
    </row>
  </sheetData>
  <sortState xmlns:xlrd2="http://schemas.microsoft.com/office/spreadsheetml/2017/richdata2" ref="A10:C63">
    <sortCondition ref="A15:A63"/>
  </sortState>
  <mergeCells count="5">
    <mergeCell ref="F3:I3"/>
    <mergeCell ref="J3:L3"/>
    <mergeCell ref="M3:O3"/>
    <mergeCell ref="P3:R3"/>
    <mergeCell ref="S3:X3"/>
  </mergeCells>
  <conditionalFormatting sqref="E3:X1048576">
    <cfRule type="colorScale" priority="8">
      <colorScale>
        <cfvo type="num" val="0"/>
        <cfvo type="num" val="1"/>
        <color rgb="FFFCFCFF"/>
        <color rgb="FFF8696B"/>
      </colorScale>
    </cfRule>
  </conditionalFormatting>
  <conditionalFormatting sqref="Y5:Y63">
    <cfRule type="colorScale" priority="7">
      <colorScale>
        <cfvo type="min"/>
        <cfvo type="max"/>
        <color rgb="FFFCFCFF"/>
        <color rgb="FF63BE7B"/>
      </colorScale>
    </cfRule>
  </conditionalFormatting>
  <conditionalFormatting sqref="A5:XFD105">
    <cfRule type="expression" dxfId="5" priority="6">
      <formula>$D5&gt;0</formula>
    </cfRule>
  </conditionalFormatting>
  <conditionalFormatting sqref="D2">
    <cfRule type="expression" dxfId="4" priority="5">
      <formula>$D2=1</formula>
    </cfRule>
  </conditionalFormatting>
  <conditionalFormatting sqref="E2:X1048576">
    <cfRule type="expression" dxfId="3" priority="4">
      <formula>E$2&gt;0</formula>
    </cfRule>
  </conditionalFormatting>
  <conditionalFormatting sqref="E1:X1">
    <cfRule type="colorScale" priority="3">
      <colorScale>
        <cfvo type="min"/>
        <cfvo type="max"/>
        <color rgb="FFFCFCFF"/>
        <color rgb="FF63BE7B"/>
      </colorScale>
    </cfRule>
  </conditionalFormatting>
  <conditionalFormatting sqref="E1:X1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/>
  <dimension ref="A1:CV454"/>
  <sheetViews>
    <sheetView tabSelected="1" workbookViewId="0">
      <pane xSplit="3" ySplit="5" topLeftCell="O143" activePane="bottomRight" state="frozen"/>
      <selection pane="topRight" activeCell="D1" sqref="D1"/>
      <selection pane="bottomLeft" activeCell="A5" sqref="A5"/>
      <selection pane="bottomRight" activeCell="B163" sqref="B163"/>
    </sheetView>
  </sheetViews>
  <sheetFormatPr defaultRowHeight="15" outlineLevelCol="1" x14ac:dyDescent="0.25"/>
  <cols>
    <col min="1" max="2" width="12.5703125" customWidth="1"/>
    <col min="3" max="3" width="40" customWidth="1"/>
    <col min="4" max="7" width="10.85546875" customWidth="1"/>
    <col min="8" max="8" width="12.7109375" customWidth="1"/>
    <col min="9" max="10" width="6.5703125" customWidth="1"/>
    <col min="11" max="11" width="8.85546875" hidden="1" customWidth="1" outlineLevel="1"/>
    <col min="12" max="12" width="25.7109375" hidden="1" customWidth="1" outlineLevel="1"/>
    <col min="13" max="13" width="8.85546875" hidden="1" customWidth="1" outlineLevel="1"/>
    <col min="14" max="14" width="25" hidden="1" customWidth="1" outlineLevel="1"/>
    <col min="15" max="15" width="3.7109375" customWidth="1" collapsed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4.28515625" customWidth="1" collapsed="1"/>
    <col min="79" max="98" width="8.85546875" hidden="1" customWidth="1" outlineLevel="1"/>
    <col min="99" max="99" width="4.85546875" customWidth="1" collapsed="1"/>
  </cols>
  <sheetData>
    <row r="1" spans="1:99" s="5" customFormat="1" x14ac:dyDescent="0.25">
      <c r="A1" s="93" t="s">
        <v>154</v>
      </c>
      <c r="B1" s="93">
        <f>MAX('Exercise list'!$B$5:$B$102)</f>
        <v>59</v>
      </c>
      <c r="C1" s="10"/>
      <c r="D1" s="29" t="s">
        <v>37</v>
      </c>
      <c r="E1" s="29" t="s">
        <v>158</v>
      </c>
      <c r="F1" s="90" t="s">
        <v>151</v>
      </c>
      <c r="G1" s="91" t="s">
        <v>152</v>
      </c>
      <c r="H1" s="92" t="s">
        <v>153</v>
      </c>
      <c r="I1" s="9"/>
      <c r="J1" s="9"/>
      <c r="K1" s="8"/>
      <c r="L1" s="66"/>
      <c r="M1" s="67"/>
      <c r="N1" s="68"/>
      <c r="CA1" s="57">
        <f>'Exercise list'!E1</f>
        <v>2</v>
      </c>
      <c r="CB1" s="12">
        <f>'Exercise list'!F1</f>
        <v>2</v>
      </c>
      <c r="CC1" s="6">
        <f>'Exercise list'!G1</f>
        <v>1</v>
      </c>
      <c r="CD1" s="6">
        <f>'Exercise list'!H1</f>
        <v>1</v>
      </c>
      <c r="CE1" s="34">
        <f>'Exercise list'!I1</f>
        <v>1</v>
      </c>
      <c r="CF1" s="12">
        <f>'Exercise list'!J1</f>
        <v>3</v>
      </c>
      <c r="CG1" s="6">
        <f>'Exercise list'!K1</f>
        <v>1</v>
      </c>
      <c r="CH1" s="34">
        <f>'Exercise list'!L1</f>
        <v>1</v>
      </c>
      <c r="CI1" s="12">
        <f>'Exercise list'!M1</f>
        <v>2</v>
      </c>
      <c r="CJ1" s="6">
        <f>'Exercise list'!N1</f>
        <v>1</v>
      </c>
      <c r="CK1" s="34">
        <f>'Exercise list'!O1</f>
        <v>1</v>
      </c>
      <c r="CL1" s="12">
        <f>'Exercise list'!P1</f>
        <v>1</v>
      </c>
      <c r="CM1" s="6">
        <f>'Exercise list'!Q1</f>
        <v>2</v>
      </c>
      <c r="CN1" s="34">
        <f>'Exercise list'!R1</f>
        <v>1</v>
      </c>
      <c r="CO1" s="12">
        <f>'Exercise list'!S1</f>
        <v>1</v>
      </c>
      <c r="CP1" s="6">
        <f>'Exercise list'!T1</f>
        <v>1</v>
      </c>
      <c r="CQ1" s="6">
        <f>'Exercise list'!U1</f>
        <v>2</v>
      </c>
      <c r="CR1" s="6">
        <f>'Exercise list'!V1</f>
        <v>1</v>
      </c>
      <c r="CS1" s="6">
        <f>'Exercise list'!W1</f>
        <v>1</v>
      </c>
      <c r="CT1" s="34">
        <f>'Exercise list'!X1</f>
        <v>1</v>
      </c>
    </row>
    <row r="2" spans="1:99" s="5" customFormat="1" x14ac:dyDescent="0.25">
      <c r="A2" s="9"/>
      <c r="B2" s="9"/>
      <c r="C2" s="10"/>
      <c r="D2" s="29">
        <v>1</v>
      </c>
      <c r="E2" s="29">
        <v>0</v>
      </c>
      <c r="F2" s="58">
        <v>1</v>
      </c>
      <c r="G2" s="59">
        <v>1</v>
      </c>
      <c r="H2" s="60">
        <v>1</v>
      </c>
      <c r="I2" s="9"/>
      <c r="J2" s="9"/>
      <c r="K2" s="48"/>
      <c r="L2" s="69"/>
      <c r="M2" s="9"/>
      <c r="N2" s="70"/>
      <c r="P2" s="5" t="s">
        <v>39</v>
      </c>
      <c r="AK2" s="5" t="s">
        <v>40</v>
      </c>
      <c r="AM2" s="27" t="s">
        <v>38</v>
      </c>
      <c r="AN2" s="26">
        <v>0.05</v>
      </c>
      <c r="BF2" s="5" t="s">
        <v>41</v>
      </c>
      <c r="BY2" s="5" t="s">
        <v>32</v>
      </c>
      <c r="CA2" s="28">
        <f>Main!CA1/SUM(Main!$CA$1:$CT$1)</f>
        <v>7.407407407407407E-2</v>
      </c>
      <c r="CB2" s="28">
        <f>Main!CB1/SUM(Main!$CA$1:$CT$1)</f>
        <v>7.407407407407407E-2</v>
      </c>
      <c r="CC2" s="28">
        <f>Main!CC1/SUM(Main!$CA$1:$CT$1)</f>
        <v>3.7037037037037035E-2</v>
      </c>
      <c r="CD2" s="28">
        <f>Main!CD1/SUM(Main!$CA$1:$CT$1)</f>
        <v>3.7037037037037035E-2</v>
      </c>
      <c r="CE2" s="28">
        <f>Main!CE1/SUM(Main!$CA$1:$CT$1)</f>
        <v>3.7037037037037035E-2</v>
      </c>
      <c r="CF2" s="28">
        <f>Main!CF1/SUM(Main!$CA$1:$CT$1)</f>
        <v>0.1111111111111111</v>
      </c>
      <c r="CG2" s="28">
        <f>Main!CG1/SUM(Main!$CA$1:$CT$1)</f>
        <v>3.7037037037037035E-2</v>
      </c>
      <c r="CH2" s="28">
        <f>Main!CH1/SUM(Main!$CA$1:$CT$1)</f>
        <v>3.7037037037037035E-2</v>
      </c>
      <c r="CI2" s="28">
        <f>Main!CI1/SUM(Main!$CA$1:$CT$1)</f>
        <v>7.407407407407407E-2</v>
      </c>
      <c r="CJ2" s="28">
        <f>Main!CJ1/SUM(Main!$CA$1:$CT$1)</f>
        <v>3.7037037037037035E-2</v>
      </c>
      <c r="CK2" s="28">
        <f>Main!CK1/SUM(Main!$CA$1:$CT$1)</f>
        <v>3.7037037037037035E-2</v>
      </c>
      <c r="CL2" s="28">
        <f>Main!CL1/SUM(Main!$CA$1:$CT$1)</f>
        <v>3.7037037037037035E-2</v>
      </c>
      <c r="CM2" s="28">
        <f>Main!CM1/SUM(Main!$CA$1:$CT$1)</f>
        <v>7.407407407407407E-2</v>
      </c>
      <c r="CN2" s="28">
        <f>Main!CN1/SUM(Main!$CA$1:$CT$1)</f>
        <v>3.7037037037037035E-2</v>
      </c>
      <c r="CO2" s="28">
        <f>Main!CO1/SUM(Main!$CA$1:$CT$1)</f>
        <v>3.7037037037037035E-2</v>
      </c>
      <c r="CP2" s="28">
        <f>Main!CP1/SUM(Main!$CA$1:$CT$1)</f>
        <v>3.7037037037037035E-2</v>
      </c>
      <c r="CQ2" s="28">
        <f>Main!CQ1/SUM(Main!$CA$1:$CT$1)</f>
        <v>7.407407407407407E-2</v>
      </c>
      <c r="CR2" s="28">
        <f>Main!CR1/SUM(Main!$CA$1:$CT$1)</f>
        <v>3.7037037037037035E-2</v>
      </c>
      <c r="CS2" s="28">
        <f>Main!CS1/SUM(Main!$CA$1:$CT$1)</f>
        <v>3.7037037037037035E-2</v>
      </c>
      <c r="CT2" s="28">
        <f>Main!CT1/SUM(Main!$CA$1:$CT$1)</f>
        <v>3.7037037037037035E-2</v>
      </c>
    </row>
    <row r="3" spans="1:99" s="5" customFormat="1" x14ac:dyDescent="0.25">
      <c r="A3" s="9"/>
      <c r="B3" s="9"/>
      <c r="C3" s="10"/>
      <c r="E3" s="106" t="s">
        <v>155</v>
      </c>
      <c r="F3" s="61">
        <v>0.22533663377831442</v>
      </c>
      <c r="G3" s="89">
        <v>3</v>
      </c>
      <c r="H3" s="109">
        <v>5.8400619814837434E-2</v>
      </c>
      <c r="I3" s="9"/>
      <c r="J3" s="9"/>
      <c r="K3" s="48"/>
      <c r="L3" s="69"/>
      <c r="M3" s="9"/>
      <c r="N3" s="70"/>
      <c r="P3" s="2" t="s">
        <v>0</v>
      </c>
      <c r="Q3" s="120" t="s">
        <v>1</v>
      </c>
      <c r="R3" s="121"/>
      <c r="S3" s="121"/>
      <c r="T3" s="122"/>
      <c r="U3" s="120" t="s">
        <v>2</v>
      </c>
      <c r="V3" s="121"/>
      <c r="W3" s="122"/>
      <c r="X3" s="120" t="s">
        <v>3</v>
      </c>
      <c r="Y3" s="121"/>
      <c r="Z3" s="122"/>
      <c r="AA3" s="120" t="s">
        <v>4</v>
      </c>
      <c r="AB3" s="121"/>
      <c r="AC3" s="122"/>
      <c r="AD3" s="120" t="s">
        <v>5</v>
      </c>
      <c r="AE3" s="121"/>
      <c r="AF3" s="121"/>
      <c r="AG3" s="121"/>
      <c r="AH3" s="121"/>
      <c r="AI3" s="122"/>
      <c r="AK3" s="2" t="s">
        <v>0</v>
      </c>
      <c r="AL3" s="120" t="s">
        <v>1</v>
      </c>
      <c r="AM3" s="121"/>
      <c r="AN3" s="121"/>
      <c r="AO3" s="122"/>
      <c r="AP3" s="120" t="s">
        <v>2</v>
      </c>
      <c r="AQ3" s="121"/>
      <c r="AR3" s="122"/>
      <c r="AS3" s="120" t="s">
        <v>3</v>
      </c>
      <c r="AT3" s="121"/>
      <c r="AU3" s="122"/>
      <c r="AV3" s="120" t="s">
        <v>4</v>
      </c>
      <c r="AW3" s="121"/>
      <c r="AX3" s="122"/>
      <c r="AY3" s="120" t="s">
        <v>5</v>
      </c>
      <c r="AZ3" s="121"/>
      <c r="BA3" s="121"/>
      <c r="BB3" s="121"/>
      <c r="BC3" s="121"/>
      <c r="BD3" s="122"/>
      <c r="BF3" s="2" t="s">
        <v>0</v>
      </c>
      <c r="BG3" s="120" t="s">
        <v>1</v>
      </c>
      <c r="BH3" s="121"/>
      <c r="BI3" s="121"/>
      <c r="BJ3" s="122"/>
      <c r="BK3" s="120" t="s">
        <v>2</v>
      </c>
      <c r="BL3" s="121"/>
      <c r="BM3" s="122"/>
      <c r="BN3" s="120" t="s">
        <v>3</v>
      </c>
      <c r="BO3" s="121"/>
      <c r="BP3" s="122"/>
      <c r="BQ3" s="120" t="s">
        <v>4</v>
      </c>
      <c r="BR3" s="121"/>
      <c r="BS3" s="122"/>
      <c r="BT3" s="120" t="s">
        <v>5</v>
      </c>
      <c r="BU3" s="121"/>
      <c r="BV3" s="121"/>
      <c r="BW3" s="121"/>
      <c r="BX3" s="121"/>
      <c r="BY3" s="122"/>
      <c r="CA3" s="7" t="s">
        <v>0</v>
      </c>
      <c r="CB3" s="123" t="s">
        <v>1</v>
      </c>
      <c r="CC3" s="124"/>
      <c r="CD3" s="124"/>
      <c r="CE3" s="125"/>
      <c r="CF3" s="123" t="s">
        <v>2</v>
      </c>
      <c r="CG3" s="124"/>
      <c r="CH3" s="125"/>
      <c r="CI3" s="123" t="s">
        <v>3</v>
      </c>
      <c r="CJ3" s="124"/>
      <c r="CK3" s="125"/>
      <c r="CL3" s="123" t="s">
        <v>4</v>
      </c>
      <c r="CM3" s="124"/>
      <c r="CN3" s="125"/>
      <c r="CO3" s="123" t="s">
        <v>5</v>
      </c>
      <c r="CP3" s="124"/>
      <c r="CQ3" s="124"/>
      <c r="CR3" s="124"/>
      <c r="CS3" s="124"/>
      <c r="CT3" s="125"/>
    </row>
    <row r="4" spans="1:99" s="5" customFormat="1" x14ac:dyDescent="0.25">
      <c r="A4" s="9"/>
      <c r="B4" s="9"/>
      <c r="C4" s="10"/>
      <c r="D4" s="48"/>
      <c r="E4" s="106" t="s">
        <v>156</v>
      </c>
      <c r="F4" s="61">
        <v>0.17123780598947436</v>
      </c>
      <c r="G4" s="89">
        <v>3</v>
      </c>
      <c r="H4" s="109">
        <v>5.8400619814837434E-2</v>
      </c>
      <c r="I4" s="9"/>
      <c r="J4" s="9"/>
      <c r="K4" s="48"/>
      <c r="L4" s="69"/>
      <c r="M4" s="9"/>
      <c r="N4" s="70"/>
      <c r="P4" s="7"/>
      <c r="Q4" s="103"/>
      <c r="R4" s="104"/>
      <c r="S4" s="104"/>
      <c r="T4" s="105"/>
      <c r="U4" s="103"/>
      <c r="V4" s="104"/>
      <c r="W4" s="105"/>
      <c r="X4" s="103"/>
      <c r="Y4" s="104"/>
      <c r="Z4" s="105"/>
      <c r="AA4" s="103"/>
      <c r="AB4" s="104"/>
      <c r="AC4" s="105"/>
      <c r="AD4" s="103"/>
      <c r="AE4" s="104"/>
      <c r="AF4" s="104"/>
      <c r="AG4" s="104"/>
      <c r="AH4" s="104"/>
      <c r="AI4" s="105"/>
      <c r="AK4" s="7"/>
      <c r="AL4" s="103"/>
      <c r="AM4" s="104"/>
      <c r="AN4" s="104"/>
      <c r="AO4" s="105"/>
      <c r="AP4" s="103"/>
      <c r="AQ4" s="104"/>
      <c r="AR4" s="105"/>
      <c r="AS4" s="103"/>
      <c r="AT4" s="104"/>
      <c r="AU4" s="105"/>
      <c r="AV4" s="103"/>
      <c r="AW4" s="104"/>
      <c r="AX4" s="105"/>
      <c r="AY4" s="103"/>
      <c r="AZ4" s="104"/>
      <c r="BA4" s="104"/>
      <c r="BB4" s="104"/>
      <c r="BC4" s="104"/>
      <c r="BD4" s="105"/>
      <c r="BF4" s="7"/>
      <c r="BG4" s="103"/>
      <c r="BH4" s="104"/>
      <c r="BI4" s="104"/>
      <c r="BJ4" s="105"/>
      <c r="BK4" s="103"/>
      <c r="BL4" s="104"/>
      <c r="BM4" s="105"/>
      <c r="BN4" s="103"/>
      <c r="BO4" s="104"/>
      <c r="BP4" s="105"/>
      <c r="BQ4" s="103"/>
      <c r="BR4" s="104"/>
      <c r="BS4" s="105"/>
      <c r="BT4" s="103"/>
      <c r="BU4" s="104"/>
      <c r="BV4" s="104"/>
      <c r="BW4" s="104"/>
      <c r="BX4" s="104"/>
      <c r="BY4" s="105"/>
      <c r="CA4" s="7"/>
      <c r="CB4" s="103"/>
      <c r="CC4" s="104"/>
      <c r="CD4" s="104"/>
      <c r="CE4" s="105"/>
      <c r="CF4" s="103"/>
      <c r="CG4" s="104"/>
      <c r="CH4" s="105"/>
      <c r="CI4" s="103"/>
      <c r="CJ4" s="104"/>
      <c r="CK4" s="105"/>
      <c r="CL4" s="103"/>
      <c r="CM4" s="104"/>
      <c r="CN4" s="105"/>
      <c r="CO4" s="103"/>
      <c r="CP4" s="104"/>
      <c r="CQ4" s="104"/>
      <c r="CR4" s="104"/>
      <c r="CS4" s="104"/>
      <c r="CT4" s="105"/>
    </row>
    <row r="5" spans="1:99" ht="30" x14ac:dyDescent="0.25">
      <c r="A5" s="9" t="s">
        <v>33</v>
      </c>
      <c r="B5" s="9"/>
      <c r="C5" s="10" t="s">
        <v>43</v>
      </c>
      <c r="D5" s="30" t="s">
        <v>34</v>
      </c>
      <c r="E5" s="31" t="s">
        <v>36</v>
      </c>
      <c r="F5" s="30" t="s">
        <v>44</v>
      </c>
      <c r="G5" s="24" t="s">
        <v>160</v>
      </c>
      <c r="H5" s="31" t="s">
        <v>35</v>
      </c>
      <c r="I5" s="24" t="s">
        <v>42</v>
      </c>
      <c r="J5" s="24" t="s">
        <v>157</v>
      </c>
      <c r="K5" s="30" t="s">
        <v>89</v>
      </c>
      <c r="L5" s="71" t="s">
        <v>91</v>
      </c>
      <c r="M5" s="24" t="s">
        <v>90</v>
      </c>
      <c r="N5" s="72" t="s">
        <v>92</v>
      </c>
      <c r="P5" s="35" t="s">
        <v>6</v>
      </c>
      <c r="Q5" s="36" t="s">
        <v>7</v>
      </c>
      <c r="R5" s="11" t="s">
        <v>8</v>
      </c>
      <c r="S5" s="11" t="s">
        <v>9</v>
      </c>
      <c r="T5" s="37" t="s">
        <v>10</v>
      </c>
      <c r="U5" s="36" t="s">
        <v>11</v>
      </c>
      <c r="V5" s="11" t="s">
        <v>12</v>
      </c>
      <c r="W5" s="37" t="s">
        <v>13</v>
      </c>
      <c r="X5" s="36" t="s">
        <v>14</v>
      </c>
      <c r="Y5" s="11" t="s">
        <v>15</v>
      </c>
      <c r="Z5" s="37" t="s">
        <v>16</v>
      </c>
      <c r="AA5" s="36" t="s">
        <v>17</v>
      </c>
      <c r="AB5" s="11" t="s">
        <v>18</v>
      </c>
      <c r="AC5" s="37" t="s">
        <v>19</v>
      </c>
      <c r="AD5" s="36" t="s">
        <v>20</v>
      </c>
      <c r="AE5" s="11" t="s">
        <v>21</v>
      </c>
      <c r="AF5" s="11" t="s">
        <v>22</v>
      </c>
      <c r="AG5" s="11" t="s">
        <v>23</v>
      </c>
      <c r="AH5" s="11" t="s">
        <v>24</v>
      </c>
      <c r="AI5" s="37" t="s">
        <v>25</v>
      </c>
      <c r="AK5" s="35" t="s">
        <v>6</v>
      </c>
      <c r="AL5" s="36" t="s">
        <v>7</v>
      </c>
      <c r="AM5" s="11" t="s">
        <v>8</v>
      </c>
      <c r="AN5" s="11" t="s">
        <v>9</v>
      </c>
      <c r="AO5" s="37" t="s">
        <v>10</v>
      </c>
      <c r="AP5" s="36" t="s">
        <v>11</v>
      </c>
      <c r="AQ5" s="11" t="s">
        <v>12</v>
      </c>
      <c r="AR5" s="37" t="s">
        <v>13</v>
      </c>
      <c r="AS5" s="36" t="s">
        <v>14</v>
      </c>
      <c r="AT5" s="11" t="s">
        <v>15</v>
      </c>
      <c r="AU5" s="37" t="s">
        <v>16</v>
      </c>
      <c r="AV5" s="36" t="s">
        <v>17</v>
      </c>
      <c r="AW5" s="11" t="s">
        <v>18</v>
      </c>
      <c r="AX5" s="37" t="s">
        <v>19</v>
      </c>
      <c r="AY5" s="36" t="s">
        <v>20</v>
      </c>
      <c r="AZ5" s="11" t="s">
        <v>21</v>
      </c>
      <c r="BA5" s="11" t="s">
        <v>22</v>
      </c>
      <c r="BB5" s="11" t="s">
        <v>23</v>
      </c>
      <c r="BC5" s="11" t="s">
        <v>24</v>
      </c>
      <c r="BD5" s="37" t="s">
        <v>25</v>
      </c>
      <c r="BF5" s="35" t="s">
        <v>6</v>
      </c>
      <c r="BG5" s="36" t="s">
        <v>7</v>
      </c>
      <c r="BH5" s="11" t="s">
        <v>8</v>
      </c>
      <c r="BI5" s="11" t="s">
        <v>9</v>
      </c>
      <c r="BJ5" s="37" t="s">
        <v>10</v>
      </c>
      <c r="BK5" s="36" t="s">
        <v>11</v>
      </c>
      <c r="BL5" s="11" t="s">
        <v>12</v>
      </c>
      <c r="BM5" s="37" t="s">
        <v>13</v>
      </c>
      <c r="BN5" s="36" t="s">
        <v>14</v>
      </c>
      <c r="BO5" s="11" t="s">
        <v>15</v>
      </c>
      <c r="BP5" s="37" t="s">
        <v>16</v>
      </c>
      <c r="BQ5" s="36" t="s">
        <v>17</v>
      </c>
      <c r="BR5" s="11" t="s">
        <v>18</v>
      </c>
      <c r="BS5" s="37" t="s">
        <v>19</v>
      </c>
      <c r="BT5" s="36" t="s">
        <v>20</v>
      </c>
      <c r="BU5" s="11" t="s">
        <v>21</v>
      </c>
      <c r="BV5" s="11" t="s">
        <v>22</v>
      </c>
      <c r="BW5" s="11" t="s">
        <v>23</v>
      </c>
      <c r="BX5" s="11" t="s">
        <v>24</v>
      </c>
      <c r="BY5" s="37" t="s">
        <v>25</v>
      </c>
      <c r="CA5" s="35" t="s">
        <v>6</v>
      </c>
      <c r="CB5" s="36" t="s">
        <v>7</v>
      </c>
      <c r="CC5" s="11" t="s">
        <v>8</v>
      </c>
      <c r="CD5" s="11" t="s">
        <v>9</v>
      </c>
      <c r="CE5" s="37" t="s">
        <v>10</v>
      </c>
      <c r="CF5" s="36" t="s">
        <v>11</v>
      </c>
      <c r="CG5" s="11" t="s">
        <v>12</v>
      </c>
      <c r="CH5" s="37" t="s">
        <v>13</v>
      </c>
      <c r="CI5" s="36" t="s">
        <v>14</v>
      </c>
      <c r="CJ5" s="11" t="s">
        <v>15</v>
      </c>
      <c r="CK5" s="37" t="s">
        <v>16</v>
      </c>
      <c r="CL5" s="36" t="s">
        <v>17</v>
      </c>
      <c r="CM5" s="11" t="s">
        <v>18</v>
      </c>
      <c r="CN5" s="37" t="s">
        <v>19</v>
      </c>
      <c r="CO5" s="36" t="s">
        <v>20</v>
      </c>
      <c r="CP5" s="11" t="s">
        <v>21</v>
      </c>
      <c r="CQ5" s="11" t="s">
        <v>22</v>
      </c>
      <c r="CR5" s="11" t="s">
        <v>23</v>
      </c>
      <c r="CS5" s="11" t="s">
        <v>24</v>
      </c>
      <c r="CT5" s="37" t="s">
        <v>25</v>
      </c>
    </row>
    <row r="6" spans="1:99" x14ac:dyDescent="0.25">
      <c r="A6" s="110">
        <v>45046</v>
      </c>
      <c r="B6" s="111">
        <v>8</v>
      </c>
      <c r="C6" s="38" t="s">
        <v>116</v>
      </c>
      <c r="D6" s="39">
        <f t="shared" ref="D6:D37" si="0">IF(C6="","",MIN(AK6:BD6))</f>
        <v>1</v>
      </c>
      <c r="E6" s="40">
        <f t="shared" ref="E6:E65" si="1">IF(C6="","",IFERROR((F6/$F$3)^-$F$2*(G6/$G$3)^IF(B6&gt;5,$G$2,0)*(H6/H5)^-$H$2,0))</f>
        <v>0</v>
      </c>
      <c r="F6" s="62" cm="1">
        <f t="array" ref="F6">IF(B6="","",0.1+IFERROR(INDEX($F5:$F$6,SUMPRODUCT(MAX(ROW($C5:$C$6)*($C6=$C5:$C$6))-ROW($A$5)))*0.9^($A6-INDEX($A5:A$6,SUMPRODUCT(MAX(ROW($C5:$C$6)*($C6=$C5:$C$6))-ROW($A$5)))),0))</f>
        <v>0.1</v>
      </c>
      <c r="G6" s="41">
        <f>INDEX('Exercise list'!$Y$5:$Y$102,MATCH(C6,'Exercise list'!$C$5:$C$102,0))</f>
        <v>3</v>
      </c>
      <c r="H6" s="114">
        <f t="shared" ref="H6:H37" si="2">SQRT(SUMPRODUCT(CA6:CT6,CA6:CT6)/20)</f>
        <v>0.22133154840868857</v>
      </c>
      <c r="I6" s="42">
        <v>1</v>
      </c>
      <c r="J6" s="42">
        <v>0</v>
      </c>
      <c r="K6" s="39"/>
      <c r="L6" s="50" t="str" cm="1">
        <f t="array" ref="L6">IF(K6="","",INDEX('Exercise list'!$C$5:$C$102,K6))</f>
        <v/>
      </c>
      <c r="M6" s="42"/>
      <c r="N6" s="73" t="str" cm="1">
        <f t="array" ref="N6">IF(M6="","",INDEX('Exercise list'!$C$5:$C$102,M6))</f>
        <v/>
      </c>
      <c r="O6" s="1"/>
      <c r="P6" s="1">
        <f>IFERROR(INDEX('Exercise list'!$E$5:$X$102,MATCH($C6,'Exercise list'!$C$5:$C$102,0),MATCH(P$5,'Exercise list'!$E$4:$X$4,0)),0)</f>
        <v>0</v>
      </c>
      <c r="Q6" s="1">
        <f>IFERROR(INDEX('Exercise list'!$E$5:$X$102,MATCH($C6,'Exercise list'!$C$5:$C$102,0),MATCH(Q$5,'Exercise list'!$E$4:$X$4,0)),0)</f>
        <v>0</v>
      </c>
      <c r="R6" s="1">
        <f>IFERROR(INDEX('Exercise list'!$E$5:$X$102,MATCH($C6,'Exercise list'!$C$5:$C$102,0),MATCH(R$5,'Exercise list'!$E$4:$X$4,0)),0)</f>
        <v>0</v>
      </c>
      <c r="S6" s="1">
        <f>IFERROR(INDEX('Exercise list'!$E$5:$X$102,MATCH($C6,'Exercise list'!$C$5:$C$102,0),MATCH(S$5,'Exercise list'!$E$4:$X$4,0)),0)</f>
        <v>0</v>
      </c>
      <c r="T6" s="1">
        <f>IFERROR(INDEX('Exercise list'!$E$5:$X$102,MATCH($C6,'Exercise list'!$C$5:$C$102,0),MATCH(T$5,'Exercise list'!$E$4:$X$4,0)),0)</f>
        <v>1</v>
      </c>
      <c r="U6" s="1">
        <f>IFERROR(INDEX('Exercise list'!$E$5:$X$102,MATCH($C6,'Exercise list'!$C$5:$C$102,0),MATCH(U$5,'Exercise list'!$E$4:$X$4,0)),0)</f>
        <v>0</v>
      </c>
      <c r="V6" s="1">
        <f>IFERROR(INDEX('Exercise list'!$E$5:$X$102,MATCH($C6,'Exercise list'!$C$5:$C$102,0),MATCH(V$5,'Exercise list'!$E$4:$X$4,0)),0)</f>
        <v>0</v>
      </c>
      <c r="W6" s="1">
        <f>IFERROR(INDEX('Exercise list'!$E$5:$X$102,MATCH($C6,'Exercise list'!$C$5:$C$102,0),MATCH(W$5,'Exercise list'!$E$4:$X$4,0)),0)</f>
        <v>0</v>
      </c>
      <c r="X6" s="1">
        <f>IFERROR(INDEX('Exercise list'!$E$5:$X$102,MATCH($C6,'Exercise list'!$C$5:$C$102,0),MATCH(X$5,'Exercise list'!$E$4:$X$4,0)),0)</f>
        <v>0</v>
      </c>
      <c r="Y6" s="1">
        <f>IFERROR(INDEX('Exercise list'!$E$5:$X$102,MATCH($C6,'Exercise list'!$C$5:$C$102,0),MATCH(Y$5,'Exercise list'!$E$4:$X$4,0)),0)</f>
        <v>0</v>
      </c>
      <c r="Z6" s="1">
        <f>IFERROR(INDEX('Exercise list'!$E$5:$X$102,MATCH($C6,'Exercise list'!$C$5:$C$102,0),MATCH(Z$5,'Exercise list'!$E$4:$X$4,0)),0)</f>
        <v>1</v>
      </c>
      <c r="AA6" s="1">
        <f>IFERROR(INDEX('Exercise list'!$E$5:$X$102,MATCH($C6,'Exercise list'!$C$5:$C$102,0),MATCH(AA$5,'Exercise list'!$E$4:$X$4,0)),0)</f>
        <v>0</v>
      </c>
      <c r="AB6" s="1">
        <f>IFERROR(INDEX('Exercise list'!$E$5:$X$102,MATCH($C6,'Exercise list'!$C$5:$C$102,0),MATCH(AB$5,'Exercise list'!$E$4:$X$4,0)),0)</f>
        <v>0.5</v>
      </c>
      <c r="AC6" s="1">
        <f>IFERROR(INDEX('Exercise list'!$E$5:$X$102,MATCH($C6,'Exercise list'!$C$5:$C$102,0),MATCH(AC$5,'Exercise list'!$E$4:$X$4,0)),0)</f>
        <v>0</v>
      </c>
      <c r="AD6" s="1">
        <f>IFERROR(INDEX('Exercise list'!$E$5:$X$102,MATCH($C6,'Exercise list'!$C$5:$C$102,0),MATCH(AD$5,'Exercise list'!$E$4:$X$4,0)),0)</f>
        <v>0.6</v>
      </c>
      <c r="AE6" s="1">
        <f>IFERROR(INDEX('Exercise list'!$E$5:$X$102,MATCH($C6,'Exercise list'!$C$5:$C$102,0),MATCH(AE$5,'Exercise list'!$E$4:$X$4,0)),0)</f>
        <v>0.7</v>
      </c>
      <c r="AF6" s="1">
        <f>IFERROR(INDEX('Exercise list'!$E$5:$X$102,MATCH($C6,'Exercise list'!$C$5:$C$102,0),MATCH(AF$5,'Exercise list'!$E$4:$X$4,0)),0)</f>
        <v>1</v>
      </c>
      <c r="AG6" s="1">
        <f>IFERROR(INDEX('Exercise list'!$E$5:$X$102,MATCH($C6,'Exercise list'!$C$5:$C$102,0),MATCH(AG$5,'Exercise list'!$E$4:$X$4,0)),0)</f>
        <v>0</v>
      </c>
      <c r="AH6" s="1">
        <f>IFERROR(INDEX('Exercise list'!$E$5:$X$102,MATCH($C6,'Exercise list'!$C$5:$C$102,0),MATCH(AH$5,'Exercise list'!$E$4:$X$4,0)),0)</f>
        <v>0</v>
      </c>
      <c r="AI6" s="1">
        <f>IFERROR(INDEX('Exercise list'!$E$5:$X$102,MATCH($C6,'Exercise list'!$C$5:$C$102,0),MATCH(AI$5,'Exercise list'!$E$4:$X$4,0)),0)</f>
        <v>0</v>
      </c>
      <c r="AJ6" s="1"/>
      <c r="AK6" s="1">
        <f>IF(OR($J6=1,COUNTIFS($A$5:$A5,"&gt;="&amp;$A6-1,$A$5:$A5,"&lt;="&amp;$A6,$B$5:$B5,$B6)&gt;0,MIN(1-'Exercise list'!E$2,IF($A6=$A5,AK5,1))-P6&lt;0),-1,MIN(1,IF($A6=$A5,AK5,1)-P6+$D$2))</f>
        <v>1</v>
      </c>
      <c r="AL6" s="1">
        <f>IF(OR($J6=1,COUNTIFS($A$5:$A5,"&gt;="&amp;$A6-1,$A$5:$A5,"&lt;="&amp;$A6,$B$5:$B5,$B6)&gt;0,MIN(1-'Exercise list'!F$2,IF($A6=$A5,AL5,1))-Q6&lt;0),-1,MIN(1,IF($A6=$A5,AL5,1)-Q6+$D$2))</f>
        <v>1</v>
      </c>
      <c r="AM6" s="1">
        <f>IF(OR($J6=1,COUNTIFS($A$5:$A5,"&gt;="&amp;$A6-1,$A$5:$A5,"&lt;="&amp;$A6,$B$5:$B5,$B6)&gt;0,MIN(1-'Exercise list'!G$2,IF($A6=$A5,AM5,1))-R6&lt;0),-1,MIN(1,IF($A6=$A5,AM5,1)-R6+$D$2))</f>
        <v>1</v>
      </c>
      <c r="AN6" s="1">
        <f>IF(OR($J6=1,COUNTIFS($A$5:$A5,"&gt;="&amp;$A6-1,$A$5:$A5,"&lt;="&amp;$A6,$B$5:$B5,$B6)&gt;0,MIN(1-'Exercise list'!H$2,IF($A6=$A5,AN5,1))-S6&lt;0),-1,MIN(1,IF($A6=$A5,AN5,1)-S6+$D$2))</f>
        <v>1</v>
      </c>
      <c r="AO6" s="1">
        <f>IF(OR($J6=1,COUNTIFS($A$5:$A5,"&gt;="&amp;$A6-1,$A$5:$A5,"&lt;="&amp;$A6,$B$5:$B5,$B6)&gt;0,MIN(1-'Exercise list'!I$2,IF($A6=$A5,AO5,1))-T6&lt;0),-1,MIN(1,IF($A6=$A5,AO5,1)-T6+$D$2))</f>
        <v>1</v>
      </c>
      <c r="AP6" s="1">
        <f>IF(OR($J6=1,COUNTIFS($A$5:$A5,"&gt;="&amp;$A6-1,$A$5:$A5,"&lt;="&amp;$A6,$B$5:$B5,$B6)&gt;0,MIN(1-'Exercise list'!J$2,IF($A6=$A5,AP5,1))-U6&lt;0),-1,MIN(1,IF($A6=$A5,AP5,1)-U6+$D$2))</f>
        <v>1</v>
      </c>
      <c r="AQ6" s="1">
        <f>IF(OR($J6=1,COUNTIFS($A$5:$A5,"&gt;="&amp;$A6-1,$A$5:$A5,"&lt;="&amp;$A6,$B$5:$B5,$B6)&gt;0,MIN(1-'Exercise list'!K$2,IF($A6=$A5,AQ5,1))-V6&lt;0),-1,MIN(1,IF($A6=$A5,AQ5,1)-V6+$D$2))</f>
        <v>1</v>
      </c>
      <c r="AR6" s="1">
        <f>IF(OR($J6=1,COUNTIFS($A$5:$A5,"&gt;="&amp;$A6-1,$A$5:$A5,"&lt;="&amp;$A6,$B$5:$B5,$B6)&gt;0,MIN(1-'Exercise list'!L$2,IF($A6=$A5,AR5,1))-W6&lt;0),-1,MIN(1,IF($A6=$A5,AR5,1)-W6+$D$2))</f>
        <v>1</v>
      </c>
      <c r="AS6" s="1">
        <f>IF(OR($J6=1,COUNTIFS($A$5:$A5,"&gt;="&amp;$A6-1,$A$5:$A5,"&lt;="&amp;$A6,$B$5:$B5,$B6)&gt;0,MIN(1-'Exercise list'!M$2,IF($A6=$A5,AS5,1))-X6&lt;0),-1,MIN(1,IF($A6=$A5,AS5,1)-X6+$D$2))</f>
        <v>1</v>
      </c>
      <c r="AT6" s="1">
        <f>IF(OR($J6=1,COUNTIFS($A$5:$A5,"&gt;="&amp;$A6-1,$A$5:$A5,"&lt;="&amp;$A6,$B$5:$B5,$B6)&gt;0,MIN(1-'Exercise list'!N$2,IF($A6=$A5,AT5,1))-Y6&lt;0),-1,MIN(1,IF($A6=$A5,AT5,1)-Y6+$D$2))</f>
        <v>1</v>
      </c>
      <c r="AU6" s="1">
        <f>IF(OR($J6=1,COUNTIFS($A$5:$A5,"&gt;="&amp;$A6-1,$A$5:$A5,"&lt;="&amp;$A6,$B$5:$B5,$B6)&gt;0,MIN(1-'Exercise list'!O$2,IF($A6=$A5,AU5,1))-Z6&lt;0),-1,MIN(1,IF($A6=$A5,AU5,1)-Z6+$D$2))</f>
        <v>1</v>
      </c>
      <c r="AV6" s="1">
        <f>IF(OR($J6=1,COUNTIFS($A$5:$A5,"&gt;="&amp;$A6-1,$A$5:$A5,"&lt;="&amp;$A6,$B$5:$B5,$B6)&gt;0,MIN(1-'Exercise list'!P$2,IF($A6=$A5,AV5,1))-AA6&lt;0),-1,MIN(1,IF($A6=$A5,AV5,1)-AA6+$D$2))</f>
        <v>1</v>
      </c>
      <c r="AW6" s="1">
        <f>IF(OR($J6=1,COUNTIFS($A$5:$A5,"&gt;="&amp;$A6-1,$A$5:$A5,"&lt;="&amp;$A6,$B$5:$B5,$B6)&gt;0,MIN(1-'Exercise list'!Q$2,IF($A6=$A5,AW5,1))-AB6&lt;0),-1,MIN(1,IF($A6=$A5,AW5,1)-AB6+$D$2))</f>
        <v>1</v>
      </c>
      <c r="AX6" s="1">
        <f>IF(OR($J6=1,COUNTIFS($A$5:$A5,"&gt;="&amp;$A6-1,$A$5:$A5,"&lt;="&amp;$A6,$B$5:$B5,$B6)&gt;0,MIN(1-'Exercise list'!R$2,IF($A6=$A5,AX5,1))-AC6&lt;0),-1,MIN(1,IF($A6=$A5,AX5,1)-AC6+$D$2))</f>
        <v>1</v>
      </c>
      <c r="AY6" s="1">
        <f>IF(OR($J6=1,COUNTIFS($A$5:$A5,"&gt;="&amp;$A6-1,$A$5:$A5,"&lt;="&amp;$A6,$B$5:$B5,$B6)&gt;0,MIN(1-'Exercise list'!S$2,IF($A6=$A5,AY5,1))-AD6&lt;0),-1,MIN(1,IF($A6=$A5,AY5,1)-AD6+$D$2))</f>
        <v>1</v>
      </c>
      <c r="AZ6" s="1">
        <f>IF(OR($J6=1,COUNTIFS($A$5:$A5,"&gt;="&amp;$A6-1,$A$5:$A5,"&lt;="&amp;$A6,$B$5:$B5,$B6)&gt;0,MIN(1-'Exercise list'!T$2,IF($A6=$A5,AZ5,1))-AE6&lt;0),-1,MIN(1,IF($A6=$A5,AZ5,1)-AE6+$D$2))</f>
        <v>1</v>
      </c>
      <c r="BA6" s="1">
        <f>IF(OR($J6=1,COUNTIFS($A$5:$A5,"&gt;="&amp;$A6-1,$A$5:$A5,"&lt;="&amp;$A6,$B$5:$B5,$B6)&gt;0,MIN(1-'Exercise list'!U$2,IF($A6=$A5,BA5,1))-AF6&lt;0),-1,MIN(1,IF($A6=$A5,BA5,1)-AF6+$D$2))</f>
        <v>1</v>
      </c>
      <c r="BB6" s="1">
        <f>IF(OR($J6=1,COUNTIFS($A$5:$A5,"&gt;="&amp;$A6-1,$A$5:$A5,"&lt;="&amp;$A6,$B$5:$B5,$B6)&gt;0,MIN(1-'Exercise list'!V$2,IF($A6=$A5,BB5,1))-AG6&lt;0),-1,MIN(1,IF($A6=$A5,BB5,1)-AG6+$D$2))</f>
        <v>1</v>
      </c>
      <c r="BC6" s="1">
        <f>IF(OR($J6=1,COUNTIFS($A$5:$A5,"&gt;="&amp;$A6-1,$A$5:$A5,"&lt;="&amp;$A6,$B$5:$B5,$B6)&gt;0,MIN(1-'Exercise list'!W$2,IF($A6=$A5,BC5,1))-AH6&lt;0),-1,MIN(1,IF($A6=$A5,BC5,1)-AH6+$D$2))</f>
        <v>1</v>
      </c>
      <c r="BD6" s="1">
        <f>IF(OR($J6=1,COUNTIFS($A$5:$A5,"&gt;="&amp;$A6-1,$A$5:$A5,"&lt;="&amp;$A6,$B$5:$B5,$B6)&gt;0,MIN(1-'Exercise list'!X$2,IF($A6=$A5,BD5,1))-AI6&lt;0),-1,MIN(1,IF($A6=$A5,BD5,1)-AI6+$D$2))</f>
        <v>1</v>
      </c>
      <c r="BE6" s="1"/>
      <c r="BF6" s="43">
        <f>P6</f>
        <v>0</v>
      </c>
      <c r="BG6" s="43">
        <f t="shared" ref="BG6:BY6" si="3">Q6</f>
        <v>0</v>
      </c>
      <c r="BH6" s="43">
        <f t="shared" si="3"/>
        <v>0</v>
      </c>
      <c r="BI6" s="43">
        <f t="shared" si="3"/>
        <v>0</v>
      </c>
      <c r="BJ6" s="43">
        <f t="shared" si="3"/>
        <v>1</v>
      </c>
      <c r="BK6" s="43">
        <f t="shared" si="3"/>
        <v>0</v>
      </c>
      <c r="BL6" s="43">
        <f t="shared" si="3"/>
        <v>0</v>
      </c>
      <c r="BM6" s="43">
        <f t="shared" si="3"/>
        <v>0</v>
      </c>
      <c r="BN6" s="43">
        <f t="shared" si="3"/>
        <v>0</v>
      </c>
      <c r="BO6" s="43">
        <f t="shared" si="3"/>
        <v>0</v>
      </c>
      <c r="BP6" s="43">
        <f t="shared" si="3"/>
        <v>1</v>
      </c>
      <c r="BQ6" s="43">
        <f t="shared" si="3"/>
        <v>0</v>
      </c>
      <c r="BR6" s="43">
        <f t="shared" si="3"/>
        <v>0.5</v>
      </c>
      <c r="BS6" s="43">
        <f t="shared" si="3"/>
        <v>0</v>
      </c>
      <c r="BT6" s="43">
        <f t="shared" si="3"/>
        <v>0.6</v>
      </c>
      <c r="BU6" s="43">
        <f t="shared" si="3"/>
        <v>0.7</v>
      </c>
      <c r="BV6" s="43">
        <f t="shared" si="3"/>
        <v>1</v>
      </c>
      <c r="BW6" s="43">
        <f t="shared" si="3"/>
        <v>0</v>
      </c>
      <c r="BX6" s="43">
        <f t="shared" si="3"/>
        <v>0</v>
      </c>
      <c r="BY6" s="43">
        <f t="shared" si="3"/>
        <v>0</v>
      </c>
      <c r="BZ6" s="1"/>
      <c r="CA6" s="43">
        <f t="shared" ref="CA6:CA69" si="4">IF($A6="","",MAX(0,CA$2/SUM($CA$2:$CT$2)*SUM($BF6:$BY6)-BF6))</f>
        <v>0.35555555555555557</v>
      </c>
      <c r="CB6" s="43">
        <f t="shared" ref="CB6:CB69" si="5">IF($A6="","",MAX(0,CB$2/SUM($CA$2:$CT$2)*SUM($BF6:$BY6)-BG6))</f>
        <v>0.35555555555555557</v>
      </c>
      <c r="CC6" s="43">
        <f t="shared" ref="CC6:CC69" si="6">IF($A6="","",MAX(0,CC$2/SUM($CA$2:$CT$2)*SUM($BF6:$BY6)-BH6))</f>
        <v>0.17777777777777778</v>
      </c>
      <c r="CD6" s="43">
        <f t="shared" ref="CD6:CD69" si="7">IF($A6="","",MAX(0,CD$2/SUM($CA$2:$CT$2)*SUM($BF6:$BY6)-BI6))</f>
        <v>0.17777777777777778</v>
      </c>
      <c r="CE6" s="43">
        <f t="shared" ref="CE6:CE69" si="8">IF($A6="","",MAX(0,CE$2/SUM($CA$2:$CT$2)*SUM($BF6:$BY6)-BJ6))</f>
        <v>0</v>
      </c>
      <c r="CF6" s="43">
        <f t="shared" ref="CF6:CF69" si="9">IF($A6="","",MAX(0,CF$2/SUM($CA$2:$CT$2)*SUM($BF6:$BY6)-BK6))</f>
        <v>0.53333333333333344</v>
      </c>
      <c r="CG6" s="43">
        <f t="shared" ref="CG6:CG69" si="10">IF($A6="","",MAX(0,CG$2/SUM($CA$2:$CT$2)*SUM($BF6:$BY6)-BL6))</f>
        <v>0.17777777777777778</v>
      </c>
      <c r="CH6" s="43">
        <f t="shared" ref="CH6:CH69" si="11">IF($A6="","",MAX(0,CH$2/SUM($CA$2:$CT$2)*SUM($BF6:$BY6)-BM6))</f>
        <v>0.17777777777777778</v>
      </c>
      <c r="CI6" s="43">
        <f t="shared" ref="CI6:CI69" si="12">IF($A6="","",MAX(0,CI$2/SUM($CA$2:$CT$2)*SUM($BF6:$BY6)-BN6))</f>
        <v>0.35555555555555557</v>
      </c>
      <c r="CJ6" s="43">
        <f t="shared" ref="CJ6:CJ69" si="13">IF($A6="","",MAX(0,CJ$2/SUM($CA$2:$CT$2)*SUM($BF6:$BY6)-BO6))</f>
        <v>0.17777777777777778</v>
      </c>
      <c r="CK6" s="43">
        <f t="shared" ref="CK6:CK69" si="14">IF($A6="","",MAX(0,CK$2/SUM($CA$2:$CT$2)*SUM($BF6:$BY6)-BP6))</f>
        <v>0</v>
      </c>
      <c r="CL6" s="43">
        <f t="shared" ref="CL6:CL69" si="15">IF($A6="","",MAX(0,CL$2/SUM($CA$2:$CT$2)*SUM($BF6:$BY6)-BQ6))</f>
        <v>0.17777777777777778</v>
      </c>
      <c r="CM6" s="43">
        <f t="shared" ref="CM6:CM69" si="16">IF($A6="","",MAX(0,CM$2/SUM($CA$2:$CT$2)*SUM($BF6:$BY6)-BR6))</f>
        <v>0</v>
      </c>
      <c r="CN6" s="43">
        <f t="shared" ref="CN6:CN69" si="17">IF($A6="","",MAX(0,CN$2/SUM($CA$2:$CT$2)*SUM($BF6:$BY6)-BS6))</f>
        <v>0.17777777777777778</v>
      </c>
      <c r="CO6" s="43">
        <f t="shared" ref="CO6:CO69" si="18">IF($A6="","",MAX(0,CO$2/SUM($CA$2:$CT$2)*SUM($BF6:$BY6)-BT6))</f>
        <v>0</v>
      </c>
      <c r="CP6" s="43">
        <f t="shared" ref="CP6:CP69" si="19">IF($A6="","",MAX(0,CP$2/SUM($CA$2:$CT$2)*SUM($BF6:$BY6)-BU6))</f>
        <v>0</v>
      </c>
      <c r="CQ6" s="43">
        <f t="shared" ref="CQ6:CQ69" si="20">IF($A6="","",MAX(0,CQ$2/SUM($CA$2:$CT$2)*SUM($BF6:$BY6)-BV6))</f>
        <v>0</v>
      </c>
      <c r="CR6" s="43">
        <f t="shared" ref="CR6:CR69" si="21">IF($A6="","",MAX(0,CR$2/SUM($CA$2:$CT$2)*SUM($BF6:$BY6)-BW6))</f>
        <v>0.17777777777777778</v>
      </c>
      <c r="CS6" s="43">
        <f t="shared" ref="CS6:CS69" si="22">IF($A6="","",MAX(0,CS$2/SUM($CA$2:$CT$2)*SUM($BF6:$BY6)-BX6))</f>
        <v>0.17777777777777778</v>
      </c>
      <c r="CT6" s="43">
        <f t="shared" ref="CT6:CT69" si="23">IF($A6="","",MAX(0,CT$2/SUM($CA$2:$CT$2)*SUM($BF6:$BY6)-BY6))</f>
        <v>0.17777777777777778</v>
      </c>
      <c r="CU6" s="1"/>
    </row>
    <row r="7" spans="1:99" x14ac:dyDescent="0.25">
      <c r="A7" s="112">
        <v>45046</v>
      </c>
      <c r="B7" s="14">
        <v>31</v>
      </c>
      <c r="C7" s="15" t="s">
        <v>143</v>
      </c>
      <c r="D7" s="12">
        <f t="shared" si="0"/>
        <v>1</v>
      </c>
      <c r="E7" s="32">
        <f t="shared" si="1"/>
        <v>0.78333065510645739</v>
      </c>
      <c r="F7" s="63" cm="1">
        <f t="array" ref="F7">IF(B7="","",0.1+IFERROR(INDEX($F$6:$F6,SUMPRODUCT(MAX(ROW($C$6:$C6)*($C7=$C$6:$C6))-ROW($A$5)))*0.9^($A7-INDEX($A$6:A6,SUMPRODUCT(MAX(ROW($C$6:$C6)*($C7=$C$6:$C6))-ROW($A$5)))),0))</f>
        <v>0.1</v>
      </c>
      <c r="G7" s="64">
        <f>INDEX('Exercise list'!$Y$5:$Y$102,MATCH(C7,'Exercise list'!$C$5:$C$102,0))</f>
        <v>1</v>
      </c>
      <c r="H7" s="115">
        <f t="shared" si="2"/>
        <v>0.21223096420492593</v>
      </c>
      <c r="I7" s="6">
        <v>2</v>
      </c>
      <c r="J7" s="6">
        <v>0</v>
      </c>
      <c r="K7" s="12"/>
      <c r="L7" s="74" t="str" cm="1">
        <f t="array" ref="L7">IF(K7="","",INDEX('Exercise list'!$C$5:$C$102,K7))</f>
        <v/>
      </c>
      <c r="M7" s="6"/>
      <c r="N7" s="75" t="str" cm="1">
        <f t="array" ref="N7">IF(M7="","",INDEX('Exercise list'!$C$5:$C$102,M7))</f>
        <v/>
      </c>
      <c r="P7">
        <f>IFERROR(INDEX('Exercise list'!$E$5:$X$102,MATCH($C7,'Exercise list'!$C$5:$C$102,0),MATCH(P$5,'Exercise list'!$E$4:$X$4,0)),0)</f>
        <v>0</v>
      </c>
      <c r="Q7">
        <f>IFERROR(INDEX('Exercise list'!$E$5:$X$102,MATCH($C7,'Exercise list'!$C$5:$C$102,0),MATCH(Q$5,'Exercise list'!$E$4:$X$4,0)),0)</f>
        <v>0</v>
      </c>
      <c r="R7">
        <f>IFERROR(INDEX('Exercise list'!$E$5:$X$102,MATCH($C7,'Exercise list'!$C$5:$C$102,0),MATCH(R$5,'Exercise list'!$E$4:$X$4,0)),0)</f>
        <v>0</v>
      </c>
      <c r="S7">
        <f>IFERROR(INDEX('Exercise list'!$E$5:$X$102,MATCH($C7,'Exercise list'!$C$5:$C$102,0),MATCH(S$5,'Exercise list'!$E$4:$X$4,0)),0)</f>
        <v>0</v>
      </c>
      <c r="T7">
        <f>IFERROR(INDEX('Exercise list'!$E$5:$X$102,MATCH($C7,'Exercise list'!$C$5:$C$102,0),MATCH(T$5,'Exercise list'!$E$4:$X$4,0)),0)</f>
        <v>0</v>
      </c>
      <c r="U7">
        <f>IFERROR(INDEX('Exercise list'!$E$5:$X$102,MATCH($C7,'Exercise list'!$C$5:$C$102,0),MATCH(U$5,'Exercise list'!$E$4:$X$4,0)),0)</f>
        <v>0</v>
      </c>
      <c r="V7">
        <f>IFERROR(INDEX('Exercise list'!$E$5:$X$102,MATCH($C7,'Exercise list'!$C$5:$C$102,0),MATCH(V$5,'Exercise list'!$E$4:$X$4,0)),0)</f>
        <v>0</v>
      </c>
      <c r="W7">
        <f>IFERROR(INDEX('Exercise list'!$E$5:$X$102,MATCH($C7,'Exercise list'!$C$5:$C$102,0),MATCH(W$5,'Exercise list'!$E$4:$X$4,0)),0)</f>
        <v>0</v>
      </c>
      <c r="X7">
        <f>IFERROR(INDEX('Exercise list'!$E$5:$X$102,MATCH($C7,'Exercise list'!$C$5:$C$102,0),MATCH(X$5,'Exercise list'!$E$4:$X$4,0)),0)</f>
        <v>0</v>
      </c>
      <c r="Y7">
        <f>IFERROR(INDEX('Exercise list'!$E$5:$X$102,MATCH($C7,'Exercise list'!$C$5:$C$102,0),MATCH(Y$5,'Exercise list'!$E$4:$X$4,0)),0)</f>
        <v>0</v>
      </c>
      <c r="Z7">
        <f>IFERROR(INDEX('Exercise list'!$E$5:$X$102,MATCH($C7,'Exercise list'!$C$5:$C$102,0),MATCH(Z$5,'Exercise list'!$E$4:$X$4,0)),0)</f>
        <v>0</v>
      </c>
      <c r="AA7">
        <f>IFERROR(INDEX('Exercise list'!$E$5:$X$102,MATCH($C7,'Exercise list'!$C$5:$C$102,0),MATCH(AA$5,'Exercise list'!$E$4:$X$4,0)),0)</f>
        <v>0</v>
      </c>
      <c r="AB7">
        <f>IFERROR(INDEX('Exercise list'!$E$5:$X$102,MATCH($C7,'Exercise list'!$C$5:$C$102,0),MATCH(AB$5,'Exercise list'!$E$4:$X$4,0)),0)</f>
        <v>0.6</v>
      </c>
      <c r="AC7">
        <f>IFERROR(INDEX('Exercise list'!$E$5:$X$102,MATCH($C7,'Exercise list'!$C$5:$C$102,0),MATCH(AC$5,'Exercise list'!$E$4:$X$4,0)),0)</f>
        <v>1</v>
      </c>
      <c r="AD7">
        <f>IFERROR(INDEX('Exercise list'!$E$5:$X$102,MATCH($C7,'Exercise list'!$C$5:$C$102,0),MATCH(AD$5,'Exercise list'!$E$4:$X$4,0)),0)</f>
        <v>0</v>
      </c>
      <c r="AE7">
        <f>IFERROR(INDEX('Exercise list'!$E$5:$X$102,MATCH($C7,'Exercise list'!$C$5:$C$102,0),MATCH(AE$5,'Exercise list'!$E$4:$X$4,0)),0)</f>
        <v>0</v>
      </c>
      <c r="AF7">
        <f>IFERROR(INDEX('Exercise list'!$E$5:$X$102,MATCH($C7,'Exercise list'!$C$5:$C$102,0),MATCH(AF$5,'Exercise list'!$E$4:$X$4,0)),0)</f>
        <v>0</v>
      </c>
      <c r="AG7">
        <f>IFERROR(INDEX('Exercise list'!$E$5:$X$102,MATCH($C7,'Exercise list'!$C$5:$C$102,0),MATCH(AG$5,'Exercise list'!$E$4:$X$4,0)),0)</f>
        <v>0</v>
      </c>
      <c r="AH7">
        <f>IFERROR(INDEX('Exercise list'!$E$5:$X$102,MATCH($C7,'Exercise list'!$C$5:$C$102,0),MATCH(AH$5,'Exercise list'!$E$4:$X$4,0)),0)</f>
        <v>0</v>
      </c>
      <c r="AI7">
        <f>IFERROR(INDEX('Exercise list'!$E$5:$X$102,MATCH($C7,'Exercise list'!$C$5:$C$102,0),MATCH(AI$5,'Exercise list'!$E$4:$X$4,0)),0)</f>
        <v>0</v>
      </c>
      <c r="AK7">
        <f>IF(OR($J7=1,COUNTIFS($A$5:$A6,"&gt;="&amp;$A7-1,$A$5:$A6,"&lt;="&amp;$A7,$B$5:$B6,$B7)&gt;0,MIN(1-'Exercise list'!E$2,IF($A7=$A6,AK6,1))-P7&lt;0),-1,MIN(1,IF($A7=$A6,AK6,1)-P7+$D$2))</f>
        <v>1</v>
      </c>
      <c r="AL7">
        <f>IF(OR($J7=1,COUNTIFS($A$5:$A6,"&gt;="&amp;$A7-1,$A$5:$A6,"&lt;="&amp;$A7,$B$5:$B6,$B7)&gt;0,MIN(1-'Exercise list'!F$2,IF($A7=$A6,AL6,1))-Q7&lt;0),-1,MIN(1,IF($A7=$A6,AL6,1)-Q7+$D$2))</f>
        <v>1</v>
      </c>
      <c r="AM7">
        <f>IF(OR($J7=1,COUNTIFS($A$5:$A6,"&gt;="&amp;$A7-1,$A$5:$A6,"&lt;="&amp;$A7,$B$5:$B6,$B7)&gt;0,MIN(1-'Exercise list'!G$2,IF($A7=$A6,AM6,1))-R7&lt;0),-1,MIN(1,IF($A7=$A6,AM6,1)-R7+$D$2))</f>
        <v>1</v>
      </c>
      <c r="AN7">
        <f>IF(OR($J7=1,COUNTIFS($A$5:$A6,"&gt;="&amp;$A7-1,$A$5:$A6,"&lt;="&amp;$A7,$B$5:$B6,$B7)&gt;0,MIN(1-'Exercise list'!H$2,IF($A7=$A6,AN6,1))-S7&lt;0),-1,MIN(1,IF($A7=$A6,AN6,1)-S7+$D$2))</f>
        <v>1</v>
      </c>
      <c r="AO7">
        <f>IF(OR($J7=1,COUNTIFS($A$5:$A6,"&gt;="&amp;$A7-1,$A$5:$A6,"&lt;="&amp;$A7,$B$5:$B6,$B7)&gt;0,MIN(1-'Exercise list'!I$2,IF($A7=$A6,AO6,1))-T7&lt;0),-1,MIN(1,IF($A7=$A6,AO6,1)-T7+$D$2))</f>
        <v>1</v>
      </c>
      <c r="AP7">
        <f>IF(OR($J7=1,COUNTIFS($A$5:$A6,"&gt;="&amp;$A7-1,$A$5:$A6,"&lt;="&amp;$A7,$B$5:$B6,$B7)&gt;0,MIN(1-'Exercise list'!J$2,IF($A7=$A6,AP6,1))-U7&lt;0),-1,MIN(1,IF($A7=$A6,AP6,1)-U7+$D$2))</f>
        <v>1</v>
      </c>
      <c r="AQ7">
        <f>IF(OR($J7=1,COUNTIFS($A$5:$A6,"&gt;="&amp;$A7-1,$A$5:$A6,"&lt;="&amp;$A7,$B$5:$B6,$B7)&gt;0,MIN(1-'Exercise list'!K$2,IF($A7=$A6,AQ6,1))-V7&lt;0),-1,MIN(1,IF($A7=$A6,AQ6,1)-V7+$D$2))</f>
        <v>1</v>
      </c>
      <c r="AR7">
        <f>IF(OR($J7=1,COUNTIFS($A$5:$A6,"&gt;="&amp;$A7-1,$A$5:$A6,"&lt;="&amp;$A7,$B$5:$B6,$B7)&gt;0,MIN(1-'Exercise list'!L$2,IF($A7=$A6,AR6,1))-W7&lt;0),-1,MIN(1,IF($A7=$A6,AR6,1)-W7+$D$2))</f>
        <v>1</v>
      </c>
      <c r="AS7">
        <f>IF(OR($J7=1,COUNTIFS($A$5:$A6,"&gt;="&amp;$A7-1,$A$5:$A6,"&lt;="&amp;$A7,$B$5:$B6,$B7)&gt;0,MIN(1-'Exercise list'!M$2,IF($A7=$A6,AS6,1))-X7&lt;0),-1,MIN(1,IF($A7=$A6,AS6,1)-X7+$D$2))</f>
        <v>1</v>
      </c>
      <c r="AT7">
        <f>IF(OR($J7=1,COUNTIFS($A$5:$A6,"&gt;="&amp;$A7-1,$A$5:$A6,"&lt;="&amp;$A7,$B$5:$B6,$B7)&gt;0,MIN(1-'Exercise list'!N$2,IF($A7=$A6,AT6,1))-Y7&lt;0),-1,MIN(1,IF($A7=$A6,AT6,1)-Y7+$D$2))</f>
        <v>1</v>
      </c>
      <c r="AU7">
        <f>IF(OR($J7=1,COUNTIFS($A$5:$A6,"&gt;="&amp;$A7-1,$A$5:$A6,"&lt;="&amp;$A7,$B$5:$B6,$B7)&gt;0,MIN(1-'Exercise list'!O$2,IF($A7=$A6,AU6,1))-Z7&lt;0),-1,MIN(1,IF($A7=$A6,AU6,1)-Z7+$D$2))</f>
        <v>1</v>
      </c>
      <c r="AV7">
        <f>IF(OR($J7=1,COUNTIFS($A$5:$A6,"&gt;="&amp;$A7-1,$A$5:$A6,"&lt;="&amp;$A7,$B$5:$B6,$B7)&gt;0,MIN(1-'Exercise list'!P$2,IF($A7=$A6,AV6,1))-AA7&lt;0),-1,MIN(1,IF($A7=$A6,AV6,1)-AA7+$D$2))</f>
        <v>1</v>
      </c>
      <c r="AW7">
        <f>IF(OR($J7=1,COUNTIFS($A$5:$A6,"&gt;="&amp;$A7-1,$A$5:$A6,"&lt;="&amp;$A7,$B$5:$B6,$B7)&gt;0,MIN(1-'Exercise list'!Q$2,IF($A7=$A6,AW6,1))-AB7&lt;0),-1,MIN(1,IF($A7=$A6,AW6,1)-AB7+$D$2))</f>
        <v>1</v>
      </c>
      <c r="AX7">
        <f>IF(OR($J7=1,COUNTIFS($A$5:$A6,"&gt;="&amp;$A7-1,$A$5:$A6,"&lt;="&amp;$A7,$B$5:$B6,$B7)&gt;0,MIN(1-'Exercise list'!R$2,IF($A7=$A6,AX6,1))-AC7&lt;0),-1,MIN(1,IF($A7=$A6,AX6,1)-AC7+$D$2))</f>
        <v>1</v>
      </c>
      <c r="AY7">
        <f>IF(OR($J7=1,COUNTIFS($A$5:$A6,"&gt;="&amp;$A7-1,$A$5:$A6,"&lt;="&amp;$A7,$B$5:$B6,$B7)&gt;0,MIN(1-'Exercise list'!S$2,IF($A7=$A6,AY6,1))-AD7&lt;0),-1,MIN(1,IF($A7=$A6,AY6,1)-AD7+$D$2))</f>
        <v>1</v>
      </c>
      <c r="AZ7">
        <f>IF(OR($J7=1,COUNTIFS($A$5:$A6,"&gt;="&amp;$A7-1,$A$5:$A6,"&lt;="&amp;$A7,$B$5:$B6,$B7)&gt;0,MIN(1-'Exercise list'!T$2,IF($A7=$A6,AZ6,1))-AE7&lt;0),-1,MIN(1,IF($A7=$A6,AZ6,1)-AE7+$D$2))</f>
        <v>1</v>
      </c>
      <c r="BA7">
        <f>IF(OR($J7=1,COUNTIFS($A$5:$A6,"&gt;="&amp;$A7-1,$A$5:$A6,"&lt;="&amp;$A7,$B$5:$B6,$B7)&gt;0,MIN(1-'Exercise list'!U$2,IF($A7=$A6,BA6,1))-AF7&lt;0),-1,MIN(1,IF($A7=$A6,BA6,1)-AF7+$D$2))</f>
        <v>1</v>
      </c>
      <c r="BB7">
        <f>IF(OR($J7=1,COUNTIFS($A$5:$A6,"&gt;="&amp;$A7-1,$A$5:$A6,"&lt;="&amp;$A7,$B$5:$B6,$B7)&gt;0,MIN(1-'Exercise list'!V$2,IF($A7=$A6,BB6,1))-AG7&lt;0),-1,MIN(1,IF($A7=$A6,BB6,1)-AG7+$D$2))</f>
        <v>1</v>
      </c>
      <c r="BC7">
        <f>IF(OR($J7=1,COUNTIFS($A$5:$A6,"&gt;="&amp;$A7-1,$A$5:$A6,"&lt;="&amp;$A7,$B$5:$B6,$B7)&gt;0,MIN(1-'Exercise list'!W$2,IF($A7=$A6,BC6,1))-AH7&lt;0),-1,MIN(1,IF($A7=$A6,BC6,1)-AH7+$D$2))</f>
        <v>1</v>
      </c>
      <c r="BD7">
        <f>IF(OR($J7=1,COUNTIFS($A$5:$A6,"&gt;="&amp;$A7-1,$A$5:$A6,"&lt;="&amp;$A7,$B$5:$B6,$B7)&gt;0,MIN(1-'Exercise list'!X$2,IF($A7=$A6,BD6,1))-AI7&lt;0),-1,MIN(1,IF($A7=$A6,BD6,1)-AI7+$D$2))</f>
        <v>1</v>
      </c>
      <c r="BF7" s="44">
        <f t="shared" ref="BF7:BF70" si="24">IF($B7&lt;6,BF6,$AN$2*P7+(1-$AN$2)*BF6)</f>
        <v>0</v>
      </c>
      <c r="BG7" s="44">
        <f t="shared" ref="BG7:BG70" si="25">IF($B7&lt;6,BG6,$AN$2*Q7+(1-$AN$2)*BG6)</f>
        <v>0</v>
      </c>
      <c r="BH7" s="44">
        <f t="shared" ref="BH7:BH70" si="26">IF($B7&lt;6,BH6,$AN$2*R7+(1-$AN$2)*BH6)</f>
        <v>0</v>
      </c>
      <c r="BI7" s="44">
        <f t="shared" ref="BI7:BI70" si="27">IF($B7&lt;6,BI6,$AN$2*S7+(1-$AN$2)*BI6)</f>
        <v>0</v>
      </c>
      <c r="BJ7" s="44">
        <f t="shared" ref="BJ7:BJ70" si="28">IF($B7&lt;6,BJ6,$AN$2*T7+(1-$AN$2)*BJ6)</f>
        <v>0.95</v>
      </c>
      <c r="BK7" s="44">
        <f t="shared" ref="BK7:BK70" si="29">IF($B7&lt;6,BK6,$AN$2*U7+(1-$AN$2)*BK6)</f>
        <v>0</v>
      </c>
      <c r="BL7" s="44">
        <f t="shared" ref="BL7:BL70" si="30">IF($B7&lt;6,BL6,$AN$2*V7+(1-$AN$2)*BL6)</f>
        <v>0</v>
      </c>
      <c r="BM7" s="44">
        <f t="shared" ref="BM7:BM70" si="31">IF($B7&lt;6,BM6,$AN$2*W7+(1-$AN$2)*BM6)</f>
        <v>0</v>
      </c>
      <c r="BN7" s="44">
        <f t="shared" ref="BN7:BN70" si="32">IF($B7&lt;6,BN6,$AN$2*X7+(1-$AN$2)*BN6)</f>
        <v>0</v>
      </c>
      <c r="BO7" s="44">
        <f t="shared" ref="BO7:BO70" si="33">IF($B7&lt;6,BO6,$AN$2*Y7+(1-$AN$2)*BO6)</f>
        <v>0</v>
      </c>
      <c r="BP7" s="44">
        <f t="shared" ref="BP7:BP70" si="34">IF($B7&lt;6,BP6,$AN$2*Z7+(1-$AN$2)*BP6)</f>
        <v>0.95</v>
      </c>
      <c r="BQ7" s="44">
        <f t="shared" ref="BQ7:BQ70" si="35">IF($B7&lt;6,BQ6,$AN$2*AA7+(1-$AN$2)*BQ6)</f>
        <v>0</v>
      </c>
      <c r="BR7" s="44">
        <f t="shared" ref="BR7:BR70" si="36">IF($B7&lt;6,BR6,$AN$2*AB7+(1-$AN$2)*BR6)</f>
        <v>0.505</v>
      </c>
      <c r="BS7" s="44">
        <f t="shared" ref="BS7:BS70" si="37">IF($B7&lt;6,BS6,$AN$2*AC7+(1-$AN$2)*BS6)</f>
        <v>0.05</v>
      </c>
      <c r="BT7" s="44">
        <f t="shared" ref="BT7:BT70" si="38">IF($B7&lt;6,BT6,$AN$2*AD7+(1-$AN$2)*BT6)</f>
        <v>0.56999999999999995</v>
      </c>
      <c r="BU7" s="44">
        <f t="shared" ref="BU7:BU70" si="39">IF($B7&lt;6,BU6,$AN$2*AE7+(1-$AN$2)*BU6)</f>
        <v>0.66499999999999992</v>
      </c>
      <c r="BV7" s="44">
        <f t="shared" ref="BV7:BV70" si="40">IF($B7&lt;6,BV6,$AN$2*AF7+(1-$AN$2)*BV6)</f>
        <v>0.95</v>
      </c>
      <c r="BW7" s="44">
        <f t="shared" ref="BW7:BW70" si="41">IF($B7&lt;6,BW6,$AN$2*AG7+(1-$AN$2)*BW6)</f>
        <v>0</v>
      </c>
      <c r="BX7" s="44">
        <f t="shared" ref="BX7:BX70" si="42">IF($B7&lt;6,BX6,$AN$2*AH7+(1-$AN$2)*BX6)</f>
        <v>0</v>
      </c>
      <c r="BY7" s="44">
        <f t="shared" ref="BY7:BY70" si="43">IF($B7&lt;6,BY6,$AN$2*AI7+(1-$AN$2)*BY6)</f>
        <v>0</v>
      </c>
      <c r="CA7" s="44">
        <f t="shared" si="4"/>
        <v>0.34370370370370373</v>
      </c>
      <c r="CB7" s="44">
        <f t="shared" si="5"/>
        <v>0.34370370370370373</v>
      </c>
      <c r="CC7" s="44">
        <f t="shared" si="6"/>
        <v>0.17185185185185187</v>
      </c>
      <c r="CD7" s="44">
        <f t="shared" si="7"/>
        <v>0.17185185185185187</v>
      </c>
      <c r="CE7" s="44">
        <f t="shared" si="8"/>
        <v>0</v>
      </c>
      <c r="CF7" s="44">
        <f t="shared" si="9"/>
        <v>0.51555555555555566</v>
      </c>
      <c r="CG7" s="44">
        <f t="shared" si="10"/>
        <v>0.17185185185185187</v>
      </c>
      <c r="CH7" s="44">
        <f t="shared" si="11"/>
        <v>0.17185185185185187</v>
      </c>
      <c r="CI7" s="44">
        <f t="shared" si="12"/>
        <v>0.34370370370370373</v>
      </c>
      <c r="CJ7" s="44">
        <f t="shared" si="13"/>
        <v>0.17185185185185187</v>
      </c>
      <c r="CK7" s="44">
        <f t="shared" si="14"/>
        <v>0</v>
      </c>
      <c r="CL7" s="44">
        <f t="shared" si="15"/>
        <v>0.17185185185185187</v>
      </c>
      <c r="CM7" s="44">
        <f t="shared" si="16"/>
        <v>0</v>
      </c>
      <c r="CN7" s="44">
        <f t="shared" si="17"/>
        <v>0.12185185185185186</v>
      </c>
      <c r="CO7" s="44">
        <f t="shared" si="18"/>
        <v>0</v>
      </c>
      <c r="CP7" s="44">
        <f t="shared" si="19"/>
        <v>0</v>
      </c>
      <c r="CQ7" s="44">
        <f t="shared" si="20"/>
        <v>0</v>
      </c>
      <c r="CR7" s="44">
        <f t="shared" si="21"/>
        <v>0.17185185185185187</v>
      </c>
      <c r="CS7" s="44">
        <f t="shared" si="22"/>
        <v>0.17185185185185187</v>
      </c>
      <c r="CT7" s="44">
        <f t="shared" si="23"/>
        <v>0.17185185185185187</v>
      </c>
    </row>
    <row r="8" spans="1:99" x14ac:dyDescent="0.25">
      <c r="A8" s="112">
        <v>45046</v>
      </c>
      <c r="B8" s="14">
        <v>28</v>
      </c>
      <c r="C8" s="15" t="s">
        <v>140</v>
      </c>
      <c r="D8" s="12">
        <f t="shared" si="0"/>
        <v>1</v>
      </c>
      <c r="E8" s="32">
        <f t="shared" si="1"/>
        <v>0.79647935313317764</v>
      </c>
      <c r="F8" s="63" cm="1">
        <f t="array" ref="F8">IF(B8="","",0.1+IFERROR(INDEX($F$6:$F7,SUMPRODUCT(MAX(ROW($C$6:$C7)*($C8=$C$6:$C7))-ROW($A$5)))*0.9^($A8-INDEX($A$6:A7,SUMPRODUCT(MAX(ROW($C$6:$C7)*($C8=$C$6:$C7))-ROW($A$5)))),0))</f>
        <v>0.1</v>
      </c>
      <c r="G8" s="64">
        <f>INDEX('Exercise list'!$Y$5:$Y$102,MATCH(C8,'Exercise list'!$C$5:$C$102,0))</f>
        <v>1</v>
      </c>
      <c r="H8" s="115">
        <f t="shared" si="2"/>
        <v>0.20014501262896092</v>
      </c>
      <c r="I8" s="6">
        <v>3</v>
      </c>
      <c r="J8" s="6">
        <v>0</v>
      </c>
      <c r="K8" s="12"/>
      <c r="L8" s="74" t="str" cm="1">
        <f t="array" ref="L8">IF(K8="","",INDEX('Exercise list'!$C$5:$C$102,K8))</f>
        <v/>
      </c>
      <c r="M8" s="6"/>
      <c r="N8" s="75" t="str" cm="1">
        <f t="array" ref="N8">IF(M8="","",INDEX('Exercise list'!$C$5:$C$102,M8))</f>
        <v/>
      </c>
      <c r="P8">
        <f>IFERROR(INDEX('Exercise list'!$E$5:$X$102,MATCH($C8,'Exercise list'!$C$5:$C$102,0),MATCH(P$5,'Exercise list'!$E$4:$X$4,0)),0)</f>
        <v>0</v>
      </c>
      <c r="Q8">
        <f>IFERROR(INDEX('Exercise list'!$E$5:$X$102,MATCH($C8,'Exercise list'!$C$5:$C$102,0),MATCH(Q$5,'Exercise list'!$E$4:$X$4,0)),0)</f>
        <v>0</v>
      </c>
      <c r="R8">
        <f>IFERROR(INDEX('Exercise list'!$E$5:$X$102,MATCH($C8,'Exercise list'!$C$5:$C$102,0),MATCH(R$5,'Exercise list'!$E$4:$X$4,0)),0)</f>
        <v>0</v>
      </c>
      <c r="S8">
        <f>IFERROR(INDEX('Exercise list'!$E$5:$X$102,MATCH($C8,'Exercise list'!$C$5:$C$102,0),MATCH(S$5,'Exercise list'!$E$4:$X$4,0)),0)</f>
        <v>0</v>
      </c>
      <c r="T8">
        <f>IFERROR(INDEX('Exercise list'!$E$5:$X$102,MATCH($C8,'Exercise list'!$C$5:$C$102,0),MATCH(T$5,'Exercise list'!$E$4:$X$4,0)),0)</f>
        <v>0</v>
      </c>
      <c r="U8">
        <f>IFERROR(INDEX('Exercise list'!$E$5:$X$102,MATCH($C8,'Exercise list'!$C$5:$C$102,0),MATCH(U$5,'Exercise list'!$E$4:$X$4,0)),0)</f>
        <v>0</v>
      </c>
      <c r="V8">
        <f>IFERROR(INDEX('Exercise list'!$E$5:$X$102,MATCH($C8,'Exercise list'!$C$5:$C$102,0),MATCH(V$5,'Exercise list'!$E$4:$X$4,0)),0)</f>
        <v>0</v>
      </c>
      <c r="W8">
        <f>IFERROR(INDEX('Exercise list'!$E$5:$X$102,MATCH($C8,'Exercise list'!$C$5:$C$102,0),MATCH(W$5,'Exercise list'!$E$4:$X$4,0)),0)</f>
        <v>0</v>
      </c>
      <c r="X8">
        <f>IFERROR(INDEX('Exercise list'!$E$5:$X$102,MATCH($C8,'Exercise list'!$C$5:$C$102,0),MATCH(X$5,'Exercise list'!$E$4:$X$4,0)),0)</f>
        <v>1</v>
      </c>
      <c r="Y8">
        <f>IFERROR(INDEX('Exercise list'!$E$5:$X$102,MATCH($C8,'Exercise list'!$C$5:$C$102,0),MATCH(Y$5,'Exercise list'!$E$4:$X$4,0)),0)</f>
        <v>0</v>
      </c>
      <c r="Z8">
        <f>IFERROR(INDEX('Exercise list'!$E$5:$X$102,MATCH($C8,'Exercise list'!$C$5:$C$102,0),MATCH(Z$5,'Exercise list'!$E$4:$X$4,0)),0)</f>
        <v>0</v>
      </c>
      <c r="AA8">
        <f>IFERROR(INDEX('Exercise list'!$E$5:$X$102,MATCH($C8,'Exercise list'!$C$5:$C$102,0),MATCH(AA$5,'Exercise list'!$E$4:$X$4,0)),0)</f>
        <v>0</v>
      </c>
      <c r="AB8">
        <f>IFERROR(INDEX('Exercise list'!$E$5:$X$102,MATCH($C8,'Exercise list'!$C$5:$C$102,0),MATCH(AB$5,'Exercise list'!$E$4:$X$4,0)),0)</f>
        <v>0</v>
      </c>
      <c r="AC8">
        <f>IFERROR(INDEX('Exercise list'!$E$5:$X$102,MATCH($C8,'Exercise list'!$C$5:$C$102,0),MATCH(AC$5,'Exercise list'!$E$4:$X$4,0)),0)</f>
        <v>0</v>
      </c>
      <c r="AD8">
        <f>IFERROR(INDEX('Exercise list'!$E$5:$X$102,MATCH($C8,'Exercise list'!$C$5:$C$102,0),MATCH(AD$5,'Exercise list'!$E$4:$X$4,0)),0)</f>
        <v>0</v>
      </c>
      <c r="AE8">
        <f>IFERROR(INDEX('Exercise list'!$E$5:$X$102,MATCH($C8,'Exercise list'!$C$5:$C$102,0),MATCH(AE$5,'Exercise list'!$E$4:$X$4,0)),0)</f>
        <v>0</v>
      </c>
      <c r="AF8">
        <f>IFERROR(INDEX('Exercise list'!$E$5:$X$102,MATCH($C8,'Exercise list'!$C$5:$C$102,0),MATCH(AF$5,'Exercise list'!$E$4:$X$4,0)),0)</f>
        <v>0</v>
      </c>
      <c r="AG8">
        <f>IFERROR(INDEX('Exercise list'!$E$5:$X$102,MATCH($C8,'Exercise list'!$C$5:$C$102,0),MATCH(AG$5,'Exercise list'!$E$4:$X$4,0)),0)</f>
        <v>0</v>
      </c>
      <c r="AH8">
        <f>IFERROR(INDEX('Exercise list'!$E$5:$X$102,MATCH($C8,'Exercise list'!$C$5:$C$102,0),MATCH(AH$5,'Exercise list'!$E$4:$X$4,0)),0)</f>
        <v>0</v>
      </c>
      <c r="AI8">
        <f>IFERROR(INDEX('Exercise list'!$E$5:$X$102,MATCH($C8,'Exercise list'!$C$5:$C$102,0),MATCH(AI$5,'Exercise list'!$E$4:$X$4,0)),0)</f>
        <v>0</v>
      </c>
      <c r="AK8">
        <f>IF(OR($J8=1,COUNTIFS($A$5:$A7,"&gt;="&amp;$A8-1,$A$5:$A7,"&lt;="&amp;$A8,$B$5:$B7,$B8)&gt;0,MIN(1-'Exercise list'!E$2,IF($A8=$A7,AK7,1))-P8&lt;0),-1,MIN(1,IF($A8=$A7,AK7,1)-P8+$D$2))</f>
        <v>1</v>
      </c>
      <c r="AL8">
        <f>IF(OR($J8=1,COUNTIFS($A$5:$A7,"&gt;="&amp;$A8-1,$A$5:$A7,"&lt;="&amp;$A8,$B$5:$B7,$B8)&gt;0,MIN(1-'Exercise list'!F$2,IF($A8=$A7,AL7,1))-Q8&lt;0),-1,MIN(1,IF($A8=$A7,AL7,1)-Q8+$D$2))</f>
        <v>1</v>
      </c>
      <c r="AM8">
        <f>IF(OR($J8=1,COUNTIFS($A$5:$A7,"&gt;="&amp;$A8-1,$A$5:$A7,"&lt;="&amp;$A8,$B$5:$B7,$B8)&gt;0,MIN(1-'Exercise list'!G$2,IF($A8=$A7,AM7,1))-R8&lt;0),-1,MIN(1,IF($A8=$A7,AM7,1)-R8+$D$2))</f>
        <v>1</v>
      </c>
      <c r="AN8">
        <f>IF(OR($J8=1,COUNTIFS($A$5:$A7,"&gt;="&amp;$A8-1,$A$5:$A7,"&lt;="&amp;$A8,$B$5:$B7,$B8)&gt;0,MIN(1-'Exercise list'!H$2,IF($A8=$A7,AN7,1))-S8&lt;0),-1,MIN(1,IF($A8=$A7,AN7,1)-S8+$D$2))</f>
        <v>1</v>
      </c>
      <c r="AO8">
        <f>IF(OR($J8=1,COUNTIFS($A$5:$A7,"&gt;="&amp;$A8-1,$A$5:$A7,"&lt;="&amp;$A8,$B$5:$B7,$B8)&gt;0,MIN(1-'Exercise list'!I$2,IF($A8=$A7,AO7,1))-T8&lt;0),-1,MIN(1,IF($A8=$A7,AO7,1)-T8+$D$2))</f>
        <v>1</v>
      </c>
      <c r="AP8">
        <f>IF(OR($J8=1,COUNTIFS($A$5:$A7,"&gt;="&amp;$A8-1,$A$5:$A7,"&lt;="&amp;$A8,$B$5:$B7,$B8)&gt;0,MIN(1-'Exercise list'!J$2,IF($A8=$A7,AP7,1))-U8&lt;0),-1,MIN(1,IF($A8=$A7,AP7,1)-U8+$D$2))</f>
        <v>1</v>
      </c>
      <c r="AQ8">
        <f>IF(OR($J8=1,COUNTIFS($A$5:$A7,"&gt;="&amp;$A8-1,$A$5:$A7,"&lt;="&amp;$A8,$B$5:$B7,$B8)&gt;0,MIN(1-'Exercise list'!K$2,IF($A8=$A7,AQ7,1))-V8&lt;0),-1,MIN(1,IF($A8=$A7,AQ7,1)-V8+$D$2))</f>
        <v>1</v>
      </c>
      <c r="AR8">
        <f>IF(OR($J8=1,COUNTIFS($A$5:$A7,"&gt;="&amp;$A8-1,$A$5:$A7,"&lt;="&amp;$A8,$B$5:$B7,$B8)&gt;0,MIN(1-'Exercise list'!L$2,IF($A8=$A7,AR7,1))-W8&lt;0),-1,MIN(1,IF($A8=$A7,AR7,1)-W8+$D$2))</f>
        <v>1</v>
      </c>
      <c r="AS8">
        <f>IF(OR($J8=1,COUNTIFS($A$5:$A7,"&gt;="&amp;$A8-1,$A$5:$A7,"&lt;="&amp;$A8,$B$5:$B7,$B8)&gt;0,MIN(1-'Exercise list'!M$2,IF($A8=$A7,AS7,1))-X8&lt;0),-1,MIN(1,IF($A8=$A7,AS7,1)-X8+$D$2))</f>
        <v>1</v>
      </c>
      <c r="AT8">
        <f>IF(OR($J8=1,COUNTIFS($A$5:$A7,"&gt;="&amp;$A8-1,$A$5:$A7,"&lt;="&amp;$A8,$B$5:$B7,$B8)&gt;0,MIN(1-'Exercise list'!N$2,IF($A8=$A7,AT7,1))-Y8&lt;0),-1,MIN(1,IF($A8=$A7,AT7,1)-Y8+$D$2))</f>
        <v>1</v>
      </c>
      <c r="AU8">
        <f>IF(OR($J8=1,COUNTIFS($A$5:$A7,"&gt;="&amp;$A8-1,$A$5:$A7,"&lt;="&amp;$A8,$B$5:$B7,$B8)&gt;0,MIN(1-'Exercise list'!O$2,IF($A8=$A7,AU7,1))-Z8&lt;0),-1,MIN(1,IF($A8=$A7,AU7,1)-Z8+$D$2))</f>
        <v>1</v>
      </c>
      <c r="AV8">
        <f>IF(OR($J8=1,COUNTIFS($A$5:$A7,"&gt;="&amp;$A8-1,$A$5:$A7,"&lt;="&amp;$A8,$B$5:$B7,$B8)&gt;0,MIN(1-'Exercise list'!P$2,IF($A8=$A7,AV7,1))-AA8&lt;0),-1,MIN(1,IF($A8=$A7,AV7,1)-AA8+$D$2))</f>
        <v>1</v>
      </c>
      <c r="AW8">
        <f>IF(OR($J8=1,COUNTIFS($A$5:$A7,"&gt;="&amp;$A8-1,$A$5:$A7,"&lt;="&amp;$A8,$B$5:$B7,$B8)&gt;0,MIN(1-'Exercise list'!Q$2,IF($A8=$A7,AW7,1))-AB8&lt;0),-1,MIN(1,IF($A8=$A7,AW7,1)-AB8+$D$2))</f>
        <v>1</v>
      </c>
      <c r="AX8">
        <f>IF(OR($J8=1,COUNTIFS($A$5:$A7,"&gt;="&amp;$A8-1,$A$5:$A7,"&lt;="&amp;$A8,$B$5:$B7,$B8)&gt;0,MIN(1-'Exercise list'!R$2,IF($A8=$A7,AX7,1))-AC8&lt;0),-1,MIN(1,IF($A8=$A7,AX7,1)-AC8+$D$2))</f>
        <v>1</v>
      </c>
      <c r="AY8">
        <f>IF(OR($J8=1,COUNTIFS($A$5:$A7,"&gt;="&amp;$A8-1,$A$5:$A7,"&lt;="&amp;$A8,$B$5:$B7,$B8)&gt;0,MIN(1-'Exercise list'!S$2,IF($A8=$A7,AY7,1))-AD8&lt;0),-1,MIN(1,IF($A8=$A7,AY7,1)-AD8+$D$2))</f>
        <v>1</v>
      </c>
      <c r="AZ8">
        <f>IF(OR($J8=1,COUNTIFS($A$5:$A7,"&gt;="&amp;$A8-1,$A$5:$A7,"&lt;="&amp;$A8,$B$5:$B7,$B8)&gt;0,MIN(1-'Exercise list'!T$2,IF($A8=$A7,AZ7,1))-AE8&lt;0),-1,MIN(1,IF($A8=$A7,AZ7,1)-AE8+$D$2))</f>
        <v>1</v>
      </c>
      <c r="BA8">
        <f>IF(OR($J8=1,COUNTIFS($A$5:$A7,"&gt;="&amp;$A8-1,$A$5:$A7,"&lt;="&amp;$A8,$B$5:$B7,$B8)&gt;0,MIN(1-'Exercise list'!U$2,IF($A8=$A7,BA7,1))-AF8&lt;0),-1,MIN(1,IF($A8=$A7,BA7,1)-AF8+$D$2))</f>
        <v>1</v>
      </c>
      <c r="BB8">
        <f>IF(OR($J8=1,COUNTIFS($A$5:$A7,"&gt;="&amp;$A8-1,$A$5:$A7,"&lt;="&amp;$A8,$B$5:$B7,$B8)&gt;0,MIN(1-'Exercise list'!V$2,IF($A8=$A7,BB7,1))-AG8&lt;0),-1,MIN(1,IF($A8=$A7,BB7,1)-AG8+$D$2))</f>
        <v>1</v>
      </c>
      <c r="BC8">
        <f>IF(OR($J8=1,COUNTIFS($A$5:$A7,"&gt;="&amp;$A8-1,$A$5:$A7,"&lt;="&amp;$A8,$B$5:$B7,$B8)&gt;0,MIN(1-'Exercise list'!W$2,IF($A8=$A7,BC7,1))-AH8&lt;0),-1,MIN(1,IF($A8=$A7,BC7,1)-AH8+$D$2))</f>
        <v>1</v>
      </c>
      <c r="BD8">
        <f>IF(OR($J8=1,COUNTIFS($A$5:$A7,"&gt;="&amp;$A8-1,$A$5:$A7,"&lt;="&amp;$A8,$B$5:$B7,$B8)&gt;0,MIN(1-'Exercise list'!X$2,IF($A8=$A7,BD7,1))-AI8&lt;0),-1,MIN(1,IF($A8=$A7,BD7,1)-AI8+$D$2))</f>
        <v>1</v>
      </c>
      <c r="BF8" s="44">
        <f t="shared" si="24"/>
        <v>0</v>
      </c>
      <c r="BG8" s="44">
        <f t="shared" si="25"/>
        <v>0</v>
      </c>
      <c r="BH8" s="44">
        <f t="shared" si="26"/>
        <v>0</v>
      </c>
      <c r="BI8" s="44">
        <f t="shared" si="27"/>
        <v>0</v>
      </c>
      <c r="BJ8" s="44">
        <f t="shared" si="28"/>
        <v>0.90249999999999997</v>
      </c>
      <c r="BK8" s="44">
        <f t="shared" si="29"/>
        <v>0</v>
      </c>
      <c r="BL8" s="44">
        <f t="shared" si="30"/>
        <v>0</v>
      </c>
      <c r="BM8" s="44">
        <f t="shared" si="31"/>
        <v>0</v>
      </c>
      <c r="BN8" s="44">
        <f t="shared" si="32"/>
        <v>0.05</v>
      </c>
      <c r="BO8" s="44">
        <f t="shared" si="33"/>
        <v>0</v>
      </c>
      <c r="BP8" s="44">
        <f t="shared" si="34"/>
        <v>0.90249999999999997</v>
      </c>
      <c r="BQ8" s="44">
        <f t="shared" si="35"/>
        <v>0</v>
      </c>
      <c r="BR8" s="44">
        <f t="shared" si="36"/>
        <v>0.47974999999999995</v>
      </c>
      <c r="BS8" s="44">
        <f t="shared" si="37"/>
        <v>4.7500000000000001E-2</v>
      </c>
      <c r="BT8" s="44">
        <f t="shared" si="38"/>
        <v>0.54149999999999998</v>
      </c>
      <c r="BU8" s="44">
        <f t="shared" si="39"/>
        <v>0.63174999999999992</v>
      </c>
      <c r="BV8" s="44">
        <f t="shared" si="40"/>
        <v>0.90249999999999997</v>
      </c>
      <c r="BW8" s="44">
        <f t="shared" si="41"/>
        <v>0</v>
      </c>
      <c r="BX8" s="44">
        <f t="shared" si="42"/>
        <v>0</v>
      </c>
      <c r="BY8" s="44">
        <f t="shared" si="43"/>
        <v>0</v>
      </c>
      <c r="CA8" s="44">
        <f t="shared" si="4"/>
        <v>0.33022222222222231</v>
      </c>
      <c r="CB8" s="44">
        <f t="shared" si="5"/>
        <v>0.33022222222222231</v>
      </c>
      <c r="CC8" s="44">
        <f t="shared" si="6"/>
        <v>0.16511111111111115</v>
      </c>
      <c r="CD8" s="44">
        <f t="shared" si="7"/>
        <v>0.16511111111111115</v>
      </c>
      <c r="CE8" s="44">
        <f t="shared" si="8"/>
        <v>0</v>
      </c>
      <c r="CF8" s="44">
        <f t="shared" si="9"/>
        <v>0.49533333333333346</v>
      </c>
      <c r="CG8" s="44">
        <f t="shared" si="10"/>
        <v>0.16511111111111115</v>
      </c>
      <c r="CH8" s="44">
        <f t="shared" si="11"/>
        <v>0.16511111111111115</v>
      </c>
      <c r="CI8" s="44">
        <f t="shared" si="12"/>
        <v>0.28022222222222232</v>
      </c>
      <c r="CJ8" s="44">
        <f t="shared" si="13"/>
        <v>0.16511111111111115</v>
      </c>
      <c r="CK8" s="44">
        <f t="shared" si="14"/>
        <v>0</v>
      </c>
      <c r="CL8" s="44">
        <f t="shared" si="15"/>
        <v>0.16511111111111115</v>
      </c>
      <c r="CM8" s="44">
        <f t="shared" si="16"/>
        <v>0</v>
      </c>
      <c r="CN8" s="44">
        <f t="shared" si="17"/>
        <v>0.11761111111111115</v>
      </c>
      <c r="CO8" s="44">
        <f t="shared" si="18"/>
        <v>0</v>
      </c>
      <c r="CP8" s="44">
        <f t="shared" si="19"/>
        <v>0</v>
      </c>
      <c r="CQ8" s="44">
        <f t="shared" si="20"/>
        <v>0</v>
      </c>
      <c r="CR8" s="44">
        <f t="shared" si="21"/>
        <v>0.16511111111111115</v>
      </c>
      <c r="CS8" s="44">
        <f t="shared" si="22"/>
        <v>0.16511111111111115</v>
      </c>
      <c r="CT8" s="44">
        <f t="shared" si="23"/>
        <v>0.16511111111111115</v>
      </c>
    </row>
    <row r="9" spans="1:99" x14ac:dyDescent="0.25">
      <c r="A9" s="112">
        <v>45046</v>
      </c>
      <c r="B9" s="14">
        <v>30</v>
      </c>
      <c r="C9" s="15" t="s">
        <v>142</v>
      </c>
      <c r="D9" s="12">
        <f t="shared" si="0"/>
        <v>1</v>
      </c>
      <c r="E9" s="32">
        <f t="shared" si="1"/>
        <v>1.5371189663203819</v>
      </c>
      <c r="F9" s="63" cm="1">
        <f t="array" ref="F9">IF(B9="","",0.1+IFERROR(INDEX($F$6:$F8,SUMPRODUCT(MAX(ROW($C$6:$C8)*($C9=$C$6:$C8))-ROW($A$5)))*0.9^($A9-INDEX($A$6:A8,SUMPRODUCT(MAX(ROW($C$6:$C8)*($C9=$C$6:$C8))-ROW($A$5)))),0))</f>
        <v>0.1</v>
      </c>
      <c r="G9" s="64">
        <f>INDEX('Exercise list'!$Y$5:$Y$102,MATCH(C9,'Exercise list'!$C$5:$C$102,0))</f>
        <v>2</v>
      </c>
      <c r="H9" s="115">
        <f t="shared" si="2"/>
        <v>0.19560404627752179</v>
      </c>
      <c r="I9" s="6">
        <v>4</v>
      </c>
      <c r="J9" s="6">
        <v>0</v>
      </c>
      <c r="K9" s="12"/>
      <c r="L9" s="74" t="str" cm="1">
        <f t="array" ref="L9">IF(K9="","",INDEX('Exercise list'!$C$5:$C$102,K9))</f>
        <v/>
      </c>
      <c r="M9" s="6"/>
      <c r="N9" s="75" t="str" cm="1">
        <f t="array" ref="N9">IF(M9="","",INDEX('Exercise list'!$C$5:$C$102,M9))</f>
        <v/>
      </c>
      <c r="P9">
        <f>IFERROR(INDEX('Exercise list'!$E$5:$X$102,MATCH($C9,'Exercise list'!$C$5:$C$102,0),MATCH(P$5,'Exercise list'!$E$4:$X$4,0)),0)</f>
        <v>0</v>
      </c>
      <c r="Q9">
        <f>IFERROR(INDEX('Exercise list'!$E$5:$X$102,MATCH($C9,'Exercise list'!$C$5:$C$102,0),MATCH(Q$5,'Exercise list'!$E$4:$X$4,0)),0)</f>
        <v>0</v>
      </c>
      <c r="R9">
        <f>IFERROR(INDEX('Exercise list'!$E$5:$X$102,MATCH($C9,'Exercise list'!$C$5:$C$102,0),MATCH(R$5,'Exercise list'!$E$4:$X$4,0)),0)</f>
        <v>0</v>
      </c>
      <c r="S9">
        <f>IFERROR(INDEX('Exercise list'!$E$5:$X$102,MATCH($C9,'Exercise list'!$C$5:$C$102,0),MATCH(S$5,'Exercise list'!$E$4:$X$4,0)),0)</f>
        <v>0</v>
      </c>
      <c r="T9">
        <f>IFERROR(INDEX('Exercise list'!$E$5:$X$102,MATCH($C9,'Exercise list'!$C$5:$C$102,0),MATCH(T$5,'Exercise list'!$E$4:$X$4,0)),0)</f>
        <v>0</v>
      </c>
      <c r="U9">
        <f>IFERROR(INDEX('Exercise list'!$E$5:$X$102,MATCH($C9,'Exercise list'!$C$5:$C$102,0),MATCH(U$5,'Exercise list'!$E$4:$X$4,0)),0)</f>
        <v>0</v>
      </c>
      <c r="V9">
        <f>IFERROR(INDEX('Exercise list'!$E$5:$X$102,MATCH($C9,'Exercise list'!$C$5:$C$102,0),MATCH(V$5,'Exercise list'!$E$4:$X$4,0)),0)</f>
        <v>0</v>
      </c>
      <c r="W9">
        <f>IFERROR(INDEX('Exercise list'!$E$5:$X$102,MATCH($C9,'Exercise list'!$C$5:$C$102,0),MATCH(W$5,'Exercise list'!$E$4:$X$4,0)),0)</f>
        <v>0</v>
      </c>
      <c r="X9">
        <f>IFERROR(INDEX('Exercise list'!$E$5:$X$102,MATCH($C9,'Exercise list'!$C$5:$C$102,0),MATCH(X$5,'Exercise list'!$E$4:$X$4,0)),0)</f>
        <v>0</v>
      </c>
      <c r="Y9">
        <f>IFERROR(INDEX('Exercise list'!$E$5:$X$102,MATCH($C9,'Exercise list'!$C$5:$C$102,0),MATCH(Y$5,'Exercise list'!$E$4:$X$4,0)),0)</f>
        <v>0</v>
      </c>
      <c r="Z9">
        <f>IFERROR(INDEX('Exercise list'!$E$5:$X$102,MATCH($C9,'Exercise list'!$C$5:$C$102,0),MATCH(Z$5,'Exercise list'!$E$4:$X$4,0)),0)</f>
        <v>1</v>
      </c>
      <c r="AA9">
        <f>IFERROR(INDEX('Exercise list'!$E$5:$X$102,MATCH($C9,'Exercise list'!$C$5:$C$102,0),MATCH(AA$5,'Exercise list'!$E$4:$X$4,0)),0)</f>
        <v>0.8</v>
      </c>
      <c r="AB9">
        <f>IFERROR(INDEX('Exercise list'!$E$5:$X$102,MATCH($C9,'Exercise list'!$C$5:$C$102,0),MATCH(AB$5,'Exercise list'!$E$4:$X$4,0)),0)</f>
        <v>1</v>
      </c>
      <c r="AC9">
        <f>IFERROR(INDEX('Exercise list'!$E$5:$X$102,MATCH($C9,'Exercise list'!$C$5:$C$102,0),MATCH(AC$5,'Exercise list'!$E$4:$X$4,0)),0)</f>
        <v>0.5</v>
      </c>
      <c r="AD9">
        <f>IFERROR(INDEX('Exercise list'!$E$5:$X$102,MATCH($C9,'Exercise list'!$C$5:$C$102,0),MATCH(AD$5,'Exercise list'!$E$4:$X$4,0)),0)</f>
        <v>0</v>
      </c>
      <c r="AE9">
        <f>IFERROR(INDEX('Exercise list'!$E$5:$X$102,MATCH($C9,'Exercise list'!$C$5:$C$102,0),MATCH(AE$5,'Exercise list'!$E$4:$X$4,0)),0)</f>
        <v>0</v>
      </c>
      <c r="AF9">
        <f>IFERROR(INDEX('Exercise list'!$E$5:$X$102,MATCH($C9,'Exercise list'!$C$5:$C$102,0),MATCH(AF$5,'Exercise list'!$E$4:$X$4,0)),0)</f>
        <v>0</v>
      </c>
      <c r="AG9">
        <f>IFERROR(INDEX('Exercise list'!$E$5:$X$102,MATCH($C9,'Exercise list'!$C$5:$C$102,0),MATCH(AG$5,'Exercise list'!$E$4:$X$4,0)),0)</f>
        <v>0</v>
      </c>
      <c r="AH9">
        <f>IFERROR(INDEX('Exercise list'!$E$5:$X$102,MATCH($C9,'Exercise list'!$C$5:$C$102,0),MATCH(AH$5,'Exercise list'!$E$4:$X$4,0)),0)</f>
        <v>0</v>
      </c>
      <c r="AI9">
        <f>IFERROR(INDEX('Exercise list'!$E$5:$X$102,MATCH($C9,'Exercise list'!$C$5:$C$102,0),MATCH(AI$5,'Exercise list'!$E$4:$X$4,0)),0)</f>
        <v>0</v>
      </c>
      <c r="AK9">
        <f>IF(OR($J9=1,COUNTIFS($A$5:$A8,"&gt;="&amp;$A9-1,$A$5:$A8,"&lt;="&amp;$A9,$B$5:$B8,$B9)&gt;0,MIN(1-'Exercise list'!E$2,IF($A9=$A8,AK8,1))-P9&lt;0),-1,MIN(1,IF($A9=$A8,AK8,1)-P9+$D$2))</f>
        <v>1</v>
      </c>
      <c r="AL9">
        <f>IF(OR($J9=1,COUNTIFS($A$5:$A8,"&gt;="&amp;$A9-1,$A$5:$A8,"&lt;="&amp;$A9,$B$5:$B8,$B9)&gt;0,MIN(1-'Exercise list'!F$2,IF($A9=$A8,AL8,1))-Q9&lt;0),-1,MIN(1,IF($A9=$A8,AL8,1)-Q9+$D$2))</f>
        <v>1</v>
      </c>
      <c r="AM9">
        <f>IF(OR($J9=1,COUNTIFS($A$5:$A8,"&gt;="&amp;$A9-1,$A$5:$A8,"&lt;="&amp;$A9,$B$5:$B8,$B9)&gt;0,MIN(1-'Exercise list'!G$2,IF($A9=$A8,AM8,1))-R9&lt;0),-1,MIN(1,IF($A9=$A8,AM8,1)-R9+$D$2))</f>
        <v>1</v>
      </c>
      <c r="AN9">
        <f>IF(OR($J9=1,COUNTIFS($A$5:$A8,"&gt;="&amp;$A9-1,$A$5:$A8,"&lt;="&amp;$A9,$B$5:$B8,$B9)&gt;0,MIN(1-'Exercise list'!H$2,IF($A9=$A8,AN8,1))-S9&lt;0),-1,MIN(1,IF($A9=$A8,AN8,1)-S9+$D$2))</f>
        <v>1</v>
      </c>
      <c r="AO9">
        <f>IF(OR($J9=1,COUNTIFS($A$5:$A8,"&gt;="&amp;$A9-1,$A$5:$A8,"&lt;="&amp;$A9,$B$5:$B8,$B9)&gt;0,MIN(1-'Exercise list'!I$2,IF($A9=$A8,AO8,1))-T9&lt;0),-1,MIN(1,IF($A9=$A8,AO8,1)-T9+$D$2))</f>
        <v>1</v>
      </c>
      <c r="AP9">
        <f>IF(OR($J9=1,COUNTIFS($A$5:$A8,"&gt;="&amp;$A9-1,$A$5:$A8,"&lt;="&amp;$A9,$B$5:$B8,$B9)&gt;0,MIN(1-'Exercise list'!J$2,IF($A9=$A8,AP8,1))-U9&lt;0),-1,MIN(1,IF($A9=$A8,AP8,1)-U9+$D$2))</f>
        <v>1</v>
      </c>
      <c r="AQ9">
        <f>IF(OR($J9=1,COUNTIFS($A$5:$A8,"&gt;="&amp;$A9-1,$A$5:$A8,"&lt;="&amp;$A9,$B$5:$B8,$B9)&gt;0,MIN(1-'Exercise list'!K$2,IF($A9=$A8,AQ8,1))-V9&lt;0),-1,MIN(1,IF($A9=$A8,AQ8,1)-V9+$D$2))</f>
        <v>1</v>
      </c>
      <c r="AR9">
        <f>IF(OR($J9=1,COUNTIFS($A$5:$A8,"&gt;="&amp;$A9-1,$A$5:$A8,"&lt;="&amp;$A9,$B$5:$B8,$B9)&gt;0,MIN(1-'Exercise list'!L$2,IF($A9=$A8,AR8,1))-W9&lt;0),-1,MIN(1,IF($A9=$A8,AR8,1)-W9+$D$2))</f>
        <v>1</v>
      </c>
      <c r="AS9">
        <f>IF(OR($J9=1,COUNTIFS($A$5:$A8,"&gt;="&amp;$A9-1,$A$5:$A8,"&lt;="&amp;$A9,$B$5:$B8,$B9)&gt;0,MIN(1-'Exercise list'!M$2,IF($A9=$A8,AS8,1))-X9&lt;0),-1,MIN(1,IF($A9=$A8,AS8,1)-X9+$D$2))</f>
        <v>1</v>
      </c>
      <c r="AT9">
        <f>IF(OR($J9=1,COUNTIFS($A$5:$A8,"&gt;="&amp;$A9-1,$A$5:$A8,"&lt;="&amp;$A9,$B$5:$B8,$B9)&gt;0,MIN(1-'Exercise list'!N$2,IF($A9=$A8,AT8,1))-Y9&lt;0),-1,MIN(1,IF($A9=$A8,AT8,1)-Y9+$D$2))</f>
        <v>1</v>
      </c>
      <c r="AU9">
        <f>IF(OR($J9=1,COUNTIFS($A$5:$A8,"&gt;="&amp;$A9-1,$A$5:$A8,"&lt;="&amp;$A9,$B$5:$B8,$B9)&gt;0,MIN(1-'Exercise list'!O$2,IF($A9=$A8,AU8,1))-Z9&lt;0),-1,MIN(1,IF($A9=$A8,AU8,1)-Z9+$D$2))</f>
        <v>1</v>
      </c>
      <c r="AV9">
        <f>IF(OR($J9=1,COUNTIFS($A$5:$A8,"&gt;="&amp;$A9-1,$A$5:$A8,"&lt;="&amp;$A9,$B$5:$B8,$B9)&gt;0,MIN(1-'Exercise list'!P$2,IF($A9=$A8,AV8,1))-AA9&lt;0),-1,MIN(1,IF($A9=$A8,AV8,1)-AA9+$D$2))</f>
        <v>1</v>
      </c>
      <c r="AW9">
        <f>IF(OR($J9=1,COUNTIFS($A$5:$A8,"&gt;="&amp;$A9-1,$A$5:$A8,"&lt;="&amp;$A9,$B$5:$B8,$B9)&gt;0,MIN(1-'Exercise list'!Q$2,IF($A9=$A8,AW8,1))-AB9&lt;0),-1,MIN(1,IF($A9=$A8,AW8,1)-AB9+$D$2))</f>
        <v>1</v>
      </c>
      <c r="AX9">
        <f>IF(OR($J9=1,COUNTIFS($A$5:$A8,"&gt;="&amp;$A9-1,$A$5:$A8,"&lt;="&amp;$A9,$B$5:$B8,$B9)&gt;0,MIN(1-'Exercise list'!R$2,IF($A9=$A8,AX8,1))-AC9&lt;0),-1,MIN(1,IF($A9=$A8,AX8,1)-AC9+$D$2))</f>
        <v>1</v>
      </c>
      <c r="AY9">
        <f>IF(OR($J9=1,COUNTIFS($A$5:$A8,"&gt;="&amp;$A9-1,$A$5:$A8,"&lt;="&amp;$A9,$B$5:$B8,$B9)&gt;0,MIN(1-'Exercise list'!S$2,IF($A9=$A8,AY8,1))-AD9&lt;0),-1,MIN(1,IF($A9=$A8,AY8,1)-AD9+$D$2))</f>
        <v>1</v>
      </c>
      <c r="AZ9">
        <f>IF(OR($J9=1,COUNTIFS($A$5:$A8,"&gt;="&amp;$A9-1,$A$5:$A8,"&lt;="&amp;$A9,$B$5:$B8,$B9)&gt;0,MIN(1-'Exercise list'!T$2,IF($A9=$A8,AZ8,1))-AE9&lt;0),-1,MIN(1,IF($A9=$A8,AZ8,1)-AE9+$D$2))</f>
        <v>1</v>
      </c>
      <c r="BA9">
        <f>IF(OR($J9=1,COUNTIFS($A$5:$A8,"&gt;="&amp;$A9-1,$A$5:$A8,"&lt;="&amp;$A9,$B$5:$B8,$B9)&gt;0,MIN(1-'Exercise list'!U$2,IF($A9=$A8,BA8,1))-AF9&lt;0),-1,MIN(1,IF($A9=$A8,BA8,1)-AF9+$D$2))</f>
        <v>1</v>
      </c>
      <c r="BB9">
        <f>IF(OR($J9=1,COUNTIFS($A$5:$A8,"&gt;="&amp;$A9-1,$A$5:$A8,"&lt;="&amp;$A9,$B$5:$B8,$B9)&gt;0,MIN(1-'Exercise list'!V$2,IF($A9=$A8,BB8,1))-AG9&lt;0),-1,MIN(1,IF($A9=$A8,BB8,1)-AG9+$D$2))</f>
        <v>1</v>
      </c>
      <c r="BC9">
        <f>IF(OR($J9=1,COUNTIFS($A$5:$A8,"&gt;="&amp;$A9-1,$A$5:$A8,"&lt;="&amp;$A9,$B$5:$B8,$B9)&gt;0,MIN(1-'Exercise list'!W$2,IF($A9=$A8,BC8,1))-AH9&lt;0),-1,MIN(1,IF($A9=$A8,BC8,1)-AH9+$D$2))</f>
        <v>1</v>
      </c>
      <c r="BD9">
        <f>IF(OR($J9=1,COUNTIFS($A$5:$A8,"&gt;="&amp;$A9-1,$A$5:$A8,"&lt;="&amp;$A9,$B$5:$B8,$B9)&gt;0,MIN(1-'Exercise list'!X$2,IF($A9=$A8,BD8,1))-AI9&lt;0),-1,MIN(1,IF($A9=$A8,BD8,1)-AI9+$D$2))</f>
        <v>1</v>
      </c>
      <c r="BF9" s="44">
        <f t="shared" si="24"/>
        <v>0</v>
      </c>
      <c r="BG9" s="44">
        <f t="shared" si="25"/>
        <v>0</v>
      </c>
      <c r="BH9" s="44">
        <f t="shared" si="26"/>
        <v>0</v>
      </c>
      <c r="BI9" s="44">
        <f t="shared" si="27"/>
        <v>0</v>
      </c>
      <c r="BJ9" s="44">
        <f t="shared" si="28"/>
        <v>0.85737499999999989</v>
      </c>
      <c r="BK9" s="44">
        <f t="shared" si="29"/>
        <v>0</v>
      </c>
      <c r="BL9" s="44">
        <f t="shared" si="30"/>
        <v>0</v>
      </c>
      <c r="BM9" s="44">
        <f t="shared" si="31"/>
        <v>0</v>
      </c>
      <c r="BN9" s="44">
        <f t="shared" si="32"/>
        <v>4.7500000000000001E-2</v>
      </c>
      <c r="BO9" s="44">
        <f t="shared" si="33"/>
        <v>0</v>
      </c>
      <c r="BP9" s="44">
        <f t="shared" si="34"/>
        <v>0.90737499999999993</v>
      </c>
      <c r="BQ9" s="44">
        <f t="shared" si="35"/>
        <v>4.0000000000000008E-2</v>
      </c>
      <c r="BR9" s="44">
        <f t="shared" si="36"/>
        <v>0.5057625</v>
      </c>
      <c r="BS9" s="44">
        <f t="shared" si="37"/>
        <v>7.0124999999999993E-2</v>
      </c>
      <c r="BT9" s="44">
        <f t="shared" si="38"/>
        <v>0.51442499999999991</v>
      </c>
      <c r="BU9" s="44">
        <f t="shared" si="39"/>
        <v>0.60016249999999993</v>
      </c>
      <c r="BV9" s="44">
        <f t="shared" si="40"/>
        <v>0.85737499999999989</v>
      </c>
      <c r="BW9" s="44">
        <f t="shared" si="41"/>
        <v>0</v>
      </c>
      <c r="BX9" s="44">
        <f t="shared" si="42"/>
        <v>0</v>
      </c>
      <c r="BY9" s="44">
        <f t="shared" si="43"/>
        <v>0</v>
      </c>
      <c r="CA9" s="44">
        <f t="shared" si="4"/>
        <v>0.3259333333333333</v>
      </c>
      <c r="CB9" s="44">
        <f t="shared" si="5"/>
        <v>0.3259333333333333</v>
      </c>
      <c r="CC9" s="44">
        <f t="shared" si="6"/>
        <v>0.16296666666666665</v>
      </c>
      <c r="CD9" s="44">
        <f t="shared" si="7"/>
        <v>0.16296666666666665</v>
      </c>
      <c r="CE9" s="44">
        <f t="shared" si="8"/>
        <v>0</v>
      </c>
      <c r="CF9" s="44">
        <f t="shared" si="9"/>
        <v>0.4889</v>
      </c>
      <c r="CG9" s="44">
        <f t="shared" si="10"/>
        <v>0.16296666666666665</v>
      </c>
      <c r="CH9" s="44">
        <f t="shared" si="11"/>
        <v>0.16296666666666665</v>
      </c>
      <c r="CI9" s="44">
        <f t="shared" si="12"/>
        <v>0.27843333333333331</v>
      </c>
      <c r="CJ9" s="44">
        <f t="shared" si="13"/>
        <v>0.16296666666666665</v>
      </c>
      <c r="CK9" s="44">
        <f t="shared" si="14"/>
        <v>0</v>
      </c>
      <c r="CL9" s="44">
        <f t="shared" si="15"/>
        <v>0.12296666666666664</v>
      </c>
      <c r="CM9" s="44">
        <f t="shared" si="16"/>
        <v>0</v>
      </c>
      <c r="CN9" s="44">
        <f t="shared" si="17"/>
        <v>9.2841666666666656E-2</v>
      </c>
      <c r="CO9" s="44">
        <f t="shared" si="18"/>
        <v>0</v>
      </c>
      <c r="CP9" s="44">
        <f t="shared" si="19"/>
        <v>0</v>
      </c>
      <c r="CQ9" s="44">
        <f t="shared" si="20"/>
        <v>0</v>
      </c>
      <c r="CR9" s="44">
        <f t="shared" si="21"/>
        <v>0.16296666666666665</v>
      </c>
      <c r="CS9" s="44">
        <f t="shared" si="22"/>
        <v>0.16296666666666665</v>
      </c>
      <c r="CT9" s="44">
        <f t="shared" si="23"/>
        <v>0.16296666666666665</v>
      </c>
    </row>
    <row r="10" spans="1:99" x14ac:dyDescent="0.25">
      <c r="A10" s="113">
        <v>45046</v>
      </c>
      <c r="B10" s="21">
        <v>2</v>
      </c>
      <c r="C10" s="22" t="s">
        <v>27</v>
      </c>
      <c r="D10" s="17">
        <f t="shared" si="0"/>
        <v>1</v>
      </c>
      <c r="E10" s="33">
        <f t="shared" si="1"/>
        <v>2.2533663377831439</v>
      </c>
      <c r="F10" s="65" cm="1">
        <f t="array" ref="F10">IF(B10="","",0.1+IFERROR(INDEX($F$6:$F9,SUMPRODUCT(MAX(ROW($C$6:$C9)*($C10=$C$6:$C9))-ROW($A$5)))*0.9^($A10-INDEX($A$6:A9,SUMPRODUCT(MAX(ROW($C$6:$C9)*($C10=$C$6:$C9))-ROW($A$5)))),0))</f>
        <v>0.1</v>
      </c>
      <c r="G10" s="25">
        <f>INDEX('Exercise list'!$Y$5:$Y$102,MATCH(C10,'Exercise list'!$C$5:$C$102,0))</f>
        <v>3</v>
      </c>
      <c r="H10" s="116">
        <f t="shared" si="2"/>
        <v>0.19560404627752179</v>
      </c>
      <c r="I10" s="18">
        <v>5</v>
      </c>
      <c r="J10" s="18">
        <v>0</v>
      </c>
      <c r="K10" s="17"/>
      <c r="L10" s="51" t="str" cm="1">
        <f t="array" ref="L10">IF(K10="","",INDEX('Exercise list'!$C$5:$C$102,K10))</f>
        <v/>
      </c>
      <c r="M10" s="18"/>
      <c r="N10" s="76" t="str" cm="1">
        <f t="array" ref="N10">IF(M10="","",INDEX('Exercise list'!$C$5:$C$102,M10))</f>
        <v/>
      </c>
      <c r="O10" s="19"/>
      <c r="P10" s="19">
        <f>IFERROR(INDEX('Exercise list'!$E$5:$X$102,MATCH($C10,'Exercise list'!$C$5:$C$102,0),MATCH(P$5,'Exercise list'!$E$4:$X$4,0)),0)</f>
        <v>0</v>
      </c>
      <c r="Q10" s="19">
        <f>IFERROR(INDEX('Exercise list'!$E$5:$X$102,MATCH($C10,'Exercise list'!$C$5:$C$102,0),MATCH(Q$5,'Exercise list'!$E$4:$X$4,0)),0)</f>
        <v>0</v>
      </c>
      <c r="R10" s="19">
        <f>IFERROR(INDEX('Exercise list'!$E$5:$X$102,MATCH($C10,'Exercise list'!$C$5:$C$102,0),MATCH(R$5,'Exercise list'!$E$4:$X$4,0)),0)</f>
        <v>0</v>
      </c>
      <c r="S10" s="19">
        <f>IFERROR(INDEX('Exercise list'!$E$5:$X$102,MATCH($C10,'Exercise list'!$C$5:$C$102,0),MATCH(S$5,'Exercise list'!$E$4:$X$4,0)),0)</f>
        <v>0</v>
      </c>
      <c r="T10" s="19">
        <f>IFERROR(INDEX('Exercise list'!$E$5:$X$102,MATCH($C10,'Exercise list'!$C$5:$C$102,0),MATCH(T$5,'Exercise list'!$E$4:$X$4,0)),0)</f>
        <v>0</v>
      </c>
      <c r="U10" s="19">
        <f>IFERROR(INDEX('Exercise list'!$E$5:$X$102,MATCH($C10,'Exercise list'!$C$5:$C$102,0),MATCH(U$5,'Exercise list'!$E$4:$X$4,0)),0)</f>
        <v>0</v>
      </c>
      <c r="V10" s="19">
        <f>IFERROR(INDEX('Exercise list'!$E$5:$X$102,MATCH($C10,'Exercise list'!$C$5:$C$102,0),MATCH(V$5,'Exercise list'!$E$4:$X$4,0)),0)</f>
        <v>0</v>
      </c>
      <c r="W10" s="19">
        <f>IFERROR(INDEX('Exercise list'!$E$5:$X$102,MATCH($C10,'Exercise list'!$C$5:$C$102,0),MATCH(W$5,'Exercise list'!$E$4:$X$4,0)),0)</f>
        <v>0</v>
      </c>
      <c r="X10" s="19">
        <f>IFERROR(INDEX('Exercise list'!$E$5:$X$102,MATCH($C10,'Exercise list'!$C$5:$C$102,0),MATCH(X$5,'Exercise list'!$E$4:$X$4,0)),0)</f>
        <v>0</v>
      </c>
      <c r="Y10" s="19">
        <f>IFERROR(INDEX('Exercise list'!$E$5:$X$102,MATCH($C10,'Exercise list'!$C$5:$C$102,0),MATCH(Y$5,'Exercise list'!$E$4:$X$4,0)),0)</f>
        <v>0</v>
      </c>
      <c r="Z10" s="19">
        <f>IFERROR(INDEX('Exercise list'!$E$5:$X$102,MATCH($C10,'Exercise list'!$C$5:$C$102,0),MATCH(Z$5,'Exercise list'!$E$4:$X$4,0)),0)</f>
        <v>0</v>
      </c>
      <c r="AA10" s="19">
        <f>IFERROR(INDEX('Exercise list'!$E$5:$X$102,MATCH($C10,'Exercise list'!$C$5:$C$102,0),MATCH(AA$5,'Exercise list'!$E$4:$X$4,0)),0)</f>
        <v>0</v>
      </c>
      <c r="AB10" s="19">
        <f>IFERROR(INDEX('Exercise list'!$E$5:$X$102,MATCH($C10,'Exercise list'!$C$5:$C$102,0),MATCH(AB$5,'Exercise list'!$E$4:$X$4,0)),0)</f>
        <v>0</v>
      </c>
      <c r="AC10" s="19">
        <f>IFERROR(INDEX('Exercise list'!$E$5:$X$102,MATCH($C10,'Exercise list'!$C$5:$C$102,0),MATCH(AC$5,'Exercise list'!$E$4:$X$4,0)),0)</f>
        <v>0</v>
      </c>
      <c r="AD10" s="19">
        <f>IFERROR(INDEX('Exercise list'!$E$5:$X$102,MATCH($C10,'Exercise list'!$C$5:$C$102,0),MATCH(AD$5,'Exercise list'!$E$4:$X$4,0)),0)</f>
        <v>1</v>
      </c>
      <c r="AE10" s="19">
        <f>IFERROR(INDEX('Exercise list'!$E$5:$X$102,MATCH($C10,'Exercise list'!$C$5:$C$102,0),MATCH(AE$5,'Exercise list'!$E$4:$X$4,0)),0)</f>
        <v>0.7</v>
      </c>
      <c r="AF10" s="19">
        <f>IFERROR(INDEX('Exercise list'!$E$5:$X$102,MATCH($C10,'Exercise list'!$C$5:$C$102,0),MATCH(AF$5,'Exercise list'!$E$4:$X$4,0)),0)</f>
        <v>0.7</v>
      </c>
      <c r="AG10" s="19">
        <f>IFERROR(INDEX('Exercise list'!$E$5:$X$102,MATCH($C10,'Exercise list'!$C$5:$C$102,0),MATCH(AG$5,'Exercise list'!$E$4:$X$4,0)),0)</f>
        <v>1</v>
      </c>
      <c r="AH10" s="19">
        <f>IFERROR(INDEX('Exercise list'!$E$5:$X$102,MATCH($C10,'Exercise list'!$C$5:$C$102,0),MATCH(AH$5,'Exercise list'!$E$4:$X$4,0)),0)</f>
        <v>0</v>
      </c>
      <c r="AI10" s="19">
        <f>IFERROR(INDEX('Exercise list'!$E$5:$X$102,MATCH($C10,'Exercise list'!$C$5:$C$102,0),MATCH(AI$5,'Exercise list'!$E$4:$X$4,0)),0)</f>
        <v>0</v>
      </c>
      <c r="AJ10" s="19"/>
      <c r="AK10" s="19">
        <f>IF(OR($J10=1,COUNTIFS($A$5:$A9,"&gt;="&amp;$A10-1,$A$5:$A9,"&lt;="&amp;$A10,$B$5:$B9,$B10)&gt;0,MIN(1-'Exercise list'!E$2,IF($A10=$A9,AK9,1))-P10&lt;0),-1,MIN(1,IF($A10=$A9,AK9,1)-P10+$D$2))</f>
        <v>1</v>
      </c>
      <c r="AL10" s="19">
        <f>IF(OR($J10=1,COUNTIFS($A$5:$A9,"&gt;="&amp;$A10-1,$A$5:$A9,"&lt;="&amp;$A10,$B$5:$B9,$B10)&gt;0,MIN(1-'Exercise list'!F$2,IF($A10=$A9,AL9,1))-Q10&lt;0),-1,MIN(1,IF($A10=$A9,AL9,1)-Q10+$D$2))</f>
        <v>1</v>
      </c>
      <c r="AM10" s="19">
        <f>IF(OR($J10=1,COUNTIFS($A$5:$A9,"&gt;="&amp;$A10-1,$A$5:$A9,"&lt;="&amp;$A10,$B$5:$B9,$B10)&gt;0,MIN(1-'Exercise list'!G$2,IF($A10=$A9,AM9,1))-R10&lt;0),-1,MIN(1,IF($A10=$A9,AM9,1)-R10+$D$2))</f>
        <v>1</v>
      </c>
      <c r="AN10" s="19">
        <f>IF(OR($J10=1,COUNTIFS($A$5:$A9,"&gt;="&amp;$A10-1,$A$5:$A9,"&lt;="&amp;$A10,$B$5:$B9,$B10)&gt;0,MIN(1-'Exercise list'!H$2,IF($A10=$A9,AN9,1))-S10&lt;0),-1,MIN(1,IF($A10=$A9,AN9,1)-S10+$D$2))</f>
        <v>1</v>
      </c>
      <c r="AO10" s="19">
        <f>IF(OR($J10=1,COUNTIFS($A$5:$A9,"&gt;="&amp;$A10-1,$A$5:$A9,"&lt;="&amp;$A10,$B$5:$B9,$B10)&gt;0,MIN(1-'Exercise list'!I$2,IF($A10=$A9,AO9,1))-T10&lt;0),-1,MIN(1,IF($A10=$A9,AO9,1)-T10+$D$2))</f>
        <v>1</v>
      </c>
      <c r="AP10" s="19">
        <f>IF(OR($J10=1,COUNTIFS($A$5:$A9,"&gt;="&amp;$A10-1,$A$5:$A9,"&lt;="&amp;$A10,$B$5:$B9,$B10)&gt;0,MIN(1-'Exercise list'!J$2,IF($A10=$A9,AP9,1))-U10&lt;0),-1,MIN(1,IF($A10=$A9,AP9,1)-U10+$D$2))</f>
        <v>1</v>
      </c>
      <c r="AQ10" s="19">
        <f>IF(OR($J10=1,COUNTIFS($A$5:$A9,"&gt;="&amp;$A10-1,$A$5:$A9,"&lt;="&amp;$A10,$B$5:$B9,$B10)&gt;0,MIN(1-'Exercise list'!K$2,IF($A10=$A9,AQ9,1))-V10&lt;0),-1,MIN(1,IF($A10=$A9,AQ9,1)-V10+$D$2))</f>
        <v>1</v>
      </c>
      <c r="AR10" s="19">
        <f>IF(OR($J10=1,COUNTIFS($A$5:$A9,"&gt;="&amp;$A10-1,$A$5:$A9,"&lt;="&amp;$A10,$B$5:$B9,$B10)&gt;0,MIN(1-'Exercise list'!L$2,IF($A10=$A9,AR9,1))-W10&lt;0),-1,MIN(1,IF($A10=$A9,AR9,1)-W10+$D$2))</f>
        <v>1</v>
      </c>
      <c r="AS10" s="19">
        <f>IF(OR($J10=1,COUNTIFS($A$5:$A9,"&gt;="&amp;$A10-1,$A$5:$A9,"&lt;="&amp;$A10,$B$5:$B9,$B10)&gt;0,MIN(1-'Exercise list'!M$2,IF($A10=$A9,AS9,1))-X10&lt;0),-1,MIN(1,IF($A10=$A9,AS9,1)-X10+$D$2))</f>
        <v>1</v>
      </c>
      <c r="AT10" s="19">
        <f>IF(OR($J10=1,COUNTIFS($A$5:$A9,"&gt;="&amp;$A10-1,$A$5:$A9,"&lt;="&amp;$A10,$B$5:$B9,$B10)&gt;0,MIN(1-'Exercise list'!N$2,IF($A10=$A9,AT9,1))-Y10&lt;0),-1,MIN(1,IF($A10=$A9,AT9,1)-Y10+$D$2))</f>
        <v>1</v>
      </c>
      <c r="AU10" s="19">
        <f>IF(OR($J10=1,COUNTIFS($A$5:$A9,"&gt;="&amp;$A10-1,$A$5:$A9,"&lt;="&amp;$A10,$B$5:$B9,$B10)&gt;0,MIN(1-'Exercise list'!O$2,IF($A10=$A9,AU9,1))-Z10&lt;0),-1,MIN(1,IF($A10=$A9,AU9,1)-Z10+$D$2))</f>
        <v>1</v>
      </c>
      <c r="AV10" s="19">
        <f>IF(OR($J10=1,COUNTIFS($A$5:$A9,"&gt;="&amp;$A10-1,$A$5:$A9,"&lt;="&amp;$A10,$B$5:$B9,$B10)&gt;0,MIN(1-'Exercise list'!P$2,IF($A10=$A9,AV9,1))-AA10&lt;0),-1,MIN(1,IF($A10=$A9,AV9,1)-AA10+$D$2))</f>
        <v>1</v>
      </c>
      <c r="AW10" s="19">
        <f>IF(OR($J10=1,COUNTIFS($A$5:$A9,"&gt;="&amp;$A10-1,$A$5:$A9,"&lt;="&amp;$A10,$B$5:$B9,$B10)&gt;0,MIN(1-'Exercise list'!Q$2,IF($A10=$A9,AW9,1))-AB10&lt;0),-1,MIN(1,IF($A10=$A9,AW9,1)-AB10+$D$2))</f>
        <v>1</v>
      </c>
      <c r="AX10" s="19">
        <f>IF(OR($J10=1,COUNTIFS($A$5:$A9,"&gt;="&amp;$A10-1,$A$5:$A9,"&lt;="&amp;$A10,$B$5:$B9,$B10)&gt;0,MIN(1-'Exercise list'!R$2,IF($A10=$A9,AX9,1))-AC10&lt;0),-1,MIN(1,IF($A10=$A9,AX9,1)-AC10+$D$2))</f>
        <v>1</v>
      </c>
      <c r="AY10" s="19">
        <f>IF(OR($J10=1,COUNTIFS($A$5:$A9,"&gt;="&amp;$A10-1,$A$5:$A9,"&lt;="&amp;$A10,$B$5:$B9,$B10)&gt;0,MIN(1-'Exercise list'!S$2,IF($A10=$A9,AY9,1))-AD10&lt;0),-1,MIN(1,IF($A10=$A9,AY9,1)-AD10+$D$2))</f>
        <v>1</v>
      </c>
      <c r="AZ10" s="19">
        <f>IF(OR($J10=1,COUNTIFS($A$5:$A9,"&gt;="&amp;$A10-1,$A$5:$A9,"&lt;="&amp;$A10,$B$5:$B9,$B10)&gt;0,MIN(1-'Exercise list'!T$2,IF($A10=$A9,AZ9,1))-AE10&lt;0),-1,MIN(1,IF($A10=$A9,AZ9,1)-AE10+$D$2))</f>
        <v>1</v>
      </c>
      <c r="BA10" s="19">
        <f>IF(OR($J10=1,COUNTIFS($A$5:$A9,"&gt;="&amp;$A10-1,$A$5:$A9,"&lt;="&amp;$A10,$B$5:$B9,$B10)&gt;0,MIN(1-'Exercise list'!U$2,IF($A10=$A9,BA9,1))-AF10&lt;0),-1,MIN(1,IF($A10=$A9,BA9,1)-AF10+$D$2))</f>
        <v>1</v>
      </c>
      <c r="BB10" s="19">
        <f>IF(OR($J10=1,COUNTIFS($A$5:$A9,"&gt;="&amp;$A10-1,$A$5:$A9,"&lt;="&amp;$A10,$B$5:$B9,$B10)&gt;0,MIN(1-'Exercise list'!V$2,IF($A10=$A9,BB9,1))-AG10&lt;0),-1,MIN(1,IF($A10=$A9,BB9,1)-AG10+$D$2))</f>
        <v>1</v>
      </c>
      <c r="BC10" s="19">
        <f>IF(OR($J10=1,COUNTIFS($A$5:$A9,"&gt;="&amp;$A10-1,$A$5:$A9,"&lt;="&amp;$A10,$B$5:$B9,$B10)&gt;0,MIN(1-'Exercise list'!W$2,IF($A10=$A9,BC9,1))-AH10&lt;0),-1,MIN(1,IF($A10=$A9,BC9,1)-AH10+$D$2))</f>
        <v>1</v>
      </c>
      <c r="BD10" s="19">
        <f>IF(OR($J10=1,COUNTIFS($A$5:$A9,"&gt;="&amp;$A10-1,$A$5:$A9,"&lt;="&amp;$A10,$B$5:$B9,$B10)&gt;0,MIN(1-'Exercise list'!X$2,IF($A10=$A9,BD9,1))-AI10&lt;0),-1,MIN(1,IF($A10=$A9,BD9,1)-AI10+$D$2))</f>
        <v>1</v>
      </c>
      <c r="BE10" s="19"/>
      <c r="BF10" s="23">
        <f t="shared" si="24"/>
        <v>0</v>
      </c>
      <c r="BG10" s="23">
        <f t="shared" si="25"/>
        <v>0</v>
      </c>
      <c r="BH10" s="23">
        <f t="shared" si="26"/>
        <v>0</v>
      </c>
      <c r="BI10" s="23">
        <f t="shared" si="27"/>
        <v>0</v>
      </c>
      <c r="BJ10" s="23">
        <f t="shared" si="28"/>
        <v>0.85737499999999989</v>
      </c>
      <c r="BK10" s="23">
        <f t="shared" si="29"/>
        <v>0</v>
      </c>
      <c r="BL10" s="23">
        <f t="shared" si="30"/>
        <v>0</v>
      </c>
      <c r="BM10" s="23">
        <f t="shared" si="31"/>
        <v>0</v>
      </c>
      <c r="BN10" s="23">
        <f t="shared" si="32"/>
        <v>4.7500000000000001E-2</v>
      </c>
      <c r="BO10" s="23">
        <f t="shared" si="33"/>
        <v>0</v>
      </c>
      <c r="BP10" s="23">
        <f t="shared" si="34"/>
        <v>0.90737499999999993</v>
      </c>
      <c r="BQ10" s="23">
        <f t="shared" si="35"/>
        <v>4.0000000000000008E-2</v>
      </c>
      <c r="BR10" s="23">
        <f t="shared" si="36"/>
        <v>0.5057625</v>
      </c>
      <c r="BS10" s="23">
        <f t="shared" si="37"/>
        <v>7.0124999999999993E-2</v>
      </c>
      <c r="BT10" s="23">
        <f t="shared" si="38"/>
        <v>0.51442499999999991</v>
      </c>
      <c r="BU10" s="23">
        <f t="shared" si="39"/>
        <v>0.60016249999999993</v>
      </c>
      <c r="BV10" s="23">
        <f t="shared" si="40"/>
        <v>0.85737499999999989</v>
      </c>
      <c r="BW10" s="23">
        <f t="shared" si="41"/>
        <v>0</v>
      </c>
      <c r="BX10" s="23">
        <f t="shared" si="42"/>
        <v>0</v>
      </c>
      <c r="BY10" s="23">
        <f t="shared" si="43"/>
        <v>0</v>
      </c>
      <c r="BZ10" s="19"/>
      <c r="CA10" s="23">
        <f t="shared" si="4"/>
        <v>0.3259333333333333</v>
      </c>
      <c r="CB10" s="23">
        <f t="shared" si="5"/>
        <v>0.3259333333333333</v>
      </c>
      <c r="CC10" s="23">
        <f t="shared" si="6"/>
        <v>0.16296666666666665</v>
      </c>
      <c r="CD10" s="23">
        <f t="shared" si="7"/>
        <v>0.16296666666666665</v>
      </c>
      <c r="CE10" s="23">
        <f t="shared" si="8"/>
        <v>0</v>
      </c>
      <c r="CF10" s="23">
        <f t="shared" si="9"/>
        <v>0.4889</v>
      </c>
      <c r="CG10" s="23">
        <f t="shared" si="10"/>
        <v>0.16296666666666665</v>
      </c>
      <c r="CH10" s="23">
        <f t="shared" si="11"/>
        <v>0.16296666666666665</v>
      </c>
      <c r="CI10" s="23">
        <f t="shared" si="12"/>
        <v>0.27843333333333331</v>
      </c>
      <c r="CJ10" s="23">
        <f t="shared" si="13"/>
        <v>0.16296666666666665</v>
      </c>
      <c r="CK10" s="23">
        <f t="shared" si="14"/>
        <v>0</v>
      </c>
      <c r="CL10" s="23">
        <f t="shared" si="15"/>
        <v>0.12296666666666664</v>
      </c>
      <c r="CM10" s="23">
        <f t="shared" si="16"/>
        <v>0</v>
      </c>
      <c r="CN10" s="23">
        <f t="shared" si="17"/>
        <v>9.2841666666666656E-2</v>
      </c>
      <c r="CO10" s="23">
        <f t="shared" si="18"/>
        <v>0</v>
      </c>
      <c r="CP10" s="23">
        <f t="shared" si="19"/>
        <v>0</v>
      </c>
      <c r="CQ10" s="23">
        <f t="shared" si="20"/>
        <v>0</v>
      </c>
      <c r="CR10" s="23">
        <f t="shared" si="21"/>
        <v>0.16296666666666665</v>
      </c>
      <c r="CS10" s="23">
        <f t="shared" si="22"/>
        <v>0.16296666666666665</v>
      </c>
      <c r="CT10" s="23">
        <f t="shared" si="23"/>
        <v>0.16296666666666665</v>
      </c>
      <c r="CU10" s="19"/>
    </row>
    <row r="11" spans="1:99" x14ac:dyDescent="0.25">
      <c r="A11" s="110">
        <v>45047</v>
      </c>
      <c r="B11" s="111">
        <v>19</v>
      </c>
      <c r="C11" s="38" t="s">
        <v>127</v>
      </c>
      <c r="D11" s="39">
        <f t="shared" si="0"/>
        <v>1</v>
      </c>
      <c r="E11" s="40">
        <f t="shared" si="1"/>
        <v>2.3857967431095184</v>
      </c>
      <c r="F11" s="62" cm="1">
        <f t="array" ref="F11">IF(B11="","",0.1+IFERROR(INDEX($F$6:$F10,SUMPRODUCT(MAX(ROW($C$6:$C10)*($C11=$C$6:$C10))-ROW($A$5)))*0.9^($A11-INDEX($A$6:A10,SUMPRODUCT(MAX(ROW($C$6:$C10)*($C11=$C$6:$C10))-ROW($A$5)))),0))</f>
        <v>0.1</v>
      </c>
      <c r="G11" s="41">
        <f>INDEX('Exercise list'!$Y$5:$Y$102,MATCH(C11,'Exercise list'!$C$5:$C$102,0))</f>
        <v>3</v>
      </c>
      <c r="H11" s="114">
        <f t="shared" si="2"/>
        <v>0.18474648969529198</v>
      </c>
      <c r="I11" s="42">
        <f t="shared" ref="I11:I42" si="44">IF(A11&gt;A10,1,IF(A11&gt;A9,2,IF(A11&gt;A8,3,IF(A11&gt;A7,4,5))))</f>
        <v>1</v>
      </c>
      <c r="J11" s="42">
        <v>0</v>
      </c>
      <c r="K11" s="39"/>
      <c r="L11" s="50" t="str" cm="1">
        <f t="array" ref="L11">IF(K11="","",INDEX('Exercise list'!$C$5:$C$102,K11))</f>
        <v/>
      </c>
      <c r="M11" s="42"/>
      <c r="N11" s="73" t="str" cm="1">
        <f t="array" ref="N11">IF(M11="","",INDEX('Exercise list'!$C$5:$C$102,M11))</f>
        <v/>
      </c>
      <c r="O11" s="1"/>
      <c r="P11" s="1">
        <f>IFERROR(INDEX('Exercise list'!$E$5:$X$102,MATCH($C11,'Exercise list'!$C$5:$C$102,0),MATCH(P$5,'Exercise list'!$E$4:$X$4,0)),0)</f>
        <v>1</v>
      </c>
      <c r="Q11" s="1">
        <f>IFERROR(INDEX('Exercise list'!$E$5:$X$102,MATCH($C11,'Exercise list'!$C$5:$C$102,0),MATCH(Q$5,'Exercise list'!$E$4:$X$4,0)),0)</f>
        <v>0</v>
      </c>
      <c r="R11" s="1">
        <f>IFERROR(INDEX('Exercise list'!$E$5:$X$102,MATCH($C11,'Exercise list'!$C$5:$C$102,0),MATCH(R$5,'Exercise list'!$E$4:$X$4,0)),0)</f>
        <v>0</v>
      </c>
      <c r="S11" s="1">
        <f>IFERROR(INDEX('Exercise list'!$E$5:$X$102,MATCH($C11,'Exercise list'!$C$5:$C$102,0),MATCH(S$5,'Exercise list'!$E$4:$X$4,0)),0)</f>
        <v>0</v>
      </c>
      <c r="T11" s="1">
        <f>IFERROR(INDEX('Exercise list'!$E$5:$X$102,MATCH($C11,'Exercise list'!$C$5:$C$102,0),MATCH(T$5,'Exercise list'!$E$4:$X$4,0)),0)</f>
        <v>0</v>
      </c>
      <c r="U11" s="1">
        <f>IFERROR(INDEX('Exercise list'!$E$5:$X$102,MATCH($C11,'Exercise list'!$C$5:$C$102,0),MATCH(U$5,'Exercise list'!$E$4:$X$4,0)),0)</f>
        <v>0</v>
      </c>
      <c r="V11" s="1">
        <f>IFERROR(INDEX('Exercise list'!$E$5:$X$102,MATCH($C11,'Exercise list'!$C$5:$C$102,0),MATCH(V$5,'Exercise list'!$E$4:$X$4,0)),0)</f>
        <v>0.5</v>
      </c>
      <c r="W11" s="1">
        <f>IFERROR(INDEX('Exercise list'!$E$5:$X$102,MATCH($C11,'Exercise list'!$C$5:$C$102,0),MATCH(W$5,'Exercise list'!$E$4:$X$4,0)),0)</f>
        <v>0</v>
      </c>
      <c r="X11" s="1">
        <f>IFERROR(INDEX('Exercise list'!$E$5:$X$102,MATCH($C11,'Exercise list'!$C$5:$C$102,0),MATCH(X$5,'Exercise list'!$E$4:$X$4,0)),0)</f>
        <v>0</v>
      </c>
      <c r="Y11" s="1">
        <f>IFERROR(INDEX('Exercise list'!$E$5:$X$102,MATCH($C11,'Exercise list'!$C$5:$C$102,0),MATCH(Y$5,'Exercise list'!$E$4:$X$4,0)),0)</f>
        <v>0.8</v>
      </c>
      <c r="Z11" s="1">
        <f>IFERROR(INDEX('Exercise list'!$E$5:$X$102,MATCH($C11,'Exercise list'!$C$5:$C$102,0),MATCH(Z$5,'Exercise list'!$E$4:$X$4,0)),0)</f>
        <v>0</v>
      </c>
      <c r="AA11" s="1">
        <f>IFERROR(INDEX('Exercise list'!$E$5:$X$102,MATCH($C11,'Exercise list'!$C$5:$C$102,0),MATCH(AA$5,'Exercise list'!$E$4:$X$4,0)),0)</f>
        <v>0</v>
      </c>
      <c r="AB11" s="1">
        <f>IFERROR(INDEX('Exercise list'!$E$5:$X$102,MATCH($C11,'Exercise list'!$C$5:$C$102,0),MATCH(AB$5,'Exercise list'!$E$4:$X$4,0)),0)</f>
        <v>0</v>
      </c>
      <c r="AC11" s="1">
        <f>IFERROR(INDEX('Exercise list'!$E$5:$X$102,MATCH($C11,'Exercise list'!$C$5:$C$102,0),MATCH(AC$5,'Exercise list'!$E$4:$X$4,0)),0)</f>
        <v>0</v>
      </c>
      <c r="AD11" s="1">
        <f>IFERROR(INDEX('Exercise list'!$E$5:$X$102,MATCH($C11,'Exercise list'!$C$5:$C$102,0),MATCH(AD$5,'Exercise list'!$E$4:$X$4,0)),0)</f>
        <v>0</v>
      </c>
      <c r="AE11" s="1">
        <f>IFERROR(INDEX('Exercise list'!$E$5:$X$102,MATCH($C11,'Exercise list'!$C$5:$C$102,0),MATCH(AE$5,'Exercise list'!$E$4:$X$4,0)),0)</f>
        <v>0</v>
      </c>
      <c r="AF11" s="1">
        <f>IFERROR(INDEX('Exercise list'!$E$5:$X$102,MATCH($C11,'Exercise list'!$C$5:$C$102,0),MATCH(AF$5,'Exercise list'!$E$4:$X$4,0)),0)</f>
        <v>0</v>
      </c>
      <c r="AG11" s="1">
        <f>IFERROR(INDEX('Exercise list'!$E$5:$X$102,MATCH($C11,'Exercise list'!$C$5:$C$102,0),MATCH(AG$5,'Exercise list'!$E$4:$X$4,0)),0)</f>
        <v>0</v>
      </c>
      <c r="AH11" s="1">
        <f>IFERROR(INDEX('Exercise list'!$E$5:$X$102,MATCH($C11,'Exercise list'!$C$5:$C$102,0),MATCH(AH$5,'Exercise list'!$E$4:$X$4,0)),0)</f>
        <v>0</v>
      </c>
      <c r="AI11" s="1">
        <f>IFERROR(INDEX('Exercise list'!$E$5:$X$102,MATCH($C11,'Exercise list'!$C$5:$C$102,0),MATCH(AI$5,'Exercise list'!$E$4:$X$4,0)),0)</f>
        <v>0</v>
      </c>
      <c r="AJ11" s="1"/>
      <c r="AK11" s="1">
        <f>IF(OR($J11=1,COUNTIFS($A$5:$A10,"&gt;="&amp;$A11-1,$A$5:$A10,"&lt;="&amp;$A11,$B$5:$B10,$B11)&gt;0,MIN(1-'Exercise list'!E$2,IF($A11=$A10,AK10,1))-P11&lt;0),-1,MIN(1,IF($A11=$A10,AK10,1)-P11+$D$2))</f>
        <v>1</v>
      </c>
      <c r="AL11" s="1">
        <f>IF(OR($J11=1,COUNTIFS($A$5:$A10,"&gt;="&amp;$A11-1,$A$5:$A10,"&lt;="&amp;$A11,$B$5:$B10,$B11)&gt;0,MIN(1-'Exercise list'!F$2,IF($A11=$A10,AL10,1))-Q11&lt;0),-1,MIN(1,IF($A11=$A10,AL10,1)-Q11+$D$2))</f>
        <v>1</v>
      </c>
      <c r="AM11" s="1">
        <f>IF(OR($J11=1,COUNTIFS($A$5:$A10,"&gt;="&amp;$A11-1,$A$5:$A10,"&lt;="&amp;$A11,$B$5:$B10,$B11)&gt;0,MIN(1-'Exercise list'!G$2,IF($A11=$A10,AM10,1))-R11&lt;0),-1,MIN(1,IF($A11=$A10,AM10,1)-R11+$D$2))</f>
        <v>1</v>
      </c>
      <c r="AN11" s="1">
        <f>IF(OR($J11=1,COUNTIFS($A$5:$A10,"&gt;="&amp;$A11-1,$A$5:$A10,"&lt;="&amp;$A11,$B$5:$B10,$B11)&gt;0,MIN(1-'Exercise list'!H$2,IF($A11=$A10,AN10,1))-S11&lt;0),-1,MIN(1,IF($A11=$A10,AN10,1)-S11+$D$2))</f>
        <v>1</v>
      </c>
      <c r="AO11" s="1">
        <f>IF(OR($J11=1,COUNTIFS($A$5:$A10,"&gt;="&amp;$A11-1,$A$5:$A10,"&lt;="&amp;$A11,$B$5:$B10,$B11)&gt;0,MIN(1-'Exercise list'!I$2,IF($A11=$A10,AO10,1))-T11&lt;0),-1,MIN(1,IF($A11=$A10,AO10,1)-T11+$D$2))</f>
        <v>1</v>
      </c>
      <c r="AP11" s="1">
        <f>IF(OR($J11=1,COUNTIFS($A$5:$A10,"&gt;="&amp;$A11-1,$A$5:$A10,"&lt;="&amp;$A11,$B$5:$B10,$B11)&gt;0,MIN(1-'Exercise list'!J$2,IF($A11=$A10,AP10,1))-U11&lt;0),-1,MIN(1,IF($A11=$A10,AP10,1)-U11+$D$2))</f>
        <v>1</v>
      </c>
      <c r="AQ11" s="1">
        <f>IF(OR($J11=1,COUNTIFS($A$5:$A10,"&gt;="&amp;$A11-1,$A$5:$A10,"&lt;="&amp;$A11,$B$5:$B10,$B11)&gt;0,MIN(1-'Exercise list'!K$2,IF($A11=$A10,AQ10,1))-V11&lt;0),-1,MIN(1,IF($A11=$A10,AQ10,1)-V11+$D$2))</f>
        <v>1</v>
      </c>
      <c r="AR11" s="1">
        <f>IF(OR($J11=1,COUNTIFS($A$5:$A10,"&gt;="&amp;$A11-1,$A$5:$A10,"&lt;="&amp;$A11,$B$5:$B10,$B11)&gt;0,MIN(1-'Exercise list'!L$2,IF($A11=$A10,AR10,1))-W11&lt;0),-1,MIN(1,IF($A11=$A10,AR10,1)-W11+$D$2))</f>
        <v>1</v>
      </c>
      <c r="AS11" s="1">
        <f>IF(OR($J11=1,COUNTIFS($A$5:$A10,"&gt;="&amp;$A11-1,$A$5:$A10,"&lt;="&amp;$A11,$B$5:$B10,$B11)&gt;0,MIN(1-'Exercise list'!M$2,IF($A11=$A10,AS10,1))-X11&lt;0),-1,MIN(1,IF($A11=$A10,AS10,1)-X11+$D$2))</f>
        <v>1</v>
      </c>
      <c r="AT11" s="1">
        <f>IF(OR($J11=1,COUNTIFS($A$5:$A10,"&gt;="&amp;$A11-1,$A$5:$A10,"&lt;="&amp;$A11,$B$5:$B10,$B11)&gt;0,MIN(1-'Exercise list'!N$2,IF($A11=$A10,AT10,1))-Y11&lt;0),-1,MIN(1,IF($A11=$A10,AT10,1)-Y11+$D$2))</f>
        <v>1</v>
      </c>
      <c r="AU11" s="1">
        <f>IF(OR($J11=1,COUNTIFS($A$5:$A10,"&gt;="&amp;$A11-1,$A$5:$A10,"&lt;="&amp;$A11,$B$5:$B10,$B11)&gt;0,MIN(1-'Exercise list'!O$2,IF($A11=$A10,AU10,1))-Z11&lt;0),-1,MIN(1,IF($A11=$A10,AU10,1)-Z11+$D$2))</f>
        <v>1</v>
      </c>
      <c r="AV11" s="1">
        <f>IF(OR($J11=1,COUNTIFS($A$5:$A10,"&gt;="&amp;$A11-1,$A$5:$A10,"&lt;="&amp;$A11,$B$5:$B10,$B11)&gt;0,MIN(1-'Exercise list'!P$2,IF($A11=$A10,AV10,1))-AA11&lt;0),-1,MIN(1,IF($A11=$A10,AV10,1)-AA11+$D$2))</f>
        <v>1</v>
      </c>
      <c r="AW11" s="1">
        <f>IF(OR($J11=1,COUNTIFS($A$5:$A10,"&gt;="&amp;$A11-1,$A$5:$A10,"&lt;="&amp;$A11,$B$5:$B10,$B11)&gt;0,MIN(1-'Exercise list'!Q$2,IF($A11=$A10,AW10,1))-AB11&lt;0),-1,MIN(1,IF($A11=$A10,AW10,1)-AB11+$D$2))</f>
        <v>1</v>
      </c>
      <c r="AX11" s="1">
        <f>IF(OR($J11=1,COUNTIFS($A$5:$A10,"&gt;="&amp;$A11-1,$A$5:$A10,"&lt;="&amp;$A11,$B$5:$B10,$B11)&gt;0,MIN(1-'Exercise list'!R$2,IF($A11=$A10,AX10,1))-AC11&lt;0),-1,MIN(1,IF($A11=$A10,AX10,1)-AC11+$D$2))</f>
        <v>1</v>
      </c>
      <c r="AY11" s="1">
        <f>IF(OR($J11=1,COUNTIFS($A$5:$A10,"&gt;="&amp;$A11-1,$A$5:$A10,"&lt;="&amp;$A11,$B$5:$B10,$B11)&gt;0,MIN(1-'Exercise list'!S$2,IF($A11=$A10,AY10,1))-AD11&lt;0),-1,MIN(1,IF($A11=$A10,AY10,1)-AD11+$D$2))</f>
        <v>1</v>
      </c>
      <c r="AZ11" s="1">
        <f>IF(OR($J11=1,COUNTIFS($A$5:$A10,"&gt;="&amp;$A11-1,$A$5:$A10,"&lt;="&amp;$A11,$B$5:$B10,$B11)&gt;0,MIN(1-'Exercise list'!T$2,IF($A11=$A10,AZ10,1))-AE11&lt;0),-1,MIN(1,IF($A11=$A10,AZ10,1)-AE11+$D$2))</f>
        <v>1</v>
      </c>
      <c r="BA11" s="1">
        <f>IF(OR($J11=1,COUNTIFS($A$5:$A10,"&gt;="&amp;$A11-1,$A$5:$A10,"&lt;="&amp;$A11,$B$5:$B10,$B11)&gt;0,MIN(1-'Exercise list'!U$2,IF($A11=$A10,BA10,1))-AF11&lt;0),-1,MIN(1,IF($A11=$A10,BA10,1)-AF11+$D$2))</f>
        <v>1</v>
      </c>
      <c r="BB11" s="1">
        <f>IF(OR($J11=1,COUNTIFS($A$5:$A10,"&gt;="&amp;$A11-1,$A$5:$A10,"&lt;="&amp;$A11,$B$5:$B10,$B11)&gt;0,MIN(1-'Exercise list'!V$2,IF($A11=$A10,BB10,1))-AG11&lt;0),-1,MIN(1,IF($A11=$A10,BB10,1)-AG11+$D$2))</f>
        <v>1</v>
      </c>
      <c r="BC11" s="1">
        <f>IF(OR($J11=1,COUNTIFS($A$5:$A10,"&gt;="&amp;$A11-1,$A$5:$A10,"&lt;="&amp;$A11,$B$5:$B10,$B11)&gt;0,MIN(1-'Exercise list'!W$2,IF($A11=$A10,BC10,1))-AH11&lt;0),-1,MIN(1,IF($A11=$A10,BC10,1)-AH11+$D$2))</f>
        <v>1</v>
      </c>
      <c r="BD11" s="1">
        <f>IF(OR($J11=1,COUNTIFS($A$5:$A10,"&gt;="&amp;$A11-1,$A$5:$A10,"&lt;="&amp;$A11,$B$5:$B10,$B11)&gt;0,MIN(1-'Exercise list'!X$2,IF($A11=$A10,BD10,1))-AI11&lt;0),-1,MIN(1,IF($A11=$A10,BD10,1)-AI11+$D$2))</f>
        <v>1</v>
      </c>
      <c r="BE11" s="1"/>
      <c r="BF11" s="43">
        <f t="shared" si="24"/>
        <v>0.05</v>
      </c>
      <c r="BG11" s="43">
        <f t="shared" si="25"/>
        <v>0</v>
      </c>
      <c r="BH11" s="43">
        <f t="shared" si="26"/>
        <v>0</v>
      </c>
      <c r="BI11" s="43">
        <f t="shared" si="27"/>
        <v>0</v>
      </c>
      <c r="BJ11" s="43">
        <f t="shared" si="28"/>
        <v>0.81450624999999988</v>
      </c>
      <c r="BK11" s="43">
        <f t="shared" si="29"/>
        <v>0</v>
      </c>
      <c r="BL11" s="43">
        <f t="shared" si="30"/>
        <v>2.5000000000000001E-2</v>
      </c>
      <c r="BM11" s="43">
        <f t="shared" si="31"/>
        <v>0</v>
      </c>
      <c r="BN11" s="43">
        <f t="shared" si="32"/>
        <v>4.5124999999999998E-2</v>
      </c>
      <c r="BO11" s="43">
        <f t="shared" si="33"/>
        <v>4.0000000000000008E-2</v>
      </c>
      <c r="BP11" s="43">
        <f t="shared" si="34"/>
        <v>0.86200624999999986</v>
      </c>
      <c r="BQ11" s="43">
        <f t="shared" si="35"/>
        <v>3.8000000000000006E-2</v>
      </c>
      <c r="BR11" s="43">
        <f t="shared" si="36"/>
        <v>0.48047437499999995</v>
      </c>
      <c r="BS11" s="43">
        <f t="shared" si="37"/>
        <v>6.661874999999999E-2</v>
      </c>
      <c r="BT11" s="43">
        <f t="shared" si="38"/>
        <v>0.48870374999999988</v>
      </c>
      <c r="BU11" s="43">
        <f t="shared" si="39"/>
        <v>0.57015437499999988</v>
      </c>
      <c r="BV11" s="43">
        <f t="shared" si="40"/>
        <v>0.81450624999999988</v>
      </c>
      <c r="BW11" s="43">
        <f t="shared" si="41"/>
        <v>0</v>
      </c>
      <c r="BX11" s="43">
        <f t="shared" si="42"/>
        <v>0</v>
      </c>
      <c r="BY11" s="43">
        <f t="shared" si="43"/>
        <v>0</v>
      </c>
      <c r="BZ11" s="1"/>
      <c r="CA11" s="43">
        <f t="shared" si="4"/>
        <v>0.26815518518518516</v>
      </c>
      <c r="CB11" s="43">
        <f t="shared" si="5"/>
        <v>0.31815518518518515</v>
      </c>
      <c r="CC11" s="43">
        <f t="shared" si="6"/>
        <v>0.15907759259259258</v>
      </c>
      <c r="CD11" s="43">
        <f t="shared" si="7"/>
        <v>0.15907759259259258</v>
      </c>
      <c r="CE11" s="43">
        <f t="shared" si="8"/>
        <v>0</v>
      </c>
      <c r="CF11" s="43">
        <f t="shared" si="9"/>
        <v>0.47723277777777778</v>
      </c>
      <c r="CG11" s="43">
        <f t="shared" si="10"/>
        <v>0.13407759259259258</v>
      </c>
      <c r="CH11" s="43">
        <f t="shared" si="11"/>
        <v>0.15907759259259258</v>
      </c>
      <c r="CI11" s="43">
        <f t="shared" si="12"/>
        <v>0.27303018518518518</v>
      </c>
      <c r="CJ11" s="43">
        <f t="shared" si="13"/>
        <v>0.11907759259259257</v>
      </c>
      <c r="CK11" s="43">
        <f t="shared" si="14"/>
        <v>0</v>
      </c>
      <c r="CL11" s="43">
        <f t="shared" si="15"/>
        <v>0.12107759259259257</v>
      </c>
      <c r="CM11" s="43">
        <f t="shared" si="16"/>
        <v>0</v>
      </c>
      <c r="CN11" s="43">
        <f t="shared" si="17"/>
        <v>9.2458842592592586E-2</v>
      </c>
      <c r="CO11" s="43">
        <f t="shared" si="18"/>
        <v>0</v>
      </c>
      <c r="CP11" s="43">
        <f t="shared" si="19"/>
        <v>0</v>
      </c>
      <c r="CQ11" s="43">
        <f t="shared" si="20"/>
        <v>0</v>
      </c>
      <c r="CR11" s="43">
        <f t="shared" si="21"/>
        <v>0.15907759259259258</v>
      </c>
      <c r="CS11" s="43">
        <f t="shared" si="22"/>
        <v>0.15907759259259258</v>
      </c>
      <c r="CT11" s="43">
        <f t="shared" si="23"/>
        <v>0.15907759259259258</v>
      </c>
      <c r="CU11" s="1"/>
    </row>
    <row r="12" spans="1:99" x14ac:dyDescent="0.25">
      <c r="A12" s="112">
        <v>45047</v>
      </c>
      <c r="B12" s="14">
        <v>27</v>
      </c>
      <c r="C12" s="15" t="s">
        <v>138</v>
      </c>
      <c r="D12" s="12">
        <f t="shared" si="0"/>
        <v>1</v>
      </c>
      <c r="E12" s="32">
        <f t="shared" si="1"/>
        <v>0.78848604050924886</v>
      </c>
      <c r="F12" s="63" cm="1">
        <f t="array" ref="F12">IF(B12="","",0.1+IFERROR(INDEX($F$6:$F11,SUMPRODUCT(MAX(ROW($C$6:$C11)*($C12=$C$6:$C11))-ROW($A$5)))*0.9^($A12-INDEX($A$6:A11,SUMPRODUCT(MAX(ROW($C$6:$C11)*($C12=$C$6:$C11))-ROW($A$5)))),0))</f>
        <v>0.1</v>
      </c>
      <c r="G12" s="64">
        <f>INDEX('Exercise list'!$Y$5:$Y$102,MATCH(C12,'Exercise list'!$C$5:$C$102,0))</f>
        <v>1</v>
      </c>
      <c r="H12" s="115">
        <f t="shared" si="2"/>
        <v>0.1759919218667462</v>
      </c>
      <c r="I12" s="6">
        <f t="shared" si="44"/>
        <v>2</v>
      </c>
      <c r="J12" s="6">
        <v>0</v>
      </c>
      <c r="K12" s="12"/>
      <c r="L12" s="74" t="str" cm="1">
        <f t="array" ref="L12">IF(K12="","",INDEX('Exercise list'!$C$5:$C$102,K12))</f>
        <v/>
      </c>
      <c r="M12" s="6"/>
      <c r="N12" s="75" t="str" cm="1">
        <f t="array" ref="N12">IF(M12="","",INDEX('Exercise list'!$C$5:$C$102,M12))</f>
        <v/>
      </c>
      <c r="P12">
        <f>IFERROR(INDEX('Exercise list'!$E$5:$X$102,MATCH($C12,'Exercise list'!$C$5:$C$102,0),MATCH(P$5,'Exercise list'!$E$4:$X$4,0)),0)</f>
        <v>0</v>
      </c>
      <c r="Q12">
        <f>IFERROR(INDEX('Exercise list'!$E$5:$X$102,MATCH($C12,'Exercise list'!$C$5:$C$102,0),MATCH(Q$5,'Exercise list'!$E$4:$X$4,0)),0)</f>
        <v>0</v>
      </c>
      <c r="R12">
        <f>IFERROR(INDEX('Exercise list'!$E$5:$X$102,MATCH($C12,'Exercise list'!$C$5:$C$102,0),MATCH(R$5,'Exercise list'!$E$4:$X$4,0)),0)</f>
        <v>0</v>
      </c>
      <c r="S12">
        <f>IFERROR(INDEX('Exercise list'!$E$5:$X$102,MATCH($C12,'Exercise list'!$C$5:$C$102,0),MATCH(S$5,'Exercise list'!$E$4:$X$4,0)),0)</f>
        <v>0</v>
      </c>
      <c r="T12">
        <f>IFERROR(INDEX('Exercise list'!$E$5:$X$102,MATCH($C12,'Exercise list'!$C$5:$C$102,0),MATCH(T$5,'Exercise list'!$E$4:$X$4,0)),0)</f>
        <v>0</v>
      </c>
      <c r="U12">
        <f>IFERROR(INDEX('Exercise list'!$E$5:$X$102,MATCH($C12,'Exercise list'!$C$5:$C$102,0),MATCH(U$5,'Exercise list'!$E$4:$X$4,0)),0)</f>
        <v>0</v>
      </c>
      <c r="V12">
        <f>IFERROR(INDEX('Exercise list'!$E$5:$X$102,MATCH($C12,'Exercise list'!$C$5:$C$102,0),MATCH(V$5,'Exercise list'!$E$4:$X$4,0)),0)</f>
        <v>0</v>
      </c>
      <c r="W12">
        <f>IFERROR(INDEX('Exercise list'!$E$5:$X$102,MATCH($C12,'Exercise list'!$C$5:$C$102,0),MATCH(W$5,'Exercise list'!$E$4:$X$4,0)),0)</f>
        <v>0</v>
      </c>
      <c r="X12">
        <f>IFERROR(INDEX('Exercise list'!$E$5:$X$102,MATCH($C12,'Exercise list'!$C$5:$C$102,0),MATCH(X$5,'Exercise list'!$E$4:$X$4,0)),0)</f>
        <v>0</v>
      </c>
      <c r="Y12">
        <f>IFERROR(INDEX('Exercise list'!$E$5:$X$102,MATCH($C12,'Exercise list'!$C$5:$C$102,0),MATCH(Y$5,'Exercise list'!$E$4:$X$4,0)),0)</f>
        <v>0</v>
      </c>
      <c r="Z12">
        <f>IFERROR(INDEX('Exercise list'!$E$5:$X$102,MATCH($C12,'Exercise list'!$C$5:$C$102,0),MATCH(Z$5,'Exercise list'!$E$4:$X$4,0)),0)</f>
        <v>0</v>
      </c>
      <c r="AA12">
        <f>IFERROR(INDEX('Exercise list'!$E$5:$X$102,MATCH($C12,'Exercise list'!$C$5:$C$102,0),MATCH(AA$5,'Exercise list'!$E$4:$X$4,0)),0)</f>
        <v>0</v>
      </c>
      <c r="AB12">
        <f>IFERROR(INDEX('Exercise list'!$E$5:$X$102,MATCH($C12,'Exercise list'!$C$5:$C$102,0),MATCH(AB$5,'Exercise list'!$E$4:$X$4,0)),0)</f>
        <v>0</v>
      </c>
      <c r="AC12">
        <f>IFERROR(INDEX('Exercise list'!$E$5:$X$102,MATCH($C12,'Exercise list'!$C$5:$C$102,0),MATCH(AC$5,'Exercise list'!$E$4:$X$4,0)),0)</f>
        <v>0</v>
      </c>
      <c r="AD12">
        <f>IFERROR(INDEX('Exercise list'!$E$5:$X$102,MATCH($C12,'Exercise list'!$C$5:$C$102,0),MATCH(AD$5,'Exercise list'!$E$4:$X$4,0)),0)</f>
        <v>0</v>
      </c>
      <c r="AE12">
        <f>IFERROR(INDEX('Exercise list'!$E$5:$X$102,MATCH($C12,'Exercise list'!$C$5:$C$102,0),MATCH(AE$5,'Exercise list'!$E$4:$X$4,0)),0)</f>
        <v>0</v>
      </c>
      <c r="AF12">
        <f>IFERROR(INDEX('Exercise list'!$E$5:$X$102,MATCH($C12,'Exercise list'!$C$5:$C$102,0),MATCH(AF$5,'Exercise list'!$E$4:$X$4,0)),0)</f>
        <v>0</v>
      </c>
      <c r="AG12">
        <f>IFERROR(INDEX('Exercise list'!$E$5:$X$102,MATCH($C12,'Exercise list'!$C$5:$C$102,0),MATCH(AG$5,'Exercise list'!$E$4:$X$4,0)),0)</f>
        <v>0</v>
      </c>
      <c r="AH12">
        <f>IFERROR(INDEX('Exercise list'!$E$5:$X$102,MATCH($C12,'Exercise list'!$C$5:$C$102,0),MATCH(AH$5,'Exercise list'!$E$4:$X$4,0)),0)</f>
        <v>1</v>
      </c>
      <c r="AI12">
        <f>IFERROR(INDEX('Exercise list'!$E$5:$X$102,MATCH($C12,'Exercise list'!$C$5:$C$102,0),MATCH(AI$5,'Exercise list'!$E$4:$X$4,0)),0)</f>
        <v>0</v>
      </c>
      <c r="AK12">
        <f>IF(OR($J12=1,COUNTIFS($A$5:$A11,"&gt;="&amp;$A12-1,$A$5:$A11,"&lt;="&amp;$A12,$B$5:$B11,$B12)&gt;0,MIN(1-'Exercise list'!E$2,IF($A12=$A11,AK11,1))-P12&lt;0),-1,MIN(1,IF($A12=$A11,AK11,1)-P12+$D$2))</f>
        <v>1</v>
      </c>
      <c r="AL12">
        <f>IF(OR($J12=1,COUNTIFS($A$5:$A11,"&gt;="&amp;$A12-1,$A$5:$A11,"&lt;="&amp;$A12,$B$5:$B11,$B12)&gt;0,MIN(1-'Exercise list'!F$2,IF($A12=$A11,AL11,1))-Q12&lt;0),-1,MIN(1,IF($A12=$A11,AL11,1)-Q12+$D$2))</f>
        <v>1</v>
      </c>
      <c r="AM12">
        <f>IF(OR($J12=1,COUNTIFS($A$5:$A11,"&gt;="&amp;$A12-1,$A$5:$A11,"&lt;="&amp;$A12,$B$5:$B11,$B12)&gt;0,MIN(1-'Exercise list'!G$2,IF($A12=$A11,AM11,1))-R12&lt;0),-1,MIN(1,IF($A12=$A11,AM11,1)-R12+$D$2))</f>
        <v>1</v>
      </c>
      <c r="AN12">
        <f>IF(OR($J12=1,COUNTIFS($A$5:$A11,"&gt;="&amp;$A12-1,$A$5:$A11,"&lt;="&amp;$A12,$B$5:$B11,$B12)&gt;0,MIN(1-'Exercise list'!H$2,IF($A12=$A11,AN11,1))-S12&lt;0),-1,MIN(1,IF($A12=$A11,AN11,1)-S12+$D$2))</f>
        <v>1</v>
      </c>
      <c r="AO12">
        <f>IF(OR($J12=1,COUNTIFS($A$5:$A11,"&gt;="&amp;$A12-1,$A$5:$A11,"&lt;="&amp;$A12,$B$5:$B11,$B12)&gt;0,MIN(1-'Exercise list'!I$2,IF($A12=$A11,AO11,1))-T12&lt;0),-1,MIN(1,IF($A12=$A11,AO11,1)-T12+$D$2))</f>
        <v>1</v>
      </c>
      <c r="AP12">
        <f>IF(OR($J12=1,COUNTIFS($A$5:$A11,"&gt;="&amp;$A12-1,$A$5:$A11,"&lt;="&amp;$A12,$B$5:$B11,$B12)&gt;0,MIN(1-'Exercise list'!J$2,IF($A12=$A11,AP11,1))-U12&lt;0),-1,MIN(1,IF($A12=$A11,AP11,1)-U12+$D$2))</f>
        <v>1</v>
      </c>
      <c r="AQ12">
        <f>IF(OR($J12=1,COUNTIFS($A$5:$A11,"&gt;="&amp;$A12-1,$A$5:$A11,"&lt;="&amp;$A12,$B$5:$B11,$B12)&gt;0,MIN(1-'Exercise list'!K$2,IF($A12=$A11,AQ11,1))-V12&lt;0),-1,MIN(1,IF($A12=$A11,AQ11,1)-V12+$D$2))</f>
        <v>1</v>
      </c>
      <c r="AR12">
        <f>IF(OR($J12=1,COUNTIFS($A$5:$A11,"&gt;="&amp;$A12-1,$A$5:$A11,"&lt;="&amp;$A12,$B$5:$B11,$B12)&gt;0,MIN(1-'Exercise list'!L$2,IF($A12=$A11,AR11,1))-W12&lt;0),-1,MIN(1,IF($A12=$A11,AR11,1)-W12+$D$2))</f>
        <v>1</v>
      </c>
      <c r="AS12">
        <f>IF(OR($J12=1,COUNTIFS($A$5:$A11,"&gt;="&amp;$A12-1,$A$5:$A11,"&lt;="&amp;$A12,$B$5:$B11,$B12)&gt;0,MIN(1-'Exercise list'!M$2,IF($A12=$A11,AS11,1))-X12&lt;0),-1,MIN(1,IF($A12=$A11,AS11,1)-X12+$D$2))</f>
        <v>1</v>
      </c>
      <c r="AT12">
        <f>IF(OR($J12=1,COUNTIFS($A$5:$A11,"&gt;="&amp;$A12-1,$A$5:$A11,"&lt;="&amp;$A12,$B$5:$B11,$B12)&gt;0,MIN(1-'Exercise list'!N$2,IF($A12=$A11,AT11,1))-Y12&lt;0),-1,MIN(1,IF($A12=$A11,AT11,1)-Y12+$D$2))</f>
        <v>1</v>
      </c>
      <c r="AU12">
        <f>IF(OR($J12=1,COUNTIFS($A$5:$A11,"&gt;="&amp;$A12-1,$A$5:$A11,"&lt;="&amp;$A12,$B$5:$B11,$B12)&gt;0,MIN(1-'Exercise list'!O$2,IF($A12=$A11,AU11,1))-Z12&lt;0),-1,MIN(1,IF($A12=$A11,AU11,1)-Z12+$D$2))</f>
        <v>1</v>
      </c>
      <c r="AV12">
        <f>IF(OR($J12=1,COUNTIFS($A$5:$A11,"&gt;="&amp;$A12-1,$A$5:$A11,"&lt;="&amp;$A12,$B$5:$B11,$B12)&gt;0,MIN(1-'Exercise list'!P$2,IF($A12=$A11,AV11,1))-AA12&lt;0),-1,MIN(1,IF($A12=$A11,AV11,1)-AA12+$D$2))</f>
        <v>1</v>
      </c>
      <c r="AW12">
        <f>IF(OR($J12=1,COUNTIFS($A$5:$A11,"&gt;="&amp;$A12-1,$A$5:$A11,"&lt;="&amp;$A12,$B$5:$B11,$B12)&gt;0,MIN(1-'Exercise list'!Q$2,IF($A12=$A11,AW11,1))-AB12&lt;0),-1,MIN(1,IF($A12=$A11,AW11,1)-AB12+$D$2))</f>
        <v>1</v>
      </c>
      <c r="AX12">
        <f>IF(OR($J12=1,COUNTIFS($A$5:$A11,"&gt;="&amp;$A12-1,$A$5:$A11,"&lt;="&amp;$A12,$B$5:$B11,$B12)&gt;0,MIN(1-'Exercise list'!R$2,IF($A12=$A11,AX11,1))-AC12&lt;0),-1,MIN(1,IF($A12=$A11,AX11,1)-AC12+$D$2))</f>
        <v>1</v>
      </c>
      <c r="AY12">
        <f>IF(OR($J12=1,COUNTIFS($A$5:$A11,"&gt;="&amp;$A12-1,$A$5:$A11,"&lt;="&amp;$A12,$B$5:$B11,$B12)&gt;0,MIN(1-'Exercise list'!S$2,IF($A12=$A11,AY11,1))-AD12&lt;0),-1,MIN(1,IF($A12=$A11,AY11,1)-AD12+$D$2))</f>
        <v>1</v>
      </c>
      <c r="AZ12">
        <f>IF(OR($J12=1,COUNTIFS($A$5:$A11,"&gt;="&amp;$A12-1,$A$5:$A11,"&lt;="&amp;$A12,$B$5:$B11,$B12)&gt;0,MIN(1-'Exercise list'!T$2,IF($A12=$A11,AZ11,1))-AE12&lt;0),-1,MIN(1,IF($A12=$A11,AZ11,1)-AE12+$D$2))</f>
        <v>1</v>
      </c>
      <c r="BA12">
        <f>IF(OR($J12=1,COUNTIFS($A$5:$A11,"&gt;="&amp;$A12-1,$A$5:$A11,"&lt;="&amp;$A12,$B$5:$B11,$B12)&gt;0,MIN(1-'Exercise list'!U$2,IF($A12=$A11,BA11,1))-AF12&lt;0),-1,MIN(1,IF($A12=$A11,BA11,1)-AF12+$D$2))</f>
        <v>1</v>
      </c>
      <c r="BB12">
        <f>IF(OR($J12=1,COUNTIFS($A$5:$A11,"&gt;="&amp;$A12-1,$A$5:$A11,"&lt;="&amp;$A12,$B$5:$B11,$B12)&gt;0,MIN(1-'Exercise list'!V$2,IF($A12=$A11,BB11,1))-AG12&lt;0),-1,MIN(1,IF($A12=$A11,BB11,1)-AG12+$D$2))</f>
        <v>1</v>
      </c>
      <c r="BC12">
        <f>IF(OR($J12=1,COUNTIFS($A$5:$A11,"&gt;="&amp;$A12-1,$A$5:$A11,"&lt;="&amp;$A12,$B$5:$B11,$B12)&gt;0,MIN(1-'Exercise list'!W$2,IF($A12=$A11,BC11,1))-AH12&lt;0),-1,MIN(1,IF($A12=$A11,BC11,1)-AH12+$D$2))</f>
        <v>1</v>
      </c>
      <c r="BD12">
        <f>IF(OR($J12=1,COUNTIFS($A$5:$A11,"&gt;="&amp;$A12-1,$A$5:$A11,"&lt;="&amp;$A12,$B$5:$B11,$B12)&gt;0,MIN(1-'Exercise list'!X$2,IF($A12=$A11,BD11,1))-AI12&lt;0),-1,MIN(1,IF($A12=$A11,BD11,1)-AI12+$D$2))</f>
        <v>1</v>
      </c>
      <c r="BF12" s="44">
        <f t="shared" si="24"/>
        <v>4.7500000000000001E-2</v>
      </c>
      <c r="BG12" s="44">
        <f t="shared" si="25"/>
        <v>0</v>
      </c>
      <c r="BH12" s="44">
        <f t="shared" si="26"/>
        <v>0</v>
      </c>
      <c r="BI12" s="44">
        <f t="shared" si="27"/>
        <v>0</v>
      </c>
      <c r="BJ12" s="44">
        <f t="shared" si="28"/>
        <v>0.77378093749999988</v>
      </c>
      <c r="BK12" s="44">
        <f t="shared" si="29"/>
        <v>0</v>
      </c>
      <c r="BL12" s="44">
        <f t="shared" si="30"/>
        <v>2.375E-2</v>
      </c>
      <c r="BM12" s="44">
        <f t="shared" si="31"/>
        <v>0</v>
      </c>
      <c r="BN12" s="44">
        <f t="shared" si="32"/>
        <v>4.2868749999999997E-2</v>
      </c>
      <c r="BO12" s="44">
        <f t="shared" si="33"/>
        <v>3.8000000000000006E-2</v>
      </c>
      <c r="BP12" s="44">
        <f t="shared" si="34"/>
        <v>0.81890593749999985</v>
      </c>
      <c r="BQ12" s="44">
        <f t="shared" si="35"/>
        <v>3.6100000000000007E-2</v>
      </c>
      <c r="BR12" s="44">
        <f t="shared" si="36"/>
        <v>0.45645065624999992</v>
      </c>
      <c r="BS12" s="44">
        <f t="shared" si="37"/>
        <v>6.3287812499999985E-2</v>
      </c>
      <c r="BT12" s="44">
        <f t="shared" si="38"/>
        <v>0.46426856249999987</v>
      </c>
      <c r="BU12" s="44">
        <f t="shared" si="39"/>
        <v>0.54164665624999986</v>
      </c>
      <c r="BV12" s="44">
        <f t="shared" si="40"/>
        <v>0.77378093749999988</v>
      </c>
      <c r="BW12" s="44">
        <f t="shared" si="41"/>
        <v>0</v>
      </c>
      <c r="BX12" s="44">
        <f t="shared" si="42"/>
        <v>0.05</v>
      </c>
      <c r="BY12" s="44">
        <f t="shared" si="43"/>
        <v>0</v>
      </c>
      <c r="CA12" s="44">
        <f t="shared" si="4"/>
        <v>0.25845112962962957</v>
      </c>
      <c r="CB12" s="44">
        <f t="shared" si="5"/>
        <v>0.30595112962962956</v>
      </c>
      <c r="CC12" s="44">
        <f t="shared" si="6"/>
        <v>0.15297556481481478</v>
      </c>
      <c r="CD12" s="44">
        <f t="shared" si="7"/>
        <v>0.15297556481481478</v>
      </c>
      <c r="CE12" s="44">
        <f t="shared" si="8"/>
        <v>0</v>
      </c>
      <c r="CF12" s="44">
        <f t="shared" si="9"/>
        <v>0.45892669444444439</v>
      </c>
      <c r="CG12" s="44">
        <f t="shared" si="10"/>
        <v>0.12922556481481479</v>
      </c>
      <c r="CH12" s="44">
        <f t="shared" si="11"/>
        <v>0.15297556481481478</v>
      </c>
      <c r="CI12" s="44">
        <f t="shared" si="12"/>
        <v>0.26308237962962955</v>
      </c>
      <c r="CJ12" s="44">
        <f t="shared" si="13"/>
        <v>0.11497556481481477</v>
      </c>
      <c r="CK12" s="44">
        <f t="shared" si="14"/>
        <v>0</v>
      </c>
      <c r="CL12" s="44">
        <f t="shared" si="15"/>
        <v>0.11687556481481477</v>
      </c>
      <c r="CM12" s="44">
        <f t="shared" si="16"/>
        <v>0</v>
      </c>
      <c r="CN12" s="44">
        <f t="shared" si="17"/>
        <v>8.9687752314814795E-2</v>
      </c>
      <c r="CO12" s="44">
        <f t="shared" si="18"/>
        <v>0</v>
      </c>
      <c r="CP12" s="44">
        <f t="shared" si="19"/>
        <v>0</v>
      </c>
      <c r="CQ12" s="44">
        <f t="shared" si="20"/>
        <v>0</v>
      </c>
      <c r="CR12" s="44">
        <f t="shared" si="21"/>
        <v>0.15297556481481478</v>
      </c>
      <c r="CS12" s="44">
        <f t="shared" si="22"/>
        <v>0.10297556481481478</v>
      </c>
      <c r="CT12" s="44">
        <f t="shared" si="23"/>
        <v>0.15297556481481478</v>
      </c>
    </row>
    <row r="13" spans="1:99" x14ac:dyDescent="0.25">
      <c r="A13" s="112">
        <v>45047</v>
      </c>
      <c r="B13" s="14">
        <v>20</v>
      </c>
      <c r="C13" s="15" t="s">
        <v>128</v>
      </c>
      <c r="D13" s="12">
        <f t="shared" si="0"/>
        <v>1</v>
      </c>
      <c r="E13" s="32">
        <f t="shared" si="1"/>
        <v>2.394658238969503</v>
      </c>
      <c r="F13" s="63" cm="1">
        <f t="array" ref="F13">IF(B13="","",0.1+IFERROR(INDEX($F$6:$F12,SUMPRODUCT(MAX(ROW($C$6:$C12)*($C13=$C$6:$C12))-ROW($A$5)))*0.9^($A13-INDEX($A$6:A12,SUMPRODUCT(MAX(ROW($C$6:$C12)*($C13=$C$6:$C12))-ROW($A$5)))),0))</f>
        <v>0.1</v>
      </c>
      <c r="G13" s="64">
        <f>INDEX('Exercise list'!$Y$5:$Y$102,MATCH(C13,'Exercise list'!$C$5:$C$102,0))</f>
        <v>3</v>
      </c>
      <c r="H13" s="115">
        <f t="shared" si="2"/>
        <v>0.16560787923831063</v>
      </c>
      <c r="I13" s="6">
        <f t="shared" si="44"/>
        <v>3</v>
      </c>
      <c r="J13" s="6">
        <v>0</v>
      </c>
      <c r="K13" s="12"/>
      <c r="L13" s="74" t="str" cm="1">
        <f t="array" ref="L13">IF(K13="","",INDEX('Exercise list'!$C$5:$C$102,K13))</f>
        <v/>
      </c>
      <c r="M13" s="6"/>
      <c r="N13" s="75" t="str" cm="1">
        <f t="array" ref="N13">IF(M13="","",INDEX('Exercise list'!$C$5:$C$102,M13))</f>
        <v/>
      </c>
      <c r="P13">
        <f>IFERROR(INDEX('Exercise list'!$E$5:$X$102,MATCH($C13,'Exercise list'!$C$5:$C$102,0),MATCH(P$5,'Exercise list'!$E$4:$X$4,0)),0)</f>
        <v>0</v>
      </c>
      <c r="Q13">
        <f>IFERROR(INDEX('Exercise list'!$E$5:$X$102,MATCH($C13,'Exercise list'!$C$5:$C$102,0),MATCH(Q$5,'Exercise list'!$E$4:$X$4,0)),0)</f>
        <v>0</v>
      </c>
      <c r="R13">
        <f>IFERROR(INDEX('Exercise list'!$E$5:$X$102,MATCH($C13,'Exercise list'!$C$5:$C$102,0),MATCH(R$5,'Exercise list'!$E$4:$X$4,0)),0)</f>
        <v>0</v>
      </c>
      <c r="S13">
        <f>IFERROR(INDEX('Exercise list'!$E$5:$X$102,MATCH($C13,'Exercise list'!$C$5:$C$102,0),MATCH(S$5,'Exercise list'!$E$4:$X$4,0)),0)</f>
        <v>0</v>
      </c>
      <c r="T13">
        <f>IFERROR(INDEX('Exercise list'!$E$5:$X$102,MATCH($C13,'Exercise list'!$C$5:$C$102,0),MATCH(T$5,'Exercise list'!$E$4:$X$4,0)),0)</f>
        <v>0</v>
      </c>
      <c r="U13">
        <f>IFERROR(INDEX('Exercise list'!$E$5:$X$102,MATCH($C13,'Exercise list'!$C$5:$C$102,0),MATCH(U$5,'Exercise list'!$E$4:$X$4,0)),0)</f>
        <v>0.7</v>
      </c>
      <c r="V13">
        <f>IFERROR(INDEX('Exercise list'!$E$5:$X$102,MATCH($C13,'Exercise list'!$C$5:$C$102,0),MATCH(V$5,'Exercise list'!$E$4:$X$4,0)),0)</f>
        <v>0.9</v>
      </c>
      <c r="W13">
        <f>IFERROR(INDEX('Exercise list'!$E$5:$X$102,MATCH($C13,'Exercise list'!$C$5:$C$102,0),MATCH(W$5,'Exercise list'!$E$4:$X$4,0)),0)</f>
        <v>0</v>
      </c>
      <c r="X13">
        <f>IFERROR(INDEX('Exercise list'!$E$5:$X$102,MATCH($C13,'Exercise list'!$C$5:$C$102,0),MATCH(X$5,'Exercise list'!$E$4:$X$4,0)),0)</f>
        <v>0</v>
      </c>
      <c r="Y13">
        <f>IFERROR(INDEX('Exercise list'!$E$5:$X$102,MATCH($C13,'Exercise list'!$C$5:$C$102,0),MATCH(Y$5,'Exercise list'!$E$4:$X$4,0)),0)</f>
        <v>0.7</v>
      </c>
      <c r="Z13">
        <f>IFERROR(INDEX('Exercise list'!$E$5:$X$102,MATCH($C13,'Exercise list'!$C$5:$C$102,0),MATCH(Z$5,'Exercise list'!$E$4:$X$4,0)),0)</f>
        <v>0</v>
      </c>
      <c r="AA13">
        <f>IFERROR(INDEX('Exercise list'!$E$5:$X$102,MATCH($C13,'Exercise list'!$C$5:$C$102,0),MATCH(AA$5,'Exercise list'!$E$4:$X$4,0)),0)</f>
        <v>0</v>
      </c>
      <c r="AB13">
        <f>IFERROR(INDEX('Exercise list'!$E$5:$X$102,MATCH($C13,'Exercise list'!$C$5:$C$102,0),MATCH(AB$5,'Exercise list'!$E$4:$X$4,0)),0)</f>
        <v>0</v>
      </c>
      <c r="AC13">
        <f>IFERROR(INDEX('Exercise list'!$E$5:$X$102,MATCH($C13,'Exercise list'!$C$5:$C$102,0),MATCH(AC$5,'Exercise list'!$E$4:$X$4,0)),0)</f>
        <v>0</v>
      </c>
      <c r="AD13">
        <f>IFERROR(INDEX('Exercise list'!$E$5:$X$102,MATCH($C13,'Exercise list'!$C$5:$C$102,0),MATCH(AD$5,'Exercise list'!$E$4:$X$4,0)),0)</f>
        <v>0</v>
      </c>
      <c r="AE13">
        <f>IFERROR(INDEX('Exercise list'!$E$5:$X$102,MATCH($C13,'Exercise list'!$C$5:$C$102,0),MATCH(AE$5,'Exercise list'!$E$4:$X$4,0)),0)</f>
        <v>0</v>
      </c>
      <c r="AF13">
        <f>IFERROR(INDEX('Exercise list'!$E$5:$X$102,MATCH($C13,'Exercise list'!$C$5:$C$102,0),MATCH(AF$5,'Exercise list'!$E$4:$X$4,0)),0)</f>
        <v>0</v>
      </c>
      <c r="AG13">
        <f>IFERROR(INDEX('Exercise list'!$E$5:$X$102,MATCH($C13,'Exercise list'!$C$5:$C$102,0),MATCH(AG$5,'Exercise list'!$E$4:$X$4,0)),0)</f>
        <v>0</v>
      </c>
      <c r="AH13">
        <f>IFERROR(INDEX('Exercise list'!$E$5:$X$102,MATCH($C13,'Exercise list'!$C$5:$C$102,0),MATCH(AH$5,'Exercise list'!$E$4:$X$4,0)),0)</f>
        <v>0</v>
      </c>
      <c r="AI13">
        <f>IFERROR(INDEX('Exercise list'!$E$5:$X$102,MATCH($C13,'Exercise list'!$C$5:$C$102,0),MATCH(AI$5,'Exercise list'!$E$4:$X$4,0)),0)</f>
        <v>0</v>
      </c>
      <c r="AK13">
        <f>IF(OR($J13=1,COUNTIFS($A$5:$A12,"&gt;="&amp;$A13-1,$A$5:$A12,"&lt;="&amp;$A13,$B$5:$B12,$B13)&gt;0,MIN(1-'Exercise list'!E$2,IF($A13=$A12,AK12,1))-P13&lt;0),-1,MIN(1,IF($A13=$A12,AK12,1)-P13+$D$2))</f>
        <v>1</v>
      </c>
      <c r="AL13">
        <f>IF(OR($J13=1,COUNTIFS($A$5:$A12,"&gt;="&amp;$A13-1,$A$5:$A12,"&lt;="&amp;$A13,$B$5:$B12,$B13)&gt;0,MIN(1-'Exercise list'!F$2,IF($A13=$A12,AL12,1))-Q13&lt;0),-1,MIN(1,IF($A13=$A12,AL12,1)-Q13+$D$2))</f>
        <v>1</v>
      </c>
      <c r="AM13">
        <f>IF(OR($J13=1,COUNTIFS($A$5:$A12,"&gt;="&amp;$A13-1,$A$5:$A12,"&lt;="&amp;$A13,$B$5:$B12,$B13)&gt;0,MIN(1-'Exercise list'!G$2,IF($A13=$A12,AM12,1))-R13&lt;0),-1,MIN(1,IF($A13=$A12,AM12,1)-R13+$D$2))</f>
        <v>1</v>
      </c>
      <c r="AN13">
        <f>IF(OR($J13=1,COUNTIFS($A$5:$A12,"&gt;="&amp;$A13-1,$A$5:$A12,"&lt;="&amp;$A13,$B$5:$B12,$B13)&gt;0,MIN(1-'Exercise list'!H$2,IF($A13=$A12,AN12,1))-S13&lt;0),-1,MIN(1,IF($A13=$A12,AN12,1)-S13+$D$2))</f>
        <v>1</v>
      </c>
      <c r="AO13">
        <f>IF(OR($J13=1,COUNTIFS($A$5:$A12,"&gt;="&amp;$A13-1,$A$5:$A12,"&lt;="&amp;$A13,$B$5:$B12,$B13)&gt;0,MIN(1-'Exercise list'!I$2,IF($A13=$A12,AO12,1))-T13&lt;0),-1,MIN(1,IF($A13=$A12,AO12,1)-T13+$D$2))</f>
        <v>1</v>
      </c>
      <c r="AP13">
        <f>IF(OR($J13=1,COUNTIFS($A$5:$A12,"&gt;="&amp;$A13-1,$A$5:$A12,"&lt;="&amp;$A13,$B$5:$B12,$B13)&gt;0,MIN(1-'Exercise list'!J$2,IF($A13=$A12,AP12,1))-U13&lt;0),-1,MIN(1,IF($A13=$A12,AP12,1)-U13+$D$2))</f>
        <v>1</v>
      </c>
      <c r="AQ13">
        <f>IF(OR($J13=1,COUNTIFS($A$5:$A12,"&gt;="&amp;$A13-1,$A$5:$A12,"&lt;="&amp;$A13,$B$5:$B12,$B13)&gt;0,MIN(1-'Exercise list'!K$2,IF($A13=$A12,AQ12,1))-V13&lt;0),-1,MIN(1,IF($A13=$A12,AQ12,1)-V13+$D$2))</f>
        <v>1</v>
      </c>
      <c r="AR13">
        <f>IF(OR($J13=1,COUNTIFS($A$5:$A12,"&gt;="&amp;$A13-1,$A$5:$A12,"&lt;="&amp;$A13,$B$5:$B12,$B13)&gt;0,MIN(1-'Exercise list'!L$2,IF($A13=$A12,AR12,1))-W13&lt;0),-1,MIN(1,IF($A13=$A12,AR12,1)-W13+$D$2))</f>
        <v>1</v>
      </c>
      <c r="AS13">
        <f>IF(OR($J13=1,COUNTIFS($A$5:$A12,"&gt;="&amp;$A13-1,$A$5:$A12,"&lt;="&amp;$A13,$B$5:$B12,$B13)&gt;0,MIN(1-'Exercise list'!M$2,IF($A13=$A12,AS12,1))-X13&lt;0),-1,MIN(1,IF($A13=$A12,AS12,1)-X13+$D$2))</f>
        <v>1</v>
      </c>
      <c r="AT13">
        <f>IF(OR($J13=1,COUNTIFS($A$5:$A12,"&gt;="&amp;$A13-1,$A$5:$A12,"&lt;="&amp;$A13,$B$5:$B12,$B13)&gt;0,MIN(1-'Exercise list'!N$2,IF($A13=$A12,AT12,1))-Y13&lt;0),-1,MIN(1,IF($A13=$A12,AT12,1)-Y13+$D$2))</f>
        <v>1</v>
      </c>
      <c r="AU13">
        <f>IF(OR($J13=1,COUNTIFS($A$5:$A12,"&gt;="&amp;$A13-1,$A$5:$A12,"&lt;="&amp;$A13,$B$5:$B12,$B13)&gt;0,MIN(1-'Exercise list'!O$2,IF($A13=$A12,AU12,1))-Z13&lt;0),-1,MIN(1,IF($A13=$A12,AU12,1)-Z13+$D$2))</f>
        <v>1</v>
      </c>
      <c r="AV13">
        <f>IF(OR($J13=1,COUNTIFS($A$5:$A12,"&gt;="&amp;$A13-1,$A$5:$A12,"&lt;="&amp;$A13,$B$5:$B12,$B13)&gt;0,MIN(1-'Exercise list'!P$2,IF($A13=$A12,AV12,1))-AA13&lt;0),-1,MIN(1,IF($A13=$A12,AV12,1)-AA13+$D$2))</f>
        <v>1</v>
      </c>
      <c r="AW13">
        <f>IF(OR($J13=1,COUNTIFS($A$5:$A12,"&gt;="&amp;$A13-1,$A$5:$A12,"&lt;="&amp;$A13,$B$5:$B12,$B13)&gt;0,MIN(1-'Exercise list'!Q$2,IF($A13=$A12,AW12,1))-AB13&lt;0),-1,MIN(1,IF($A13=$A12,AW12,1)-AB13+$D$2))</f>
        <v>1</v>
      </c>
      <c r="AX13">
        <f>IF(OR($J13=1,COUNTIFS($A$5:$A12,"&gt;="&amp;$A13-1,$A$5:$A12,"&lt;="&amp;$A13,$B$5:$B12,$B13)&gt;0,MIN(1-'Exercise list'!R$2,IF($A13=$A12,AX12,1))-AC13&lt;0),-1,MIN(1,IF($A13=$A12,AX12,1)-AC13+$D$2))</f>
        <v>1</v>
      </c>
      <c r="AY13">
        <f>IF(OR($J13=1,COUNTIFS($A$5:$A12,"&gt;="&amp;$A13-1,$A$5:$A12,"&lt;="&amp;$A13,$B$5:$B12,$B13)&gt;0,MIN(1-'Exercise list'!S$2,IF($A13=$A12,AY12,1))-AD13&lt;0),-1,MIN(1,IF($A13=$A12,AY12,1)-AD13+$D$2))</f>
        <v>1</v>
      </c>
      <c r="AZ13">
        <f>IF(OR($J13=1,COUNTIFS($A$5:$A12,"&gt;="&amp;$A13-1,$A$5:$A12,"&lt;="&amp;$A13,$B$5:$B12,$B13)&gt;0,MIN(1-'Exercise list'!T$2,IF($A13=$A12,AZ12,1))-AE13&lt;0),-1,MIN(1,IF($A13=$A12,AZ12,1)-AE13+$D$2))</f>
        <v>1</v>
      </c>
      <c r="BA13">
        <f>IF(OR($J13=1,COUNTIFS($A$5:$A12,"&gt;="&amp;$A13-1,$A$5:$A12,"&lt;="&amp;$A13,$B$5:$B12,$B13)&gt;0,MIN(1-'Exercise list'!U$2,IF($A13=$A12,BA12,1))-AF13&lt;0),-1,MIN(1,IF($A13=$A12,BA12,1)-AF13+$D$2))</f>
        <v>1</v>
      </c>
      <c r="BB13">
        <f>IF(OR($J13=1,COUNTIFS($A$5:$A12,"&gt;="&amp;$A13-1,$A$5:$A12,"&lt;="&amp;$A13,$B$5:$B12,$B13)&gt;0,MIN(1-'Exercise list'!V$2,IF($A13=$A12,BB12,1))-AG13&lt;0),-1,MIN(1,IF($A13=$A12,BB12,1)-AG13+$D$2))</f>
        <v>1</v>
      </c>
      <c r="BC13">
        <f>IF(OR($J13=1,COUNTIFS($A$5:$A12,"&gt;="&amp;$A13-1,$A$5:$A12,"&lt;="&amp;$A13,$B$5:$B12,$B13)&gt;0,MIN(1-'Exercise list'!W$2,IF($A13=$A12,BC12,1))-AH13&lt;0),-1,MIN(1,IF($A13=$A12,BC12,1)-AH13+$D$2))</f>
        <v>1</v>
      </c>
      <c r="BD13">
        <f>IF(OR($J13=1,COUNTIFS($A$5:$A12,"&gt;="&amp;$A13-1,$A$5:$A12,"&lt;="&amp;$A13,$B$5:$B12,$B13)&gt;0,MIN(1-'Exercise list'!X$2,IF($A13=$A12,BD12,1))-AI13&lt;0),-1,MIN(1,IF($A13=$A12,BD12,1)-AI13+$D$2))</f>
        <v>1</v>
      </c>
      <c r="BF13" s="44">
        <f t="shared" si="24"/>
        <v>4.5124999999999998E-2</v>
      </c>
      <c r="BG13" s="44">
        <f t="shared" si="25"/>
        <v>0</v>
      </c>
      <c r="BH13" s="44">
        <f t="shared" si="26"/>
        <v>0</v>
      </c>
      <c r="BI13" s="44">
        <f t="shared" si="27"/>
        <v>0</v>
      </c>
      <c r="BJ13" s="44">
        <f t="shared" si="28"/>
        <v>0.7350918906249998</v>
      </c>
      <c r="BK13" s="44">
        <f t="shared" si="29"/>
        <v>3.4999999999999996E-2</v>
      </c>
      <c r="BL13" s="44">
        <f t="shared" si="30"/>
        <v>6.7562499999999998E-2</v>
      </c>
      <c r="BM13" s="44">
        <f t="shared" si="31"/>
        <v>0</v>
      </c>
      <c r="BN13" s="44">
        <f t="shared" si="32"/>
        <v>4.0725312499999992E-2</v>
      </c>
      <c r="BO13" s="44">
        <f t="shared" si="33"/>
        <v>7.1099999999999997E-2</v>
      </c>
      <c r="BP13" s="44">
        <f t="shared" si="34"/>
        <v>0.77796064062499981</v>
      </c>
      <c r="BQ13" s="44">
        <f t="shared" si="35"/>
        <v>3.4295000000000006E-2</v>
      </c>
      <c r="BR13" s="44">
        <f t="shared" si="36"/>
        <v>0.4336281234374999</v>
      </c>
      <c r="BS13" s="44">
        <f t="shared" si="37"/>
        <v>6.0123421874999985E-2</v>
      </c>
      <c r="BT13" s="44">
        <f t="shared" si="38"/>
        <v>0.44105513437499988</v>
      </c>
      <c r="BU13" s="44">
        <f t="shared" si="39"/>
        <v>0.5145643234374998</v>
      </c>
      <c r="BV13" s="44">
        <f t="shared" si="40"/>
        <v>0.7350918906249998</v>
      </c>
      <c r="BW13" s="44">
        <f t="shared" si="41"/>
        <v>0</v>
      </c>
      <c r="BX13" s="44">
        <f t="shared" si="42"/>
        <v>4.7500000000000001E-2</v>
      </c>
      <c r="BY13" s="44">
        <f t="shared" si="43"/>
        <v>0</v>
      </c>
      <c r="CA13" s="44">
        <f t="shared" si="4"/>
        <v>0.25404709166666661</v>
      </c>
      <c r="CB13" s="44">
        <f t="shared" si="5"/>
        <v>0.29917209166666664</v>
      </c>
      <c r="CC13" s="44">
        <f t="shared" si="6"/>
        <v>0.14958604583333332</v>
      </c>
      <c r="CD13" s="44">
        <f t="shared" si="7"/>
        <v>0.14958604583333332</v>
      </c>
      <c r="CE13" s="44">
        <f t="shared" si="8"/>
        <v>0</v>
      </c>
      <c r="CF13" s="44">
        <f t="shared" si="9"/>
        <v>0.41375813750000001</v>
      </c>
      <c r="CG13" s="44">
        <f t="shared" si="10"/>
        <v>8.2023545833333322E-2</v>
      </c>
      <c r="CH13" s="44">
        <f t="shared" si="11"/>
        <v>0.14958604583333332</v>
      </c>
      <c r="CI13" s="44">
        <f t="shared" si="12"/>
        <v>0.25844677916666664</v>
      </c>
      <c r="CJ13" s="44">
        <f t="shared" si="13"/>
        <v>7.8486045833333323E-2</v>
      </c>
      <c r="CK13" s="44">
        <f t="shared" si="14"/>
        <v>0</v>
      </c>
      <c r="CL13" s="44">
        <f t="shared" si="15"/>
        <v>0.11529104583333331</v>
      </c>
      <c r="CM13" s="44">
        <f t="shared" si="16"/>
        <v>0</v>
      </c>
      <c r="CN13" s="44">
        <f t="shared" si="17"/>
        <v>8.9462623958333334E-2</v>
      </c>
      <c r="CO13" s="44">
        <f t="shared" si="18"/>
        <v>0</v>
      </c>
      <c r="CP13" s="44">
        <f t="shared" si="19"/>
        <v>0</v>
      </c>
      <c r="CQ13" s="44">
        <f t="shared" si="20"/>
        <v>0</v>
      </c>
      <c r="CR13" s="44">
        <f t="shared" si="21"/>
        <v>0.14958604583333332</v>
      </c>
      <c r="CS13" s="44">
        <f t="shared" si="22"/>
        <v>0.10208604583333332</v>
      </c>
      <c r="CT13" s="44">
        <f t="shared" si="23"/>
        <v>0.14958604583333332</v>
      </c>
    </row>
    <row r="14" spans="1:99" x14ac:dyDescent="0.25">
      <c r="A14" s="112">
        <v>45047</v>
      </c>
      <c r="B14" s="14">
        <v>23</v>
      </c>
      <c r="C14" s="15" t="s">
        <v>132</v>
      </c>
      <c r="D14" s="12">
        <f t="shared" si="0"/>
        <v>1</v>
      </c>
      <c r="E14" s="32">
        <f t="shared" si="1"/>
        <v>0.79674856931234261</v>
      </c>
      <c r="F14" s="63" cm="1">
        <f t="array" ref="F14">IF(B14="","",0.1+IFERROR(INDEX($F$6:$F13,SUMPRODUCT(MAX(ROW($C$6:$C13)*($C14=$C$6:$C13))-ROW($A$5)))*0.9^($A14-INDEX($A$6:A13,SUMPRODUCT(MAX(ROW($C$6:$C13)*($C14=$C$6:$C13))-ROW($A$5)))),0))</f>
        <v>0.1</v>
      </c>
      <c r="G14" s="64">
        <f>INDEX('Exercise list'!$Y$5:$Y$102,MATCH(C14,'Exercise list'!$C$5:$C$102,0))</f>
        <v>1</v>
      </c>
      <c r="H14" s="115">
        <f t="shared" si="2"/>
        <v>0.15612420894977572</v>
      </c>
      <c r="I14" s="6">
        <f t="shared" si="44"/>
        <v>4</v>
      </c>
      <c r="J14" s="6">
        <v>0</v>
      </c>
      <c r="K14" s="12"/>
      <c r="L14" s="74" t="str" cm="1">
        <f t="array" ref="L14">IF(K14="","",INDEX('Exercise list'!$C$5:$C$102,K14))</f>
        <v/>
      </c>
      <c r="M14" s="6"/>
      <c r="N14" s="75" t="str" cm="1">
        <f t="array" ref="N14">IF(M14="","",INDEX('Exercise list'!$C$5:$C$102,M14))</f>
        <v/>
      </c>
      <c r="P14">
        <f>IFERROR(INDEX('Exercise list'!$E$5:$X$102,MATCH($C14,'Exercise list'!$C$5:$C$102,0),MATCH(P$5,'Exercise list'!$E$4:$X$4,0)),0)</f>
        <v>1</v>
      </c>
      <c r="Q14">
        <f>IFERROR(INDEX('Exercise list'!$E$5:$X$102,MATCH($C14,'Exercise list'!$C$5:$C$102,0),MATCH(Q$5,'Exercise list'!$E$4:$X$4,0)),0)</f>
        <v>0</v>
      </c>
      <c r="R14">
        <f>IFERROR(INDEX('Exercise list'!$E$5:$X$102,MATCH($C14,'Exercise list'!$C$5:$C$102,0),MATCH(R$5,'Exercise list'!$E$4:$X$4,0)),0)</f>
        <v>0</v>
      </c>
      <c r="S14">
        <f>IFERROR(INDEX('Exercise list'!$E$5:$X$102,MATCH($C14,'Exercise list'!$C$5:$C$102,0),MATCH(S$5,'Exercise list'!$E$4:$X$4,0)),0)</f>
        <v>0</v>
      </c>
      <c r="T14">
        <f>IFERROR(INDEX('Exercise list'!$E$5:$X$102,MATCH($C14,'Exercise list'!$C$5:$C$102,0),MATCH(T$5,'Exercise list'!$E$4:$X$4,0)),0)</f>
        <v>0</v>
      </c>
      <c r="U14">
        <f>IFERROR(INDEX('Exercise list'!$E$5:$X$102,MATCH($C14,'Exercise list'!$C$5:$C$102,0),MATCH(U$5,'Exercise list'!$E$4:$X$4,0)),0)</f>
        <v>0</v>
      </c>
      <c r="V14">
        <f>IFERROR(INDEX('Exercise list'!$E$5:$X$102,MATCH($C14,'Exercise list'!$C$5:$C$102,0),MATCH(V$5,'Exercise list'!$E$4:$X$4,0)),0)</f>
        <v>0</v>
      </c>
      <c r="W14">
        <f>IFERROR(INDEX('Exercise list'!$E$5:$X$102,MATCH($C14,'Exercise list'!$C$5:$C$102,0),MATCH(W$5,'Exercise list'!$E$4:$X$4,0)),0)</f>
        <v>0</v>
      </c>
      <c r="X14">
        <f>IFERROR(INDEX('Exercise list'!$E$5:$X$102,MATCH($C14,'Exercise list'!$C$5:$C$102,0),MATCH(X$5,'Exercise list'!$E$4:$X$4,0)),0)</f>
        <v>0</v>
      </c>
      <c r="Y14">
        <f>IFERROR(INDEX('Exercise list'!$E$5:$X$102,MATCH($C14,'Exercise list'!$C$5:$C$102,0),MATCH(Y$5,'Exercise list'!$E$4:$X$4,0)),0)</f>
        <v>0</v>
      </c>
      <c r="Z14">
        <f>IFERROR(INDEX('Exercise list'!$E$5:$X$102,MATCH($C14,'Exercise list'!$C$5:$C$102,0),MATCH(Z$5,'Exercise list'!$E$4:$X$4,0)),0)</f>
        <v>0</v>
      </c>
      <c r="AA14">
        <f>IFERROR(INDEX('Exercise list'!$E$5:$X$102,MATCH($C14,'Exercise list'!$C$5:$C$102,0),MATCH(AA$5,'Exercise list'!$E$4:$X$4,0)),0)</f>
        <v>0</v>
      </c>
      <c r="AB14">
        <f>IFERROR(INDEX('Exercise list'!$E$5:$X$102,MATCH($C14,'Exercise list'!$C$5:$C$102,0),MATCH(AB$5,'Exercise list'!$E$4:$X$4,0)),0)</f>
        <v>0</v>
      </c>
      <c r="AC14">
        <f>IFERROR(INDEX('Exercise list'!$E$5:$X$102,MATCH($C14,'Exercise list'!$C$5:$C$102,0),MATCH(AC$5,'Exercise list'!$E$4:$X$4,0)),0)</f>
        <v>0</v>
      </c>
      <c r="AD14">
        <f>IFERROR(INDEX('Exercise list'!$E$5:$X$102,MATCH($C14,'Exercise list'!$C$5:$C$102,0),MATCH(AD$5,'Exercise list'!$E$4:$X$4,0)),0)</f>
        <v>0</v>
      </c>
      <c r="AE14">
        <f>IFERROR(INDEX('Exercise list'!$E$5:$X$102,MATCH($C14,'Exercise list'!$C$5:$C$102,0),MATCH(AE$5,'Exercise list'!$E$4:$X$4,0)),0)</f>
        <v>0</v>
      </c>
      <c r="AF14">
        <f>IFERROR(INDEX('Exercise list'!$E$5:$X$102,MATCH($C14,'Exercise list'!$C$5:$C$102,0),MATCH(AF$5,'Exercise list'!$E$4:$X$4,0)),0)</f>
        <v>0</v>
      </c>
      <c r="AG14">
        <f>IFERROR(INDEX('Exercise list'!$E$5:$X$102,MATCH($C14,'Exercise list'!$C$5:$C$102,0),MATCH(AG$5,'Exercise list'!$E$4:$X$4,0)),0)</f>
        <v>0</v>
      </c>
      <c r="AH14">
        <f>IFERROR(INDEX('Exercise list'!$E$5:$X$102,MATCH($C14,'Exercise list'!$C$5:$C$102,0),MATCH(AH$5,'Exercise list'!$E$4:$X$4,0)),0)</f>
        <v>0</v>
      </c>
      <c r="AI14">
        <f>IFERROR(INDEX('Exercise list'!$E$5:$X$102,MATCH($C14,'Exercise list'!$C$5:$C$102,0),MATCH(AI$5,'Exercise list'!$E$4:$X$4,0)),0)</f>
        <v>0</v>
      </c>
      <c r="AK14">
        <f>IF(OR($J14=1,COUNTIFS($A$5:$A13,"&gt;="&amp;$A14-1,$A$5:$A13,"&lt;="&amp;$A14,$B$5:$B13,$B14)&gt;0,MIN(1-'Exercise list'!E$2,IF($A14=$A13,AK13,1))-P14&lt;0),-1,MIN(1,IF($A14=$A13,AK13,1)-P14+$D$2))</f>
        <v>1</v>
      </c>
      <c r="AL14">
        <f>IF(OR($J14=1,COUNTIFS($A$5:$A13,"&gt;="&amp;$A14-1,$A$5:$A13,"&lt;="&amp;$A14,$B$5:$B13,$B14)&gt;0,MIN(1-'Exercise list'!F$2,IF($A14=$A13,AL13,1))-Q14&lt;0),-1,MIN(1,IF($A14=$A13,AL13,1)-Q14+$D$2))</f>
        <v>1</v>
      </c>
      <c r="AM14">
        <f>IF(OR($J14=1,COUNTIFS($A$5:$A13,"&gt;="&amp;$A14-1,$A$5:$A13,"&lt;="&amp;$A14,$B$5:$B13,$B14)&gt;0,MIN(1-'Exercise list'!G$2,IF($A14=$A13,AM13,1))-R14&lt;0),-1,MIN(1,IF($A14=$A13,AM13,1)-R14+$D$2))</f>
        <v>1</v>
      </c>
      <c r="AN14">
        <f>IF(OR($J14=1,COUNTIFS($A$5:$A13,"&gt;="&amp;$A14-1,$A$5:$A13,"&lt;="&amp;$A14,$B$5:$B13,$B14)&gt;0,MIN(1-'Exercise list'!H$2,IF($A14=$A13,AN13,1))-S14&lt;0),-1,MIN(1,IF($A14=$A13,AN13,1)-S14+$D$2))</f>
        <v>1</v>
      </c>
      <c r="AO14">
        <f>IF(OR($J14=1,COUNTIFS($A$5:$A13,"&gt;="&amp;$A14-1,$A$5:$A13,"&lt;="&amp;$A14,$B$5:$B13,$B14)&gt;0,MIN(1-'Exercise list'!I$2,IF($A14=$A13,AO13,1))-T14&lt;0),-1,MIN(1,IF($A14=$A13,AO13,1)-T14+$D$2))</f>
        <v>1</v>
      </c>
      <c r="AP14">
        <f>IF(OR($J14=1,COUNTIFS($A$5:$A13,"&gt;="&amp;$A14-1,$A$5:$A13,"&lt;="&amp;$A14,$B$5:$B13,$B14)&gt;0,MIN(1-'Exercise list'!J$2,IF($A14=$A13,AP13,1))-U14&lt;0),-1,MIN(1,IF($A14=$A13,AP13,1)-U14+$D$2))</f>
        <v>1</v>
      </c>
      <c r="AQ14">
        <f>IF(OR($J14=1,COUNTIFS($A$5:$A13,"&gt;="&amp;$A14-1,$A$5:$A13,"&lt;="&amp;$A14,$B$5:$B13,$B14)&gt;0,MIN(1-'Exercise list'!K$2,IF($A14=$A13,AQ13,1))-V14&lt;0),-1,MIN(1,IF($A14=$A13,AQ13,1)-V14+$D$2))</f>
        <v>1</v>
      </c>
      <c r="AR14">
        <f>IF(OR($J14=1,COUNTIFS($A$5:$A13,"&gt;="&amp;$A14-1,$A$5:$A13,"&lt;="&amp;$A14,$B$5:$B13,$B14)&gt;0,MIN(1-'Exercise list'!L$2,IF($A14=$A13,AR13,1))-W14&lt;0),-1,MIN(1,IF($A14=$A13,AR13,1)-W14+$D$2))</f>
        <v>1</v>
      </c>
      <c r="AS14">
        <f>IF(OR($J14=1,COUNTIFS($A$5:$A13,"&gt;="&amp;$A14-1,$A$5:$A13,"&lt;="&amp;$A14,$B$5:$B13,$B14)&gt;0,MIN(1-'Exercise list'!M$2,IF($A14=$A13,AS13,1))-X14&lt;0),-1,MIN(1,IF($A14=$A13,AS13,1)-X14+$D$2))</f>
        <v>1</v>
      </c>
      <c r="AT14">
        <f>IF(OR($J14=1,COUNTIFS($A$5:$A13,"&gt;="&amp;$A14-1,$A$5:$A13,"&lt;="&amp;$A14,$B$5:$B13,$B14)&gt;0,MIN(1-'Exercise list'!N$2,IF($A14=$A13,AT13,1))-Y14&lt;0),-1,MIN(1,IF($A14=$A13,AT13,1)-Y14+$D$2))</f>
        <v>1</v>
      </c>
      <c r="AU14">
        <f>IF(OR($J14=1,COUNTIFS($A$5:$A13,"&gt;="&amp;$A14-1,$A$5:$A13,"&lt;="&amp;$A14,$B$5:$B13,$B14)&gt;0,MIN(1-'Exercise list'!O$2,IF($A14=$A13,AU13,1))-Z14&lt;0),-1,MIN(1,IF($A14=$A13,AU13,1)-Z14+$D$2))</f>
        <v>1</v>
      </c>
      <c r="AV14">
        <f>IF(OR($J14=1,COUNTIFS($A$5:$A13,"&gt;="&amp;$A14-1,$A$5:$A13,"&lt;="&amp;$A14,$B$5:$B13,$B14)&gt;0,MIN(1-'Exercise list'!P$2,IF($A14=$A13,AV13,1))-AA14&lt;0),-1,MIN(1,IF($A14=$A13,AV13,1)-AA14+$D$2))</f>
        <v>1</v>
      </c>
      <c r="AW14">
        <f>IF(OR($J14=1,COUNTIFS($A$5:$A13,"&gt;="&amp;$A14-1,$A$5:$A13,"&lt;="&amp;$A14,$B$5:$B13,$B14)&gt;0,MIN(1-'Exercise list'!Q$2,IF($A14=$A13,AW13,1))-AB14&lt;0),-1,MIN(1,IF($A14=$A13,AW13,1)-AB14+$D$2))</f>
        <v>1</v>
      </c>
      <c r="AX14">
        <f>IF(OR($J14=1,COUNTIFS($A$5:$A13,"&gt;="&amp;$A14-1,$A$5:$A13,"&lt;="&amp;$A14,$B$5:$B13,$B14)&gt;0,MIN(1-'Exercise list'!R$2,IF($A14=$A13,AX13,1))-AC14&lt;0),-1,MIN(1,IF($A14=$A13,AX13,1)-AC14+$D$2))</f>
        <v>1</v>
      </c>
      <c r="AY14">
        <f>IF(OR($J14=1,COUNTIFS($A$5:$A13,"&gt;="&amp;$A14-1,$A$5:$A13,"&lt;="&amp;$A14,$B$5:$B13,$B14)&gt;0,MIN(1-'Exercise list'!S$2,IF($A14=$A13,AY13,1))-AD14&lt;0),-1,MIN(1,IF($A14=$A13,AY13,1)-AD14+$D$2))</f>
        <v>1</v>
      </c>
      <c r="AZ14">
        <f>IF(OR($J14=1,COUNTIFS($A$5:$A13,"&gt;="&amp;$A14-1,$A$5:$A13,"&lt;="&amp;$A14,$B$5:$B13,$B14)&gt;0,MIN(1-'Exercise list'!T$2,IF($A14=$A13,AZ13,1))-AE14&lt;0),-1,MIN(1,IF($A14=$A13,AZ13,1)-AE14+$D$2))</f>
        <v>1</v>
      </c>
      <c r="BA14">
        <f>IF(OR($J14=1,COUNTIFS($A$5:$A13,"&gt;="&amp;$A14-1,$A$5:$A13,"&lt;="&amp;$A14,$B$5:$B13,$B14)&gt;0,MIN(1-'Exercise list'!U$2,IF($A14=$A13,BA13,1))-AF14&lt;0),-1,MIN(1,IF($A14=$A13,BA13,1)-AF14+$D$2))</f>
        <v>1</v>
      </c>
      <c r="BB14">
        <f>IF(OR($J14=1,COUNTIFS($A$5:$A13,"&gt;="&amp;$A14-1,$A$5:$A13,"&lt;="&amp;$A14,$B$5:$B13,$B14)&gt;0,MIN(1-'Exercise list'!V$2,IF($A14=$A13,BB13,1))-AG14&lt;0),-1,MIN(1,IF($A14=$A13,BB13,1)-AG14+$D$2))</f>
        <v>1</v>
      </c>
      <c r="BC14">
        <f>IF(OR($J14=1,COUNTIFS($A$5:$A13,"&gt;="&amp;$A14-1,$A$5:$A13,"&lt;="&amp;$A14,$B$5:$B13,$B14)&gt;0,MIN(1-'Exercise list'!W$2,IF($A14=$A13,BC13,1))-AH14&lt;0),-1,MIN(1,IF($A14=$A13,BC13,1)-AH14+$D$2))</f>
        <v>1</v>
      </c>
      <c r="BD14">
        <f>IF(OR($J14=1,COUNTIFS($A$5:$A13,"&gt;="&amp;$A14-1,$A$5:$A13,"&lt;="&amp;$A14,$B$5:$B13,$B14)&gt;0,MIN(1-'Exercise list'!X$2,IF($A14=$A13,BD13,1))-AI14&lt;0),-1,MIN(1,IF($A14=$A13,BD13,1)-AI14+$D$2))</f>
        <v>1</v>
      </c>
      <c r="BF14" s="44">
        <f t="shared" si="24"/>
        <v>9.286875E-2</v>
      </c>
      <c r="BG14" s="44">
        <f t="shared" si="25"/>
        <v>0</v>
      </c>
      <c r="BH14" s="44">
        <f t="shared" si="26"/>
        <v>0</v>
      </c>
      <c r="BI14" s="44">
        <f t="shared" si="27"/>
        <v>0</v>
      </c>
      <c r="BJ14" s="44">
        <f t="shared" si="28"/>
        <v>0.69833729609374973</v>
      </c>
      <c r="BK14" s="44">
        <f t="shared" si="29"/>
        <v>3.3249999999999995E-2</v>
      </c>
      <c r="BL14" s="44">
        <f t="shared" si="30"/>
        <v>6.4184374999999988E-2</v>
      </c>
      <c r="BM14" s="44">
        <f t="shared" si="31"/>
        <v>0</v>
      </c>
      <c r="BN14" s="44">
        <f t="shared" si="32"/>
        <v>3.8689046874999994E-2</v>
      </c>
      <c r="BO14" s="44">
        <f t="shared" si="33"/>
        <v>6.7544999999999994E-2</v>
      </c>
      <c r="BP14" s="44">
        <f t="shared" si="34"/>
        <v>0.73906260859374984</v>
      </c>
      <c r="BQ14" s="44">
        <f t="shared" si="35"/>
        <v>3.2580250000000005E-2</v>
      </c>
      <c r="BR14" s="44">
        <f t="shared" si="36"/>
        <v>0.41194671726562487</v>
      </c>
      <c r="BS14" s="44">
        <f t="shared" si="37"/>
        <v>5.7117250781249983E-2</v>
      </c>
      <c r="BT14" s="44">
        <f t="shared" si="38"/>
        <v>0.41900237765624987</v>
      </c>
      <c r="BU14" s="44">
        <f t="shared" si="39"/>
        <v>0.48883610726562476</v>
      </c>
      <c r="BV14" s="44">
        <f t="shared" si="40"/>
        <v>0.69833729609374973</v>
      </c>
      <c r="BW14" s="44">
        <f t="shared" si="41"/>
        <v>0</v>
      </c>
      <c r="BX14" s="44">
        <f t="shared" si="42"/>
        <v>4.5124999999999998E-2</v>
      </c>
      <c r="BY14" s="44">
        <f t="shared" si="43"/>
        <v>0</v>
      </c>
      <c r="CA14" s="44">
        <f t="shared" si="4"/>
        <v>0.19504844078703698</v>
      </c>
      <c r="CB14" s="44">
        <f t="shared" si="5"/>
        <v>0.28791719078703698</v>
      </c>
      <c r="CC14" s="44">
        <f t="shared" si="6"/>
        <v>0.14395859539351849</v>
      </c>
      <c r="CD14" s="44">
        <f t="shared" si="7"/>
        <v>0.14395859539351849</v>
      </c>
      <c r="CE14" s="44">
        <f t="shared" si="8"/>
        <v>0</v>
      </c>
      <c r="CF14" s="44">
        <f t="shared" si="9"/>
        <v>0.39862578618055555</v>
      </c>
      <c r="CG14" s="44">
        <f t="shared" si="10"/>
        <v>7.9774220393518502E-2</v>
      </c>
      <c r="CH14" s="44">
        <f t="shared" si="11"/>
        <v>0.14395859539351849</v>
      </c>
      <c r="CI14" s="44">
        <f t="shared" si="12"/>
        <v>0.24922814391203699</v>
      </c>
      <c r="CJ14" s="44">
        <f t="shared" si="13"/>
        <v>7.6413595393518496E-2</v>
      </c>
      <c r="CK14" s="44">
        <f t="shared" si="14"/>
        <v>0</v>
      </c>
      <c r="CL14" s="44">
        <f t="shared" si="15"/>
        <v>0.11137834539351849</v>
      </c>
      <c r="CM14" s="44">
        <f t="shared" si="16"/>
        <v>0</v>
      </c>
      <c r="CN14" s="44">
        <f t="shared" si="17"/>
        <v>8.6841344612268501E-2</v>
      </c>
      <c r="CO14" s="44">
        <f t="shared" si="18"/>
        <v>0</v>
      </c>
      <c r="CP14" s="44">
        <f t="shared" si="19"/>
        <v>0</v>
      </c>
      <c r="CQ14" s="44">
        <f t="shared" si="20"/>
        <v>0</v>
      </c>
      <c r="CR14" s="44">
        <f t="shared" si="21"/>
        <v>0.14395859539351849</v>
      </c>
      <c r="CS14" s="44">
        <f t="shared" si="22"/>
        <v>9.8833595393518492E-2</v>
      </c>
      <c r="CT14" s="44">
        <f t="shared" si="23"/>
        <v>0.14395859539351849</v>
      </c>
    </row>
    <row r="15" spans="1:99" x14ac:dyDescent="0.25">
      <c r="A15" s="113">
        <v>45047</v>
      </c>
      <c r="B15" s="21">
        <v>1</v>
      </c>
      <c r="C15" s="22" t="s">
        <v>26</v>
      </c>
      <c r="D15" s="17">
        <f t="shared" si="0"/>
        <v>1</v>
      </c>
      <c r="E15" s="33">
        <f t="shared" si="1"/>
        <v>2.2533663377831439</v>
      </c>
      <c r="F15" s="65" cm="1">
        <f t="array" ref="F15">IF(B15="","",0.1+IFERROR(INDEX($F$6:$F14,SUMPRODUCT(MAX(ROW($C$6:$C14)*($C15=$C$6:$C14))-ROW($A$5)))*0.9^($A15-INDEX($A$6:A14,SUMPRODUCT(MAX(ROW($C$6:$C14)*($C15=$C$6:$C14))-ROW($A$5)))),0))</f>
        <v>0.1</v>
      </c>
      <c r="G15" s="25">
        <f>INDEX('Exercise list'!$Y$5:$Y$102,MATCH(C15,'Exercise list'!$C$5:$C$102,0))</f>
        <v>3</v>
      </c>
      <c r="H15" s="116">
        <f t="shared" si="2"/>
        <v>0.15612420894977572</v>
      </c>
      <c r="I15" s="18">
        <f t="shared" si="44"/>
        <v>5</v>
      </c>
      <c r="J15" s="18">
        <v>0</v>
      </c>
      <c r="K15" s="17"/>
      <c r="L15" s="51" t="str" cm="1">
        <f t="array" ref="L15">IF(K15="","",INDEX('Exercise list'!$C$5:$C$102,K15))</f>
        <v/>
      </c>
      <c r="M15" s="18"/>
      <c r="N15" s="76" t="str" cm="1">
        <f t="array" ref="N15">IF(M15="","",INDEX('Exercise list'!$C$5:$C$102,M15))</f>
        <v/>
      </c>
      <c r="O15" s="19"/>
      <c r="P15" s="19">
        <f>IFERROR(INDEX('Exercise list'!$E$5:$X$102,MATCH($C15,'Exercise list'!$C$5:$C$102,0),MATCH(P$5,'Exercise list'!$E$4:$X$4,0)),0)</f>
        <v>0</v>
      </c>
      <c r="Q15" s="19">
        <f>IFERROR(INDEX('Exercise list'!$E$5:$X$102,MATCH($C15,'Exercise list'!$C$5:$C$102,0),MATCH(Q$5,'Exercise list'!$E$4:$X$4,0)),0)</f>
        <v>1</v>
      </c>
      <c r="R15" s="19">
        <f>IFERROR(INDEX('Exercise list'!$E$5:$X$102,MATCH($C15,'Exercise list'!$C$5:$C$102,0),MATCH(R$5,'Exercise list'!$E$4:$X$4,0)),0)</f>
        <v>0.7</v>
      </c>
      <c r="S15" s="19">
        <f>IFERROR(INDEX('Exercise list'!$E$5:$X$102,MATCH($C15,'Exercise list'!$C$5:$C$102,0),MATCH(S$5,'Exercise list'!$E$4:$X$4,0)),0)</f>
        <v>0.7</v>
      </c>
      <c r="T15" s="19">
        <f>IFERROR(INDEX('Exercise list'!$E$5:$X$102,MATCH($C15,'Exercise list'!$C$5:$C$102,0),MATCH(T$5,'Exercise list'!$E$4:$X$4,0)),0)</f>
        <v>0.7</v>
      </c>
      <c r="U15" s="19">
        <f>IFERROR(INDEX('Exercise list'!$E$5:$X$102,MATCH($C15,'Exercise list'!$C$5:$C$102,0),MATCH(U$5,'Exercise list'!$E$4:$X$4,0)),0)</f>
        <v>0</v>
      </c>
      <c r="V15" s="19">
        <f>IFERROR(INDEX('Exercise list'!$E$5:$X$102,MATCH($C15,'Exercise list'!$C$5:$C$102,0),MATCH(V$5,'Exercise list'!$E$4:$X$4,0)),0)</f>
        <v>0</v>
      </c>
      <c r="W15" s="19">
        <f>IFERROR(INDEX('Exercise list'!$E$5:$X$102,MATCH($C15,'Exercise list'!$C$5:$C$102,0),MATCH(W$5,'Exercise list'!$E$4:$X$4,0)),0)</f>
        <v>0</v>
      </c>
      <c r="X15" s="19">
        <f>IFERROR(INDEX('Exercise list'!$E$5:$X$102,MATCH($C15,'Exercise list'!$C$5:$C$102,0),MATCH(X$5,'Exercise list'!$E$4:$X$4,0)),0)</f>
        <v>0.5</v>
      </c>
      <c r="Y15" s="19">
        <f>IFERROR(INDEX('Exercise list'!$E$5:$X$102,MATCH($C15,'Exercise list'!$C$5:$C$102,0),MATCH(Y$5,'Exercise list'!$E$4:$X$4,0)),0)</f>
        <v>0</v>
      </c>
      <c r="Z15" s="19">
        <f>IFERROR(INDEX('Exercise list'!$E$5:$X$102,MATCH($C15,'Exercise list'!$C$5:$C$102,0),MATCH(Z$5,'Exercise list'!$E$4:$X$4,0)),0)</f>
        <v>0.7</v>
      </c>
      <c r="AA15" s="19">
        <f>IFERROR(INDEX('Exercise list'!$E$5:$X$102,MATCH($C15,'Exercise list'!$C$5:$C$102,0),MATCH(AA$5,'Exercise list'!$E$4:$X$4,0)),0)</f>
        <v>0</v>
      </c>
      <c r="AB15" s="19">
        <f>IFERROR(INDEX('Exercise list'!$E$5:$X$102,MATCH($C15,'Exercise list'!$C$5:$C$102,0),MATCH(AB$5,'Exercise list'!$E$4:$X$4,0)),0)</f>
        <v>0.5</v>
      </c>
      <c r="AC15" s="19">
        <f>IFERROR(INDEX('Exercise list'!$E$5:$X$102,MATCH($C15,'Exercise list'!$C$5:$C$102,0),MATCH(AC$5,'Exercise list'!$E$4:$X$4,0)),0)</f>
        <v>0</v>
      </c>
      <c r="AD15" s="19">
        <f>IFERROR(INDEX('Exercise list'!$E$5:$X$102,MATCH($C15,'Exercise list'!$C$5:$C$102,0),MATCH(AD$5,'Exercise list'!$E$4:$X$4,0)),0)</f>
        <v>0.7</v>
      </c>
      <c r="AE15" s="19">
        <f>IFERROR(INDEX('Exercise list'!$E$5:$X$102,MATCH($C15,'Exercise list'!$C$5:$C$102,0),MATCH(AE$5,'Exercise list'!$E$4:$X$4,0)),0)</f>
        <v>0.7</v>
      </c>
      <c r="AF15" s="19">
        <f>IFERROR(INDEX('Exercise list'!$E$5:$X$102,MATCH($C15,'Exercise list'!$C$5:$C$102,0),MATCH(AF$5,'Exercise list'!$E$4:$X$4,0)),0)</f>
        <v>0.9</v>
      </c>
      <c r="AG15" s="19">
        <f>IFERROR(INDEX('Exercise list'!$E$5:$X$102,MATCH($C15,'Exercise list'!$C$5:$C$102,0),MATCH(AG$5,'Exercise list'!$E$4:$X$4,0)),0)</f>
        <v>0</v>
      </c>
      <c r="AH15" s="19">
        <f>IFERROR(INDEX('Exercise list'!$E$5:$X$102,MATCH($C15,'Exercise list'!$C$5:$C$102,0),MATCH(AH$5,'Exercise list'!$E$4:$X$4,0)),0)</f>
        <v>0</v>
      </c>
      <c r="AI15" s="19">
        <f>IFERROR(INDEX('Exercise list'!$E$5:$X$102,MATCH($C15,'Exercise list'!$C$5:$C$102,0),MATCH(AI$5,'Exercise list'!$E$4:$X$4,0)),0)</f>
        <v>0</v>
      </c>
      <c r="AJ15" s="19"/>
      <c r="AK15" s="19">
        <f>IF(OR($J15=1,COUNTIFS($A$5:$A14,"&gt;="&amp;$A15-1,$A$5:$A14,"&lt;="&amp;$A15,$B$5:$B14,$B15)&gt;0,MIN(1-'Exercise list'!E$2,IF($A15=$A14,AK14,1))-P15&lt;0),-1,MIN(1,IF($A15=$A14,AK14,1)-P15+$D$2))</f>
        <v>1</v>
      </c>
      <c r="AL15" s="19">
        <f>IF(OR($J15=1,COUNTIFS($A$5:$A14,"&gt;="&amp;$A15-1,$A$5:$A14,"&lt;="&amp;$A15,$B$5:$B14,$B15)&gt;0,MIN(1-'Exercise list'!F$2,IF($A15=$A14,AL14,1))-Q15&lt;0),-1,MIN(1,IF($A15=$A14,AL14,1)-Q15+$D$2))</f>
        <v>1</v>
      </c>
      <c r="AM15" s="19">
        <f>IF(OR($J15=1,COUNTIFS($A$5:$A14,"&gt;="&amp;$A15-1,$A$5:$A14,"&lt;="&amp;$A15,$B$5:$B14,$B15)&gt;0,MIN(1-'Exercise list'!G$2,IF($A15=$A14,AM14,1))-R15&lt;0),-1,MIN(1,IF($A15=$A14,AM14,1)-R15+$D$2))</f>
        <v>1</v>
      </c>
      <c r="AN15" s="19">
        <f>IF(OR($J15=1,COUNTIFS($A$5:$A14,"&gt;="&amp;$A15-1,$A$5:$A14,"&lt;="&amp;$A15,$B$5:$B14,$B15)&gt;0,MIN(1-'Exercise list'!H$2,IF($A15=$A14,AN14,1))-S15&lt;0),-1,MIN(1,IF($A15=$A14,AN14,1)-S15+$D$2))</f>
        <v>1</v>
      </c>
      <c r="AO15" s="19">
        <f>IF(OR($J15=1,COUNTIFS($A$5:$A14,"&gt;="&amp;$A15-1,$A$5:$A14,"&lt;="&amp;$A15,$B$5:$B14,$B15)&gt;0,MIN(1-'Exercise list'!I$2,IF($A15=$A14,AO14,1))-T15&lt;0),-1,MIN(1,IF($A15=$A14,AO14,1)-T15+$D$2))</f>
        <v>1</v>
      </c>
      <c r="AP15" s="19">
        <f>IF(OR($J15=1,COUNTIFS($A$5:$A14,"&gt;="&amp;$A15-1,$A$5:$A14,"&lt;="&amp;$A15,$B$5:$B14,$B15)&gt;0,MIN(1-'Exercise list'!J$2,IF($A15=$A14,AP14,1))-U15&lt;0),-1,MIN(1,IF($A15=$A14,AP14,1)-U15+$D$2))</f>
        <v>1</v>
      </c>
      <c r="AQ15" s="19">
        <f>IF(OR($J15=1,COUNTIFS($A$5:$A14,"&gt;="&amp;$A15-1,$A$5:$A14,"&lt;="&amp;$A15,$B$5:$B14,$B15)&gt;0,MIN(1-'Exercise list'!K$2,IF($A15=$A14,AQ14,1))-V15&lt;0),-1,MIN(1,IF($A15=$A14,AQ14,1)-V15+$D$2))</f>
        <v>1</v>
      </c>
      <c r="AR15" s="19">
        <f>IF(OR($J15=1,COUNTIFS($A$5:$A14,"&gt;="&amp;$A15-1,$A$5:$A14,"&lt;="&amp;$A15,$B$5:$B14,$B15)&gt;0,MIN(1-'Exercise list'!L$2,IF($A15=$A14,AR14,1))-W15&lt;0),-1,MIN(1,IF($A15=$A14,AR14,1)-W15+$D$2))</f>
        <v>1</v>
      </c>
      <c r="AS15" s="19">
        <f>IF(OR($J15=1,COUNTIFS($A$5:$A14,"&gt;="&amp;$A15-1,$A$5:$A14,"&lt;="&amp;$A15,$B$5:$B14,$B15)&gt;0,MIN(1-'Exercise list'!M$2,IF($A15=$A14,AS14,1))-X15&lt;0),-1,MIN(1,IF($A15=$A14,AS14,1)-X15+$D$2))</f>
        <v>1</v>
      </c>
      <c r="AT15" s="19">
        <f>IF(OR($J15=1,COUNTIFS($A$5:$A14,"&gt;="&amp;$A15-1,$A$5:$A14,"&lt;="&amp;$A15,$B$5:$B14,$B15)&gt;0,MIN(1-'Exercise list'!N$2,IF($A15=$A14,AT14,1))-Y15&lt;0),-1,MIN(1,IF($A15=$A14,AT14,1)-Y15+$D$2))</f>
        <v>1</v>
      </c>
      <c r="AU15" s="19">
        <f>IF(OR($J15=1,COUNTIFS($A$5:$A14,"&gt;="&amp;$A15-1,$A$5:$A14,"&lt;="&amp;$A15,$B$5:$B14,$B15)&gt;0,MIN(1-'Exercise list'!O$2,IF($A15=$A14,AU14,1))-Z15&lt;0),-1,MIN(1,IF($A15=$A14,AU14,1)-Z15+$D$2))</f>
        <v>1</v>
      </c>
      <c r="AV15" s="19">
        <f>IF(OR($J15=1,COUNTIFS($A$5:$A14,"&gt;="&amp;$A15-1,$A$5:$A14,"&lt;="&amp;$A15,$B$5:$B14,$B15)&gt;0,MIN(1-'Exercise list'!P$2,IF($A15=$A14,AV14,1))-AA15&lt;0),-1,MIN(1,IF($A15=$A14,AV14,1)-AA15+$D$2))</f>
        <v>1</v>
      </c>
      <c r="AW15" s="19">
        <f>IF(OR($J15=1,COUNTIFS($A$5:$A14,"&gt;="&amp;$A15-1,$A$5:$A14,"&lt;="&amp;$A15,$B$5:$B14,$B15)&gt;0,MIN(1-'Exercise list'!Q$2,IF($A15=$A14,AW14,1))-AB15&lt;0),-1,MIN(1,IF($A15=$A14,AW14,1)-AB15+$D$2))</f>
        <v>1</v>
      </c>
      <c r="AX15" s="19">
        <f>IF(OR($J15=1,COUNTIFS($A$5:$A14,"&gt;="&amp;$A15-1,$A$5:$A14,"&lt;="&amp;$A15,$B$5:$B14,$B15)&gt;0,MIN(1-'Exercise list'!R$2,IF($A15=$A14,AX14,1))-AC15&lt;0),-1,MIN(1,IF($A15=$A14,AX14,1)-AC15+$D$2))</f>
        <v>1</v>
      </c>
      <c r="AY15" s="19">
        <f>IF(OR($J15=1,COUNTIFS($A$5:$A14,"&gt;="&amp;$A15-1,$A$5:$A14,"&lt;="&amp;$A15,$B$5:$B14,$B15)&gt;0,MIN(1-'Exercise list'!S$2,IF($A15=$A14,AY14,1))-AD15&lt;0),-1,MIN(1,IF($A15=$A14,AY14,1)-AD15+$D$2))</f>
        <v>1</v>
      </c>
      <c r="AZ15" s="19">
        <f>IF(OR($J15=1,COUNTIFS($A$5:$A14,"&gt;="&amp;$A15-1,$A$5:$A14,"&lt;="&amp;$A15,$B$5:$B14,$B15)&gt;0,MIN(1-'Exercise list'!T$2,IF($A15=$A14,AZ14,1))-AE15&lt;0),-1,MIN(1,IF($A15=$A14,AZ14,1)-AE15+$D$2))</f>
        <v>1</v>
      </c>
      <c r="BA15" s="19">
        <f>IF(OR($J15=1,COUNTIFS($A$5:$A14,"&gt;="&amp;$A15-1,$A$5:$A14,"&lt;="&amp;$A15,$B$5:$B14,$B15)&gt;0,MIN(1-'Exercise list'!U$2,IF($A15=$A14,BA14,1))-AF15&lt;0),-1,MIN(1,IF($A15=$A14,BA14,1)-AF15+$D$2))</f>
        <v>1</v>
      </c>
      <c r="BB15" s="19">
        <f>IF(OR($J15=1,COUNTIFS($A$5:$A14,"&gt;="&amp;$A15-1,$A$5:$A14,"&lt;="&amp;$A15,$B$5:$B14,$B15)&gt;0,MIN(1-'Exercise list'!V$2,IF($A15=$A14,BB14,1))-AG15&lt;0),-1,MIN(1,IF($A15=$A14,BB14,1)-AG15+$D$2))</f>
        <v>1</v>
      </c>
      <c r="BC15" s="19">
        <f>IF(OR($J15=1,COUNTIFS($A$5:$A14,"&gt;="&amp;$A15-1,$A$5:$A14,"&lt;="&amp;$A15,$B$5:$B14,$B15)&gt;0,MIN(1-'Exercise list'!W$2,IF($A15=$A14,BC14,1))-AH15&lt;0),-1,MIN(1,IF($A15=$A14,BC14,1)-AH15+$D$2))</f>
        <v>1</v>
      </c>
      <c r="BD15" s="19">
        <f>IF(OR($J15=1,COUNTIFS($A$5:$A14,"&gt;="&amp;$A15-1,$A$5:$A14,"&lt;="&amp;$A15,$B$5:$B14,$B15)&gt;0,MIN(1-'Exercise list'!X$2,IF($A15=$A14,BD14,1))-AI15&lt;0),-1,MIN(1,IF($A15=$A14,BD14,1)-AI15+$D$2))</f>
        <v>1</v>
      </c>
      <c r="BE15" s="19"/>
      <c r="BF15" s="23">
        <f t="shared" si="24"/>
        <v>9.286875E-2</v>
      </c>
      <c r="BG15" s="23">
        <f t="shared" si="25"/>
        <v>0</v>
      </c>
      <c r="BH15" s="23">
        <f t="shared" si="26"/>
        <v>0</v>
      </c>
      <c r="BI15" s="23">
        <f t="shared" si="27"/>
        <v>0</v>
      </c>
      <c r="BJ15" s="23">
        <f t="shared" si="28"/>
        <v>0.69833729609374973</v>
      </c>
      <c r="BK15" s="23">
        <f t="shared" si="29"/>
        <v>3.3249999999999995E-2</v>
      </c>
      <c r="BL15" s="23">
        <f t="shared" si="30"/>
        <v>6.4184374999999988E-2</v>
      </c>
      <c r="BM15" s="23">
        <f t="shared" si="31"/>
        <v>0</v>
      </c>
      <c r="BN15" s="23">
        <f t="shared" si="32"/>
        <v>3.8689046874999994E-2</v>
      </c>
      <c r="BO15" s="23">
        <f t="shared" si="33"/>
        <v>6.7544999999999994E-2</v>
      </c>
      <c r="BP15" s="23">
        <f t="shared" si="34"/>
        <v>0.73906260859374984</v>
      </c>
      <c r="BQ15" s="23">
        <f t="shared" si="35"/>
        <v>3.2580250000000005E-2</v>
      </c>
      <c r="BR15" s="23">
        <f t="shared" si="36"/>
        <v>0.41194671726562487</v>
      </c>
      <c r="BS15" s="23">
        <f t="shared" si="37"/>
        <v>5.7117250781249983E-2</v>
      </c>
      <c r="BT15" s="23">
        <f t="shared" si="38"/>
        <v>0.41900237765624987</v>
      </c>
      <c r="BU15" s="23">
        <f t="shared" si="39"/>
        <v>0.48883610726562476</v>
      </c>
      <c r="BV15" s="23">
        <f t="shared" si="40"/>
        <v>0.69833729609374973</v>
      </c>
      <c r="BW15" s="23">
        <f t="shared" si="41"/>
        <v>0</v>
      </c>
      <c r="BX15" s="23">
        <f t="shared" si="42"/>
        <v>4.5124999999999998E-2</v>
      </c>
      <c r="BY15" s="23">
        <f t="shared" si="43"/>
        <v>0</v>
      </c>
      <c r="BZ15" s="19"/>
      <c r="CA15" s="23">
        <f t="shared" si="4"/>
        <v>0.19504844078703698</v>
      </c>
      <c r="CB15" s="23">
        <f t="shared" si="5"/>
        <v>0.28791719078703698</v>
      </c>
      <c r="CC15" s="23">
        <f t="shared" si="6"/>
        <v>0.14395859539351849</v>
      </c>
      <c r="CD15" s="23">
        <f t="shared" si="7"/>
        <v>0.14395859539351849</v>
      </c>
      <c r="CE15" s="23">
        <f t="shared" si="8"/>
        <v>0</v>
      </c>
      <c r="CF15" s="23">
        <f t="shared" si="9"/>
        <v>0.39862578618055555</v>
      </c>
      <c r="CG15" s="23">
        <f t="shared" si="10"/>
        <v>7.9774220393518502E-2</v>
      </c>
      <c r="CH15" s="23">
        <f t="shared" si="11"/>
        <v>0.14395859539351849</v>
      </c>
      <c r="CI15" s="23">
        <f t="shared" si="12"/>
        <v>0.24922814391203699</v>
      </c>
      <c r="CJ15" s="23">
        <f t="shared" si="13"/>
        <v>7.6413595393518496E-2</v>
      </c>
      <c r="CK15" s="23">
        <f t="shared" si="14"/>
        <v>0</v>
      </c>
      <c r="CL15" s="23">
        <f t="shared" si="15"/>
        <v>0.11137834539351849</v>
      </c>
      <c r="CM15" s="23">
        <f t="shared" si="16"/>
        <v>0</v>
      </c>
      <c r="CN15" s="23">
        <f t="shared" si="17"/>
        <v>8.6841344612268501E-2</v>
      </c>
      <c r="CO15" s="23">
        <f t="shared" si="18"/>
        <v>0</v>
      </c>
      <c r="CP15" s="23">
        <f t="shared" si="19"/>
        <v>0</v>
      </c>
      <c r="CQ15" s="23">
        <f t="shared" si="20"/>
        <v>0</v>
      </c>
      <c r="CR15" s="23">
        <f t="shared" si="21"/>
        <v>0.14395859539351849</v>
      </c>
      <c r="CS15" s="23">
        <f t="shared" si="22"/>
        <v>9.8833595393518492E-2</v>
      </c>
      <c r="CT15" s="23">
        <f t="shared" si="23"/>
        <v>0.14395859539351849</v>
      </c>
      <c r="CU15" s="19"/>
    </row>
    <row r="16" spans="1:99" x14ac:dyDescent="0.25">
      <c r="A16" s="110">
        <v>45049</v>
      </c>
      <c r="B16" s="111">
        <v>30</v>
      </c>
      <c r="C16" s="38" t="s">
        <v>142</v>
      </c>
      <c r="D16" s="39">
        <f t="shared" si="0"/>
        <v>1</v>
      </c>
      <c r="E16" s="40">
        <f t="shared" si="1"/>
        <v>0.8806949582174608</v>
      </c>
      <c r="F16" s="62" cm="1">
        <f t="array" ref="F16">IF(B16="","",0.1+IFERROR(INDEX($F$6:$F15,SUMPRODUCT(MAX(ROW($C$6:$C15)*($C16=$C$6:$C15))-ROW($A$5)))*0.9^($A16-INDEX($A$6:A15,SUMPRODUCT(MAX(ROW($C$6:$C15)*($C16=$C$6:$C15))-ROW($A$5)))),0))</f>
        <v>0.1729</v>
      </c>
      <c r="G16" s="41">
        <f>INDEX('Exercise list'!$Y$5:$Y$102,MATCH(C16,'Exercise list'!$C$5:$C$102,0))</f>
        <v>2</v>
      </c>
      <c r="H16" s="114">
        <f t="shared" si="2"/>
        <v>0.15402467132708914</v>
      </c>
      <c r="I16" s="42">
        <f t="shared" si="44"/>
        <v>1</v>
      </c>
      <c r="J16" s="42">
        <v>0</v>
      </c>
      <c r="K16" s="39"/>
      <c r="L16" s="50" t="str" cm="1">
        <f t="array" ref="L16">IF(K16="","",INDEX('Exercise list'!$C$5:$C$102,K16))</f>
        <v/>
      </c>
      <c r="M16" s="42"/>
      <c r="N16" s="73" t="str" cm="1">
        <f t="array" ref="N16">IF(M16="","",INDEX('Exercise list'!$C$5:$C$102,M16))</f>
        <v/>
      </c>
      <c r="O16" s="1"/>
      <c r="P16" s="1">
        <f>IFERROR(INDEX('Exercise list'!$E$5:$X$102,MATCH($C16,'Exercise list'!$C$5:$C$102,0),MATCH(P$5,'Exercise list'!$E$4:$X$4,0)),0)</f>
        <v>0</v>
      </c>
      <c r="Q16" s="1">
        <f>IFERROR(INDEX('Exercise list'!$E$5:$X$102,MATCH($C16,'Exercise list'!$C$5:$C$102,0),MATCH(Q$5,'Exercise list'!$E$4:$X$4,0)),0)</f>
        <v>0</v>
      </c>
      <c r="R16" s="1">
        <f>IFERROR(INDEX('Exercise list'!$E$5:$X$102,MATCH($C16,'Exercise list'!$C$5:$C$102,0),MATCH(R$5,'Exercise list'!$E$4:$X$4,0)),0)</f>
        <v>0</v>
      </c>
      <c r="S16" s="1">
        <f>IFERROR(INDEX('Exercise list'!$E$5:$X$102,MATCH($C16,'Exercise list'!$C$5:$C$102,0),MATCH(S$5,'Exercise list'!$E$4:$X$4,0)),0)</f>
        <v>0</v>
      </c>
      <c r="T16" s="1">
        <f>IFERROR(INDEX('Exercise list'!$E$5:$X$102,MATCH($C16,'Exercise list'!$C$5:$C$102,0),MATCH(T$5,'Exercise list'!$E$4:$X$4,0)),0)</f>
        <v>0</v>
      </c>
      <c r="U16" s="1">
        <f>IFERROR(INDEX('Exercise list'!$E$5:$X$102,MATCH($C16,'Exercise list'!$C$5:$C$102,0),MATCH(U$5,'Exercise list'!$E$4:$X$4,0)),0)</f>
        <v>0</v>
      </c>
      <c r="V16" s="1">
        <f>IFERROR(INDEX('Exercise list'!$E$5:$X$102,MATCH($C16,'Exercise list'!$C$5:$C$102,0),MATCH(V$5,'Exercise list'!$E$4:$X$4,0)),0)</f>
        <v>0</v>
      </c>
      <c r="W16" s="1">
        <f>IFERROR(INDEX('Exercise list'!$E$5:$X$102,MATCH($C16,'Exercise list'!$C$5:$C$102,0),MATCH(W$5,'Exercise list'!$E$4:$X$4,0)),0)</f>
        <v>0</v>
      </c>
      <c r="X16" s="1">
        <f>IFERROR(INDEX('Exercise list'!$E$5:$X$102,MATCH($C16,'Exercise list'!$C$5:$C$102,0),MATCH(X$5,'Exercise list'!$E$4:$X$4,0)),0)</f>
        <v>0</v>
      </c>
      <c r="Y16" s="1">
        <f>IFERROR(INDEX('Exercise list'!$E$5:$X$102,MATCH($C16,'Exercise list'!$C$5:$C$102,0),MATCH(Y$5,'Exercise list'!$E$4:$X$4,0)),0)</f>
        <v>0</v>
      </c>
      <c r="Z16" s="1">
        <f>IFERROR(INDEX('Exercise list'!$E$5:$X$102,MATCH($C16,'Exercise list'!$C$5:$C$102,0),MATCH(Z$5,'Exercise list'!$E$4:$X$4,0)),0)</f>
        <v>1</v>
      </c>
      <c r="AA16" s="1">
        <f>IFERROR(INDEX('Exercise list'!$E$5:$X$102,MATCH($C16,'Exercise list'!$C$5:$C$102,0),MATCH(AA$5,'Exercise list'!$E$4:$X$4,0)),0)</f>
        <v>0.8</v>
      </c>
      <c r="AB16" s="1">
        <f>IFERROR(INDEX('Exercise list'!$E$5:$X$102,MATCH($C16,'Exercise list'!$C$5:$C$102,0),MATCH(AB$5,'Exercise list'!$E$4:$X$4,0)),0)</f>
        <v>1</v>
      </c>
      <c r="AC16" s="1">
        <f>IFERROR(INDEX('Exercise list'!$E$5:$X$102,MATCH($C16,'Exercise list'!$C$5:$C$102,0),MATCH(AC$5,'Exercise list'!$E$4:$X$4,0)),0)</f>
        <v>0.5</v>
      </c>
      <c r="AD16" s="1">
        <f>IFERROR(INDEX('Exercise list'!$E$5:$X$102,MATCH($C16,'Exercise list'!$C$5:$C$102,0),MATCH(AD$5,'Exercise list'!$E$4:$X$4,0)),0)</f>
        <v>0</v>
      </c>
      <c r="AE16" s="1">
        <f>IFERROR(INDEX('Exercise list'!$E$5:$X$102,MATCH($C16,'Exercise list'!$C$5:$C$102,0),MATCH(AE$5,'Exercise list'!$E$4:$X$4,0)),0)</f>
        <v>0</v>
      </c>
      <c r="AF16" s="1">
        <f>IFERROR(INDEX('Exercise list'!$E$5:$X$102,MATCH($C16,'Exercise list'!$C$5:$C$102,0),MATCH(AF$5,'Exercise list'!$E$4:$X$4,0)),0)</f>
        <v>0</v>
      </c>
      <c r="AG16" s="1">
        <f>IFERROR(INDEX('Exercise list'!$E$5:$X$102,MATCH($C16,'Exercise list'!$C$5:$C$102,0),MATCH(AG$5,'Exercise list'!$E$4:$X$4,0)),0)</f>
        <v>0</v>
      </c>
      <c r="AH16" s="1">
        <f>IFERROR(INDEX('Exercise list'!$E$5:$X$102,MATCH($C16,'Exercise list'!$C$5:$C$102,0),MATCH(AH$5,'Exercise list'!$E$4:$X$4,0)),0)</f>
        <v>0</v>
      </c>
      <c r="AI16" s="1">
        <f>IFERROR(INDEX('Exercise list'!$E$5:$X$102,MATCH($C16,'Exercise list'!$C$5:$C$102,0),MATCH(AI$5,'Exercise list'!$E$4:$X$4,0)),0)</f>
        <v>0</v>
      </c>
      <c r="AJ16" s="1"/>
      <c r="AK16" s="1">
        <f>IF(OR($J16=1,COUNTIFS($A$5:$A15,"&gt;="&amp;$A16-1,$A$5:$A15,"&lt;="&amp;$A16,$B$5:$B15,$B16)&gt;0,MIN(1-'Exercise list'!E$2,IF($A16=$A15,AK15,1))-P16&lt;0),-1,MIN(1,IF($A16=$A15,AK15,1)-P16+$D$2))</f>
        <v>1</v>
      </c>
      <c r="AL16" s="1">
        <f>IF(OR($J16=1,COUNTIFS($A$5:$A15,"&gt;="&amp;$A16-1,$A$5:$A15,"&lt;="&amp;$A16,$B$5:$B15,$B16)&gt;0,MIN(1-'Exercise list'!F$2,IF($A16=$A15,AL15,1))-Q16&lt;0),-1,MIN(1,IF($A16=$A15,AL15,1)-Q16+$D$2))</f>
        <v>1</v>
      </c>
      <c r="AM16" s="1">
        <f>IF(OR($J16=1,COUNTIFS($A$5:$A15,"&gt;="&amp;$A16-1,$A$5:$A15,"&lt;="&amp;$A16,$B$5:$B15,$B16)&gt;0,MIN(1-'Exercise list'!G$2,IF($A16=$A15,AM15,1))-R16&lt;0),-1,MIN(1,IF($A16=$A15,AM15,1)-R16+$D$2))</f>
        <v>1</v>
      </c>
      <c r="AN16" s="1">
        <f>IF(OR($J16=1,COUNTIFS($A$5:$A15,"&gt;="&amp;$A16-1,$A$5:$A15,"&lt;="&amp;$A16,$B$5:$B15,$B16)&gt;0,MIN(1-'Exercise list'!H$2,IF($A16=$A15,AN15,1))-S16&lt;0),-1,MIN(1,IF($A16=$A15,AN15,1)-S16+$D$2))</f>
        <v>1</v>
      </c>
      <c r="AO16" s="1">
        <f>IF(OR($J16=1,COUNTIFS($A$5:$A15,"&gt;="&amp;$A16-1,$A$5:$A15,"&lt;="&amp;$A16,$B$5:$B15,$B16)&gt;0,MIN(1-'Exercise list'!I$2,IF($A16=$A15,AO15,1))-T16&lt;0),-1,MIN(1,IF($A16=$A15,AO15,1)-T16+$D$2))</f>
        <v>1</v>
      </c>
      <c r="AP16" s="1">
        <f>IF(OR($J16=1,COUNTIFS($A$5:$A15,"&gt;="&amp;$A16-1,$A$5:$A15,"&lt;="&amp;$A16,$B$5:$B15,$B16)&gt;0,MIN(1-'Exercise list'!J$2,IF($A16=$A15,AP15,1))-U16&lt;0),-1,MIN(1,IF($A16=$A15,AP15,1)-U16+$D$2))</f>
        <v>1</v>
      </c>
      <c r="AQ16" s="1">
        <f>IF(OR($J16=1,COUNTIFS($A$5:$A15,"&gt;="&amp;$A16-1,$A$5:$A15,"&lt;="&amp;$A16,$B$5:$B15,$B16)&gt;0,MIN(1-'Exercise list'!K$2,IF($A16=$A15,AQ15,1))-V16&lt;0),-1,MIN(1,IF($A16=$A15,AQ15,1)-V16+$D$2))</f>
        <v>1</v>
      </c>
      <c r="AR16" s="1">
        <f>IF(OR($J16=1,COUNTIFS($A$5:$A15,"&gt;="&amp;$A16-1,$A$5:$A15,"&lt;="&amp;$A16,$B$5:$B15,$B16)&gt;0,MIN(1-'Exercise list'!L$2,IF($A16=$A15,AR15,1))-W16&lt;0),-1,MIN(1,IF($A16=$A15,AR15,1)-W16+$D$2))</f>
        <v>1</v>
      </c>
      <c r="AS16" s="1">
        <f>IF(OR($J16=1,COUNTIFS($A$5:$A15,"&gt;="&amp;$A16-1,$A$5:$A15,"&lt;="&amp;$A16,$B$5:$B15,$B16)&gt;0,MIN(1-'Exercise list'!M$2,IF($A16=$A15,AS15,1))-X16&lt;0),-1,MIN(1,IF($A16=$A15,AS15,1)-X16+$D$2))</f>
        <v>1</v>
      </c>
      <c r="AT16" s="1">
        <f>IF(OR($J16=1,COUNTIFS($A$5:$A15,"&gt;="&amp;$A16-1,$A$5:$A15,"&lt;="&amp;$A16,$B$5:$B15,$B16)&gt;0,MIN(1-'Exercise list'!N$2,IF($A16=$A15,AT15,1))-Y16&lt;0),-1,MIN(1,IF($A16=$A15,AT15,1)-Y16+$D$2))</f>
        <v>1</v>
      </c>
      <c r="AU16" s="1">
        <f>IF(OR($J16=1,COUNTIFS($A$5:$A15,"&gt;="&amp;$A16-1,$A$5:$A15,"&lt;="&amp;$A16,$B$5:$B15,$B16)&gt;0,MIN(1-'Exercise list'!O$2,IF($A16=$A15,AU15,1))-Z16&lt;0),-1,MIN(1,IF($A16=$A15,AU15,1)-Z16+$D$2))</f>
        <v>1</v>
      </c>
      <c r="AV16" s="1">
        <f>IF(OR($J16=1,COUNTIFS($A$5:$A15,"&gt;="&amp;$A16-1,$A$5:$A15,"&lt;="&amp;$A16,$B$5:$B15,$B16)&gt;0,MIN(1-'Exercise list'!P$2,IF($A16=$A15,AV15,1))-AA16&lt;0),-1,MIN(1,IF($A16=$A15,AV15,1)-AA16+$D$2))</f>
        <v>1</v>
      </c>
      <c r="AW16" s="1">
        <f>IF(OR($J16=1,COUNTIFS($A$5:$A15,"&gt;="&amp;$A16-1,$A$5:$A15,"&lt;="&amp;$A16,$B$5:$B15,$B16)&gt;0,MIN(1-'Exercise list'!Q$2,IF($A16=$A15,AW15,1))-AB16&lt;0),-1,MIN(1,IF($A16=$A15,AW15,1)-AB16+$D$2))</f>
        <v>1</v>
      </c>
      <c r="AX16" s="1">
        <f>IF(OR($J16=1,COUNTIFS($A$5:$A15,"&gt;="&amp;$A16-1,$A$5:$A15,"&lt;="&amp;$A16,$B$5:$B15,$B16)&gt;0,MIN(1-'Exercise list'!R$2,IF($A16=$A15,AX15,1))-AC16&lt;0),-1,MIN(1,IF($A16=$A15,AX15,1)-AC16+$D$2))</f>
        <v>1</v>
      </c>
      <c r="AY16" s="1">
        <f>IF(OR($J16=1,COUNTIFS($A$5:$A15,"&gt;="&amp;$A16-1,$A$5:$A15,"&lt;="&amp;$A16,$B$5:$B15,$B16)&gt;0,MIN(1-'Exercise list'!S$2,IF($A16=$A15,AY15,1))-AD16&lt;0),-1,MIN(1,IF($A16=$A15,AY15,1)-AD16+$D$2))</f>
        <v>1</v>
      </c>
      <c r="AZ16" s="1">
        <f>IF(OR($J16=1,COUNTIFS($A$5:$A15,"&gt;="&amp;$A16-1,$A$5:$A15,"&lt;="&amp;$A16,$B$5:$B15,$B16)&gt;0,MIN(1-'Exercise list'!T$2,IF($A16=$A15,AZ15,1))-AE16&lt;0),-1,MIN(1,IF($A16=$A15,AZ15,1)-AE16+$D$2))</f>
        <v>1</v>
      </c>
      <c r="BA16" s="1">
        <f>IF(OR($J16=1,COUNTIFS($A$5:$A15,"&gt;="&amp;$A16-1,$A$5:$A15,"&lt;="&amp;$A16,$B$5:$B15,$B16)&gt;0,MIN(1-'Exercise list'!U$2,IF($A16=$A15,BA15,1))-AF16&lt;0),-1,MIN(1,IF($A16=$A15,BA15,1)-AF16+$D$2))</f>
        <v>1</v>
      </c>
      <c r="BB16" s="1">
        <f>IF(OR($J16=1,COUNTIFS($A$5:$A15,"&gt;="&amp;$A16-1,$A$5:$A15,"&lt;="&amp;$A16,$B$5:$B15,$B16)&gt;0,MIN(1-'Exercise list'!V$2,IF($A16=$A15,BB15,1))-AG16&lt;0),-1,MIN(1,IF($A16=$A15,BB15,1)-AG16+$D$2))</f>
        <v>1</v>
      </c>
      <c r="BC16" s="1">
        <f>IF(OR($J16=1,COUNTIFS($A$5:$A15,"&gt;="&amp;$A16-1,$A$5:$A15,"&lt;="&amp;$A16,$B$5:$B15,$B16)&gt;0,MIN(1-'Exercise list'!W$2,IF($A16=$A15,BC15,1))-AH16&lt;0),-1,MIN(1,IF($A16=$A15,BC15,1)-AH16+$D$2))</f>
        <v>1</v>
      </c>
      <c r="BD16" s="1">
        <f>IF(OR($J16=1,COUNTIFS($A$5:$A15,"&gt;="&amp;$A16-1,$A$5:$A15,"&lt;="&amp;$A16,$B$5:$B15,$B16)&gt;0,MIN(1-'Exercise list'!X$2,IF($A16=$A15,BD15,1))-AI16&lt;0),-1,MIN(1,IF($A16=$A15,BD15,1)-AI16+$D$2))</f>
        <v>1</v>
      </c>
      <c r="BE16" s="1"/>
      <c r="BF16" s="43">
        <f t="shared" si="24"/>
        <v>8.82253125E-2</v>
      </c>
      <c r="BG16" s="43">
        <f t="shared" si="25"/>
        <v>0</v>
      </c>
      <c r="BH16" s="43">
        <f t="shared" si="26"/>
        <v>0</v>
      </c>
      <c r="BI16" s="43">
        <f t="shared" si="27"/>
        <v>0</v>
      </c>
      <c r="BJ16" s="43">
        <f t="shared" si="28"/>
        <v>0.66342043128906225</v>
      </c>
      <c r="BK16" s="43">
        <f t="shared" si="29"/>
        <v>3.1587499999999991E-2</v>
      </c>
      <c r="BL16" s="43">
        <f t="shared" si="30"/>
        <v>6.0975156249999989E-2</v>
      </c>
      <c r="BM16" s="43">
        <f t="shared" si="31"/>
        <v>0</v>
      </c>
      <c r="BN16" s="43">
        <f t="shared" si="32"/>
        <v>3.675459453124999E-2</v>
      </c>
      <c r="BO16" s="43">
        <f t="shared" si="33"/>
        <v>6.4167749999999996E-2</v>
      </c>
      <c r="BP16" s="43">
        <f t="shared" si="34"/>
        <v>0.75210947816406237</v>
      </c>
      <c r="BQ16" s="43">
        <f t="shared" si="35"/>
        <v>7.0951237500000014E-2</v>
      </c>
      <c r="BR16" s="43">
        <f t="shared" si="36"/>
        <v>0.44134938140234359</v>
      </c>
      <c r="BS16" s="43">
        <f t="shared" si="37"/>
        <v>7.926138824218748E-2</v>
      </c>
      <c r="BT16" s="43">
        <f t="shared" si="38"/>
        <v>0.39805225877343736</v>
      </c>
      <c r="BU16" s="43">
        <f t="shared" si="39"/>
        <v>0.46439430190234349</v>
      </c>
      <c r="BV16" s="43">
        <f t="shared" si="40"/>
        <v>0.66342043128906225</v>
      </c>
      <c r="BW16" s="43">
        <f t="shared" si="41"/>
        <v>0</v>
      </c>
      <c r="BX16" s="43">
        <f t="shared" si="42"/>
        <v>4.2868749999999997E-2</v>
      </c>
      <c r="BY16" s="43">
        <f t="shared" si="43"/>
        <v>0</v>
      </c>
      <c r="BZ16" s="1"/>
      <c r="CA16" s="43">
        <f t="shared" si="4"/>
        <v>0.19751824096990733</v>
      </c>
      <c r="CB16" s="43">
        <f t="shared" si="5"/>
        <v>0.28574355346990732</v>
      </c>
      <c r="CC16" s="43">
        <f t="shared" si="6"/>
        <v>0.14287177673495366</v>
      </c>
      <c r="CD16" s="43">
        <f t="shared" si="7"/>
        <v>0.14287177673495366</v>
      </c>
      <c r="CE16" s="43">
        <f t="shared" si="8"/>
        <v>0</v>
      </c>
      <c r="CF16" s="43">
        <f t="shared" si="9"/>
        <v>0.39702783020486104</v>
      </c>
      <c r="CG16" s="43">
        <f t="shared" si="10"/>
        <v>8.1896620484953664E-2</v>
      </c>
      <c r="CH16" s="43">
        <f t="shared" si="11"/>
        <v>0.14287177673495366</v>
      </c>
      <c r="CI16" s="43">
        <f t="shared" si="12"/>
        <v>0.24898895893865733</v>
      </c>
      <c r="CJ16" s="43">
        <f t="shared" si="13"/>
        <v>7.8704026734953664E-2</v>
      </c>
      <c r="CK16" s="43">
        <f t="shared" si="14"/>
        <v>0</v>
      </c>
      <c r="CL16" s="43">
        <f t="shared" si="15"/>
        <v>7.1920539234953645E-2</v>
      </c>
      <c r="CM16" s="43">
        <f t="shared" si="16"/>
        <v>0</v>
      </c>
      <c r="CN16" s="43">
        <f t="shared" si="17"/>
        <v>6.3610388492766179E-2</v>
      </c>
      <c r="CO16" s="43">
        <f t="shared" si="18"/>
        <v>0</v>
      </c>
      <c r="CP16" s="43">
        <f t="shared" si="19"/>
        <v>0</v>
      </c>
      <c r="CQ16" s="43">
        <f t="shared" si="20"/>
        <v>0</v>
      </c>
      <c r="CR16" s="43">
        <f t="shared" si="21"/>
        <v>0.14287177673495366</v>
      </c>
      <c r="CS16" s="43">
        <f t="shared" si="22"/>
        <v>0.10000302673495366</v>
      </c>
      <c r="CT16" s="43">
        <f t="shared" si="23"/>
        <v>0.14287177673495366</v>
      </c>
      <c r="CU16" s="1"/>
    </row>
    <row r="17" spans="1:99" x14ac:dyDescent="0.25">
      <c r="A17" s="112">
        <v>45049</v>
      </c>
      <c r="B17" s="14">
        <v>7</v>
      </c>
      <c r="C17" s="15" t="s">
        <v>115</v>
      </c>
      <c r="D17" s="12">
        <f t="shared" si="0"/>
        <v>1</v>
      </c>
      <c r="E17" s="32">
        <f t="shared" si="1"/>
        <v>1.5065531962736236</v>
      </c>
      <c r="F17" s="63" cm="1">
        <f t="array" ref="F17">IF(B17="","",0.1+IFERROR(INDEX($F$6:$F16,SUMPRODUCT(MAX(ROW($C$6:$C16)*($C17=$C$6:$C16))-ROW($A$5)))*0.9^($A17-INDEX($A$6:A16,SUMPRODUCT(MAX(ROW($C$6:$C16)*($C17=$C$6:$C16))-ROW($A$5)))),0))</f>
        <v>0.1</v>
      </c>
      <c r="G17" s="64">
        <f>INDEX('Exercise list'!$Y$5:$Y$102,MATCH(C17,'Exercise list'!$C$5:$C$102,0))</f>
        <v>2</v>
      </c>
      <c r="H17" s="115">
        <f t="shared" si="2"/>
        <v>0.15358413736071791</v>
      </c>
      <c r="I17" s="6">
        <f t="shared" si="44"/>
        <v>2</v>
      </c>
      <c r="J17" s="6">
        <v>0</v>
      </c>
      <c r="K17" s="12"/>
      <c r="L17" s="74" t="str" cm="1">
        <f t="array" ref="L17">IF(K17="","",INDEX('Exercise list'!$C$5:$C$102,K17))</f>
        <v/>
      </c>
      <c r="M17" s="6"/>
      <c r="N17" s="75" t="str" cm="1">
        <f t="array" ref="N17">IF(M17="","",INDEX('Exercise list'!$C$5:$C$102,M17))</f>
        <v/>
      </c>
      <c r="P17">
        <f>IFERROR(INDEX('Exercise list'!$E$5:$X$102,MATCH($C17,'Exercise list'!$C$5:$C$102,0),MATCH(P$5,'Exercise list'!$E$4:$X$4,0)),0)</f>
        <v>0</v>
      </c>
      <c r="Q17">
        <f>IFERROR(INDEX('Exercise list'!$E$5:$X$102,MATCH($C17,'Exercise list'!$C$5:$C$102,0),MATCH(Q$5,'Exercise list'!$E$4:$X$4,0)),0)</f>
        <v>0</v>
      </c>
      <c r="R17">
        <f>IFERROR(INDEX('Exercise list'!$E$5:$X$102,MATCH($C17,'Exercise list'!$C$5:$C$102,0),MATCH(R$5,'Exercise list'!$E$4:$X$4,0)),0)</f>
        <v>0</v>
      </c>
      <c r="S17">
        <f>IFERROR(INDEX('Exercise list'!$E$5:$X$102,MATCH($C17,'Exercise list'!$C$5:$C$102,0),MATCH(S$5,'Exercise list'!$E$4:$X$4,0)),0)</f>
        <v>0</v>
      </c>
      <c r="T17">
        <f>IFERROR(INDEX('Exercise list'!$E$5:$X$102,MATCH($C17,'Exercise list'!$C$5:$C$102,0),MATCH(T$5,'Exercise list'!$E$4:$X$4,0)),0)</f>
        <v>0.5</v>
      </c>
      <c r="U17">
        <f>IFERROR(INDEX('Exercise list'!$E$5:$X$102,MATCH($C17,'Exercise list'!$C$5:$C$102,0),MATCH(U$5,'Exercise list'!$E$4:$X$4,0)),0)</f>
        <v>0</v>
      </c>
      <c r="V17">
        <f>IFERROR(INDEX('Exercise list'!$E$5:$X$102,MATCH($C17,'Exercise list'!$C$5:$C$102,0),MATCH(V$5,'Exercise list'!$E$4:$X$4,0)),0)</f>
        <v>0</v>
      </c>
      <c r="W17">
        <f>IFERROR(INDEX('Exercise list'!$E$5:$X$102,MATCH($C17,'Exercise list'!$C$5:$C$102,0),MATCH(W$5,'Exercise list'!$E$4:$X$4,0)),0)</f>
        <v>0</v>
      </c>
      <c r="X17">
        <f>IFERROR(INDEX('Exercise list'!$E$5:$X$102,MATCH($C17,'Exercise list'!$C$5:$C$102,0),MATCH(X$5,'Exercise list'!$E$4:$X$4,0)),0)</f>
        <v>0</v>
      </c>
      <c r="Y17">
        <f>IFERROR(INDEX('Exercise list'!$E$5:$X$102,MATCH($C17,'Exercise list'!$C$5:$C$102,0),MATCH(Y$5,'Exercise list'!$E$4:$X$4,0)),0)</f>
        <v>0</v>
      </c>
      <c r="Z17">
        <f>IFERROR(INDEX('Exercise list'!$E$5:$X$102,MATCH($C17,'Exercise list'!$C$5:$C$102,0),MATCH(Z$5,'Exercise list'!$E$4:$X$4,0)),0)</f>
        <v>0</v>
      </c>
      <c r="AA17">
        <f>IFERROR(INDEX('Exercise list'!$E$5:$X$102,MATCH($C17,'Exercise list'!$C$5:$C$102,0),MATCH(AA$5,'Exercise list'!$E$4:$X$4,0)),0)</f>
        <v>0</v>
      </c>
      <c r="AB17">
        <f>IFERROR(INDEX('Exercise list'!$E$5:$X$102,MATCH($C17,'Exercise list'!$C$5:$C$102,0),MATCH(AB$5,'Exercise list'!$E$4:$X$4,0)),0)</f>
        <v>0</v>
      </c>
      <c r="AC17">
        <f>IFERROR(INDEX('Exercise list'!$E$5:$X$102,MATCH($C17,'Exercise list'!$C$5:$C$102,0),MATCH(AC$5,'Exercise list'!$E$4:$X$4,0)),0)</f>
        <v>0</v>
      </c>
      <c r="AD17">
        <f>IFERROR(INDEX('Exercise list'!$E$5:$X$102,MATCH($C17,'Exercise list'!$C$5:$C$102,0),MATCH(AD$5,'Exercise list'!$E$4:$X$4,0)),0)</f>
        <v>0.9</v>
      </c>
      <c r="AE17">
        <f>IFERROR(INDEX('Exercise list'!$E$5:$X$102,MATCH($C17,'Exercise list'!$C$5:$C$102,0),MATCH(AE$5,'Exercise list'!$E$4:$X$4,0)),0)</f>
        <v>0.7</v>
      </c>
      <c r="AF17">
        <f>IFERROR(INDEX('Exercise list'!$E$5:$X$102,MATCH($C17,'Exercise list'!$C$5:$C$102,0),MATCH(AF$5,'Exercise list'!$E$4:$X$4,0)),0)</f>
        <v>0.8</v>
      </c>
      <c r="AG17">
        <f>IFERROR(INDEX('Exercise list'!$E$5:$X$102,MATCH($C17,'Exercise list'!$C$5:$C$102,0),MATCH(AG$5,'Exercise list'!$E$4:$X$4,0)),0)</f>
        <v>0.5</v>
      </c>
      <c r="AH17">
        <f>IFERROR(INDEX('Exercise list'!$E$5:$X$102,MATCH($C17,'Exercise list'!$C$5:$C$102,0),MATCH(AH$5,'Exercise list'!$E$4:$X$4,0)),0)</f>
        <v>0.6</v>
      </c>
      <c r="AI17">
        <f>IFERROR(INDEX('Exercise list'!$E$5:$X$102,MATCH($C17,'Exercise list'!$C$5:$C$102,0),MATCH(AI$5,'Exercise list'!$E$4:$X$4,0)),0)</f>
        <v>0.6</v>
      </c>
      <c r="AK17">
        <f>IF(OR($J17=1,COUNTIFS($A$5:$A16,"&gt;="&amp;$A17-1,$A$5:$A16,"&lt;="&amp;$A17,$B$5:$B16,$B17)&gt;0,MIN(1-'Exercise list'!E$2,IF($A17=$A16,AK16,1))-P17&lt;0),-1,MIN(1,IF($A17=$A16,AK16,1)-P17+$D$2))</f>
        <v>1</v>
      </c>
      <c r="AL17">
        <f>IF(OR($J17=1,COUNTIFS($A$5:$A16,"&gt;="&amp;$A17-1,$A$5:$A16,"&lt;="&amp;$A17,$B$5:$B16,$B17)&gt;0,MIN(1-'Exercise list'!F$2,IF($A17=$A16,AL16,1))-Q17&lt;0),-1,MIN(1,IF($A17=$A16,AL16,1)-Q17+$D$2))</f>
        <v>1</v>
      </c>
      <c r="AM17">
        <f>IF(OR($J17=1,COUNTIFS($A$5:$A16,"&gt;="&amp;$A17-1,$A$5:$A16,"&lt;="&amp;$A17,$B$5:$B16,$B17)&gt;0,MIN(1-'Exercise list'!G$2,IF($A17=$A16,AM16,1))-R17&lt;0),-1,MIN(1,IF($A17=$A16,AM16,1)-R17+$D$2))</f>
        <v>1</v>
      </c>
      <c r="AN17">
        <f>IF(OR($J17=1,COUNTIFS($A$5:$A16,"&gt;="&amp;$A17-1,$A$5:$A16,"&lt;="&amp;$A17,$B$5:$B16,$B17)&gt;0,MIN(1-'Exercise list'!H$2,IF($A17=$A16,AN16,1))-S17&lt;0),-1,MIN(1,IF($A17=$A16,AN16,1)-S17+$D$2))</f>
        <v>1</v>
      </c>
      <c r="AO17">
        <f>IF(OR($J17=1,COUNTIFS($A$5:$A16,"&gt;="&amp;$A17-1,$A$5:$A16,"&lt;="&amp;$A17,$B$5:$B16,$B17)&gt;0,MIN(1-'Exercise list'!I$2,IF($A17=$A16,AO16,1))-T17&lt;0),-1,MIN(1,IF($A17=$A16,AO16,1)-T17+$D$2))</f>
        <v>1</v>
      </c>
      <c r="AP17">
        <f>IF(OR($J17=1,COUNTIFS($A$5:$A16,"&gt;="&amp;$A17-1,$A$5:$A16,"&lt;="&amp;$A17,$B$5:$B16,$B17)&gt;0,MIN(1-'Exercise list'!J$2,IF($A17=$A16,AP16,1))-U17&lt;0),-1,MIN(1,IF($A17=$A16,AP16,1)-U17+$D$2))</f>
        <v>1</v>
      </c>
      <c r="AQ17">
        <f>IF(OR($J17=1,COUNTIFS($A$5:$A16,"&gt;="&amp;$A17-1,$A$5:$A16,"&lt;="&amp;$A17,$B$5:$B16,$B17)&gt;0,MIN(1-'Exercise list'!K$2,IF($A17=$A16,AQ16,1))-V17&lt;0),-1,MIN(1,IF($A17=$A16,AQ16,1)-V17+$D$2))</f>
        <v>1</v>
      </c>
      <c r="AR17">
        <f>IF(OR($J17=1,COUNTIFS($A$5:$A16,"&gt;="&amp;$A17-1,$A$5:$A16,"&lt;="&amp;$A17,$B$5:$B16,$B17)&gt;0,MIN(1-'Exercise list'!L$2,IF($A17=$A16,AR16,1))-W17&lt;0),-1,MIN(1,IF($A17=$A16,AR16,1)-W17+$D$2))</f>
        <v>1</v>
      </c>
      <c r="AS17">
        <f>IF(OR($J17=1,COUNTIFS($A$5:$A16,"&gt;="&amp;$A17-1,$A$5:$A16,"&lt;="&amp;$A17,$B$5:$B16,$B17)&gt;0,MIN(1-'Exercise list'!M$2,IF($A17=$A16,AS16,1))-X17&lt;0),-1,MIN(1,IF($A17=$A16,AS16,1)-X17+$D$2))</f>
        <v>1</v>
      </c>
      <c r="AT17">
        <f>IF(OR($J17=1,COUNTIFS($A$5:$A16,"&gt;="&amp;$A17-1,$A$5:$A16,"&lt;="&amp;$A17,$B$5:$B16,$B17)&gt;0,MIN(1-'Exercise list'!N$2,IF($A17=$A16,AT16,1))-Y17&lt;0),-1,MIN(1,IF($A17=$A16,AT16,1)-Y17+$D$2))</f>
        <v>1</v>
      </c>
      <c r="AU17">
        <f>IF(OR($J17=1,COUNTIFS($A$5:$A16,"&gt;="&amp;$A17-1,$A$5:$A16,"&lt;="&amp;$A17,$B$5:$B16,$B17)&gt;0,MIN(1-'Exercise list'!O$2,IF($A17=$A16,AU16,1))-Z17&lt;0),-1,MIN(1,IF($A17=$A16,AU16,1)-Z17+$D$2))</f>
        <v>1</v>
      </c>
      <c r="AV17">
        <f>IF(OR($J17=1,COUNTIFS($A$5:$A16,"&gt;="&amp;$A17-1,$A$5:$A16,"&lt;="&amp;$A17,$B$5:$B16,$B17)&gt;0,MIN(1-'Exercise list'!P$2,IF($A17=$A16,AV16,1))-AA17&lt;0),-1,MIN(1,IF($A17=$A16,AV16,1)-AA17+$D$2))</f>
        <v>1</v>
      </c>
      <c r="AW17">
        <f>IF(OR($J17=1,COUNTIFS($A$5:$A16,"&gt;="&amp;$A17-1,$A$5:$A16,"&lt;="&amp;$A17,$B$5:$B16,$B17)&gt;0,MIN(1-'Exercise list'!Q$2,IF($A17=$A16,AW16,1))-AB17&lt;0),-1,MIN(1,IF($A17=$A16,AW16,1)-AB17+$D$2))</f>
        <v>1</v>
      </c>
      <c r="AX17">
        <f>IF(OR($J17=1,COUNTIFS($A$5:$A16,"&gt;="&amp;$A17-1,$A$5:$A16,"&lt;="&amp;$A17,$B$5:$B16,$B17)&gt;0,MIN(1-'Exercise list'!R$2,IF($A17=$A16,AX16,1))-AC17&lt;0),-1,MIN(1,IF($A17=$A16,AX16,1)-AC17+$D$2))</f>
        <v>1</v>
      </c>
      <c r="AY17">
        <f>IF(OR($J17=1,COUNTIFS($A$5:$A16,"&gt;="&amp;$A17-1,$A$5:$A16,"&lt;="&amp;$A17,$B$5:$B16,$B17)&gt;0,MIN(1-'Exercise list'!S$2,IF($A17=$A16,AY16,1))-AD17&lt;0),-1,MIN(1,IF($A17=$A16,AY16,1)-AD17+$D$2))</f>
        <v>1</v>
      </c>
      <c r="AZ17">
        <f>IF(OR($J17=1,COUNTIFS($A$5:$A16,"&gt;="&amp;$A17-1,$A$5:$A16,"&lt;="&amp;$A17,$B$5:$B16,$B17)&gt;0,MIN(1-'Exercise list'!T$2,IF($A17=$A16,AZ16,1))-AE17&lt;0),-1,MIN(1,IF($A17=$A16,AZ16,1)-AE17+$D$2))</f>
        <v>1</v>
      </c>
      <c r="BA17">
        <f>IF(OR($J17=1,COUNTIFS($A$5:$A16,"&gt;="&amp;$A17-1,$A$5:$A16,"&lt;="&amp;$A17,$B$5:$B16,$B17)&gt;0,MIN(1-'Exercise list'!U$2,IF($A17=$A16,BA16,1))-AF17&lt;0),-1,MIN(1,IF($A17=$A16,BA16,1)-AF17+$D$2))</f>
        <v>1</v>
      </c>
      <c r="BB17">
        <f>IF(OR($J17=1,COUNTIFS($A$5:$A16,"&gt;="&amp;$A17-1,$A$5:$A16,"&lt;="&amp;$A17,$B$5:$B16,$B17)&gt;0,MIN(1-'Exercise list'!V$2,IF($A17=$A16,BB16,1))-AG17&lt;0),-1,MIN(1,IF($A17=$A16,BB16,1)-AG17+$D$2))</f>
        <v>1</v>
      </c>
      <c r="BC17">
        <f>IF(OR($J17=1,COUNTIFS($A$5:$A16,"&gt;="&amp;$A17-1,$A$5:$A16,"&lt;="&amp;$A17,$B$5:$B16,$B17)&gt;0,MIN(1-'Exercise list'!W$2,IF($A17=$A16,BC16,1))-AH17&lt;0),-1,MIN(1,IF($A17=$A16,BC16,1)-AH17+$D$2))</f>
        <v>1</v>
      </c>
      <c r="BD17">
        <f>IF(OR($J17=1,COUNTIFS($A$5:$A16,"&gt;="&amp;$A17-1,$A$5:$A16,"&lt;="&amp;$A17,$B$5:$B16,$B17)&gt;0,MIN(1-'Exercise list'!X$2,IF($A17=$A16,BD16,1))-AI17&lt;0),-1,MIN(1,IF($A17=$A16,BD16,1)-AI17+$D$2))</f>
        <v>1</v>
      </c>
      <c r="BF17" s="44">
        <f t="shared" si="24"/>
        <v>8.3814046874999992E-2</v>
      </c>
      <c r="BG17" s="44">
        <f t="shared" si="25"/>
        <v>0</v>
      </c>
      <c r="BH17" s="44">
        <f t="shared" si="26"/>
        <v>0</v>
      </c>
      <c r="BI17" s="44">
        <f t="shared" si="27"/>
        <v>0</v>
      </c>
      <c r="BJ17" s="44">
        <f t="shared" si="28"/>
        <v>0.6552494097246091</v>
      </c>
      <c r="BK17" s="44">
        <f t="shared" si="29"/>
        <v>3.000812499999999E-2</v>
      </c>
      <c r="BL17" s="44">
        <f t="shared" si="30"/>
        <v>5.7926398437499985E-2</v>
      </c>
      <c r="BM17" s="44">
        <f t="shared" si="31"/>
        <v>0</v>
      </c>
      <c r="BN17" s="44">
        <f t="shared" si="32"/>
        <v>3.4916864804687489E-2</v>
      </c>
      <c r="BO17" s="44">
        <f t="shared" si="33"/>
        <v>6.0959362499999996E-2</v>
      </c>
      <c r="BP17" s="44">
        <f t="shared" si="34"/>
        <v>0.71450400425585925</v>
      </c>
      <c r="BQ17" s="44">
        <f t="shared" si="35"/>
        <v>6.7403675625000006E-2</v>
      </c>
      <c r="BR17" s="44">
        <f t="shared" si="36"/>
        <v>0.41928191233222639</v>
      </c>
      <c r="BS17" s="44">
        <f t="shared" si="37"/>
        <v>7.5298318830078106E-2</v>
      </c>
      <c r="BT17" s="44">
        <f t="shared" si="38"/>
        <v>0.42314964583476544</v>
      </c>
      <c r="BU17" s="44">
        <f t="shared" si="39"/>
        <v>0.47617458680722624</v>
      </c>
      <c r="BV17" s="44">
        <f t="shared" si="40"/>
        <v>0.67024940972460911</v>
      </c>
      <c r="BW17" s="44">
        <f t="shared" si="41"/>
        <v>2.5000000000000001E-2</v>
      </c>
      <c r="BX17" s="44">
        <f t="shared" si="42"/>
        <v>7.0725312499999998E-2</v>
      </c>
      <c r="BY17" s="44">
        <f t="shared" si="43"/>
        <v>0.03</v>
      </c>
      <c r="CA17" s="44">
        <f t="shared" si="4"/>
        <v>0.20467936595844899</v>
      </c>
      <c r="CB17" s="44">
        <f t="shared" si="5"/>
        <v>0.28849341283344898</v>
      </c>
      <c r="CC17" s="44">
        <f t="shared" si="6"/>
        <v>0.14424670641672449</v>
      </c>
      <c r="CD17" s="44">
        <f t="shared" si="7"/>
        <v>0.14424670641672449</v>
      </c>
      <c r="CE17" s="44">
        <f t="shared" si="8"/>
        <v>0</v>
      </c>
      <c r="CF17" s="44">
        <f t="shared" si="9"/>
        <v>0.40273199425017353</v>
      </c>
      <c r="CG17" s="44">
        <f t="shared" si="10"/>
        <v>8.6320307979224506E-2</v>
      </c>
      <c r="CH17" s="44">
        <f t="shared" si="11"/>
        <v>0.14424670641672449</v>
      </c>
      <c r="CI17" s="44">
        <f t="shared" si="12"/>
        <v>0.25357654802876151</v>
      </c>
      <c r="CJ17" s="44">
        <f t="shared" si="13"/>
        <v>8.3287343916724488E-2</v>
      </c>
      <c r="CK17" s="44">
        <f t="shared" si="14"/>
        <v>0</v>
      </c>
      <c r="CL17" s="44">
        <f t="shared" si="15"/>
        <v>7.6843030791724484E-2</v>
      </c>
      <c r="CM17" s="44">
        <f t="shared" si="16"/>
        <v>0</v>
      </c>
      <c r="CN17" s="44">
        <f t="shared" si="17"/>
        <v>6.8948387586646384E-2</v>
      </c>
      <c r="CO17" s="44">
        <f t="shared" si="18"/>
        <v>0</v>
      </c>
      <c r="CP17" s="44">
        <f t="shared" si="19"/>
        <v>0</v>
      </c>
      <c r="CQ17" s="44">
        <f t="shared" si="20"/>
        <v>0</v>
      </c>
      <c r="CR17" s="44">
        <f t="shared" si="21"/>
        <v>0.1192467064167245</v>
      </c>
      <c r="CS17" s="44">
        <f t="shared" si="22"/>
        <v>7.3521393916724492E-2</v>
      </c>
      <c r="CT17" s="44">
        <f t="shared" si="23"/>
        <v>0.11424670641672449</v>
      </c>
    </row>
    <row r="18" spans="1:99" x14ac:dyDescent="0.25">
      <c r="A18" s="112">
        <v>45049</v>
      </c>
      <c r="B18" s="14">
        <v>13</v>
      </c>
      <c r="C18" s="15" t="s">
        <v>122</v>
      </c>
      <c r="D18" s="12">
        <f t="shared" si="0"/>
        <v>1</v>
      </c>
      <c r="E18" s="32">
        <f t="shared" si="1"/>
        <v>2.3694354854263531</v>
      </c>
      <c r="F18" s="63" cm="1">
        <f t="array" ref="F18">IF(B18="","",0.1+IFERROR(INDEX($F$6:$F17,SUMPRODUCT(MAX(ROW($C$6:$C17)*($C18=$C$6:$C17))-ROW($A$5)))*0.9^($A18-INDEX($A$6:A17,SUMPRODUCT(MAX(ROW($C$6:$C17)*($C18=$C$6:$C17))-ROW($A$5)))),0))</f>
        <v>0.1</v>
      </c>
      <c r="G18" s="64">
        <f>INDEX('Exercise list'!$Y$5:$Y$102,MATCH(C18,'Exercise list'!$C$5:$C$102,0))</f>
        <v>3</v>
      </c>
      <c r="H18" s="115">
        <f t="shared" si="2"/>
        <v>0.14606066604249868</v>
      </c>
      <c r="I18" s="6">
        <f t="shared" si="44"/>
        <v>3</v>
      </c>
      <c r="J18" s="6">
        <v>0</v>
      </c>
      <c r="K18" s="12"/>
      <c r="L18" s="74" t="str" cm="1">
        <f t="array" ref="L18">IF(K18="","",INDEX('Exercise list'!$C$5:$C$102,K18))</f>
        <v/>
      </c>
      <c r="M18" s="6"/>
      <c r="N18" s="75" t="str" cm="1">
        <f t="array" ref="N18">IF(M18="","",INDEX('Exercise list'!$C$5:$C$102,M18))</f>
        <v/>
      </c>
      <c r="P18">
        <f>IFERROR(INDEX('Exercise list'!$E$5:$X$102,MATCH($C18,'Exercise list'!$C$5:$C$102,0),MATCH(P$5,'Exercise list'!$E$4:$X$4,0)),0)</f>
        <v>0</v>
      </c>
      <c r="Q18">
        <f>IFERROR(INDEX('Exercise list'!$E$5:$X$102,MATCH($C18,'Exercise list'!$C$5:$C$102,0),MATCH(Q$5,'Exercise list'!$E$4:$X$4,0)),0)</f>
        <v>1</v>
      </c>
      <c r="R18">
        <f>IFERROR(INDEX('Exercise list'!$E$5:$X$102,MATCH($C18,'Exercise list'!$C$5:$C$102,0),MATCH(R$5,'Exercise list'!$E$4:$X$4,0)),0)</f>
        <v>0.7</v>
      </c>
      <c r="S18">
        <f>IFERROR(INDEX('Exercise list'!$E$5:$X$102,MATCH($C18,'Exercise list'!$C$5:$C$102,0),MATCH(S$5,'Exercise list'!$E$4:$X$4,0)),0)</f>
        <v>0.7</v>
      </c>
      <c r="T18">
        <f>IFERROR(INDEX('Exercise list'!$E$5:$X$102,MATCH($C18,'Exercise list'!$C$5:$C$102,0),MATCH(T$5,'Exercise list'!$E$4:$X$4,0)),0)</f>
        <v>0.8</v>
      </c>
      <c r="U18">
        <f>IFERROR(INDEX('Exercise list'!$E$5:$X$102,MATCH($C18,'Exercise list'!$C$5:$C$102,0),MATCH(U$5,'Exercise list'!$E$4:$X$4,0)),0)</f>
        <v>0</v>
      </c>
      <c r="V18">
        <f>IFERROR(INDEX('Exercise list'!$E$5:$X$102,MATCH($C18,'Exercise list'!$C$5:$C$102,0),MATCH(V$5,'Exercise list'!$E$4:$X$4,0)),0)</f>
        <v>0</v>
      </c>
      <c r="W18">
        <f>IFERROR(INDEX('Exercise list'!$E$5:$X$102,MATCH($C18,'Exercise list'!$C$5:$C$102,0),MATCH(W$5,'Exercise list'!$E$4:$X$4,0)),0)</f>
        <v>0</v>
      </c>
      <c r="X18">
        <f>IFERROR(INDEX('Exercise list'!$E$5:$X$102,MATCH($C18,'Exercise list'!$C$5:$C$102,0),MATCH(X$5,'Exercise list'!$E$4:$X$4,0)),0)</f>
        <v>0.5</v>
      </c>
      <c r="Y18">
        <f>IFERROR(INDEX('Exercise list'!$E$5:$X$102,MATCH($C18,'Exercise list'!$C$5:$C$102,0),MATCH(Y$5,'Exercise list'!$E$4:$X$4,0)),0)</f>
        <v>0</v>
      </c>
      <c r="Z18">
        <f>IFERROR(INDEX('Exercise list'!$E$5:$X$102,MATCH($C18,'Exercise list'!$C$5:$C$102,0),MATCH(Z$5,'Exercise list'!$E$4:$X$4,0)),0)</f>
        <v>0.5</v>
      </c>
      <c r="AA18">
        <f>IFERROR(INDEX('Exercise list'!$E$5:$X$102,MATCH($C18,'Exercise list'!$C$5:$C$102,0),MATCH(AA$5,'Exercise list'!$E$4:$X$4,0)),0)</f>
        <v>0</v>
      </c>
      <c r="AB18">
        <f>IFERROR(INDEX('Exercise list'!$E$5:$X$102,MATCH($C18,'Exercise list'!$C$5:$C$102,0),MATCH(AB$5,'Exercise list'!$E$4:$X$4,0)),0)</f>
        <v>0</v>
      </c>
      <c r="AC18">
        <f>IFERROR(INDEX('Exercise list'!$E$5:$X$102,MATCH($C18,'Exercise list'!$C$5:$C$102,0),MATCH(AC$5,'Exercise list'!$E$4:$X$4,0)),0)</f>
        <v>0</v>
      </c>
      <c r="AD18">
        <f>IFERROR(INDEX('Exercise list'!$E$5:$X$102,MATCH($C18,'Exercise list'!$C$5:$C$102,0),MATCH(AD$5,'Exercise list'!$E$4:$X$4,0)),0)</f>
        <v>0</v>
      </c>
      <c r="AE18">
        <f>IFERROR(INDEX('Exercise list'!$E$5:$X$102,MATCH($C18,'Exercise list'!$C$5:$C$102,0),MATCH(AE$5,'Exercise list'!$E$4:$X$4,0)),0)</f>
        <v>0</v>
      </c>
      <c r="AF18">
        <f>IFERROR(INDEX('Exercise list'!$E$5:$X$102,MATCH($C18,'Exercise list'!$C$5:$C$102,0),MATCH(AF$5,'Exercise list'!$E$4:$X$4,0)),0)</f>
        <v>0</v>
      </c>
      <c r="AG18">
        <f>IFERROR(INDEX('Exercise list'!$E$5:$X$102,MATCH($C18,'Exercise list'!$C$5:$C$102,0),MATCH(AG$5,'Exercise list'!$E$4:$X$4,0)),0)</f>
        <v>0</v>
      </c>
      <c r="AH18">
        <f>IFERROR(INDEX('Exercise list'!$E$5:$X$102,MATCH($C18,'Exercise list'!$C$5:$C$102,0),MATCH(AH$5,'Exercise list'!$E$4:$X$4,0)),0)</f>
        <v>0</v>
      </c>
      <c r="AI18">
        <f>IFERROR(INDEX('Exercise list'!$E$5:$X$102,MATCH($C18,'Exercise list'!$C$5:$C$102,0),MATCH(AI$5,'Exercise list'!$E$4:$X$4,0)),0)</f>
        <v>0</v>
      </c>
      <c r="AK18">
        <f>IF(OR($J18=1,COUNTIFS($A$5:$A17,"&gt;="&amp;$A18-1,$A$5:$A17,"&lt;="&amp;$A18,$B$5:$B17,$B18)&gt;0,MIN(1-'Exercise list'!E$2,IF($A18=$A17,AK17,1))-P18&lt;0),-1,MIN(1,IF($A18=$A17,AK17,1)-P18+$D$2))</f>
        <v>1</v>
      </c>
      <c r="AL18">
        <f>IF(OR($J18=1,COUNTIFS($A$5:$A17,"&gt;="&amp;$A18-1,$A$5:$A17,"&lt;="&amp;$A18,$B$5:$B17,$B18)&gt;0,MIN(1-'Exercise list'!F$2,IF($A18=$A17,AL17,1))-Q18&lt;0),-1,MIN(1,IF($A18=$A17,AL17,1)-Q18+$D$2))</f>
        <v>1</v>
      </c>
      <c r="AM18">
        <f>IF(OR($J18=1,COUNTIFS($A$5:$A17,"&gt;="&amp;$A18-1,$A$5:$A17,"&lt;="&amp;$A18,$B$5:$B17,$B18)&gt;0,MIN(1-'Exercise list'!G$2,IF($A18=$A17,AM17,1))-R18&lt;0),-1,MIN(1,IF($A18=$A17,AM17,1)-R18+$D$2))</f>
        <v>1</v>
      </c>
      <c r="AN18">
        <f>IF(OR($J18=1,COUNTIFS($A$5:$A17,"&gt;="&amp;$A18-1,$A$5:$A17,"&lt;="&amp;$A18,$B$5:$B17,$B18)&gt;0,MIN(1-'Exercise list'!H$2,IF($A18=$A17,AN17,1))-S18&lt;0),-1,MIN(1,IF($A18=$A17,AN17,1)-S18+$D$2))</f>
        <v>1</v>
      </c>
      <c r="AO18">
        <f>IF(OR($J18=1,COUNTIFS($A$5:$A17,"&gt;="&amp;$A18-1,$A$5:$A17,"&lt;="&amp;$A18,$B$5:$B17,$B18)&gt;0,MIN(1-'Exercise list'!I$2,IF($A18=$A17,AO17,1))-T18&lt;0),-1,MIN(1,IF($A18=$A17,AO17,1)-T18+$D$2))</f>
        <v>1</v>
      </c>
      <c r="AP18">
        <f>IF(OR($J18=1,COUNTIFS($A$5:$A17,"&gt;="&amp;$A18-1,$A$5:$A17,"&lt;="&amp;$A18,$B$5:$B17,$B18)&gt;0,MIN(1-'Exercise list'!J$2,IF($A18=$A17,AP17,1))-U18&lt;0),-1,MIN(1,IF($A18=$A17,AP17,1)-U18+$D$2))</f>
        <v>1</v>
      </c>
      <c r="AQ18">
        <f>IF(OR($J18=1,COUNTIFS($A$5:$A17,"&gt;="&amp;$A18-1,$A$5:$A17,"&lt;="&amp;$A18,$B$5:$B17,$B18)&gt;0,MIN(1-'Exercise list'!K$2,IF($A18=$A17,AQ17,1))-V18&lt;0),-1,MIN(1,IF($A18=$A17,AQ17,1)-V18+$D$2))</f>
        <v>1</v>
      </c>
      <c r="AR18">
        <f>IF(OR($J18=1,COUNTIFS($A$5:$A17,"&gt;="&amp;$A18-1,$A$5:$A17,"&lt;="&amp;$A18,$B$5:$B17,$B18)&gt;0,MIN(1-'Exercise list'!L$2,IF($A18=$A17,AR17,1))-W18&lt;0),-1,MIN(1,IF($A18=$A17,AR17,1)-W18+$D$2))</f>
        <v>1</v>
      </c>
      <c r="AS18">
        <f>IF(OR($J18=1,COUNTIFS($A$5:$A17,"&gt;="&amp;$A18-1,$A$5:$A17,"&lt;="&amp;$A18,$B$5:$B17,$B18)&gt;0,MIN(1-'Exercise list'!M$2,IF($A18=$A17,AS17,1))-X18&lt;0),-1,MIN(1,IF($A18=$A17,AS17,1)-X18+$D$2))</f>
        <v>1</v>
      </c>
      <c r="AT18">
        <f>IF(OR($J18=1,COUNTIFS($A$5:$A17,"&gt;="&amp;$A18-1,$A$5:$A17,"&lt;="&amp;$A18,$B$5:$B17,$B18)&gt;0,MIN(1-'Exercise list'!N$2,IF($A18=$A17,AT17,1))-Y18&lt;0),-1,MIN(1,IF($A18=$A17,AT17,1)-Y18+$D$2))</f>
        <v>1</v>
      </c>
      <c r="AU18">
        <f>IF(OR($J18=1,COUNTIFS($A$5:$A17,"&gt;="&amp;$A18-1,$A$5:$A17,"&lt;="&amp;$A18,$B$5:$B17,$B18)&gt;0,MIN(1-'Exercise list'!O$2,IF($A18=$A17,AU17,1))-Z18&lt;0),-1,MIN(1,IF($A18=$A17,AU17,1)-Z18+$D$2))</f>
        <v>1</v>
      </c>
      <c r="AV18">
        <f>IF(OR($J18=1,COUNTIFS($A$5:$A17,"&gt;="&amp;$A18-1,$A$5:$A17,"&lt;="&amp;$A18,$B$5:$B17,$B18)&gt;0,MIN(1-'Exercise list'!P$2,IF($A18=$A17,AV17,1))-AA18&lt;0),-1,MIN(1,IF($A18=$A17,AV17,1)-AA18+$D$2))</f>
        <v>1</v>
      </c>
      <c r="AW18">
        <f>IF(OR($J18=1,COUNTIFS($A$5:$A17,"&gt;="&amp;$A18-1,$A$5:$A17,"&lt;="&amp;$A18,$B$5:$B17,$B18)&gt;0,MIN(1-'Exercise list'!Q$2,IF($A18=$A17,AW17,1))-AB18&lt;0),-1,MIN(1,IF($A18=$A17,AW17,1)-AB18+$D$2))</f>
        <v>1</v>
      </c>
      <c r="AX18">
        <f>IF(OR($J18=1,COUNTIFS($A$5:$A17,"&gt;="&amp;$A18-1,$A$5:$A17,"&lt;="&amp;$A18,$B$5:$B17,$B18)&gt;0,MIN(1-'Exercise list'!R$2,IF($A18=$A17,AX17,1))-AC18&lt;0),-1,MIN(1,IF($A18=$A17,AX17,1)-AC18+$D$2))</f>
        <v>1</v>
      </c>
      <c r="AY18">
        <f>IF(OR($J18=1,COUNTIFS($A$5:$A17,"&gt;="&amp;$A18-1,$A$5:$A17,"&lt;="&amp;$A18,$B$5:$B17,$B18)&gt;0,MIN(1-'Exercise list'!S$2,IF($A18=$A17,AY17,1))-AD18&lt;0),-1,MIN(1,IF($A18=$A17,AY17,1)-AD18+$D$2))</f>
        <v>1</v>
      </c>
      <c r="AZ18">
        <f>IF(OR($J18=1,COUNTIFS($A$5:$A17,"&gt;="&amp;$A18-1,$A$5:$A17,"&lt;="&amp;$A18,$B$5:$B17,$B18)&gt;0,MIN(1-'Exercise list'!T$2,IF($A18=$A17,AZ17,1))-AE18&lt;0),-1,MIN(1,IF($A18=$A17,AZ17,1)-AE18+$D$2))</f>
        <v>1</v>
      </c>
      <c r="BA18">
        <f>IF(OR($J18=1,COUNTIFS($A$5:$A17,"&gt;="&amp;$A18-1,$A$5:$A17,"&lt;="&amp;$A18,$B$5:$B17,$B18)&gt;0,MIN(1-'Exercise list'!U$2,IF($A18=$A17,BA17,1))-AF18&lt;0),-1,MIN(1,IF($A18=$A17,BA17,1)-AF18+$D$2))</f>
        <v>1</v>
      </c>
      <c r="BB18">
        <f>IF(OR($J18=1,COUNTIFS($A$5:$A17,"&gt;="&amp;$A18-1,$A$5:$A17,"&lt;="&amp;$A18,$B$5:$B17,$B18)&gt;0,MIN(1-'Exercise list'!V$2,IF($A18=$A17,BB17,1))-AG18&lt;0),-1,MIN(1,IF($A18=$A17,BB17,1)-AG18+$D$2))</f>
        <v>1</v>
      </c>
      <c r="BC18">
        <f>IF(OR($J18=1,COUNTIFS($A$5:$A17,"&gt;="&amp;$A18-1,$A$5:$A17,"&lt;="&amp;$A18,$B$5:$B17,$B18)&gt;0,MIN(1-'Exercise list'!W$2,IF($A18=$A17,BC17,1))-AH18&lt;0),-1,MIN(1,IF($A18=$A17,BC17,1)-AH18+$D$2))</f>
        <v>1</v>
      </c>
      <c r="BD18">
        <f>IF(OR($J18=1,COUNTIFS($A$5:$A17,"&gt;="&amp;$A18-1,$A$5:$A17,"&lt;="&amp;$A18,$B$5:$B17,$B18)&gt;0,MIN(1-'Exercise list'!X$2,IF($A18=$A17,BD17,1))-AI18&lt;0),-1,MIN(1,IF($A18=$A17,BD17,1)-AI18+$D$2))</f>
        <v>1</v>
      </c>
      <c r="BF18" s="44">
        <f t="shared" si="24"/>
        <v>7.9623344531249987E-2</v>
      </c>
      <c r="BG18" s="44">
        <f t="shared" si="25"/>
        <v>0.05</v>
      </c>
      <c r="BH18" s="44">
        <f t="shared" si="26"/>
        <v>3.4999999999999996E-2</v>
      </c>
      <c r="BI18" s="44">
        <f t="shared" si="27"/>
        <v>3.4999999999999996E-2</v>
      </c>
      <c r="BJ18" s="44">
        <f t="shared" si="28"/>
        <v>0.66248693923837865</v>
      </c>
      <c r="BK18" s="44">
        <f t="shared" si="29"/>
        <v>2.8507718749999991E-2</v>
      </c>
      <c r="BL18" s="44">
        <f t="shared" si="30"/>
        <v>5.5030078515624983E-2</v>
      </c>
      <c r="BM18" s="44">
        <f t="shared" si="31"/>
        <v>0</v>
      </c>
      <c r="BN18" s="44">
        <f t="shared" si="32"/>
        <v>5.8171021564453113E-2</v>
      </c>
      <c r="BO18" s="44">
        <f t="shared" si="33"/>
        <v>5.7911394374999994E-2</v>
      </c>
      <c r="BP18" s="44">
        <f t="shared" si="34"/>
        <v>0.70377880404306625</v>
      </c>
      <c r="BQ18" s="44">
        <f t="shared" si="35"/>
        <v>6.4033491843749998E-2</v>
      </c>
      <c r="BR18" s="44">
        <f t="shared" si="36"/>
        <v>0.39831781671561506</v>
      </c>
      <c r="BS18" s="44">
        <f t="shared" si="37"/>
        <v>7.1533402888574196E-2</v>
      </c>
      <c r="BT18" s="44">
        <f t="shared" si="38"/>
        <v>0.40199216354302714</v>
      </c>
      <c r="BU18" s="44">
        <f t="shared" si="39"/>
        <v>0.45236585746686492</v>
      </c>
      <c r="BV18" s="44">
        <f t="shared" si="40"/>
        <v>0.6367369392383786</v>
      </c>
      <c r="BW18" s="44">
        <f t="shared" si="41"/>
        <v>2.375E-2</v>
      </c>
      <c r="BX18" s="44">
        <f t="shared" si="42"/>
        <v>6.7189046874999991E-2</v>
      </c>
      <c r="BY18" s="44">
        <f t="shared" si="43"/>
        <v>2.8499999999999998E-2</v>
      </c>
      <c r="CA18" s="44">
        <f t="shared" si="4"/>
        <v>0.21000095321608214</v>
      </c>
      <c r="CB18" s="44">
        <f t="shared" si="5"/>
        <v>0.23962429774733213</v>
      </c>
      <c r="CC18" s="44">
        <f t="shared" si="6"/>
        <v>0.10981214887366605</v>
      </c>
      <c r="CD18" s="44">
        <f t="shared" si="7"/>
        <v>0.10981214887366605</v>
      </c>
      <c r="CE18" s="44">
        <f t="shared" si="8"/>
        <v>0</v>
      </c>
      <c r="CF18" s="44">
        <f t="shared" si="9"/>
        <v>0.40592872787099826</v>
      </c>
      <c r="CG18" s="44">
        <f t="shared" si="10"/>
        <v>8.9782070358041074E-2</v>
      </c>
      <c r="CH18" s="44">
        <f t="shared" si="11"/>
        <v>0.14481214887366606</v>
      </c>
      <c r="CI18" s="44">
        <f t="shared" si="12"/>
        <v>0.231453276182879</v>
      </c>
      <c r="CJ18" s="44">
        <f t="shared" si="13"/>
        <v>8.6900754498666063E-2</v>
      </c>
      <c r="CK18" s="44">
        <f t="shared" si="14"/>
        <v>0</v>
      </c>
      <c r="CL18" s="44">
        <f t="shared" si="15"/>
        <v>8.0778657029916059E-2</v>
      </c>
      <c r="CM18" s="44">
        <f t="shared" si="16"/>
        <v>0</v>
      </c>
      <c r="CN18" s="44">
        <f t="shared" si="17"/>
        <v>7.3278745985091862E-2</v>
      </c>
      <c r="CO18" s="44">
        <f t="shared" si="18"/>
        <v>0</v>
      </c>
      <c r="CP18" s="44">
        <f t="shared" si="19"/>
        <v>0</v>
      </c>
      <c r="CQ18" s="44">
        <f t="shared" si="20"/>
        <v>0</v>
      </c>
      <c r="CR18" s="44">
        <f t="shared" si="21"/>
        <v>0.12106214887366606</v>
      </c>
      <c r="CS18" s="44">
        <f t="shared" si="22"/>
        <v>7.7623101998666066E-2</v>
      </c>
      <c r="CT18" s="44">
        <f t="shared" si="23"/>
        <v>0.11631214887366606</v>
      </c>
    </row>
    <row r="19" spans="1:99" x14ac:dyDescent="0.25">
      <c r="A19" s="112">
        <v>45049</v>
      </c>
      <c r="B19" s="14">
        <v>32</v>
      </c>
      <c r="C19" s="15" t="s">
        <v>144</v>
      </c>
      <c r="D19" s="12">
        <f t="shared" si="0"/>
        <v>1</v>
      </c>
      <c r="E19" s="32">
        <f t="shared" si="1"/>
        <v>0.77789321266149913</v>
      </c>
      <c r="F19" s="63" cm="1">
        <f t="array" ref="F19">IF(B19="","",0.1+IFERROR(INDEX($F$6:$F18,SUMPRODUCT(MAX(ROW($C$6:$C18)*($C19=$C$6:$C18))-ROW($A$5)))*0.9^($A19-INDEX($A$6:A18,SUMPRODUCT(MAX(ROW($C$6:$C18)*($C19=$C$6:$C18))-ROW($A$5)))),0))</f>
        <v>0.1</v>
      </c>
      <c r="G19" s="64">
        <f>INDEX('Exercise list'!$Y$5:$Y$102,MATCH(C19,'Exercise list'!$C$5:$C$102,0))</f>
        <v>1</v>
      </c>
      <c r="H19" s="115">
        <f t="shared" si="2"/>
        <v>0.14103400602946786</v>
      </c>
      <c r="I19" s="6">
        <f t="shared" si="44"/>
        <v>4</v>
      </c>
      <c r="J19" s="6">
        <v>0</v>
      </c>
      <c r="K19" s="12"/>
      <c r="L19" s="74" t="str" cm="1">
        <f t="array" ref="L19">IF(K19="","",INDEX('Exercise list'!$C$5:$C$102,K19))</f>
        <v/>
      </c>
      <c r="M19" s="6"/>
      <c r="N19" s="75" t="str" cm="1">
        <f t="array" ref="N19">IF(M19="","",INDEX('Exercise list'!$C$5:$C$102,M19))</f>
        <v/>
      </c>
      <c r="P19">
        <f>IFERROR(INDEX('Exercise list'!$E$5:$X$102,MATCH($C19,'Exercise list'!$C$5:$C$102,0),MATCH(P$5,'Exercise list'!$E$4:$X$4,0)),0)</f>
        <v>0</v>
      </c>
      <c r="Q19">
        <f>IFERROR(INDEX('Exercise list'!$E$5:$X$102,MATCH($C19,'Exercise list'!$C$5:$C$102,0),MATCH(Q$5,'Exercise list'!$E$4:$X$4,0)),0)</f>
        <v>0</v>
      </c>
      <c r="R19">
        <f>IFERROR(INDEX('Exercise list'!$E$5:$X$102,MATCH($C19,'Exercise list'!$C$5:$C$102,0),MATCH(R$5,'Exercise list'!$E$4:$X$4,0)),0)</f>
        <v>0</v>
      </c>
      <c r="S19">
        <f>IFERROR(INDEX('Exercise list'!$E$5:$X$102,MATCH($C19,'Exercise list'!$C$5:$C$102,0),MATCH(S$5,'Exercise list'!$E$4:$X$4,0)),0)</f>
        <v>0</v>
      </c>
      <c r="T19">
        <f>IFERROR(INDEX('Exercise list'!$E$5:$X$102,MATCH($C19,'Exercise list'!$C$5:$C$102,0),MATCH(T$5,'Exercise list'!$E$4:$X$4,0)),0)</f>
        <v>0</v>
      </c>
      <c r="U19">
        <f>IFERROR(INDEX('Exercise list'!$E$5:$X$102,MATCH($C19,'Exercise list'!$C$5:$C$102,0),MATCH(U$5,'Exercise list'!$E$4:$X$4,0)),0)</f>
        <v>0</v>
      </c>
      <c r="V19">
        <f>IFERROR(INDEX('Exercise list'!$E$5:$X$102,MATCH($C19,'Exercise list'!$C$5:$C$102,0),MATCH(V$5,'Exercise list'!$E$4:$X$4,0)),0)</f>
        <v>0</v>
      </c>
      <c r="W19">
        <f>IFERROR(INDEX('Exercise list'!$E$5:$X$102,MATCH($C19,'Exercise list'!$C$5:$C$102,0),MATCH(W$5,'Exercise list'!$E$4:$X$4,0)),0)</f>
        <v>0</v>
      </c>
      <c r="X19">
        <f>IFERROR(INDEX('Exercise list'!$E$5:$X$102,MATCH($C19,'Exercise list'!$C$5:$C$102,0),MATCH(X$5,'Exercise list'!$E$4:$X$4,0)),0)</f>
        <v>0</v>
      </c>
      <c r="Y19">
        <f>IFERROR(INDEX('Exercise list'!$E$5:$X$102,MATCH($C19,'Exercise list'!$C$5:$C$102,0),MATCH(Y$5,'Exercise list'!$E$4:$X$4,0)),0)</f>
        <v>0</v>
      </c>
      <c r="Z19">
        <f>IFERROR(INDEX('Exercise list'!$E$5:$X$102,MATCH($C19,'Exercise list'!$C$5:$C$102,0),MATCH(Z$5,'Exercise list'!$E$4:$X$4,0)),0)</f>
        <v>0</v>
      </c>
      <c r="AA19">
        <f>IFERROR(INDEX('Exercise list'!$E$5:$X$102,MATCH($C19,'Exercise list'!$C$5:$C$102,0),MATCH(AA$5,'Exercise list'!$E$4:$X$4,0)),0)</f>
        <v>0</v>
      </c>
      <c r="AB19">
        <f>IFERROR(INDEX('Exercise list'!$E$5:$X$102,MATCH($C19,'Exercise list'!$C$5:$C$102,0),MATCH(AB$5,'Exercise list'!$E$4:$X$4,0)),0)</f>
        <v>0</v>
      </c>
      <c r="AC19">
        <f>IFERROR(INDEX('Exercise list'!$E$5:$X$102,MATCH($C19,'Exercise list'!$C$5:$C$102,0),MATCH(AC$5,'Exercise list'!$E$4:$X$4,0)),0)</f>
        <v>0</v>
      </c>
      <c r="AD19">
        <f>IFERROR(INDEX('Exercise list'!$E$5:$X$102,MATCH($C19,'Exercise list'!$C$5:$C$102,0),MATCH(AD$5,'Exercise list'!$E$4:$X$4,0)),0)</f>
        <v>1</v>
      </c>
      <c r="AE19">
        <f>IFERROR(INDEX('Exercise list'!$E$5:$X$102,MATCH($C19,'Exercise list'!$C$5:$C$102,0),MATCH(AE$5,'Exercise list'!$E$4:$X$4,0)),0)</f>
        <v>0</v>
      </c>
      <c r="AF19">
        <f>IFERROR(INDEX('Exercise list'!$E$5:$X$102,MATCH($C19,'Exercise list'!$C$5:$C$102,0),MATCH(AF$5,'Exercise list'!$E$4:$X$4,0)),0)</f>
        <v>0</v>
      </c>
      <c r="AG19">
        <f>IFERROR(INDEX('Exercise list'!$E$5:$X$102,MATCH($C19,'Exercise list'!$C$5:$C$102,0),MATCH(AG$5,'Exercise list'!$E$4:$X$4,0)),0)</f>
        <v>0</v>
      </c>
      <c r="AH19">
        <f>IFERROR(INDEX('Exercise list'!$E$5:$X$102,MATCH($C19,'Exercise list'!$C$5:$C$102,0),MATCH(AH$5,'Exercise list'!$E$4:$X$4,0)),0)</f>
        <v>0</v>
      </c>
      <c r="AI19">
        <f>IFERROR(INDEX('Exercise list'!$E$5:$X$102,MATCH($C19,'Exercise list'!$C$5:$C$102,0),MATCH(AI$5,'Exercise list'!$E$4:$X$4,0)),0)</f>
        <v>0</v>
      </c>
      <c r="AK19">
        <f>IF(OR($J19=1,COUNTIFS($A$5:$A18,"&gt;="&amp;$A19-1,$A$5:$A18,"&lt;="&amp;$A19,$B$5:$B18,$B19)&gt;0,MIN(1-'Exercise list'!E$2,IF($A19=$A18,AK18,1))-P19&lt;0),-1,MIN(1,IF($A19=$A18,AK18,1)-P19+$D$2))</f>
        <v>1</v>
      </c>
      <c r="AL19">
        <f>IF(OR($J19=1,COUNTIFS($A$5:$A18,"&gt;="&amp;$A19-1,$A$5:$A18,"&lt;="&amp;$A19,$B$5:$B18,$B19)&gt;0,MIN(1-'Exercise list'!F$2,IF($A19=$A18,AL18,1))-Q19&lt;0),-1,MIN(1,IF($A19=$A18,AL18,1)-Q19+$D$2))</f>
        <v>1</v>
      </c>
      <c r="AM19">
        <f>IF(OR($J19=1,COUNTIFS($A$5:$A18,"&gt;="&amp;$A19-1,$A$5:$A18,"&lt;="&amp;$A19,$B$5:$B18,$B19)&gt;0,MIN(1-'Exercise list'!G$2,IF($A19=$A18,AM18,1))-R19&lt;0),-1,MIN(1,IF($A19=$A18,AM18,1)-R19+$D$2))</f>
        <v>1</v>
      </c>
      <c r="AN19">
        <f>IF(OR($J19=1,COUNTIFS($A$5:$A18,"&gt;="&amp;$A19-1,$A$5:$A18,"&lt;="&amp;$A19,$B$5:$B18,$B19)&gt;0,MIN(1-'Exercise list'!H$2,IF($A19=$A18,AN18,1))-S19&lt;0),-1,MIN(1,IF($A19=$A18,AN18,1)-S19+$D$2))</f>
        <v>1</v>
      </c>
      <c r="AO19">
        <f>IF(OR($J19=1,COUNTIFS($A$5:$A18,"&gt;="&amp;$A19-1,$A$5:$A18,"&lt;="&amp;$A19,$B$5:$B18,$B19)&gt;0,MIN(1-'Exercise list'!I$2,IF($A19=$A18,AO18,1))-T19&lt;0),-1,MIN(1,IF($A19=$A18,AO18,1)-T19+$D$2))</f>
        <v>1</v>
      </c>
      <c r="AP19">
        <f>IF(OR($J19=1,COUNTIFS($A$5:$A18,"&gt;="&amp;$A19-1,$A$5:$A18,"&lt;="&amp;$A19,$B$5:$B18,$B19)&gt;0,MIN(1-'Exercise list'!J$2,IF($A19=$A18,AP18,1))-U19&lt;0),-1,MIN(1,IF($A19=$A18,AP18,1)-U19+$D$2))</f>
        <v>1</v>
      </c>
      <c r="AQ19">
        <f>IF(OR($J19=1,COUNTIFS($A$5:$A18,"&gt;="&amp;$A19-1,$A$5:$A18,"&lt;="&amp;$A19,$B$5:$B18,$B19)&gt;0,MIN(1-'Exercise list'!K$2,IF($A19=$A18,AQ18,1))-V19&lt;0),-1,MIN(1,IF($A19=$A18,AQ18,1)-V19+$D$2))</f>
        <v>1</v>
      </c>
      <c r="AR19">
        <f>IF(OR($J19=1,COUNTIFS($A$5:$A18,"&gt;="&amp;$A19-1,$A$5:$A18,"&lt;="&amp;$A19,$B$5:$B18,$B19)&gt;0,MIN(1-'Exercise list'!L$2,IF($A19=$A18,AR18,1))-W19&lt;0),-1,MIN(1,IF($A19=$A18,AR18,1)-W19+$D$2))</f>
        <v>1</v>
      </c>
      <c r="AS19">
        <f>IF(OR($J19=1,COUNTIFS($A$5:$A18,"&gt;="&amp;$A19-1,$A$5:$A18,"&lt;="&amp;$A19,$B$5:$B18,$B19)&gt;0,MIN(1-'Exercise list'!M$2,IF($A19=$A18,AS18,1))-X19&lt;0),-1,MIN(1,IF($A19=$A18,AS18,1)-X19+$D$2))</f>
        <v>1</v>
      </c>
      <c r="AT19">
        <f>IF(OR($J19=1,COUNTIFS($A$5:$A18,"&gt;="&amp;$A19-1,$A$5:$A18,"&lt;="&amp;$A19,$B$5:$B18,$B19)&gt;0,MIN(1-'Exercise list'!N$2,IF($A19=$A18,AT18,1))-Y19&lt;0),-1,MIN(1,IF($A19=$A18,AT18,1)-Y19+$D$2))</f>
        <v>1</v>
      </c>
      <c r="AU19">
        <f>IF(OR($J19=1,COUNTIFS($A$5:$A18,"&gt;="&amp;$A19-1,$A$5:$A18,"&lt;="&amp;$A19,$B$5:$B18,$B19)&gt;0,MIN(1-'Exercise list'!O$2,IF($A19=$A18,AU18,1))-Z19&lt;0),-1,MIN(1,IF($A19=$A18,AU18,1)-Z19+$D$2))</f>
        <v>1</v>
      </c>
      <c r="AV19">
        <f>IF(OR($J19=1,COUNTIFS($A$5:$A18,"&gt;="&amp;$A19-1,$A$5:$A18,"&lt;="&amp;$A19,$B$5:$B18,$B19)&gt;0,MIN(1-'Exercise list'!P$2,IF($A19=$A18,AV18,1))-AA19&lt;0),-1,MIN(1,IF($A19=$A18,AV18,1)-AA19+$D$2))</f>
        <v>1</v>
      </c>
      <c r="AW19">
        <f>IF(OR($J19=1,COUNTIFS($A$5:$A18,"&gt;="&amp;$A19-1,$A$5:$A18,"&lt;="&amp;$A19,$B$5:$B18,$B19)&gt;0,MIN(1-'Exercise list'!Q$2,IF($A19=$A18,AW18,1))-AB19&lt;0),-1,MIN(1,IF($A19=$A18,AW18,1)-AB19+$D$2))</f>
        <v>1</v>
      </c>
      <c r="AX19">
        <f>IF(OR($J19=1,COUNTIFS($A$5:$A18,"&gt;="&amp;$A19-1,$A$5:$A18,"&lt;="&amp;$A19,$B$5:$B18,$B19)&gt;0,MIN(1-'Exercise list'!R$2,IF($A19=$A18,AX18,1))-AC19&lt;0),-1,MIN(1,IF($A19=$A18,AX18,1)-AC19+$D$2))</f>
        <v>1</v>
      </c>
      <c r="AY19">
        <f>IF(OR($J19=1,COUNTIFS($A$5:$A18,"&gt;="&amp;$A19-1,$A$5:$A18,"&lt;="&amp;$A19,$B$5:$B18,$B19)&gt;0,MIN(1-'Exercise list'!S$2,IF($A19=$A18,AY18,1))-AD19&lt;0),-1,MIN(1,IF($A19=$A18,AY18,1)-AD19+$D$2))</f>
        <v>1</v>
      </c>
      <c r="AZ19">
        <f>IF(OR($J19=1,COUNTIFS($A$5:$A18,"&gt;="&amp;$A19-1,$A$5:$A18,"&lt;="&amp;$A19,$B$5:$B18,$B19)&gt;0,MIN(1-'Exercise list'!T$2,IF($A19=$A18,AZ18,1))-AE19&lt;0),-1,MIN(1,IF($A19=$A18,AZ18,1)-AE19+$D$2))</f>
        <v>1</v>
      </c>
      <c r="BA19">
        <f>IF(OR($J19=1,COUNTIFS($A$5:$A18,"&gt;="&amp;$A19-1,$A$5:$A18,"&lt;="&amp;$A19,$B$5:$B18,$B19)&gt;0,MIN(1-'Exercise list'!U$2,IF($A19=$A18,BA18,1))-AF19&lt;0),-1,MIN(1,IF($A19=$A18,BA18,1)-AF19+$D$2))</f>
        <v>1</v>
      </c>
      <c r="BB19">
        <f>IF(OR($J19=1,COUNTIFS($A$5:$A18,"&gt;="&amp;$A19-1,$A$5:$A18,"&lt;="&amp;$A19,$B$5:$B18,$B19)&gt;0,MIN(1-'Exercise list'!V$2,IF($A19=$A18,BB18,1))-AG19&lt;0),-1,MIN(1,IF($A19=$A18,BB18,1)-AG19+$D$2))</f>
        <v>1</v>
      </c>
      <c r="BC19">
        <f>IF(OR($J19=1,COUNTIFS($A$5:$A18,"&gt;="&amp;$A19-1,$A$5:$A18,"&lt;="&amp;$A19,$B$5:$B18,$B19)&gt;0,MIN(1-'Exercise list'!W$2,IF($A19=$A18,BC18,1))-AH19&lt;0),-1,MIN(1,IF($A19=$A18,BC18,1)-AH19+$D$2))</f>
        <v>1</v>
      </c>
      <c r="BD19">
        <f>IF(OR($J19=1,COUNTIFS($A$5:$A18,"&gt;="&amp;$A19-1,$A$5:$A18,"&lt;="&amp;$A19,$B$5:$B18,$B19)&gt;0,MIN(1-'Exercise list'!X$2,IF($A19=$A18,BD18,1))-AI19&lt;0),-1,MIN(1,IF($A19=$A18,BD18,1)-AI19+$D$2))</f>
        <v>1</v>
      </c>
      <c r="BF19" s="44">
        <f t="shared" si="24"/>
        <v>7.5642177304687488E-2</v>
      </c>
      <c r="BG19" s="44">
        <f t="shared" si="25"/>
        <v>4.7500000000000001E-2</v>
      </c>
      <c r="BH19" s="44">
        <f t="shared" si="26"/>
        <v>3.3249999999999995E-2</v>
      </c>
      <c r="BI19" s="44">
        <f t="shared" si="27"/>
        <v>3.3249999999999995E-2</v>
      </c>
      <c r="BJ19" s="44">
        <f t="shared" si="28"/>
        <v>0.62936259227645963</v>
      </c>
      <c r="BK19" s="44">
        <f t="shared" si="29"/>
        <v>2.7082332812499988E-2</v>
      </c>
      <c r="BL19" s="44">
        <f t="shared" si="30"/>
        <v>5.2278574589843731E-2</v>
      </c>
      <c r="BM19" s="44">
        <f t="shared" si="31"/>
        <v>0</v>
      </c>
      <c r="BN19" s="44">
        <f t="shared" si="32"/>
        <v>5.5262470486230453E-2</v>
      </c>
      <c r="BO19" s="44">
        <f t="shared" si="33"/>
        <v>5.501582465624999E-2</v>
      </c>
      <c r="BP19" s="44">
        <f t="shared" si="34"/>
        <v>0.6685898638409129</v>
      </c>
      <c r="BQ19" s="44">
        <f t="shared" si="35"/>
        <v>6.0831817251562496E-2</v>
      </c>
      <c r="BR19" s="44">
        <f t="shared" si="36"/>
        <v>0.37840192587983429</v>
      </c>
      <c r="BS19" s="44">
        <f t="shared" si="37"/>
        <v>6.7956732744145487E-2</v>
      </c>
      <c r="BT19" s="44">
        <f t="shared" si="38"/>
        <v>0.43189255536587573</v>
      </c>
      <c r="BU19" s="44">
        <f t="shared" si="39"/>
        <v>0.42974756459352165</v>
      </c>
      <c r="BV19" s="44">
        <f t="shared" si="40"/>
        <v>0.60490009227645969</v>
      </c>
      <c r="BW19" s="44">
        <f t="shared" si="41"/>
        <v>2.2562499999999999E-2</v>
      </c>
      <c r="BX19" s="44">
        <f t="shared" si="42"/>
        <v>6.3829594531249992E-2</v>
      </c>
      <c r="BY19" s="44">
        <f t="shared" si="43"/>
        <v>2.7074999999999995E-2</v>
      </c>
      <c r="CA19" s="44">
        <f t="shared" si="4"/>
        <v>0.20320460925898171</v>
      </c>
      <c r="CB19" s="44">
        <f t="shared" si="5"/>
        <v>0.23134678656366919</v>
      </c>
      <c r="CC19" s="44">
        <f t="shared" si="6"/>
        <v>0.10617339328183459</v>
      </c>
      <c r="CD19" s="44">
        <f t="shared" si="7"/>
        <v>0.10617339328183459</v>
      </c>
      <c r="CE19" s="44">
        <f t="shared" si="8"/>
        <v>0</v>
      </c>
      <c r="CF19" s="44">
        <f t="shared" si="9"/>
        <v>0.3911878470330038</v>
      </c>
      <c r="CG19" s="44">
        <f t="shared" si="10"/>
        <v>8.7144818691990866E-2</v>
      </c>
      <c r="CH19" s="44">
        <f t="shared" si="11"/>
        <v>0.13942339328183459</v>
      </c>
      <c r="CI19" s="44">
        <f t="shared" si="12"/>
        <v>0.22358431607743873</v>
      </c>
      <c r="CJ19" s="44">
        <f t="shared" si="13"/>
        <v>8.44075686255846E-2</v>
      </c>
      <c r="CK19" s="44">
        <f t="shared" si="14"/>
        <v>0</v>
      </c>
      <c r="CL19" s="44">
        <f t="shared" si="15"/>
        <v>7.8591576030272087E-2</v>
      </c>
      <c r="CM19" s="44">
        <f t="shared" si="16"/>
        <v>0</v>
      </c>
      <c r="CN19" s="44">
        <f t="shared" si="17"/>
        <v>7.1466660537689103E-2</v>
      </c>
      <c r="CO19" s="44">
        <f t="shared" si="18"/>
        <v>0</v>
      </c>
      <c r="CP19" s="44">
        <f t="shared" si="19"/>
        <v>0</v>
      </c>
      <c r="CQ19" s="44">
        <f t="shared" si="20"/>
        <v>0</v>
      </c>
      <c r="CR19" s="44">
        <f t="shared" si="21"/>
        <v>0.11686089328183459</v>
      </c>
      <c r="CS19" s="44">
        <f t="shared" si="22"/>
        <v>7.5593798750584598E-2</v>
      </c>
      <c r="CT19" s="44">
        <f t="shared" si="23"/>
        <v>0.1123483932818346</v>
      </c>
    </row>
    <row r="20" spans="1:99" x14ac:dyDescent="0.25">
      <c r="A20" s="113">
        <v>45049</v>
      </c>
      <c r="B20" s="21">
        <v>5</v>
      </c>
      <c r="C20" s="22" t="s">
        <v>30</v>
      </c>
      <c r="D20" s="17">
        <f t="shared" si="0"/>
        <v>1</v>
      </c>
      <c r="E20" s="33">
        <f t="shared" si="1"/>
        <v>2.2533663377831439</v>
      </c>
      <c r="F20" s="65" cm="1">
        <f t="array" ref="F20">IF(B20="","",0.1+IFERROR(INDEX($F$6:$F19,SUMPRODUCT(MAX(ROW($C$6:$C19)*($C20=$C$6:$C19))-ROW($A$5)))*0.9^($A20-INDEX($A$6:A19,SUMPRODUCT(MAX(ROW($C$6:$C19)*($C20=$C$6:$C19))-ROW($A$5)))),0))</f>
        <v>0.1</v>
      </c>
      <c r="G20" s="25">
        <f>INDEX('Exercise list'!$Y$5:$Y$102,MATCH(C20,'Exercise list'!$C$5:$C$102,0))</f>
        <v>3</v>
      </c>
      <c r="H20" s="116">
        <f t="shared" si="2"/>
        <v>0.14103400602946786</v>
      </c>
      <c r="I20" s="18">
        <f t="shared" si="44"/>
        <v>5</v>
      </c>
      <c r="J20" s="18">
        <v>0</v>
      </c>
      <c r="K20" s="17"/>
      <c r="L20" s="51" t="str" cm="1">
        <f t="array" ref="L20">IF(K20="","",INDEX('Exercise list'!$C$5:$C$102,K20))</f>
        <v/>
      </c>
      <c r="M20" s="18"/>
      <c r="N20" s="76" t="str" cm="1">
        <f t="array" ref="N20">IF(M20="","",INDEX('Exercise list'!$C$5:$C$102,M20))</f>
        <v/>
      </c>
      <c r="O20" s="19"/>
      <c r="P20" s="19">
        <f>IFERROR(INDEX('Exercise list'!$E$5:$X$102,MATCH($C20,'Exercise list'!$C$5:$C$102,0),MATCH(P$5,'Exercise list'!$E$4:$X$4,0)),0)</f>
        <v>0</v>
      </c>
      <c r="Q20" s="19">
        <f>IFERROR(INDEX('Exercise list'!$E$5:$X$102,MATCH($C20,'Exercise list'!$C$5:$C$102,0),MATCH(Q$5,'Exercise list'!$E$4:$X$4,0)),0)</f>
        <v>0</v>
      </c>
      <c r="R20" s="19">
        <f>IFERROR(INDEX('Exercise list'!$E$5:$X$102,MATCH($C20,'Exercise list'!$C$5:$C$102,0),MATCH(R$5,'Exercise list'!$E$4:$X$4,0)),0)</f>
        <v>0</v>
      </c>
      <c r="S20" s="19">
        <f>IFERROR(INDEX('Exercise list'!$E$5:$X$102,MATCH($C20,'Exercise list'!$C$5:$C$102,0),MATCH(S$5,'Exercise list'!$E$4:$X$4,0)),0)</f>
        <v>0</v>
      </c>
      <c r="T20" s="19">
        <f>IFERROR(INDEX('Exercise list'!$E$5:$X$102,MATCH($C20,'Exercise list'!$C$5:$C$102,0),MATCH(T$5,'Exercise list'!$E$4:$X$4,0)),0)</f>
        <v>0</v>
      </c>
      <c r="U20" s="19">
        <f>IFERROR(INDEX('Exercise list'!$E$5:$X$102,MATCH($C20,'Exercise list'!$C$5:$C$102,0),MATCH(U$5,'Exercise list'!$E$4:$X$4,0)),0)</f>
        <v>0</v>
      </c>
      <c r="V20" s="19">
        <f>IFERROR(INDEX('Exercise list'!$E$5:$X$102,MATCH($C20,'Exercise list'!$C$5:$C$102,0),MATCH(V$5,'Exercise list'!$E$4:$X$4,0)),0)</f>
        <v>0</v>
      </c>
      <c r="W20" s="19">
        <f>IFERROR(INDEX('Exercise list'!$E$5:$X$102,MATCH($C20,'Exercise list'!$C$5:$C$102,0),MATCH(W$5,'Exercise list'!$E$4:$X$4,0)),0)</f>
        <v>0</v>
      </c>
      <c r="X20" s="19">
        <f>IFERROR(INDEX('Exercise list'!$E$5:$X$102,MATCH($C20,'Exercise list'!$C$5:$C$102,0),MATCH(X$5,'Exercise list'!$E$4:$X$4,0)),0)</f>
        <v>0</v>
      </c>
      <c r="Y20" s="19">
        <f>IFERROR(INDEX('Exercise list'!$E$5:$X$102,MATCH($C20,'Exercise list'!$C$5:$C$102,0),MATCH(Y$5,'Exercise list'!$E$4:$X$4,0)),0)</f>
        <v>0</v>
      </c>
      <c r="Z20" s="19">
        <f>IFERROR(INDEX('Exercise list'!$E$5:$X$102,MATCH($C20,'Exercise list'!$C$5:$C$102,0),MATCH(Z$5,'Exercise list'!$E$4:$X$4,0)),0)</f>
        <v>0</v>
      </c>
      <c r="AA20" s="19">
        <f>IFERROR(INDEX('Exercise list'!$E$5:$X$102,MATCH($C20,'Exercise list'!$C$5:$C$102,0),MATCH(AA$5,'Exercise list'!$E$4:$X$4,0)),0)</f>
        <v>0</v>
      </c>
      <c r="AB20" s="19">
        <f>IFERROR(INDEX('Exercise list'!$E$5:$X$102,MATCH($C20,'Exercise list'!$C$5:$C$102,0),MATCH(AB$5,'Exercise list'!$E$4:$X$4,0)),0)</f>
        <v>0</v>
      </c>
      <c r="AC20" s="19">
        <f>IFERROR(INDEX('Exercise list'!$E$5:$X$102,MATCH($C20,'Exercise list'!$C$5:$C$102,0),MATCH(AC$5,'Exercise list'!$E$4:$X$4,0)),0)</f>
        <v>0</v>
      </c>
      <c r="AD20" s="19">
        <f>IFERROR(INDEX('Exercise list'!$E$5:$X$102,MATCH($C20,'Exercise list'!$C$5:$C$102,0),MATCH(AD$5,'Exercise list'!$E$4:$X$4,0)),0)</f>
        <v>1</v>
      </c>
      <c r="AE20" s="19">
        <f>IFERROR(INDEX('Exercise list'!$E$5:$X$102,MATCH($C20,'Exercise list'!$C$5:$C$102,0),MATCH(AE$5,'Exercise list'!$E$4:$X$4,0)),0)</f>
        <v>0.7</v>
      </c>
      <c r="AF20" s="19">
        <f>IFERROR(INDEX('Exercise list'!$E$5:$X$102,MATCH($C20,'Exercise list'!$C$5:$C$102,0),MATCH(AF$5,'Exercise list'!$E$4:$X$4,0)),0)</f>
        <v>0.8</v>
      </c>
      <c r="AG20" s="19">
        <f>IFERROR(INDEX('Exercise list'!$E$5:$X$102,MATCH($C20,'Exercise list'!$C$5:$C$102,0),MATCH(AG$5,'Exercise list'!$E$4:$X$4,0)),0)</f>
        <v>0.7</v>
      </c>
      <c r="AH20" s="19">
        <f>IFERROR(INDEX('Exercise list'!$E$5:$X$102,MATCH($C20,'Exercise list'!$C$5:$C$102,0),MATCH(AH$5,'Exercise list'!$E$4:$X$4,0)),0)</f>
        <v>0.8</v>
      </c>
      <c r="AI20" s="19">
        <f>IFERROR(INDEX('Exercise list'!$E$5:$X$102,MATCH($C20,'Exercise list'!$C$5:$C$102,0),MATCH(AI$5,'Exercise list'!$E$4:$X$4,0)),0)</f>
        <v>0.8</v>
      </c>
      <c r="AJ20" s="19"/>
      <c r="AK20" s="19">
        <f>IF(OR($J20=1,COUNTIFS($A$5:$A19,"&gt;="&amp;$A20-1,$A$5:$A19,"&lt;="&amp;$A20,$B$5:$B19,$B20)&gt;0,MIN(1-'Exercise list'!E$2,IF($A20=$A19,AK19,1))-P20&lt;0),-1,MIN(1,IF($A20=$A19,AK19,1)-P20+$D$2))</f>
        <v>1</v>
      </c>
      <c r="AL20" s="19">
        <f>IF(OR($J20=1,COUNTIFS($A$5:$A19,"&gt;="&amp;$A20-1,$A$5:$A19,"&lt;="&amp;$A20,$B$5:$B19,$B20)&gt;0,MIN(1-'Exercise list'!F$2,IF($A20=$A19,AL19,1))-Q20&lt;0),-1,MIN(1,IF($A20=$A19,AL19,1)-Q20+$D$2))</f>
        <v>1</v>
      </c>
      <c r="AM20" s="19">
        <f>IF(OR($J20=1,COUNTIFS($A$5:$A19,"&gt;="&amp;$A20-1,$A$5:$A19,"&lt;="&amp;$A20,$B$5:$B19,$B20)&gt;0,MIN(1-'Exercise list'!G$2,IF($A20=$A19,AM19,1))-R20&lt;0),-1,MIN(1,IF($A20=$A19,AM19,1)-R20+$D$2))</f>
        <v>1</v>
      </c>
      <c r="AN20" s="19">
        <f>IF(OR($J20=1,COUNTIFS($A$5:$A19,"&gt;="&amp;$A20-1,$A$5:$A19,"&lt;="&amp;$A20,$B$5:$B19,$B20)&gt;0,MIN(1-'Exercise list'!H$2,IF($A20=$A19,AN19,1))-S20&lt;0),-1,MIN(1,IF($A20=$A19,AN19,1)-S20+$D$2))</f>
        <v>1</v>
      </c>
      <c r="AO20" s="19">
        <f>IF(OR($J20=1,COUNTIFS($A$5:$A19,"&gt;="&amp;$A20-1,$A$5:$A19,"&lt;="&amp;$A20,$B$5:$B19,$B20)&gt;0,MIN(1-'Exercise list'!I$2,IF($A20=$A19,AO19,1))-T20&lt;0),-1,MIN(1,IF($A20=$A19,AO19,1)-T20+$D$2))</f>
        <v>1</v>
      </c>
      <c r="AP20" s="19">
        <f>IF(OR($J20=1,COUNTIFS($A$5:$A19,"&gt;="&amp;$A20-1,$A$5:$A19,"&lt;="&amp;$A20,$B$5:$B19,$B20)&gt;0,MIN(1-'Exercise list'!J$2,IF($A20=$A19,AP19,1))-U20&lt;0),-1,MIN(1,IF($A20=$A19,AP19,1)-U20+$D$2))</f>
        <v>1</v>
      </c>
      <c r="AQ20" s="19">
        <f>IF(OR($J20=1,COUNTIFS($A$5:$A19,"&gt;="&amp;$A20-1,$A$5:$A19,"&lt;="&amp;$A20,$B$5:$B19,$B20)&gt;0,MIN(1-'Exercise list'!K$2,IF($A20=$A19,AQ19,1))-V20&lt;0),-1,MIN(1,IF($A20=$A19,AQ19,1)-V20+$D$2))</f>
        <v>1</v>
      </c>
      <c r="AR20" s="19">
        <f>IF(OR($J20=1,COUNTIFS($A$5:$A19,"&gt;="&amp;$A20-1,$A$5:$A19,"&lt;="&amp;$A20,$B$5:$B19,$B20)&gt;0,MIN(1-'Exercise list'!L$2,IF($A20=$A19,AR19,1))-W20&lt;0),-1,MIN(1,IF($A20=$A19,AR19,1)-W20+$D$2))</f>
        <v>1</v>
      </c>
      <c r="AS20" s="19">
        <f>IF(OR($J20=1,COUNTIFS($A$5:$A19,"&gt;="&amp;$A20-1,$A$5:$A19,"&lt;="&amp;$A20,$B$5:$B19,$B20)&gt;0,MIN(1-'Exercise list'!M$2,IF($A20=$A19,AS19,1))-X20&lt;0),-1,MIN(1,IF($A20=$A19,AS19,1)-X20+$D$2))</f>
        <v>1</v>
      </c>
      <c r="AT20" s="19">
        <f>IF(OR($J20=1,COUNTIFS($A$5:$A19,"&gt;="&amp;$A20-1,$A$5:$A19,"&lt;="&amp;$A20,$B$5:$B19,$B20)&gt;0,MIN(1-'Exercise list'!N$2,IF($A20=$A19,AT19,1))-Y20&lt;0),-1,MIN(1,IF($A20=$A19,AT19,1)-Y20+$D$2))</f>
        <v>1</v>
      </c>
      <c r="AU20" s="19">
        <f>IF(OR($J20=1,COUNTIFS($A$5:$A19,"&gt;="&amp;$A20-1,$A$5:$A19,"&lt;="&amp;$A20,$B$5:$B19,$B20)&gt;0,MIN(1-'Exercise list'!O$2,IF($A20=$A19,AU19,1))-Z20&lt;0),-1,MIN(1,IF($A20=$A19,AU19,1)-Z20+$D$2))</f>
        <v>1</v>
      </c>
      <c r="AV20" s="19">
        <f>IF(OR($J20=1,COUNTIFS($A$5:$A19,"&gt;="&amp;$A20-1,$A$5:$A19,"&lt;="&amp;$A20,$B$5:$B19,$B20)&gt;0,MIN(1-'Exercise list'!P$2,IF($A20=$A19,AV19,1))-AA20&lt;0),-1,MIN(1,IF($A20=$A19,AV19,1)-AA20+$D$2))</f>
        <v>1</v>
      </c>
      <c r="AW20" s="19">
        <f>IF(OR($J20=1,COUNTIFS($A$5:$A19,"&gt;="&amp;$A20-1,$A$5:$A19,"&lt;="&amp;$A20,$B$5:$B19,$B20)&gt;0,MIN(1-'Exercise list'!Q$2,IF($A20=$A19,AW19,1))-AB20&lt;0),-1,MIN(1,IF($A20=$A19,AW19,1)-AB20+$D$2))</f>
        <v>1</v>
      </c>
      <c r="AX20" s="19">
        <f>IF(OR($J20=1,COUNTIFS($A$5:$A19,"&gt;="&amp;$A20-1,$A$5:$A19,"&lt;="&amp;$A20,$B$5:$B19,$B20)&gt;0,MIN(1-'Exercise list'!R$2,IF($A20=$A19,AX19,1))-AC20&lt;0),-1,MIN(1,IF($A20=$A19,AX19,1)-AC20+$D$2))</f>
        <v>1</v>
      </c>
      <c r="AY20" s="19">
        <f>IF(OR($J20=1,COUNTIFS($A$5:$A19,"&gt;="&amp;$A20-1,$A$5:$A19,"&lt;="&amp;$A20,$B$5:$B19,$B20)&gt;0,MIN(1-'Exercise list'!S$2,IF($A20=$A19,AY19,1))-AD20&lt;0),-1,MIN(1,IF($A20=$A19,AY19,1)-AD20+$D$2))</f>
        <v>1</v>
      </c>
      <c r="AZ20" s="19">
        <f>IF(OR($J20=1,COUNTIFS($A$5:$A19,"&gt;="&amp;$A20-1,$A$5:$A19,"&lt;="&amp;$A20,$B$5:$B19,$B20)&gt;0,MIN(1-'Exercise list'!T$2,IF($A20=$A19,AZ19,1))-AE20&lt;0),-1,MIN(1,IF($A20=$A19,AZ19,1)-AE20+$D$2))</f>
        <v>1</v>
      </c>
      <c r="BA20" s="19">
        <f>IF(OR($J20=1,COUNTIFS($A$5:$A19,"&gt;="&amp;$A20-1,$A$5:$A19,"&lt;="&amp;$A20,$B$5:$B19,$B20)&gt;0,MIN(1-'Exercise list'!U$2,IF($A20=$A19,BA19,1))-AF20&lt;0),-1,MIN(1,IF($A20=$A19,BA19,1)-AF20+$D$2))</f>
        <v>1</v>
      </c>
      <c r="BB20" s="19">
        <f>IF(OR($J20=1,COUNTIFS($A$5:$A19,"&gt;="&amp;$A20-1,$A$5:$A19,"&lt;="&amp;$A20,$B$5:$B19,$B20)&gt;0,MIN(1-'Exercise list'!V$2,IF($A20=$A19,BB19,1))-AG20&lt;0),-1,MIN(1,IF($A20=$A19,BB19,1)-AG20+$D$2))</f>
        <v>1</v>
      </c>
      <c r="BC20" s="19">
        <f>IF(OR($J20=1,COUNTIFS($A$5:$A19,"&gt;="&amp;$A20-1,$A$5:$A19,"&lt;="&amp;$A20,$B$5:$B19,$B20)&gt;0,MIN(1-'Exercise list'!W$2,IF($A20=$A19,BC19,1))-AH20&lt;0),-1,MIN(1,IF($A20=$A19,BC19,1)-AH20+$D$2))</f>
        <v>1</v>
      </c>
      <c r="BD20" s="19">
        <f>IF(OR($J20=1,COUNTIFS($A$5:$A19,"&gt;="&amp;$A20-1,$A$5:$A19,"&lt;="&amp;$A20,$B$5:$B19,$B20)&gt;0,MIN(1-'Exercise list'!X$2,IF($A20=$A19,BD19,1))-AI20&lt;0),-1,MIN(1,IF($A20=$A19,BD19,1)-AI20+$D$2))</f>
        <v>1</v>
      </c>
      <c r="BE20" s="19"/>
      <c r="BF20" s="23">
        <f t="shared" si="24"/>
        <v>7.5642177304687488E-2</v>
      </c>
      <c r="BG20" s="23">
        <f t="shared" si="25"/>
        <v>4.7500000000000001E-2</v>
      </c>
      <c r="BH20" s="23">
        <f t="shared" si="26"/>
        <v>3.3249999999999995E-2</v>
      </c>
      <c r="BI20" s="23">
        <f t="shared" si="27"/>
        <v>3.3249999999999995E-2</v>
      </c>
      <c r="BJ20" s="23">
        <f t="shared" si="28"/>
        <v>0.62936259227645963</v>
      </c>
      <c r="BK20" s="23">
        <f t="shared" si="29"/>
        <v>2.7082332812499988E-2</v>
      </c>
      <c r="BL20" s="23">
        <f t="shared" si="30"/>
        <v>5.2278574589843731E-2</v>
      </c>
      <c r="BM20" s="23">
        <f t="shared" si="31"/>
        <v>0</v>
      </c>
      <c r="BN20" s="23">
        <f t="shared" si="32"/>
        <v>5.5262470486230453E-2</v>
      </c>
      <c r="BO20" s="23">
        <f t="shared" si="33"/>
        <v>5.501582465624999E-2</v>
      </c>
      <c r="BP20" s="23">
        <f t="shared" si="34"/>
        <v>0.6685898638409129</v>
      </c>
      <c r="BQ20" s="23">
        <f t="shared" si="35"/>
        <v>6.0831817251562496E-2</v>
      </c>
      <c r="BR20" s="23">
        <f t="shared" si="36"/>
        <v>0.37840192587983429</v>
      </c>
      <c r="BS20" s="23">
        <f t="shared" si="37"/>
        <v>6.7956732744145487E-2</v>
      </c>
      <c r="BT20" s="23">
        <f t="shared" si="38"/>
        <v>0.43189255536587573</v>
      </c>
      <c r="BU20" s="23">
        <f t="shared" si="39"/>
        <v>0.42974756459352165</v>
      </c>
      <c r="BV20" s="23">
        <f t="shared" si="40"/>
        <v>0.60490009227645969</v>
      </c>
      <c r="BW20" s="23">
        <f t="shared" si="41"/>
        <v>2.2562499999999999E-2</v>
      </c>
      <c r="BX20" s="23">
        <f t="shared" si="42"/>
        <v>6.3829594531249992E-2</v>
      </c>
      <c r="BY20" s="23">
        <f t="shared" si="43"/>
        <v>2.7074999999999995E-2</v>
      </c>
      <c r="BZ20" s="19"/>
      <c r="CA20" s="23">
        <f t="shared" si="4"/>
        <v>0.20320460925898171</v>
      </c>
      <c r="CB20" s="23">
        <f t="shared" si="5"/>
        <v>0.23134678656366919</v>
      </c>
      <c r="CC20" s="23">
        <f t="shared" si="6"/>
        <v>0.10617339328183459</v>
      </c>
      <c r="CD20" s="23">
        <f t="shared" si="7"/>
        <v>0.10617339328183459</v>
      </c>
      <c r="CE20" s="23">
        <f t="shared" si="8"/>
        <v>0</v>
      </c>
      <c r="CF20" s="23">
        <f t="shared" si="9"/>
        <v>0.3911878470330038</v>
      </c>
      <c r="CG20" s="23">
        <f t="shared" si="10"/>
        <v>8.7144818691990866E-2</v>
      </c>
      <c r="CH20" s="23">
        <f t="shared" si="11"/>
        <v>0.13942339328183459</v>
      </c>
      <c r="CI20" s="23">
        <f t="shared" si="12"/>
        <v>0.22358431607743873</v>
      </c>
      <c r="CJ20" s="23">
        <f t="shared" si="13"/>
        <v>8.44075686255846E-2</v>
      </c>
      <c r="CK20" s="23">
        <f t="shared" si="14"/>
        <v>0</v>
      </c>
      <c r="CL20" s="23">
        <f t="shared" si="15"/>
        <v>7.8591576030272087E-2</v>
      </c>
      <c r="CM20" s="23">
        <f t="shared" si="16"/>
        <v>0</v>
      </c>
      <c r="CN20" s="23">
        <f t="shared" si="17"/>
        <v>7.1466660537689103E-2</v>
      </c>
      <c r="CO20" s="23">
        <f t="shared" si="18"/>
        <v>0</v>
      </c>
      <c r="CP20" s="23">
        <f t="shared" si="19"/>
        <v>0</v>
      </c>
      <c r="CQ20" s="23">
        <f t="shared" si="20"/>
        <v>0</v>
      </c>
      <c r="CR20" s="23">
        <f t="shared" si="21"/>
        <v>0.11686089328183459</v>
      </c>
      <c r="CS20" s="23">
        <f t="shared" si="22"/>
        <v>7.5593798750584598E-2</v>
      </c>
      <c r="CT20" s="23">
        <f t="shared" si="23"/>
        <v>0.1123483932818346</v>
      </c>
      <c r="CU20" s="19"/>
    </row>
    <row r="21" spans="1:99" x14ac:dyDescent="0.25">
      <c r="A21" s="110">
        <v>45050</v>
      </c>
      <c r="B21" s="111">
        <v>6</v>
      </c>
      <c r="C21" s="38" t="s">
        <v>113</v>
      </c>
      <c r="D21" s="39">
        <f t="shared" si="0"/>
        <v>1</v>
      </c>
      <c r="E21" s="40">
        <f t="shared" si="1"/>
        <v>2.230343744153962</v>
      </c>
      <c r="F21" s="62" cm="1">
        <f t="array" ref="F21">IF(B21="","",0.1+IFERROR(INDEX($F$6:$F20,SUMPRODUCT(MAX(ROW($C$6:$C20)*($C21=$C$6:$C20))-ROW($A$5)))*0.9^($A21-INDEX($A$6:A20,SUMPRODUCT(MAX(ROW($C$6:$C20)*($C21=$C$6:$C20))-ROW($A$5)))),0))</f>
        <v>0.1</v>
      </c>
      <c r="G21" s="41">
        <f>INDEX('Exercise list'!$Y$5:$Y$102,MATCH(C21,'Exercise list'!$C$5:$C$102,0))</f>
        <v>3</v>
      </c>
      <c r="H21" s="114">
        <f t="shared" si="2"/>
        <v>0.14248982135713775</v>
      </c>
      <c r="I21" s="42">
        <f t="shared" si="44"/>
        <v>1</v>
      </c>
      <c r="J21" s="42">
        <v>0</v>
      </c>
      <c r="K21" s="39"/>
      <c r="L21" s="50" t="str" cm="1">
        <f t="array" ref="L21">IF(K21="","",INDEX('Exercise list'!$C$5:$C$102,K21))</f>
        <v/>
      </c>
      <c r="M21" s="42"/>
      <c r="N21" s="73" t="str" cm="1">
        <f t="array" ref="N21">IF(M21="","",INDEX('Exercise list'!$C$5:$C$102,M21))</f>
        <v/>
      </c>
      <c r="O21" s="1"/>
      <c r="P21" s="1">
        <f>IFERROR(INDEX('Exercise list'!$E$5:$X$102,MATCH($C21,'Exercise list'!$C$5:$C$102,0),MATCH(P$5,'Exercise list'!$E$4:$X$4,0)),0)</f>
        <v>0</v>
      </c>
      <c r="Q21" s="1">
        <f>IFERROR(INDEX('Exercise list'!$E$5:$X$102,MATCH($C21,'Exercise list'!$C$5:$C$102,0),MATCH(Q$5,'Exercise list'!$E$4:$X$4,0)),0)</f>
        <v>0</v>
      </c>
      <c r="R21" s="1">
        <f>IFERROR(INDEX('Exercise list'!$E$5:$X$102,MATCH($C21,'Exercise list'!$C$5:$C$102,0),MATCH(R$5,'Exercise list'!$E$4:$X$4,0)),0)</f>
        <v>0</v>
      </c>
      <c r="S21" s="1">
        <f>IFERROR(INDEX('Exercise list'!$E$5:$X$102,MATCH($C21,'Exercise list'!$C$5:$C$102,0),MATCH(S$5,'Exercise list'!$E$4:$X$4,0)),0)</f>
        <v>0</v>
      </c>
      <c r="T21" s="1">
        <f>IFERROR(INDEX('Exercise list'!$E$5:$X$102,MATCH($C21,'Exercise list'!$C$5:$C$102,0),MATCH(T$5,'Exercise list'!$E$4:$X$4,0)),0)</f>
        <v>0.5</v>
      </c>
      <c r="U21" s="1">
        <f>IFERROR(INDEX('Exercise list'!$E$5:$X$102,MATCH($C21,'Exercise list'!$C$5:$C$102,0),MATCH(U$5,'Exercise list'!$E$4:$X$4,0)),0)</f>
        <v>0</v>
      </c>
      <c r="V21" s="1">
        <f>IFERROR(INDEX('Exercise list'!$E$5:$X$102,MATCH($C21,'Exercise list'!$C$5:$C$102,0),MATCH(V$5,'Exercise list'!$E$4:$X$4,0)),0)</f>
        <v>0</v>
      </c>
      <c r="W21" s="1">
        <f>IFERROR(INDEX('Exercise list'!$E$5:$X$102,MATCH($C21,'Exercise list'!$C$5:$C$102,0),MATCH(W$5,'Exercise list'!$E$4:$X$4,0)),0)</f>
        <v>0</v>
      </c>
      <c r="X21" s="1">
        <f>IFERROR(INDEX('Exercise list'!$E$5:$X$102,MATCH($C21,'Exercise list'!$C$5:$C$102,0),MATCH(X$5,'Exercise list'!$E$4:$X$4,0)),0)</f>
        <v>0</v>
      </c>
      <c r="Y21" s="1">
        <f>IFERROR(INDEX('Exercise list'!$E$5:$X$102,MATCH($C21,'Exercise list'!$C$5:$C$102,0),MATCH(Y$5,'Exercise list'!$E$4:$X$4,0)),0)</f>
        <v>0</v>
      </c>
      <c r="Z21" s="1">
        <f>IFERROR(INDEX('Exercise list'!$E$5:$X$102,MATCH($C21,'Exercise list'!$C$5:$C$102,0),MATCH(Z$5,'Exercise list'!$E$4:$X$4,0)),0)</f>
        <v>0</v>
      </c>
      <c r="AA21" s="1">
        <f>IFERROR(INDEX('Exercise list'!$E$5:$X$102,MATCH($C21,'Exercise list'!$C$5:$C$102,0),MATCH(AA$5,'Exercise list'!$E$4:$X$4,0)),0)</f>
        <v>0</v>
      </c>
      <c r="AB21" s="1">
        <f>IFERROR(INDEX('Exercise list'!$E$5:$X$102,MATCH($C21,'Exercise list'!$C$5:$C$102,0),MATCH(AB$5,'Exercise list'!$E$4:$X$4,0)),0)</f>
        <v>0.5</v>
      </c>
      <c r="AC21" s="1">
        <f>IFERROR(INDEX('Exercise list'!$E$5:$X$102,MATCH($C21,'Exercise list'!$C$5:$C$102,0),MATCH(AC$5,'Exercise list'!$E$4:$X$4,0)),0)</f>
        <v>0</v>
      </c>
      <c r="AD21" s="1">
        <f>IFERROR(INDEX('Exercise list'!$E$5:$X$102,MATCH($C21,'Exercise list'!$C$5:$C$102,0),MATCH(AD$5,'Exercise list'!$E$4:$X$4,0)),0)</f>
        <v>0.8</v>
      </c>
      <c r="AE21" s="1">
        <f>IFERROR(INDEX('Exercise list'!$E$5:$X$102,MATCH($C21,'Exercise list'!$C$5:$C$102,0),MATCH(AE$5,'Exercise list'!$E$4:$X$4,0)),0)</f>
        <v>0.7</v>
      </c>
      <c r="AF21" s="1">
        <f>IFERROR(INDEX('Exercise list'!$E$5:$X$102,MATCH($C21,'Exercise list'!$C$5:$C$102,0),MATCH(AF$5,'Exercise list'!$E$4:$X$4,0)),0)</f>
        <v>0.9</v>
      </c>
      <c r="AG21" s="1">
        <f>IFERROR(INDEX('Exercise list'!$E$5:$X$102,MATCH($C21,'Exercise list'!$C$5:$C$102,0),MATCH(AG$5,'Exercise list'!$E$4:$X$4,0)),0)</f>
        <v>0.5</v>
      </c>
      <c r="AH21" s="1">
        <f>IFERROR(INDEX('Exercise list'!$E$5:$X$102,MATCH($C21,'Exercise list'!$C$5:$C$102,0),MATCH(AH$5,'Exercise list'!$E$4:$X$4,0)),0)</f>
        <v>0.5</v>
      </c>
      <c r="AI21" s="1">
        <f>IFERROR(INDEX('Exercise list'!$E$5:$X$102,MATCH($C21,'Exercise list'!$C$5:$C$102,0),MATCH(AI$5,'Exercise list'!$E$4:$X$4,0)),0)</f>
        <v>0</v>
      </c>
      <c r="AJ21" s="1"/>
      <c r="AK21" s="1">
        <f>IF(OR($J21=1,COUNTIFS($A$5:$A20,"&gt;="&amp;$A21-1,$A$5:$A20,"&lt;="&amp;$A21,$B$5:$B20,$B21)&gt;0,MIN(1-'Exercise list'!E$2,IF($A21=$A20,AK20,1))-P21&lt;0),-1,MIN(1,IF($A21=$A20,AK20,1)-P21+$D$2))</f>
        <v>1</v>
      </c>
      <c r="AL21" s="1">
        <f>IF(OR($J21=1,COUNTIFS($A$5:$A20,"&gt;="&amp;$A21-1,$A$5:$A20,"&lt;="&amp;$A21,$B$5:$B20,$B21)&gt;0,MIN(1-'Exercise list'!F$2,IF($A21=$A20,AL20,1))-Q21&lt;0),-1,MIN(1,IF($A21=$A20,AL20,1)-Q21+$D$2))</f>
        <v>1</v>
      </c>
      <c r="AM21" s="1">
        <f>IF(OR($J21=1,COUNTIFS($A$5:$A20,"&gt;="&amp;$A21-1,$A$5:$A20,"&lt;="&amp;$A21,$B$5:$B20,$B21)&gt;0,MIN(1-'Exercise list'!G$2,IF($A21=$A20,AM20,1))-R21&lt;0),-1,MIN(1,IF($A21=$A20,AM20,1)-R21+$D$2))</f>
        <v>1</v>
      </c>
      <c r="AN21" s="1">
        <f>IF(OR($J21=1,COUNTIFS($A$5:$A20,"&gt;="&amp;$A21-1,$A$5:$A20,"&lt;="&amp;$A21,$B$5:$B20,$B21)&gt;0,MIN(1-'Exercise list'!H$2,IF($A21=$A20,AN20,1))-S21&lt;0),-1,MIN(1,IF($A21=$A20,AN20,1)-S21+$D$2))</f>
        <v>1</v>
      </c>
      <c r="AO21" s="1">
        <f>IF(OR($J21=1,COUNTIFS($A$5:$A20,"&gt;="&amp;$A21-1,$A$5:$A20,"&lt;="&amp;$A21,$B$5:$B20,$B21)&gt;0,MIN(1-'Exercise list'!I$2,IF($A21=$A20,AO20,1))-T21&lt;0),-1,MIN(1,IF($A21=$A20,AO20,1)-T21+$D$2))</f>
        <v>1</v>
      </c>
      <c r="AP21" s="1">
        <f>IF(OR($J21=1,COUNTIFS($A$5:$A20,"&gt;="&amp;$A21-1,$A$5:$A20,"&lt;="&amp;$A21,$B$5:$B20,$B21)&gt;0,MIN(1-'Exercise list'!J$2,IF($A21=$A20,AP20,1))-U21&lt;0),-1,MIN(1,IF($A21=$A20,AP20,1)-U21+$D$2))</f>
        <v>1</v>
      </c>
      <c r="AQ21" s="1">
        <f>IF(OR($J21=1,COUNTIFS($A$5:$A20,"&gt;="&amp;$A21-1,$A$5:$A20,"&lt;="&amp;$A21,$B$5:$B20,$B21)&gt;0,MIN(1-'Exercise list'!K$2,IF($A21=$A20,AQ20,1))-V21&lt;0),-1,MIN(1,IF($A21=$A20,AQ20,1)-V21+$D$2))</f>
        <v>1</v>
      </c>
      <c r="AR21" s="1">
        <f>IF(OR($J21=1,COUNTIFS($A$5:$A20,"&gt;="&amp;$A21-1,$A$5:$A20,"&lt;="&amp;$A21,$B$5:$B20,$B21)&gt;0,MIN(1-'Exercise list'!L$2,IF($A21=$A20,AR20,1))-W21&lt;0),-1,MIN(1,IF($A21=$A20,AR20,1)-W21+$D$2))</f>
        <v>1</v>
      </c>
      <c r="AS21" s="1">
        <f>IF(OR($J21=1,COUNTIFS($A$5:$A20,"&gt;="&amp;$A21-1,$A$5:$A20,"&lt;="&amp;$A21,$B$5:$B20,$B21)&gt;0,MIN(1-'Exercise list'!M$2,IF($A21=$A20,AS20,1))-X21&lt;0),-1,MIN(1,IF($A21=$A20,AS20,1)-X21+$D$2))</f>
        <v>1</v>
      </c>
      <c r="AT21" s="1">
        <f>IF(OR($J21=1,COUNTIFS($A$5:$A20,"&gt;="&amp;$A21-1,$A$5:$A20,"&lt;="&amp;$A21,$B$5:$B20,$B21)&gt;0,MIN(1-'Exercise list'!N$2,IF($A21=$A20,AT20,1))-Y21&lt;0),-1,MIN(1,IF($A21=$A20,AT20,1)-Y21+$D$2))</f>
        <v>1</v>
      </c>
      <c r="AU21" s="1">
        <f>IF(OR($J21=1,COUNTIFS($A$5:$A20,"&gt;="&amp;$A21-1,$A$5:$A20,"&lt;="&amp;$A21,$B$5:$B20,$B21)&gt;0,MIN(1-'Exercise list'!O$2,IF($A21=$A20,AU20,1))-Z21&lt;0),-1,MIN(1,IF($A21=$A20,AU20,1)-Z21+$D$2))</f>
        <v>1</v>
      </c>
      <c r="AV21" s="1">
        <f>IF(OR($J21=1,COUNTIFS($A$5:$A20,"&gt;="&amp;$A21-1,$A$5:$A20,"&lt;="&amp;$A21,$B$5:$B20,$B21)&gt;0,MIN(1-'Exercise list'!P$2,IF($A21=$A20,AV20,1))-AA21&lt;0),-1,MIN(1,IF($A21=$A20,AV20,1)-AA21+$D$2))</f>
        <v>1</v>
      </c>
      <c r="AW21" s="1">
        <f>IF(OR($J21=1,COUNTIFS($A$5:$A20,"&gt;="&amp;$A21-1,$A$5:$A20,"&lt;="&amp;$A21,$B$5:$B20,$B21)&gt;0,MIN(1-'Exercise list'!Q$2,IF($A21=$A20,AW20,1))-AB21&lt;0),-1,MIN(1,IF($A21=$A20,AW20,1)-AB21+$D$2))</f>
        <v>1</v>
      </c>
      <c r="AX21" s="1">
        <f>IF(OR($J21=1,COUNTIFS($A$5:$A20,"&gt;="&amp;$A21-1,$A$5:$A20,"&lt;="&amp;$A21,$B$5:$B20,$B21)&gt;0,MIN(1-'Exercise list'!R$2,IF($A21=$A20,AX20,1))-AC21&lt;0),-1,MIN(1,IF($A21=$A20,AX20,1)-AC21+$D$2))</f>
        <v>1</v>
      </c>
      <c r="AY21" s="1">
        <f>IF(OR($J21=1,COUNTIFS($A$5:$A20,"&gt;="&amp;$A21-1,$A$5:$A20,"&lt;="&amp;$A21,$B$5:$B20,$B21)&gt;0,MIN(1-'Exercise list'!S$2,IF($A21=$A20,AY20,1))-AD21&lt;0),-1,MIN(1,IF($A21=$A20,AY20,1)-AD21+$D$2))</f>
        <v>1</v>
      </c>
      <c r="AZ21" s="1">
        <f>IF(OR($J21=1,COUNTIFS($A$5:$A20,"&gt;="&amp;$A21-1,$A$5:$A20,"&lt;="&amp;$A21,$B$5:$B20,$B21)&gt;0,MIN(1-'Exercise list'!T$2,IF($A21=$A20,AZ20,1))-AE21&lt;0),-1,MIN(1,IF($A21=$A20,AZ20,1)-AE21+$D$2))</f>
        <v>1</v>
      </c>
      <c r="BA21" s="1">
        <f>IF(OR($J21=1,COUNTIFS($A$5:$A20,"&gt;="&amp;$A21-1,$A$5:$A20,"&lt;="&amp;$A21,$B$5:$B20,$B21)&gt;0,MIN(1-'Exercise list'!U$2,IF($A21=$A20,BA20,1))-AF21&lt;0),-1,MIN(1,IF($A21=$A20,BA20,1)-AF21+$D$2))</f>
        <v>1</v>
      </c>
      <c r="BB21" s="1">
        <f>IF(OR($J21=1,COUNTIFS($A$5:$A20,"&gt;="&amp;$A21-1,$A$5:$A20,"&lt;="&amp;$A21,$B$5:$B20,$B21)&gt;0,MIN(1-'Exercise list'!V$2,IF($A21=$A20,BB20,1))-AG21&lt;0),-1,MIN(1,IF($A21=$A20,BB20,1)-AG21+$D$2))</f>
        <v>1</v>
      </c>
      <c r="BC21" s="1">
        <f>IF(OR($J21=1,COUNTIFS($A$5:$A20,"&gt;="&amp;$A21-1,$A$5:$A20,"&lt;="&amp;$A21,$B$5:$B20,$B21)&gt;0,MIN(1-'Exercise list'!W$2,IF($A21=$A20,BC20,1))-AH21&lt;0),-1,MIN(1,IF($A21=$A20,BC20,1)-AH21+$D$2))</f>
        <v>1</v>
      </c>
      <c r="BD21" s="1">
        <f>IF(OR($J21=1,COUNTIFS($A$5:$A20,"&gt;="&amp;$A21-1,$A$5:$A20,"&lt;="&amp;$A21,$B$5:$B20,$B21)&gt;0,MIN(1-'Exercise list'!X$2,IF($A21=$A20,BD20,1))-AI21&lt;0),-1,MIN(1,IF($A21=$A20,BD20,1)-AI21+$D$2))</f>
        <v>1</v>
      </c>
      <c r="BE21" s="1"/>
      <c r="BF21" s="43">
        <f t="shared" si="24"/>
        <v>7.1860068439453112E-2</v>
      </c>
      <c r="BG21" s="43">
        <f t="shared" si="25"/>
        <v>4.5124999999999998E-2</v>
      </c>
      <c r="BH21" s="43">
        <f t="shared" si="26"/>
        <v>3.1587499999999991E-2</v>
      </c>
      <c r="BI21" s="43">
        <f t="shared" si="27"/>
        <v>3.1587499999999991E-2</v>
      </c>
      <c r="BJ21" s="43">
        <f t="shared" si="28"/>
        <v>0.62289446266263659</v>
      </c>
      <c r="BK21" s="43">
        <f t="shared" si="29"/>
        <v>2.5728216171874988E-2</v>
      </c>
      <c r="BL21" s="43">
        <f t="shared" si="30"/>
        <v>4.966464586035154E-2</v>
      </c>
      <c r="BM21" s="43">
        <f t="shared" si="31"/>
        <v>0</v>
      </c>
      <c r="BN21" s="43">
        <f t="shared" si="32"/>
        <v>5.2499346961918929E-2</v>
      </c>
      <c r="BO21" s="43">
        <f t="shared" si="33"/>
        <v>5.2265033423437489E-2</v>
      </c>
      <c r="BP21" s="43">
        <f t="shared" si="34"/>
        <v>0.63516037064886721</v>
      </c>
      <c r="BQ21" s="43">
        <f t="shared" si="35"/>
        <v>5.7790226388984366E-2</v>
      </c>
      <c r="BR21" s="43">
        <f t="shared" si="36"/>
        <v>0.38448182958584259</v>
      </c>
      <c r="BS21" s="43">
        <f t="shared" si="37"/>
        <v>6.4558896106938213E-2</v>
      </c>
      <c r="BT21" s="43">
        <f t="shared" si="38"/>
        <v>0.45029792759758192</v>
      </c>
      <c r="BU21" s="43">
        <f t="shared" si="39"/>
        <v>0.44326018636384551</v>
      </c>
      <c r="BV21" s="43">
        <f t="shared" si="40"/>
        <v>0.61965508766263677</v>
      </c>
      <c r="BW21" s="43">
        <f t="shared" si="41"/>
        <v>4.6434375E-2</v>
      </c>
      <c r="BX21" s="43">
        <f t="shared" si="42"/>
        <v>8.5638114804687498E-2</v>
      </c>
      <c r="BY21" s="43">
        <f t="shared" si="43"/>
        <v>2.5721249999999994E-2</v>
      </c>
      <c r="BZ21" s="1"/>
      <c r="CA21" s="43">
        <f t="shared" si="4"/>
        <v>0.20934067509232898</v>
      </c>
      <c r="CB21" s="43">
        <f t="shared" si="5"/>
        <v>0.2360757435317821</v>
      </c>
      <c r="CC21" s="43">
        <f t="shared" si="6"/>
        <v>0.10901287176589106</v>
      </c>
      <c r="CD21" s="43">
        <f t="shared" si="7"/>
        <v>0.10901287176589106</v>
      </c>
      <c r="CE21" s="43">
        <f t="shared" si="8"/>
        <v>0</v>
      </c>
      <c r="CF21" s="43">
        <f t="shared" si="9"/>
        <v>0.39607289912579813</v>
      </c>
      <c r="CG21" s="43">
        <f t="shared" si="10"/>
        <v>9.09357259055395E-2</v>
      </c>
      <c r="CH21" s="43">
        <f t="shared" si="11"/>
        <v>0.14060037176589105</v>
      </c>
      <c r="CI21" s="43">
        <f t="shared" si="12"/>
        <v>0.22870139656986316</v>
      </c>
      <c r="CJ21" s="43">
        <f t="shared" si="13"/>
        <v>8.8335338342453551E-2</v>
      </c>
      <c r="CK21" s="43">
        <f t="shared" si="14"/>
        <v>0</v>
      </c>
      <c r="CL21" s="43">
        <f t="shared" si="15"/>
        <v>8.2810145376906674E-2</v>
      </c>
      <c r="CM21" s="43">
        <f t="shared" si="16"/>
        <v>0</v>
      </c>
      <c r="CN21" s="43">
        <f t="shared" si="17"/>
        <v>7.6041475658952834E-2</v>
      </c>
      <c r="CO21" s="43">
        <f t="shared" si="18"/>
        <v>0</v>
      </c>
      <c r="CP21" s="43">
        <f t="shared" si="19"/>
        <v>0</v>
      </c>
      <c r="CQ21" s="43">
        <f t="shared" si="20"/>
        <v>0</v>
      </c>
      <c r="CR21" s="43">
        <f t="shared" si="21"/>
        <v>9.4165996765891047E-2</v>
      </c>
      <c r="CS21" s="43">
        <f t="shared" si="22"/>
        <v>5.4962256961203548E-2</v>
      </c>
      <c r="CT21" s="43">
        <f t="shared" si="23"/>
        <v>0.11487912176589105</v>
      </c>
      <c r="CU21" s="1"/>
    </row>
    <row r="22" spans="1:99" x14ac:dyDescent="0.25">
      <c r="A22" s="112">
        <v>45050</v>
      </c>
      <c r="B22" s="14">
        <v>14</v>
      </c>
      <c r="C22" s="15" t="s">
        <v>123</v>
      </c>
      <c r="D22" s="12">
        <f t="shared" si="0"/>
        <v>1</v>
      </c>
      <c r="E22" s="32">
        <f t="shared" si="1"/>
        <v>1.5864416381237241</v>
      </c>
      <c r="F22" s="63" cm="1">
        <f t="array" ref="F22">IF(B22="","",0.1+IFERROR(INDEX($F$6:$F21,SUMPRODUCT(MAX(ROW($C$6:$C21)*($C22=$C$6:$C21))-ROW($A$5)))*0.9^($A22-INDEX($A$6:A21,SUMPRODUCT(MAX(ROW($C$6:$C21)*($C22=$C$6:$C21))-ROW($A$5)))),0))</f>
        <v>0.1</v>
      </c>
      <c r="G22" s="64">
        <f>INDEX('Exercise list'!$Y$5:$Y$102,MATCH(C22,'Exercise list'!$C$5:$C$102,0))</f>
        <v>2</v>
      </c>
      <c r="H22" s="115">
        <f t="shared" si="2"/>
        <v>0.13492744147531305</v>
      </c>
      <c r="I22" s="6">
        <f t="shared" si="44"/>
        <v>2</v>
      </c>
      <c r="J22" s="6">
        <v>0</v>
      </c>
      <c r="K22" s="12"/>
      <c r="L22" s="74" t="str" cm="1">
        <f t="array" ref="L22">IF(K22="","",INDEX('Exercise list'!$C$5:$C$102,K22))</f>
        <v/>
      </c>
      <c r="M22" s="6"/>
      <c r="N22" s="75" t="str" cm="1">
        <f t="array" ref="N22">IF(M22="","",INDEX('Exercise list'!$C$5:$C$102,M22))</f>
        <v/>
      </c>
      <c r="P22">
        <f>IFERROR(INDEX('Exercise list'!$E$5:$X$102,MATCH($C22,'Exercise list'!$C$5:$C$102,0),MATCH(P$5,'Exercise list'!$E$4:$X$4,0)),0)</f>
        <v>0</v>
      </c>
      <c r="Q22">
        <f>IFERROR(INDEX('Exercise list'!$E$5:$X$102,MATCH($C22,'Exercise list'!$C$5:$C$102,0),MATCH(Q$5,'Exercise list'!$E$4:$X$4,0)),0)</f>
        <v>1</v>
      </c>
      <c r="R22">
        <f>IFERROR(INDEX('Exercise list'!$E$5:$X$102,MATCH($C22,'Exercise list'!$C$5:$C$102,0),MATCH(R$5,'Exercise list'!$E$4:$X$4,0)),0)</f>
        <v>0.6</v>
      </c>
      <c r="S22">
        <f>IFERROR(INDEX('Exercise list'!$E$5:$X$102,MATCH($C22,'Exercise list'!$C$5:$C$102,0),MATCH(S$5,'Exercise list'!$E$4:$X$4,0)),0)</f>
        <v>0.7</v>
      </c>
      <c r="T22">
        <f>IFERROR(INDEX('Exercise list'!$E$5:$X$102,MATCH($C22,'Exercise list'!$C$5:$C$102,0),MATCH(T$5,'Exercise list'!$E$4:$X$4,0)),0)</f>
        <v>0</v>
      </c>
      <c r="U22">
        <f>IFERROR(INDEX('Exercise list'!$E$5:$X$102,MATCH($C22,'Exercise list'!$C$5:$C$102,0),MATCH(U$5,'Exercise list'!$E$4:$X$4,0)),0)</f>
        <v>0</v>
      </c>
      <c r="V22">
        <f>IFERROR(INDEX('Exercise list'!$E$5:$X$102,MATCH($C22,'Exercise list'!$C$5:$C$102,0),MATCH(V$5,'Exercise list'!$E$4:$X$4,0)),0)</f>
        <v>0</v>
      </c>
      <c r="W22">
        <f>IFERROR(INDEX('Exercise list'!$E$5:$X$102,MATCH($C22,'Exercise list'!$C$5:$C$102,0),MATCH(W$5,'Exercise list'!$E$4:$X$4,0)),0)</f>
        <v>0</v>
      </c>
      <c r="X22">
        <f>IFERROR(INDEX('Exercise list'!$E$5:$X$102,MATCH($C22,'Exercise list'!$C$5:$C$102,0),MATCH(X$5,'Exercise list'!$E$4:$X$4,0)),0)</f>
        <v>0.5</v>
      </c>
      <c r="Y22">
        <f>IFERROR(INDEX('Exercise list'!$E$5:$X$102,MATCH($C22,'Exercise list'!$C$5:$C$102,0),MATCH(Y$5,'Exercise list'!$E$4:$X$4,0)),0)</f>
        <v>0</v>
      </c>
      <c r="Z22">
        <f>IFERROR(INDEX('Exercise list'!$E$5:$X$102,MATCH($C22,'Exercise list'!$C$5:$C$102,0),MATCH(Z$5,'Exercise list'!$E$4:$X$4,0)),0)</f>
        <v>0.5</v>
      </c>
      <c r="AA22">
        <f>IFERROR(INDEX('Exercise list'!$E$5:$X$102,MATCH($C22,'Exercise list'!$C$5:$C$102,0),MATCH(AA$5,'Exercise list'!$E$4:$X$4,0)),0)</f>
        <v>0</v>
      </c>
      <c r="AB22">
        <f>IFERROR(INDEX('Exercise list'!$E$5:$X$102,MATCH($C22,'Exercise list'!$C$5:$C$102,0),MATCH(AB$5,'Exercise list'!$E$4:$X$4,0)),0)</f>
        <v>0</v>
      </c>
      <c r="AC22">
        <f>IFERROR(INDEX('Exercise list'!$E$5:$X$102,MATCH($C22,'Exercise list'!$C$5:$C$102,0),MATCH(AC$5,'Exercise list'!$E$4:$X$4,0)),0)</f>
        <v>0</v>
      </c>
      <c r="AD22">
        <f>IFERROR(INDEX('Exercise list'!$E$5:$X$102,MATCH($C22,'Exercise list'!$C$5:$C$102,0),MATCH(AD$5,'Exercise list'!$E$4:$X$4,0)),0)</f>
        <v>0</v>
      </c>
      <c r="AE22">
        <f>IFERROR(INDEX('Exercise list'!$E$5:$X$102,MATCH($C22,'Exercise list'!$C$5:$C$102,0),MATCH(AE$5,'Exercise list'!$E$4:$X$4,0)),0)</f>
        <v>0</v>
      </c>
      <c r="AF22">
        <f>IFERROR(INDEX('Exercise list'!$E$5:$X$102,MATCH($C22,'Exercise list'!$C$5:$C$102,0),MATCH(AF$5,'Exercise list'!$E$4:$X$4,0)),0)</f>
        <v>0</v>
      </c>
      <c r="AG22">
        <f>IFERROR(INDEX('Exercise list'!$E$5:$X$102,MATCH($C22,'Exercise list'!$C$5:$C$102,0),MATCH(AG$5,'Exercise list'!$E$4:$X$4,0)),0)</f>
        <v>0</v>
      </c>
      <c r="AH22">
        <f>IFERROR(INDEX('Exercise list'!$E$5:$X$102,MATCH($C22,'Exercise list'!$C$5:$C$102,0),MATCH(AH$5,'Exercise list'!$E$4:$X$4,0)),0)</f>
        <v>0</v>
      </c>
      <c r="AI22">
        <f>IFERROR(INDEX('Exercise list'!$E$5:$X$102,MATCH($C22,'Exercise list'!$C$5:$C$102,0),MATCH(AI$5,'Exercise list'!$E$4:$X$4,0)),0)</f>
        <v>0</v>
      </c>
      <c r="AK22">
        <f>IF(OR($J22=1,COUNTIFS($A$5:$A21,"&gt;="&amp;$A22-1,$A$5:$A21,"&lt;="&amp;$A22,$B$5:$B21,$B22)&gt;0,MIN(1-'Exercise list'!E$2,IF($A22=$A21,AK21,1))-P22&lt;0),-1,MIN(1,IF($A22=$A21,AK21,1)-P22+$D$2))</f>
        <v>1</v>
      </c>
      <c r="AL22">
        <f>IF(OR($J22=1,COUNTIFS($A$5:$A21,"&gt;="&amp;$A22-1,$A$5:$A21,"&lt;="&amp;$A22,$B$5:$B21,$B22)&gt;0,MIN(1-'Exercise list'!F$2,IF($A22=$A21,AL21,1))-Q22&lt;0),-1,MIN(1,IF($A22=$A21,AL21,1)-Q22+$D$2))</f>
        <v>1</v>
      </c>
      <c r="AM22">
        <f>IF(OR($J22=1,COUNTIFS($A$5:$A21,"&gt;="&amp;$A22-1,$A$5:$A21,"&lt;="&amp;$A22,$B$5:$B21,$B22)&gt;0,MIN(1-'Exercise list'!G$2,IF($A22=$A21,AM21,1))-R22&lt;0),-1,MIN(1,IF($A22=$A21,AM21,1)-R22+$D$2))</f>
        <v>1</v>
      </c>
      <c r="AN22">
        <f>IF(OR($J22=1,COUNTIFS($A$5:$A21,"&gt;="&amp;$A22-1,$A$5:$A21,"&lt;="&amp;$A22,$B$5:$B21,$B22)&gt;0,MIN(1-'Exercise list'!H$2,IF($A22=$A21,AN21,1))-S22&lt;0),-1,MIN(1,IF($A22=$A21,AN21,1)-S22+$D$2))</f>
        <v>1</v>
      </c>
      <c r="AO22">
        <f>IF(OR($J22=1,COUNTIFS($A$5:$A21,"&gt;="&amp;$A22-1,$A$5:$A21,"&lt;="&amp;$A22,$B$5:$B21,$B22)&gt;0,MIN(1-'Exercise list'!I$2,IF($A22=$A21,AO21,1))-T22&lt;0),-1,MIN(1,IF($A22=$A21,AO21,1)-T22+$D$2))</f>
        <v>1</v>
      </c>
      <c r="AP22">
        <f>IF(OR($J22=1,COUNTIFS($A$5:$A21,"&gt;="&amp;$A22-1,$A$5:$A21,"&lt;="&amp;$A22,$B$5:$B21,$B22)&gt;0,MIN(1-'Exercise list'!J$2,IF($A22=$A21,AP21,1))-U22&lt;0),-1,MIN(1,IF($A22=$A21,AP21,1)-U22+$D$2))</f>
        <v>1</v>
      </c>
      <c r="AQ22">
        <f>IF(OR($J22=1,COUNTIFS($A$5:$A21,"&gt;="&amp;$A22-1,$A$5:$A21,"&lt;="&amp;$A22,$B$5:$B21,$B22)&gt;0,MIN(1-'Exercise list'!K$2,IF($A22=$A21,AQ21,1))-V22&lt;0),-1,MIN(1,IF($A22=$A21,AQ21,1)-V22+$D$2))</f>
        <v>1</v>
      </c>
      <c r="AR22">
        <f>IF(OR($J22=1,COUNTIFS($A$5:$A21,"&gt;="&amp;$A22-1,$A$5:$A21,"&lt;="&amp;$A22,$B$5:$B21,$B22)&gt;0,MIN(1-'Exercise list'!L$2,IF($A22=$A21,AR21,1))-W22&lt;0),-1,MIN(1,IF($A22=$A21,AR21,1)-W22+$D$2))</f>
        <v>1</v>
      </c>
      <c r="AS22">
        <f>IF(OR($J22=1,COUNTIFS($A$5:$A21,"&gt;="&amp;$A22-1,$A$5:$A21,"&lt;="&amp;$A22,$B$5:$B21,$B22)&gt;0,MIN(1-'Exercise list'!M$2,IF($A22=$A21,AS21,1))-X22&lt;0),-1,MIN(1,IF($A22=$A21,AS21,1)-X22+$D$2))</f>
        <v>1</v>
      </c>
      <c r="AT22">
        <f>IF(OR($J22=1,COUNTIFS($A$5:$A21,"&gt;="&amp;$A22-1,$A$5:$A21,"&lt;="&amp;$A22,$B$5:$B21,$B22)&gt;0,MIN(1-'Exercise list'!N$2,IF($A22=$A21,AT21,1))-Y22&lt;0),-1,MIN(1,IF($A22=$A21,AT21,1)-Y22+$D$2))</f>
        <v>1</v>
      </c>
      <c r="AU22">
        <f>IF(OR($J22=1,COUNTIFS($A$5:$A21,"&gt;="&amp;$A22-1,$A$5:$A21,"&lt;="&amp;$A22,$B$5:$B21,$B22)&gt;0,MIN(1-'Exercise list'!O$2,IF($A22=$A21,AU21,1))-Z22&lt;0),-1,MIN(1,IF($A22=$A21,AU21,1)-Z22+$D$2))</f>
        <v>1</v>
      </c>
      <c r="AV22">
        <f>IF(OR($J22=1,COUNTIFS($A$5:$A21,"&gt;="&amp;$A22-1,$A$5:$A21,"&lt;="&amp;$A22,$B$5:$B21,$B22)&gt;0,MIN(1-'Exercise list'!P$2,IF($A22=$A21,AV21,1))-AA22&lt;0),-1,MIN(1,IF($A22=$A21,AV21,1)-AA22+$D$2))</f>
        <v>1</v>
      </c>
      <c r="AW22">
        <f>IF(OR($J22=1,COUNTIFS($A$5:$A21,"&gt;="&amp;$A22-1,$A$5:$A21,"&lt;="&amp;$A22,$B$5:$B21,$B22)&gt;0,MIN(1-'Exercise list'!Q$2,IF($A22=$A21,AW21,1))-AB22&lt;0),-1,MIN(1,IF($A22=$A21,AW21,1)-AB22+$D$2))</f>
        <v>1</v>
      </c>
      <c r="AX22">
        <f>IF(OR($J22=1,COUNTIFS($A$5:$A21,"&gt;="&amp;$A22-1,$A$5:$A21,"&lt;="&amp;$A22,$B$5:$B21,$B22)&gt;0,MIN(1-'Exercise list'!R$2,IF($A22=$A21,AX21,1))-AC22&lt;0),-1,MIN(1,IF($A22=$A21,AX21,1)-AC22+$D$2))</f>
        <v>1</v>
      </c>
      <c r="AY22">
        <f>IF(OR($J22=1,COUNTIFS($A$5:$A21,"&gt;="&amp;$A22-1,$A$5:$A21,"&lt;="&amp;$A22,$B$5:$B21,$B22)&gt;0,MIN(1-'Exercise list'!S$2,IF($A22=$A21,AY21,1))-AD22&lt;0),-1,MIN(1,IF($A22=$A21,AY21,1)-AD22+$D$2))</f>
        <v>1</v>
      </c>
      <c r="AZ22">
        <f>IF(OR($J22=1,COUNTIFS($A$5:$A21,"&gt;="&amp;$A22-1,$A$5:$A21,"&lt;="&amp;$A22,$B$5:$B21,$B22)&gt;0,MIN(1-'Exercise list'!T$2,IF($A22=$A21,AZ21,1))-AE22&lt;0),-1,MIN(1,IF($A22=$A21,AZ21,1)-AE22+$D$2))</f>
        <v>1</v>
      </c>
      <c r="BA22">
        <f>IF(OR($J22=1,COUNTIFS($A$5:$A21,"&gt;="&amp;$A22-1,$A$5:$A21,"&lt;="&amp;$A22,$B$5:$B21,$B22)&gt;0,MIN(1-'Exercise list'!U$2,IF($A22=$A21,BA21,1))-AF22&lt;0),-1,MIN(1,IF($A22=$A21,BA21,1)-AF22+$D$2))</f>
        <v>1</v>
      </c>
      <c r="BB22">
        <f>IF(OR($J22=1,COUNTIFS($A$5:$A21,"&gt;="&amp;$A22-1,$A$5:$A21,"&lt;="&amp;$A22,$B$5:$B21,$B22)&gt;0,MIN(1-'Exercise list'!V$2,IF($A22=$A21,BB21,1))-AG22&lt;0),-1,MIN(1,IF($A22=$A21,BB21,1)-AG22+$D$2))</f>
        <v>1</v>
      </c>
      <c r="BC22">
        <f>IF(OR($J22=1,COUNTIFS($A$5:$A21,"&gt;="&amp;$A22-1,$A$5:$A21,"&lt;="&amp;$A22,$B$5:$B21,$B22)&gt;0,MIN(1-'Exercise list'!W$2,IF($A22=$A21,BC21,1))-AH22&lt;0),-1,MIN(1,IF($A22=$A21,BC21,1)-AH22+$D$2))</f>
        <v>1</v>
      </c>
      <c r="BD22">
        <f>IF(OR($J22=1,COUNTIFS($A$5:$A21,"&gt;="&amp;$A22-1,$A$5:$A21,"&lt;="&amp;$A22,$B$5:$B21,$B22)&gt;0,MIN(1-'Exercise list'!X$2,IF($A22=$A21,BD21,1))-AI22&lt;0),-1,MIN(1,IF($A22=$A21,BD21,1)-AI22+$D$2))</f>
        <v>1</v>
      </c>
      <c r="BF22" s="44">
        <f t="shared" si="24"/>
        <v>6.8267065017480449E-2</v>
      </c>
      <c r="BG22" s="44">
        <f t="shared" si="25"/>
        <v>9.286875E-2</v>
      </c>
      <c r="BH22" s="44">
        <f t="shared" si="26"/>
        <v>6.0008124999999989E-2</v>
      </c>
      <c r="BI22" s="44">
        <f t="shared" si="27"/>
        <v>6.5008124999999986E-2</v>
      </c>
      <c r="BJ22" s="44">
        <f t="shared" si="28"/>
        <v>0.59174973952950471</v>
      </c>
      <c r="BK22" s="44">
        <f t="shared" si="29"/>
        <v>2.4441805363281239E-2</v>
      </c>
      <c r="BL22" s="44">
        <f t="shared" si="30"/>
        <v>4.7181413567333963E-2</v>
      </c>
      <c r="BM22" s="44">
        <f t="shared" si="31"/>
        <v>0</v>
      </c>
      <c r="BN22" s="44">
        <f t="shared" si="32"/>
        <v>7.4874379613822983E-2</v>
      </c>
      <c r="BO22" s="44">
        <f t="shared" si="33"/>
        <v>4.965178175226561E-2</v>
      </c>
      <c r="BP22" s="44">
        <f t="shared" si="34"/>
        <v>0.62840235211642381</v>
      </c>
      <c r="BQ22" s="44">
        <f t="shared" si="35"/>
        <v>5.4900715069535144E-2</v>
      </c>
      <c r="BR22" s="44">
        <f t="shared" si="36"/>
        <v>0.36525773810655043</v>
      </c>
      <c r="BS22" s="44">
        <f t="shared" si="37"/>
        <v>6.1330951301591302E-2</v>
      </c>
      <c r="BT22" s="44">
        <f t="shared" si="38"/>
        <v>0.42778303121770278</v>
      </c>
      <c r="BU22" s="44">
        <f t="shared" si="39"/>
        <v>0.42109717704565319</v>
      </c>
      <c r="BV22" s="44">
        <f t="shared" si="40"/>
        <v>0.58867233327950486</v>
      </c>
      <c r="BW22" s="44">
        <f t="shared" si="41"/>
        <v>4.411265625E-2</v>
      </c>
      <c r="BX22" s="44">
        <f t="shared" si="42"/>
        <v>8.1356209064453122E-2</v>
      </c>
      <c r="BY22" s="44">
        <f t="shared" si="43"/>
        <v>2.4435187499999993E-2</v>
      </c>
      <c r="CA22" s="44">
        <f t="shared" si="4"/>
        <v>0.21109586355993462</v>
      </c>
      <c r="CB22" s="44">
        <f t="shared" si="5"/>
        <v>0.18649417857741507</v>
      </c>
      <c r="CC22" s="44">
        <f t="shared" si="6"/>
        <v>7.967333928870754E-2</v>
      </c>
      <c r="CD22" s="44">
        <f t="shared" si="7"/>
        <v>7.4673339288707549E-2</v>
      </c>
      <c r="CE22" s="44">
        <f t="shared" si="8"/>
        <v>0</v>
      </c>
      <c r="CF22" s="44">
        <f t="shared" si="9"/>
        <v>0.39460258750284144</v>
      </c>
      <c r="CG22" s="44">
        <f t="shared" si="10"/>
        <v>9.2500050721373572E-2</v>
      </c>
      <c r="CH22" s="44">
        <f t="shared" si="11"/>
        <v>0.13968146428870754</v>
      </c>
      <c r="CI22" s="44">
        <f t="shared" si="12"/>
        <v>0.20448854896359209</v>
      </c>
      <c r="CJ22" s="44">
        <f t="shared" si="13"/>
        <v>9.0029682536441918E-2</v>
      </c>
      <c r="CK22" s="44">
        <f t="shared" si="14"/>
        <v>0</v>
      </c>
      <c r="CL22" s="44">
        <f t="shared" si="15"/>
        <v>8.4780749219172391E-2</v>
      </c>
      <c r="CM22" s="44">
        <f t="shared" si="16"/>
        <v>0</v>
      </c>
      <c r="CN22" s="44">
        <f t="shared" si="17"/>
        <v>7.8350512987116233E-2</v>
      </c>
      <c r="CO22" s="44">
        <f t="shared" si="18"/>
        <v>0</v>
      </c>
      <c r="CP22" s="44">
        <f t="shared" si="19"/>
        <v>0</v>
      </c>
      <c r="CQ22" s="44">
        <f t="shared" si="20"/>
        <v>0</v>
      </c>
      <c r="CR22" s="44">
        <f t="shared" si="21"/>
        <v>9.5568808038707542E-2</v>
      </c>
      <c r="CS22" s="44">
        <f t="shared" si="22"/>
        <v>5.8325255224254413E-2</v>
      </c>
      <c r="CT22" s="44">
        <f t="shared" si="23"/>
        <v>0.11524627678870754</v>
      </c>
    </row>
    <row r="23" spans="1:99" x14ac:dyDescent="0.25">
      <c r="A23" s="112">
        <v>45050</v>
      </c>
      <c r="B23" s="14">
        <v>12</v>
      </c>
      <c r="C23" s="15" t="s">
        <v>121</v>
      </c>
      <c r="D23" s="12">
        <f t="shared" si="0"/>
        <v>1</v>
      </c>
      <c r="E23" s="32">
        <f t="shared" si="1"/>
        <v>0.77025233514603964</v>
      </c>
      <c r="F23" s="63" cm="1">
        <f t="array" ref="F23">IF(B23="","",0.1+IFERROR(INDEX($F$6:$F22,SUMPRODUCT(MAX(ROW($C$6:$C22)*($C23=$C$6:$C22))-ROW($A$5)))*0.9^($A23-INDEX($A$6:A22,SUMPRODUCT(MAX(ROW($C$6:$C22)*($C23=$C$6:$C22))-ROW($A$5)))),0))</f>
        <v>0.1</v>
      </c>
      <c r="G23" s="64">
        <f>INDEX('Exercise list'!$Y$5:$Y$102,MATCH(C23,'Exercise list'!$C$5:$C$102,0))</f>
        <v>1</v>
      </c>
      <c r="H23" s="115">
        <f t="shared" si="2"/>
        <v>0.13157634227577708</v>
      </c>
      <c r="I23" s="6">
        <f t="shared" si="44"/>
        <v>3</v>
      </c>
      <c r="J23" s="6">
        <v>0</v>
      </c>
      <c r="K23" s="12"/>
      <c r="L23" s="74" t="str" cm="1">
        <f t="array" ref="L23">IF(K23="","",INDEX('Exercise list'!$C$5:$C$102,K23))</f>
        <v/>
      </c>
      <c r="M23" s="6"/>
      <c r="N23" s="75" t="str" cm="1">
        <f t="array" ref="N23">IF(M23="","",INDEX('Exercise list'!$C$5:$C$102,M23))</f>
        <v/>
      </c>
      <c r="P23">
        <f>IFERROR(INDEX('Exercise list'!$E$5:$X$102,MATCH($C23,'Exercise list'!$C$5:$C$102,0),MATCH(P$5,'Exercise list'!$E$4:$X$4,0)),0)</f>
        <v>0</v>
      </c>
      <c r="Q23">
        <f>IFERROR(INDEX('Exercise list'!$E$5:$X$102,MATCH($C23,'Exercise list'!$C$5:$C$102,0),MATCH(Q$5,'Exercise list'!$E$4:$X$4,0)),0)</f>
        <v>0</v>
      </c>
      <c r="R23">
        <f>IFERROR(INDEX('Exercise list'!$E$5:$X$102,MATCH($C23,'Exercise list'!$C$5:$C$102,0),MATCH(R$5,'Exercise list'!$E$4:$X$4,0)),0)</f>
        <v>0</v>
      </c>
      <c r="S23">
        <f>IFERROR(INDEX('Exercise list'!$E$5:$X$102,MATCH($C23,'Exercise list'!$C$5:$C$102,0),MATCH(S$5,'Exercise list'!$E$4:$X$4,0)),0)</f>
        <v>0</v>
      </c>
      <c r="T23">
        <f>IFERROR(INDEX('Exercise list'!$E$5:$X$102,MATCH($C23,'Exercise list'!$C$5:$C$102,0),MATCH(T$5,'Exercise list'!$E$4:$X$4,0)),0)</f>
        <v>0</v>
      </c>
      <c r="U23">
        <f>IFERROR(INDEX('Exercise list'!$E$5:$X$102,MATCH($C23,'Exercise list'!$C$5:$C$102,0),MATCH(U$5,'Exercise list'!$E$4:$X$4,0)),0)</f>
        <v>0</v>
      </c>
      <c r="V23">
        <f>IFERROR(INDEX('Exercise list'!$E$5:$X$102,MATCH($C23,'Exercise list'!$C$5:$C$102,0),MATCH(V$5,'Exercise list'!$E$4:$X$4,0)),0)</f>
        <v>0</v>
      </c>
      <c r="W23">
        <f>IFERROR(INDEX('Exercise list'!$E$5:$X$102,MATCH($C23,'Exercise list'!$C$5:$C$102,0),MATCH(W$5,'Exercise list'!$E$4:$X$4,0)),0)</f>
        <v>0</v>
      </c>
      <c r="X23">
        <f>IFERROR(INDEX('Exercise list'!$E$5:$X$102,MATCH($C23,'Exercise list'!$C$5:$C$102,0),MATCH(X$5,'Exercise list'!$E$4:$X$4,0)),0)</f>
        <v>0</v>
      </c>
      <c r="Y23">
        <f>IFERROR(INDEX('Exercise list'!$E$5:$X$102,MATCH($C23,'Exercise list'!$C$5:$C$102,0),MATCH(Y$5,'Exercise list'!$E$4:$X$4,0)),0)</f>
        <v>0</v>
      </c>
      <c r="Z23">
        <f>IFERROR(INDEX('Exercise list'!$E$5:$X$102,MATCH($C23,'Exercise list'!$C$5:$C$102,0),MATCH(Z$5,'Exercise list'!$E$4:$X$4,0)),0)</f>
        <v>0</v>
      </c>
      <c r="AA23">
        <f>IFERROR(INDEX('Exercise list'!$E$5:$X$102,MATCH($C23,'Exercise list'!$C$5:$C$102,0),MATCH(AA$5,'Exercise list'!$E$4:$X$4,0)),0)</f>
        <v>0</v>
      </c>
      <c r="AB23">
        <f>IFERROR(INDEX('Exercise list'!$E$5:$X$102,MATCH($C23,'Exercise list'!$C$5:$C$102,0),MATCH(AB$5,'Exercise list'!$E$4:$X$4,0)),0)</f>
        <v>0</v>
      </c>
      <c r="AC23">
        <f>IFERROR(INDEX('Exercise list'!$E$5:$X$102,MATCH($C23,'Exercise list'!$C$5:$C$102,0),MATCH(AC$5,'Exercise list'!$E$4:$X$4,0)),0)</f>
        <v>0</v>
      </c>
      <c r="AD23">
        <f>IFERROR(INDEX('Exercise list'!$E$5:$X$102,MATCH($C23,'Exercise list'!$C$5:$C$102,0),MATCH(AD$5,'Exercise list'!$E$4:$X$4,0)),0)</f>
        <v>0</v>
      </c>
      <c r="AE23">
        <f>IFERROR(INDEX('Exercise list'!$E$5:$X$102,MATCH($C23,'Exercise list'!$C$5:$C$102,0),MATCH(AE$5,'Exercise list'!$E$4:$X$4,0)),0)</f>
        <v>1</v>
      </c>
      <c r="AF23">
        <f>IFERROR(INDEX('Exercise list'!$E$5:$X$102,MATCH($C23,'Exercise list'!$C$5:$C$102,0),MATCH(AF$5,'Exercise list'!$E$4:$X$4,0)),0)</f>
        <v>0.5</v>
      </c>
      <c r="AG23">
        <f>IFERROR(INDEX('Exercise list'!$E$5:$X$102,MATCH($C23,'Exercise list'!$C$5:$C$102,0),MATCH(AG$5,'Exercise list'!$E$4:$X$4,0)),0)</f>
        <v>0</v>
      </c>
      <c r="AH23">
        <f>IFERROR(INDEX('Exercise list'!$E$5:$X$102,MATCH($C23,'Exercise list'!$C$5:$C$102,0),MATCH(AH$5,'Exercise list'!$E$4:$X$4,0)),0)</f>
        <v>0</v>
      </c>
      <c r="AI23">
        <f>IFERROR(INDEX('Exercise list'!$E$5:$X$102,MATCH($C23,'Exercise list'!$C$5:$C$102,0),MATCH(AI$5,'Exercise list'!$E$4:$X$4,0)),0)</f>
        <v>0</v>
      </c>
      <c r="AK23">
        <f>IF(OR($J23=1,COUNTIFS($A$5:$A22,"&gt;="&amp;$A23-1,$A$5:$A22,"&lt;="&amp;$A23,$B$5:$B22,$B23)&gt;0,MIN(1-'Exercise list'!E$2,IF($A23=$A22,AK22,1))-P23&lt;0),-1,MIN(1,IF($A23=$A22,AK22,1)-P23+$D$2))</f>
        <v>1</v>
      </c>
      <c r="AL23">
        <f>IF(OR($J23=1,COUNTIFS($A$5:$A22,"&gt;="&amp;$A23-1,$A$5:$A22,"&lt;="&amp;$A23,$B$5:$B22,$B23)&gt;0,MIN(1-'Exercise list'!F$2,IF($A23=$A22,AL22,1))-Q23&lt;0),-1,MIN(1,IF($A23=$A22,AL22,1)-Q23+$D$2))</f>
        <v>1</v>
      </c>
      <c r="AM23">
        <f>IF(OR($J23=1,COUNTIFS($A$5:$A22,"&gt;="&amp;$A23-1,$A$5:$A22,"&lt;="&amp;$A23,$B$5:$B22,$B23)&gt;0,MIN(1-'Exercise list'!G$2,IF($A23=$A22,AM22,1))-R23&lt;0),-1,MIN(1,IF($A23=$A22,AM22,1)-R23+$D$2))</f>
        <v>1</v>
      </c>
      <c r="AN23">
        <f>IF(OR($J23=1,COUNTIFS($A$5:$A22,"&gt;="&amp;$A23-1,$A$5:$A22,"&lt;="&amp;$A23,$B$5:$B22,$B23)&gt;0,MIN(1-'Exercise list'!H$2,IF($A23=$A22,AN22,1))-S23&lt;0),-1,MIN(1,IF($A23=$A22,AN22,1)-S23+$D$2))</f>
        <v>1</v>
      </c>
      <c r="AO23">
        <f>IF(OR($J23=1,COUNTIFS($A$5:$A22,"&gt;="&amp;$A23-1,$A$5:$A22,"&lt;="&amp;$A23,$B$5:$B22,$B23)&gt;0,MIN(1-'Exercise list'!I$2,IF($A23=$A22,AO22,1))-T23&lt;0),-1,MIN(1,IF($A23=$A22,AO22,1)-T23+$D$2))</f>
        <v>1</v>
      </c>
      <c r="AP23">
        <f>IF(OR($J23=1,COUNTIFS($A$5:$A22,"&gt;="&amp;$A23-1,$A$5:$A22,"&lt;="&amp;$A23,$B$5:$B22,$B23)&gt;0,MIN(1-'Exercise list'!J$2,IF($A23=$A22,AP22,1))-U23&lt;0),-1,MIN(1,IF($A23=$A22,AP22,1)-U23+$D$2))</f>
        <v>1</v>
      </c>
      <c r="AQ23">
        <f>IF(OR($J23=1,COUNTIFS($A$5:$A22,"&gt;="&amp;$A23-1,$A$5:$A22,"&lt;="&amp;$A23,$B$5:$B22,$B23)&gt;0,MIN(1-'Exercise list'!K$2,IF($A23=$A22,AQ22,1))-V23&lt;0),-1,MIN(1,IF($A23=$A22,AQ22,1)-V23+$D$2))</f>
        <v>1</v>
      </c>
      <c r="AR23">
        <f>IF(OR($J23=1,COUNTIFS($A$5:$A22,"&gt;="&amp;$A23-1,$A$5:$A22,"&lt;="&amp;$A23,$B$5:$B22,$B23)&gt;0,MIN(1-'Exercise list'!L$2,IF($A23=$A22,AR22,1))-W23&lt;0),-1,MIN(1,IF($A23=$A22,AR22,1)-W23+$D$2))</f>
        <v>1</v>
      </c>
      <c r="AS23">
        <f>IF(OR($J23=1,COUNTIFS($A$5:$A22,"&gt;="&amp;$A23-1,$A$5:$A22,"&lt;="&amp;$A23,$B$5:$B22,$B23)&gt;0,MIN(1-'Exercise list'!M$2,IF($A23=$A22,AS22,1))-X23&lt;0),-1,MIN(1,IF($A23=$A22,AS22,1)-X23+$D$2))</f>
        <v>1</v>
      </c>
      <c r="AT23">
        <f>IF(OR($J23=1,COUNTIFS($A$5:$A22,"&gt;="&amp;$A23-1,$A$5:$A22,"&lt;="&amp;$A23,$B$5:$B22,$B23)&gt;0,MIN(1-'Exercise list'!N$2,IF($A23=$A22,AT22,1))-Y23&lt;0),-1,MIN(1,IF($A23=$A22,AT22,1)-Y23+$D$2))</f>
        <v>1</v>
      </c>
      <c r="AU23">
        <f>IF(OR($J23=1,COUNTIFS($A$5:$A22,"&gt;="&amp;$A23-1,$A$5:$A22,"&lt;="&amp;$A23,$B$5:$B22,$B23)&gt;0,MIN(1-'Exercise list'!O$2,IF($A23=$A22,AU22,1))-Z23&lt;0),-1,MIN(1,IF($A23=$A22,AU22,1)-Z23+$D$2))</f>
        <v>1</v>
      </c>
      <c r="AV23">
        <f>IF(OR($J23=1,COUNTIFS($A$5:$A22,"&gt;="&amp;$A23-1,$A$5:$A22,"&lt;="&amp;$A23,$B$5:$B22,$B23)&gt;0,MIN(1-'Exercise list'!P$2,IF($A23=$A22,AV22,1))-AA23&lt;0),-1,MIN(1,IF($A23=$A22,AV22,1)-AA23+$D$2))</f>
        <v>1</v>
      </c>
      <c r="AW23">
        <f>IF(OR($J23=1,COUNTIFS($A$5:$A22,"&gt;="&amp;$A23-1,$A$5:$A22,"&lt;="&amp;$A23,$B$5:$B22,$B23)&gt;0,MIN(1-'Exercise list'!Q$2,IF($A23=$A22,AW22,1))-AB23&lt;0),-1,MIN(1,IF($A23=$A22,AW22,1)-AB23+$D$2))</f>
        <v>1</v>
      </c>
      <c r="AX23">
        <f>IF(OR($J23=1,COUNTIFS($A$5:$A22,"&gt;="&amp;$A23-1,$A$5:$A22,"&lt;="&amp;$A23,$B$5:$B22,$B23)&gt;0,MIN(1-'Exercise list'!R$2,IF($A23=$A22,AX22,1))-AC23&lt;0),-1,MIN(1,IF($A23=$A22,AX22,1)-AC23+$D$2))</f>
        <v>1</v>
      </c>
      <c r="AY23">
        <f>IF(OR($J23=1,COUNTIFS($A$5:$A22,"&gt;="&amp;$A23-1,$A$5:$A22,"&lt;="&amp;$A23,$B$5:$B22,$B23)&gt;0,MIN(1-'Exercise list'!S$2,IF($A23=$A22,AY22,1))-AD23&lt;0),-1,MIN(1,IF($A23=$A22,AY22,1)-AD23+$D$2))</f>
        <v>1</v>
      </c>
      <c r="AZ23">
        <f>IF(OR($J23=1,COUNTIFS($A$5:$A22,"&gt;="&amp;$A23-1,$A$5:$A22,"&lt;="&amp;$A23,$B$5:$B22,$B23)&gt;0,MIN(1-'Exercise list'!T$2,IF($A23=$A22,AZ22,1))-AE23&lt;0),-1,MIN(1,IF($A23=$A22,AZ22,1)-AE23+$D$2))</f>
        <v>1</v>
      </c>
      <c r="BA23">
        <f>IF(OR($J23=1,COUNTIFS($A$5:$A22,"&gt;="&amp;$A23-1,$A$5:$A22,"&lt;="&amp;$A23,$B$5:$B22,$B23)&gt;0,MIN(1-'Exercise list'!U$2,IF($A23=$A22,BA22,1))-AF23&lt;0),-1,MIN(1,IF($A23=$A22,BA22,1)-AF23+$D$2))</f>
        <v>1</v>
      </c>
      <c r="BB23">
        <f>IF(OR($J23=1,COUNTIFS($A$5:$A22,"&gt;="&amp;$A23-1,$A$5:$A22,"&lt;="&amp;$A23,$B$5:$B22,$B23)&gt;0,MIN(1-'Exercise list'!V$2,IF($A23=$A22,BB22,1))-AG23&lt;0),-1,MIN(1,IF($A23=$A22,BB22,1)-AG23+$D$2))</f>
        <v>1</v>
      </c>
      <c r="BC23">
        <f>IF(OR($J23=1,COUNTIFS($A$5:$A22,"&gt;="&amp;$A23-1,$A$5:$A22,"&lt;="&amp;$A23,$B$5:$B22,$B23)&gt;0,MIN(1-'Exercise list'!W$2,IF($A23=$A22,BC22,1))-AH23&lt;0),-1,MIN(1,IF($A23=$A22,BC22,1)-AH23+$D$2))</f>
        <v>1</v>
      </c>
      <c r="BD23">
        <f>IF(OR($J23=1,COUNTIFS($A$5:$A22,"&gt;="&amp;$A23-1,$A$5:$A22,"&lt;="&amp;$A23,$B$5:$B22,$B23)&gt;0,MIN(1-'Exercise list'!X$2,IF($A23=$A22,BD22,1))-AI23&lt;0),-1,MIN(1,IF($A23=$A22,BD22,1)-AI23+$D$2))</f>
        <v>1</v>
      </c>
      <c r="BF23" s="44">
        <f t="shared" si="24"/>
        <v>6.4853711766606426E-2</v>
      </c>
      <c r="BG23" s="44">
        <f t="shared" si="25"/>
        <v>8.82253125E-2</v>
      </c>
      <c r="BH23" s="44">
        <f t="shared" si="26"/>
        <v>5.7007718749999985E-2</v>
      </c>
      <c r="BI23" s="44">
        <f t="shared" si="27"/>
        <v>6.1757718749999982E-2</v>
      </c>
      <c r="BJ23" s="44">
        <f t="shared" si="28"/>
        <v>0.56216225255302943</v>
      </c>
      <c r="BK23" s="44">
        <f t="shared" si="29"/>
        <v>2.3219715095117176E-2</v>
      </c>
      <c r="BL23" s="44">
        <f t="shared" si="30"/>
        <v>4.4822342888967262E-2</v>
      </c>
      <c r="BM23" s="44">
        <f t="shared" si="31"/>
        <v>0</v>
      </c>
      <c r="BN23" s="44">
        <f t="shared" si="32"/>
        <v>7.1130660633131837E-2</v>
      </c>
      <c r="BO23" s="44">
        <f t="shared" si="33"/>
        <v>4.7169192664652325E-2</v>
      </c>
      <c r="BP23" s="44">
        <f t="shared" si="34"/>
        <v>0.59698223451060262</v>
      </c>
      <c r="BQ23" s="44">
        <f t="shared" si="35"/>
        <v>5.2155679316058384E-2</v>
      </c>
      <c r="BR23" s="44">
        <f t="shared" si="36"/>
        <v>0.34699485120122292</v>
      </c>
      <c r="BS23" s="44">
        <f t="shared" si="37"/>
        <v>5.8264403736511733E-2</v>
      </c>
      <c r="BT23" s="44">
        <f t="shared" si="38"/>
        <v>0.40639387965681761</v>
      </c>
      <c r="BU23" s="44">
        <f t="shared" si="39"/>
        <v>0.45004231819337048</v>
      </c>
      <c r="BV23" s="44">
        <f t="shared" si="40"/>
        <v>0.58423871661552962</v>
      </c>
      <c r="BW23" s="44">
        <f t="shared" si="41"/>
        <v>4.1907023437499996E-2</v>
      </c>
      <c r="BX23" s="44">
        <f t="shared" si="42"/>
        <v>7.7288398611230463E-2</v>
      </c>
      <c r="BY23" s="44">
        <f t="shared" si="43"/>
        <v>2.3213428124999994E-2</v>
      </c>
      <c r="CA23" s="44">
        <f t="shared" si="4"/>
        <v>0.20609662593749351</v>
      </c>
      <c r="CB23" s="44">
        <f t="shared" si="5"/>
        <v>0.18272502520409994</v>
      </c>
      <c r="CC23" s="44">
        <f t="shared" si="6"/>
        <v>7.8467450102049974E-2</v>
      </c>
      <c r="CD23" s="44">
        <f t="shared" si="7"/>
        <v>7.3717450102049983E-2</v>
      </c>
      <c r="CE23" s="44">
        <f t="shared" si="8"/>
        <v>0</v>
      </c>
      <c r="CF23" s="44">
        <f t="shared" si="9"/>
        <v>0.38320579146103279</v>
      </c>
      <c r="CG23" s="44">
        <f t="shared" si="10"/>
        <v>9.0652825963082703E-2</v>
      </c>
      <c r="CH23" s="44">
        <f t="shared" si="11"/>
        <v>0.13547516885204997</v>
      </c>
      <c r="CI23" s="44">
        <f t="shared" si="12"/>
        <v>0.19981967707096809</v>
      </c>
      <c r="CJ23" s="44">
        <f t="shared" si="13"/>
        <v>8.8305976187397633E-2</v>
      </c>
      <c r="CK23" s="44">
        <f t="shared" si="14"/>
        <v>0</v>
      </c>
      <c r="CL23" s="44">
        <f t="shared" si="15"/>
        <v>8.3319489535991581E-2</v>
      </c>
      <c r="CM23" s="44">
        <f t="shared" si="16"/>
        <v>0</v>
      </c>
      <c r="CN23" s="44">
        <f t="shared" si="17"/>
        <v>7.7210765115538232E-2</v>
      </c>
      <c r="CO23" s="44">
        <f t="shared" si="18"/>
        <v>0</v>
      </c>
      <c r="CP23" s="44">
        <f t="shared" si="19"/>
        <v>0</v>
      </c>
      <c r="CQ23" s="44">
        <f t="shared" si="20"/>
        <v>0</v>
      </c>
      <c r="CR23" s="44">
        <f t="shared" si="21"/>
        <v>9.3568145414549969E-2</v>
      </c>
      <c r="CS23" s="44">
        <f t="shared" si="22"/>
        <v>5.8186770240819502E-2</v>
      </c>
      <c r="CT23" s="44">
        <f t="shared" si="23"/>
        <v>0.11226174072704997</v>
      </c>
    </row>
    <row r="24" spans="1:99" x14ac:dyDescent="0.25">
      <c r="A24" s="112">
        <v>45050</v>
      </c>
      <c r="B24" s="14">
        <v>11</v>
      </c>
      <c r="C24" s="15" t="s">
        <v>120</v>
      </c>
      <c r="D24" s="12">
        <f t="shared" si="0"/>
        <v>1</v>
      </c>
      <c r="E24" s="32">
        <f t="shared" si="1"/>
        <v>0.78458349172779929</v>
      </c>
      <c r="F24" s="63" cm="1">
        <f t="array" ref="F24">IF(B24="","",0.1+IFERROR(INDEX($F$6:$F23,SUMPRODUCT(MAX(ROW($C$6:$C23)*($C24=$C$6:$C23))-ROW($A$5)))*0.9^($A24-INDEX($A$6:A23,SUMPRODUCT(MAX(ROW($C$6:$C23)*($C24=$C$6:$C23))-ROW($A$5)))),0))</f>
        <v>0.1</v>
      </c>
      <c r="G24" s="64">
        <f>INDEX('Exercise list'!$Y$5:$Y$102,MATCH(C24,'Exercise list'!$C$5:$C$102,0))</f>
        <v>1</v>
      </c>
      <c r="H24" s="115">
        <f t="shared" si="2"/>
        <v>0.1259647968885774</v>
      </c>
      <c r="I24" s="6">
        <f t="shared" si="44"/>
        <v>4</v>
      </c>
      <c r="J24" s="6">
        <v>0</v>
      </c>
      <c r="K24" s="12"/>
      <c r="L24" s="74" t="str" cm="1">
        <f t="array" ref="L24">IF(K24="","",INDEX('Exercise list'!$C$5:$C$102,K24))</f>
        <v/>
      </c>
      <c r="M24" s="6"/>
      <c r="N24" s="75" t="str" cm="1">
        <f t="array" ref="N24">IF(M24="","",INDEX('Exercise list'!$C$5:$C$102,M24))</f>
        <v/>
      </c>
      <c r="P24">
        <f>IFERROR(INDEX('Exercise list'!$E$5:$X$102,MATCH($C24,'Exercise list'!$C$5:$C$102,0),MATCH(P$5,'Exercise list'!$E$4:$X$4,0)),0)</f>
        <v>0</v>
      </c>
      <c r="Q24">
        <f>IFERROR(INDEX('Exercise list'!$E$5:$X$102,MATCH($C24,'Exercise list'!$C$5:$C$102,0),MATCH(Q$5,'Exercise list'!$E$4:$X$4,0)),0)</f>
        <v>0</v>
      </c>
      <c r="R24">
        <f>IFERROR(INDEX('Exercise list'!$E$5:$X$102,MATCH($C24,'Exercise list'!$C$5:$C$102,0),MATCH(R$5,'Exercise list'!$E$4:$X$4,0)),0)</f>
        <v>0</v>
      </c>
      <c r="S24">
        <f>IFERROR(INDEX('Exercise list'!$E$5:$X$102,MATCH($C24,'Exercise list'!$C$5:$C$102,0),MATCH(S$5,'Exercise list'!$E$4:$X$4,0)),0)</f>
        <v>0</v>
      </c>
      <c r="T24">
        <f>IFERROR(INDEX('Exercise list'!$E$5:$X$102,MATCH($C24,'Exercise list'!$C$5:$C$102,0),MATCH(T$5,'Exercise list'!$E$4:$X$4,0)),0)</f>
        <v>0</v>
      </c>
      <c r="U24">
        <f>IFERROR(INDEX('Exercise list'!$E$5:$X$102,MATCH($C24,'Exercise list'!$C$5:$C$102,0),MATCH(U$5,'Exercise list'!$E$4:$X$4,0)),0)</f>
        <v>0</v>
      </c>
      <c r="V24">
        <f>IFERROR(INDEX('Exercise list'!$E$5:$X$102,MATCH($C24,'Exercise list'!$C$5:$C$102,0),MATCH(V$5,'Exercise list'!$E$4:$X$4,0)),0)</f>
        <v>0</v>
      </c>
      <c r="W24">
        <f>IFERROR(INDEX('Exercise list'!$E$5:$X$102,MATCH($C24,'Exercise list'!$C$5:$C$102,0),MATCH(W$5,'Exercise list'!$E$4:$X$4,0)),0)</f>
        <v>0</v>
      </c>
      <c r="X24">
        <f>IFERROR(INDEX('Exercise list'!$E$5:$X$102,MATCH($C24,'Exercise list'!$C$5:$C$102,0),MATCH(X$5,'Exercise list'!$E$4:$X$4,0)),0)</f>
        <v>0</v>
      </c>
      <c r="Y24">
        <f>IFERROR(INDEX('Exercise list'!$E$5:$X$102,MATCH($C24,'Exercise list'!$C$5:$C$102,0),MATCH(Y$5,'Exercise list'!$E$4:$X$4,0)),0)</f>
        <v>0</v>
      </c>
      <c r="Z24">
        <f>IFERROR(INDEX('Exercise list'!$E$5:$X$102,MATCH($C24,'Exercise list'!$C$5:$C$102,0),MATCH(Z$5,'Exercise list'!$E$4:$X$4,0)),0)</f>
        <v>0</v>
      </c>
      <c r="AA24">
        <f>IFERROR(INDEX('Exercise list'!$E$5:$X$102,MATCH($C24,'Exercise list'!$C$5:$C$102,0),MATCH(AA$5,'Exercise list'!$E$4:$X$4,0)),0)</f>
        <v>0</v>
      </c>
      <c r="AB24">
        <f>IFERROR(INDEX('Exercise list'!$E$5:$X$102,MATCH($C24,'Exercise list'!$C$5:$C$102,0),MATCH(AB$5,'Exercise list'!$E$4:$X$4,0)),0)</f>
        <v>0</v>
      </c>
      <c r="AC24">
        <f>IFERROR(INDEX('Exercise list'!$E$5:$X$102,MATCH($C24,'Exercise list'!$C$5:$C$102,0),MATCH(AC$5,'Exercise list'!$E$4:$X$4,0)),0)</f>
        <v>0</v>
      </c>
      <c r="AD24">
        <f>IFERROR(INDEX('Exercise list'!$E$5:$X$102,MATCH($C24,'Exercise list'!$C$5:$C$102,0),MATCH(AD$5,'Exercise list'!$E$4:$X$4,0)),0)</f>
        <v>0</v>
      </c>
      <c r="AE24">
        <f>IFERROR(INDEX('Exercise list'!$E$5:$X$102,MATCH($C24,'Exercise list'!$C$5:$C$102,0),MATCH(AE$5,'Exercise list'!$E$4:$X$4,0)),0)</f>
        <v>0</v>
      </c>
      <c r="AF24">
        <f>IFERROR(INDEX('Exercise list'!$E$5:$X$102,MATCH($C24,'Exercise list'!$C$5:$C$102,0),MATCH(AF$5,'Exercise list'!$E$4:$X$4,0)),0)</f>
        <v>0</v>
      </c>
      <c r="AG24">
        <f>IFERROR(INDEX('Exercise list'!$E$5:$X$102,MATCH($C24,'Exercise list'!$C$5:$C$102,0),MATCH(AG$5,'Exercise list'!$E$4:$X$4,0)),0)</f>
        <v>1</v>
      </c>
      <c r="AH24">
        <f>IFERROR(INDEX('Exercise list'!$E$5:$X$102,MATCH($C24,'Exercise list'!$C$5:$C$102,0),MATCH(AH$5,'Exercise list'!$E$4:$X$4,0)),0)</f>
        <v>0</v>
      </c>
      <c r="AI24">
        <f>IFERROR(INDEX('Exercise list'!$E$5:$X$102,MATCH($C24,'Exercise list'!$C$5:$C$102,0),MATCH(AI$5,'Exercise list'!$E$4:$X$4,0)),0)</f>
        <v>0</v>
      </c>
      <c r="AK24">
        <f>IF(OR($J24=1,COUNTIFS($A$5:$A23,"&gt;="&amp;$A24-1,$A$5:$A23,"&lt;="&amp;$A24,$B$5:$B23,$B24)&gt;0,MIN(1-'Exercise list'!E$2,IF($A24=$A23,AK23,1))-P24&lt;0),-1,MIN(1,IF($A24=$A23,AK23,1)-P24+$D$2))</f>
        <v>1</v>
      </c>
      <c r="AL24">
        <f>IF(OR($J24=1,COUNTIFS($A$5:$A23,"&gt;="&amp;$A24-1,$A$5:$A23,"&lt;="&amp;$A24,$B$5:$B23,$B24)&gt;0,MIN(1-'Exercise list'!F$2,IF($A24=$A23,AL23,1))-Q24&lt;0),-1,MIN(1,IF($A24=$A23,AL23,1)-Q24+$D$2))</f>
        <v>1</v>
      </c>
      <c r="AM24">
        <f>IF(OR($J24=1,COUNTIFS($A$5:$A23,"&gt;="&amp;$A24-1,$A$5:$A23,"&lt;="&amp;$A24,$B$5:$B23,$B24)&gt;0,MIN(1-'Exercise list'!G$2,IF($A24=$A23,AM23,1))-R24&lt;0),-1,MIN(1,IF($A24=$A23,AM23,1)-R24+$D$2))</f>
        <v>1</v>
      </c>
      <c r="AN24">
        <f>IF(OR($J24=1,COUNTIFS($A$5:$A23,"&gt;="&amp;$A24-1,$A$5:$A23,"&lt;="&amp;$A24,$B$5:$B23,$B24)&gt;0,MIN(1-'Exercise list'!H$2,IF($A24=$A23,AN23,1))-S24&lt;0),-1,MIN(1,IF($A24=$A23,AN23,1)-S24+$D$2))</f>
        <v>1</v>
      </c>
      <c r="AO24">
        <f>IF(OR($J24=1,COUNTIFS($A$5:$A23,"&gt;="&amp;$A24-1,$A$5:$A23,"&lt;="&amp;$A24,$B$5:$B23,$B24)&gt;0,MIN(1-'Exercise list'!I$2,IF($A24=$A23,AO23,1))-T24&lt;0),-1,MIN(1,IF($A24=$A23,AO23,1)-T24+$D$2))</f>
        <v>1</v>
      </c>
      <c r="AP24">
        <f>IF(OR($J24=1,COUNTIFS($A$5:$A23,"&gt;="&amp;$A24-1,$A$5:$A23,"&lt;="&amp;$A24,$B$5:$B23,$B24)&gt;0,MIN(1-'Exercise list'!J$2,IF($A24=$A23,AP23,1))-U24&lt;0),-1,MIN(1,IF($A24=$A23,AP23,1)-U24+$D$2))</f>
        <v>1</v>
      </c>
      <c r="AQ24">
        <f>IF(OR($J24=1,COUNTIFS($A$5:$A23,"&gt;="&amp;$A24-1,$A$5:$A23,"&lt;="&amp;$A24,$B$5:$B23,$B24)&gt;0,MIN(1-'Exercise list'!K$2,IF($A24=$A23,AQ23,1))-V24&lt;0),-1,MIN(1,IF($A24=$A23,AQ23,1)-V24+$D$2))</f>
        <v>1</v>
      </c>
      <c r="AR24">
        <f>IF(OR($J24=1,COUNTIFS($A$5:$A23,"&gt;="&amp;$A24-1,$A$5:$A23,"&lt;="&amp;$A24,$B$5:$B23,$B24)&gt;0,MIN(1-'Exercise list'!L$2,IF($A24=$A23,AR23,1))-W24&lt;0),-1,MIN(1,IF($A24=$A23,AR23,1)-W24+$D$2))</f>
        <v>1</v>
      </c>
      <c r="AS24">
        <f>IF(OR($J24=1,COUNTIFS($A$5:$A23,"&gt;="&amp;$A24-1,$A$5:$A23,"&lt;="&amp;$A24,$B$5:$B23,$B24)&gt;0,MIN(1-'Exercise list'!M$2,IF($A24=$A23,AS23,1))-X24&lt;0),-1,MIN(1,IF($A24=$A23,AS23,1)-X24+$D$2))</f>
        <v>1</v>
      </c>
      <c r="AT24">
        <f>IF(OR($J24=1,COUNTIFS($A$5:$A23,"&gt;="&amp;$A24-1,$A$5:$A23,"&lt;="&amp;$A24,$B$5:$B23,$B24)&gt;0,MIN(1-'Exercise list'!N$2,IF($A24=$A23,AT23,1))-Y24&lt;0),-1,MIN(1,IF($A24=$A23,AT23,1)-Y24+$D$2))</f>
        <v>1</v>
      </c>
      <c r="AU24">
        <f>IF(OR($J24=1,COUNTIFS($A$5:$A23,"&gt;="&amp;$A24-1,$A$5:$A23,"&lt;="&amp;$A24,$B$5:$B23,$B24)&gt;0,MIN(1-'Exercise list'!O$2,IF($A24=$A23,AU23,1))-Z24&lt;0),-1,MIN(1,IF($A24=$A23,AU23,1)-Z24+$D$2))</f>
        <v>1</v>
      </c>
      <c r="AV24">
        <f>IF(OR($J24=1,COUNTIFS($A$5:$A23,"&gt;="&amp;$A24-1,$A$5:$A23,"&lt;="&amp;$A24,$B$5:$B23,$B24)&gt;0,MIN(1-'Exercise list'!P$2,IF($A24=$A23,AV23,1))-AA24&lt;0),-1,MIN(1,IF($A24=$A23,AV23,1)-AA24+$D$2))</f>
        <v>1</v>
      </c>
      <c r="AW24">
        <f>IF(OR($J24=1,COUNTIFS($A$5:$A23,"&gt;="&amp;$A24-1,$A$5:$A23,"&lt;="&amp;$A24,$B$5:$B23,$B24)&gt;0,MIN(1-'Exercise list'!Q$2,IF($A24=$A23,AW23,1))-AB24&lt;0),-1,MIN(1,IF($A24=$A23,AW23,1)-AB24+$D$2))</f>
        <v>1</v>
      </c>
      <c r="AX24">
        <f>IF(OR($J24=1,COUNTIFS($A$5:$A23,"&gt;="&amp;$A24-1,$A$5:$A23,"&lt;="&amp;$A24,$B$5:$B23,$B24)&gt;0,MIN(1-'Exercise list'!R$2,IF($A24=$A23,AX23,1))-AC24&lt;0),-1,MIN(1,IF($A24=$A23,AX23,1)-AC24+$D$2))</f>
        <v>1</v>
      </c>
      <c r="AY24">
        <f>IF(OR($J24=1,COUNTIFS($A$5:$A23,"&gt;="&amp;$A24-1,$A$5:$A23,"&lt;="&amp;$A24,$B$5:$B23,$B24)&gt;0,MIN(1-'Exercise list'!S$2,IF($A24=$A23,AY23,1))-AD24&lt;0),-1,MIN(1,IF($A24=$A23,AY23,1)-AD24+$D$2))</f>
        <v>1</v>
      </c>
      <c r="AZ24">
        <f>IF(OR($J24=1,COUNTIFS($A$5:$A23,"&gt;="&amp;$A24-1,$A$5:$A23,"&lt;="&amp;$A24,$B$5:$B23,$B24)&gt;0,MIN(1-'Exercise list'!T$2,IF($A24=$A23,AZ23,1))-AE24&lt;0),-1,MIN(1,IF($A24=$A23,AZ23,1)-AE24+$D$2))</f>
        <v>1</v>
      </c>
      <c r="BA24">
        <f>IF(OR($J24=1,COUNTIFS($A$5:$A23,"&gt;="&amp;$A24-1,$A$5:$A23,"&lt;="&amp;$A24,$B$5:$B23,$B24)&gt;0,MIN(1-'Exercise list'!U$2,IF($A24=$A23,BA23,1))-AF24&lt;0),-1,MIN(1,IF($A24=$A23,BA23,1)-AF24+$D$2))</f>
        <v>1</v>
      </c>
      <c r="BB24">
        <f>IF(OR($J24=1,COUNTIFS($A$5:$A23,"&gt;="&amp;$A24-1,$A$5:$A23,"&lt;="&amp;$A24,$B$5:$B23,$B24)&gt;0,MIN(1-'Exercise list'!V$2,IF($A24=$A23,BB23,1))-AG24&lt;0),-1,MIN(1,IF($A24=$A23,BB23,1)-AG24+$D$2))</f>
        <v>1</v>
      </c>
      <c r="BC24">
        <f>IF(OR($J24=1,COUNTIFS($A$5:$A23,"&gt;="&amp;$A24-1,$A$5:$A23,"&lt;="&amp;$A24,$B$5:$B23,$B24)&gt;0,MIN(1-'Exercise list'!W$2,IF($A24=$A23,BC23,1))-AH24&lt;0),-1,MIN(1,IF($A24=$A23,BC23,1)-AH24+$D$2))</f>
        <v>1</v>
      </c>
      <c r="BD24">
        <f>IF(OR($J24=1,COUNTIFS($A$5:$A23,"&gt;="&amp;$A24-1,$A$5:$A23,"&lt;="&amp;$A24,$B$5:$B23,$B24)&gt;0,MIN(1-'Exercise list'!X$2,IF($A24=$A23,BD23,1))-AI24&lt;0),-1,MIN(1,IF($A24=$A23,BD23,1)-AI24+$D$2))</f>
        <v>1</v>
      </c>
      <c r="BF24" s="44">
        <f t="shared" si="24"/>
        <v>6.1611026178276102E-2</v>
      </c>
      <c r="BG24" s="44">
        <f t="shared" si="25"/>
        <v>8.3814046874999992E-2</v>
      </c>
      <c r="BH24" s="44">
        <f t="shared" si="26"/>
        <v>5.4157332812499979E-2</v>
      </c>
      <c r="BI24" s="44">
        <f t="shared" si="27"/>
        <v>5.8669832812499982E-2</v>
      </c>
      <c r="BJ24" s="44">
        <f t="shared" si="28"/>
        <v>0.53405413992537798</v>
      </c>
      <c r="BK24" s="44">
        <f t="shared" si="29"/>
        <v>2.2058729340361318E-2</v>
      </c>
      <c r="BL24" s="44">
        <f t="shared" si="30"/>
        <v>4.2581225744518898E-2</v>
      </c>
      <c r="BM24" s="44">
        <f t="shared" si="31"/>
        <v>0</v>
      </c>
      <c r="BN24" s="44">
        <f t="shared" si="32"/>
        <v>6.7574127601475242E-2</v>
      </c>
      <c r="BO24" s="44">
        <f t="shared" si="33"/>
        <v>4.4810733031419706E-2</v>
      </c>
      <c r="BP24" s="44">
        <f t="shared" si="34"/>
        <v>0.56713312278507244</v>
      </c>
      <c r="BQ24" s="44">
        <f t="shared" si="35"/>
        <v>4.9547895350255465E-2</v>
      </c>
      <c r="BR24" s="44">
        <f t="shared" si="36"/>
        <v>0.32964510864116175</v>
      </c>
      <c r="BS24" s="44">
        <f t="shared" si="37"/>
        <v>5.5351183549686142E-2</v>
      </c>
      <c r="BT24" s="44">
        <f t="shared" si="38"/>
        <v>0.38607418567397672</v>
      </c>
      <c r="BU24" s="44">
        <f t="shared" si="39"/>
        <v>0.42754020228370193</v>
      </c>
      <c r="BV24" s="44">
        <f t="shared" si="40"/>
        <v>0.55502678078475309</v>
      </c>
      <c r="BW24" s="44">
        <f t="shared" si="41"/>
        <v>8.9811672265625003E-2</v>
      </c>
      <c r="BX24" s="44">
        <f t="shared" si="42"/>
        <v>7.3423978680668939E-2</v>
      </c>
      <c r="BY24" s="44">
        <f t="shared" si="43"/>
        <v>2.2052756718749993E-2</v>
      </c>
      <c r="CA24" s="44">
        <f t="shared" si="4"/>
        <v>0.19949549834432248</v>
      </c>
      <c r="CB24" s="44">
        <f t="shared" si="5"/>
        <v>0.17729247764759859</v>
      </c>
      <c r="CC24" s="44">
        <f t="shared" si="6"/>
        <v>7.6395929448799305E-2</v>
      </c>
      <c r="CD24" s="44">
        <f t="shared" si="7"/>
        <v>7.1883429448799302E-2</v>
      </c>
      <c r="CE24" s="44">
        <f t="shared" si="8"/>
        <v>0</v>
      </c>
      <c r="CF24" s="44">
        <f t="shared" si="9"/>
        <v>0.36960105744353661</v>
      </c>
      <c r="CG24" s="44">
        <f t="shared" si="10"/>
        <v>8.79720365167804E-2</v>
      </c>
      <c r="CH24" s="44">
        <f t="shared" si="11"/>
        <v>0.13055326226129929</v>
      </c>
      <c r="CI24" s="44">
        <f t="shared" si="12"/>
        <v>0.19353239692112334</v>
      </c>
      <c r="CJ24" s="44">
        <f t="shared" si="13"/>
        <v>8.5742529229879585E-2</v>
      </c>
      <c r="CK24" s="44">
        <f t="shared" si="14"/>
        <v>0</v>
      </c>
      <c r="CL24" s="44">
        <f t="shared" si="15"/>
        <v>8.1005366911043819E-2</v>
      </c>
      <c r="CM24" s="44">
        <f t="shared" si="16"/>
        <v>0</v>
      </c>
      <c r="CN24" s="44">
        <f t="shared" si="17"/>
        <v>7.5202078711613149E-2</v>
      </c>
      <c r="CO24" s="44">
        <f t="shared" si="18"/>
        <v>0</v>
      </c>
      <c r="CP24" s="44">
        <f t="shared" si="19"/>
        <v>0</v>
      </c>
      <c r="CQ24" s="44">
        <f t="shared" si="20"/>
        <v>0</v>
      </c>
      <c r="CR24" s="44">
        <f t="shared" si="21"/>
        <v>4.0741589995674288E-2</v>
      </c>
      <c r="CS24" s="44">
        <f t="shared" si="22"/>
        <v>5.7129283580630352E-2</v>
      </c>
      <c r="CT24" s="44">
        <f t="shared" si="23"/>
        <v>0.10850050554254929</v>
      </c>
    </row>
    <row r="25" spans="1:99" x14ac:dyDescent="0.25">
      <c r="A25" s="113">
        <v>45050</v>
      </c>
      <c r="B25" s="21">
        <v>1</v>
      </c>
      <c r="C25" s="22" t="s">
        <v>26</v>
      </c>
      <c r="D25" s="17">
        <f t="shared" si="0"/>
        <v>1</v>
      </c>
      <c r="E25" s="33">
        <f t="shared" si="1"/>
        <v>1.3032772341140222</v>
      </c>
      <c r="F25" s="65" cm="1">
        <f t="array" ref="F25">IF(B25="","",0.1+IFERROR(INDEX($F$6:$F24,SUMPRODUCT(MAX(ROW($C$6:$C24)*($C25=$C$6:$C24))-ROW($A$5)))*0.9^($A25-INDEX($A$6:A24,SUMPRODUCT(MAX(ROW($C$6:$C24)*($C25=$C$6:$C24))-ROW($A$5)))),0))</f>
        <v>0.1729</v>
      </c>
      <c r="G25" s="25">
        <f>INDEX('Exercise list'!$Y$5:$Y$102,MATCH(C25,'Exercise list'!$C$5:$C$102,0))</f>
        <v>3</v>
      </c>
      <c r="H25" s="116">
        <f t="shared" si="2"/>
        <v>0.1259647968885774</v>
      </c>
      <c r="I25" s="18">
        <f t="shared" si="44"/>
        <v>5</v>
      </c>
      <c r="J25" s="18">
        <v>0</v>
      </c>
      <c r="K25" s="17"/>
      <c r="L25" s="51" t="str" cm="1">
        <f t="array" ref="L25">IF(K25="","",INDEX('Exercise list'!$C$5:$C$102,K25))</f>
        <v/>
      </c>
      <c r="M25" s="18"/>
      <c r="N25" s="76" t="str" cm="1">
        <f t="array" ref="N25">IF(M25="","",INDEX('Exercise list'!$C$5:$C$102,M25))</f>
        <v/>
      </c>
      <c r="O25" s="19"/>
      <c r="P25" s="19">
        <f>IFERROR(INDEX('Exercise list'!$E$5:$X$102,MATCH($C25,'Exercise list'!$C$5:$C$102,0),MATCH(P$5,'Exercise list'!$E$4:$X$4,0)),0)</f>
        <v>0</v>
      </c>
      <c r="Q25" s="19">
        <f>IFERROR(INDEX('Exercise list'!$E$5:$X$102,MATCH($C25,'Exercise list'!$C$5:$C$102,0),MATCH(Q$5,'Exercise list'!$E$4:$X$4,0)),0)</f>
        <v>1</v>
      </c>
      <c r="R25" s="19">
        <f>IFERROR(INDEX('Exercise list'!$E$5:$X$102,MATCH($C25,'Exercise list'!$C$5:$C$102,0),MATCH(R$5,'Exercise list'!$E$4:$X$4,0)),0)</f>
        <v>0.7</v>
      </c>
      <c r="S25" s="19">
        <f>IFERROR(INDEX('Exercise list'!$E$5:$X$102,MATCH($C25,'Exercise list'!$C$5:$C$102,0),MATCH(S$5,'Exercise list'!$E$4:$X$4,0)),0)</f>
        <v>0.7</v>
      </c>
      <c r="T25" s="19">
        <f>IFERROR(INDEX('Exercise list'!$E$5:$X$102,MATCH($C25,'Exercise list'!$C$5:$C$102,0),MATCH(T$5,'Exercise list'!$E$4:$X$4,0)),0)</f>
        <v>0.7</v>
      </c>
      <c r="U25" s="19">
        <f>IFERROR(INDEX('Exercise list'!$E$5:$X$102,MATCH($C25,'Exercise list'!$C$5:$C$102,0),MATCH(U$5,'Exercise list'!$E$4:$X$4,0)),0)</f>
        <v>0</v>
      </c>
      <c r="V25" s="19">
        <f>IFERROR(INDEX('Exercise list'!$E$5:$X$102,MATCH($C25,'Exercise list'!$C$5:$C$102,0),MATCH(V$5,'Exercise list'!$E$4:$X$4,0)),0)</f>
        <v>0</v>
      </c>
      <c r="W25" s="19">
        <f>IFERROR(INDEX('Exercise list'!$E$5:$X$102,MATCH($C25,'Exercise list'!$C$5:$C$102,0),MATCH(W$5,'Exercise list'!$E$4:$X$4,0)),0)</f>
        <v>0</v>
      </c>
      <c r="X25" s="19">
        <f>IFERROR(INDEX('Exercise list'!$E$5:$X$102,MATCH($C25,'Exercise list'!$C$5:$C$102,0),MATCH(X$5,'Exercise list'!$E$4:$X$4,0)),0)</f>
        <v>0.5</v>
      </c>
      <c r="Y25" s="19">
        <f>IFERROR(INDEX('Exercise list'!$E$5:$X$102,MATCH($C25,'Exercise list'!$C$5:$C$102,0),MATCH(Y$5,'Exercise list'!$E$4:$X$4,0)),0)</f>
        <v>0</v>
      </c>
      <c r="Z25" s="19">
        <f>IFERROR(INDEX('Exercise list'!$E$5:$X$102,MATCH($C25,'Exercise list'!$C$5:$C$102,0),MATCH(Z$5,'Exercise list'!$E$4:$X$4,0)),0)</f>
        <v>0.7</v>
      </c>
      <c r="AA25" s="19">
        <f>IFERROR(INDEX('Exercise list'!$E$5:$X$102,MATCH($C25,'Exercise list'!$C$5:$C$102,0),MATCH(AA$5,'Exercise list'!$E$4:$X$4,0)),0)</f>
        <v>0</v>
      </c>
      <c r="AB25" s="19">
        <f>IFERROR(INDEX('Exercise list'!$E$5:$X$102,MATCH($C25,'Exercise list'!$C$5:$C$102,0),MATCH(AB$5,'Exercise list'!$E$4:$X$4,0)),0)</f>
        <v>0.5</v>
      </c>
      <c r="AC25" s="19">
        <f>IFERROR(INDEX('Exercise list'!$E$5:$X$102,MATCH($C25,'Exercise list'!$C$5:$C$102,0),MATCH(AC$5,'Exercise list'!$E$4:$X$4,0)),0)</f>
        <v>0</v>
      </c>
      <c r="AD25" s="19">
        <f>IFERROR(INDEX('Exercise list'!$E$5:$X$102,MATCH($C25,'Exercise list'!$C$5:$C$102,0),MATCH(AD$5,'Exercise list'!$E$4:$X$4,0)),0)</f>
        <v>0.7</v>
      </c>
      <c r="AE25" s="19">
        <f>IFERROR(INDEX('Exercise list'!$E$5:$X$102,MATCH($C25,'Exercise list'!$C$5:$C$102,0),MATCH(AE$5,'Exercise list'!$E$4:$X$4,0)),0)</f>
        <v>0.7</v>
      </c>
      <c r="AF25" s="19">
        <f>IFERROR(INDEX('Exercise list'!$E$5:$X$102,MATCH($C25,'Exercise list'!$C$5:$C$102,0),MATCH(AF$5,'Exercise list'!$E$4:$X$4,0)),0)</f>
        <v>0.9</v>
      </c>
      <c r="AG25" s="19">
        <f>IFERROR(INDEX('Exercise list'!$E$5:$X$102,MATCH($C25,'Exercise list'!$C$5:$C$102,0),MATCH(AG$5,'Exercise list'!$E$4:$X$4,0)),0)</f>
        <v>0</v>
      </c>
      <c r="AH25" s="19">
        <f>IFERROR(INDEX('Exercise list'!$E$5:$X$102,MATCH($C25,'Exercise list'!$C$5:$C$102,0),MATCH(AH$5,'Exercise list'!$E$4:$X$4,0)),0)</f>
        <v>0</v>
      </c>
      <c r="AI25" s="19">
        <f>IFERROR(INDEX('Exercise list'!$E$5:$X$102,MATCH($C25,'Exercise list'!$C$5:$C$102,0),MATCH(AI$5,'Exercise list'!$E$4:$X$4,0)),0)</f>
        <v>0</v>
      </c>
      <c r="AJ25" s="19"/>
      <c r="AK25" s="19">
        <f>IF(OR($J25=1,COUNTIFS($A$5:$A24,"&gt;="&amp;$A25-1,$A$5:$A24,"&lt;="&amp;$A25,$B$5:$B24,$B25)&gt;0,MIN(1-'Exercise list'!E$2,IF($A25=$A24,AK24,1))-P25&lt;0),-1,MIN(1,IF($A25=$A24,AK24,1)-P25+$D$2))</f>
        <v>1</v>
      </c>
      <c r="AL25" s="19">
        <f>IF(OR($J25=1,COUNTIFS($A$5:$A24,"&gt;="&amp;$A25-1,$A$5:$A24,"&lt;="&amp;$A25,$B$5:$B24,$B25)&gt;0,MIN(1-'Exercise list'!F$2,IF($A25=$A24,AL24,1))-Q25&lt;0),-1,MIN(1,IF($A25=$A24,AL24,1)-Q25+$D$2))</f>
        <v>1</v>
      </c>
      <c r="AM25" s="19">
        <f>IF(OR($J25=1,COUNTIFS($A$5:$A24,"&gt;="&amp;$A25-1,$A$5:$A24,"&lt;="&amp;$A25,$B$5:$B24,$B25)&gt;0,MIN(1-'Exercise list'!G$2,IF($A25=$A24,AM24,1))-R25&lt;0),-1,MIN(1,IF($A25=$A24,AM24,1)-R25+$D$2))</f>
        <v>1</v>
      </c>
      <c r="AN25" s="19">
        <f>IF(OR($J25=1,COUNTIFS($A$5:$A24,"&gt;="&amp;$A25-1,$A$5:$A24,"&lt;="&amp;$A25,$B$5:$B24,$B25)&gt;0,MIN(1-'Exercise list'!H$2,IF($A25=$A24,AN24,1))-S25&lt;0),-1,MIN(1,IF($A25=$A24,AN24,1)-S25+$D$2))</f>
        <v>1</v>
      </c>
      <c r="AO25" s="19">
        <f>IF(OR($J25=1,COUNTIFS($A$5:$A24,"&gt;="&amp;$A25-1,$A$5:$A24,"&lt;="&amp;$A25,$B$5:$B24,$B25)&gt;0,MIN(1-'Exercise list'!I$2,IF($A25=$A24,AO24,1))-T25&lt;0),-1,MIN(1,IF($A25=$A24,AO24,1)-T25+$D$2))</f>
        <v>1</v>
      </c>
      <c r="AP25" s="19">
        <f>IF(OR($J25=1,COUNTIFS($A$5:$A24,"&gt;="&amp;$A25-1,$A$5:$A24,"&lt;="&amp;$A25,$B$5:$B24,$B25)&gt;0,MIN(1-'Exercise list'!J$2,IF($A25=$A24,AP24,1))-U25&lt;0),-1,MIN(1,IF($A25=$A24,AP24,1)-U25+$D$2))</f>
        <v>1</v>
      </c>
      <c r="AQ25" s="19">
        <f>IF(OR($J25=1,COUNTIFS($A$5:$A24,"&gt;="&amp;$A25-1,$A$5:$A24,"&lt;="&amp;$A25,$B$5:$B24,$B25)&gt;0,MIN(1-'Exercise list'!K$2,IF($A25=$A24,AQ24,1))-V25&lt;0),-1,MIN(1,IF($A25=$A24,AQ24,1)-V25+$D$2))</f>
        <v>1</v>
      </c>
      <c r="AR25" s="19">
        <f>IF(OR($J25=1,COUNTIFS($A$5:$A24,"&gt;="&amp;$A25-1,$A$5:$A24,"&lt;="&amp;$A25,$B$5:$B24,$B25)&gt;0,MIN(1-'Exercise list'!L$2,IF($A25=$A24,AR24,1))-W25&lt;0),-1,MIN(1,IF($A25=$A24,AR24,1)-W25+$D$2))</f>
        <v>1</v>
      </c>
      <c r="AS25" s="19">
        <f>IF(OR($J25=1,COUNTIFS($A$5:$A24,"&gt;="&amp;$A25-1,$A$5:$A24,"&lt;="&amp;$A25,$B$5:$B24,$B25)&gt;0,MIN(1-'Exercise list'!M$2,IF($A25=$A24,AS24,1))-X25&lt;0),-1,MIN(1,IF($A25=$A24,AS24,1)-X25+$D$2))</f>
        <v>1</v>
      </c>
      <c r="AT25" s="19">
        <f>IF(OR($J25=1,COUNTIFS($A$5:$A24,"&gt;="&amp;$A25-1,$A$5:$A24,"&lt;="&amp;$A25,$B$5:$B24,$B25)&gt;0,MIN(1-'Exercise list'!N$2,IF($A25=$A24,AT24,1))-Y25&lt;0),-1,MIN(1,IF($A25=$A24,AT24,1)-Y25+$D$2))</f>
        <v>1</v>
      </c>
      <c r="AU25" s="19">
        <f>IF(OR($J25=1,COUNTIFS($A$5:$A24,"&gt;="&amp;$A25-1,$A$5:$A24,"&lt;="&amp;$A25,$B$5:$B24,$B25)&gt;0,MIN(1-'Exercise list'!O$2,IF($A25=$A24,AU24,1))-Z25&lt;0),-1,MIN(1,IF($A25=$A24,AU24,1)-Z25+$D$2))</f>
        <v>1</v>
      </c>
      <c r="AV25" s="19">
        <f>IF(OR($J25=1,COUNTIFS($A$5:$A24,"&gt;="&amp;$A25-1,$A$5:$A24,"&lt;="&amp;$A25,$B$5:$B24,$B25)&gt;0,MIN(1-'Exercise list'!P$2,IF($A25=$A24,AV24,1))-AA25&lt;0),-1,MIN(1,IF($A25=$A24,AV24,1)-AA25+$D$2))</f>
        <v>1</v>
      </c>
      <c r="AW25" s="19">
        <f>IF(OR($J25=1,COUNTIFS($A$5:$A24,"&gt;="&amp;$A25-1,$A$5:$A24,"&lt;="&amp;$A25,$B$5:$B24,$B25)&gt;0,MIN(1-'Exercise list'!Q$2,IF($A25=$A24,AW24,1))-AB25&lt;0),-1,MIN(1,IF($A25=$A24,AW24,1)-AB25+$D$2))</f>
        <v>1</v>
      </c>
      <c r="AX25" s="19">
        <f>IF(OR($J25=1,COUNTIFS($A$5:$A24,"&gt;="&amp;$A25-1,$A$5:$A24,"&lt;="&amp;$A25,$B$5:$B24,$B25)&gt;0,MIN(1-'Exercise list'!R$2,IF($A25=$A24,AX24,1))-AC25&lt;0),-1,MIN(1,IF($A25=$A24,AX24,1)-AC25+$D$2))</f>
        <v>1</v>
      </c>
      <c r="AY25" s="19">
        <f>IF(OR($J25=1,COUNTIFS($A$5:$A24,"&gt;="&amp;$A25-1,$A$5:$A24,"&lt;="&amp;$A25,$B$5:$B24,$B25)&gt;0,MIN(1-'Exercise list'!S$2,IF($A25=$A24,AY24,1))-AD25&lt;0),-1,MIN(1,IF($A25=$A24,AY24,1)-AD25+$D$2))</f>
        <v>1</v>
      </c>
      <c r="AZ25" s="19">
        <f>IF(OR($J25=1,COUNTIFS($A$5:$A24,"&gt;="&amp;$A25-1,$A$5:$A24,"&lt;="&amp;$A25,$B$5:$B24,$B25)&gt;0,MIN(1-'Exercise list'!T$2,IF($A25=$A24,AZ24,1))-AE25&lt;0),-1,MIN(1,IF($A25=$A24,AZ24,1)-AE25+$D$2))</f>
        <v>1</v>
      </c>
      <c r="BA25" s="19">
        <f>IF(OR($J25=1,COUNTIFS($A$5:$A24,"&gt;="&amp;$A25-1,$A$5:$A24,"&lt;="&amp;$A25,$B$5:$B24,$B25)&gt;0,MIN(1-'Exercise list'!U$2,IF($A25=$A24,BA24,1))-AF25&lt;0),-1,MIN(1,IF($A25=$A24,BA24,1)-AF25+$D$2))</f>
        <v>1</v>
      </c>
      <c r="BB25" s="19">
        <f>IF(OR($J25=1,COUNTIFS($A$5:$A24,"&gt;="&amp;$A25-1,$A$5:$A24,"&lt;="&amp;$A25,$B$5:$B24,$B25)&gt;0,MIN(1-'Exercise list'!V$2,IF($A25=$A24,BB24,1))-AG25&lt;0),-1,MIN(1,IF($A25=$A24,BB24,1)-AG25+$D$2))</f>
        <v>1</v>
      </c>
      <c r="BC25" s="19">
        <f>IF(OR($J25=1,COUNTIFS($A$5:$A24,"&gt;="&amp;$A25-1,$A$5:$A24,"&lt;="&amp;$A25,$B$5:$B24,$B25)&gt;0,MIN(1-'Exercise list'!W$2,IF($A25=$A24,BC24,1))-AH25&lt;0),-1,MIN(1,IF($A25=$A24,BC24,1)-AH25+$D$2))</f>
        <v>1</v>
      </c>
      <c r="BD25" s="19">
        <f>IF(OR($J25=1,COUNTIFS($A$5:$A24,"&gt;="&amp;$A25-1,$A$5:$A24,"&lt;="&amp;$A25,$B$5:$B24,$B25)&gt;0,MIN(1-'Exercise list'!X$2,IF($A25=$A24,BD24,1))-AI25&lt;0),-1,MIN(1,IF($A25=$A24,BD24,1)-AI25+$D$2))</f>
        <v>1</v>
      </c>
      <c r="BE25" s="19"/>
      <c r="BF25" s="23">
        <f t="shared" si="24"/>
        <v>6.1611026178276102E-2</v>
      </c>
      <c r="BG25" s="23">
        <f t="shared" si="25"/>
        <v>8.3814046874999992E-2</v>
      </c>
      <c r="BH25" s="23">
        <f t="shared" si="26"/>
        <v>5.4157332812499979E-2</v>
      </c>
      <c r="BI25" s="23">
        <f t="shared" si="27"/>
        <v>5.8669832812499982E-2</v>
      </c>
      <c r="BJ25" s="23">
        <f t="shared" si="28"/>
        <v>0.53405413992537798</v>
      </c>
      <c r="BK25" s="23">
        <f t="shared" si="29"/>
        <v>2.2058729340361318E-2</v>
      </c>
      <c r="BL25" s="23">
        <f t="shared" si="30"/>
        <v>4.2581225744518898E-2</v>
      </c>
      <c r="BM25" s="23">
        <f t="shared" si="31"/>
        <v>0</v>
      </c>
      <c r="BN25" s="23">
        <f t="shared" si="32"/>
        <v>6.7574127601475242E-2</v>
      </c>
      <c r="BO25" s="23">
        <f t="shared" si="33"/>
        <v>4.4810733031419706E-2</v>
      </c>
      <c r="BP25" s="23">
        <f t="shared" si="34"/>
        <v>0.56713312278507244</v>
      </c>
      <c r="BQ25" s="23">
        <f t="shared" si="35"/>
        <v>4.9547895350255465E-2</v>
      </c>
      <c r="BR25" s="23">
        <f t="shared" si="36"/>
        <v>0.32964510864116175</v>
      </c>
      <c r="BS25" s="23">
        <f t="shared" si="37"/>
        <v>5.5351183549686142E-2</v>
      </c>
      <c r="BT25" s="23">
        <f t="shared" si="38"/>
        <v>0.38607418567397672</v>
      </c>
      <c r="BU25" s="23">
        <f t="shared" si="39"/>
        <v>0.42754020228370193</v>
      </c>
      <c r="BV25" s="23">
        <f t="shared" si="40"/>
        <v>0.55502678078475309</v>
      </c>
      <c r="BW25" s="23">
        <f t="shared" si="41"/>
        <v>8.9811672265625003E-2</v>
      </c>
      <c r="BX25" s="23">
        <f t="shared" si="42"/>
        <v>7.3423978680668939E-2</v>
      </c>
      <c r="BY25" s="23">
        <f t="shared" si="43"/>
        <v>2.2052756718749993E-2</v>
      </c>
      <c r="BZ25" s="19"/>
      <c r="CA25" s="23">
        <f t="shared" si="4"/>
        <v>0.19949549834432248</v>
      </c>
      <c r="CB25" s="23">
        <f t="shared" si="5"/>
        <v>0.17729247764759859</v>
      </c>
      <c r="CC25" s="23">
        <f t="shared" si="6"/>
        <v>7.6395929448799305E-2</v>
      </c>
      <c r="CD25" s="23">
        <f t="shared" si="7"/>
        <v>7.1883429448799302E-2</v>
      </c>
      <c r="CE25" s="23">
        <f t="shared" si="8"/>
        <v>0</v>
      </c>
      <c r="CF25" s="23">
        <f t="shared" si="9"/>
        <v>0.36960105744353661</v>
      </c>
      <c r="CG25" s="23">
        <f t="shared" si="10"/>
        <v>8.79720365167804E-2</v>
      </c>
      <c r="CH25" s="23">
        <f t="shared" si="11"/>
        <v>0.13055326226129929</v>
      </c>
      <c r="CI25" s="23">
        <f t="shared" si="12"/>
        <v>0.19353239692112334</v>
      </c>
      <c r="CJ25" s="23">
        <f t="shared" si="13"/>
        <v>8.5742529229879585E-2</v>
      </c>
      <c r="CK25" s="23">
        <f t="shared" si="14"/>
        <v>0</v>
      </c>
      <c r="CL25" s="23">
        <f t="shared" si="15"/>
        <v>8.1005366911043819E-2</v>
      </c>
      <c r="CM25" s="23">
        <f t="shared" si="16"/>
        <v>0</v>
      </c>
      <c r="CN25" s="23">
        <f t="shared" si="17"/>
        <v>7.5202078711613149E-2</v>
      </c>
      <c r="CO25" s="23">
        <f t="shared" si="18"/>
        <v>0</v>
      </c>
      <c r="CP25" s="23">
        <f t="shared" si="19"/>
        <v>0</v>
      </c>
      <c r="CQ25" s="23">
        <f t="shared" si="20"/>
        <v>0</v>
      </c>
      <c r="CR25" s="23">
        <f t="shared" si="21"/>
        <v>4.0741589995674288E-2</v>
      </c>
      <c r="CS25" s="23">
        <f t="shared" si="22"/>
        <v>5.7129283580630352E-2</v>
      </c>
      <c r="CT25" s="23">
        <f t="shared" si="23"/>
        <v>0.10850050554254929</v>
      </c>
      <c r="CU25" s="19"/>
    </row>
    <row r="26" spans="1:99" x14ac:dyDescent="0.25">
      <c r="A26" s="110">
        <v>45052</v>
      </c>
      <c r="B26" s="111">
        <v>15</v>
      </c>
      <c r="C26" s="38" t="s">
        <v>97</v>
      </c>
      <c r="D26" s="39">
        <f t="shared" si="0"/>
        <v>1</v>
      </c>
      <c r="E26" s="40">
        <f t="shared" si="1"/>
        <v>2.3560408310985617</v>
      </c>
      <c r="F26" s="62" cm="1">
        <f t="array" ref="F26">IF(B26="","",0.1+IFERROR(INDEX($F$6:$F25,SUMPRODUCT(MAX(ROW($C$6:$C25)*($C26=$C$6:$C25))-ROW($A$5)))*0.9^($A26-INDEX($A$6:A25,SUMPRODUCT(MAX(ROW($C$6:$C25)*($C26=$C$6:$C25))-ROW($A$5)))),0))</f>
        <v>0.1</v>
      </c>
      <c r="G26" s="41">
        <f>INDEX('Exercise list'!$Y$5:$Y$102,MATCH(C26,'Exercise list'!$C$5:$C$102,0))</f>
        <v>3</v>
      </c>
      <c r="H26" s="114">
        <f t="shared" si="2"/>
        <v>0.12047534546422169</v>
      </c>
      <c r="I26" s="42">
        <f t="shared" si="44"/>
        <v>1</v>
      </c>
      <c r="J26" s="42">
        <v>0</v>
      </c>
      <c r="K26" s="39"/>
      <c r="L26" s="50" t="str" cm="1">
        <f t="array" ref="L26">IF(K26="","",INDEX('Exercise list'!$C$5:$C$102,K26))</f>
        <v/>
      </c>
      <c r="M26" s="42"/>
      <c r="N26" s="73" t="str" cm="1">
        <f t="array" ref="N26">IF(M26="","",INDEX('Exercise list'!$C$5:$C$102,M26))</f>
        <v/>
      </c>
      <c r="O26" s="1"/>
      <c r="P26" s="1">
        <f>IFERROR(INDEX('Exercise list'!$E$5:$X$102,MATCH($C26,'Exercise list'!$C$5:$C$102,0),MATCH(P$5,'Exercise list'!$E$4:$X$4,0)),0)</f>
        <v>0</v>
      </c>
      <c r="Q26" s="1">
        <f>IFERROR(INDEX('Exercise list'!$E$5:$X$102,MATCH($C26,'Exercise list'!$C$5:$C$102,0),MATCH(Q$5,'Exercise list'!$E$4:$X$4,0)),0)</f>
        <v>1</v>
      </c>
      <c r="R26" s="1">
        <f>IFERROR(INDEX('Exercise list'!$E$5:$X$102,MATCH($C26,'Exercise list'!$C$5:$C$102,0),MATCH(R$5,'Exercise list'!$E$4:$X$4,0)),0)</f>
        <v>0.5</v>
      </c>
      <c r="S26" s="1">
        <f>IFERROR(INDEX('Exercise list'!$E$5:$X$102,MATCH($C26,'Exercise list'!$C$5:$C$102,0),MATCH(S$5,'Exercise list'!$E$4:$X$4,0)),0)</f>
        <v>0.5</v>
      </c>
      <c r="T26" s="1">
        <f>IFERROR(INDEX('Exercise list'!$E$5:$X$102,MATCH($C26,'Exercise list'!$C$5:$C$102,0),MATCH(T$5,'Exercise list'!$E$4:$X$4,0)),0)</f>
        <v>0</v>
      </c>
      <c r="U26" s="1">
        <f>IFERROR(INDEX('Exercise list'!$E$5:$X$102,MATCH($C26,'Exercise list'!$C$5:$C$102,0),MATCH(U$5,'Exercise list'!$E$4:$X$4,0)),0)</f>
        <v>0</v>
      </c>
      <c r="V26" s="1">
        <f>IFERROR(INDEX('Exercise list'!$E$5:$X$102,MATCH($C26,'Exercise list'!$C$5:$C$102,0),MATCH(V$5,'Exercise list'!$E$4:$X$4,0)),0)</f>
        <v>0</v>
      </c>
      <c r="W26" s="1">
        <f>IFERROR(INDEX('Exercise list'!$E$5:$X$102,MATCH($C26,'Exercise list'!$C$5:$C$102,0),MATCH(W$5,'Exercise list'!$E$4:$X$4,0)),0)</f>
        <v>0</v>
      </c>
      <c r="X26" s="1">
        <f>IFERROR(INDEX('Exercise list'!$E$5:$X$102,MATCH($C26,'Exercise list'!$C$5:$C$102,0),MATCH(X$5,'Exercise list'!$E$4:$X$4,0)),0)</f>
        <v>0.8</v>
      </c>
      <c r="Y26" s="1">
        <f>IFERROR(INDEX('Exercise list'!$E$5:$X$102,MATCH($C26,'Exercise list'!$C$5:$C$102,0),MATCH(Y$5,'Exercise list'!$E$4:$X$4,0)),0)</f>
        <v>0</v>
      </c>
      <c r="Z26" s="1">
        <f>IFERROR(INDEX('Exercise list'!$E$5:$X$102,MATCH($C26,'Exercise list'!$C$5:$C$102,0),MATCH(Z$5,'Exercise list'!$E$4:$X$4,0)),0)</f>
        <v>0.8</v>
      </c>
      <c r="AA26" s="1">
        <f>IFERROR(INDEX('Exercise list'!$E$5:$X$102,MATCH($C26,'Exercise list'!$C$5:$C$102,0),MATCH(AA$5,'Exercise list'!$E$4:$X$4,0)),0)</f>
        <v>0</v>
      </c>
      <c r="AB26" s="1">
        <f>IFERROR(INDEX('Exercise list'!$E$5:$X$102,MATCH($C26,'Exercise list'!$C$5:$C$102,0),MATCH(AB$5,'Exercise list'!$E$4:$X$4,0)),0)</f>
        <v>0</v>
      </c>
      <c r="AC26" s="1">
        <f>IFERROR(INDEX('Exercise list'!$E$5:$X$102,MATCH($C26,'Exercise list'!$C$5:$C$102,0),MATCH(AC$5,'Exercise list'!$E$4:$X$4,0)),0)</f>
        <v>0</v>
      </c>
      <c r="AD26" s="1">
        <f>IFERROR(INDEX('Exercise list'!$E$5:$X$102,MATCH($C26,'Exercise list'!$C$5:$C$102,0),MATCH(AD$5,'Exercise list'!$E$4:$X$4,0)),0)</f>
        <v>0</v>
      </c>
      <c r="AE26" s="1">
        <f>IFERROR(INDEX('Exercise list'!$E$5:$X$102,MATCH($C26,'Exercise list'!$C$5:$C$102,0),MATCH(AE$5,'Exercise list'!$E$4:$X$4,0)),0)</f>
        <v>0</v>
      </c>
      <c r="AF26" s="1">
        <f>IFERROR(INDEX('Exercise list'!$E$5:$X$102,MATCH($C26,'Exercise list'!$C$5:$C$102,0),MATCH(AF$5,'Exercise list'!$E$4:$X$4,0)),0)</f>
        <v>0</v>
      </c>
      <c r="AG26" s="1">
        <f>IFERROR(INDEX('Exercise list'!$E$5:$X$102,MATCH($C26,'Exercise list'!$C$5:$C$102,0),MATCH(AG$5,'Exercise list'!$E$4:$X$4,0)),0)</f>
        <v>0</v>
      </c>
      <c r="AH26" s="1">
        <f>IFERROR(INDEX('Exercise list'!$E$5:$X$102,MATCH($C26,'Exercise list'!$C$5:$C$102,0),MATCH(AH$5,'Exercise list'!$E$4:$X$4,0)),0)</f>
        <v>0</v>
      </c>
      <c r="AI26" s="1">
        <f>IFERROR(INDEX('Exercise list'!$E$5:$X$102,MATCH($C26,'Exercise list'!$C$5:$C$102,0),MATCH(AI$5,'Exercise list'!$E$4:$X$4,0)),0)</f>
        <v>0</v>
      </c>
      <c r="AJ26" s="1"/>
      <c r="AK26" s="1">
        <f>IF(OR($J26=1,COUNTIFS($A$5:$A25,"&gt;="&amp;$A26-1,$A$5:$A25,"&lt;="&amp;$A26,$B$5:$B25,$B26)&gt;0,MIN(1-'Exercise list'!E$2,IF($A26=$A25,AK25,1))-P26&lt;0),-1,MIN(1,IF($A26=$A25,AK25,1)-P26+$D$2))</f>
        <v>1</v>
      </c>
      <c r="AL26" s="1">
        <f>IF(OR($J26=1,COUNTIFS($A$5:$A25,"&gt;="&amp;$A26-1,$A$5:$A25,"&lt;="&amp;$A26,$B$5:$B25,$B26)&gt;0,MIN(1-'Exercise list'!F$2,IF($A26=$A25,AL25,1))-Q26&lt;0),-1,MIN(1,IF($A26=$A25,AL25,1)-Q26+$D$2))</f>
        <v>1</v>
      </c>
      <c r="AM26" s="1">
        <f>IF(OR($J26=1,COUNTIFS($A$5:$A25,"&gt;="&amp;$A26-1,$A$5:$A25,"&lt;="&amp;$A26,$B$5:$B25,$B26)&gt;0,MIN(1-'Exercise list'!G$2,IF($A26=$A25,AM25,1))-R26&lt;0),-1,MIN(1,IF($A26=$A25,AM25,1)-R26+$D$2))</f>
        <v>1</v>
      </c>
      <c r="AN26" s="1">
        <f>IF(OR($J26=1,COUNTIFS($A$5:$A25,"&gt;="&amp;$A26-1,$A$5:$A25,"&lt;="&amp;$A26,$B$5:$B25,$B26)&gt;0,MIN(1-'Exercise list'!H$2,IF($A26=$A25,AN25,1))-S26&lt;0),-1,MIN(1,IF($A26=$A25,AN25,1)-S26+$D$2))</f>
        <v>1</v>
      </c>
      <c r="AO26" s="1">
        <f>IF(OR($J26=1,COUNTIFS($A$5:$A25,"&gt;="&amp;$A26-1,$A$5:$A25,"&lt;="&amp;$A26,$B$5:$B25,$B26)&gt;0,MIN(1-'Exercise list'!I$2,IF($A26=$A25,AO25,1))-T26&lt;0),-1,MIN(1,IF($A26=$A25,AO25,1)-T26+$D$2))</f>
        <v>1</v>
      </c>
      <c r="AP26" s="1">
        <f>IF(OR($J26=1,COUNTIFS($A$5:$A25,"&gt;="&amp;$A26-1,$A$5:$A25,"&lt;="&amp;$A26,$B$5:$B25,$B26)&gt;0,MIN(1-'Exercise list'!J$2,IF($A26=$A25,AP25,1))-U26&lt;0),-1,MIN(1,IF($A26=$A25,AP25,1)-U26+$D$2))</f>
        <v>1</v>
      </c>
      <c r="AQ26" s="1">
        <f>IF(OR($J26=1,COUNTIFS($A$5:$A25,"&gt;="&amp;$A26-1,$A$5:$A25,"&lt;="&amp;$A26,$B$5:$B25,$B26)&gt;0,MIN(1-'Exercise list'!K$2,IF($A26=$A25,AQ25,1))-V26&lt;0),-1,MIN(1,IF($A26=$A25,AQ25,1)-V26+$D$2))</f>
        <v>1</v>
      </c>
      <c r="AR26" s="1">
        <f>IF(OR($J26=1,COUNTIFS($A$5:$A25,"&gt;="&amp;$A26-1,$A$5:$A25,"&lt;="&amp;$A26,$B$5:$B25,$B26)&gt;0,MIN(1-'Exercise list'!L$2,IF($A26=$A25,AR25,1))-W26&lt;0),-1,MIN(1,IF($A26=$A25,AR25,1)-W26+$D$2))</f>
        <v>1</v>
      </c>
      <c r="AS26" s="1">
        <f>IF(OR($J26=1,COUNTIFS($A$5:$A25,"&gt;="&amp;$A26-1,$A$5:$A25,"&lt;="&amp;$A26,$B$5:$B25,$B26)&gt;0,MIN(1-'Exercise list'!M$2,IF($A26=$A25,AS25,1))-X26&lt;0),-1,MIN(1,IF($A26=$A25,AS25,1)-X26+$D$2))</f>
        <v>1</v>
      </c>
      <c r="AT26" s="1">
        <f>IF(OR($J26=1,COUNTIFS($A$5:$A25,"&gt;="&amp;$A26-1,$A$5:$A25,"&lt;="&amp;$A26,$B$5:$B25,$B26)&gt;0,MIN(1-'Exercise list'!N$2,IF($A26=$A25,AT25,1))-Y26&lt;0),-1,MIN(1,IF($A26=$A25,AT25,1)-Y26+$D$2))</f>
        <v>1</v>
      </c>
      <c r="AU26" s="1">
        <f>IF(OR($J26=1,COUNTIFS($A$5:$A25,"&gt;="&amp;$A26-1,$A$5:$A25,"&lt;="&amp;$A26,$B$5:$B25,$B26)&gt;0,MIN(1-'Exercise list'!O$2,IF($A26=$A25,AU25,1))-Z26&lt;0),-1,MIN(1,IF($A26=$A25,AU25,1)-Z26+$D$2))</f>
        <v>1</v>
      </c>
      <c r="AV26" s="1">
        <f>IF(OR($J26=1,COUNTIFS($A$5:$A25,"&gt;="&amp;$A26-1,$A$5:$A25,"&lt;="&amp;$A26,$B$5:$B25,$B26)&gt;0,MIN(1-'Exercise list'!P$2,IF($A26=$A25,AV25,1))-AA26&lt;0),-1,MIN(1,IF($A26=$A25,AV25,1)-AA26+$D$2))</f>
        <v>1</v>
      </c>
      <c r="AW26" s="1">
        <f>IF(OR($J26=1,COUNTIFS($A$5:$A25,"&gt;="&amp;$A26-1,$A$5:$A25,"&lt;="&amp;$A26,$B$5:$B25,$B26)&gt;0,MIN(1-'Exercise list'!Q$2,IF($A26=$A25,AW25,1))-AB26&lt;0),-1,MIN(1,IF($A26=$A25,AW25,1)-AB26+$D$2))</f>
        <v>1</v>
      </c>
      <c r="AX26" s="1">
        <f>IF(OR($J26=1,COUNTIFS($A$5:$A25,"&gt;="&amp;$A26-1,$A$5:$A25,"&lt;="&amp;$A26,$B$5:$B25,$B26)&gt;0,MIN(1-'Exercise list'!R$2,IF($A26=$A25,AX25,1))-AC26&lt;0),-1,MIN(1,IF($A26=$A25,AX25,1)-AC26+$D$2))</f>
        <v>1</v>
      </c>
      <c r="AY26" s="1">
        <f>IF(OR($J26=1,COUNTIFS($A$5:$A25,"&gt;="&amp;$A26-1,$A$5:$A25,"&lt;="&amp;$A26,$B$5:$B25,$B26)&gt;0,MIN(1-'Exercise list'!S$2,IF($A26=$A25,AY25,1))-AD26&lt;0),-1,MIN(1,IF($A26=$A25,AY25,1)-AD26+$D$2))</f>
        <v>1</v>
      </c>
      <c r="AZ26" s="1">
        <f>IF(OR($J26=1,COUNTIFS($A$5:$A25,"&gt;="&amp;$A26-1,$A$5:$A25,"&lt;="&amp;$A26,$B$5:$B25,$B26)&gt;0,MIN(1-'Exercise list'!T$2,IF($A26=$A25,AZ25,1))-AE26&lt;0),-1,MIN(1,IF($A26=$A25,AZ25,1)-AE26+$D$2))</f>
        <v>1</v>
      </c>
      <c r="BA26" s="1">
        <f>IF(OR($J26=1,COUNTIFS($A$5:$A25,"&gt;="&amp;$A26-1,$A$5:$A25,"&lt;="&amp;$A26,$B$5:$B25,$B26)&gt;0,MIN(1-'Exercise list'!U$2,IF($A26=$A25,BA25,1))-AF26&lt;0),-1,MIN(1,IF($A26=$A25,BA25,1)-AF26+$D$2))</f>
        <v>1</v>
      </c>
      <c r="BB26" s="1">
        <f>IF(OR($J26=1,COUNTIFS($A$5:$A25,"&gt;="&amp;$A26-1,$A$5:$A25,"&lt;="&amp;$A26,$B$5:$B25,$B26)&gt;0,MIN(1-'Exercise list'!V$2,IF($A26=$A25,BB25,1))-AG26&lt;0),-1,MIN(1,IF($A26=$A25,BB25,1)-AG26+$D$2))</f>
        <v>1</v>
      </c>
      <c r="BC26" s="1">
        <f>IF(OR($J26=1,COUNTIFS($A$5:$A25,"&gt;="&amp;$A26-1,$A$5:$A25,"&lt;="&amp;$A26,$B$5:$B25,$B26)&gt;0,MIN(1-'Exercise list'!W$2,IF($A26=$A25,BC25,1))-AH26&lt;0),-1,MIN(1,IF($A26=$A25,BC25,1)-AH26+$D$2))</f>
        <v>1</v>
      </c>
      <c r="BD26" s="1">
        <f>IF(OR($J26=1,COUNTIFS($A$5:$A25,"&gt;="&amp;$A26-1,$A$5:$A25,"&lt;="&amp;$A26,$B$5:$B25,$B26)&gt;0,MIN(1-'Exercise list'!X$2,IF($A26=$A25,BD25,1))-AI26&lt;0),-1,MIN(1,IF($A26=$A25,BD25,1)-AI26+$D$2))</f>
        <v>1</v>
      </c>
      <c r="BE26" s="1"/>
      <c r="BF26" s="43">
        <f t="shared" si="24"/>
        <v>5.8530474869362296E-2</v>
      </c>
      <c r="BG26" s="43">
        <f t="shared" si="25"/>
        <v>0.12962334453124999</v>
      </c>
      <c r="BH26" s="43">
        <f t="shared" si="26"/>
        <v>7.644946617187498E-2</v>
      </c>
      <c r="BI26" s="43">
        <f t="shared" si="27"/>
        <v>8.0736341171874976E-2</v>
      </c>
      <c r="BJ26" s="43">
        <f t="shared" si="28"/>
        <v>0.507351432929109</v>
      </c>
      <c r="BK26" s="43">
        <f t="shared" si="29"/>
        <v>2.0955792873343253E-2</v>
      </c>
      <c r="BL26" s="43">
        <f t="shared" si="30"/>
        <v>4.0452164457292952E-2</v>
      </c>
      <c r="BM26" s="43">
        <f t="shared" si="31"/>
        <v>0</v>
      </c>
      <c r="BN26" s="43">
        <f t="shared" si="32"/>
        <v>0.10419542122140149</v>
      </c>
      <c r="BO26" s="43">
        <f t="shared" si="33"/>
        <v>4.257019637984872E-2</v>
      </c>
      <c r="BP26" s="43">
        <f t="shared" si="34"/>
        <v>0.57877646664581883</v>
      </c>
      <c r="BQ26" s="43">
        <f t="shared" si="35"/>
        <v>4.7070500582742689E-2</v>
      </c>
      <c r="BR26" s="43">
        <f t="shared" si="36"/>
        <v>0.31316285320910364</v>
      </c>
      <c r="BS26" s="43">
        <f t="shared" si="37"/>
        <v>5.2583624372201834E-2</v>
      </c>
      <c r="BT26" s="43">
        <f t="shared" si="38"/>
        <v>0.36677047639027788</v>
      </c>
      <c r="BU26" s="43">
        <f t="shared" si="39"/>
        <v>0.4061631921695168</v>
      </c>
      <c r="BV26" s="43">
        <f t="shared" si="40"/>
        <v>0.52727544174551544</v>
      </c>
      <c r="BW26" s="43">
        <f t="shared" si="41"/>
        <v>8.5321088652343752E-2</v>
      </c>
      <c r="BX26" s="43">
        <f t="shared" si="42"/>
        <v>6.975277974663549E-2</v>
      </c>
      <c r="BY26" s="43">
        <f t="shared" si="43"/>
        <v>2.0950118882812493E-2</v>
      </c>
      <c r="BZ26" s="1"/>
      <c r="CA26" s="43">
        <f t="shared" si="4"/>
        <v>0.20285405676043966</v>
      </c>
      <c r="CB26" s="43">
        <f t="shared" si="5"/>
        <v>0.13176118709855197</v>
      </c>
      <c r="CC26" s="43">
        <f t="shared" si="6"/>
        <v>5.4242799643026002E-2</v>
      </c>
      <c r="CD26" s="43">
        <f t="shared" si="7"/>
        <v>4.9955924643026006E-2</v>
      </c>
      <c r="CE26" s="43">
        <f t="shared" si="8"/>
        <v>0</v>
      </c>
      <c r="CF26" s="43">
        <f t="shared" si="9"/>
        <v>0.37112100457135977</v>
      </c>
      <c r="CG26" s="43">
        <f t="shared" si="10"/>
        <v>9.024010135760803E-2</v>
      </c>
      <c r="CH26" s="43">
        <f t="shared" si="11"/>
        <v>0.13069226581490098</v>
      </c>
      <c r="CI26" s="43">
        <f t="shared" si="12"/>
        <v>0.15718911040840047</v>
      </c>
      <c r="CJ26" s="43">
        <f t="shared" si="13"/>
        <v>8.8122069435052269E-2</v>
      </c>
      <c r="CK26" s="43">
        <f t="shared" si="14"/>
        <v>0</v>
      </c>
      <c r="CL26" s="43">
        <f t="shared" si="15"/>
        <v>8.3621765232158293E-2</v>
      </c>
      <c r="CM26" s="43">
        <f t="shared" si="16"/>
        <v>0</v>
      </c>
      <c r="CN26" s="43">
        <f t="shared" si="17"/>
        <v>7.8108641442699148E-2</v>
      </c>
      <c r="CO26" s="43">
        <f t="shared" si="18"/>
        <v>0</v>
      </c>
      <c r="CP26" s="43">
        <f t="shared" si="19"/>
        <v>0</v>
      </c>
      <c r="CQ26" s="43">
        <f t="shared" si="20"/>
        <v>0</v>
      </c>
      <c r="CR26" s="43">
        <f t="shared" si="21"/>
        <v>4.537117716255723E-2</v>
      </c>
      <c r="CS26" s="43">
        <f t="shared" si="22"/>
        <v>6.0939486068265492E-2</v>
      </c>
      <c r="CT26" s="43">
        <f t="shared" si="23"/>
        <v>0.10974214693208849</v>
      </c>
      <c r="CU26" s="1"/>
    </row>
    <row r="27" spans="1:99" x14ac:dyDescent="0.25">
      <c r="A27" s="112">
        <v>45052</v>
      </c>
      <c r="B27" s="14">
        <v>14</v>
      </c>
      <c r="C27" s="15" t="s">
        <v>123</v>
      </c>
      <c r="D27" s="12">
        <f t="shared" si="0"/>
        <v>1</v>
      </c>
      <c r="E27" s="32">
        <f t="shared" si="1"/>
        <v>0.85600160400166114</v>
      </c>
      <c r="F27" s="63" cm="1">
        <f t="array" ref="F27">IF(B27="","",0.1+IFERROR(INDEX($F$6:$F26,SUMPRODUCT(MAX(ROW($C$6:$C26)*($C27=$C$6:$C26))-ROW($A$5)))*0.9^($A27-INDEX($A$6:A26,SUMPRODUCT(MAX(ROW($C$6:$C26)*($C27=$C$6:$C26))-ROW($A$5)))),0))</f>
        <v>0.18100000000000002</v>
      </c>
      <c r="G27" s="64">
        <f>INDEX('Exercise list'!$Y$5:$Y$102,MATCH(C27,'Exercise list'!$C$5:$C$102,0))</f>
        <v>2</v>
      </c>
      <c r="H27" s="115">
        <f t="shared" si="2"/>
        <v>0.11681149175730733</v>
      </c>
      <c r="I27" s="6">
        <f t="shared" si="44"/>
        <v>2</v>
      </c>
      <c r="J27" s="6">
        <v>0</v>
      </c>
      <c r="K27" s="12"/>
      <c r="L27" s="74" t="str" cm="1">
        <f t="array" ref="L27">IF(K27="","",INDEX('Exercise list'!$C$5:$C$102,K27))</f>
        <v/>
      </c>
      <c r="M27" s="6"/>
      <c r="N27" s="75" t="str" cm="1">
        <f t="array" ref="N27">IF(M27="","",INDEX('Exercise list'!$C$5:$C$102,M27))</f>
        <v/>
      </c>
      <c r="P27">
        <f>IFERROR(INDEX('Exercise list'!$E$5:$X$102,MATCH($C27,'Exercise list'!$C$5:$C$102,0),MATCH(P$5,'Exercise list'!$E$4:$X$4,0)),0)</f>
        <v>0</v>
      </c>
      <c r="Q27">
        <f>IFERROR(INDEX('Exercise list'!$E$5:$X$102,MATCH($C27,'Exercise list'!$C$5:$C$102,0),MATCH(Q$5,'Exercise list'!$E$4:$X$4,0)),0)</f>
        <v>1</v>
      </c>
      <c r="R27">
        <f>IFERROR(INDEX('Exercise list'!$E$5:$X$102,MATCH($C27,'Exercise list'!$C$5:$C$102,0),MATCH(R$5,'Exercise list'!$E$4:$X$4,0)),0)</f>
        <v>0.6</v>
      </c>
      <c r="S27">
        <f>IFERROR(INDEX('Exercise list'!$E$5:$X$102,MATCH($C27,'Exercise list'!$C$5:$C$102,0),MATCH(S$5,'Exercise list'!$E$4:$X$4,0)),0)</f>
        <v>0.7</v>
      </c>
      <c r="T27">
        <f>IFERROR(INDEX('Exercise list'!$E$5:$X$102,MATCH($C27,'Exercise list'!$C$5:$C$102,0),MATCH(T$5,'Exercise list'!$E$4:$X$4,0)),0)</f>
        <v>0</v>
      </c>
      <c r="U27">
        <f>IFERROR(INDEX('Exercise list'!$E$5:$X$102,MATCH($C27,'Exercise list'!$C$5:$C$102,0),MATCH(U$5,'Exercise list'!$E$4:$X$4,0)),0)</f>
        <v>0</v>
      </c>
      <c r="V27">
        <f>IFERROR(INDEX('Exercise list'!$E$5:$X$102,MATCH($C27,'Exercise list'!$C$5:$C$102,0),MATCH(V$5,'Exercise list'!$E$4:$X$4,0)),0)</f>
        <v>0</v>
      </c>
      <c r="W27">
        <f>IFERROR(INDEX('Exercise list'!$E$5:$X$102,MATCH($C27,'Exercise list'!$C$5:$C$102,0),MATCH(W$5,'Exercise list'!$E$4:$X$4,0)),0)</f>
        <v>0</v>
      </c>
      <c r="X27">
        <f>IFERROR(INDEX('Exercise list'!$E$5:$X$102,MATCH($C27,'Exercise list'!$C$5:$C$102,0),MATCH(X$5,'Exercise list'!$E$4:$X$4,0)),0)</f>
        <v>0.5</v>
      </c>
      <c r="Y27">
        <f>IFERROR(INDEX('Exercise list'!$E$5:$X$102,MATCH($C27,'Exercise list'!$C$5:$C$102,0),MATCH(Y$5,'Exercise list'!$E$4:$X$4,0)),0)</f>
        <v>0</v>
      </c>
      <c r="Z27">
        <f>IFERROR(INDEX('Exercise list'!$E$5:$X$102,MATCH($C27,'Exercise list'!$C$5:$C$102,0),MATCH(Z$5,'Exercise list'!$E$4:$X$4,0)),0)</f>
        <v>0.5</v>
      </c>
      <c r="AA27">
        <f>IFERROR(INDEX('Exercise list'!$E$5:$X$102,MATCH($C27,'Exercise list'!$C$5:$C$102,0),MATCH(AA$5,'Exercise list'!$E$4:$X$4,0)),0)</f>
        <v>0</v>
      </c>
      <c r="AB27">
        <f>IFERROR(INDEX('Exercise list'!$E$5:$X$102,MATCH($C27,'Exercise list'!$C$5:$C$102,0),MATCH(AB$5,'Exercise list'!$E$4:$X$4,0)),0)</f>
        <v>0</v>
      </c>
      <c r="AC27">
        <f>IFERROR(INDEX('Exercise list'!$E$5:$X$102,MATCH($C27,'Exercise list'!$C$5:$C$102,0),MATCH(AC$5,'Exercise list'!$E$4:$X$4,0)),0)</f>
        <v>0</v>
      </c>
      <c r="AD27">
        <f>IFERROR(INDEX('Exercise list'!$E$5:$X$102,MATCH($C27,'Exercise list'!$C$5:$C$102,0),MATCH(AD$5,'Exercise list'!$E$4:$X$4,0)),0)</f>
        <v>0</v>
      </c>
      <c r="AE27">
        <f>IFERROR(INDEX('Exercise list'!$E$5:$X$102,MATCH($C27,'Exercise list'!$C$5:$C$102,0),MATCH(AE$5,'Exercise list'!$E$4:$X$4,0)),0)</f>
        <v>0</v>
      </c>
      <c r="AF27">
        <f>IFERROR(INDEX('Exercise list'!$E$5:$X$102,MATCH($C27,'Exercise list'!$C$5:$C$102,0),MATCH(AF$5,'Exercise list'!$E$4:$X$4,0)),0)</f>
        <v>0</v>
      </c>
      <c r="AG27">
        <f>IFERROR(INDEX('Exercise list'!$E$5:$X$102,MATCH($C27,'Exercise list'!$C$5:$C$102,0),MATCH(AG$5,'Exercise list'!$E$4:$X$4,0)),0)</f>
        <v>0</v>
      </c>
      <c r="AH27">
        <f>IFERROR(INDEX('Exercise list'!$E$5:$X$102,MATCH($C27,'Exercise list'!$C$5:$C$102,0),MATCH(AH$5,'Exercise list'!$E$4:$X$4,0)),0)</f>
        <v>0</v>
      </c>
      <c r="AI27">
        <f>IFERROR(INDEX('Exercise list'!$E$5:$X$102,MATCH($C27,'Exercise list'!$C$5:$C$102,0),MATCH(AI$5,'Exercise list'!$E$4:$X$4,0)),0)</f>
        <v>0</v>
      </c>
      <c r="AK27">
        <f>IF(OR($J27=1,COUNTIFS($A$5:$A26,"&gt;="&amp;$A27-1,$A$5:$A26,"&lt;="&amp;$A27,$B$5:$B26,$B27)&gt;0,MIN(1-'Exercise list'!E$2,IF($A27=$A26,AK26,1))-P27&lt;0),-1,MIN(1,IF($A27=$A26,AK26,1)-P27+$D$2))</f>
        <v>1</v>
      </c>
      <c r="AL27">
        <f>IF(OR($J27=1,COUNTIFS($A$5:$A26,"&gt;="&amp;$A27-1,$A$5:$A26,"&lt;="&amp;$A27,$B$5:$B26,$B27)&gt;0,MIN(1-'Exercise list'!F$2,IF($A27=$A26,AL26,1))-Q27&lt;0),-1,MIN(1,IF($A27=$A26,AL26,1)-Q27+$D$2))</f>
        <v>1</v>
      </c>
      <c r="AM27">
        <f>IF(OR($J27=1,COUNTIFS($A$5:$A26,"&gt;="&amp;$A27-1,$A$5:$A26,"&lt;="&amp;$A27,$B$5:$B26,$B27)&gt;0,MIN(1-'Exercise list'!G$2,IF($A27=$A26,AM26,1))-R27&lt;0),-1,MIN(1,IF($A27=$A26,AM26,1)-R27+$D$2))</f>
        <v>1</v>
      </c>
      <c r="AN27">
        <f>IF(OR($J27=1,COUNTIFS($A$5:$A26,"&gt;="&amp;$A27-1,$A$5:$A26,"&lt;="&amp;$A27,$B$5:$B26,$B27)&gt;0,MIN(1-'Exercise list'!H$2,IF($A27=$A26,AN26,1))-S27&lt;0),-1,MIN(1,IF($A27=$A26,AN26,1)-S27+$D$2))</f>
        <v>1</v>
      </c>
      <c r="AO27">
        <f>IF(OR($J27=1,COUNTIFS($A$5:$A26,"&gt;="&amp;$A27-1,$A$5:$A26,"&lt;="&amp;$A27,$B$5:$B26,$B27)&gt;0,MIN(1-'Exercise list'!I$2,IF($A27=$A26,AO26,1))-T27&lt;0),-1,MIN(1,IF($A27=$A26,AO26,1)-T27+$D$2))</f>
        <v>1</v>
      </c>
      <c r="AP27">
        <f>IF(OR($J27=1,COUNTIFS($A$5:$A26,"&gt;="&amp;$A27-1,$A$5:$A26,"&lt;="&amp;$A27,$B$5:$B26,$B27)&gt;0,MIN(1-'Exercise list'!J$2,IF($A27=$A26,AP26,1))-U27&lt;0),-1,MIN(1,IF($A27=$A26,AP26,1)-U27+$D$2))</f>
        <v>1</v>
      </c>
      <c r="AQ27">
        <f>IF(OR($J27=1,COUNTIFS($A$5:$A26,"&gt;="&amp;$A27-1,$A$5:$A26,"&lt;="&amp;$A27,$B$5:$B26,$B27)&gt;0,MIN(1-'Exercise list'!K$2,IF($A27=$A26,AQ26,1))-V27&lt;0),-1,MIN(1,IF($A27=$A26,AQ26,1)-V27+$D$2))</f>
        <v>1</v>
      </c>
      <c r="AR27">
        <f>IF(OR($J27=1,COUNTIFS($A$5:$A26,"&gt;="&amp;$A27-1,$A$5:$A26,"&lt;="&amp;$A27,$B$5:$B26,$B27)&gt;0,MIN(1-'Exercise list'!L$2,IF($A27=$A26,AR26,1))-W27&lt;0),-1,MIN(1,IF($A27=$A26,AR26,1)-W27+$D$2))</f>
        <v>1</v>
      </c>
      <c r="AS27">
        <f>IF(OR($J27=1,COUNTIFS($A$5:$A26,"&gt;="&amp;$A27-1,$A$5:$A26,"&lt;="&amp;$A27,$B$5:$B26,$B27)&gt;0,MIN(1-'Exercise list'!M$2,IF($A27=$A26,AS26,1))-X27&lt;0),-1,MIN(1,IF($A27=$A26,AS26,1)-X27+$D$2))</f>
        <v>1</v>
      </c>
      <c r="AT27">
        <f>IF(OR($J27=1,COUNTIFS($A$5:$A26,"&gt;="&amp;$A27-1,$A$5:$A26,"&lt;="&amp;$A27,$B$5:$B26,$B27)&gt;0,MIN(1-'Exercise list'!N$2,IF($A27=$A26,AT26,1))-Y27&lt;0),-1,MIN(1,IF($A27=$A26,AT26,1)-Y27+$D$2))</f>
        <v>1</v>
      </c>
      <c r="AU27">
        <f>IF(OR($J27=1,COUNTIFS($A$5:$A26,"&gt;="&amp;$A27-1,$A$5:$A26,"&lt;="&amp;$A27,$B$5:$B26,$B27)&gt;0,MIN(1-'Exercise list'!O$2,IF($A27=$A26,AU26,1))-Z27&lt;0),-1,MIN(1,IF($A27=$A26,AU26,1)-Z27+$D$2))</f>
        <v>1</v>
      </c>
      <c r="AV27">
        <f>IF(OR($J27=1,COUNTIFS($A$5:$A26,"&gt;="&amp;$A27-1,$A$5:$A26,"&lt;="&amp;$A27,$B$5:$B26,$B27)&gt;0,MIN(1-'Exercise list'!P$2,IF($A27=$A26,AV26,1))-AA27&lt;0),-1,MIN(1,IF($A27=$A26,AV26,1)-AA27+$D$2))</f>
        <v>1</v>
      </c>
      <c r="AW27">
        <f>IF(OR($J27=1,COUNTIFS($A$5:$A26,"&gt;="&amp;$A27-1,$A$5:$A26,"&lt;="&amp;$A27,$B$5:$B26,$B27)&gt;0,MIN(1-'Exercise list'!Q$2,IF($A27=$A26,AW26,1))-AB27&lt;0),-1,MIN(1,IF($A27=$A26,AW26,1)-AB27+$D$2))</f>
        <v>1</v>
      </c>
      <c r="AX27">
        <f>IF(OR($J27=1,COUNTIFS($A$5:$A26,"&gt;="&amp;$A27-1,$A$5:$A26,"&lt;="&amp;$A27,$B$5:$B26,$B27)&gt;0,MIN(1-'Exercise list'!R$2,IF($A27=$A26,AX26,1))-AC27&lt;0),-1,MIN(1,IF($A27=$A26,AX26,1)-AC27+$D$2))</f>
        <v>1</v>
      </c>
      <c r="AY27">
        <f>IF(OR($J27=1,COUNTIFS($A$5:$A26,"&gt;="&amp;$A27-1,$A$5:$A26,"&lt;="&amp;$A27,$B$5:$B26,$B27)&gt;0,MIN(1-'Exercise list'!S$2,IF($A27=$A26,AY26,1))-AD27&lt;0),-1,MIN(1,IF($A27=$A26,AY26,1)-AD27+$D$2))</f>
        <v>1</v>
      </c>
      <c r="AZ27">
        <f>IF(OR($J27=1,COUNTIFS($A$5:$A26,"&gt;="&amp;$A27-1,$A$5:$A26,"&lt;="&amp;$A27,$B$5:$B26,$B27)&gt;0,MIN(1-'Exercise list'!T$2,IF($A27=$A26,AZ26,1))-AE27&lt;0),-1,MIN(1,IF($A27=$A26,AZ26,1)-AE27+$D$2))</f>
        <v>1</v>
      </c>
      <c r="BA27">
        <f>IF(OR($J27=1,COUNTIFS($A$5:$A26,"&gt;="&amp;$A27-1,$A$5:$A26,"&lt;="&amp;$A27,$B$5:$B26,$B27)&gt;0,MIN(1-'Exercise list'!U$2,IF($A27=$A26,BA26,1))-AF27&lt;0),-1,MIN(1,IF($A27=$A26,BA26,1)-AF27+$D$2))</f>
        <v>1</v>
      </c>
      <c r="BB27">
        <f>IF(OR($J27=1,COUNTIFS($A$5:$A26,"&gt;="&amp;$A27-1,$A$5:$A26,"&lt;="&amp;$A27,$B$5:$B26,$B27)&gt;0,MIN(1-'Exercise list'!V$2,IF($A27=$A26,BB26,1))-AG27&lt;0),-1,MIN(1,IF($A27=$A26,BB26,1)-AG27+$D$2))</f>
        <v>1</v>
      </c>
      <c r="BC27">
        <f>IF(OR($J27=1,COUNTIFS($A$5:$A26,"&gt;="&amp;$A27-1,$A$5:$A26,"&lt;="&amp;$A27,$B$5:$B26,$B27)&gt;0,MIN(1-'Exercise list'!W$2,IF($A27=$A26,BC26,1))-AH27&lt;0),-1,MIN(1,IF($A27=$A26,BC26,1)-AH27+$D$2))</f>
        <v>1</v>
      </c>
      <c r="BD27">
        <f>IF(OR($J27=1,COUNTIFS($A$5:$A26,"&gt;="&amp;$A27-1,$A$5:$A26,"&lt;="&amp;$A27,$B$5:$B26,$B27)&gt;0,MIN(1-'Exercise list'!X$2,IF($A27=$A26,BD26,1))-AI27&lt;0),-1,MIN(1,IF($A27=$A26,BD26,1)-AI27+$D$2))</f>
        <v>1</v>
      </c>
      <c r="BF27" s="44">
        <f t="shared" si="24"/>
        <v>5.5603951125894176E-2</v>
      </c>
      <c r="BG27" s="44">
        <f t="shared" si="25"/>
        <v>0.17314217730468751</v>
      </c>
      <c r="BH27" s="44">
        <f t="shared" si="26"/>
        <v>0.10262699286328122</v>
      </c>
      <c r="BI27" s="44">
        <f t="shared" si="27"/>
        <v>0.11169952411328121</v>
      </c>
      <c r="BJ27" s="44">
        <f t="shared" si="28"/>
        <v>0.48198386128265353</v>
      </c>
      <c r="BK27" s="44">
        <f t="shared" si="29"/>
        <v>1.9908003229676088E-2</v>
      </c>
      <c r="BL27" s="44">
        <f t="shared" si="30"/>
        <v>3.84295562344283E-2</v>
      </c>
      <c r="BM27" s="44">
        <f t="shared" si="31"/>
        <v>0</v>
      </c>
      <c r="BN27" s="44">
        <f t="shared" si="32"/>
        <v>0.12398565016033142</v>
      </c>
      <c r="BO27" s="44">
        <f t="shared" si="33"/>
        <v>4.0441686560856283E-2</v>
      </c>
      <c r="BP27" s="44">
        <f t="shared" si="34"/>
        <v>0.57483764331352794</v>
      </c>
      <c r="BQ27" s="44">
        <f t="shared" si="35"/>
        <v>4.4716975553605549E-2</v>
      </c>
      <c r="BR27" s="44">
        <f t="shared" si="36"/>
        <v>0.29750471054864847</v>
      </c>
      <c r="BS27" s="44">
        <f t="shared" si="37"/>
        <v>4.9954443153591738E-2</v>
      </c>
      <c r="BT27" s="44">
        <f t="shared" si="38"/>
        <v>0.34843195257076398</v>
      </c>
      <c r="BU27" s="44">
        <f t="shared" si="39"/>
        <v>0.38585503256104092</v>
      </c>
      <c r="BV27" s="44">
        <f t="shared" si="40"/>
        <v>0.50091166965823963</v>
      </c>
      <c r="BW27" s="44">
        <f t="shared" si="41"/>
        <v>8.1055034219726554E-2</v>
      </c>
      <c r="BX27" s="44">
        <f t="shared" si="42"/>
        <v>6.6265140759303717E-2</v>
      </c>
      <c r="BY27" s="44">
        <f t="shared" si="43"/>
        <v>1.9902612938671869E-2</v>
      </c>
      <c r="CA27" s="44">
        <f t="shared" si="4"/>
        <v>0.20493357614463992</v>
      </c>
      <c r="CB27" s="44">
        <f t="shared" si="5"/>
        <v>8.739534996584658E-2</v>
      </c>
      <c r="CC27" s="44">
        <f t="shared" si="6"/>
        <v>2.7641770771985819E-2</v>
      </c>
      <c r="CD27" s="44">
        <f t="shared" si="7"/>
        <v>1.8569239521985831E-2</v>
      </c>
      <c r="CE27" s="44">
        <f t="shared" si="8"/>
        <v>0</v>
      </c>
      <c r="CF27" s="44">
        <f t="shared" si="9"/>
        <v>0.37089828767612515</v>
      </c>
      <c r="CG27" s="44">
        <f t="shared" si="10"/>
        <v>9.1839207400838743E-2</v>
      </c>
      <c r="CH27" s="44">
        <f t="shared" si="11"/>
        <v>0.13026876363526704</v>
      </c>
      <c r="CI27" s="44">
        <f t="shared" si="12"/>
        <v>0.13655187711020267</v>
      </c>
      <c r="CJ27" s="44">
        <f t="shared" si="13"/>
        <v>8.9827077074410761E-2</v>
      </c>
      <c r="CK27" s="44">
        <f t="shared" si="14"/>
        <v>0</v>
      </c>
      <c r="CL27" s="44">
        <f t="shared" si="15"/>
        <v>8.5551788081661501E-2</v>
      </c>
      <c r="CM27" s="44">
        <f t="shared" si="16"/>
        <v>0</v>
      </c>
      <c r="CN27" s="44">
        <f t="shared" si="17"/>
        <v>8.0314320481675305E-2</v>
      </c>
      <c r="CO27" s="44">
        <f t="shared" si="18"/>
        <v>0</v>
      </c>
      <c r="CP27" s="44">
        <f t="shared" si="19"/>
        <v>0</v>
      </c>
      <c r="CQ27" s="44">
        <f t="shared" si="20"/>
        <v>0</v>
      </c>
      <c r="CR27" s="44">
        <f t="shared" si="21"/>
        <v>4.9213729415540489E-2</v>
      </c>
      <c r="CS27" s="44">
        <f t="shared" si="22"/>
        <v>6.4003622875963326E-2</v>
      </c>
      <c r="CT27" s="44">
        <f t="shared" si="23"/>
        <v>0.11036615069659517</v>
      </c>
    </row>
    <row r="28" spans="1:99" x14ac:dyDescent="0.25">
      <c r="A28" s="112">
        <v>45052</v>
      </c>
      <c r="B28" s="14">
        <v>19</v>
      </c>
      <c r="C28" s="15" t="s">
        <v>127</v>
      </c>
      <c r="D28" s="12">
        <f t="shared" si="0"/>
        <v>1</v>
      </c>
      <c r="E28" s="32">
        <f t="shared" si="1"/>
        <v>1.5060280689697887</v>
      </c>
      <c r="F28" s="63" cm="1">
        <f t="array" ref="F28">IF(B28="","",0.1+IFERROR(INDEX($F$6:$F27,SUMPRODUCT(MAX(ROW($C$6:$C27)*($C28=$C$6:$C27))-ROW($A$5)))*0.9^($A28-INDEX($A$6:A27,SUMPRODUCT(MAX(ROW($C$6:$C27)*($C28=$C$6:$C27))-ROW($A$5)))),0))</f>
        <v>0.15904900000000002</v>
      </c>
      <c r="G28" s="64">
        <f>INDEX('Exercise list'!$Y$5:$Y$102,MATCH(C28,'Exercise list'!$C$5:$C$102,0))</f>
        <v>3</v>
      </c>
      <c r="H28" s="115">
        <f t="shared" si="2"/>
        <v>0.10988878291991715</v>
      </c>
      <c r="I28" s="6">
        <f t="shared" si="44"/>
        <v>3</v>
      </c>
      <c r="J28" s="6">
        <v>0</v>
      </c>
      <c r="K28" s="12"/>
      <c r="L28" s="74" t="str" cm="1">
        <f t="array" ref="L28">IF(K28="","",INDEX('Exercise list'!$C$5:$C$102,K28))</f>
        <v/>
      </c>
      <c r="M28" s="6"/>
      <c r="N28" s="75" t="str" cm="1">
        <f t="array" ref="N28">IF(M28="","",INDEX('Exercise list'!$C$5:$C$102,M28))</f>
        <v/>
      </c>
      <c r="P28">
        <f>IFERROR(INDEX('Exercise list'!$E$5:$X$102,MATCH($C28,'Exercise list'!$C$5:$C$102,0),MATCH(P$5,'Exercise list'!$E$4:$X$4,0)),0)</f>
        <v>1</v>
      </c>
      <c r="Q28">
        <f>IFERROR(INDEX('Exercise list'!$E$5:$X$102,MATCH($C28,'Exercise list'!$C$5:$C$102,0),MATCH(Q$5,'Exercise list'!$E$4:$X$4,0)),0)</f>
        <v>0</v>
      </c>
      <c r="R28">
        <f>IFERROR(INDEX('Exercise list'!$E$5:$X$102,MATCH($C28,'Exercise list'!$C$5:$C$102,0),MATCH(R$5,'Exercise list'!$E$4:$X$4,0)),0)</f>
        <v>0</v>
      </c>
      <c r="S28">
        <f>IFERROR(INDEX('Exercise list'!$E$5:$X$102,MATCH($C28,'Exercise list'!$C$5:$C$102,0),MATCH(S$5,'Exercise list'!$E$4:$X$4,0)),0)</f>
        <v>0</v>
      </c>
      <c r="T28">
        <f>IFERROR(INDEX('Exercise list'!$E$5:$X$102,MATCH($C28,'Exercise list'!$C$5:$C$102,0),MATCH(T$5,'Exercise list'!$E$4:$X$4,0)),0)</f>
        <v>0</v>
      </c>
      <c r="U28">
        <f>IFERROR(INDEX('Exercise list'!$E$5:$X$102,MATCH($C28,'Exercise list'!$C$5:$C$102,0),MATCH(U$5,'Exercise list'!$E$4:$X$4,0)),0)</f>
        <v>0</v>
      </c>
      <c r="V28">
        <f>IFERROR(INDEX('Exercise list'!$E$5:$X$102,MATCH($C28,'Exercise list'!$C$5:$C$102,0),MATCH(V$5,'Exercise list'!$E$4:$X$4,0)),0)</f>
        <v>0.5</v>
      </c>
      <c r="W28">
        <f>IFERROR(INDEX('Exercise list'!$E$5:$X$102,MATCH($C28,'Exercise list'!$C$5:$C$102,0),MATCH(W$5,'Exercise list'!$E$4:$X$4,0)),0)</f>
        <v>0</v>
      </c>
      <c r="X28">
        <f>IFERROR(INDEX('Exercise list'!$E$5:$X$102,MATCH($C28,'Exercise list'!$C$5:$C$102,0),MATCH(X$5,'Exercise list'!$E$4:$X$4,0)),0)</f>
        <v>0</v>
      </c>
      <c r="Y28">
        <f>IFERROR(INDEX('Exercise list'!$E$5:$X$102,MATCH($C28,'Exercise list'!$C$5:$C$102,0),MATCH(Y$5,'Exercise list'!$E$4:$X$4,0)),0)</f>
        <v>0.8</v>
      </c>
      <c r="Z28">
        <f>IFERROR(INDEX('Exercise list'!$E$5:$X$102,MATCH($C28,'Exercise list'!$C$5:$C$102,0),MATCH(Z$5,'Exercise list'!$E$4:$X$4,0)),0)</f>
        <v>0</v>
      </c>
      <c r="AA28">
        <f>IFERROR(INDEX('Exercise list'!$E$5:$X$102,MATCH($C28,'Exercise list'!$C$5:$C$102,0),MATCH(AA$5,'Exercise list'!$E$4:$X$4,0)),0)</f>
        <v>0</v>
      </c>
      <c r="AB28">
        <f>IFERROR(INDEX('Exercise list'!$E$5:$X$102,MATCH($C28,'Exercise list'!$C$5:$C$102,0),MATCH(AB$5,'Exercise list'!$E$4:$X$4,0)),0)</f>
        <v>0</v>
      </c>
      <c r="AC28">
        <f>IFERROR(INDEX('Exercise list'!$E$5:$X$102,MATCH($C28,'Exercise list'!$C$5:$C$102,0),MATCH(AC$5,'Exercise list'!$E$4:$X$4,0)),0)</f>
        <v>0</v>
      </c>
      <c r="AD28">
        <f>IFERROR(INDEX('Exercise list'!$E$5:$X$102,MATCH($C28,'Exercise list'!$C$5:$C$102,0),MATCH(AD$5,'Exercise list'!$E$4:$X$4,0)),0)</f>
        <v>0</v>
      </c>
      <c r="AE28">
        <f>IFERROR(INDEX('Exercise list'!$E$5:$X$102,MATCH($C28,'Exercise list'!$C$5:$C$102,0),MATCH(AE$5,'Exercise list'!$E$4:$X$4,0)),0)</f>
        <v>0</v>
      </c>
      <c r="AF28">
        <f>IFERROR(INDEX('Exercise list'!$E$5:$X$102,MATCH($C28,'Exercise list'!$C$5:$C$102,0),MATCH(AF$5,'Exercise list'!$E$4:$X$4,0)),0)</f>
        <v>0</v>
      </c>
      <c r="AG28">
        <f>IFERROR(INDEX('Exercise list'!$E$5:$X$102,MATCH($C28,'Exercise list'!$C$5:$C$102,0),MATCH(AG$5,'Exercise list'!$E$4:$X$4,0)),0)</f>
        <v>0</v>
      </c>
      <c r="AH28">
        <f>IFERROR(INDEX('Exercise list'!$E$5:$X$102,MATCH($C28,'Exercise list'!$C$5:$C$102,0),MATCH(AH$5,'Exercise list'!$E$4:$X$4,0)),0)</f>
        <v>0</v>
      </c>
      <c r="AI28">
        <f>IFERROR(INDEX('Exercise list'!$E$5:$X$102,MATCH($C28,'Exercise list'!$C$5:$C$102,0),MATCH(AI$5,'Exercise list'!$E$4:$X$4,0)),0)</f>
        <v>0</v>
      </c>
      <c r="AK28">
        <f>IF(OR($J28=1,COUNTIFS($A$5:$A27,"&gt;="&amp;$A28-1,$A$5:$A27,"&lt;="&amp;$A28,$B$5:$B27,$B28)&gt;0,MIN(1-'Exercise list'!E$2,IF($A28=$A27,AK27,1))-P28&lt;0),-1,MIN(1,IF($A28=$A27,AK27,1)-P28+$D$2))</f>
        <v>1</v>
      </c>
      <c r="AL28">
        <f>IF(OR($J28=1,COUNTIFS($A$5:$A27,"&gt;="&amp;$A28-1,$A$5:$A27,"&lt;="&amp;$A28,$B$5:$B27,$B28)&gt;0,MIN(1-'Exercise list'!F$2,IF($A28=$A27,AL27,1))-Q28&lt;0),-1,MIN(1,IF($A28=$A27,AL27,1)-Q28+$D$2))</f>
        <v>1</v>
      </c>
      <c r="AM28">
        <f>IF(OR($J28=1,COUNTIFS($A$5:$A27,"&gt;="&amp;$A28-1,$A$5:$A27,"&lt;="&amp;$A28,$B$5:$B27,$B28)&gt;0,MIN(1-'Exercise list'!G$2,IF($A28=$A27,AM27,1))-R28&lt;0),-1,MIN(1,IF($A28=$A27,AM27,1)-R28+$D$2))</f>
        <v>1</v>
      </c>
      <c r="AN28">
        <f>IF(OR($J28=1,COUNTIFS($A$5:$A27,"&gt;="&amp;$A28-1,$A$5:$A27,"&lt;="&amp;$A28,$B$5:$B27,$B28)&gt;0,MIN(1-'Exercise list'!H$2,IF($A28=$A27,AN27,1))-S28&lt;0),-1,MIN(1,IF($A28=$A27,AN27,1)-S28+$D$2))</f>
        <v>1</v>
      </c>
      <c r="AO28">
        <f>IF(OR($J28=1,COUNTIFS($A$5:$A27,"&gt;="&amp;$A28-1,$A$5:$A27,"&lt;="&amp;$A28,$B$5:$B27,$B28)&gt;0,MIN(1-'Exercise list'!I$2,IF($A28=$A27,AO27,1))-T28&lt;0),-1,MIN(1,IF($A28=$A27,AO27,1)-T28+$D$2))</f>
        <v>1</v>
      </c>
      <c r="AP28">
        <f>IF(OR($J28=1,COUNTIFS($A$5:$A27,"&gt;="&amp;$A28-1,$A$5:$A27,"&lt;="&amp;$A28,$B$5:$B27,$B28)&gt;0,MIN(1-'Exercise list'!J$2,IF($A28=$A27,AP27,1))-U28&lt;0),-1,MIN(1,IF($A28=$A27,AP27,1)-U28+$D$2))</f>
        <v>1</v>
      </c>
      <c r="AQ28">
        <f>IF(OR($J28=1,COUNTIFS($A$5:$A27,"&gt;="&amp;$A28-1,$A$5:$A27,"&lt;="&amp;$A28,$B$5:$B27,$B28)&gt;0,MIN(1-'Exercise list'!K$2,IF($A28=$A27,AQ27,1))-V28&lt;0),-1,MIN(1,IF($A28=$A27,AQ27,1)-V28+$D$2))</f>
        <v>1</v>
      </c>
      <c r="AR28">
        <f>IF(OR($J28=1,COUNTIFS($A$5:$A27,"&gt;="&amp;$A28-1,$A$5:$A27,"&lt;="&amp;$A28,$B$5:$B27,$B28)&gt;0,MIN(1-'Exercise list'!L$2,IF($A28=$A27,AR27,1))-W28&lt;0),-1,MIN(1,IF($A28=$A27,AR27,1)-W28+$D$2))</f>
        <v>1</v>
      </c>
      <c r="AS28">
        <f>IF(OR($J28=1,COUNTIFS($A$5:$A27,"&gt;="&amp;$A28-1,$A$5:$A27,"&lt;="&amp;$A28,$B$5:$B27,$B28)&gt;0,MIN(1-'Exercise list'!M$2,IF($A28=$A27,AS27,1))-X28&lt;0),-1,MIN(1,IF($A28=$A27,AS27,1)-X28+$D$2))</f>
        <v>1</v>
      </c>
      <c r="AT28">
        <f>IF(OR($J28=1,COUNTIFS($A$5:$A27,"&gt;="&amp;$A28-1,$A$5:$A27,"&lt;="&amp;$A28,$B$5:$B27,$B28)&gt;0,MIN(1-'Exercise list'!N$2,IF($A28=$A27,AT27,1))-Y28&lt;0),-1,MIN(1,IF($A28=$A27,AT27,1)-Y28+$D$2))</f>
        <v>1</v>
      </c>
      <c r="AU28">
        <f>IF(OR($J28=1,COUNTIFS($A$5:$A27,"&gt;="&amp;$A28-1,$A$5:$A27,"&lt;="&amp;$A28,$B$5:$B27,$B28)&gt;0,MIN(1-'Exercise list'!O$2,IF($A28=$A27,AU27,1))-Z28&lt;0),-1,MIN(1,IF($A28=$A27,AU27,1)-Z28+$D$2))</f>
        <v>1</v>
      </c>
      <c r="AV28">
        <f>IF(OR($J28=1,COUNTIFS($A$5:$A27,"&gt;="&amp;$A28-1,$A$5:$A27,"&lt;="&amp;$A28,$B$5:$B27,$B28)&gt;0,MIN(1-'Exercise list'!P$2,IF($A28=$A27,AV27,1))-AA28&lt;0),-1,MIN(1,IF($A28=$A27,AV27,1)-AA28+$D$2))</f>
        <v>1</v>
      </c>
      <c r="AW28">
        <f>IF(OR($J28=1,COUNTIFS($A$5:$A27,"&gt;="&amp;$A28-1,$A$5:$A27,"&lt;="&amp;$A28,$B$5:$B27,$B28)&gt;0,MIN(1-'Exercise list'!Q$2,IF($A28=$A27,AW27,1))-AB28&lt;0),-1,MIN(1,IF($A28=$A27,AW27,1)-AB28+$D$2))</f>
        <v>1</v>
      </c>
      <c r="AX28">
        <f>IF(OR($J28=1,COUNTIFS($A$5:$A27,"&gt;="&amp;$A28-1,$A$5:$A27,"&lt;="&amp;$A28,$B$5:$B27,$B28)&gt;0,MIN(1-'Exercise list'!R$2,IF($A28=$A27,AX27,1))-AC28&lt;0),-1,MIN(1,IF($A28=$A27,AX27,1)-AC28+$D$2))</f>
        <v>1</v>
      </c>
      <c r="AY28">
        <f>IF(OR($J28=1,COUNTIFS($A$5:$A27,"&gt;="&amp;$A28-1,$A$5:$A27,"&lt;="&amp;$A28,$B$5:$B27,$B28)&gt;0,MIN(1-'Exercise list'!S$2,IF($A28=$A27,AY27,1))-AD28&lt;0),-1,MIN(1,IF($A28=$A27,AY27,1)-AD28+$D$2))</f>
        <v>1</v>
      </c>
      <c r="AZ28">
        <f>IF(OR($J28=1,COUNTIFS($A$5:$A27,"&gt;="&amp;$A28-1,$A$5:$A27,"&lt;="&amp;$A28,$B$5:$B27,$B28)&gt;0,MIN(1-'Exercise list'!T$2,IF($A28=$A27,AZ27,1))-AE28&lt;0),-1,MIN(1,IF($A28=$A27,AZ27,1)-AE28+$D$2))</f>
        <v>1</v>
      </c>
      <c r="BA28">
        <f>IF(OR($J28=1,COUNTIFS($A$5:$A27,"&gt;="&amp;$A28-1,$A$5:$A27,"&lt;="&amp;$A28,$B$5:$B27,$B28)&gt;0,MIN(1-'Exercise list'!U$2,IF($A28=$A27,BA27,1))-AF28&lt;0),-1,MIN(1,IF($A28=$A27,BA27,1)-AF28+$D$2))</f>
        <v>1</v>
      </c>
      <c r="BB28">
        <f>IF(OR($J28=1,COUNTIFS($A$5:$A27,"&gt;="&amp;$A28-1,$A$5:$A27,"&lt;="&amp;$A28,$B$5:$B27,$B28)&gt;0,MIN(1-'Exercise list'!V$2,IF($A28=$A27,BB27,1))-AG28&lt;0),-1,MIN(1,IF($A28=$A27,BB27,1)-AG28+$D$2))</f>
        <v>1</v>
      </c>
      <c r="BC28">
        <f>IF(OR($J28=1,COUNTIFS($A$5:$A27,"&gt;="&amp;$A28-1,$A$5:$A27,"&lt;="&amp;$A28,$B$5:$B27,$B28)&gt;0,MIN(1-'Exercise list'!W$2,IF($A28=$A27,BC27,1))-AH28&lt;0),-1,MIN(1,IF($A28=$A27,BC27,1)-AH28+$D$2))</f>
        <v>1</v>
      </c>
      <c r="BD28">
        <f>IF(OR($J28=1,COUNTIFS($A$5:$A27,"&gt;="&amp;$A28-1,$A$5:$A27,"&lt;="&amp;$A28,$B$5:$B27,$B28)&gt;0,MIN(1-'Exercise list'!X$2,IF($A28=$A27,BD27,1))-AI28&lt;0),-1,MIN(1,IF($A28=$A27,BD27,1)-AI28+$D$2))</f>
        <v>1</v>
      </c>
      <c r="BF28" s="44">
        <f t="shared" si="24"/>
        <v>0.10282375356959947</v>
      </c>
      <c r="BG28" s="44">
        <f t="shared" si="25"/>
        <v>0.16448506843945312</v>
      </c>
      <c r="BH28" s="44">
        <f t="shared" si="26"/>
        <v>9.7495643220117154E-2</v>
      </c>
      <c r="BI28" s="44">
        <f t="shared" si="27"/>
        <v>0.10611454790761715</v>
      </c>
      <c r="BJ28" s="44">
        <f t="shared" si="28"/>
        <v>0.45788466821852081</v>
      </c>
      <c r="BK28" s="44">
        <f t="shared" si="29"/>
        <v>1.8912603068192282E-2</v>
      </c>
      <c r="BL28" s="44">
        <f t="shared" si="30"/>
        <v>6.1508078422706884E-2</v>
      </c>
      <c r="BM28" s="44">
        <f t="shared" si="31"/>
        <v>0</v>
      </c>
      <c r="BN28" s="44">
        <f t="shared" si="32"/>
        <v>0.11778636765231484</v>
      </c>
      <c r="BO28" s="44">
        <f t="shared" si="33"/>
        <v>7.8419602232813468E-2</v>
      </c>
      <c r="BP28" s="44">
        <f t="shared" si="34"/>
        <v>0.54609576114785152</v>
      </c>
      <c r="BQ28" s="44">
        <f t="shared" si="35"/>
        <v>4.2481126775925269E-2</v>
      </c>
      <c r="BR28" s="44">
        <f t="shared" si="36"/>
        <v>0.28262947502121605</v>
      </c>
      <c r="BS28" s="44">
        <f t="shared" si="37"/>
        <v>4.7456720995912145E-2</v>
      </c>
      <c r="BT28" s="44">
        <f t="shared" si="38"/>
        <v>0.33101035494222575</v>
      </c>
      <c r="BU28" s="44">
        <f t="shared" si="39"/>
        <v>0.36656228093298887</v>
      </c>
      <c r="BV28" s="44">
        <f t="shared" si="40"/>
        <v>0.47586608617532761</v>
      </c>
      <c r="BW28" s="44">
        <f t="shared" si="41"/>
        <v>7.7002282508740222E-2</v>
      </c>
      <c r="BX28" s="44">
        <f t="shared" si="42"/>
        <v>6.2951883721338531E-2</v>
      </c>
      <c r="BY28" s="44">
        <f t="shared" si="43"/>
        <v>1.8907482291738276E-2</v>
      </c>
      <c r="CA28" s="44">
        <f t="shared" si="4"/>
        <v>0.15320541585592648</v>
      </c>
      <c r="CB28" s="44">
        <f t="shared" si="5"/>
        <v>9.1544100986072824E-2</v>
      </c>
      <c r="CC28" s="44">
        <f t="shared" si="6"/>
        <v>3.0518941492645821E-2</v>
      </c>
      <c r="CD28" s="44">
        <f t="shared" si="7"/>
        <v>2.1900036805145823E-2</v>
      </c>
      <c r="CE28" s="44">
        <f t="shared" si="8"/>
        <v>0</v>
      </c>
      <c r="CF28" s="44">
        <f t="shared" si="9"/>
        <v>0.36513115107009669</v>
      </c>
      <c r="CG28" s="44">
        <f t="shared" si="10"/>
        <v>6.6506506290056083E-2</v>
      </c>
      <c r="CH28" s="44">
        <f t="shared" si="11"/>
        <v>0.12801458471276297</v>
      </c>
      <c r="CI28" s="44">
        <f t="shared" si="12"/>
        <v>0.1382428017732111</v>
      </c>
      <c r="CJ28" s="44">
        <f t="shared" si="13"/>
        <v>4.9594982479949506E-2</v>
      </c>
      <c r="CK28" s="44">
        <f t="shared" si="14"/>
        <v>0</v>
      </c>
      <c r="CL28" s="44">
        <f t="shared" si="15"/>
        <v>8.5533457936837698E-2</v>
      </c>
      <c r="CM28" s="44">
        <f t="shared" si="16"/>
        <v>0</v>
      </c>
      <c r="CN28" s="44">
        <f t="shared" si="17"/>
        <v>8.0557863716850836E-2</v>
      </c>
      <c r="CO28" s="44">
        <f t="shared" si="18"/>
        <v>0</v>
      </c>
      <c r="CP28" s="44">
        <f t="shared" si="19"/>
        <v>0</v>
      </c>
      <c r="CQ28" s="44">
        <f t="shared" si="20"/>
        <v>0</v>
      </c>
      <c r="CR28" s="44">
        <f t="shared" si="21"/>
        <v>5.1012302204022753E-2</v>
      </c>
      <c r="CS28" s="44">
        <f t="shared" si="22"/>
        <v>6.5062700991424444E-2</v>
      </c>
      <c r="CT28" s="44">
        <f t="shared" si="23"/>
        <v>0.1091071024210247</v>
      </c>
    </row>
    <row r="29" spans="1:99" x14ac:dyDescent="0.25">
      <c r="A29" s="113">
        <v>45052</v>
      </c>
      <c r="B29" s="21">
        <v>20</v>
      </c>
      <c r="C29" s="22" t="s">
        <v>128</v>
      </c>
      <c r="D29" s="17">
        <f t="shared" si="0"/>
        <v>1</v>
      </c>
      <c r="E29" s="33">
        <f t="shared" si="1"/>
        <v>1.52375606148758</v>
      </c>
      <c r="F29" s="65" cm="1">
        <f t="array" ref="F29">IF(B29="","",0.1+IFERROR(INDEX($F$6:$F28,SUMPRODUCT(MAX(ROW($C$6:$C28)*($C29=$C$6:$C28))-ROW($A$5)))*0.9^($A29-INDEX($A$6:A28,SUMPRODUCT(MAX(ROW($C$6:$C28)*($C29=$C$6:$C28))-ROW($A$5)))),0))</f>
        <v>0.15904900000000002</v>
      </c>
      <c r="G29" s="25">
        <f>INDEX('Exercise list'!$Y$5:$Y$102,MATCH(C29,'Exercise list'!$C$5:$C$102,0))</f>
        <v>3</v>
      </c>
      <c r="H29" s="116">
        <f t="shared" si="2"/>
        <v>0.10217361901854051</v>
      </c>
      <c r="I29" s="18">
        <f t="shared" si="44"/>
        <v>4</v>
      </c>
      <c r="J29" s="18">
        <v>0</v>
      </c>
      <c r="K29" s="17"/>
      <c r="L29" s="51" t="str" cm="1">
        <f t="array" ref="L29">IF(K29="","",INDEX('Exercise list'!$C$5:$C$102,K29))</f>
        <v/>
      </c>
      <c r="M29" s="18"/>
      <c r="N29" s="76" t="str" cm="1">
        <f t="array" ref="N29">IF(M29="","",INDEX('Exercise list'!$C$5:$C$102,M29))</f>
        <v/>
      </c>
      <c r="O29" s="19"/>
      <c r="P29" s="19">
        <f>IFERROR(INDEX('Exercise list'!$E$5:$X$102,MATCH($C29,'Exercise list'!$C$5:$C$102,0),MATCH(P$5,'Exercise list'!$E$4:$X$4,0)),0)</f>
        <v>0</v>
      </c>
      <c r="Q29" s="19">
        <f>IFERROR(INDEX('Exercise list'!$E$5:$X$102,MATCH($C29,'Exercise list'!$C$5:$C$102,0),MATCH(Q$5,'Exercise list'!$E$4:$X$4,0)),0)</f>
        <v>0</v>
      </c>
      <c r="R29" s="19">
        <f>IFERROR(INDEX('Exercise list'!$E$5:$X$102,MATCH($C29,'Exercise list'!$C$5:$C$102,0),MATCH(R$5,'Exercise list'!$E$4:$X$4,0)),0)</f>
        <v>0</v>
      </c>
      <c r="S29" s="19">
        <f>IFERROR(INDEX('Exercise list'!$E$5:$X$102,MATCH($C29,'Exercise list'!$C$5:$C$102,0),MATCH(S$5,'Exercise list'!$E$4:$X$4,0)),0)</f>
        <v>0</v>
      </c>
      <c r="T29" s="19">
        <f>IFERROR(INDEX('Exercise list'!$E$5:$X$102,MATCH($C29,'Exercise list'!$C$5:$C$102,0),MATCH(T$5,'Exercise list'!$E$4:$X$4,0)),0)</f>
        <v>0</v>
      </c>
      <c r="U29" s="19">
        <f>IFERROR(INDEX('Exercise list'!$E$5:$X$102,MATCH($C29,'Exercise list'!$C$5:$C$102,0),MATCH(U$5,'Exercise list'!$E$4:$X$4,0)),0)</f>
        <v>0.7</v>
      </c>
      <c r="V29" s="19">
        <f>IFERROR(INDEX('Exercise list'!$E$5:$X$102,MATCH($C29,'Exercise list'!$C$5:$C$102,0),MATCH(V$5,'Exercise list'!$E$4:$X$4,0)),0)</f>
        <v>0.9</v>
      </c>
      <c r="W29" s="19">
        <f>IFERROR(INDEX('Exercise list'!$E$5:$X$102,MATCH($C29,'Exercise list'!$C$5:$C$102,0),MATCH(W$5,'Exercise list'!$E$4:$X$4,0)),0)</f>
        <v>0</v>
      </c>
      <c r="X29" s="19">
        <f>IFERROR(INDEX('Exercise list'!$E$5:$X$102,MATCH($C29,'Exercise list'!$C$5:$C$102,0),MATCH(X$5,'Exercise list'!$E$4:$X$4,0)),0)</f>
        <v>0</v>
      </c>
      <c r="Y29" s="19">
        <f>IFERROR(INDEX('Exercise list'!$E$5:$X$102,MATCH($C29,'Exercise list'!$C$5:$C$102,0),MATCH(Y$5,'Exercise list'!$E$4:$X$4,0)),0)</f>
        <v>0.7</v>
      </c>
      <c r="Z29" s="19">
        <f>IFERROR(INDEX('Exercise list'!$E$5:$X$102,MATCH($C29,'Exercise list'!$C$5:$C$102,0),MATCH(Z$5,'Exercise list'!$E$4:$X$4,0)),0)</f>
        <v>0</v>
      </c>
      <c r="AA29" s="19">
        <f>IFERROR(INDEX('Exercise list'!$E$5:$X$102,MATCH($C29,'Exercise list'!$C$5:$C$102,0),MATCH(AA$5,'Exercise list'!$E$4:$X$4,0)),0)</f>
        <v>0</v>
      </c>
      <c r="AB29" s="19">
        <f>IFERROR(INDEX('Exercise list'!$E$5:$X$102,MATCH($C29,'Exercise list'!$C$5:$C$102,0),MATCH(AB$5,'Exercise list'!$E$4:$X$4,0)),0)</f>
        <v>0</v>
      </c>
      <c r="AC29" s="19">
        <f>IFERROR(INDEX('Exercise list'!$E$5:$X$102,MATCH($C29,'Exercise list'!$C$5:$C$102,0),MATCH(AC$5,'Exercise list'!$E$4:$X$4,0)),0)</f>
        <v>0</v>
      </c>
      <c r="AD29" s="19">
        <f>IFERROR(INDEX('Exercise list'!$E$5:$X$102,MATCH($C29,'Exercise list'!$C$5:$C$102,0),MATCH(AD$5,'Exercise list'!$E$4:$X$4,0)),0)</f>
        <v>0</v>
      </c>
      <c r="AE29" s="19">
        <f>IFERROR(INDEX('Exercise list'!$E$5:$X$102,MATCH($C29,'Exercise list'!$C$5:$C$102,0),MATCH(AE$5,'Exercise list'!$E$4:$X$4,0)),0)</f>
        <v>0</v>
      </c>
      <c r="AF29" s="19">
        <f>IFERROR(INDEX('Exercise list'!$E$5:$X$102,MATCH($C29,'Exercise list'!$C$5:$C$102,0),MATCH(AF$5,'Exercise list'!$E$4:$X$4,0)),0)</f>
        <v>0</v>
      </c>
      <c r="AG29" s="19">
        <f>IFERROR(INDEX('Exercise list'!$E$5:$X$102,MATCH($C29,'Exercise list'!$C$5:$C$102,0),MATCH(AG$5,'Exercise list'!$E$4:$X$4,0)),0)</f>
        <v>0</v>
      </c>
      <c r="AH29" s="19">
        <f>IFERROR(INDEX('Exercise list'!$E$5:$X$102,MATCH($C29,'Exercise list'!$C$5:$C$102,0),MATCH(AH$5,'Exercise list'!$E$4:$X$4,0)),0)</f>
        <v>0</v>
      </c>
      <c r="AI29" s="19">
        <f>IFERROR(INDEX('Exercise list'!$E$5:$X$102,MATCH($C29,'Exercise list'!$C$5:$C$102,0),MATCH(AI$5,'Exercise list'!$E$4:$X$4,0)),0)</f>
        <v>0</v>
      </c>
      <c r="AJ29" s="19"/>
      <c r="AK29" s="19">
        <f>IF(OR($J29=1,COUNTIFS($A$5:$A28,"&gt;="&amp;$A29-1,$A$5:$A28,"&lt;="&amp;$A29,$B$5:$B28,$B29)&gt;0,MIN(1-'Exercise list'!E$2,IF($A29=$A28,AK28,1))-P29&lt;0),-1,MIN(1,IF($A29=$A28,AK28,1)-P29+$D$2))</f>
        <v>1</v>
      </c>
      <c r="AL29" s="19">
        <f>IF(OR($J29=1,COUNTIFS($A$5:$A28,"&gt;="&amp;$A29-1,$A$5:$A28,"&lt;="&amp;$A29,$B$5:$B28,$B29)&gt;0,MIN(1-'Exercise list'!F$2,IF($A29=$A28,AL28,1))-Q29&lt;0),-1,MIN(1,IF($A29=$A28,AL28,1)-Q29+$D$2))</f>
        <v>1</v>
      </c>
      <c r="AM29" s="19">
        <f>IF(OR($J29=1,COUNTIFS($A$5:$A28,"&gt;="&amp;$A29-1,$A$5:$A28,"&lt;="&amp;$A29,$B$5:$B28,$B29)&gt;0,MIN(1-'Exercise list'!G$2,IF($A29=$A28,AM28,1))-R29&lt;0),-1,MIN(1,IF($A29=$A28,AM28,1)-R29+$D$2))</f>
        <v>1</v>
      </c>
      <c r="AN29" s="19">
        <f>IF(OR($J29=1,COUNTIFS($A$5:$A28,"&gt;="&amp;$A29-1,$A$5:$A28,"&lt;="&amp;$A29,$B$5:$B28,$B29)&gt;0,MIN(1-'Exercise list'!H$2,IF($A29=$A28,AN28,1))-S29&lt;0),-1,MIN(1,IF($A29=$A28,AN28,1)-S29+$D$2))</f>
        <v>1</v>
      </c>
      <c r="AO29" s="19">
        <f>IF(OR($J29=1,COUNTIFS($A$5:$A28,"&gt;="&amp;$A29-1,$A$5:$A28,"&lt;="&amp;$A29,$B$5:$B28,$B29)&gt;0,MIN(1-'Exercise list'!I$2,IF($A29=$A28,AO28,1))-T29&lt;0),-1,MIN(1,IF($A29=$A28,AO28,1)-T29+$D$2))</f>
        <v>1</v>
      </c>
      <c r="AP29" s="19">
        <f>IF(OR($J29=1,COUNTIFS($A$5:$A28,"&gt;="&amp;$A29-1,$A$5:$A28,"&lt;="&amp;$A29,$B$5:$B28,$B29)&gt;0,MIN(1-'Exercise list'!J$2,IF($A29=$A28,AP28,1))-U29&lt;0),-1,MIN(1,IF($A29=$A28,AP28,1)-U29+$D$2))</f>
        <v>1</v>
      </c>
      <c r="AQ29" s="19">
        <f>IF(OR($J29=1,COUNTIFS($A$5:$A28,"&gt;="&amp;$A29-1,$A$5:$A28,"&lt;="&amp;$A29,$B$5:$B28,$B29)&gt;0,MIN(1-'Exercise list'!K$2,IF($A29=$A28,AQ28,1))-V29&lt;0),-1,MIN(1,IF($A29=$A28,AQ28,1)-V29+$D$2))</f>
        <v>1</v>
      </c>
      <c r="AR29" s="19">
        <f>IF(OR($J29=1,COUNTIFS($A$5:$A28,"&gt;="&amp;$A29-1,$A$5:$A28,"&lt;="&amp;$A29,$B$5:$B28,$B29)&gt;0,MIN(1-'Exercise list'!L$2,IF($A29=$A28,AR28,1))-W29&lt;0),-1,MIN(1,IF($A29=$A28,AR28,1)-W29+$D$2))</f>
        <v>1</v>
      </c>
      <c r="AS29" s="19">
        <f>IF(OR($J29=1,COUNTIFS($A$5:$A28,"&gt;="&amp;$A29-1,$A$5:$A28,"&lt;="&amp;$A29,$B$5:$B28,$B29)&gt;0,MIN(1-'Exercise list'!M$2,IF($A29=$A28,AS28,1))-X29&lt;0),-1,MIN(1,IF($A29=$A28,AS28,1)-X29+$D$2))</f>
        <v>1</v>
      </c>
      <c r="AT29" s="19">
        <f>IF(OR($J29=1,COUNTIFS($A$5:$A28,"&gt;="&amp;$A29-1,$A$5:$A28,"&lt;="&amp;$A29,$B$5:$B28,$B29)&gt;0,MIN(1-'Exercise list'!N$2,IF($A29=$A28,AT28,1))-Y29&lt;0),-1,MIN(1,IF($A29=$A28,AT28,1)-Y29+$D$2))</f>
        <v>1</v>
      </c>
      <c r="AU29" s="19">
        <f>IF(OR($J29=1,COUNTIFS($A$5:$A28,"&gt;="&amp;$A29-1,$A$5:$A28,"&lt;="&amp;$A29,$B$5:$B28,$B29)&gt;0,MIN(1-'Exercise list'!O$2,IF($A29=$A28,AU28,1))-Z29&lt;0),-1,MIN(1,IF($A29=$A28,AU28,1)-Z29+$D$2))</f>
        <v>1</v>
      </c>
      <c r="AV29" s="19">
        <f>IF(OR($J29=1,COUNTIFS($A$5:$A28,"&gt;="&amp;$A29-1,$A$5:$A28,"&lt;="&amp;$A29,$B$5:$B28,$B29)&gt;0,MIN(1-'Exercise list'!P$2,IF($A29=$A28,AV28,1))-AA29&lt;0),-1,MIN(1,IF($A29=$A28,AV28,1)-AA29+$D$2))</f>
        <v>1</v>
      </c>
      <c r="AW29" s="19">
        <f>IF(OR($J29=1,COUNTIFS($A$5:$A28,"&gt;="&amp;$A29-1,$A$5:$A28,"&lt;="&amp;$A29,$B$5:$B28,$B29)&gt;0,MIN(1-'Exercise list'!Q$2,IF($A29=$A28,AW28,1))-AB29&lt;0),-1,MIN(1,IF($A29=$A28,AW28,1)-AB29+$D$2))</f>
        <v>1</v>
      </c>
      <c r="AX29" s="19">
        <f>IF(OR($J29=1,COUNTIFS($A$5:$A28,"&gt;="&amp;$A29-1,$A$5:$A28,"&lt;="&amp;$A29,$B$5:$B28,$B29)&gt;0,MIN(1-'Exercise list'!R$2,IF($A29=$A28,AX28,1))-AC29&lt;0),-1,MIN(1,IF($A29=$A28,AX28,1)-AC29+$D$2))</f>
        <v>1</v>
      </c>
      <c r="AY29" s="19">
        <f>IF(OR($J29=1,COUNTIFS($A$5:$A28,"&gt;="&amp;$A29-1,$A$5:$A28,"&lt;="&amp;$A29,$B$5:$B28,$B29)&gt;0,MIN(1-'Exercise list'!S$2,IF($A29=$A28,AY28,1))-AD29&lt;0),-1,MIN(1,IF($A29=$A28,AY28,1)-AD29+$D$2))</f>
        <v>1</v>
      </c>
      <c r="AZ29" s="19">
        <f>IF(OR($J29=1,COUNTIFS($A$5:$A28,"&gt;="&amp;$A29-1,$A$5:$A28,"&lt;="&amp;$A29,$B$5:$B28,$B29)&gt;0,MIN(1-'Exercise list'!T$2,IF($A29=$A28,AZ28,1))-AE29&lt;0),-1,MIN(1,IF($A29=$A28,AZ28,1)-AE29+$D$2))</f>
        <v>1</v>
      </c>
      <c r="BA29" s="19">
        <f>IF(OR($J29=1,COUNTIFS($A$5:$A28,"&gt;="&amp;$A29-1,$A$5:$A28,"&lt;="&amp;$A29,$B$5:$B28,$B29)&gt;0,MIN(1-'Exercise list'!U$2,IF($A29=$A28,BA28,1))-AF29&lt;0),-1,MIN(1,IF($A29=$A28,BA28,1)-AF29+$D$2))</f>
        <v>1</v>
      </c>
      <c r="BB29" s="19">
        <f>IF(OR($J29=1,COUNTIFS($A$5:$A28,"&gt;="&amp;$A29-1,$A$5:$A28,"&lt;="&amp;$A29,$B$5:$B28,$B29)&gt;0,MIN(1-'Exercise list'!V$2,IF($A29=$A28,BB28,1))-AG29&lt;0),-1,MIN(1,IF($A29=$A28,BB28,1)-AG29+$D$2))</f>
        <v>1</v>
      </c>
      <c r="BC29" s="19">
        <f>IF(OR($J29=1,COUNTIFS($A$5:$A28,"&gt;="&amp;$A29-1,$A$5:$A28,"&lt;="&amp;$A29,$B$5:$B28,$B29)&gt;0,MIN(1-'Exercise list'!W$2,IF($A29=$A28,BC28,1))-AH29&lt;0),-1,MIN(1,IF($A29=$A28,BC28,1)-AH29+$D$2))</f>
        <v>1</v>
      </c>
      <c r="BD29" s="19">
        <f>IF(OR($J29=1,COUNTIFS($A$5:$A28,"&gt;="&amp;$A29-1,$A$5:$A28,"&lt;="&amp;$A29,$B$5:$B28,$B29)&gt;0,MIN(1-'Exercise list'!X$2,IF($A29=$A28,BD28,1))-AI29&lt;0),-1,MIN(1,IF($A29=$A28,BD28,1)-AI29+$D$2))</f>
        <v>1</v>
      </c>
      <c r="BE29" s="19"/>
      <c r="BF29" s="23">
        <f t="shared" si="24"/>
        <v>9.7682565891119497E-2</v>
      </c>
      <c r="BG29" s="23">
        <f t="shared" si="25"/>
        <v>0.15626081501748046</v>
      </c>
      <c r="BH29" s="23">
        <f t="shared" si="26"/>
        <v>9.2620861059111298E-2</v>
      </c>
      <c r="BI29" s="23">
        <f t="shared" si="27"/>
        <v>0.10080882051223629</v>
      </c>
      <c r="BJ29" s="23">
        <f t="shared" si="28"/>
        <v>0.43499043480759475</v>
      </c>
      <c r="BK29" s="23">
        <f t="shared" si="29"/>
        <v>5.2966972914782667E-2</v>
      </c>
      <c r="BL29" s="23">
        <f t="shared" si="30"/>
        <v>0.10343267450157154</v>
      </c>
      <c r="BM29" s="23">
        <f t="shared" si="31"/>
        <v>0</v>
      </c>
      <c r="BN29" s="23">
        <f t="shared" si="32"/>
        <v>0.11189704926969909</v>
      </c>
      <c r="BO29" s="23">
        <f t="shared" si="33"/>
        <v>0.10949862212117278</v>
      </c>
      <c r="BP29" s="23">
        <f t="shared" si="34"/>
        <v>0.51879097309045896</v>
      </c>
      <c r="BQ29" s="23">
        <f t="shared" si="35"/>
        <v>4.0357070437129001E-2</v>
      </c>
      <c r="BR29" s="23">
        <f t="shared" si="36"/>
        <v>0.26849800127015522</v>
      </c>
      <c r="BS29" s="23">
        <f t="shared" si="37"/>
        <v>4.5083884946116537E-2</v>
      </c>
      <c r="BT29" s="23">
        <f t="shared" si="38"/>
        <v>0.31445983719511444</v>
      </c>
      <c r="BU29" s="23">
        <f t="shared" si="39"/>
        <v>0.3482341668863394</v>
      </c>
      <c r="BV29" s="23">
        <f t="shared" si="40"/>
        <v>0.45207278186656119</v>
      </c>
      <c r="BW29" s="23">
        <f t="shared" si="41"/>
        <v>7.3152168383303212E-2</v>
      </c>
      <c r="BX29" s="23">
        <f t="shared" si="42"/>
        <v>5.9804289535271601E-2</v>
      </c>
      <c r="BY29" s="23">
        <f t="shared" si="43"/>
        <v>1.796210817715136E-2</v>
      </c>
      <c r="BZ29" s="19"/>
      <c r="CA29" s="23">
        <f t="shared" si="4"/>
        <v>0.15406366358164858</v>
      </c>
      <c r="CB29" s="23">
        <f t="shared" si="5"/>
        <v>9.5485414455287632E-2</v>
      </c>
      <c r="CC29" s="23">
        <f t="shared" si="6"/>
        <v>3.3252253677272747E-2</v>
      </c>
      <c r="CD29" s="23">
        <f t="shared" si="7"/>
        <v>2.5064294224147757E-2</v>
      </c>
      <c r="CE29" s="23">
        <f t="shared" si="8"/>
        <v>0</v>
      </c>
      <c r="CF29" s="23">
        <f t="shared" si="9"/>
        <v>0.32465237129436952</v>
      </c>
      <c r="CG29" s="23">
        <f t="shared" si="10"/>
        <v>2.2440440234812509E-2</v>
      </c>
      <c r="CH29" s="23">
        <f t="shared" si="11"/>
        <v>0.12587311473638405</v>
      </c>
      <c r="CI29" s="23">
        <f t="shared" si="12"/>
        <v>0.139849180203069</v>
      </c>
      <c r="CJ29" s="23">
        <f t="shared" si="13"/>
        <v>1.6374492615211261E-2</v>
      </c>
      <c r="CK29" s="23">
        <f t="shared" si="14"/>
        <v>0</v>
      </c>
      <c r="CL29" s="23">
        <f t="shared" si="15"/>
        <v>8.5516044299255051E-2</v>
      </c>
      <c r="CM29" s="23">
        <f t="shared" si="16"/>
        <v>0</v>
      </c>
      <c r="CN29" s="23">
        <f t="shared" si="17"/>
        <v>8.0789229790267508E-2</v>
      </c>
      <c r="CO29" s="23">
        <f t="shared" si="18"/>
        <v>0</v>
      </c>
      <c r="CP29" s="23">
        <f t="shared" si="19"/>
        <v>0</v>
      </c>
      <c r="CQ29" s="23">
        <f t="shared" si="20"/>
        <v>0</v>
      </c>
      <c r="CR29" s="23">
        <f t="shared" si="21"/>
        <v>5.2720946353080833E-2</v>
      </c>
      <c r="CS29" s="23">
        <f t="shared" si="22"/>
        <v>6.6068825201112444E-2</v>
      </c>
      <c r="CT29" s="23">
        <f t="shared" si="23"/>
        <v>0.10791100655923269</v>
      </c>
      <c r="CU29" s="19"/>
    </row>
    <row r="30" spans="1:99" x14ac:dyDescent="0.25">
      <c r="A30" s="13">
        <v>45053</v>
      </c>
      <c r="B30" s="14">
        <v>6</v>
      </c>
      <c r="C30" s="15" t="s">
        <v>113</v>
      </c>
      <c r="D30" s="12">
        <f t="shared" si="0"/>
        <v>1</v>
      </c>
      <c r="E30" s="32">
        <f t="shared" si="1"/>
        <v>1.2640325469860241</v>
      </c>
      <c r="F30" s="63" cm="1">
        <f t="array" ref="F30">IF(B30="","",0.1+IFERROR(INDEX($F$6:$F29,SUMPRODUCT(MAX(ROW($C$6:$C29)*($C30=$C$6:$C29))-ROW($A$5)))*0.9^($A30-INDEX($A$6:A29,SUMPRODUCT(MAX(ROW($C$6:$C29)*($C30=$C$6:$C29))-ROW($A$5)))),0))</f>
        <v>0.1729</v>
      </c>
      <c r="G30" s="64">
        <f>INDEX('Exercise list'!$Y$5:$Y$102,MATCH(C30,'Exercise list'!$C$5:$C$102,0))</f>
        <v>3</v>
      </c>
      <c r="H30" s="115">
        <f t="shared" si="2"/>
        <v>0.10534582508291666</v>
      </c>
      <c r="I30" s="6">
        <f t="shared" si="44"/>
        <v>1</v>
      </c>
      <c r="J30" s="6">
        <v>0</v>
      </c>
      <c r="K30" s="12"/>
      <c r="L30" s="74" t="str" cm="1">
        <f t="array" ref="L30">IF(K30="","",INDEX('Exercise list'!$C$5:$C$102,K30))</f>
        <v/>
      </c>
      <c r="M30" s="6"/>
      <c r="N30" s="75" t="str" cm="1">
        <f t="array" ref="N30">IF(M30="","",INDEX('Exercise list'!$C$5:$C$102,M30))</f>
        <v/>
      </c>
      <c r="P30">
        <f>IFERROR(INDEX('Exercise list'!$E$5:$X$102,MATCH($C30,'Exercise list'!$C$5:$C$102,0),MATCH(P$5,'Exercise list'!$E$4:$X$4,0)),0)</f>
        <v>0</v>
      </c>
      <c r="Q30">
        <f>IFERROR(INDEX('Exercise list'!$E$5:$X$102,MATCH($C30,'Exercise list'!$C$5:$C$102,0),MATCH(Q$5,'Exercise list'!$E$4:$X$4,0)),0)</f>
        <v>0</v>
      </c>
      <c r="R30">
        <f>IFERROR(INDEX('Exercise list'!$E$5:$X$102,MATCH($C30,'Exercise list'!$C$5:$C$102,0),MATCH(R$5,'Exercise list'!$E$4:$X$4,0)),0)</f>
        <v>0</v>
      </c>
      <c r="S30">
        <f>IFERROR(INDEX('Exercise list'!$E$5:$X$102,MATCH($C30,'Exercise list'!$C$5:$C$102,0),MATCH(S$5,'Exercise list'!$E$4:$X$4,0)),0)</f>
        <v>0</v>
      </c>
      <c r="T30">
        <f>IFERROR(INDEX('Exercise list'!$E$5:$X$102,MATCH($C30,'Exercise list'!$C$5:$C$102,0),MATCH(T$5,'Exercise list'!$E$4:$X$4,0)),0)</f>
        <v>0.5</v>
      </c>
      <c r="U30">
        <f>IFERROR(INDEX('Exercise list'!$E$5:$X$102,MATCH($C30,'Exercise list'!$C$5:$C$102,0),MATCH(U$5,'Exercise list'!$E$4:$X$4,0)),0)</f>
        <v>0</v>
      </c>
      <c r="V30">
        <f>IFERROR(INDEX('Exercise list'!$E$5:$X$102,MATCH($C30,'Exercise list'!$C$5:$C$102,0),MATCH(V$5,'Exercise list'!$E$4:$X$4,0)),0)</f>
        <v>0</v>
      </c>
      <c r="W30">
        <f>IFERROR(INDEX('Exercise list'!$E$5:$X$102,MATCH($C30,'Exercise list'!$C$5:$C$102,0),MATCH(W$5,'Exercise list'!$E$4:$X$4,0)),0)</f>
        <v>0</v>
      </c>
      <c r="X30">
        <f>IFERROR(INDEX('Exercise list'!$E$5:$X$102,MATCH($C30,'Exercise list'!$C$5:$C$102,0),MATCH(X$5,'Exercise list'!$E$4:$X$4,0)),0)</f>
        <v>0</v>
      </c>
      <c r="Y30">
        <f>IFERROR(INDEX('Exercise list'!$E$5:$X$102,MATCH($C30,'Exercise list'!$C$5:$C$102,0),MATCH(Y$5,'Exercise list'!$E$4:$X$4,0)),0)</f>
        <v>0</v>
      </c>
      <c r="Z30">
        <f>IFERROR(INDEX('Exercise list'!$E$5:$X$102,MATCH($C30,'Exercise list'!$C$5:$C$102,0),MATCH(Z$5,'Exercise list'!$E$4:$X$4,0)),0)</f>
        <v>0</v>
      </c>
      <c r="AA30">
        <f>IFERROR(INDEX('Exercise list'!$E$5:$X$102,MATCH($C30,'Exercise list'!$C$5:$C$102,0),MATCH(AA$5,'Exercise list'!$E$4:$X$4,0)),0)</f>
        <v>0</v>
      </c>
      <c r="AB30">
        <f>IFERROR(INDEX('Exercise list'!$E$5:$X$102,MATCH($C30,'Exercise list'!$C$5:$C$102,0),MATCH(AB$5,'Exercise list'!$E$4:$X$4,0)),0)</f>
        <v>0.5</v>
      </c>
      <c r="AC30">
        <f>IFERROR(INDEX('Exercise list'!$E$5:$X$102,MATCH($C30,'Exercise list'!$C$5:$C$102,0),MATCH(AC$5,'Exercise list'!$E$4:$X$4,0)),0)</f>
        <v>0</v>
      </c>
      <c r="AD30">
        <f>IFERROR(INDEX('Exercise list'!$E$5:$X$102,MATCH($C30,'Exercise list'!$C$5:$C$102,0),MATCH(AD$5,'Exercise list'!$E$4:$X$4,0)),0)</f>
        <v>0.8</v>
      </c>
      <c r="AE30">
        <f>IFERROR(INDEX('Exercise list'!$E$5:$X$102,MATCH($C30,'Exercise list'!$C$5:$C$102,0),MATCH(AE$5,'Exercise list'!$E$4:$X$4,0)),0)</f>
        <v>0.7</v>
      </c>
      <c r="AF30">
        <f>IFERROR(INDEX('Exercise list'!$E$5:$X$102,MATCH($C30,'Exercise list'!$C$5:$C$102,0),MATCH(AF$5,'Exercise list'!$E$4:$X$4,0)),0)</f>
        <v>0.9</v>
      </c>
      <c r="AG30">
        <f>IFERROR(INDEX('Exercise list'!$E$5:$X$102,MATCH($C30,'Exercise list'!$C$5:$C$102,0),MATCH(AG$5,'Exercise list'!$E$4:$X$4,0)),0)</f>
        <v>0.5</v>
      </c>
      <c r="AH30">
        <f>IFERROR(INDEX('Exercise list'!$E$5:$X$102,MATCH($C30,'Exercise list'!$C$5:$C$102,0),MATCH(AH$5,'Exercise list'!$E$4:$X$4,0)),0)</f>
        <v>0.5</v>
      </c>
      <c r="AI30">
        <f>IFERROR(INDEX('Exercise list'!$E$5:$X$102,MATCH($C30,'Exercise list'!$C$5:$C$102,0),MATCH(AI$5,'Exercise list'!$E$4:$X$4,0)),0)</f>
        <v>0</v>
      </c>
      <c r="AK30">
        <f>IF(OR($J30=1,COUNTIFS($A$5:$A29,"&gt;="&amp;$A30-1,$A$5:$A29,"&lt;="&amp;$A30,$B$5:$B29,$B30)&gt;0,MIN(1-'Exercise list'!E$2,IF($A30=$A29,AK29,1))-P30&lt;0),-1,MIN(1,IF($A30=$A29,AK29,1)-P30+$D$2))</f>
        <v>1</v>
      </c>
      <c r="AL30">
        <f>IF(OR($J30=1,COUNTIFS($A$5:$A29,"&gt;="&amp;$A30-1,$A$5:$A29,"&lt;="&amp;$A30,$B$5:$B29,$B30)&gt;0,MIN(1-'Exercise list'!F$2,IF($A30=$A29,AL29,1))-Q30&lt;0),-1,MIN(1,IF($A30=$A29,AL29,1)-Q30+$D$2))</f>
        <v>1</v>
      </c>
      <c r="AM30">
        <f>IF(OR($J30=1,COUNTIFS($A$5:$A29,"&gt;="&amp;$A30-1,$A$5:$A29,"&lt;="&amp;$A30,$B$5:$B29,$B30)&gt;0,MIN(1-'Exercise list'!G$2,IF($A30=$A29,AM29,1))-R30&lt;0),-1,MIN(1,IF($A30=$A29,AM29,1)-R30+$D$2))</f>
        <v>1</v>
      </c>
      <c r="AN30">
        <f>IF(OR($J30=1,COUNTIFS($A$5:$A29,"&gt;="&amp;$A30-1,$A$5:$A29,"&lt;="&amp;$A30,$B$5:$B29,$B30)&gt;0,MIN(1-'Exercise list'!H$2,IF($A30=$A29,AN29,1))-S30&lt;0),-1,MIN(1,IF($A30=$A29,AN29,1)-S30+$D$2))</f>
        <v>1</v>
      </c>
      <c r="AO30">
        <f>IF(OR($J30=1,COUNTIFS($A$5:$A29,"&gt;="&amp;$A30-1,$A$5:$A29,"&lt;="&amp;$A30,$B$5:$B29,$B30)&gt;0,MIN(1-'Exercise list'!I$2,IF($A30=$A29,AO29,1))-T30&lt;0),-1,MIN(1,IF($A30=$A29,AO29,1)-T30+$D$2))</f>
        <v>1</v>
      </c>
      <c r="AP30">
        <f>IF(OR($J30=1,COUNTIFS($A$5:$A29,"&gt;="&amp;$A30-1,$A$5:$A29,"&lt;="&amp;$A30,$B$5:$B29,$B30)&gt;0,MIN(1-'Exercise list'!J$2,IF($A30=$A29,AP29,1))-U30&lt;0),-1,MIN(1,IF($A30=$A29,AP29,1)-U30+$D$2))</f>
        <v>1</v>
      </c>
      <c r="AQ30">
        <f>IF(OR($J30=1,COUNTIFS($A$5:$A29,"&gt;="&amp;$A30-1,$A$5:$A29,"&lt;="&amp;$A30,$B$5:$B29,$B30)&gt;0,MIN(1-'Exercise list'!K$2,IF($A30=$A29,AQ29,1))-V30&lt;0),-1,MIN(1,IF($A30=$A29,AQ29,1)-V30+$D$2))</f>
        <v>1</v>
      </c>
      <c r="AR30">
        <f>IF(OR($J30=1,COUNTIFS($A$5:$A29,"&gt;="&amp;$A30-1,$A$5:$A29,"&lt;="&amp;$A30,$B$5:$B29,$B30)&gt;0,MIN(1-'Exercise list'!L$2,IF($A30=$A29,AR29,1))-W30&lt;0),-1,MIN(1,IF($A30=$A29,AR29,1)-W30+$D$2))</f>
        <v>1</v>
      </c>
      <c r="AS30">
        <f>IF(OR($J30=1,COUNTIFS($A$5:$A29,"&gt;="&amp;$A30-1,$A$5:$A29,"&lt;="&amp;$A30,$B$5:$B29,$B30)&gt;0,MIN(1-'Exercise list'!M$2,IF($A30=$A29,AS29,1))-X30&lt;0),-1,MIN(1,IF($A30=$A29,AS29,1)-X30+$D$2))</f>
        <v>1</v>
      </c>
      <c r="AT30">
        <f>IF(OR($J30=1,COUNTIFS($A$5:$A29,"&gt;="&amp;$A30-1,$A$5:$A29,"&lt;="&amp;$A30,$B$5:$B29,$B30)&gt;0,MIN(1-'Exercise list'!N$2,IF($A30=$A29,AT29,1))-Y30&lt;0),-1,MIN(1,IF($A30=$A29,AT29,1)-Y30+$D$2))</f>
        <v>1</v>
      </c>
      <c r="AU30">
        <f>IF(OR($J30=1,COUNTIFS($A$5:$A29,"&gt;="&amp;$A30-1,$A$5:$A29,"&lt;="&amp;$A30,$B$5:$B29,$B30)&gt;0,MIN(1-'Exercise list'!O$2,IF($A30=$A29,AU29,1))-Z30&lt;0),-1,MIN(1,IF($A30=$A29,AU29,1)-Z30+$D$2))</f>
        <v>1</v>
      </c>
      <c r="AV30">
        <f>IF(OR($J30=1,COUNTIFS($A$5:$A29,"&gt;="&amp;$A30-1,$A$5:$A29,"&lt;="&amp;$A30,$B$5:$B29,$B30)&gt;0,MIN(1-'Exercise list'!P$2,IF($A30=$A29,AV29,1))-AA30&lt;0),-1,MIN(1,IF($A30=$A29,AV29,1)-AA30+$D$2))</f>
        <v>1</v>
      </c>
      <c r="AW30">
        <f>IF(OR($J30=1,COUNTIFS($A$5:$A29,"&gt;="&amp;$A30-1,$A$5:$A29,"&lt;="&amp;$A30,$B$5:$B29,$B30)&gt;0,MIN(1-'Exercise list'!Q$2,IF($A30=$A29,AW29,1))-AB30&lt;0),-1,MIN(1,IF($A30=$A29,AW29,1)-AB30+$D$2))</f>
        <v>1</v>
      </c>
      <c r="AX30">
        <f>IF(OR($J30=1,COUNTIFS($A$5:$A29,"&gt;="&amp;$A30-1,$A$5:$A29,"&lt;="&amp;$A30,$B$5:$B29,$B30)&gt;0,MIN(1-'Exercise list'!R$2,IF($A30=$A29,AX29,1))-AC30&lt;0),-1,MIN(1,IF($A30=$A29,AX29,1)-AC30+$D$2))</f>
        <v>1</v>
      </c>
      <c r="AY30">
        <f>IF(OR($J30=1,COUNTIFS($A$5:$A29,"&gt;="&amp;$A30-1,$A$5:$A29,"&lt;="&amp;$A30,$B$5:$B29,$B30)&gt;0,MIN(1-'Exercise list'!S$2,IF($A30=$A29,AY29,1))-AD30&lt;0),-1,MIN(1,IF($A30=$A29,AY29,1)-AD30+$D$2))</f>
        <v>1</v>
      </c>
      <c r="AZ30">
        <f>IF(OR($J30=1,COUNTIFS($A$5:$A29,"&gt;="&amp;$A30-1,$A$5:$A29,"&lt;="&amp;$A30,$B$5:$B29,$B30)&gt;0,MIN(1-'Exercise list'!T$2,IF($A30=$A29,AZ29,1))-AE30&lt;0),-1,MIN(1,IF($A30=$A29,AZ29,1)-AE30+$D$2))</f>
        <v>1</v>
      </c>
      <c r="BA30">
        <f>IF(OR($J30=1,COUNTIFS($A$5:$A29,"&gt;="&amp;$A30-1,$A$5:$A29,"&lt;="&amp;$A30,$B$5:$B29,$B30)&gt;0,MIN(1-'Exercise list'!U$2,IF($A30=$A29,BA29,1))-AF30&lt;0),-1,MIN(1,IF($A30=$A29,BA29,1)-AF30+$D$2))</f>
        <v>1</v>
      </c>
      <c r="BB30">
        <f>IF(OR($J30=1,COUNTIFS($A$5:$A29,"&gt;="&amp;$A30-1,$A$5:$A29,"&lt;="&amp;$A30,$B$5:$B29,$B30)&gt;0,MIN(1-'Exercise list'!V$2,IF($A30=$A29,BB29,1))-AG30&lt;0),-1,MIN(1,IF($A30=$A29,BB29,1)-AG30+$D$2))</f>
        <v>1</v>
      </c>
      <c r="BC30">
        <f>IF(OR($J30=1,COUNTIFS($A$5:$A29,"&gt;="&amp;$A30-1,$A$5:$A29,"&lt;="&amp;$A30,$B$5:$B29,$B30)&gt;0,MIN(1-'Exercise list'!W$2,IF($A30=$A29,BC29,1))-AH30&lt;0),-1,MIN(1,IF($A30=$A29,BC29,1)-AH30+$D$2))</f>
        <v>1</v>
      </c>
      <c r="BD30">
        <f>IF(OR($J30=1,COUNTIFS($A$5:$A29,"&gt;="&amp;$A30-1,$A$5:$A29,"&lt;="&amp;$A30,$B$5:$B29,$B30)&gt;0,MIN(1-'Exercise list'!X$2,IF($A30=$A29,BD29,1))-AI30&lt;0),-1,MIN(1,IF($A30=$A29,BD29,1)-AI30+$D$2))</f>
        <v>1</v>
      </c>
      <c r="BF30" s="16">
        <f t="shared" si="24"/>
        <v>9.2798437596563518E-2</v>
      </c>
      <c r="BG30" s="16">
        <f t="shared" si="25"/>
        <v>0.14844777426660644</v>
      </c>
      <c r="BH30" s="16">
        <f t="shared" si="26"/>
        <v>8.7989818006155726E-2</v>
      </c>
      <c r="BI30" s="16">
        <f t="shared" si="27"/>
        <v>9.5768379486624464E-2</v>
      </c>
      <c r="BJ30" s="16">
        <f t="shared" si="28"/>
        <v>0.43824091306721502</v>
      </c>
      <c r="BK30" s="16">
        <f t="shared" si="29"/>
        <v>5.031862426904353E-2</v>
      </c>
      <c r="BL30" s="16">
        <f t="shared" si="30"/>
        <v>9.8261040776492961E-2</v>
      </c>
      <c r="BM30" s="16">
        <f t="shared" si="31"/>
        <v>0</v>
      </c>
      <c r="BN30" s="16">
        <f t="shared" si="32"/>
        <v>0.10630219680621414</v>
      </c>
      <c r="BO30" s="16">
        <f t="shared" si="33"/>
        <v>0.10402369101511413</v>
      </c>
      <c r="BP30" s="16">
        <f t="shared" si="34"/>
        <v>0.49285142443593599</v>
      </c>
      <c r="BQ30" s="16">
        <f t="shared" si="35"/>
        <v>3.8339216915272548E-2</v>
      </c>
      <c r="BR30" s="16">
        <f t="shared" si="36"/>
        <v>0.28007310120664747</v>
      </c>
      <c r="BS30" s="16">
        <f t="shared" si="37"/>
        <v>4.2829690698810707E-2</v>
      </c>
      <c r="BT30" s="16">
        <f t="shared" si="38"/>
        <v>0.33873684533535875</v>
      </c>
      <c r="BU30" s="16">
        <f t="shared" si="39"/>
        <v>0.36582245854202239</v>
      </c>
      <c r="BV30" s="16">
        <f t="shared" si="40"/>
        <v>0.4744691427732331</v>
      </c>
      <c r="BW30" s="16">
        <f t="shared" si="41"/>
        <v>9.4494559964138053E-2</v>
      </c>
      <c r="BX30" s="16">
        <f t="shared" si="42"/>
        <v>8.1814075058508018E-2</v>
      </c>
      <c r="BY30" s="16">
        <f t="shared" si="43"/>
        <v>1.7064002768293791E-2</v>
      </c>
      <c r="CA30" s="16">
        <f t="shared" si="4"/>
        <v>0.16265677669886253</v>
      </c>
      <c r="CB30" s="16">
        <f t="shared" si="5"/>
        <v>0.10700744002881962</v>
      </c>
      <c r="CC30" s="16">
        <f t="shared" si="6"/>
        <v>3.9737789141557303E-2</v>
      </c>
      <c r="CD30" s="16">
        <f t="shared" si="7"/>
        <v>3.1959227661088566E-2</v>
      </c>
      <c r="CE30" s="16">
        <f t="shared" si="8"/>
        <v>0</v>
      </c>
      <c r="CF30" s="16">
        <f t="shared" si="9"/>
        <v>0.33286419717409554</v>
      </c>
      <c r="CG30" s="16">
        <f t="shared" si="10"/>
        <v>2.9466566371220068E-2</v>
      </c>
      <c r="CH30" s="16">
        <f t="shared" si="11"/>
        <v>0.12772760714771303</v>
      </c>
      <c r="CI30" s="16">
        <f t="shared" si="12"/>
        <v>0.14915301748921192</v>
      </c>
      <c r="CJ30" s="16">
        <f t="shared" si="13"/>
        <v>2.3703916132598896E-2</v>
      </c>
      <c r="CK30" s="16">
        <f t="shared" si="14"/>
        <v>0</v>
      </c>
      <c r="CL30" s="16">
        <f t="shared" si="15"/>
        <v>8.9388390232440482E-2</v>
      </c>
      <c r="CM30" s="16">
        <f t="shared" si="16"/>
        <v>0</v>
      </c>
      <c r="CN30" s="16">
        <f t="shared" si="17"/>
        <v>8.4897916448902322E-2</v>
      </c>
      <c r="CO30" s="16">
        <f t="shared" si="18"/>
        <v>0</v>
      </c>
      <c r="CP30" s="16">
        <f t="shared" si="19"/>
        <v>0</v>
      </c>
      <c r="CQ30" s="16">
        <f t="shared" si="20"/>
        <v>0</v>
      </c>
      <c r="CR30" s="16">
        <f t="shared" si="21"/>
        <v>3.3233047183574976E-2</v>
      </c>
      <c r="CS30" s="16">
        <f t="shared" si="22"/>
        <v>4.5913532089205011E-2</v>
      </c>
      <c r="CT30" s="16">
        <f t="shared" si="23"/>
        <v>0.11066360437941924</v>
      </c>
    </row>
    <row r="31" spans="1:99" x14ac:dyDescent="0.25">
      <c r="A31" s="13">
        <v>45053</v>
      </c>
      <c r="B31" s="14">
        <v>29</v>
      </c>
      <c r="C31" s="15" t="s">
        <v>141</v>
      </c>
      <c r="D31" s="12">
        <f t="shared" si="0"/>
        <v>1</v>
      </c>
      <c r="E31" s="32">
        <f t="shared" si="1"/>
        <v>1.5514195957495658</v>
      </c>
      <c r="F31" s="63" cm="1">
        <f t="array" ref="F31">IF(B31="","",0.1+IFERROR(INDEX($F$6:$F30,SUMPRODUCT(MAX(ROW($C$6:$C30)*($C31=$C$6:$C30))-ROW($A$5)))*0.9^($A31-INDEX($A$6:A30,SUMPRODUCT(MAX(ROW($C$6:$C30)*($C31=$C$6:$C30))-ROW($A$5)))),0))</f>
        <v>0.1</v>
      </c>
      <c r="G31" s="64">
        <f>INDEX('Exercise list'!$Y$5:$Y$102,MATCH(C31,'Exercise list'!$C$5:$C$102,0))</f>
        <v>2</v>
      </c>
      <c r="H31" s="115">
        <f t="shared" si="2"/>
        <v>0.10200667686042494</v>
      </c>
      <c r="I31" s="6">
        <f t="shared" si="44"/>
        <v>2</v>
      </c>
      <c r="J31" s="6">
        <v>0</v>
      </c>
      <c r="K31" s="12"/>
      <c r="L31" s="74" t="str" cm="1">
        <f t="array" ref="L31">IF(K31="","",INDEX('Exercise list'!$C$5:$C$102,K31))</f>
        <v/>
      </c>
      <c r="M31" s="6"/>
      <c r="N31" s="75" t="str" cm="1">
        <f t="array" ref="N31">IF(M31="","",INDEX('Exercise list'!$C$5:$C$102,M31))</f>
        <v/>
      </c>
      <c r="P31">
        <f>IFERROR(INDEX('Exercise list'!$E$5:$X$102,MATCH($C31,'Exercise list'!$C$5:$C$102,0),MATCH(P$5,'Exercise list'!$E$4:$X$4,0)),0)</f>
        <v>0</v>
      </c>
      <c r="Q31">
        <f>IFERROR(INDEX('Exercise list'!$E$5:$X$102,MATCH($C31,'Exercise list'!$C$5:$C$102,0),MATCH(Q$5,'Exercise list'!$E$4:$X$4,0)),0)</f>
        <v>0</v>
      </c>
      <c r="R31">
        <f>IFERROR(INDEX('Exercise list'!$E$5:$X$102,MATCH($C31,'Exercise list'!$C$5:$C$102,0),MATCH(R$5,'Exercise list'!$E$4:$X$4,0)),0)</f>
        <v>0</v>
      </c>
      <c r="S31">
        <f>IFERROR(INDEX('Exercise list'!$E$5:$X$102,MATCH($C31,'Exercise list'!$C$5:$C$102,0),MATCH(S$5,'Exercise list'!$E$4:$X$4,0)),0)</f>
        <v>0</v>
      </c>
      <c r="T31">
        <f>IFERROR(INDEX('Exercise list'!$E$5:$X$102,MATCH($C31,'Exercise list'!$C$5:$C$102,0),MATCH(T$5,'Exercise list'!$E$4:$X$4,0)),0)</f>
        <v>0</v>
      </c>
      <c r="U31">
        <f>IFERROR(INDEX('Exercise list'!$E$5:$X$102,MATCH($C31,'Exercise list'!$C$5:$C$102,0),MATCH(U$5,'Exercise list'!$E$4:$X$4,0)),0)</f>
        <v>0</v>
      </c>
      <c r="V31">
        <f>IFERROR(INDEX('Exercise list'!$E$5:$X$102,MATCH($C31,'Exercise list'!$C$5:$C$102,0),MATCH(V$5,'Exercise list'!$E$4:$X$4,0)),0)</f>
        <v>0</v>
      </c>
      <c r="W31">
        <f>IFERROR(INDEX('Exercise list'!$E$5:$X$102,MATCH($C31,'Exercise list'!$C$5:$C$102,0),MATCH(W$5,'Exercise list'!$E$4:$X$4,0)),0)</f>
        <v>0</v>
      </c>
      <c r="X31">
        <f>IFERROR(INDEX('Exercise list'!$E$5:$X$102,MATCH($C31,'Exercise list'!$C$5:$C$102,0),MATCH(X$5,'Exercise list'!$E$4:$X$4,0)),0)</f>
        <v>0</v>
      </c>
      <c r="Y31">
        <f>IFERROR(INDEX('Exercise list'!$E$5:$X$102,MATCH($C31,'Exercise list'!$C$5:$C$102,0),MATCH(Y$5,'Exercise list'!$E$4:$X$4,0)),0)</f>
        <v>0</v>
      </c>
      <c r="Z31">
        <f>IFERROR(INDEX('Exercise list'!$E$5:$X$102,MATCH($C31,'Exercise list'!$C$5:$C$102,0),MATCH(Z$5,'Exercise list'!$E$4:$X$4,0)),0)</f>
        <v>0</v>
      </c>
      <c r="AA31">
        <f>IFERROR(INDEX('Exercise list'!$E$5:$X$102,MATCH($C31,'Exercise list'!$C$5:$C$102,0),MATCH(AA$5,'Exercise list'!$E$4:$X$4,0)),0)</f>
        <v>1</v>
      </c>
      <c r="AB31">
        <f>IFERROR(INDEX('Exercise list'!$E$5:$X$102,MATCH($C31,'Exercise list'!$C$5:$C$102,0),MATCH(AB$5,'Exercise list'!$E$4:$X$4,0)),0)</f>
        <v>0.6</v>
      </c>
      <c r="AC31">
        <f>IFERROR(INDEX('Exercise list'!$E$5:$X$102,MATCH($C31,'Exercise list'!$C$5:$C$102,0),MATCH(AC$5,'Exercise list'!$E$4:$X$4,0)),0)</f>
        <v>0</v>
      </c>
      <c r="AD31">
        <f>IFERROR(INDEX('Exercise list'!$E$5:$X$102,MATCH($C31,'Exercise list'!$C$5:$C$102,0),MATCH(AD$5,'Exercise list'!$E$4:$X$4,0)),0)</f>
        <v>0</v>
      </c>
      <c r="AE31">
        <f>IFERROR(INDEX('Exercise list'!$E$5:$X$102,MATCH($C31,'Exercise list'!$C$5:$C$102,0),MATCH(AE$5,'Exercise list'!$E$4:$X$4,0)),0)</f>
        <v>0</v>
      </c>
      <c r="AF31">
        <f>IFERROR(INDEX('Exercise list'!$E$5:$X$102,MATCH($C31,'Exercise list'!$C$5:$C$102,0),MATCH(AF$5,'Exercise list'!$E$4:$X$4,0)),0)</f>
        <v>0</v>
      </c>
      <c r="AG31">
        <f>IFERROR(INDEX('Exercise list'!$E$5:$X$102,MATCH($C31,'Exercise list'!$C$5:$C$102,0),MATCH(AG$5,'Exercise list'!$E$4:$X$4,0)),0)</f>
        <v>0</v>
      </c>
      <c r="AH31">
        <f>IFERROR(INDEX('Exercise list'!$E$5:$X$102,MATCH($C31,'Exercise list'!$C$5:$C$102,0),MATCH(AH$5,'Exercise list'!$E$4:$X$4,0)),0)</f>
        <v>0</v>
      </c>
      <c r="AI31">
        <f>IFERROR(INDEX('Exercise list'!$E$5:$X$102,MATCH($C31,'Exercise list'!$C$5:$C$102,0),MATCH(AI$5,'Exercise list'!$E$4:$X$4,0)),0)</f>
        <v>0</v>
      </c>
      <c r="AK31">
        <f>IF(OR($J31=1,COUNTIFS($A$5:$A30,"&gt;="&amp;$A31-1,$A$5:$A30,"&lt;="&amp;$A31,$B$5:$B30,$B31)&gt;0,MIN(1-'Exercise list'!E$2,IF($A31=$A30,AK30,1))-P31&lt;0),-1,MIN(1,IF($A31=$A30,AK30,1)-P31+$D$2))</f>
        <v>1</v>
      </c>
      <c r="AL31">
        <f>IF(OR($J31=1,COUNTIFS($A$5:$A30,"&gt;="&amp;$A31-1,$A$5:$A30,"&lt;="&amp;$A31,$B$5:$B30,$B31)&gt;0,MIN(1-'Exercise list'!F$2,IF($A31=$A30,AL30,1))-Q31&lt;0),-1,MIN(1,IF($A31=$A30,AL30,1)-Q31+$D$2))</f>
        <v>1</v>
      </c>
      <c r="AM31">
        <f>IF(OR($J31=1,COUNTIFS($A$5:$A30,"&gt;="&amp;$A31-1,$A$5:$A30,"&lt;="&amp;$A31,$B$5:$B30,$B31)&gt;0,MIN(1-'Exercise list'!G$2,IF($A31=$A30,AM30,1))-R31&lt;0),-1,MIN(1,IF($A31=$A30,AM30,1)-R31+$D$2))</f>
        <v>1</v>
      </c>
      <c r="AN31">
        <f>IF(OR($J31=1,COUNTIFS($A$5:$A30,"&gt;="&amp;$A31-1,$A$5:$A30,"&lt;="&amp;$A31,$B$5:$B30,$B31)&gt;0,MIN(1-'Exercise list'!H$2,IF($A31=$A30,AN30,1))-S31&lt;0),-1,MIN(1,IF($A31=$A30,AN30,1)-S31+$D$2))</f>
        <v>1</v>
      </c>
      <c r="AO31">
        <f>IF(OR($J31=1,COUNTIFS($A$5:$A30,"&gt;="&amp;$A31-1,$A$5:$A30,"&lt;="&amp;$A31,$B$5:$B30,$B31)&gt;0,MIN(1-'Exercise list'!I$2,IF($A31=$A30,AO30,1))-T31&lt;0),-1,MIN(1,IF($A31=$A30,AO30,1)-T31+$D$2))</f>
        <v>1</v>
      </c>
      <c r="AP31">
        <f>IF(OR($J31=1,COUNTIFS($A$5:$A30,"&gt;="&amp;$A31-1,$A$5:$A30,"&lt;="&amp;$A31,$B$5:$B30,$B31)&gt;0,MIN(1-'Exercise list'!J$2,IF($A31=$A30,AP30,1))-U31&lt;0),-1,MIN(1,IF($A31=$A30,AP30,1)-U31+$D$2))</f>
        <v>1</v>
      </c>
      <c r="AQ31">
        <f>IF(OR($J31=1,COUNTIFS($A$5:$A30,"&gt;="&amp;$A31-1,$A$5:$A30,"&lt;="&amp;$A31,$B$5:$B30,$B31)&gt;0,MIN(1-'Exercise list'!K$2,IF($A31=$A30,AQ30,1))-V31&lt;0),-1,MIN(1,IF($A31=$A30,AQ30,1)-V31+$D$2))</f>
        <v>1</v>
      </c>
      <c r="AR31">
        <f>IF(OR($J31=1,COUNTIFS($A$5:$A30,"&gt;="&amp;$A31-1,$A$5:$A30,"&lt;="&amp;$A31,$B$5:$B30,$B31)&gt;0,MIN(1-'Exercise list'!L$2,IF($A31=$A30,AR30,1))-W31&lt;0),-1,MIN(1,IF($A31=$A30,AR30,1)-W31+$D$2))</f>
        <v>1</v>
      </c>
      <c r="AS31">
        <f>IF(OR($J31=1,COUNTIFS($A$5:$A30,"&gt;="&amp;$A31-1,$A$5:$A30,"&lt;="&amp;$A31,$B$5:$B30,$B31)&gt;0,MIN(1-'Exercise list'!M$2,IF($A31=$A30,AS30,1))-X31&lt;0),-1,MIN(1,IF($A31=$A30,AS30,1)-X31+$D$2))</f>
        <v>1</v>
      </c>
      <c r="AT31">
        <f>IF(OR($J31=1,COUNTIFS($A$5:$A30,"&gt;="&amp;$A31-1,$A$5:$A30,"&lt;="&amp;$A31,$B$5:$B30,$B31)&gt;0,MIN(1-'Exercise list'!N$2,IF($A31=$A30,AT30,1))-Y31&lt;0),-1,MIN(1,IF($A31=$A30,AT30,1)-Y31+$D$2))</f>
        <v>1</v>
      </c>
      <c r="AU31">
        <f>IF(OR($J31=1,COUNTIFS($A$5:$A30,"&gt;="&amp;$A31-1,$A$5:$A30,"&lt;="&amp;$A31,$B$5:$B30,$B31)&gt;0,MIN(1-'Exercise list'!O$2,IF($A31=$A30,AU30,1))-Z31&lt;0),-1,MIN(1,IF($A31=$A30,AU30,1)-Z31+$D$2))</f>
        <v>1</v>
      </c>
      <c r="AV31">
        <f>IF(OR($J31=1,COUNTIFS($A$5:$A30,"&gt;="&amp;$A31-1,$A$5:$A30,"&lt;="&amp;$A31,$B$5:$B30,$B31)&gt;0,MIN(1-'Exercise list'!P$2,IF($A31=$A30,AV30,1))-AA31&lt;0),-1,MIN(1,IF($A31=$A30,AV30,1)-AA31+$D$2))</f>
        <v>1</v>
      </c>
      <c r="AW31">
        <f>IF(OR($J31=1,COUNTIFS($A$5:$A30,"&gt;="&amp;$A31-1,$A$5:$A30,"&lt;="&amp;$A31,$B$5:$B30,$B31)&gt;0,MIN(1-'Exercise list'!Q$2,IF($A31=$A30,AW30,1))-AB31&lt;0),-1,MIN(1,IF($A31=$A30,AW30,1)-AB31+$D$2))</f>
        <v>1</v>
      </c>
      <c r="AX31">
        <f>IF(OR($J31=1,COUNTIFS($A$5:$A30,"&gt;="&amp;$A31-1,$A$5:$A30,"&lt;="&amp;$A31,$B$5:$B30,$B31)&gt;0,MIN(1-'Exercise list'!R$2,IF($A31=$A30,AX30,1))-AC31&lt;0),-1,MIN(1,IF($A31=$A30,AX30,1)-AC31+$D$2))</f>
        <v>1</v>
      </c>
      <c r="AY31">
        <f>IF(OR($J31=1,COUNTIFS($A$5:$A30,"&gt;="&amp;$A31-1,$A$5:$A30,"&lt;="&amp;$A31,$B$5:$B30,$B31)&gt;0,MIN(1-'Exercise list'!S$2,IF($A31=$A30,AY30,1))-AD31&lt;0),-1,MIN(1,IF($A31=$A30,AY30,1)-AD31+$D$2))</f>
        <v>1</v>
      </c>
      <c r="AZ31">
        <f>IF(OR($J31=1,COUNTIFS($A$5:$A30,"&gt;="&amp;$A31-1,$A$5:$A30,"&lt;="&amp;$A31,$B$5:$B30,$B31)&gt;0,MIN(1-'Exercise list'!T$2,IF($A31=$A30,AZ30,1))-AE31&lt;0),-1,MIN(1,IF($A31=$A30,AZ30,1)-AE31+$D$2))</f>
        <v>1</v>
      </c>
      <c r="BA31">
        <f>IF(OR($J31=1,COUNTIFS($A$5:$A30,"&gt;="&amp;$A31-1,$A$5:$A30,"&lt;="&amp;$A31,$B$5:$B30,$B31)&gt;0,MIN(1-'Exercise list'!U$2,IF($A31=$A30,BA30,1))-AF31&lt;0),-1,MIN(1,IF($A31=$A30,BA30,1)-AF31+$D$2))</f>
        <v>1</v>
      </c>
      <c r="BB31">
        <f>IF(OR($J31=1,COUNTIFS($A$5:$A30,"&gt;="&amp;$A31-1,$A$5:$A30,"&lt;="&amp;$A31,$B$5:$B30,$B31)&gt;0,MIN(1-'Exercise list'!V$2,IF($A31=$A30,BB30,1))-AG31&lt;0),-1,MIN(1,IF($A31=$A30,BB30,1)-AG31+$D$2))</f>
        <v>1</v>
      </c>
      <c r="BC31">
        <f>IF(OR($J31=1,COUNTIFS($A$5:$A30,"&gt;="&amp;$A31-1,$A$5:$A30,"&lt;="&amp;$A31,$B$5:$B30,$B31)&gt;0,MIN(1-'Exercise list'!W$2,IF($A31=$A30,BC30,1))-AH31&lt;0),-1,MIN(1,IF($A31=$A30,BC30,1)-AH31+$D$2))</f>
        <v>1</v>
      </c>
      <c r="BD31">
        <f>IF(OR($J31=1,COUNTIFS($A$5:$A30,"&gt;="&amp;$A31-1,$A$5:$A30,"&lt;="&amp;$A31,$B$5:$B30,$B31)&gt;0,MIN(1-'Exercise list'!X$2,IF($A31=$A30,BD30,1))-AI31&lt;0),-1,MIN(1,IF($A31=$A30,BD30,1)-AI31+$D$2))</f>
        <v>1</v>
      </c>
      <c r="BF31" s="16">
        <f t="shared" si="24"/>
        <v>8.8158515716735344E-2</v>
      </c>
      <c r="BG31" s="16">
        <f t="shared" si="25"/>
        <v>0.14102538555327609</v>
      </c>
      <c r="BH31" s="16">
        <f t="shared" si="26"/>
        <v>8.3590327105847934E-2</v>
      </c>
      <c r="BI31" s="16">
        <f t="shared" si="27"/>
        <v>9.0979960512293234E-2</v>
      </c>
      <c r="BJ31" s="16">
        <f t="shared" si="28"/>
        <v>0.41632886741385428</v>
      </c>
      <c r="BK31" s="16">
        <f t="shared" si="29"/>
        <v>4.7802693055591351E-2</v>
      </c>
      <c r="BL31" s="16">
        <f t="shared" si="30"/>
        <v>9.3347988737668308E-2</v>
      </c>
      <c r="BM31" s="16">
        <f t="shared" si="31"/>
        <v>0</v>
      </c>
      <c r="BN31" s="16">
        <f t="shared" si="32"/>
        <v>0.10098708696590343</v>
      </c>
      <c r="BO31" s="16">
        <f t="shared" si="33"/>
        <v>9.8822506464358417E-2</v>
      </c>
      <c r="BP31" s="16">
        <f t="shared" si="34"/>
        <v>0.46820885321413919</v>
      </c>
      <c r="BQ31" s="16">
        <f t="shared" si="35"/>
        <v>8.6422256069508929E-2</v>
      </c>
      <c r="BR31" s="16">
        <f t="shared" si="36"/>
        <v>0.29606944614631503</v>
      </c>
      <c r="BS31" s="16">
        <f t="shared" si="37"/>
        <v>4.0688206163870172E-2</v>
      </c>
      <c r="BT31" s="16">
        <f t="shared" si="38"/>
        <v>0.3218000030685908</v>
      </c>
      <c r="BU31" s="16">
        <f t="shared" si="39"/>
        <v>0.34753133561492128</v>
      </c>
      <c r="BV31" s="16">
        <f t="shared" si="40"/>
        <v>0.4507456856345714</v>
      </c>
      <c r="BW31" s="16">
        <f t="shared" si="41"/>
        <v>8.9769831965931149E-2</v>
      </c>
      <c r="BX31" s="16">
        <f t="shared" si="42"/>
        <v>7.7723371305582614E-2</v>
      </c>
      <c r="BY31" s="16">
        <f t="shared" si="43"/>
        <v>1.62108026298791E-2</v>
      </c>
      <c r="CA31" s="16">
        <f t="shared" si="4"/>
        <v>0.16044986378984527</v>
      </c>
      <c r="CB31" s="16">
        <f t="shared" si="5"/>
        <v>0.10758299395330453</v>
      </c>
      <c r="CC31" s="16">
        <f t="shared" si="6"/>
        <v>4.0713862647442381E-2</v>
      </c>
      <c r="CD31" s="16">
        <f t="shared" si="7"/>
        <v>3.332422924099708E-2</v>
      </c>
      <c r="CE31" s="16">
        <f t="shared" si="8"/>
        <v>0</v>
      </c>
      <c r="CF31" s="16">
        <f t="shared" si="9"/>
        <v>0.32510987620427961</v>
      </c>
      <c r="CG31" s="16">
        <f t="shared" si="10"/>
        <v>3.0956201015622006E-2</v>
      </c>
      <c r="CH31" s="16">
        <f t="shared" si="11"/>
        <v>0.12430418975329031</v>
      </c>
      <c r="CI31" s="16">
        <f t="shared" si="12"/>
        <v>0.14762129254067718</v>
      </c>
      <c r="CJ31" s="16">
        <f t="shared" si="13"/>
        <v>2.5481683288931897E-2</v>
      </c>
      <c r="CK31" s="16">
        <f t="shared" si="14"/>
        <v>0</v>
      </c>
      <c r="CL31" s="16">
        <f t="shared" si="15"/>
        <v>3.7881933683781385E-2</v>
      </c>
      <c r="CM31" s="16">
        <f t="shared" si="16"/>
        <v>0</v>
      </c>
      <c r="CN31" s="16">
        <f t="shared" si="17"/>
        <v>8.3615983589420143E-2</v>
      </c>
      <c r="CO31" s="16">
        <f t="shared" si="18"/>
        <v>0</v>
      </c>
      <c r="CP31" s="16">
        <f t="shared" si="19"/>
        <v>0</v>
      </c>
      <c r="CQ31" s="16">
        <f t="shared" si="20"/>
        <v>0</v>
      </c>
      <c r="CR31" s="16">
        <f t="shared" si="21"/>
        <v>3.4534357787359166E-2</v>
      </c>
      <c r="CS31" s="16">
        <f t="shared" si="22"/>
        <v>4.65808184477077E-2</v>
      </c>
      <c r="CT31" s="16">
        <f t="shared" si="23"/>
        <v>0.10809338712341121</v>
      </c>
    </row>
    <row r="32" spans="1:99" x14ac:dyDescent="0.25">
      <c r="A32" s="13">
        <v>45053</v>
      </c>
      <c r="B32" s="14">
        <v>9</v>
      </c>
      <c r="C32" s="15" t="s">
        <v>118</v>
      </c>
      <c r="D32" s="12">
        <f t="shared" si="0"/>
        <v>1</v>
      </c>
      <c r="E32" s="32">
        <f t="shared" si="1"/>
        <v>1.4754386817576399</v>
      </c>
      <c r="F32" s="63" cm="1">
        <f t="array" ref="F32">IF(B32="","",0.1+IFERROR(INDEX($F$6:$F31,SUMPRODUCT(MAX(ROW($C$6:$C31)*($C32=$C$6:$C31))-ROW($A$5)))*0.9^($A32-INDEX($A$6:A31,SUMPRODUCT(MAX(ROW($C$6:$C31)*($C32=$C$6:$C31))-ROW($A$5)))),0))</f>
        <v>0.1</v>
      </c>
      <c r="G32" s="64">
        <f>INDEX('Exercise list'!$Y$5:$Y$102,MATCH(C32,'Exercise list'!$C$5:$C$102,0))</f>
        <v>2</v>
      </c>
      <c r="H32" s="115">
        <f t="shared" si="2"/>
        <v>0.1038599185035065</v>
      </c>
      <c r="I32" s="6">
        <f t="shared" si="44"/>
        <v>3</v>
      </c>
      <c r="J32" s="6">
        <v>0</v>
      </c>
      <c r="K32" s="12"/>
      <c r="L32" s="74" t="str" cm="1">
        <f t="array" ref="L32">IF(K32="","",INDEX('Exercise list'!$C$5:$C$102,K32))</f>
        <v/>
      </c>
      <c r="M32" s="6"/>
      <c r="N32" s="75" t="str" cm="1">
        <f t="array" ref="N32">IF(M32="","",INDEX('Exercise list'!$C$5:$C$102,M32))</f>
        <v/>
      </c>
      <c r="P32">
        <f>IFERROR(INDEX('Exercise list'!$E$5:$X$102,MATCH($C32,'Exercise list'!$C$5:$C$102,0),MATCH(P$5,'Exercise list'!$E$4:$X$4,0)),0)</f>
        <v>0</v>
      </c>
      <c r="Q32">
        <f>IFERROR(INDEX('Exercise list'!$E$5:$X$102,MATCH($C32,'Exercise list'!$C$5:$C$102,0),MATCH(Q$5,'Exercise list'!$E$4:$X$4,0)),0)</f>
        <v>0</v>
      </c>
      <c r="R32">
        <f>IFERROR(INDEX('Exercise list'!$E$5:$X$102,MATCH($C32,'Exercise list'!$C$5:$C$102,0),MATCH(R$5,'Exercise list'!$E$4:$X$4,0)),0)</f>
        <v>0</v>
      </c>
      <c r="S32">
        <f>IFERROR(INDEX('Exercise list'!$E$5:$X$102,MATCH($C32,'Exercise list'!$C$5:$C$102,0),MATCH(S$5,'Exercise list'!$E$4:$X$4,0)),0)</f>
        <v>0</v>
      </c>
      <c r="T32">
        <f>IFERROR(INDEX('Exercise list'!$E$5:$X$102,MATCH($C32,'Exercise list'!$C$5:$C$102,0),MATCH(T$5,'Exercise list'!$E$4:$X$4,0)),0)</f>
        <v>0</v>
      </c>
      <c r="U32">
        <f>IFERROR(INDEX('Exercise list'!$E$5:$X$102,MATCH($C32,'Exercise list'!$C$5:$C$102,0),MATCH(U$5,'Exercise list'!$E$4:$X$4,0)),0)</f>
        <v>0</v>
      </c>
      <c r="V32">
        <f>IFERROR(INDEX('Exercise list'!$E$5:$X$102,MATCH($C32,'Exercise list'!$C$5:$C$102,0),MATCH(V$5,'Exercise list'!$E$4:$X$4,0)),0)</f>
        <v>0</v>
      </c>
      <c r="W32">
        <f>IFERROR(INDEX('Exercise list'!$E$5:$X$102,MATCH($C32,'Exercise list'!$C$5:$C$102,0),MATCH(W$5,'Exercise list'!$E$4:$X$4,0)),0)</f>
        <v>0</v>
      </c>
      <c r="X32">
        <f>IFERROR(INDEX('Exercise list'!$E$5:$X$102,MATCH($C32,'Exercise list'!$C$5:$C$102,0),MATCH(X$5,'Exercise list'!$E$4:$X$4,0)),0)</f>
        <v>0</v>
      </c>
      <c r="Y32">
        <f>IFERROR(INDEX('Exercise list'!$E$5:$X$102,MATCH($C32,'Exercise list'!$C$5:$C$102,0),MATCH(Y$5,'Exercise list'!$E$4:$X$4,0)),0)</f>
        <v>0</v>
      </c>
      <c r="Z32">
        <f>IFERROR(INDEX('Exercise list'!$E$5:$X$102,MATCH($C32,'Exercise list'!$C$5:$C$102,0),MATCH(Z$5,'Exercise list'!$E$4:$X$4,0)),0)</f>
        <v>0</v>
      </c>
      <c r="AA32">
        <f>IFERROR(INDEX('Exercise list'!$E$5:$X$102,MATCH($C32,'Exercise list'!$C$5:$C$102,0),MATCH(AA$5,'Exercise list'!$E$4:$X$4,0)),0)</f>
        <v>0</v>
      </c>
      <c r="AB32">
        <f>IFERROR(INDEX('Exercise list'!$E$5:$X$102,MATCH($C32,'Exercise list'!$C$5:$C$102,0),MATCH(AB$5,'Exercise list'!$E$4:$X$4,0)),0)</f>
        <v>0</v>
      </c>
      <c r="AC32">
        <f>IFERROR(INDEX('Exercise list'!$E$5:$X$102,MATCH($C32,'Exercise list'!$C$5:$C$102,0),MATCH(AC$5,'Exercise list'!$E$4:$X$4,0)),0)</f>
        <v>0</v>
      </c>
      <c r="AD32">
        <f>IFERROR(INDEX('Exercise list'!$E$5:$X$102,MATCH($C32,'Exercise list'!$C$5:$C$102,0),MATCH(AD$5,'Exercise list'!$E$4:$X$4,0)),0)</f>
        <v>0.9</v>
      </c>
      <c r="AE32">
        <f>IFERROR(INDEX('Exercise list'!$E$5:$X$102,MATCH($C32,'Exercise list'!$C$5:$C$102,0),MATCH(AE$5,'Exercise list'!$E$4:$X$4,0)),0)</f>
        <v>0.7</v>
      </c>
      <c r="AF32">
        <f>IFERROR(INDEX('Exercise list'!$E$5:$X$102,MATCH($C32,'Exercise list'!$C$5:$C$102,0),MATCH(AF$5,'Exercise list'!$E$4:$X$4,0)),0)</f>
        <v>0.9</v>
      </c>
      <c r="AG32">
        <f>IFERROR(INDEX('Exercise list'!$E$5:$X$102,MATCH($C32,'Exercise list'!$C$5:$C$102,0),MATCH(AG$5,'Exercise list'!$E$4:$X$4,0)),0)</f>
        <v>0.5</v>
      </c>
      <c r="AH32">
        <f>IFERROR(INDEX('Exercise list'!$E$5:$X$102,MATCH($C32,'Exercise list'!$C$5:$C$102,0),MATCH(AH$5,'Exercise list'!$E$4:$X$4,0)),0)</f>
        <v>0.6</v>
      </c>
      <c r="AI32">
        <f>IFERROR(INDEX('Exercise list'!$E$5:$X$102,MATCH($C32,'Exercise list'!$C$5:$C$102,0),MATCH(AI$5,'Exercise list'!$E$4:$X$4,0)),0)</f>
        <v>0</v>
      </c>
      <c r="AK32">
        <f>IF(OR($J32=1,COUNTIFS($A$5:$A31,"&gt;="&amp;$A32-1,$A$5:$A31,"&lt;="&amp;$A32,$B$5:$B31,$B32)&gt;0,MIN(1-'Exercise list'!E$2,IF($A32=$A31,AK31,1))-P32&lt;0),-1,MIN(1,IF($A32=$A31,AK31,1)-P32+$D$2))</f>
        <v>1</v>
      </c>
      <c r="AL32">
        <f>IF(OR($J32=1,COUNTIFS($A$5:$A31,"&gt;="&amp;$A32-1,$A$5:$A31,"&lt;="&amp;$A32,$B$5:$B31,$B32)&gt;0,MIN(1-'Exercise list'!F$2,IF($A32=$A31,AL31,1))-Q32&lt;0),-1,MIN(1,IF($A32=$A31,AL31,1)-Q32+$D$2))</f>
        <v>1</v>
      </c>
      <c r="AM32">
        <f>IF(OR($J32=1,COUNTIFS($A$5:$A31,"&gt;="&amp;$A32-1,$A$5:$A31,"&lt;="&amp;$A32,$B$5:$B31,$B32)&gt;0,MIN(1-'Exercise list'!G$2,IF($A32=$A31,AM31,1))-R32&lt;0),-1,MIN(1,IF($A32=$A31,AM31,1)-R32+$D$2))</f>
        <v>1</v>
      </c>
      <c r="AN32">
        <f>IF(OR($J32=1,COUNTIFS($A$5:$A31,"&gt;="&amp;$A32-1,$A$5:$A31,"&lt;="&amp;$A32,$B$5:$B31,$B32)&gt;0,MIN(1-'Exercise list'!H$2,IF($A32=$A31,AN31,1))-S32&lt;0),-1,MIN(1,IF($A32=$A31,AN31,1)-S32+$D$2))</f>
        <v>1</v>
      </c>
      <c r="AO32">
        <f>IF(OR($J32=1,COUNTIFS($A$5:$A31,"&gt;="&amp;$A32-1,$A$5:$A31,"&lt;="&amp;$A32,$B$5:$B31,$B32)&gt;0,MIN(1-'Exercise list'!I$2,IF($A32=$A31,AO31,1))-T32&lt;0),-1,MIN(1,IF($A32=$A31,AO31,1)-T32+$D$2))</f>
        <v>1</v>
      </c>
      <c r="AP32">
        <f>IF(OR($J32=1,COUNTIFS($A$5:$A31,"&gt;="&amp;$A32-1,$A$5:$A31,"&lt;="&amp;$A32,$B$5:$B31,$B32)&gt;0,MIN(1-'Exercise list'!J$2,IF($A32=$A31,AP31,1))-U32&lt;0),-1,MIN(1,IF($A32=$A31,AP31,1)-U32+$D$2))</f>
        <v>1</v>
      </c>
      <c r="AQ32">
        <f>IF(OR($J32=1,COUNTIFS($A$5:$A31,"&gt;="&amp;$A32-1,$A$5:$A31,"&lt;="&amp;$A32,$B$5:$B31,$B32)&gt;0,MIN(1-'Exercise list'!K$2,IF($A32=$A31,AQ31,1))-V32&lt;0),-1,MIN(1,IF($A32=$A31,AQ31,1)-V32+$D$2))</f>
        <v>1</v>
      </c>
      <c r="AR32">
        <f>IF(OR($J32=1,COUNTIFS($A$5:$A31,"&gt;="&amp;$A32-1,$A$5:$A31,"&lt;="&amp;$A32,$B$5:$B31,$B32)&gt;0,MIN(1-'Exercise list'!L$2,IF($A32=$A31,AR31,1))-W32&lt;0),-1,MIN(1,IF($A32=$A31,AR31,1)-W32+$D$2))</f>
        <v>1</v>
      </c>
      <c r="AS32">
        <f>IF(OR($J32=1,COUNTIFS($A$5:$A31,"&gt;="&amp;$A32-1,$A$5:$A31,"&lt;="&amp;$A32,$B$5:$B31,$B32)&gt;0,MIN(1-'Exercise list'!M$2,IF($A32=$A31,AS31,1))-X32&lt;0),-1,MIN(1,IF($A32=$A31,AS31,1)-X32+$D$2))</f>
        <v>1</v>
      </c>
      <c r="AT32">
        <f>IF(OR($J32=1,COUNTIFS($A$5:$A31,"&gt;="&amp;$A32-1,$A$5:$A31,"&lt;="&amp;$A32,$B$5:$B31,$B32)&gt;0,MIN(1-'Exercise list'!N$2,IF($A32=$A31,AT31,1))-Y32&lt;0),-1,MIN(1,IF($A32=$A31,AT31,1)-Y32+$D$2))</f>
        <v>1</v>
      </c>
      <c r="AU32">
        <f>IF(OR($J32=1,COUNTIFS($A$5:$A31,"&gt;="&amp;$A32-1,$A$5:$A31,"&lt;="&amp;$A32,$B$5:$B31,$B32)&gt;0,MIN(1-'Exercise list'!O$2,IF($A32=$A31,AU31,1))-Z32&lt;0),-1,MIN(1,IF($A32=$A31,AU31,1)-Z32+$D$2))</f>
        <v>1</v>
      </c>
      <c r="AV32">
        <f>IF(OR($J32=1,COUNTIFS($A$5:$A31,"&gt;="&amp;$A32-1,$A$5:$A31,"&lt;="&amp;$A32,$B$5:$B31,$B32)&gt;0,MIN(1-'Exercise list'!P$2,IF($A32=$A31,AV31,1))-AA32&lt;0),-1,MIN(1,IF($A32=$A31,AV31,1)-AA32+$D$2))</f>
        <v>1</v>
      </c>
      <c r="AW32">
        <f>IF(OR($J32=1,COUNTIFS($A$5:$A31,"&gt;="&amp;$A32-1,$A$5:$A31,"&lt;="&amp;$A32,$B$5:$B31,$B32)&gt;0,MIN(1-'Exercise list'!Q$2,IF($A32=$A31,AW31,1))-AB32&lt;0),-1,MIN(1,IF($A32=$A31,AW31,1)-AB32+$D$2))</f>
        <v>1</v>
      </c>
      <c r="AX32">
        <f>IF(OR($J32=1,COUNTIFS($A$5:$A31,"&gt;="&amp;$A32-1,$A$5:$A31,"&lt;="&amp;$A32,$B$5:$B31,$B32)&gt;0,MIN(1-'Exercise list'!R$2,IF($A32=$A31,AX31,1))-AC32&lt;0),-1,MIN(1,IF($A32=$A31,AX31,1)-AC32+$D$2))</f>
        <v>1</v>
      </c>
      <c r="AY32">
        <f>IF(OR($J32=1,COUNTIFS($A$5:$A31,"&gt;="&amp;$A32-1,$A$5:$A31,"&lt;="&amp;$A32,$B$5:$B31,$B32)&gt;0,MIN(1-'Exercise list'!S$2,IF($A32=$A31,AY31,1))-AD32&lt;0),-1,MIN(1,IF($A32=$A31,AY31,1)-AD32+$D$2))</f>
        <v>1</v>
      </c>
      <c r="AZ32">
        <f>IF(OR($J32=1,COUNTIFS($A$5:$A31,"&gt;="&amp;$A32-1,$A$5:$A31,"&lt;="&amp;$A32,$B$5:$B31,$B32)&gt;0,MIN(1-'Exercise list'!T$2,IF($A32=$A31,AZ31,1))-AE32&lt;0),-1,MIN(1,IF($A32=$A31,AZ31,1)-AE32+$D$2))</f>
        <v>1</v>
      </c>
      <c r="BA32">
        <f>IF(OR($J32=1,COUNTIFS($A$5:$A31,"&gt;="&amp;$A32-1,$A$5:$A31,"&lt;="&amp;$A32,$B$5:$B31,$B32)&gt;0,MIN(1-'Exercise list'!U$2,IF($A32=$A31,BA31,1))-AF32&lt;0),-1,MIN(1,IF($A32=$A31,BA31,1)-AF32+$D$2))</f>
        <v>1</v>
      </c>
      <c r="BB32">
        <f>IF(OR($J32=1,COUNTIFS($A$5:$A31,"&gt;="&amp;$A32-1,$A$5:$A31,"&lt;="&amp;$A32,$B$5:$B31,$B32)&gt;0,MIN(1-'Exercise list'!V$2,IF($A32=$A31,BB31,1))-AG32&lt;0),-1,MIN(1,IF($A32=$A31,BB31,1)-AG32+$D$2))</f>
        <v>1</v>
      </c>
      <c r="BC32">
        <f>IF(OR($J32=1,COUNTIFS($A$5:$A31,"&gt;="&amp;$A32-1,$A$5:$A31,"&lt;="&amp;$A32,$B$5:$B31,$B32)&gt;0,MIN(1-'Exercise list'!W$2,IF($A32=$A31,BC31,1))-AH32&lt;0),-1,MIN(1,IF($A32=$A31,BC31,1)-AH32+$D$2))</f>
        <v>1</v>
      </c>
      <c r="BD32">
        <f>IF(OR($J32=1,COUNTIFS($A$5:$A31,"&gt;="&amp;$A32-1,$A$5:$A31,"&lt;="&amp;$A32,$B$5:$B31,$B32)&gt;0,MIN(1-'Exercise list'!X$2,IF($A32=$A31,BD31,1))-AI32&lt;0),-1,MIN(1,IF($A32=$A31,BD31,1)-AI32+$D$2))</f>
        <v>1</v>
      </c>
      <c r="BF32" s="16">
        <f t="shared" si="24"/>
        <v>8.3750589930898567E-2</v>
      </c>
      <c r="BG32" s="16">
        <f t="shared" si="25"/>
        <v>0.13397411627561229</v>
      </c>
      <c r="BH32" s="16">
        <f t="shared" si="26"/>
        <v>7.9410810750555533E-2</v>
      </c>
      <c r="BI32" s="16">
        <f t="shared" si="27"/>
        <v>8.6430962486678573E-2</v>
      </c>
      <c r="BJ32" s="16">
        <f t="shared" si="28"/>
        <v>0.39551242404316156</v>
      </c>
      <c r="BK32" s="16">
        <f t="shared" si="29"/>
        <v>4.5412558402811783E-2</v>
      </c>
      <c r="BL32" s="16">
        <f t="shared" si="30"/>
        <v>8.8680589300784887E-2</v>
      </c>
      <c r="BM32" s="16">
        <f t="shared" si="31"/>
        <v>0</v>
      </c>
      <c r="BN32" s="16">
        <f t="shared" si="32"/>
        <v>9.5937732617608254E-2</v>
      </c>
      <c r="BO32" s="16">
        <f t="shared" si="33"/>
        <v>9.3881381141140488E-2</v>
      </c>
      <c r="BP32" s="16">
        <f t="shared" si="34"/>
        <v>0.44479841055343222</v>
      </c>
      <c r="BQ32" s="16">
        <f t="shared" si="35"/>
        <v>8.2101143266033474E-2</v>
      </c>
      <c r="BR32" s="16">
        <f t="shared" si="36"/>
        <v>0.28126597383899926</v>
      </c>
      <c r="BS32" s="16">
        <f t="shared" si="37"/>
        <v>3.8653795855676659E-2</v>
      </c>
      <c r="BT32" s="16">
        <f t="shared" si="38"/>
        <v>0.35071000291516125</v>
      </c>
      <c r="BU32" s="16">
        <f t="shared" si="39"/>
        <v>0.36515476883417519</v>
      </c>
      <c r="BV32" s="16">
        <f t="shared" si="40"/>
        <v>0.47320840135284281</v>
      </c>
      <c r="BW32" s="16">
        <f t="shared" si="41"/>
        <v>0.11028134036763459</v>
      </c>
      <c r="BX32" s="16">
        <f t="shared" si="42"/>
        <v>0.10383720274030347</v>
      </c>
      <c r="BY32" s="16">
        <f t="shared" si="43"/>
        <v>1.5400262498385144E-2</v>
      </c>
      <c r="CA32" s="16">
        <f t="shared" si="4"/>
        <v>0.16576070393368639</v>
      </c>
      <c r="CB32" s="16">
        <f t="shared" si="5"/>
        <v>0.11553717758897267</v>
      </c>
      <c r="CC32" s="16">
        <f t="shared" si="6"/>
        <v>4.5344836181736944E-2</v>
      </c>
      <c r="CD32" s="16">
        <f t="shared" si="7"/>
        <v>3.8324684445613905E-2</v>
      </c>
      <c r="CE32" s="16">
        <f t="shared" si="8"/>
        <v>0</v>
      </c>
      <c r="CF32" s="16">
        <f t="shared" si="9"/>
        <v>0.32885438239406567</v>
      </c>
      <c r="CG32" s="16">
        <f t="shared" si="10"/>
        <v>3.607505763150759E-2</v>
      </c>
      <c r="CH32" s="16">
        <f t="shared" si="11"/>
        <v>0.12475564693229248</v>
      </c>
      <c r="CI32" s="16">
        <f t="shared" si="12"/>
        <v>0.15357356124697669</v>
      </c>
      <c r="CJ32" s="16">
        <f t="shared" si="13"/>
        <v>3.0874265791151989E-2</v>
      </c>
      <c r="CK32" s="16">
        <f t="shared" si="14"/>
        <v>0</v>
      </c>
      <c r="CL32" s="16">
        <f t="shared" si="15"/>
        <v>4.2654503666259003E-2</v>
      </c>
      <c r="CM32" s="16">
        <f t="shared" si="16"/>
        <v>0</v>
      </c>
      <c r="CN32" s="16">
        <f t="shared" si="17"/>
        <v>8.6101851076615818E-2</v>
      </c>
      <c r="CO32" s="16">
        <f t="shared" si="18"/>
        <v>0</v>
      </c>
      <c r="CP32" s="16">
        <f t="shared" si="19"/>
        <v>0</v>
      </c>
      <c r="CQ32" s="16">
        <f t="shared" si="20"/>
        <v>0</v>
      </c>
      <c r="CR32" s="16">
        <f t="shared" si="21"/>
        <v>1.4474306564657882E-2</v>
      </c>
      <c r="CS32" s="16">
        <f t="shared" si="22"/>
        <v>2.0918444191989002E-2</v>
      </c>
      <c r="CT32" s="16">
        <f t="shared" si="23"/>
        <v>0.10935538443390733</v>
      </c>
    </row>
    <row r="33" spans="1:99" x14ac:dyDescent="0.25">
      <c r="A33" s="20">
        <v>45053</v>
      </c>
      <c r="B33" s="21">
        <v>4</v>
      </c>
      <c r="C33" s="22" t="s">
        <v>29</v>
      </c>
      <c r="D33" s="17">
        <f t="shared" si="0"/>
        <v>1</v>
      </c>
      <c r="E33" s="33">
        <f t="shared" si="1"/>
        <v>2.2533663377831439</v>
      </c>
      <c r="F33" s="65" cm="1">
        <f t="array" ref="F33">IF(B33="","",0.1+IFERROR(INDEX($F$6:$F32,SUMPRODUCT(MAX(ROW($C$6:$C32)*($C33=$C$6:$C32))-ROW($A$5)))*0.9^($A33-INDEX($A$6:A32,SUMPRODUCT(MAX(ROW($C$6:$C32)*($C33=$C$6:$C32))-ROW($A$5)))),0))</f>
        <v>0.1</v>
      </c>
      <c r="G33" s="25">
        <f>INDEX('Exercise list'!$Y$5:$Y$102,MATCH(C33,'Exercise list'!$C$5:$C$102,0))</f>
        <v>3</v>
      </c>
      <c r="H33" s="116">
        <f t="shared" si="2"/>
        <v>0.1038599185035065</v>
      </c>
      <c r="I33" s="18">
        <f t="shared" si="44"/>
        <v>4</v>
      </c>
      <c r="J33" s="18">
        <v>0</v>
      </c>
      <c r="K33" s="17"/>
      <c r="L33" s="51" t="str" cm="1">
        <f t="array" ref="L33">IF(K33="","",INDEX('Exercise list'!$C$5:$C$102,K33))</f>
        <v/>
      </c>
      <c r="M33" s="18"/>
      <c r="N33" s="76" t="str" cm="1">
        <f t="array" ref="N33">IF(M33="","",INDEX('Exercise list'!$C$5:$C$102,M33))</f>
        <v/>
      </c>
      <c r="O33" s="19"/>
      <c r="P33" s="19">
        <f>IFERROR(INDEX('Exercise list'!$E$5:$X$102,MATCH($C33,'Exercise list'!$C$5:$C$102,0),MATCH(P$5,'Exercise list'!$E$4:$X$4,0)),0)</f>
        <v>0</v>
      </c>
      <c r="Q33" s="19">
        <f>IFERROR(INDEX('Exercise list'!$E$5:$X$102,MATCH($C33,'Exercise list'!$C$5:$C$102,0),MATCH(Q$5,'Exercise list'!$E$4:$X$4,0)),0)</f>
        <v>0</v>
      </c>
      <c r="R33" s="19">
        <f>IFERROR(INDEX('Exercise list'!$E$5:$X$102,MATCH($C33,'Exercise list'!$C$5:$C$102,0),MATCH(R$5,'Exercise list'!$E$4:$X$4,0)),0)</f>
        <v>0</v>
      </c>
      <c r="S33" s="19">
        <f>IFERROR(INDEX('Exercise list'!$E$5:$X$102,MATCH($C33,'Exercise list'!$C$5:$C$102,0),MATCH(S$5,'Exercise list'!$E$4:$X$4,0)),0)</f>
        <v>0</v>
      </c>
      <c r="T33" s="19">
        <f>IFERROR(INDEX('Exercise list'!$E$5:$X$102,MATCH($C33,'Exercise list'!$C$5:$C$102,0),MATCH(T$5,'Exercise list'!$E$4:$X$4,0)),0)</f>
        <v>0</v>
      </c>
      <c r="U33" s="19">
        <f>IFERROR(INDEX('Exercise list'!$E$5:$X$102,MATCH($C33,'Exercise list'!$C$5:$C$102,0),MATCH(U$5,'Exercise list'!$E$4:$X$4,0)),0)</f>
        <v>0</v>
      </c>
      <c r="V33" s="19">
        <f>IFERROR(INDEX('Exercise list'!$E$5:$X$102,MATCH($C33,'Exercise list'!$C$5:$C$102,0),MATCH(V$5,'Exercise list'!$E$4:$X$4,0)),0)</f>
        <v>0</v>
      </c>
      <c r="W33" s="19">
        <f>IFERROR(INDEX('Exercise list'!$E$5:$X$102,MATCH($C33,'Exercise list'!$C$5:$C$102,0),MATCH(W$5,'Exercise list'!$E$4:$X$4,0)),0)</f>
        <v>0</v>
      </c>
      <c r="X33" s="19">
        <f>IFERROR(INDEX('Exercise list'!$E$5:$X$102,MATCH($C33,'Exercise list'!$C$5:$C$102,0),MATCH(X$5,'Exercise list'!$E$4:$X$4,0)),0)</f>
        <v>0</v>
      </c>
      <c r="Y33" s="19">
        <f>IFERROR(INDEX('Exercise list'!$E$5:$X$102,MATCH($C33,'Exercise list'!$C$5:$C$102,0),MATCH(Y$5,'Exercise list'!$E$4:$X$4,0)),0)</f>
        <v>0</v>
      </c>
      <c r="Z33" s="19">
        <f>IFERROR(INDEX('Exercise list'!$E$5:$X$102,MATCH($C33,'Exercise list'!$C$5:$C$102,0),MATCH(Z$5,'Exercise list'!$E$4:$X$4,0)),0)</f>
        <v>0</v>
      </c>
      <c r="AA33" s="19">
        <f>IFERROR(INDEX('Exercise list'!$E$5:$X$102,MATCH($C33,'Exercise list'!$C$5:$C$102,0),MATCH(AA$5,'Exercise list'!$E$4:$X$4,0)),0)</f>
        <v>0</v>
      </c>
      <c r="AB33" s="19">
        <f>IFERROR(INDEX('Exercise list'!$E$5:$X$102,MATCH($C33,'Exercise list'!$C$5:$C$102,0),MATCH(AB$5,'Exercise list'!$E$4:$X$4,0)),0)</f>
        <v>0</v>
      </c>
      <c r="AC33" s="19">
        <f>IFERROR(INDEX('Exercise list'!$E$5:$X$102,MATCH($C33,'Exercise list'!$C$5:$C$102,0),MATCH(AC$5,'Exercise list'!$E$4:$X$4,0)),0)</f>
        <v>0</v>
      </c>
      <c r="AD33" s="19">
        <f>IFERROR(INDEX('Exercise list'!$E$5:$X$102,MATCH($C33,'Exercise list'!$C$5:$C$102,0),MATCH(AD$5,'Exercise list'!$E$4:$X$4,0)),0)</f>
        <v>1</v>
      </c>
      <c r="AE33" s="19">
        <f>IFERROR(INDEX('Exercise list'!$E$5:$X$102,MATCH($C33,'Exercise list'!$C$5:$C$102,0),MATCH(AE$5,'Exercise list'!$E$4:$X$4,0)),0)</f>
        <v>0.8</v>
      </c>
      <c r="AF33" s="19">
        <f>IFERROR(INDEX('Exercise list'!$E$5:$X$102,MATCH($C33,'Exercise list'!$C$5:$C$102,0),MATCH(AF$5,'Exercise list'!$E$4:$X$4,0)),0)</f>
        <v>0.7</v>
      </c>
      <c r="AG33" s="19">
        <f>IFERROR(INDEX('Exercise list'!$E$5:$X$102,MATCH($C33,'Exercise list'!$C$5:$C$102,0),MATCH(AG$5,'Exercise list'!$E$4:$X$4,0)),0)</f>
        <v>1</v>
      </c>
      <c r="AH33" s="19">
        <f>IFERROR(INDEX('Exercise list'!$E$5:$X$102,MATCH($C33,'Exercise list'!$C$5:$C$102,0),MATCH(AH$5,'Exercise list'!$E$4:$X$4,0)),0)</f>
        <v>0</v>
      </c>
      <c r="AI33" s="19">
        <f>IFERROR(INDEX('Exercise list'!$E$5:$X$102,MATCH($C33,'Exercise list'!$C$5:$C$102,0),MATCH(AI$5,'Exercise list'!$E$4:$X$4,0)),0)</f>
        <v>0</v>
      </c>
      <c r="AJ33" s="19"/>
      <c r="AK33" s="19">
        <f>IF(OR($J33=1,COUNTIFS($A$5:$A32,"&gt;="&amp;$A33-1,$A$5:$A32,"&lt;="&amp;$A33,$B$5:$B32,$B33)&gt;0,MIN(1-'Exercise list'!E$2,IF($A33=$A32,AK32,1))-P33&lt;0),-1,MIN(1,IF($A33=$A32,AK32,1)-P33+$D$2))</f>
        <v>1</v>
      </c>
      <c r="AL33" s="19">
        <f>IF(OR($J33=1,COUNTIFS($A$5:$A32,"&gt;="&amp;$A33-1,$A$5:$A32,"&lt;="&amp;$A33,$B$5:$B32,$B33)&gt;0,MIN(1-'Exercise list'!F$2,IF($A33=$A32,AL32,1))-Q33&lt;0),-1,MIN(1,IF($A33=$A32,AL32,1)-Q33+$D$2))</f>
        <v>1</v>
      </c>
      <c r="AM33" s="19">
        <f>IF(OR($J33=1,COUNTIFS($A$5:$A32,"&gt;="&amp;$A33-1,$A$5:$A32,"&lt;="&amp;$A33,$B$5:$B32,$B33)&gt;0,MIN(1-'Exercise list'!G$2,IF($A33=$A32,AM32,1))-R33&lt;0),-1,MIN(1,IF($A33=$A32,AM32,1)-R33+$D$2))</f>
        <v>1</v>
      </c>
      <c r="AN33" s="19">
        <f>IF(OR($J33=1,COUNTIFS($A$5:$A32,"&gt;="&amp;$A33-1,$A$5:$A32,"&lt;="&amp;$A33,$B$5:$B32,$B33)&gt;0,MIN(1-'Exercise list'!H$2,IF($A33=$A32,AN32,1))-S33&lt;0),-1,MIN(1,IF($A33=$A32,AN32,1)-S33+$D$2))</f>
        <v>1</v>
      </c>
      <c r="AO33" s="19">
        <f>IF(OR($J33=1,COUNTIFS($A$5:$A32,"&gt;="&amp;$A33-1,$A$5:$A32,"&lt;="&amp;$A33,$B$5:$B32,$B33)&gt;0,MIN(1-'Exercise list'!I$2,IF($A33=$A32,AO32,1))-T33&lt;0),-1,MIN(1,IF($A33=$A32,AO32,1)-T33+$D$2))</f>
        <v>1</v>
      </c>
      <c r="AP33" s="19">
        <f>IF(OR($J33=1,COUNTIFS($A$5:$A32,"&gt;="&amp;$A33-1,$A$5:$A32,"&lt;="&amp;$A33,$B$5:$B32,$B33)&gt;0,MIN(1-'Exercise list'!J$2,IF($A33=$A32,AP32,1))-U33&lt;0),-1,MIN(1,IF($A33=$A32,AP32,1)-U33+$D$2))</f>
        <v>1</v>
      </c>
      <c r="AQ33" s="19">
        <f>IF(OR($J33=1,COUNTIFS($A$5:$A32,"&gt;="&amp;$A33-1,$A$5:$A32,"&lt;="&amp;$A33,$B$5:$B32,$B33)&gt;0,MIN(1-'Exercise list'!K$2,IF($A33=$A32,AQ32,1))-V33&lt;0),-1,MIN(1,IF($A33=$A32,AQ32,1)-V33+$D$2))</f>
        <v>1</v>
      </c>
      <c r="AR33" s="19">
        <f>IF(OR($J33=1,COUNTIFS($A$5:$A32,"&gt;="&amp;$A33-1,$A$5:$A32,"&lt;="&amp;$A33,$B$5:$B32,$B33)&gt;0,MIN(1-'Exercise list'!L$2,IF($A33=$A32,AR32,1))-W33&lt;0),-1,MIN(1,IF($A33=$A32,AR32,1)-W33+$D$2))</f>
        <v>1</v>
      </c>
      <c r="AS33" s="19">
        <f>IF(OR($J33=1,COUNTIFS($A$5:$A32,"&gt;="&amp;$A33-1,$A$5:$A32,"&lt;="&amp;$A33,$B$5:$B32,$B33)&gt;0,MIN(1-'Exercise list'!M$2,IF($A33=$A32,AS32,1))-X33&lt;0),-1,MIN(1,IF($A33=$A32,AS32,1)-X33+$D$2))</f>
        <v>1</v>
      </c>
      <c r="AT33" s="19">
        <f>IF(OR($J33=1,COUNTIFS($A$5:$A32,"&gt;="&amp;$A33-1,$A$5:$A32,"&lt;="&amp;$A33,$B$5:$B32,$B33)&gt;0,MIN(1-'Exercise list'!N$2,IF($A33=$A32,AT32,1))-Y33&lt;0),-1,MIN(1,IF($A33=$A32,AT32,1)-Y33+$D$2))</f>
        <v>1</v>
      </c>
      <c r="AU33" s="19">
        <f>IF(OR($J33=1,COUNTIFS($A$5:$A32,"&gt;="&amp;$A33-1,$A$5:$A32,"&lt;="&amp;$A33,$B$5:$B32,$B33)&gt;0,MIN(1-'Exercise list'!O$2,IF($A33=$A32,AU32,1))-Z33&lt;0),-1,MIN(1,IF($A33=$A32,AU32,1)-Z33+$D$2))</f>
        <v>1</v>
      </c>
      <c r="AV33" s="19">
        <f>IF(OR($J33=1,COUNTIFS($A$5:$A32,"&gt;="&amp;$A33-1,$A$5:$A32,"&lt;="&amp;$A33,$B$5:$B32,$B33)&gt;0,MIN(1-'Exercise list'!P$2,IF($A33=$A32,AV32,1))-AA33&lt;0),-1,MIN(1,IF($A33=$A32,AV32,1)-AA33+$D$2))</f>
        <v>1</v>
      </c>
      <c r="AW33" s="19">
        <f>IF(OR($J33=1,COUNTIFS($A$5:$A32,"&gt;="&amp;$A33-1,$A$5:$A32,"&lt;="&amp;$A33,$B$5:$B32,$B33)&gt;0,MIN(1-'Exercise list'!Q$2,IF($A33=$A32,AW32,1))-AB33&lt;0),-1,MIN(1,IF($A33=$A32,AW32,1)-AB33+$D$2))</f>
        <v>1</v>
      </c>
      <c r="AX33" s="19">
        <f>IF(OR($J33=1,COUNTIFS($A$5:$A32,"&gt;="&amp;$A33-1,$A$5:$A32,"&lt;="&amp;$A33,$B$5:$B32,$B33)&gt;0,MIN(1-'Exercise list'!R$2,IF($A33=$A32,AX32,1))-AC33&lt;0),-1,MIN(1,IF($A33=$A32,AX32,1)-AC33+$D$2))</f>
        <v>1</v>
      </c>
      <c r="AY33" s="19">
        <f>IF(OR($J33=1,COUNTIFS($A$5:$A32,"&gt;="&amp;$A33-1,$A$5:$A32,"&lt;="&amp;$A33,$B$5:$B32,$B33)&gt;0,MIN(1-'Exercise list'!S$2,IF($A33=$A32,AY32,1))-AD33&lt;0),-1,MIN(1,IF($A33=$A32,AY32,1)-AD33+$D$2))</f>
        <v>1</v>
      </c>
      <c r="AZ33" s="19">
        <f>IF(OR($J33=1,COUNTIFS($A$5:$A32,"&gt;="&amp;$A33-1,$A$5:$A32,"&lt;="&amp;$A33,$B$5:$B32,$B33)&gt;0,MIN(1-'Exercise list'!T$2,IF($A33=$A32,AZ32,1))-AE33&lt;0),-1,MIN(1,IF($A33=$A32,AZ32,1)-AE33+$D$2))</f>
        <v>1</v>
      </c>
      <c r="BA33" s="19">
        <f>IF(OR($J33=1,COUNTIFS($A$5:$A32,"&gt;="&amp;$A33-1,$A$5:$A32,"&lt;="&amp;$A33,$B$5:$B32,$B33)&gt;0,MIN(1-'Exercise list'!U$2,IF($A33=$A32,BA32,1))-AF33&lt;0),-1,MIN(1,IF($A33=$A32,BA32,1)-AF33+$D$2))</f>
        <v>1</v>
      </c>
      <c r="BB33" s="19">
        <f>IF(OR($J33=1,COUNTIFS($A$5:$A32,"&gt;="&amp;$A33-1,$A$5:$A32,"&lt;="&amp;$A33,$B$5:$B32,$B33)&gt;0,MIN(1-'Exercise list'!V$2,IF($A33=$A32,BB32,1))-AG33&lt;0),-1,MIN(1,IF($A33=$A32,BB32,1)-AG33+$D$2))</f>
        <v>1</v>
      </c>
      <c r="BC33" s="19">
        <f>IF(OR($J33=1,COUNTIFS($A$5:$A32,"&gt;="&amp;$A33-1,$A$5:$A32,"&lt;="&amp;$A33,$B$5:$B32,$B33)&gt;0,MIN(1-'Exercise list'!W$2,IF($A33=$A32,BC32,1))-AH33&lt;0),-1,MIN(1,IF($A33=$A32,BC32,1)-AH33+$D$2))</f>
        <v>1</v>
      </c>
      <c r="BD33" s="19">
        <f>IF(OR($J33=1,COUNTIFS($A$5:$A32,"&gt;="&amp;$A33-1,$A$5:$A32,"&lt;="&amp;$A33,$B$5:$B32,$B33)&gt;0,MIN(1-'Exercise list'!X$2,IF($A33=$A32,BD32,1))-AI33&lt;0),-1,MIN(1,IF($A33=$A32,BD32,1)-AI33+$D$2))</f>
        <v>1</v>
      </c>
      <c r="BE33" s="19"/>
      <c r="BF33" s="23">
        <f t="shared" si="24"/>
        <v>8.3750589930898567E-2</v>
      </c>
      <c r="BG33" s="23">
        <f t="shared" si="25"/>
        <v>0.13397411627561229</v>
      </c>
      <c r="BH33" s="23">
        <f t="shared" si="26"/>
        <v>7.9410810750555533E-2</v>
      </c>
      <c r="BI33" s="23">
        <f t="shared" si="27"/>
        <v>8.6430962486678573E-2</v>
      </c>
      <c r="BJ33" s="23">
        <f t="shared" si="28"/>
        <v>0.39551242404316156</v>
      </c>
      <c r="BK33" s="23">
        <f t="shared" si="29"/>
        <v>4.5412558402811783E-2</v>
      </c>
      <c r="BL33" s="23">
        <f t="shared" si="30"/>
        <v>8.8680589300784887E-2</v>
      </c>
      <c r="BM33" s="23">
        <f t="shared" si="31"/>
        <v>0</v>
      </c>
      <c r="BN33" s="23">
        <f t="shared" si="32"/>
        <v>9.5937732617608254E-2</v>
      </c>
      <c r="BO33" s="23">
        <f t="shared" si="33"/>
        <v>9.3881381141140488E-2</v>
      </c>
      <c r="BP33" s="23">
        <f t="shared" si="34"/>
        <v>0.44479841055343222</v>
      </c>
      <c r="BQ33" s="23">
        <f t="shared" si="35"/>
        <v>8.2101143266033474E-2</v>
      </c>
      <c r="BR33" s="23">
        <f t="shared" si="36"/>
        <v>0.28126597383899926</v>
      </c>
      <c r="BS33" s="23">
        <f t="shared" si="37"/>
        <v>3.8653795855676659E-2</v>
      </c>
      <c r="BT33" s="23">
        <f t="shared" si="38"/>
        <v>0.35071000291516125</v>
      </c>
      <c r="BU33" s="23">
        <f t="shared" si="39"/>
        <v>0.36515476883417519</v>
      </c>
      <c r="BV33" s="23">
        <f t="shared" si="40"/>
        <v>0.47320840135284281</v>
      </c>
      <c r="BW33" s="23">
        <f t="shared" si="41"/>
        <v>0.11028134036763459</v>
      </c>
      <c r="BX33" s="23">
        <f t="shared" si="42"/>
        <v>0.10383720274030347</v>
      </c>
      <c r="BY33" s="23">
        <f t="shared" si="43"/>
        <v>1.5400262498385144E-2</v>
      </c>
      <c r="BZ33" s="19"/>
      <c r="CA33" s="23">
        <f t="shared" si="4"/>
        <v>0.16576070393368639</v>
      </c>
      <c r="CB33" s="23">
        <f t="shared" si="5"/>
        <v>0.11553717758897267</v>
      </c>
      <c r="CC33" s="23">
        <f t="shared" si="6"/>
        <v>4.5344836181736944E-2</v>
      </c>
      <c r="CD33" s="23">
        <f t="shared" si="7"/>
        <v>3.8324684445613905E-2</v>
      </c>
      <c r="CE33" s="23">
        <f t="shared" si="8"/>
        <v>0</v>
      </c>
      <c r="CF33" s="23">
        <f t="shared" si="9"/>
        <v>0.32885438239406567</v>
      </c>
      <c r="CG33" s="23">
        <f t="shared" si="10"/>
        <v>3.607505763150759E-2</v>
      </c>
      <c r="CH33" s="23">
        <f t="shared" si="11"/>
        <v>0.12475564693229248</v>
      </c>
      <c r="CI33" s="23">
        <f t="shared" si="12"/>
        <v>0.15357356124697669</v>
      </c>
      <c r="CJ33" s="23">
        <f t="shared" si="13"/>
        <v>3.0874265791151989E-2</v>
      </c>
      <c r="CK33" s="23">
        <f t="shared" si="14"/>
        <v>0</v>
      </c>
      <c r="CL33" s="23">
        <f t="shared" si="15"/>
        <v>4.2654503666259003E-2</v>
      </c>
      <c r="CM33" s="23">
        <f t="shared" si="16"/>
        <v>0</v>
      </c>
      <c r="CN33" s="23">
        <f t="shared" si="17"/>
        <v>8.6101851076615818E-2</v>
      </c>
      <c r="CO33" s="23">
        <f t="shared" si="18"/>
        <v>0</v>
      </c>
      <c r="CP33" s="23">
        <f t="shared" si="19"/>
        <v>0</v>
      </c>
      <c r="CQ33" s="23">
        <f t="shared" si="20"/>
        <v>0</v>
      </c>
      <c r="CR33" s="23">
        <f t="shared" si="21"/>
        <v>1.4474306564657882E-2</v>
      </c>
      <c r="CS33" s="23">
        <f t="shared" si="22"/>
        <v>2.0918444191989002E-2</v>
      </c>
      <c r="CT33" s="23">
        <f t="shared" si="23"/>
        <v>0.10935538443390733</v>
      </c>
      <c r="CU33" s="19"/>
    </row>
    <row r="34" spans="1:99" x14ac:dyDescent="0.25">
      <c r="A34" s="13">
        <v>45054</v>
      </c>
      <c r="B34" s="14">
        <v>7</v>
      </c>
      <c r="C34" s="15" t="s">
        <v>115</v>
      </c>
      <c r="D34" s="12">
        <f t="shared" si="0"/>
        <v>1</v>
      </c>
      <c r="E34" s="32">
        <f t="shared" si="1"/>
        <v>0.91728959758871831</v>
      </c>
      <c r="F34" s="63" cm="1">
        <f t="array" ref="F34">IF(B34="","",0.1+IFERROR(INDEX($F$6:$F33,SUMPRODUCT(MAX(ROW($C$6:$C33)*($C34=$C$6:$C33))-ROW($A$5)))*0.9^($A34-INDEX($A$6:A33,SUMPRODUCT(MAX(ROW($C$6:$C33)*($C34=$C$6:$C33))-ROW($A$5)))),0))</f>
        <v>0.15904900000000002</v>
      </c>
      <c r="G34" s="64">
        <f>INDEX('Exercise list'!$Y$5:$Y$102,MATCH(C34,'Exercise list'!$C$5:$C$102,0))</f>
        <v>2</v>
      </c>
      <c r="H34" s="115">
        <f t="shared" si="2"/>
        <v>0.10694269131369684</v>
      </c>
      <c r="I34" s="42">
        <f t="shared" si="44"/>
        <v>1</v>
      </c>
      <c r="J34" s="6">
        <v>0</v>
      </c>
      <c r="K34" s="12"/>
      <c r="L34" s="74" t="str" cm="1">
        <f t="array" ref="L34">IF(K34="","",INDEX('Exercise list'!$C$5:$C$102,K34))</f>
        <v/>
      </c>
      <c r="M34" s="6"/>
      <c r="N34" s="75" t="str" cm="1">
        <f t="array" ref="N34">IF(M34="","",INDEX('Exercise list'!$C$5:$C$102,M34))</f>
        <v/>
      </c>
      <c r="P34">
        <f>IFERROR(INDEX('Exercise list'!$E$5:$X$102,MATCH($C34,'Exercise list'!$C$5:$C$102,0),MATCH(P$5,'Exercise list'!$E$4:$X$4,0)),0)</f>
        <v>0</v>
      </c>
      <c r="Q34">
        <f>IFERROR(INDEX('Exercise list'!$E$5:$X$102,MATCH($C34,'Exercise list'!$C$5:$C$102,0),MATCH(Q$5,'Exercise list'!$E$4:$X$4,0)),0)</f>
        <v>0</v>
      </c>
      <c r="R34">
        <f>IFERROR(INDEX('Exercise list'!$E$5:$X$102,MATCH($C34,'Exercise list'!$C$5:$C$102,0),MATCH(R$5,'Exercise list'!$E$4:$X$4,0)),0)</f>
        <v>0</v>
      </c>
      <c r="S34">
        <f>IFERROR(INDEX('Exercise list'!$E$5:$X$102,MATCH($C34,'Exercise list'!$C$5:$C$102,0),MATCH(S$5,'Exercise list'!$E$4:$X$4,0)),0)</f>
        <v>0</v>
      </c>
      <c r="T34">
        <f>IFERROR(INDEX('Exercise list'!$E$5:$X$102,MATCH($C34,'Exercise list'!$C$5:$C$102,0),MATCH(T$5,'Exercise list'!$E$4:$X$4,0)),0)</f>
        <v>0.5</v>
      </c>
      <c r="U34">
        <f>IFERROR(INDEX('Exercise list'!$E$5:$X$102,MATCH($C34,'Exercise list'!$C$5:$C$102,0),MATCH(U$5,'Exercise list'!$E$4:$X$4,0)),0)</f>
        <v>0</v>
      </c>
      <c r="V34">
        <f>IFERROR(INDEX('Exercise list'!$E$5:$X$102,MATCH($C34,'Exercise list'!$C$5:$C$102,0),MATCH(V$5,'Exercise list'!$E$4:$X$4,0)),0)</f>
        <v>0</v>
      </c>
      <c r="W34">
        <f>IFERROR(INDEX('Exercise list'!$E$5:$X$102,MATCH($C34,'Exercise list'!$C$5:$C$102,0),MATCH(W$5,'Exercise list'!$E$4:$X$4,0)),0)</f>
        <v>0</v>
      </c>
      <c r="X34">
        <f>IFERROR(INDEX('Exercise list'!$E$5:$X$102,MATCH($C34,'Exercise list'!$C$5:$C$102,0),MATCH(X$5,'Exercise list'!$E$4:$X$4,0)),0)</f>
        <v>0</v>
      </c>
      <c r="Y34">
        <f>IFERROR(INDEX('Exercise list'!$E$5:$X$102,MATCH($C34,'Exercise list'!$C$5:$C$102,0),MATCH(Y$5,'Exercise list'!$E$4:$X$4,0)),0)</f>
        <v>0</v>
      </c>
      <c r="Z34">
        <f>IFERROR(INDEX('Exercise list'!$E$5:$X$102,MATCH($C34,'Exercise list'!$C$5:$C$102,0),MATCH(Z$5,'Exercise list'!$E$4:$X$4,0)),0)</f>
        <v>0</v>
      </c>
      <c r="AA34">
        <f>IFERROR(INDEX('Exercise list'!$E$5:$X$102,MATCH($C34,'Exercise list'!$C$5:$C$102,0),MATCH(AA$5,'Exercise list'!$E$4:$X$4,0)),0)</f>
        <v>0</v>
      </c>
      <c r="AB34">
        <f>IFERROR(INDEX('Exercise list'!$E$5:$X$102,MATCH($C34,'Exercise list'!$C$5:$C$102,0),MATCH(AB$5,'Exercise list'!$E$4:$X$4,0)),0)</f>
        <v>0</v>
      </c>
      <c r="AC34">
        <f>IFERROR(INDEX('Exercise list'!$E$5:$X$102,MATCH($C34,'Exercise list'!$C$5:$C$102,0),MATCH(AC$5,'Exercise list'!$E$4:$X$4,0)),0)</f>
        <v>0</v>
      </c>
      <c r="AD34">
        <f>IFERROR(INDEX('Exercise list'!$E$5:$X$102,MATCH($C34,'Exercise list'!$C$5:$C$102,0),MATCH(AD$5,'Exercise list'!$E$4:$X$4,0)),0)</f>
        <v>0.9</v>
      </c>
      <c r="AE34">
        <f>IFERROR(INDEX('Exercise list'!$E$5:$X$102,MATCH($C34,'Exercise list'!$C$5:$C$102,0),MATCH(AE$5,'Exercise list'!$E$4:$X$4,0)),0)</f>
        <v>0.7</v>
      </c>
      <c r="AF34">
        <f>IFERROR(INDEX('Exercise list'!$E$5:$X$102,MATCH($C34,'Exercise list'!$C$5:$C$102,0),MATCH(AF$5,'Exercise list'!$E$4:$X$4,0)),0)</f>
        <v>0.8</v>
      </c>
      <c r="AG34">
        <f>IFERROR(INDEX('Exercise list'!$E$5:$X$102,MATCH($C34,'Exercise list'!$C$5:$C$102,0),MATCH(AG$5,'Exercise list'!$E$4:$X$4,0)),0)</f>
        <v>0.5</v>
      </c>
      <c r="AH34">
        <f>IFERROR(INDEX('Exercise list'!$E$5:$X$102,MATCH($C34,'Exercise list'!$C$5:$C$102,0),MATCH(AH$5,'Exercise list'!$E$4:$X$4,0)),0)</f>
        <v>0.6</v>
      </c>
      <c r="AI34">
        <f>IFERROR(INDEX('Exercise list'!$E$5:$X$102,MATCH($C34,'Exercise list'!$C$5:$C$102,0),MATCH(AI$5,'Exercise list'!$E$4:$X$4,0)),0)</f>
        <v>0.6</v>
      </c>
      <c r="AK34">
        <f>IF(OR($J34=1,COUNTIFS($A$5:$A33,"&gt;="&amp;$A34-1,$A$5:$A33,"&lt;="&amp;$A34,$B$5:$B33,$B34)&gt;0,MIN(1-'Exercise list'!E$2,IF($A34=$A33,AK33,1))-P34&lt;0),-1,MIN(1,IF($A34=$A33,AK33,1)-P34+$D$2))</f>
        <v>1</v>
      </c>
      <c r="AL34">
        <f>IF(OR($J34=1,COUNTIFS($A$5:$A33,"&gt;="&amp;$A34-1,$A$5:$A33,"&lt;="&amp;$A34,$B$5:$B33,$B34)&gt;0,MIN(1-'Exercise list'!F$2,IF($A34=$A33,AL33,1))-Q34&lt;0),-1,MIN(1,IF($A34=$A33,AL33,1)-Q34+$D$2))</f>
        <v>1</v>
      </c>
      <c r="AM34">
        <f>IF(OR($J34=1,COUNTIFS($A$5:$A33,"&gt;="&amp;$A34-1,$A$5:$A33,"&lt;="&amp;$A34,$B$5:$B33,$B34)&gt;0,MIN(1-'Exercise list'!G$2,IF($A34=$A33,AM33,1))-R34&lt;0),-1,MIN(1,IF($A34=$A33,AM33,1)-R34+$D$2))</f>
        <v>1</v>
      </c>
      <c r="AN34">
        <f>IF(OR($J34=1,COUNTIFS($A$5:$A33,"&gt;="&amp;$A34-1,$A$5:$A33,"&lt;="&amp;$A34,$B$5:$B33,$B34)&gt;0,MIN(1-'Exercise list'!H$2,IF($A34=$A33,AN33,1))-S34&lt;0),-1,MIN(1,IF($A34=$A33,AN33,1)-S34+$D$2))</f>
        <v>1</v>
      </c>
      <c r="AO34">
        <f>IF(OR($J34=1,COUNTIFS($A$5:$A33,"&gt;="&amp;$A34-1,$A$5:$A33,"&lt;="&amp;$A34,$B$5:$B33,$B34)&gt;0,MIN(1-'Exercise list'!I$2,IF($A34=$A33,AO33,1))-T34&lt;0),-1,MIN(1,IF($A34=$A33,AO33,1)-T34+$D$2))</f>
        <v>1</v>
      </c>
      <c r="AP34">
        <f>IF(OR($J34=1,COUNTIFS($A$5:$A33,"&gt;="&amp;$A34-1,$A$5:$A33,"&lt;="&amp;$A34,$B$5:$B33,$B34)&gt;0,MIN(1-'Exercise list'!J$2,IF($A34=$A33,AP33,1))-U34&lt;0),-1,MIN(1,IF($A34=$A33,AP33,1)-U34+$D$2))</f>
        <v>1</v>
      </c>
      <c r="AQ34">
        <f>IF(OR($J34=1,COUNTIFS($A$5:$A33,"&gt;="&amp;$A34-1,$A$5:$A33,"&lt;="&amp;$A34,$B$5:$B33,$B34)&gt;0,MIN(1-'Exercise list'!K$2,IF($A34=$A33,AQ33,1))-V34&lt;0),-1,MIN(1,IF($A34=$A33,AQ33,1)-V34+$D$2))</f>
        <v>1</v>
      </c>
      <c r="AR34">
        <f>IF(OR($J34=1,COUNTIFS($A$5:$A33,"&gt;="&amp;$A34-1,$A$5:$A33,"&lt;="&amp;$A34,$B$5:$B33,$B34)&gt;0,MIN(1-'Exercise list'!L$2,IF($A34=$A33,AR33,1))-W34&lt;0),-1,MIN(1,IF($A34=$A33,AR33,1)-W34+$D$2))</f>
        <v>1</v>
      </c>
      <c r="AS34">
        <f>IF(OR($J34=1,COUNTIFS($A$5:$A33,"&gt;="&amp;$A34-1,$A$5:$A33,"&lt;="&amp;$A34,$B$5:$B33,$B34)&gt;0,MIN(1-'Exercise list'!M$2,IF($A34=$A33,AS33,1))-X34&lt;0),-1,MIN(1,IF($A34=$A33,AS33,1)-X34+$D$2))</f>
        <v>1</v>
      </c>
      <c r="AT34">
        <f>IF(OR($J34=1,COUNTIFS($A$5:$A33,"&gt;="&amp;$A34-1,$A$5:$A33,"&lt;="&amp;$A34,$B$5:$B33,$B34)&gt;0,MIN(1-'Exercise list'!N$2,IF($A34=$A33,AT33,1))-Y34&lt;0),-1,MIN(1,IF($A34=$A33,AT33,1)-Y34+$D$2))</f>
        <v>1</v>
      </c>
      <c r="AU34">
        <f>IF(OR($J34=1,COUNTIFS($A$5:$A33,"&gt;="&amp;$A34-1,$A$5:$A33,"&lt;="&amp;$A34,$B$5:$B33,$B34)&gt;0,MIN(1-'Exercise list'!O$2,IF($A34=$A33,AU33,1))-Z34&lt;0),-1,MIN(1,IF($A34=$A33,AU33,1)-Z34+$D$2))</f>
        <v>1</v>
      </c>
      <c r="AV34">
        <f>IF(OR($J34=1,COUNTIFS($A$5:$A33,"&gt;="&amp;$A34-1,$A$5:$A33,"&lt;="&amp;$A34,$B$5:$B33,$B34)&gt;0,MIN(1-'Exercise list'!P$2,IF($A34=$A33,AV33,1))-AA34&lt;0),-1,MIN(1,IF($A34=$A33,AV33,1)-AA34+$D$2))</f>
        <v>1</v>
      </c>
      <c r="AW34">
        <f>IF(OR($J34=1,COUNTIFS($A$5:$A33,"&gt;="&amp;$A34-1,$A$5:$A33,"&lt;="&amp;$A34,$B$5:$B33,$B34)&gt;0,MIN(1-'Exercise list'!Q$2,IF($A34=$A33,AW33,1))-AB34&lt;0),-1,MIN(1,IF($A34=$A33,AW33,1)-AB34+$D$2))</f>
        <v>1</v>
      </c>
      <c r="AX34">
        <f>IF(OR($J34=1,COUNTIFS($A$5:$A33,"&gt;="&amp;$A34-1,$A$5:$A33,"&lt;="&amp;$A34,$B$5:$B33,$B34)&gt;0,MIN(1-'Exercise list'!R$2,IF($A34=$A33,AX33,1))-AC34&lt;0),-1,MIN(1,IF($A34=$A33,AX33,1)-AC34+$D$2))</f>
        <v>1</v>
      </c>
      <c r="AY34">
        <f>IF(OR($J34=1,COUNTIFS($A$5:$A33,"&gt;="&amp;$A34-1,$A$5:$A33,"&lt;="&amp;$A34,$B$5:$B33,$B34)&gt;0,MIN(1-'Exercise list'!S$2,IF($A34=$A33,AY33,1))-AD34&lt;0),-1,MIN(1,IF($A34=$A33,AY33,1)-AD34+$D$2))</f>
        <v>1</v>
      </c>
      <c r="AZ34">
        <f>IF(OR($J34=1,COUNTIFS($A$5:$A33,"&gt;="&amp;$A34-1,$A$5:$A33,"&lt;="&amp;$A34,$B$5:$B33,$B34)&gt;0,MIN(1-'Exercise list'!T$2,IF($A34=$A33,AZ33,1))-AE34&lt;0),-1,MIN(1,IF($A34=$A33,AZ33,1)-AE34+$D$2))</f>
        <v>1</v>
      </c>
      <c r="BA34">
        <f>IF(OR($J34=1,COUNTIFS($A$5:$A33,"&gt;="&amp;$A34-1,$A$5:$A33,"&lt;="&amp;$A34,$B$5:$B33,$B34)&gt;0,MIN(1-'Exercise list'!U$2,IF($A34=$A33,BA33,1))-AF34&lt;0),-1,MIN(1,IF($A34=$A33,BA33,1)-AF34+$D$2))</f>
        <v>1</v>
      </c>
      <c r="BB34">
        <f>IF(OR($J34=1,COUNTIFS($A$5:$A33,"&gt;="&amp;$A34-1,$A$5:$A33,"&lt;="&amp;$A34,$B$5:$B33,$B34)&gt;0,MIN(1-'Exercise list'!V$2,IF($A34=$A33,BB33,1))-AG34&lt;0),-1,MIN(1,IF($A34=$A33,BB33,1)-AG34+$D$2))</f>
        <v>1</v>
      </c>
      <c r="BC34">
        <f>IF(OR($J34=1,COUNTIFS($A$5:$A33,"&gt;="&amp;$A34-1,$A$5:$A33,"&lt;="&amp;$A34,$B$5:$B33,$B34)&gt;0,MIN(1-'Exercise list'!W$2,IF($A34=$A33,BC33,1))-AH34&lt;0),-1,MIN(1,IF($A34=$A33,BC33,1)-AH34+$D$2))</f>
        <v>1</v>
      </c>
      <c r="BD34">
        <f>IF(OR($J34=1,COUNTIFS($A$5:$A33,"&gt;="&amp;$A34-1,$A$5:$A33,"&lt;="&amp;$A34,$B$5:$B33,$B34)&gt;0,MIN(1-'Exercise list'!X$2,IF($A34=$A33,BD33,1))-AI34&lt;0),-1,MIN(1,IF($A34=$A33,BD33,1)-AI34+$D$2))</f>
        <v>1</v>
      </c>
      <c r="BF34" s="16">
        <f t="shared" si="24"/>
        <v>7.9563060434353641E-2</v>
      </c>
      <c r="BG34" s="16">
        <f t="shared" si="25"/>
        <v>0.12727541046183166</v>
      </c>
      <c r="BH34" s="16">
        <f t="shared" si="26"/>
        <v>7.5440270213027752E-2</v>
      </c>
      <c r="BI34" s="16">
        <f t="shared" si="27"/>
        <v>8.2109414362344646E-2</v>
      </c>
      <c r="BJ34" s="16">
        <f t="shared" si="28"/>
        <v>0.40073680284100349</v>
      </c>
      <c r="BK34" s="16">
        <f t="shared" si="29"/>
        <v>4.314193048267119E-2</v>
      </c>
      <c r="BL34" s="16">
        <f t="shared" si="30"/>
        <v>8.4246559835745638E-2</v>
      </c>
      <c r="BM34" s="16">
        <f t="shared" si="31"/>
        <v>0</v>
      </c>
      <c r="BN34" s="16">
        <f t="shared" si="32"/>
        <v>9.1140845986727836E-2</v>
      </c>
      <c r="BO34" s="16">
        <f t="shared" si="33"/>
        <v>8.9187312084083453E-2</v>
      </c>
      <c r="BP34" s="16">
        <f t="shared" si="34"/>
        <v>0.42255849002576057</v>
      </c>
      <c r="BQ34" s="16">
        <f t="shared" si="35"/>
        <v>7.7996086102731801E-2</v>
      </c>
      <c r="BR34" s="16">
        <f t="shared" si="36"/>
        <v>0.26720267514704926</v>
      </c>
      <c r="BS34" s="16">
        <f t="shared" si="37"/>
        <v>3.6721106062892826E-2</v>
      </c>
      <c r="BT34" s="16">
        <f t="shared" si="38"/>
        <v>0.37817450276940318</v>
      </c>
      <c r="BU34" s="16">
        <f t="shared" si="39"/>
        <v>0.38189703039246642</v>
      </c>
      <c r="BV34" s="16">
        <f t="shared" si="40"/>
        <v>0.48954798128520061</v>
      </c>
      <c r="BW34" s="16">
        <f t="shared" si="41"/>
        <v>0.12976727334925287</v>
      </c>
      <c r="BX34" s="16">
        <f t="shared" si="42"/>
        <v>0.1286453426032883</v>
      </c>
      <c r="BY34" s="16">
        <f t="shared" si="43"/>
        <v>4.4630249373465887E-2</v>
      </c>
      <c r="CA34" s="16">
        <f t="shared" si="4"/>
        <v>0.17450970577403907</v>
      </c>
      <c r="CB34" s="16">
        <f t="shared" si="5"/>
        <v>0.12679735574656104</v>
      </c>
      <c r="CC34" s="16">
        <f t="shared" si="6"/>
        <v>5.1596112891168597E-2</v>
      </c>
      <c r="CD34" s="16">
        <f t="shared" si="7"/>
        <v>4.4926968741851703E-2</v>
      </c>
      <c r="CE34" s="16">
        <f t="shared" si="8"/>
        <v>0</v>
      </c>
      <c r="CF34" s="16">
        <f t="shared" si="9"/>
        <v>0.33796721882991787</v>
      </c>
      <c r="CG34" s="16">
        <f t="shared" si="10"/>
        <v>4.2789823268450711E-2</v>
      </c>
      <c r="CH34" s="16">
        <f t="shared" si="11"/>
        <v>0.12703638310419635</v>
      </c>
      <c r="CI34" s="16">
        <f t="shared" si="12"/>
        <v>0.16293192022166486</v>
      </c>
      <c r="CJ34" s="16">
        <f t="shared" si="13"/>
        <v>3.7849071020112895E-2</v>
      </c>
      <c r="CK34" s="16">
        <f t="shared" si="14"/>
        <v>0</v>
      </c>
      <c r="CL34" s="16">
        <f t="shared" si="15"/>
        <v>4.9040297001464547E-2</v>
      </c>
      <c r="CM34" s="16">
        <f t="shared" si="16"/>
        <v>0</v>
      </c>
      <c r="CN34" s="16">
        <f t="shared" si="17"/>
        <v>9.0315277041303516E-2</v>
      </c>
      <c r="CO34" s="16">
        <f t="shared" si="18"/>
        <v>0</v>
      </c>
      <c r="CP34" s="16">
        <f t="shared" si="19"/>
        <v>0</v>
      </c>
      <c r="CQ34" s="16">
        <f t="shared" si="20"/>
        <v>0</v>
      </c>
      <c r="CR34" s="16">
        <f t="shared" si="21"/>
        <v>0</v>
      </c>
      <c r="CS34" s="16">
        <f t="shared" si="22"/>
        <v>0</v>
      </c>
      <c r="CT34" s="16">
        <f t="shared" si="23"/>
        <v>8.2406133730730469E-2</v>
      </c>
    </row>
    <row r="35" spans="1:99" x14ac:dyDescent="0.25">
      <c r="A35" s="13">
        <v>45054</v>
      </c>
      <c r="B35" s="14">
        <v>22</v>
      </c>
      <c r="C35" s="15" t="s">
        <v>131</v>
      </c>
      <c r="D35" s="12">
        <f t="shared" si="0"/>
        <v>1</v>
      </c>
      <c r="E35" s="32">
        <f t="shared" si="1"/>
        <v>0.82917349897084724</v>
      </c>
      <c r="F35" s="63" cm="1">
        <f t="array" ref="F35">IF(B35="","",0.1+IFERROR(INDEX($F$6:$F34,SUMPRODUCT(MAX(ROW($C$6:$C34)*($C35=$C$6:$C34))-ROW($A$5)))*0.9^($A35-INDEX($A$6:A34,SUMPRODUCT(MAX(ROW($C$6:$C34)*($C35=$C$6:$C34))-ROW($A$5)))),0))</f>
        <v>0.1</v>
      </c>
      <c r="G35" s="64">
        <f>INDEX('Exercise list'!$Y$5:$Y$102,MATCH(C35,'Exercise list'!$C$5:$C$102,0))</f>
        <v>1</v>
      </c>
      <c r="H35" s="115">
        <f t="shared" si="2"/>
        <v>9.6876010057934767E-2</v>
      </c>
      <c r="I35" s="6">
        <f t="shared" si="44"/>
        <v>2</v>
      </c>
      <c r="J35" s="6">
        <v>0</v>
      </c>
      <c r="K35" s="12"/>
      <c r="L35" s="74" t="str" cm="1">
        <f t="array" ref="L35">IF(K35="","",INDEX('Exercise list'!$C$5:$C$102,K35))</f>
        <v/>
      </c>
      <c r="M35" s="6"/>
      <c r="N35" s="75" t="str" cm="1">
        <f t="array" ref="N35">IF(M35="","",INDEX('Exercise list'!$C$5:$C$102,M35))</f>
        <v/>
      </c>
      <c r="P35">
        <f>IFERROR(INDEX('Exercise list'!$E$5:$X$102,MATCH($C35,'Exercise list'!$C$5:$C$102,0),MATCH(P$5,'Exercise list'!$E$4:$X$4,0)),0)</f>
        <v>0</v>
      </c>
      <c r="Q35">
        <f>IFERROR(INDEX('Exercise list'!$E$5:$X$102,MATCH($C35,'Exercise list'!$C$5:$C$102,0),MATCH(Q$5,'Exercise list'!$E$4:$X$4,0)),0)</f>
        <v>0</v>
      </c>
      <c r="R35">
        <f>IFERROR(INDEX('Exercise list'!$E$5:$X$102,MATCH($C35,'Exercise list'!$C$5:$C$102,0),MATCH(R$5,'Exercise list'!$E$4:$X$4,0)),0)</f>
        <v>0</v>
      </c>
      <c r="S35">
        <f>IFERROR(INDEX('Exercise list'!$E$5:$X$102,MATCH($C35,'Exercise list'!$C$5:$C$102,0),MATCH(S$5,'Exercise list'!$E$4:$X$4,0)),0)</f>
        <v>0</v>
      </c>
      <c r="T35">
        <f>IFERROR(INDEX('Exercise list'!$E$5:$X$102,MATCH($C35,'Exercise list'!$C$5:$C$102,0),MATCH(T$5,'Exercise list'!$E$4:$X$4,0)),0)</f>
        <v>0</v>
      </c>
      <c r="U35">
        <f>IFERROR(INDEX('Exercise list'!$E$5:$X$102,MATCH($C35,'Exercise list'!$C$5:$C$102,0),MATCH(U$5,'Exercise list'!$E$4:$X$4,0)),0)</f>
        <v>1</v>
      </c>
      <c r="V35">
        <f>IFERROR(INDEX('Exercise list'!$E$5:$X$102,MATCH($C35,'Exercise list'!$C$5:$C$102,0),MATCH(V$5,'Exercise list'!$E$4:$X$4,0)),0)</f>
        <v>0.5</v>
      </c>
      <c r="W35">
        <f>IFERROR(INDEX('Exercise list'!$E$5:$X$102,MATCH($C35,'Exercise list'!$C$5:$C$102,0),MATCH(W$5,'Exercise list'!$E$4:$X$4,0)),0)</f>
        <v>0</v>
      </c>
      <c r="X35">
        <f>IFERROR(INDEX('Exercise list'!$E$5:$X$102,MATCH($C35,'Exercise list'!$C$5:$C$102,0),MATCH(X$5,'Exercise list'!$E$4:$X$4,0)),0)</f>
        <v>0</v>
      </c>
      <c r="Y35">
        <f>IFERROR(INDEX('Exercise list'!$E$5:$X$102,MATCH($C35,'Exercise list'!$C$5:$C$102,0),MATCH(Y$5,'Exercise list'!$E$4:$X$4,0)),0)</f>
        <v>0</v>
      </c>
      <c r="Z35">
        <f>IFERROR(INDEX('Exercise list'!$E$5:$X$102,MATCH($C35,'Exercise list'!$C$5:$C$102,0),MATCH(Z$5,'Exercise list'!$E$4:$X$4,0)),0)</f>
        <v>0</v>
      </c>
      <c r="AA35">
        <f>IFERROR(INDEX('Exercise list'!$E$5:$X$102,MATCH($C35,'Exercise list'!$C$5:$C$102,0),MATCH(AA$5,'Exercise list'!$E$4:$X$4,0)),0)</f>
        <v>0</v>
      </c>
      <c r="AB35">
        <f>IFERROR(INDEX('Exercise list'!$E$5:$X$102,MATCH($C35,'Exercise list'!$C$5:$C$102,0),MATCH(AB$5,'Exercise list'!$E$4:$X$4,0)),0)</f>
        <v>0</v>
      </c>
      <c r="AC35">
        <f>IFERROR(INDEX('Exercise list'!$E$5:$X$102,MATCH($C35,'Exercise list'!$C$5:$C$102,0),MATCH(AC$5,'Exercise list'!$E$4:$X$4,0)),0)</f>
        <v>0</v>
      </c>
      <c r="AD35">
        <f>IFERROR(INDEX('Exercise list'!$E$5:$X$102,MATCH($C35,'Exercise list'!$C$5:$C$102,0),MATCH(AD$5,'Exercise list'!$E$4:$X$4,0)),0)</f>
        <v>0</v>
      </c>
      <c r="AE35">
        <f>IFERROR(INDEX('Exercise list'!$E$5:$X$102,MATCH($C35,'Exercise list'!$C$5:$C$102,0),MATCH(AE$5,'Exercise list'!$E$4:$X$4,0)),0)</f>
        <v>0</v>
      </c>
      <c r="AF35">
        <f>IFERROR(INDEX('Exercise list'!$E$5:$X$102,MATCH($C35,'Exercise list'!$C$5:$C$102,0),MATCH(AF$5,'Exercise list'!$E$4:$X$4,0)),0)</f>
        <v>0</v>
      </c>
      <c r="AG35">
        <f>IFERROR(INDEX('Exercise list'!$E$5:$X$102,MATCH($C35,'Exercise list'!$C$5:$C$102,0),MATCH(AG$5,'Exercise list'!$E$4:$X$4,0)),0)</f>
        <v>0</v>
      </c>
      <c r="AH35">
        <f>IFERROR(INDEX('Exercise list'!$E$5:$X$102,MATCH($C35,'Exercise list'!$C$5:$C$102,0),MATCH(AH$5,'Exercise list'!$E$4:$X$4,0)),0)</f>
        <v>0</v>
      </c>
      <c r="AI35">
        <f>IFERROR(INDEX('Exercise list'!$E$5:$X$102,MATCH($C35,'Exercise list'!$C$5:$C$102,0),MATCH(AI$5,'Exercise list'!$E$4:$X$4,0)),0)</f>
        <v>0</v>
      </c>
      <c r="AK35">
        <f>IF(OR($J35=1,COUNTIFS($A$5:$A34,"&gt;="&amp;$A35-1,$A$5:$A34,"&lt;="&amp;$A35,$B$5:$B34,$B35)&gt;0,MIN(1-'Exercise list'!E$2,IF($A35=$A34,AK34,1))-P35&lt;0),-1,MIN(1,IF($A35=$A34,AK34,1)-P35+$D$2))</f>
        <v>1</v>
      </c>
      <c r="AL35">
        <f>IF(OR($J35=1,COUNTIFS($A$5:$A34,"&gt;="&amp;$A35-1,$A$5:$A34,"&lt;="&amp;$A35,$B$5:$B34,$B35)&gt;0,MIN(1-'Exercise list'!F$2,IF($A35=$A34,AL34,1))-Q35&lt;0),-1,MIN(1,IF($A35=$A34,AL34,1)-Q35+$D$2))</f>
        <v>1</v>
      </c>
      <c r="AM35">
        <f>IF(OR($J35=1,COUNTIFS($A$5:$A34,"&gt;="&amp;$A35-1,$A$5:$A34,"&lt;="&amp;$A35,$B$5:$B34,$B35)&gt;0,MIN(1-'Exercise list'!G$2,IF($A35=$A34,AM34,1))-R35&lt;0),-1,MIN(1,IF($A35=$A34,AM34,1)-R35+$D$2))</f>
        <v>1</v>
      </c>
      <c r="AN35">
        <f>IF(OR($J35=1,COUNTIFS($A$5:$A34,"&gt;="&amp;$A35-1,$A$5:$A34,"&lt;="&amp;$A35,$B$5:$B34,$B35)&gt;0,MIN(1-'Exercise list'!H$2,IF($A35=$A34,AN34,1))-S35&lt;0),-1,MIN(1,IF($A35=$A34,AN34,1)-S35+$D$2))</f>
        <v>1</v>
      </c>
      <c r="AO35">
        <f>IF(OR($J35=1,COUNTIFS($A$5:$A34,"&gt;="&amp;$A35-1,$A$5:$A34,"&lt;="&amp;$A35,$B$5:$B34,$B35)&gt;0,MIN(1-'Exercise list'!I$2,IF($A35=$A34,AO34,1))-T35&lt;0),-1,MIN(1,IF($A35=$A34,AO34,1)-T35+$D$2))</f>
        <v>1</v>
      </c>
      <c r="AP35">
        <f>IF(OR($J35=1,COUNTIFS($A$5:$A34,"&gt;="&amp;$A35-1,$A$5:$A34,"&lt;="&amp;$A35,$B$5:$B34,$B35)&gt;0,MIN(1-'Exercise list'!J$2,IF($A35=$A34,AP34,1))-U35&lt;0),-1,MIN(1,IF($A35=$A34,AP34,1)-U35+$D$2))</f>
        <v>1</v>
      </c>
      <c r="AQ35">
        <f>IF(OR($J35=1,COUNTIFS($A$5:$A34,"&gt;="&amp;$A35-1,$A$5:$A34,"&lt;="&amp;$A35,$B$5:$B34,$B35)&gt;0,MIN(1-'Exercise list'!K$2,IF($A35=$A34,AQ34,1))-V35&lt;0),-1,MIN(1,IF($A35=$A34,AQ34,1)-V35+$D$2))</f>
        <v>1</v>
      </c>
      <c r="AR35">
        <f>IF(OR($J35=1,COUNTIFS($A$5:$A34,"&gt;="&amp;$A35-1,$A$5:$A34,"&lt;="&amp;$A35,$B$5:$B34,$B35)&gt;0,MIN(1-'Exercise list'!L$2,IF($A35=$A34,AR34,1))-W35&lt;0),-1,MIN(1,IF($A35=$A34,AR34,1)-W35+$D$2))</f>
        <v>1</v>
      </c>
      <c r="AS35">
        <f>IF(OR($J35=1,COUNTIFS($A$5:$A34,"&gt;="&amp;$A35-1,$A$5:$A34,"&lt;="&amp;$A35,$B$5:$B34,$B35)&gt;0,MIN(1-'Exercise list'!M$2,IF($A35=$A34,AS34,1))-X35&lt;0),-1,MIN(1,IF($A35=$A34,AS34,1)-X35+$D$2))</f>
        <v>1</v>
      </c>
      <c r="AT35">
        <f>IF(OR($J35=1,COUNTIFS($A$5:$A34,"&gt;="&amp;$A35-1,$A$5:$A34,"&lt;="&amp;$A35,$B$5:$B34,$B35)&gt;0,MIN(1-'Exercise list'!N$2,IF($A35=$A34,AT34,1))-Y35&lt;0),-1,MIN(1,IF($A35=$A34,AT34,1)-Y35+$D$2))</f>
        <v>1</v>
      </c>
      <c r="AU35">
        <f>IF(OR($J35=1,COUNTIFS($A$5:$A34,"&gt;="&amp;$A35-1,$A$5:$A34,"&lt;="&amp;$A35,$B$5:$B34,$B35)&gt;0,MIN(1-'Exercise list'!O$2,IF($A35=$A34,AU34,1))-Z35&lt;0),-1,MIN(1,IF($A35=$A34,AU34,1)-Z35+$D$2))</f>
        <v>1</v>
      </c>
      <c r="AV35">
        <f>IF(OR($J35=1,COUNTIFS($A$5:$A34,"&gt;="&amp;$A35-1,$A$5:$A34,"&lt;="&amp;$A35,$B$5:$B34,$B35)&gt;0,MIN(1-'Exercise list'!P$2,IF($A35=$A34,AV34,1))-AA35&lt;0),-1,MIN(1,IF($A35=$A34,AV34,1)-AA35+$D$2))</f>
        <v>1</v>
      </c>
      <c r="AW35">
        <f>IF(OR($J35=1,COUNTIFS($A$5:$A34,"&gt;="&amp;$A35-1,$A$5:$A34,"&lt;="&amp;$A35,$B$5:$B34,$B35)&gt;0,MIN(1-'Exercise list'!Q$2,IF($A35=$A34,AW34,1))-AB35&lt;0),-1,MIN(1,IF($A35=$A34,AW34,1)-AB35+$D$2))</f>
        <v>1</v>
      </c>
      <c r="AX35">
        <f>IF(OR($J35=1,COUNTIFS($A$5:$A34,"&gt;="&amp;$A35-1,$A$5:$A34,"&lt;="&amp;$A35,$B$5:$B34,$B35)&gt;0,MIN(1-'Exercise list'!R$2,IF($A35=$A34,AX34,1))-AC35&lt;0),-1,MIN(1,IF($A35=$A34,AX34,1)-AC35+$D$2))</f>
        <v>1</v>
      </c>
      <c r="AY35">
        <f>IF(OR($J35=1,COUNTIFS($A$5:$A34,"&gt;="&amp;$A35-1,$A$5:$A34,"&lt;="&amp;$A35,$B$5:$B34,$B35)&gt;0,MIN(1-'Exercise list'!S$2,IF($A35=$A34,AY34,1))-AD35&lt;0),-1,MIN(1,IF($A35=$A34,AY34,1)-AD35+$D$2))</f>
        <v>1</v>
      </c>
      <c r="AZ35">
        <f>IF(OR($J35=1,COUNTIFS($A$5:$A34,"&gt;="&amp;$A35-1,$A$5:$A34,"&lt;="&amp;$A35,$B$5:$B34,$B35)&gt;0,MIN(1-'Exercise list'!T$2,IF($A35=$A34,AZ34,1))-AE35&lt;0),-1,MIN(1,IF($A35=$A34,AZ34,1)-AE35+$D$2))</f>
        <v>1</v>
      </c>
      <c r="BA35">
        <f>IF(OR($J35=1,COUNTIFS($A$5:$A34,"&gt;="&amp;$A35-1,$A$5:$A34,"&lt;="&amp;$A35,$B$5:$B34,$B35)&gt;0,MIN(1-'Exercise list'!U$2,IF($A35=$A34,BA34,1))-AF35&lt;0),-1,MIN(1,IF($A35=$A34,BA34,1)-AF35+$D$2))</f>
        <v>1</v>
      </c>
      <c r="BB35">
        <f>IF(OR($J35=1,COUNTIFS($A$5:$A34,"&gt;="&amp;$A35-1,$A$5:$A34,"&lt;="&amp;$A35,$B$5:$B34,$B35)&gt;0,MIN(1-'Exercise list'!V$2,IF($A35=$A34,BB34,1))-AG35&lt;0),-1,MIN(1,IF($A35=$A34,BB34,1)-AG35+$D$2))</f>
        <v>1</v>
      </c>
      <c r="BC35">
        <f>IF(OR($J35=1,COUNTIFS($A$5:$A34,"&gt;="&amp;$A35-1,$A$5:$A34,"&lt;="&amp;$A35,$B$5:$B34,$B35)&gt;0,MIN(1-'Exercise list'!W$2,IF($A35=$A34,BC34,1))-AH35&lt;0),-1,MIN(1,IF($A35=$A34,BC34,1)-AH35+$D$2))</f>
        <v>1</v>
      </c>
      <c r="BD35">
        <f>IF(OR($J35=1,COUNTIFS($A$5:$A34,"&gt;="&amp;$A35-1,$A$5:$A34,"&lt;="&amp;$A35,$B$5:$B34,$B35)&gt;0,MIN(1-'Exercise list'!X$2,IF($A35=$A34,BD34,1))-AI35&lt;0),-1,MIN(1,IF($A35=$A34,BD34,1)-AI35+$D$2))</f>
        <v>1</v>
      </c>
      <c r="BF35" s="16">
        <f t="shared" si="24"/>
        <v>7.558490741263596E-2</v>
      </c>
      <c r="BG35" s="16">
        <f t="shared" si="25"/>
        <v>0.12091163993874007</v>
      </c>
      <c r="BH35" s="16">
        <f t="shared" si="26"/>
        <v>7.1668256702376365E-2</v>
      </c>
      <c r="BI35" s="16">
        <f t="shared" si="27"/>
        <v>7.8003943644227414E-2</v>
      </c>
      <c r="BJ35" s="16">
        <f t="shared" si="28"/>
        <v>0.38069996269895329</v>
      </c>
      <c r="BK35" s="16">
        <f t="shared" si="29"/>
        <v>9.0984833958537625E-2</v>
      </c>
      <c r="BL35" s="16">
        <f t="shared" si="30"/>
        <v>0.10503423184395835</v>
      </c>
      <c r="BM35" s="16">
        <f t="shared" si="31"/>
        <v>0</v>
      </c>
      <c r="BN35" s="16">
        <f t="shared" si="32"/>
        <v>8.6583803687391436E-2</v>
      </c>
      <c r="BO35" s="16">
        <f t="shared" si="33"/>
        <v>8.4727946479879274E-2</v>
      </c>
      <c r="BP35" s="16">
        <f t="shared" si="34"/>
        <v>0.40143056552447254</v>
      </c>
      <c r="BQ35" s="16">
        <f t="shared" si="35"/>
        <v>7.4096281797595212E-2</v>
      </c>
      <c r="BR35" s="16">
        <f t="shared" si="36"/>
        <v>0.25384254138969681</v>
      </c>
      <c r="BS35" s="16">
        <f t="shared" si="37"/>
        <v>3.4885050759748182E-2</v>
      </c>
      <c r="BT35" s="16">
        <f t="shared" si="38"/>
        <v>0.35926577763093298</v>
      </c>
      <c r="BU35" s="16">
        <f t="shared" si="39"/>
        <v>0.36280217887284311</v>
      </c>
      <c r="BV35" s="16">
        <f t="shared" si="40"/>
        <v>0.46507058222094055</v>
      </c>
      <c r="BW35" s="16">
        <f t="shared" si="41"/>
        <v>0.12327890968179021</v>
      </c>
      <c r="BX35" s="16">
        <f t="shared" si="42"/>
        <v>0.12221307547312388</v>
      </c>
      <c r="BY35" s="16">
        <f t="shared" si="43"/>
        <v>4.2398736904792587E-2</v>
      </c>
      <c r="CA35" s="16">
        <f t="shared" si="4"/>
        <v>0.17133977604089271</v>
      </c>
      <c r="CB35" s="16">
        <f t="shared" si="5"/>
        <v>0.12601304351478859</v>
      </c>
      <c r="CC35" s="16">
        <f t="shared" si="6"/>
        <v>5.1794085024387967E-2</v>
      </c>
      <c r="CD35" s="16">
        <f t="shared" si="7"/>
        <v>4.5458398082536919E-2</v>
      </c>
      <c r="CE35" s="16">
        <f t="shared" si="8"/>
        <v>0</v>
      </c>
      <c r="CF35" s="16">
        <f t="shared" si="9"/>
        <v>0.27940219122175536</v>
      </c>
      <c r="CG35" s="16">
        <f t="shared" si="10"/>
        <v>1.8428109882805979E-2</v>
      </c>
      <c r="CH35" s="16">
        <f t="shared" si="11"/>
        <v>0.12346234172676433</v>
      </c>
      <c r="CI35" s="16">
        <f t="shared" si="12"/>
        <v>0.16034087976613723</v>
      </c>
      <c r="CJ35" s="16">
        <f t="shared" si="13"/>
        <v>3.8734395246885059E-2</v>
      </c>
      <c r="CK35" s="16">
        <f t="shared" si="14"/>
        <v>0</v>
      </c>
      <c r="CL35" s="16">
        <f t="shared" si="15"/>
        <v>4.936605992916912E-2</v>
      </c>
      <c r="CM35" s="16">
        <f t="shared" si="16"/>
        <v>0</v>
      </c>
      <c r="CN35" s="16">
        <f t="shared" si="17"/>
        <v>8.8577290967016151E-2</v>
      </c>
      <c r="CO35" s="16">
        <f t="shared" si="18"/>
        <v>0</v>
      </c>
      <c r="CP35" s="16">
        <f t="shared" si="19"/>
        <v>0</v>
      </c>
      <c r="CQ35" s="16">
        <f t="shared" si="20"/>
        <v>0</v>
      </c>
      <c r="CR35" s="16">
        <f t="shared" si="21"/>
        <v>1.8343204497411891E-4</v>
      </c>
      <c r="CS35" s="16">
        <f t="shared" si="22"/>
        <v>1.2492662536404547E-3</v>
      </c>
      <c r="CT35" s="16">
        <f t="shared" si="23"/>
        <v>8.1063604821971752E-2</v>
      </c>
    </row>
    <row r="36" spans="1:99" x14ac:dyDescent="0.25">
      <c r="A36" s="13">
        <v>45054</v>
      </c>
      <c r="B36" s="14">
        <v>25</v>
      </c>
      <c r="C36" s="15" t="s">
        <v>145</v>
      </c>
      <c r="D36" s="12">
        <f t="shared" si="0"/>
        <v>1</v>
      </c>
      <c r="E36" s="32">
        <f t="shared" si="1"/>
        <v>0.77780952804252113</v>
      </c>
      <c r="F36" s="63" cm="1">
        <f t="array" ref="F36">IF(B36="","",0.1+IFERROR(INDEX($F$6:$F35,SUMPRODUCT(MAX(ROW($C$6:$C35)*($C36=$C$6:$C35))-ROW($A$5)))*0.9^($A36-INDEX($A$6:A35,SUMPRODUCT(MAX(ROW($C$6:$C35)*($C36=$C$6:$C35))-ROW($A$5)))),0))</f>
        <v>0.1</v>
      </c>
      <c r="G36" s="64">
        <f>INDEX('Exercise list'!$Y$5:$Y$102,MATCH(C36,'Exercise list'!$C$5:$C$102,0))</f>
        <v>1</v>
      </c>
      <c r="H36" s="115">
        <f t="shared" si="2"/>
        <v>9.355209818213045E-2</v>
      </c>
      <c r="I36" s="6">
        <f t="shared" si="44"/>
        <v>3</v>
      </c>
      <c r="J36" s="6">
        <v>0</v>
      </c>
      <c r="K36" s="12"/>
      <c r="L36" s="74" t="str" cm="1">
        <f t="array" ref="L36">IF(K36="","",INDEX('Exercise list'!$C$5:$C$102,K36))</f>
        <v/>
      </c>
      <c r="M36" s="6"/>
      <c r="N36" s="75" t="str" cm="1">
        <f t="array" ref="N36">IF(M36="","",INDEX('Exercise list'!$C$5:$C$102,M36))</f>
        <v/>
      </c>
      <c r="P36">
        <f>IFERROR(INDEX('Exercise list'!$E$5:$X$102,MATCH($C36,'Exercise list'!$C$5:$C$102,0),MATCH(P$5,'Exercise list'!$E$4:$X$4,0)),0)</f>
        <v>0</v>
      </c>
      <c r="Q36">
        <f>IFERROR(INDEX('Exercise list'!$E$5:$X$102,MATCH($C36,'Exercise list'!$C$5:$C$102,0),MATCH(Q$5,'Exercise list'!$E$4:$X$4,0)),0)</f>
        <v>0</v>
      </c>
      <c r="R36">
        <f>IFERROR(INDEX('Exercise list'!$E$5:$X$102,MATCH($C36,'Exercise list'!$C$5:$C$102,0),MATCH(R$5,'Exercise list'!$E$4:$X$4,0)),0)</f>
        <v>0.5</v>
      </c>
      <c r="S36">
        <f>IFERROR(INDEX('Exercise list'!$E$5:$X$102,MATCH($C36,'Exercise list'!$C$5:$C$102,0),MATCH(S$5,'Exercise list'!$E$4:$X$4,0)),0)</f>
        <v>0.9</v>
      </c>
      <c r="T36">
        <f>IFERROR(INDEX('Exercise list'!$E$5:$X$102,MATCH($C36,'Exercise list'!$C$5:$C$102,0),MATCH(T$5,'Exercise list'!$E$4:$X$4,0)),0)</f>
        <v>0</v>
      </c>
      <c r="U36">
        <f>IFERROR(INDEX('Exercise list'!$E$5:$X$102,MATCH($C36,'Exercise list'!$C$5:$C$102,0),MATCH(U$5,'Exercise list'!$E$4:$X$4,0)),0)</f>
        <v>0</v>
      </c>
      <c r="V36">
        <f>IFERROR(INDEX('Exercise list'!$E$5:$X$102,MATCH($C36,'Exercise list'!$C$5:$C$102,0),MATCH(V$5,'Exercise list'!$E$4:$X$4,0)),0)</f>
        <v>0</v>
      </c>
      <c r="W36">
        <f>IFERROR(INDEX('Exercise list'!$E$5:$X$102,MATCH($C36,'Exercise list'!$C$5:$C$102,0),MATCH(W$5,'Exercise list'!$E$4:$X$4,0)),0)</f>
        <v>1</v>
      </c>
      <c r="X36">
        <f>IFERROR(INDEX('Exercise list'!$E$5:$X$102,MATCH($C36,'Exercise list'!$C$5:$C$102,0),MATCH(X$5,'Exercise list'!$E$4:$X$4,0)),0)</f>
        <v>0</v>
      </c>
      <c r="Y36">
        <f>IFERROR(INDEX('Exercise list'!$E$5:$X$102,MATCH($C36,'Exercise list'!$C$5:$C$102,0),MATCH(Y$5,'Exercise list'!$E$4:$X$4,0)),0)</f>
        <v>0</v>
      </c>
      <c r="Z36">
        <f>IFERROR(INDEX('Exercise list'!$E$5:$X$102,MATCH($C36,'Exercise list'!$C$5:$C$102,0),MATCH(Z$5,'Exercise list'!$E$4:$X$4,0)),0)</f>
        <v>0</v>
      </c>
      <c r="AA36">
        <f>IFERROR(INDEX('Exercise list'!$E$5:$X$102,MATCH($C36,'Exercise list'!$C$5:$C$102,0),MATCH(AA$5,'Exercise list'!$E$4:$X$4,0)),0)</f>
        <v>0</v>
      </c>
      <c r="AB36">
        <f>IFERROR(INDEX('Exercise list'!$E$5:$X$102,MATCH($C36,'Exercise list'!$C$5:$C$102,0),MATCH(AB$5,'Exercise list'!$E$4:$X$4,0)),0)</f>
        <v>0</v>
      </c>
      <c r="AC36">
        <f>IFERROR(INDEX('Exercise list'!$E$5:$X$102,MATCH($C36,'Exercise list'!$C$5:$C$102,0),MATCH(AC$5,'Exercise list'!$E$4:$X$4,0)),0)</f>
        <v>0</v>
      </c>
      <c r="AD36">
        <f>IFERROR(INDEX('Exercise list'!$E$5:$X$102,MATCH($C36,'Exercise list'!$C$5:$C$102,0),MATCH(AD$5,'Exercise list'!$E$4:$X$4,0)),0)</f>
        <v>0</v>
      </c>
      <c r="AE36">
        <f>IFERROR(INDEX('Exercise list'!$E$5:$X$102,MATCH($C36,'Exercise list'!$C$5:$C$102,0),MATCH(AE$5,'Exercise list'!$E$4:$X$4,0)),0)</f>
        <v>0</v>
      </c>
      <c r="AF36">
        <f>IFERROR(INDEX('Exercise list'!$E$5:$X$102,MATCH($C36,'Exercise list'!$C$5:$C$102,0),MATCH(AF$5,'Exercise list'!$E$4:$X$4,0)),0)</f>
        <v>0</v>
      </c>
      <c r="AG36">
        <f>IFERROR(INDEX('Exercise list'!$E$5:$X$102,MATCH($C36,'Exercise list'!$C$5:$C$102,0),MATCH(AG$5,'Exercise list'!$E$4:$X$4,0)),0)</f>
        <v>0</v>
      </c>
      <c r="AH36">
        <f>IFERROR(INDEX('Exercise list'!$E$5:$X$102,MATCH($C36,'Exercise list'!$C$5:$C$102,0),MATCH(AH$5,'Exercise list'!$E$4:$X$4,0)),0)</f>
        <v>0</v>
      </c>
      <c r="AI36">
        <f>IFERROR(INDEX('Exercise list'!$E$5:$X$102,MATCH($C36,'Exercise list'!$C$5:$C$102,0),MATCH(AI$5,'Exercise list'!$E$4:$X$4,0)),0)</f>
        <v>0</v>
      </c>
      <c r="AK36">
        <f>IF(OR($J36=1,COUNTIFS($A$5:$A35,"&gt;="&amp;$A36-1,$A$5:$A35,"&lt;="&amp;$A36,$B$5:$B35,$B36)&gt;0,MIN(1-'Exercise list'!E$2,IF($A36=$A35,AK35,1))-P36&lt;0),-1,MIN(1,IF($A36=$A35,AK35,1)-P36+$D$2))</f>
        <v>1</v>
      </c>
      <c r="AL36">
        <f>IF(OR($J36=1,COUNTIFS($A$5:$A35,"&gt;="&amp;$A36-1,$A$5:$A35,"&lt;="&amp;$A36,$B$5:$B35,$B36)&gt;0,MIN(1-'Exercise list'!F$2,IF($A36=$A35,AL35,1))-Q36&lt;0),-1,MIN(1,IF($A36=$A35,AL35,1)-Q36+$D$2))</f>
        <v>1</v>
      </c>
      <c r="AM36">
        <f>IF(OR($J36=1,COUNTIFS($A$5:$A35,"&gt;="&amp;$A36-1,$A$5:$A35,"&lt;="&amp;$A36,$B$5:$B35,$B36)&gt;0,MIN(1-'Exercise list'!G$2,IF($A36=$A35,AM35,1))-R36&lt;0),-1,MIN(1,IF($A36=$A35,AM35,1)-R36+$D$2))</f>
        <v>1</v>
      </c>
      <c r="AN36">
        <f>IF(OR($J36=1,COUNTIFS($A$5:$A35,"&gt;="&amp;$A36-1,$A$5:$A35,"&lt;="&amp;$A36,$B$5:$B35,$B36)&gt;0,MIN(1-'Exercise list'!H$2,IF($A36=$A35,AN35,1))-S36&lt;0),-1,MIN(1,IF($A36=$A35,AN35,1)-S36+$D$2))</f>
        <v>1</v>
      </c>
      <c r="AO36">
        <f>IF(OR($J36=1,COUNTIFS($A$5:$A35,"&gt;="&amp;$A36-1,$A$5:$A35,"&lt;="&amp;$A36,$B$5:$B35,$B36)&gt;0,MIN(1-'Exercise list'!I$2,IF($A36=$A35,AO35,1))-T36&lt;0),-1,MIN(1,IF($A36=$A35,AO35,1)-T36+$D$2))</f>
        <v>1</v>
      </c>
      <c r="AP36">
        <f>IF(OR($J36=1,COUNTIFS($A$5:$A35,"&gt;="&amp;$A36-1,$A$5:$A35,"&lt;="&amp;$A36,$B$5:$B35,$B36)&gt;0,MIN(1-'Exercise list'!J$2,IF($A36=$A35,AP35,1))-U36&lt;0),-1,MIN(1,IF($A36=$A35,AP35,1)-U36+$D$2))</f>
        <v>1</v>
      </c>
      <c r="AQ36">
        <f>IF(OR($J36=1,COUNTIFS($A$5:$A35,"&gt;="&amp;$A36-1,$A$5:$A35,"&lt;="&amp;$A36,$B$5:$B35,$B36)&gt;0,MIN(1-'Exercise list'!K$2,IF($A36=$A35,AQ35,1))-V36&lt;0),-1,MIN(1,IF($A36=$A35,AQ35,1)-V36+$D$2))</f>
        <v>1</v>
      </c>
      <c r="AR36">
        <f>IF(OR($J36=1,COUNTIFS($A$5:$A35,"&gt;="&amp;$A36-1,$A$5:$A35,"&lt;="&amp;$A36,$B$5:$B35,$B36)&gt;0,MIN(1-'Exercise list'!L$2,IF($A36=$A35,AR35,1))-W36&lt;0),-1,MIN(1,IF($A36=$A35,AR35,1)-W36+$D$2))</f>
        <v>1</v>
      </c>
      <c r="AS36">
        <f>IF(OR($J36=1,COUNTIFS($A$5:$A35,"&gt;="&amp;$A36-1,$A$5:$A35,"&lt;="&amp;$A36,$B$5:$B35,$B36)&gt;0,MIN(1-'Exercise list'!M$2,IF($A36=$A35,AS35,1))-X36&lt;0),-1,MIN(1,IF($A36=$A35,AS35,1)-X36+$D$2))</f>
        <v>1</v>
      </c>
      <c r="AT36">
        <f>IF(OR($J36=1,COUNTIFS($A$5:$A35,"&gt;="&amp;$A36-1,$A$5:$A35,"&lt;="&amp;$A36,$B$5:$B35,$B36)&gt;0,MIN(1-'Exercise list'!N$2,IF($A36=$A35,AT35,1))-Y36&lt;0),-1,MIN(1,IF($A36=$A35,AT35,1)-Y36+$D$2))</f>
        <v>1</v>
      </c>
      <c r="AU36">
        <f>IF(OR($J36=1,COUNTIFS($A$5:$A35,"&gt;="&amp;$A36-1,$A$5:$A35,"&lt;="&amp;$A36,$B$5:$B35,$B36)&gt;0,MIN(1-'Exercise list'!O$2,IF($A36=$A35,AU35,1))-Z36&lt;0),-1,MIN(1,IF($A36=$A35,AU35,1)-Z36+$D$2))</f>
        <v>1</v>
      </c>
      <c r="AV36">
        <f>IF(OR($J36=1,COUNTIFS($A$5:$A35,"&gt;="&amp;$A36-1,$A$5:$A35,"&lt;="&amp;$A36,$B$5:$B35,$B36)&gt;0,MIN(1-'Exercise list'!P$2,IF($A36=$A35,AV35,1))-AA36&lt;0),-1,MIN(1,IF($A36=$A35,AV35,1)-AA36+$D$2))</f>
        <v>1</v>
      </c>
      <c r="AW36">
        <f>IF(OR($J36=1,COUNTIFS($A$5:$A35,"&gt;="&amp;$A36-1,$A$5:$A35,"&lt;="&amp;$A36,$B$5:$B35,$B36)&gt;0,MIN(1-'Exercise list'!Q$2,IF($A36=$A35,AW35,1))-AB36&lt;0),-1,MIN(1,IF($A36=$A35,AW35,1)-AB36+$D$2))</f>
        <v>1</v>
      </c>
      <c r="AX36">
        <f>IF(OR($J36=1,COUNTIFS($A$5:$A35,"&gt;="&amp;$A36-1,$A$5:$A35,"&lt;="&amp;$A36,$B$5:$B35,$B36)&gt;0,MIN(1-'Exercise list'!R$2,IF($A36=$A35,AX35,1))-AC36&lt;0),-1,MIN(1,IF($A36=$A35,AX35,1)-AC36+$D$2))</f>
        <v>1</v>
      </c>
      <c r="AY36">
        <f>IF(OR($J36=1,COUNTIFS($A$5:$A35,"&gt;="&amp;$A36-1,$A$5:$A35,"&lt;="&amp;$A36,$B$5:$B35,$B36)&gt;0,MIN(1-'Exercise list'!S$2,IF($A36=$A35,AY35,1))-AD36&lt;0),-1,MIN(1,IF($A36=$A35,AY35,1)-AD36+$D$2))</f>
        <v>1</v>
      </c>
      <c r="AZ36">
        <f>IF(OR($J36=1,COUNTIFS($A$5:$A35,"&gt;="&amp;$A36-1,$A$5:$A35,"&lt;="&amp;$A36,$B$5:$B35,$B36)&gt;0,MIN(1-'Exercise list'!T$2,IF($A36=$A35,AZ35,1))-AE36&lt;0),-1,MIN(1,IF($A36=$A35,AZ35,1)-AE36+$D$2))</f>
        <v>1</v>
      </c>
      <c r="BA36">
        <f>IF(OR($J36=1,COUNTIFS($A$5:$A35,"&gt;="&amp;$A36-1,$A$5:$A35,"&lt;="&amp;$A36,$B$5:$B35,$B36)&gt;0,MIN(1-'Exercise list'!U$2,IF($A36=$A35,BA35,1))-AF36&lt;0),-1,MIN(1,IF($A36=$A35,BA35,1)-AF36+$D$2))</f>
        <v>1</v>
      </c>
      <c r="BB36">
        <f>IF(OR($J36=1,COUNTIFS($A$5:$A35,"&gt;="&amp;$A36-1,$A$5:$A35,"&lt;="&amp;$A36,$B$5:$B35,$B36)&gt;0,MIN(1-'Exercise list'!V$2,IF($A36=$A35,BB35,1))-AG36&lt;0),-1,MIN(1,IF($A36=$A35,BB35,1)-AG36+$D$2))</f>
        <v>1</v>
      </c>
      <c r="BC36">
        <f>IF(OR($J36=1,COUNTIFS($A$5:$A35,"&gt;="&amp;$A36-1,$A$5:$A35,"&lt;="&amp;$A36,$B$5:$B35,$B36)&gt;0,MIN(1-'Exercise list'!W$2,IF($A36=$A35,BC35,1))-AH36&lt;0),-1,MIN(1,IF($A36=$A35,BC35,1)-AH36+$D$2))</f>
        <v>1</v>
      </c>
      <c r="BD36">
        <f>IF(OR($J36=1,COUNTIFS($A$5:$A35,"&gt;="&amp;$A36-1,$A$5:$A35,"&lt;="&amp;$A36,$B$5:$B35,$B36)&gt;0,MIN(1-'Exercise list'!X$2,IF($A36=$A35,BD35,1))-AI36&lt;0),-1,MIN(1,IF($A36=$A35,BD35,1)-AI36+$D$2))</f>
        <v>1</v>
      </c>
      <c r="BF36" s="16">
        <f t="shared" si="24"/>
        <v>7.1805662042004156E-2</v>
      </c>
      <c r="BG36" s="16">
        <f t="shared" si="25"/>
        <v>0.11486605794180306</v>
      </c>
      <c r="BH36" s="16">
        <f t="shared" si="26"/>
        <v>9.3084843867257544E-2</v>
      </c>
      <c r="BI36" s="16">
        <f t="shared" si="27"/>
        <v>0.11910374646201605</v>
      </c>
      <c r="BJ36" s="16">
        <f t="shared" si="28"/>
        <v>0.3616649645640056</v>
      </c>
      <c r="BK36" s="16">
        <f t="shared" si="29"/>
        <v>8.6435592260610747E-2</v>
      </c>
      <c r="BL36" s="16">
        <f t="shared" si="30"/>
        <v>9.9782520251760431E-2</v>
      </c>
      <c r="BM36" s="16">
        <f t="shared" si="31"/>
        <v>0.05</v>
      </c>
      <c r="BN36" s="16">
        <f t="shared" si="32"/>
        <v>8.2254613503021864E-2</v>
      </c>
      <c r="BO36" s="16">
        <f t="shared" si="33"/>
        <v>8.04915491558853E-2</v>
      </c>
      <c r="BP36" s="16">
        <f t="shared" si="34"/>
        <v>0.38135903724824888</v>
      </c>
      <c r="BQ36" s="16">
        <f t="shared" si="35"/>
        <v>7.0391467707715455E-2</v>
      </c>
      <c r="BR36" s="16">
        <f t="shared" si="36"/>
        <v>0.24115041432021195</v>
      </c>
      <c r="BS36" s="16">
        <f t="shared" si="37"/>
        <v>3.3140798221760769E-2</v>
      </c>
      <c r="BT36" s="16">
        <f t="shared" si="38"/>
        <v>0.34130248874938629</v>
      </c>
      <c r="BU36" s="16">
        <f t="shared" si="39"/>
        <v>0.34466206992920095</v>
      </c>
      <c r="BV36" s="16">
        <f t="shared" si="40"/>
        <v>0.4418170531098935</v>
      </c>
      <c r="BW36" s="16">
        <f t="shared" si="41"/>
        <v>0.11711496419770069</v>
      </c>
      <c r="BX36" s="16">
        <f t="shared" si="42"/>
        <v>0.11610242169946768</v>
      </c>
      <c r="BY36" s="16">
        <f t="shared" si="43"/>
        <v>4.0278800059552956E-2</v>
      </c>
      <c r="CA36" s="16">
        <f t="shared" si="4"/>
        <v>0.17166167612773692</v>
      </c>
      <c r="CB36" s="16">
        <f t="shared" si="5"/>
        <v>0.12860128022793804</v>
      </c>
      <c r="CC36" s="16">
        <f t="shared" si="6"/>
        <v>2.8648825217613E-2</v>
      </c>
      <c r="CD36" s="16">
        <f t="shared" si="7"/>
        <v>2.629922622854497E-3</v>
      </c>
      <c r="CE36" s="16">
        <f t="shared" si="8"/>
        <v>0</v>
      </c>
      <c r="CF36" s="16">
        <f t="shared" si="9"/>
        <v>0.27876541499400087</v>
      </c>
      <c r="CG36" s="16">
        <f t="shared" si="10"/>
        <v>2.1951148833110112E-2</v>
      </c>
      <c r="CH36" s="16">
        <f t="shared" si="11"/>
        <v>7.1733669084870541E-2</v>
      </c>
      <c r="CI36" s="16">
        <f t="shared" si="12"/>
        <v>0.16121272466671921</v>
      </c>
      <c r="CJ36" s="16">
        <f t="shared" si="13"/>
        <v>4.1242119928985244E-2</v>
      </c>
      <c r="CK36" s="16">
        <f t="shared" si="14"/>
        <v>0</v>
      </c>
      <c r="CL36" s="16">
        <f t="shared" si="15"/>
        <v>5.1342201377155089E-2</v>
      </c>
      <c r="CM36" s="16">
        <f t="shared" si="16"/>
        <v>2.31692384952914E-3</v>
      </c>
      <c r="CN36" s="16">
        <f t="shared" si="17"/>
        <v>8.8592870863109768E-2</v>
      </c>
      <c r="CO36" s="16">
        <f t="shared" si="18"/>
        <v>0</v>
      </c>
      <c r="CP36" s="16">
        <f t="shared" si="19"/>
        <v>0</v>
      </c>
      <c r="CQ36" s="16">
        <f t="shared" si="20"/>
        <v>0</v>
      </c>
      <c r="CR36" s="16">
        <f t="shared" si="21"/>
        <v>4.6187048871698527E-3</v>
      </c>
      <c r="CS36" s="16">
        <f t="shared" si="22"/>
        <v>5.6312473854028683E-3</v>
      </c>
      <c r="CT36" s="16">
        <f t="shared" si="23"/>
        <v>8.1454869025317594E-2</v>
      </c>
    </row>
    <row r="37" spans="1:99" x14ac:dyDescent="0.25">
      <c r="A37" s="13">
        <v>45054</v>
      </c>
      <c r="B37" s="14">
        <v>10</v>
      </c>
      <c r="C37" s="15" t="s">
        <v>119</v>
      </c>
      <c r="D37" s="12">
        <f t="shared" si="0"/>
        <v>1</v>
      </c>
      <c r="E37" s="32">
        <f t="shared" si="1"/>
        <v>0.74059076890856201</v>
      </c>
      <c r="F37" s="63" cm="1">
        <f t="array" ref="F37">IF(B37="","",0.1+IFERROR(INDEX($F$6:$F36,SUMPRODUCT(MAX(ROW($C$6:$C36)*($C37=$C$6:$C36))-ROW($A$5)))*0.9^($A37-INDEX($A$6:A36,SUMPRODUCT(MAX(ROW($C$6:$C36)*($C37=$C$6:$C36))-ROW($A$5)))),0))</f>
        <v>0.1</v>
      </c>
      <c r="G37" s="64">
        <f>INDEX('Exercise list'!$Y$5:$Y$102,MATCH(C37,'Exercise list'!$C$5:$C$102,0))</f>
        <v>1</v>
      </c>
      <c r="H37" s="115">
        <f t="shared" si="2"/>
        <v>9.4882427076099091E-2</v>
      </c>
      <c r="I37" s="6">
        <f t="shared" si="44"/>
        <v>4</v>
      </c>
      <c r="J37" s="6">
        <v>0</v>
      </c>
      <c r="K37" s="12"/>
      <c r="L37" s="74" t="str" cm="1">
        <f t="array" ref="L37">IF(K37="","",INDEX('Exercise list'!$C$5:$C$102,K37))</f>
        <v/>
      </c>
      <c r="M37" s="6"/>
      <c r="N37" s="75" t="str" cm="1">
        <f t="array" ref="N37">IF(M37="","",INDEX('Exercise list'!$C$5:$C$102,M37))</f>
        <v/>
      </c>
      <c r="P37">
        <f>IFERROR(INDEX('Exercise list'!$E$5:$X$102,MATCH($C37,'Exercise list'!$C$5:$C$102,0),MATCH(P$5,'Exercise list'!$E$4:$X$4,0)),0)</f>
        <v>0</v>
      </c>
      <c r="Q37">
        <f>IFERROR(INDEX('Exercise list'!$E$5:$X$102,MATCH($C37,'Exercise list'!$C$5:$C$102,0),MATCH(Q$5,'Exercise list'!$E$4:$X$4,0)),0)</f>
        <v>0</v>
      </c>
      <c r="R37">
        <f>IFERROR(INDEX('Exercise list'!$E$5:$X$102,MATCH($C37,'Exercise list'!$C$5:$C$102,0),MATCH(R$5,'Exercise list'!$E$4:$X$4,0)),0)</f>
        <v>0</v>
      </c>
      <c r="S37">
        <f>IFERROR(INDEX('Exercise list'!$E$5:$X$102,MATCH($C37,'Exercise list'!$C$5:$C$102,0),MATCH(S$5,'Exercise list'!$E$4:$X$4,0)),0)</f>
        <v>0</v>
      </c>
      <c r="T37">
        <f>IFERROR(INDEX('Exercise list'!$E$5:$X$102,MATCH($C37,'Exercise list'!$C$5:$C$102,0),MATCH(T$5,'Exercise list'!$E$4:$X$4,0)),0)</f>
        <v>0.5</v>
      </c>
      <c r="U37">
        <f>IFERROR(INDEX('Exercise list'!$E$5:$X$102,MATCH($C37,'Exercise list'!$C$5:$C$102,0),MATCH(U$5,'Exercise list'!$E$4:$X$4,0)),0)</f>
        <v>0</v>
      </c>
      <c r="V37">
        <f>IFERROR(INDEX('Exercise list'!$E$5:$X$102,MATCH($C37,'Exercise list'!$C$5:$C$102,0),MATCH(V$5,'Exercise list'!$E$4:$X$4,0)),0)</f>
        <v>0</v>
      </c>
      <c r="W37">
        <f>IFERROR(INDEX('Exercise list'!$E$5:$X$102,MATCH($C37,'Exercise list'!$C$5:$C$102,0),MATCH(W$5,'Exercise list'!$E$4:$X$4,0)),0)</f>
        <v>0</v>
      </c>
      <c r="X37">
        <f>IFERROR(INDEX('Exercise list'!$E$5:$X$102,MATCH($C37,'Exercise list'!$C$5:$C$102,0),MATCH(X$5,'Exercise list'!$E$4:$X$4,0)),0)</f>
        <v>0</v>
      </c>
      <c r="Y37">
        <f>IFERROR(INDEX('Exercise list'!$E$5:$X$102,MATCH($C37,'Exercise list'!$C$5:$C$102,0),MATCH(Y$5,'Exercise list'!$E$4:$X$4,0)),0)</f>
        <v>0</v>
      </c>
      <c r="Z37">
        <f>IFERROR(INDEX('Exercise list'!$E$5:$X$102,MATCH($C37,'Exercise list'!$C$5:$C$102,0),MATCH(Z$5,'Exercise list'!$E$4:$X$4,0)),0)</f>
        <v>0</v>
      </c>
      <c r="AA37">
        <f>IFERROR(INDEX('Exercise list'!$E$5:$X$102,MATCH($C37,'Exercise list'!$C$5:$C$102,0),MATCH(AA$5,'Exercise list'!$E$4:$X$4,0)),0)</f>
        <v>0</v>
      </c>
      <c r="AB37">
        <f>IFERROR(INDEX('Exercise list'!$E$5:$X$102,MATCH($C37,'Exercise list'!$C$5:$C$102,0),MATCH(AB$5,'Exercise list'!$E$4:$X$4,0)),0)</f>
        <v>0.5</v>
      </c>
      <c r="AC37">
        <f>IFERROR(INDEX('Exercise list'!$E$5:$X$102,MATCH($C37,'Exercise list'!$C$5:$C$102,0),MATCH(AC$5,'Exercise list'!$E$4:$X$4,0)),0)</f>
        <v>0</v>
      </c>
      <c r="AD37">
        <f>IFERROR(INDEX('Exercise list'!$E$5:$X$102,MATCH($C37,'Exercise list'!$C$5:$C$102,0),MATCH(AD$5,'Exercise list'!$E$4:$X$4,0)),0)</f>
        <v>0</v>
      </c>
      <c r="AE37">
        <f>IFERROR(INDEX('Exercise list'!$E$5:$X$102,MATCH($C37,'Exercise list'!$C$5:$C$102,0),MATCH(AE$5,'Exercise list'!$E$4:$X$4,0)),0)</f>
        <v>0.8</v>
      </c>
      <c r="AF37">
        <f>IFERROR(INDEX('Exercise list'!$E$5:$X$102,MATCH($C37,'Exercise list'!$C$5:$C$102,0),MATCH(AF$5,'Exercise list'!$E$4:$X$4,0)),0)</f>
        <v>1</v>
      </c>
      <c r="AG37">
        <f>IFERROR(INDEX('Exercise list'!$E$5:$X$102,MATCH($C37,'Exercise list'!$C$5:$C$102,0),MATCH(AG$5,'Exercise list'!$E$4:$X$4,0)),0)</f>
        <v>0</v>
      </c>
      <c r="AH37">
        <f>IFERROR(INDEX('Exercise list'!$E$5:$X$102,MATCH($C37,'Exercise list'!$C$5:$C$102,0),MATCH(AH$5,'Exercise list'!$E$4:$X$4,0)),0)</f>
        <v>0</v>
      </c>
      <c r="AI37">
        <f>IFERROR(INDEX('Exercise list'!$E$5:$X$102,MATCH($C37,'Exercise list'!$C$5:$C$102,0),MATCH(AI$5,'Exercise list'!$E$4:$X$4,0)),0)</f>
        <v>0</v>
      </c>
      <c r="AK37">
        <f>IF(OR($J37=1,COUNTIFS($A$5:$A36,"&gt;="&amp;$A37-1,$A$5:$A36,"&lt;="&amp;$A37,$B$5:$B36,$B37)&gt;0,MIN(1-'Exercise list'!E$2,IF($A37=$A36,AK36,1))-P37&lt;0),-1,MIN(1,IF($A37=$A36,AK36,1)-P37+$D$2))</f>
        <v>1</v>
      </c>
      <c r="AL37">
        <f>IF(OR($J37=1,COUNTIFS($A$5:$A36,"&gt;="&amp;$A37-1,$A$5:$A36,"&lt;="&amp;$A37,$B$5:$B36,$B37)&gt;0,MIN(1-'Exercise list'!F$2,IF($A37=$A36,AL36,1))-Q37&lt;0),-1,MIN(1,IF($A37=$A36,AL36,1)-Q37+$D$2))</f>
        <v>1</v>
      </c>
      <c r="AM37">
        <f>IF(OR($J37=1,COUNTIFS($A$5:$A36,"&gt;="&amp;$A37-1,$A$5:$A36,"&lt;="&amp;$A37,$B$5:$B36,$B37)&gt;0,MIN(1-'Exercise list'!G$2,IF($A37=$A36,AM36,1))-R37&lt;0),-1,MIN(1,IF($A37=$A36,AM36,1)-R37+$D$2))</f>
        <v>1</v>
      </c>
      <c r="AN37">
        <f>IF(OR($J37=1,COUNTIFS($A$5:$A36,"&gt;="&amp;$A37-1,$A$5:$A36,"&lt;="&amp;$A37,$B$5:$B36,$B37)&gt;0,MIN(1-'Exercise list'!H$2,IF($A37=$A36,AN36,1))-S37&lt;0),-1,MIN(1,IF($A37=$A36,AN36,1)-S37+$D$2))</f>
        <v>1</v>
      </c>
      <c r="AO37">
        <f>IF(OR($J37=1,COUNTIFS($A$5:$A36,"&gt;="&amp;$A37-1,$A$5:$A36,"&lt;="&amp;$A37,$B$5:$B36,$B37)&gt;0,MIN(1-'Exercise list'!I$2,IF($A37=$A36,AO36,1))-T37&lt;0),-1,MIN(1,IF($A37=$A36,AO36,1)-T37+$D$2))</f>
        <v>1</v>
      </c>
      <c r="AP37">
        <f>IF(OR($J37=1,COUNTIFS($A$5:$A36,"&gt;="&amp;$A37-1,$A$5:$A36,"&lt;="&amp;$A37,$B$5:$B36,$B37)&gt;0,MIN(1-'Exercise list'!J$2,IF($A37=$A36,AP36,1))-U37&lt;0),-1,MIN(1,IF($A37=$A36,AP36,1)-U37+$D$2))</f>
        <v>1</v>
      </c>
      <c r="AQ37">
        <f>IF(OR($J37=1,COUNTIFS($A$5:$A36,"&gt;="&amp;$A37-1,$A$5:$A36,"&lt;="&amp;$A37,$B$5:$B36,$B37)&gt;0,MIN(1-'Exercise list'!K$2,IF($A37=$A36,AQ36,1))-V37&lt;0),-1,MIN(1,IF($A37=$A36,AQ36,1)-V37+$D$2))</f>
        <v>1</v>
      </c>
      <c r="AR37">
        <f>IF(OR($J37=1,COUNTIFS($A$5:$A36,"&gt;="&amp;$A37-1,$A$5:$A36,"&lt;="&amp;$A37,$B$5:$B36,$B37)&gt;0,MIN(1-'Exercise list'!L$2,IF($A37=$A36,AR36,1))-W37&lt;0),-1,MIN(1,IF($A37=$A36,AR36,1)-W37+$D$2))</f>
        <v>1</v>
      </c>
      <c r="AS37">
        <f>IF(OR($J37=1,COUNTIFS($A$5:$A36,"&gt;="&amp;$A37-1,$A$5:$A36,"&lt;="&amp;$A37,$B$5:$B36,$B37)&gt;0,MIN(1-'Exercise list'!M$2,IF($A37=$A36,AS36,1))-X37&lt;0),-1,MIN(1,IF($A37=$A36,AS36,1)-X37+$D$2))</f>
        <v>1</v>
      </c>
      <c r="AT37">
        <f>IF(OR($J37=1,COUNTIFS($A$5:$A36,"&gt;="&amp;$A37-1,$A$5:$A36,"&lt;="&amp;$A37,$B$5:$B36,$B37)&gt;0,MIN(1-'Exercise list'!N$2,IF($A37=$A36,AT36,1))-Y37&lt;0),-1,MIN(1,IF($A37=$A36,AT36,1)-Y37+$D$2))</f>
        <v>1</v>
      </c>
      <c r="AU37">
        <f>IF(OR($J37=1,COUNTIFS($A$5:$A36,"&gt;="&amp;$A37-1,$A$5:$A36,"&lt;="&amp;$A37,$B$5:$B36,$B37)&gt;0,MIN(1-'Exercise list'!O$2,IF($A37=$A36,AU36,1))-Z37&lt;0),-1,MIN(1,IF($A37=$A36,AU36,1)-Z37+$D$2))</f>
        <v>1</v>
      </c>
      <c r="AV37">
        <f>IF(OR($J37=1,COUNTIFS($A$5:$A36,"&gt;="&amp;$A37-1,$A$5:$A36,"&lt;="&amp;$A37,$B$5:$B36,$B37)&gt;0,MIN(1-'Exercise list'!P$2,IF($A37=$A36,AV36,1))-AA37&lt;0),-1,MIN(1,IF($A37=$A36,AV36,1)-AA37+$D$2))</f>
        <v>1</v>
      </c>
      <c r="AW37">
        <f>IF(OR($J37=1,COUNTIFS($A$5:$A36,"&gt;="&amp;$A37-1,$A$5:$A36,"&lt;="&amp;$A37,$B$5:$B36,$B37)&gt;0,MIN(1-'Exercise list'!Q$2,IF($A37=$A36,AW36,1))-AB37&lt;0),-1,MIN(1,IF($A37=$A36,AW36,1)-AB37+$D$2))</f>
        <v>1</v>
      </c>
      <c r="AX37">
        <f>IF(OR($J37=1,COUNTIFS($A$5:$A36,"&gt;="&amp;$A37-1,$A$5:$A36,"&lt;="&amp;$A37,$B$5:$B36,$B37)&gt;0,MIN(1-'Exercise list'!R$2,IF($A37=$A36,AX36,1))-AC37&lt;0),-1,MIN(1,IF($A37=$A36,AX36,1)-AC37+$D$2))</f>
        <v>1</v>
      </c>
      <c r="AY37">
        <f>IF(OR($J37=1,COUNTIFS($A$5:$A36,"&gt;="&amp;$A37-1,$A$5:$A36,"&lt;="&amp;$A37,$B$5:$B36,$B37)&gt;0,MIN(1-'Exercise list'!S$2,IF($A37=$A36,AY36,1))-AD37&lt;0),-1,MIN(1,IF($A37=$A36,AY36,1)-AD37+$D$2))</f>
        <v>1</v>
      </c>
      <c r="AZ37">
        <f>IF(OR($J37=1,COUNTIFS($A$5:$A36,"&gt;="&amp;$A37-1,$A$5:$A36,"&lt;="&amp;$A37,$B$5:$B36,$B37)&gt;0,MIN(1-'Exercise list'!T$2,IF($A37=$A36,AZ36,1))-AE37&lt;0),-1,MIN(1,IF($A37=$A36,AZ36,1)-AE37+$D$2))</f>
        <v>1</v>
      </c>
      <c r="BA37">
        <f>IF(OR($J37=1,COUNTIFS($A$5:$A36,"&gt;="&amp;$A37-1,$A$5:$A36,"&lt;="&amp;$A37,$B$5:$B36,$B37)&gt;0,MIN(1-'Exercise list'!U$2,IF($A37=$A36,BA36,1))-AF37&lt;0),-1,MIN(1,IF($A37=$A36,BA36,1)-AF37+$D$2))</f>
        <v>1</v>
      </c>
      <c r="BB37">
        <f>IF(OR($J37=1,COUNTIFS($A$5:$A36,"&gt;="&amp;$A37-1,$A$5:$A36,"&lt;="&amp;$A37,$B$5:$B36,$B37)&gt;0,MIN(1-'Exercise list'!V$2,IF($A37=$A36,BB36,1))-AG37&lt;0),-1,MIN(1,IF($A37=$A36,BB36,1)-AG37+$D$2))</f>
        <v>1</v>
      </c>
      <c r="BC37">
        <f>IF(OR($J37=1,COUNTIFS($A$5:$A36,"&gt;="&amp;$A37-1,$A$5:$A36,"&lt;="&amp;$A37,$B$5:$B36,$B37)&gt;0,MIN(1-'Exercise list'!W$2,IF($A37=$A36,BC36,1))-AH37&lt;0),-1,MIN(1,IF($A37=$A36,BC36,1)-AH37+$D$2))</f>
        <v>1</v>
      </c>
      <c r="BD37">
        <f>IF(OR($J37=1,COUNTIFS($A$5:$A36,"&gt;="&amp;$A37-1,$A$5:$A36,"&lt;="&amp;$A37,$B$5:$B36,$B37)&gt;0,MIN(1-'Exercise list'!X$2,IF($A37=$A36,BD36,1))-AI37&lt;0),-1,MIN(1,IF($A37=$A36,BD36,1)-AI37+$D$2))</f>
        <v>1</v>
      </c>
      <c r="BF37" s="16">
        <f t="shared" si="24"/>
        <v>6.821537893990394E-2</v>
      </c>
      <c r="BG37" s="16">
        <f t="shared" si="25"/>
        <v>0.1091227550447129</v>
      </c>
      <c r="BH37" s="16">
        <f t="shared" si="26"/>
        <v>8.843060167389466E-2</v>
      </c>
      <c r="BI37" s="16">
        <f t="shared" si="27"/>
        <v>0.11314855913891524</v>
      </c>
      <c r="BJ37" s="16">
        <f t="shared" si="28"/>
        <v>0.36858171633580533</v>
      </c>
      <c r="BK37" s="16">
        <f t="shared" si="29"/>
        <v>8.2113812647580206E-2</v>
      </c>
      <c r="BL37" s="16">
        <f t="shared" si="30"/>
        <v>9.4793394239172407E-2</v>
      </c>
      <c r="BM37" s="16">
        <f t="shared" si="31"/>
        <v>4.7500000000000001E-2</v>
      </c>
      <c r="BN37" s="16">
        <f t="shared" si="32"/>
        <v>7.8141882827870768E-2</v>
      </c>
      <c r="BO37" s="16">
        <f t="shared" si="33"/>
        <v>7.6466971698091038E-2</v>
      </c>
      <c r="BP37" s="16">
        <f t="shared" si="34"/>
        <v>0.36229108538583643</v>
      </c>
      <c r="BQ37" s="16">
        <f t="shared" si="35"/>
        <v>6.6871894322329678E-2</v>
      </c>
      <c r="BR37" s="16">
        <f t="shared" si="36"/>
        <v>0.25409289360420134</v>
      </c>
      <c r="BS37" s="16">
        <f t="shared" si="37"/>
        <v>3.1483758310672731E-2</v>
      </c>
      <c r="BT37" s="16">
        <f t="shared" si="38"/>
        <v>0.32423736431191696</v>
      </c>
      <c r="BU37" s="16">
        <f t="shared" si="39"/>
        <v>0.36742896643274092</v>
      </c>
      <c r="BV37" s="16">
        <f t="shared" si="40"/>
        <v>0.46972620045439878</v>
      </c>
      <c r="BW37" s="16">
        <f t="shared" si="41"/>
        <v>0.11125921598781566</v>
      </c>
      <c r="BX37" s="16">
        <f t="shared" si="42"/>
        <v>0.11029730061449429</v>
      </c>
      <c r="BY37" s="16">
        <f t="shared" si="43"/>
        <v>3.8264860056575305E-2</v>
      </c>
      <c r="CA37" s="16">
        <f t="shared" si="4"/>
        <v>0.17344896269172044</v>
      </c>
      <c r="CB37" s="16">
        <f t="shared" si="5"/>
        <v>0.13254158658691145</v>
      </c>
      <c r="CC37" s="16">
        <f t="shared" si="6"/>
        <v>3.2401569141917524E-2</v>
      </c>
      <c r="CD37" s="16">
        <f t="shared" si="7"/>
        <v>7.6836116768969481E-3</v>
      </c>
      <c r="CE37" s="16">
        <f t="shared" si="8"/>
        <v>0</v>
      </c>
      <c r="CF37" s="16">
        <f t="shared" si="9"/>
        <v>0.28038269979985636</v>
      </c>
      <c r="CG37" s="16">
        <f t="shared" si="10"/>
        <v>2.6038776576639777E-2</v>
      </c>
      <c r="CH37" s="16">
        <f t="shared" si="11"/>
        <v>7.3332170815812184E-2</v>
      </c>
      <c r="CI37" s="16">
        <f t="shared" si="12"/>
        <v>0.1635224588037536</v>
      </c>
      <c r="CJ37" s="16">
        <f t="shared" si="13"/>
        <v>4.4365199117721146E-2</v>
      </c>
      <c r="CK37" s="16">
        <f t="shared" si="14"/>
        <v>0</v>
      </c>
      <c r="CL37" s="16">
        <f t="shared" si="15"/>
        <v>5.3960276493482506E-2</v>
      </c>
      <c r="CM37" s="16">
        <f t="shared" si="16"/>
        <v>0</v>
      </c>
      <c r="CN37" s="16">
        <f t="shared" si="17"/>
        <v>8.9348412505139446E-2</v>
      </c>
      <c r="CO37" s="16">
        <f t="shared" si="18"/>
        <v>0</v>
      </c>
      <c r="CP37" s="16">
        <f t="shared" si="19"/>
        <v>0</v>
      </c>
      <c r="CQ37" s="16">
        <f t="shared" si="20"/>
        <v>0</v>
      </c>
      <c r="CR37" s="16">
        <f t="shared" si="21"/>
        <v>9.5729548279965271E-3</v>
      </c>
      <c r="CS37" s="16">
        <f t="shared" si="22"/>
        <v>1.0534870201317895E-2</v>
      </c>
      <c r="CT37" s="16">
        <f t="shared" si="23"/>
        <v>8.2567310759236873E-2</v>
      </c>
    </row>
    <row r="38" spans="1:99" x14ac:dyDescent="0.25">
      <c r="A38" s="20">
        <v>45054</v>
      </c>
      <c r="B38" s="21">
        <v>5</v>
      </c>
      <c r="C38" s="22" t="s">
        <v>30</v>
      </c>
      <c r="D38" s="17">
        <f t="shared" ref="D38:D65" si="45">IF(C38="","",MIN(AK38:BD38))</f>
        <v>1</v>
      </c>
      <c r="E38" s="33">
        <f t="shared" si="1"/>
        <v>1.4167749170275474</v>
      </c>
      <c r="F38" s="65" cm="1">
        <f t="array" ref="F38">IF(B38="","",0.1+IFERROR(INDEX($F$6:$F37,SUMPRODUCT(MAX(ROW($C$6:$C37)*($C38=$C$6:$C37))-ROW($A$5)))*0.9^($A38-INDEX($A$6:A37,SUMPRODUCT(MAX(ROW($C$6:$C37)*($C38=$C$6:$C37))-ROW($A$5)))),0))</f>
        <v>0.15904900000000002</v>
      </c>
      <c r="G38" s="25">
        <f>INDEX('Exercise list'!$Y$5:$Y$102,MATCH(C38,'Exercise list'!$C$5:$C$102,0))</f>
        <v>3</v>
      </c>
      <c r="H38" s="116">
        <f t="shared" ref="H38:H65" si="46">SQRT(SUMPRODUCT(CA38:CT38,CA38:CT38)/20)</f>
        <v>9.4882427076099091E-2</v>
      </c>
      <c r="I38" s="18">
        <f t="shared" si="44"/>
        <v>5</v>
      </c>
      <c r="J38" s="18">
        <v>0</v>
      </c>
      <c r="K38" s="17"/>
      <c r="L38" s="51" t="str" cm="1">
        <f t="array" ref="L38">IF(K38="","",INDEX('Exercise list'!$C$5:$C$102,K38))</f>
        <v/>
      </c>
      <c r="M38" s="18"/>
      <c r="N38" s="76" t="str" cm="1">
        <f t="array" ref="N38">IF(M38="","",INDEX('Exercise list'!$C$5:$C$102,M38))</f>
        <v/>
      </c>
      <c r="O38" s="19"/>
      <c r="P38" s="19">
        <f>IFERROR(INDEX('Exercise list'!$E$5:$X$102,MATCH($C38,'Exercise list'!$C$5:$C$102,0),MATCH(P$5,'Exercise list'!$E$4:$X$4,0)),0)</f>
        <v>0</v>
      </c>
      <c r="Q38" s="19">
        <f>IFERROR(INDEX('Exercise list'!$E$5:$X$102,MATCH($C38,'Exercise list'!$C$5:$C$102,0),MATCH(Q$5,'Exercise list'!$E$4:$X$4,0)),0)</f>
        <v>0</v>
      </c>
      <c r="R38" s="19">
        <f>IFERROR(INDEX('Exercise list'!$E$5:$X$102,MATCH($C38,'Exercise list'!$C$5:$C$102,0),MATCH(R$5,'Exercise list'!$E$4:$X$4,0)),0)</f>
        <v>0</v>
      </c>
      <c r="S38" s="19">
        <f>IFERROR(INDEX('Exercise list'!$E$5:$X$102,MATCH($C38,'Exercise list'!$C$5:$C$102,0),MATCH(S$5,'Exercise list'!$E$4:$X$4,0)),0)</f>
        <v>0</v>
      </c>
      <c r="T38" s="19">
        <f>IFERROR(INDEX('Exercise list'!$E$5:$X$102,MATCH($C38,'Exercise list'!$C$5:$C$102,0),MATCH(T$5,'Exercise list'!$E$4:$X$4,0)),0)</f>
        <v>0</v>
      </c>
      <c r="U38" s="19">
        <f>IFERROR(INDEX('Exercise list'!$E$5:$X$102,MATCH($C38,'Exercise list'!$C$5:$C$102,0),MATCH(U$5,'Exercise list'!$E$4:$X$4,0)),0)</f>
        <v>0</v>
      </c>
      <c r="V38" s="19">
        <f>IFERROR(INDEX('Exercise list'!$E$5:$X$102,MATCH($C38,'Exercise list'!$C$5:$C$102,0),MATCH(V$5,'Exercise list'!$E$4:$X$4,0)),0)</f>
        <v>0</v>
      </c>
      <c r="W38" s="19">
        <f>IFERROR(INDEX('Exercise list'!$E$5:$X$102,MATCH($C38,'Exercise list'!$C$5:$C$102,0),MATCH(W$5,'Exercise list'!$E$4:$X$4,0)),0)</f>
        <v>0</v>
      </c>
      <c r="X38" s="19">
        <f>IFERROR(INDEX('Exercise list'!$E$5:$X$102,MATCH($C38,'Exercise list'!$C$5:$C$102,0),MATCH(X$5,'Exercise list'!$E$4:$X$4,0)),0)</f>
        <v>0</v>
      </c>
      <c r="Y38" s="19">
        <f>IFERROR(INDEX('Exercise list'!$E$5:$X$102,MATCH($C38,'Exercise list'!$C$5:$C$102,0),MATCH(Y$5,'Exercise list'!$E$4:$X$4,0)),0)</f>
        <v>0</v>
      </c>
      <c r="Z38" s="19">
        <f>IFERROR(INDEX('Exercise list'!$E$5:$X$102,MATCH($C38,'Exercise list'!$C$5:$C$102,0),MATCH(Z$5,'Exercise list'!$E$4:$X$4,0)),0)</f>
        <v>0</v>
      </c>
      <c r="AA38" s="19">
        <f>IFERROR(INDEX('Exercise list'!$E$5:$X$102,MATCH($C38,'Exercise list'!$C$5:$C$102,0),MATCH(AA$5,'Exercise list'!$E$4:$X$4,0)),0)</f>
        <v>0</v>
      </c>
      <c r="AB38" s="19">
        <f>IFERROR(INDEX('Exercise list'!$E$5:$X$102,MATCH($C38,'Exercise list'!$C$5:$C$102,0),MATCH(AB$5,'Exercise list'!$E$4:$X$4,0)),0)</f>
        <v>0</v>
      </c>
      <c r="AC38" s="19">
        <f>IFERROR(INDEX('Exercise list'!$E$5:$X$102,MATCH($C38,'Exercise list'!$C$5:$C$102,0),MATCH(AC$5,'Exercise list'!$E$4:$X$4,0)),0)</f>
        <v>0</v>
      </c>
      <c r="AD38" s="19">
        <f>IFERROR(INDEX('Exercise list'!$E$5:$X$102,MATCH($C38,'Exercise list'!$C$5:$C$102,0),MATCH(AD$5,'Exercise list'!$E$4:$X$4,0)),0)</f>
        <v>1</v>
      </c>
      <c r="AE38" s="19">
        <f>IFERROR(INDEX('Exercise list'!$E$5:$X$102,MATCH($C38,'Exercise list'!$C$5:$C$102,0),MATCH(AE$5,'Exercise list'!$E$4:$X$4,0)),0)</f>
        <v>0.7</v>
      </c>
      <c r="AF38" s="19">
        <f>IFERROR(INDEX('Exercise list'!$E$5:$X$102,MATCH($C38,'Exercise list'!$C$5:$C$102,0),MATCH(AF$5,'Exercise list'!$E$4:$X$4,0)),0)</f>
        <v>0.8</v>
      </c>
      <c r="AG38" s="19">
        <f>IFERROR(INDEX('Exercise list'!$E$5:$X$102,MATCH($C38,'Exercise list'!$C$5:$C$102,0),MATCH(AG$5,'Exercise list'!$E$4:$X$4,0)),0)</f>
        <v>0.7</v>
      </c>
      <c r="AH38" s="19">
        <f>IFERROR(INDEX('Exercise list'!$E$5:$X$102,MATCH($C38,'Exercise list'!$C$5:$C$102,0),MATCH(AH$5,'Exercise list'!$E$4:$X$4,0)),0)</f>
        <v>0.8</v>
      </c>
      <c r="AI38" s="19">
        <f>IFERROR(INDEX('Exercise list'!$E$5:$X$102,MATCH($C38,'Exercise list'!$C$5:$C$102,0),MATCH(AI$5,'Exercise list'!$E$4:$X$4,0)),0)</f>
        <v>0.8</v>
      </c>
      <c r="AJ38" s="19"/>
      <c r="AK38" s="19">
        <f>IF(OR($J38=1,COUNTIFS($A$5:$A37,"&gt;="&amp;$A38-1,$A$5:$A37,"&lt;="&amp;$A38,$B$5:$B37,$B38)&gt;0,MIN(1-'Exercise list'!E$2,IF($A38=$A37,AK37,1))-P38&lt;0),-1,MIN(1,IF($A38=$A37,AK37,1)-P38+$D$2))</f>
        <v>1</v>
      </c>
      <c r="AL38" s="19">
        <f>IF(OR($J38=1,COUNTIFS($A$5:$A37,"&gt;="&amp;$A38-1,$A$5:$A37,"&lt;="&amp;$A38,$B$5:$B37,$B38)&gt;0,MIN(1-'Exercise list'!F$2,IF($A38=$A37,AL37,1))-Q38&lt;0),-1,MIN(1,IF($A38=$A37,AL37,1)-Q38+$D$2))</f>
        <v>1</v>
      </c>
      <c r="AM38" s="19">
        <f>IF(OR($J38=1,COUNTIFS($A$5:$A37,"&gt;="&amp;$A38-1,$A$5:$A37,"&lt;="&amp;$A38,$B$5:$B37,$B38)&gt;0,MIN(1-'Exercise list'!G$2,IF($A38=$A37,AM37,1))-R38&lt;0),-1,MIN(1,IF($A38=$A37,AM37,1)-R38+$D$2))</f>
        <v>1</v>
      </c>
      <c r="AN38" s="19">
        <f>IF(OR($J38=1,COUNTIFS($A$5:$A37,"&gt;="&amp;$A38-1,$A$5:$A37,"&lt;="&amp;$A38,$B$5:$B37,$B38)&gt;0,MIN(1-'Exercise list'!H$2,IF($A38=$A37,AN37,1))-S38&lt;0),-1,MIN(1,IF($A38=$A37,AN37,1)-S38+$D$2))</f>
        <v>1</v>
      </c>
      <c r="AO38" s="19">
        <f>IF(OR($J38=1,COUNTIFS($A$5:$A37,"&gt;="&amp;$A38-1,$A$5:$A37,"&lt;="&amp;$A38,$B$5:$B37,$B38)&gt;0,MIN(1-'Exercise list'!I$2,IF($A38=$A37,AO37,1))-T38&lt;0),-1,MIN(1,IF($A38=$A37,AO37,1)-T38+$D$2))</f>
        <v>1</v>
      </c>
      <c r="AP38" s="19">
        <f>IF(OR($J38=1,COUNTIFS($A$5:$A37,"&gt;="&amp;$A38-1,$A$5:$A37,"&lt;="&amp;$A38,$B$5:$B37,$B38)&gt;0,MIN(1-'Exercise list'!J$2,IF($A38=$A37,AP37,1))-U38&lt;0),-1,MIN(1,IF($A38=$A37,AP37,1)-U38+$D$2))</f>
        <v>1</v>
      </c>
      <c r="AQ38" s="19">
        <f>IF(OR($J38=1,COUNTIFS($A$5:$A37,"&gt;="&amp;$A38-1,$A$5:$A37,"&lt;="&amp;$A38,$B$5:$B37,$B38)&gt;0,MIN(1-'Exercise list'!K$2,IF($A38=$A37,AQ37,1))-V38&lt;0),-1,MIN(1,IF($A38=$A37,AQ37,1)-V38+$D$2))</f>
        <v>1</v>
      </c>
      <c r="AR38" s="19">
        <f>IF(OR($J38=1,COUNTIFS($A$5:$A37,"&gt;="&amp;$A38-1,$A$5:$A37,"&lt;="&amp;$A38,$B$5:$B37,$B38)&gt;0,MIN(1-'Exercise list'!L$2,IF($A38=$A37,AR37,1))-W38&lt;0),-1,MIN(1,IF($A38=$A37,AR37,1)-W38+$D$2))</f>
        <v>1</v>
      </c>
      <c r="AS38" s="19">
        <f>IF(OR($J38=1,COUNTIFS($A$5:$A37,"&gt;="&amp;$A38-1,$A$5:$A37,"&lt;="&amp;$A38,$B$5:$B37,$B38)&gt;0,MIN(1-'Exercise list'!M$2,IF($A38=$A37,AS37,1))-X38&lt;0),-1,MIN(1,IF($A38=$A37,AS37,1)-X38+$D$2))</f>
        <v>1</v>
      </c>
      <c r="AT38" s="19">
        <f>IF(OR($J38=1,COUNTIFS($A$5:$A37,"&gt;="&amp;$A38-1,$A$5:$A37,"&lt;="&amp;$A38,$B$5:$B37,$B38)&gt;0,MIN(1-'Exercise list'!N$2,IF($A38=$A37,AT37,1))-Y38&lt;0),-1,MIN(1,IF($A38=$A37,AT37,1)-Y38+$D$2))</f>
        <v>1</v>
      </c>
      <c r="AU38" s="19">
        <f>IF(OR($J38=1,COUNTIFS($A$5:$A37,"&gt;="&amp;$A38-1,$A$5:$A37,"&lt;="&amp;$A38,$B$5:$B37,$B38)&gt;0,MIN(1-'Exercise list'!O$2,IF($A38=$A37,AU37,1))-Z38&lt;0),-1,MIN(1,IF($A38=$A37,AU37,1)-Z38+$D$2))</f>
        <v>1</v>
      </c>
      <c r="AV38" s="19">
        <f>IF(OR($J38=1,COUNTIFS($A$5:$A37,"&gt;="&amp;$A38-1,$A$5:$A37,"&lt;="&amp;$A38,$B$5:$B37,$B38)&gt;0,MIN(1-'Exercise list'!P$2,IF($A38=$A37,AV37,1))-AA38&lt;0),-1,MIN(1,IF($A38=$A37,AV37,1)-AA38+$D$2))</f>
        <v>1</v>
      </c>
      <c r="AW38" s="19">
        <f>IF(OR($J38=1,COUNTIFS($A$5:$A37,"&gt;="&amp;$A38-1,$A$5:$A37,"&lt;="&amp;$A38,$B$5:$B37,$B38)&gt;0,MIN(1-'Exercise list'!Q$2,IF($A38=$A37,AW37,1))-AB38&lt;0),-1,MIN(1,IF($A38=$A37,AW37,1)-AB38+$D$2))</f>
        <v>1</v>
      </c>
      <c r="AX38" s="19">
        <f>IF(OR($J38=1,COUNTIFS($A$5:$A37,"&gt;="&amp;$A38-1,$A$5:$A37,"&lt;="&amp;$A38,$B$5:$B37,$B38)&gt;0,MIN(1-'Exercise list'!R$2,IF($A38=$A37,AX37,1))-AC38&lt;0),-1,MIN(1,IF($A38=$A37,AX37,1)-AC38+$D$2))</f>
        <v>1</v>
      </c>
      <c r="AY38" s="19">
        <f>IF(OR($J38=1,COUNTIFS($A$5:$A37,"&gt;="&amp;$A38-1,$A$5:$A37,"&lt;="&amp;$A38,$B$5:$B37,$B38)&gt;0,MIN(1-'Exercise list'!S$2,IF($A38=$A37,AY37,1))-AD38&lt;0),-1,MIN(1,IF($A38=$A37,AY37,1)-AD38+$D$2))</f>
        <v>1</v>
      </c>
      <c r="AZ38" s="19">
        <f>IF(OR($J38=1,COUNTIFS($A$5:$A37,"&gt;="&amp;$A38-1,$A$5:$A37,"&lt;="&amp;$A38,$B$5:$B37,$B38)&gt;0,MIN(1-'Exercise list'!T$2,IF($A38=$A37,AZ37,1))-AE38&lt;0),-1,MIN(1,IF($A38=$A37,AZ37,1)-AE38+$D$2))</f>
        <v>1</v>
      </c>
      <c r="BA38" s="19">
        <f>IF(OR($J38=1,COUNTIFS($A$5:$A37,"&gt;="&amp;$A38-1,$A$5:$A37,"&lt;="&amp;$A38,$B$5:$B37,$B38)&gt;0,MIN(1-'Exercise list'!U$2,IF($A38=$A37,BA37,1))-AF38&lt;0),-1,MIN(1,IF($A38=$A37,BA37,1)-AF38+$D$2))</f>
        <v>1</v>
      </c>
      <c r="BB38" s="19">
        <f>IF(OR($J38=1,COUNTIFS($A$5:$A37,"&gt;="&amp;$A38-1,$A$5:$A37,"&lt;="&amp;$A38,$B$5:$B37,$B38)&gt;0,MIN(1-'Exercise list'!V$2,IF($A38=$A37,BB37,1))-AG38&lt;0),-1,MIN(1,IF($A38=$A37,BB37,1)-AG38+$D$2))</f>
        <v>1</v>
      </c>
      <c r="BC38" s="19">
        <f>IF(OR($J38=1,COUNTIFS($A$5:$A37,"&gt;="&amp;$A38-1,$A$5:$A37,"&lt;="&amp;$A38,$B$5:$B37,$B38)&gt;0,MIN(1-'Exercise list'!W$2,IF($A38=$A37,BC37,1))-AH38&lt;0),-1,MIN(1,IF($A38=$A37,BC37,1)-AH38+$D$2))</f>
        <v>1</v>
      </c>
      <c r="BD38" s="19">
        <f>IF(OR($J38=1,COUNTIFS($A$5:$A37,"&gt;="&amp;$A38-1,$A$5:$A37,"&lt;="&amp;$A38,$B$5:$B37,$B38)&gt;0,MIN(1-'Exercise list'!X$2,IF($A38=$A37,BD37,1))-AI38&lt;0),-1,MIN(1,IF($A38=$A37,BD37,1)-AI38+$D$2))</f>
        <v>1</v>
      </c>
      <c r="BE38" s="19"/>
      <c r="BF38" s="23">
        <f t="shared" si="24"/>
        <v>6.821537893990394E-2</v>
      </c>
      <c r="BG38" s="23">
        <f t="shared" si="25"/>
        <v>0.1091227550447129</v>
      </c>
      <c r="BH38" s="23">
        <f t="shared" si="26"/>
        <v>8.843060167389466E-2</v>
      </c>
      <c r="BI38" s="23">
        <f t="shared" si="27"/>
        <v>0.11314855913891524</v>
      </c>
      <c r="BJ38" s="23">
        <f t="shared" si="28"/>
        <v>0.36858171633580533</v>
      </c>
      <c r="BK38" s="23">
        <f t="shared" si="29"/>
        <v>8.2113812647580206E-2</v>
      </c>
      <c r="BL38" s="23">
        <f t="shared" si="30"/>
        <v>9.4793394239172407E-2</v>
      </c>
      <c r="BM38" s="23">
        <f t="shared" si="31"/>
        <v>4.7500000000000001E-2</v>
      </c>
      <c r="BN38" s="23">
        <f t="shared" si="32"/>
        <v>7.8141882827870768E-2</v>
      </c>
      <c r="BO38" s="23">
        <f t="shared" si="33"/>
        <v>7.6466971698091038E-2</v>
      </c>
      <c r="BP38" s="23">
        <f t="shared" si="34"/>
        <v>0.36229108538583643</v>
      </c>
      <c r="BQ38" s="23">
        <f t="shared" si="35"/>
        <v>6.6871894322329678E-2</v>
      </c>
      <c r="BR38" s="23">
        <f t="shared" si="36"/>
        <v>0.25409289360420134</v>
      </c>
      <c r="BS38" s="23">
        <f t="shared" si="37"/>
        <v>3.1483758310672731E-2</v>
      </c>
      <c r="BT38" s="23">
        <f t="shared" si="38"/>
        <v>0.32423736431191696</v>
      </c>
      <c r="BU38" s="23">
        <f t="shared" si="39"/>
        <v>0.36742896643274092</v>
      </c>
      <c r="BV38" s="23">
        <f t="shared" si="40"/>
        <v>0.46972620045439878</v>
      </c>
      <c r="BW38" s="23">
        <f t="shared" si="41"/>
        <v>0.11125921598781566</v>
      </c>
      <c r="BX38" s="23">
        <f t="shared" si="42"/>
        <v>0.11029730061449429</v>
      </c>
      <c r="BY38" s="23">
        <f t="shared" si="43"/>
        <v>3.8264860056575305E-2</v>
      </c>
      <c r="BZ38" s="19"/>
      <c r="CA38" s="23">
        <f t="shared" si="4"/>
        <v>0.17344896269172044</v>
      </c>
      <c r="CB38" s="23">
        <f t="shared" si="5"/>
        <v>0.13254158658691145</v>
      </c>
      <c r="CC38" s="23">
        <f t="shared" si="6"/>
        <v>3.2401569141917524E-2</v>
      </c>
      <c r="CD38" s="23">
        <f t="shared" si="7"/>
        <v>7.6836116768969481E-3</v>
      </c>
      <c r="CE38" s="23">
        <f t="shared" si="8"/>
        <v>0</v>
      </c>
      <c r="CF38" s="23">
        <f t="shared" si="9"/>
        <v>0.28038269979985636</v>
      </c>
      <c r="CG38" s="23">
        <f t="shared" si="10"/>
        <v>2.6038776576639777E-2</v>
      </c>
      <c r="CH38" s="23">
        <f t="shared" si="11"/>
        <v>7.3332170815812184E-2</v>
      </c>
      <c r="CI38" s="23">
        <f t="shared" si="12"/>
        <v>0.1635224588037536</v>
      </c>
      <c r="CJ38" s="23">
        <f t="shared" si="13"/>
        <v>4.4365199117721146E-2</v>
      </c>
      <c r="CK38" s="23">
        <f t="shared" si="14"/>
        <v>0</v>
      </c>
      <c r="CL38" s="23">
        <f t="shared" si="15"/>
        <v>5.3960276493482506E-2</v>
      </c>
      <c r="CM38" s="23">
        <f t="shared" si="16"/>
        <v>0</v>
      </c>
      <c r="CN38" s="23">
        <f t="shared" si="17"/>
        <v>8.9348412505139446E-2</v>
      </c>
      <c r="CO38" s="23">
        <f t="shared" si="18"/>
        <v>0</v>
      </c>
      <c r="CP38" s="23">
        <f t="shared" si="19"/>
        <v>0</v>
      </c>
      <c r="CQ38" s="23">
        <f t="shared" si="20"/>
        <v>0</v>
      </c>
      <c r="CR38" s="23">
        <f t="shared" si="21"/>
        <v>9.5729548279965271E-3</v>
      </c>
      <c r="CS38" s="23">
        <f t="shared" si="22"/>
        <v>1.0534870201317895E-2</v>
      </c>
      <c r="CT38" s="23">
        <f t="shared" si="23"/>
        <v>8.2567310759236873E-2</v>
      </c>
      <c r="CU38" s="19"/>
    </row>
    <row r="39" spans="1:99" x14ac:dyDescent="0.25">
      <c r="A39" s="13">
        <v>45055</v>
      </c>
      <c r="B39" s="14">
        <v>8</v>
      </c>
      <c r="C39" s="15" t="s">
        <v>116</v>
      </c>
      <c r="D39" s="12">
        <f t="shared" si="45"/>
        <v>1</v>
      </c>
      <c r="E39" s="32">
        <f t="shared" si="1"/>
        <v>1.5323460558096986</v>
      </c>
      <c r="F39" s="63" cm="1">
        <f t="array" ref="F39">IF(B39="","",0.1+IFERROR(INDEX($F$6:$F38,SUMPRODUCT(MAX(ROW($C$6:$C38)*($C39=$C$6:$C38))-ROW($A$5)))*0.9^($A39-INDEX($A$6:A38,SUMPRODUCT(MAX(ROW($C$6:$C38)*($C39=$C$6:$C38))-ROW($A$5)))),0))</f>
        <v>0.13874204890000003</v>
      </c>
      <c r="G39" s="64">
        <f>INDEX('Exercise list'!$Y$5:$Y$102,MATCH(C39,'Exercise list'!$C$5:$C$102,0))</f>
        <v>3</v>
      </c>
      <c r="H39" s="115">
        <f t="shared" si="46"/>
        <v>0.10056633636171913</v>
      </c>
      <c r="I39" s="42">
        <f t="shared" si="44"/>
        <v>1</v>
      </c>
      <c r="J39" s="6">
        <v>0</v>
      </c>
      <c r="K39" s="12"/>
      <c r="L39" s="74" t="str" cm="1">
        <f t="array" ref="L39">IF(K39="","",INDEX('Exercise list'!$C$5:$C$102,K39))</f>
        <v/>
      </c>
      <c r="M39" s="6"/>
      <c r="N39" s="75" t="str" cm="1">
        <f t="array" ref="N39">IF(M39="","",INDEX('Exercise list'!$C$5:$C$102,M39))</f>
        <v/>
      </c>
      <c r="P39">
        <f>IFERROR(INDEX('Exercise list'!$E$5:$X$102,MATCH($C39,'Exercise list'!$C$5:$C$102,0),MATCH(P$5,'Exercise list'!$E$4:$X$4,0)),0)</f>
        <v>0</v>
      </c>
      <c r="Q39">
        <f>IFERROR(INDEX('Exercise list'!$E$5:$X$102,MATCH($C39,'Exercise list'!$C$5:$C$102,0),MATCH(Q$5,'Exercise list'!$E$4:$X$4,0)),0)</f>
        <v>0</v>
      </c>
      <c r="R39">
        <f>IFERROR(INDEX('Exercise list'!$E$5:$X$102,MATCH($C39,'Exercise list'!$C$5:$C$102,0),MATCH(R$5,'Exercise list'!$E$4:$X$4,0)),0)</f>
        <v>0</v>
      </c>
      <c r="S39">
        <f>IFERROR(INDEX('Exercise list'!$E$5:$X$102,MATCH($C39,'Exercise list'!$C$5:$C$102,0),MATCH(S$5,'Exercise list'!$E$4:$X$4,0)),0)</f>
        <v>0</v>
      </c>
      <c r="T39">
        <f>IFERROR(INDEX('Exercise list'!$E$5:$X$102,MATCH($C39,'Exercise list'!$C$5:$C$102,0),MATCH(T$5,'Exercise list'!$E$4:$X$4,0)),0)</f>
        <v>1</v>
      </c>
      <c r="U39">
        <f>IFERROR(INDEX('Exercise list'!$E$5:$X$102,MATCH($C39,'Exercise list'!$C$5:$C$102,0),MATCH(U$5,'Exercise list'!$E$4:$X$4,0)),0)</f>
        <v>0</v>
      </c>
      <c r="V39">
        <f>IFERROR(INDEX('Exercise list'!$E$5:$X$102,MATCH($C39,'Exercise list'!$C$5:$C$102,0),MATCH(V$5,'Exercise list'!$E$4:$X$4,0)),0)</f>
        <v>0</v>
      </c>
      <c r="W39">
        <f>IFERROR(INDEX('Exercise list'!$E$5:$X$102,MATCH($C39,'Exercise list'!$C$5:$C$102,0),MATCH(W$5,'Exercise list'!$E$4:$X$4,0)),0)</f>
        <v>0</v>
      </c>
      <c r="X39">
        <f>IFERROR(INDEX('Exercise list'!$E$5:$X$102,MATCH($C39,'Exercise list'!$C$5:$C$102,0),MATCH(X$5,'Exercise list'!$E$4:$X$4,0)),0)</f>
        <v>0</v>
      </c>
      <c r="Y39">
        <f>IFERROR(INDEX('Exercise list'!$E$5:$X$102,MATCH($C39,'Exercise list'!$C$5:$C$102,0),MATCH(Y$5,'Exercise list'!$E$4:$X$4,0)),0)</f>
        <v>0</v>
      </c>
      <c r="Z39">
        <f>IFERROR(INDEX('Exercise list'!$E$5:$X$102,MATCH($C39,'Exercise list'!$C$5:$C$102,0),MATCH(Z$5,'Exercise list'!$E$4:$X$4,0)),0)</f>
        <v>1</v>
      </c>
      <c r="AA39">
        <f>IFERROR(INDEX('Exercise list'!$E$5:$X$102,MATCH($C39,'Exercise list'!$C$5:$C$102,0),MATCH(AA$5,'Exercise list'!$E$4:$X$4,0)),0)</f>
        <v>0</v>
      </c>
      <c r="AB39">
        <f>IFERROR(INDEX('Exercise list'!$E$5:$X$102,MATCH($C39,'Exercise list'!$C$5:$C$102,0),MATCH(AB$5,'Exercise list'!$E$4:$X$4,0)),0)</f>
        <v>0.5</v>
      </c>
      <c r="AC39">
        <f>IFERROR(INDEX('Exercise list'!$E$5:$X$102,MATCH($C39,'Exercise list'!$C$5:$C$102,0),MATCH(AC$5,'Exercise list'!$E$4:$X$4,0)),0)</f>
        <v>0</v>
      </c>
      <c r="AD39">
        <f>IFERROR(INDEX('Exercise list'!$E$5:$X$102,MATCH($C39,'Exercise list'!$C$5:$C$102,0),MATCH(AD$5,'Exercise list'!$E$4:$X$4,0)),0)</f>
        <v>0.6</v>
      </c>
      <c r="AE39">
        <f>IFERROR(INDEX('Exercise list'!$E$5:$X$102,MATCH($C39,'Exercise list'!$C$5:$C$102,0),MATCH(AE$5,'Exercise list'!$E$4:$X$4,0)),0)</f>
        <v>0.7</v>
      </c>
      <c r="AF39">
        <f>IFERROR(INDEX('Exercise list'!$E$5:$X$102,MATCH($C39,'Exercise list'!$C$5:$C$102,0),MATCH(AF$5,'Exercise list'!$E$4:$X$4,0)),0)</f>
        <v>1</v>
      </c>
      <c r="AG39">
        <f>IFERROR(INDEX('Exercise list'!$E$5:$X$102,MATCH($C39,'Exercise list'!$C$5:$C$102,0),MATCH(AG$5,'Exercise list'!$E$4:$X$4,0)),0)</f>
        <v>0</v>
      </c>
      <c r="AH39">
        <f>IFERROR(INDEX('Exercise list'!$E$5:$X$102,MATCH($C39,'Exercise list'!$C$5:$C$102,0),MATCH(AH$5,'Exercise list'!$E$4:$X$4,0)),0)</f>
        <v>0</v>
      </c>
      <c r="AI39">
        <f>IFERROR(INDEX('Exercise list'!$E$5:$X$102,MATCH($C39,'Exercise list'!$C$5:$C$102,0),MATCH(AI$5,'Exercise list'!$E$4:$X$4,0)),0)</f>
        <v>0</v>
      </c>
      <c r="AK39">
        <f>IF(OR($J39=1,COUNTIFS($A$5:$A38,"&gt;="&amp;$A39-1,$A$5:$A38,"&lt;="&amp;$A39,$B$5:$B38,$B39)&gt;0,MIN(1-'Exercise list'!E$2,IF($A39=$A38,AK38,1))-P39&lt;0),-1,MIN(1,IF($A39=$A38,AK38,1)-P39+$D$2))</f>
        <v>1</v>
      </c>
      <c r="AL39">
        <f>IF(OR($J39=1,COUNTIFS($A$5:$A38,"&gt;="&amp;$A39-1,$A$5:$A38,"&lt;="&amp;$A39,$B$5:$B38,$B39)&gt;0,MIN(1-'Exercise list'!F$2,IF($A39=$A38,AL38,1))-Q39&lt;0),-1,MIN(1,IF($A39=$A38,AL38,1)-Q39+$D$2))</f>
        <v>1</v>
      </c>
      <c r="AM39">
        <f>IF(OR($J39=1,COUNTIFS($A$5:$A38,"&gt;="&amp;$A39-1,$A$5:$A38,"&lt;="&amp;$A39,$B$5:$B38,$B39)&gt;0,MIN(1-'Exercise list'!G$2,IF($A39=$A38,AM38,1))-R39&lt;0),-1,MIN(1,IF($A39=$A38,AM38,1)-R39+$D$2))</f>
        <v>1</v>
      </c>
      <c r="AN39">
        <f>IF(OR($J39=1,COUNTIFS($A$5:$A38,"&gt;="&amp;$A39-1,$A$5:$A38,"&lt;="&amp;$A39,$B$5:$B38,$B39)&gt;0,MIN(1-'Exercise list'!H$2,IF($A39=$A38,AN38,1))-S39&lt;0),-1,MIN(1,IF($A39=$A38,AN38,1)-S39+$D$2))</f>
        <v>1</v>
      </c>
      <c r="AO39">
        <f>IF(OR($J39=1,COUNTIFS($A$5:$A38,"&gt;="&amp;$A39-1,$A$5:$A38,"&lt;="&amp;$A39,$B$5:$B38,$B39)&gt;0,MIN(1-'Exercise list'!I$2,IF($A39=$A38,AO38,1))-T39&lt;0),-1,MIN(1,IF($A39=$A38,AO38,1)-T39+$D$2))</f>
        <v>1</v>
      </c>
      <c r="AP39">
        <f>IF(OR($J39=1,COUNTIFS($A$5:$A38,"&gt;="&amp;$A39-1,$A$5:$A38,"&lt;="&amp;$A39,$B$5:$B38,$B39)&gt;0,MIN(1-'Exercise list'!J$2,IF($A39=$A38,AP38,1))-U39&lt;0),-1,MIN(1,IF($A39=$A38,AP38,1)-U39+$D$2))</f>
        <v>1</v>
      </c>
      <c r="AQ39">
        <f>IF(OR($J39=1,COUNTIFS($A$5:$A38,"&gt;="&amp;$A39-1,$A$5:$A38,"&lt;="&amp;$A39,$B$5:$B38,$B39)&gt;0,MIN(1-'Exercise list'!K$2,IF($A39=$A38,AQ38,1))-V39&lt;0),-1,MIN(1,IF($A39=$A38,AQ38,1)-V39+$D$2))</f>
        <v>1</v>
      </c>
      <c r="AR39">
        <f>IF(OR($J39=1,COUNTIFS($A$5:$A38,"&gt;="&amp;$A39-1,$A$5:$A38,"&lt;="&amp;$A39,$B$5:$B38,$B39)&gt;0,MIN(1-'Exercise list'!L$2,IF($A39=$A38,AR38,1))-W39&lt;0),-1,MIN(1,IF($A39=$A38,AR38,1)-W39+$D$2))</f>
        <v>1</v>
      </c>
      <c r="AS39">
        <f>IF(OR($J39=1,COUNTIFS($A$5:$A38,"&gt;="&amp;$A39-1,$A$5:$A38,"&lt;="&amp;$A39,$B$5:$B38,$B39)&gt;0,MIN(1-'Exercise list'!M$2,IF($A39=$A38,AS38,1))-X39&lt;0),-1,MIN(1,IF($A39=$A38,AS38,1)-X39+$D$2))</f>
        <v>1</v>
      </c>
      <c r="AT39">
        <f>IF(OR($J39=1,COUNTIFS($A$5:$A38,"&gt;="&amp;$A39-1,$A$5:$A38,"&lt;="&amp;$A39,$B$5:$B38,$B39)&gt;0,MIN(1-'Exercise list'!N$2,IF($A39=$A38,AT38,1))-Y39&lt;0),-1,MIN(1,IF($A39=$A38,AT38,1)-Y39+$D$2))</f>
        <v>1</v>
      </c>
      <c r="AU39">
        <f>IF(OR($J39=1,COUNTIFS($A$5:$A38,"&gt;="&amp;$A39-1,$A$5:$A38,"&lt;="&amp;$A39,$B$5:$B38,$B39)&gt;0,MIN(1-'Exercise list'!O$2,IF($A39=$A38,AU38,1))-Z39&lt;0),-1,MIN(1,IF($A39=$A38,AU38,1)-Z39+$D$2))</f>
        <v>1</v>
      </c>
      <c r="AV39">
        <f>IF(OR($J39=1,COUNTIFS($A$5:$A38,"&gt;="&amp;$A39-1,$A$5:$A38,"&lt;="&amp;$A39,$B$5:$B38,$B39)&gt;0,MIN(1-'Exercise list'!P$2,IF($A39=$A38,AV38,1))-AA39&lt;0),-1,MIN(1,IF($A39=$A38,AV38,1)-AA39+$D$2))</f>
        <v>1</v>
      </c>
      <c r="AW39">
        <f>IF(OR($J39=1,COUNTIFS($A$5:$A38,"&gt;="&amp;$A39-1,$A$5:$A38,"&lt;="&amp;$A39,$B$5:$B38,$B39)&gt;0,MIN(1-'Exercise list'!Q$2,IF($A39=$A38,AW38,1))-AB39&lt;0),-1,MIN(1,IF($A39=$A38,AW38,1)-AB39+$D$2))</f>
        <v>1</v>
      </c>
      <c r="AX39">
        <f>IF(OR($J39=1,COUNTIFS($A$5:$A38,"&gt;="&amp;$A39-1,$A$5:$A38,"&lt;="&amp;$A39,$B$5:$B38,$B39)&gt;0,MIN(1-'Exercise list'!R$2,IF($A39=$A38,AX38,1))-AC39&lt;0),-1,MIN(1,IF($A39=$A38,AX38,1)-AC39+$D$2))</f>
        <v>1</v>
      </c>
      <c r="AY39">
        <f>IF(OR($J39=1,COUNTIFS($A$5:$A38,"&gt;="&amp;$A39-1,$A$5:$A38,"&lt;="&amp;$A39,$B$5:$B38,$B39)&gt;0,MIN(1-'Exercise list'!S$2,IF($A39=$A38,AY38,1))-AD39&lt;0),-1,MIN(1,IF($A39=$A38,AY38,1)-AD39+$D$2))</f>
        <v>1</v>
      </c>
      <c r="AZ39">
        <f>IF(OR($J39=1,COUNTIFS($A$5:$A38,"&gt;="&amp;$A39-1,$A$5:$A38,"&lt;="&amp;$A39,$B$5:$B38,$B39)&gt;0,MIN(1-'Exercise list'!T$2,IF($A39=$A38,AZ38,1))-AE39&lt;0),-1,MIN(1,IF($A39=$A38,AZ38,1)-AE39+$D$2))</f>
        <v>1</v>
      </c>
      <c r="BA39">
        <f>IF(OR($J39=1,COUNTIFS($A$5:$A38,"&gt;="&amp;$A39-1,$A$5:$A38,"&lt;="&amp;$A39,$B$5:$B38,$B39)&gt;0,MIN(1-'Exercise list'!U$2,IF($A39=$A38,BA38,1))-AF39&lt;0),-1,MIN(1,IF($A39=$A38,BA38,1)-AF39+$D$2))</f>
        <v>1</v>
      </c>
      <c r="BB39">
        <f>IF(OR($J39=1,COUNTIFS($A$5:$A38,"&gt;="&amp;$A39-1,$A$5:$A38,"&lt;="&amp;$A39,$B$5:$B38,$B39)&gt;0,MIN(1-'Exercise list'!V$2,IF($A39=$A38,BB38,1))-AG39&lt;0),-1,MIN(1,IF($A39=$A38,BB38,1)-AG39+$D$2))</f>
        <v>1</v>
      </c>
      <c r="BC39">
        <f>IF(OR($J39=1,COUNTIFS($A$5:$A38,"&gt;="&amp;$A39-1,$A$5:$A38,"&lt;="&amp;$A39,$B$5:$B38,$B39)&gt;0,MIN(1-'Exercise list'!W$2,IF($A39=$A38,BC38,1))-AH39&lt;0),-1,MIN(1,IF($A39=$A38,BC38,1)-AH39+$D$2))</f>
        <v>1</v>
      </c>
      <c r="BD39">
        <f>IF(OR($J39=1,COUNTIFS($A$5:$A38,"&gt;="&amp;$A39-1,$A$5:$A38,"&lt;="&amp;$A39,$B$5:$B38,$B39)&gt;0,MIN(1-'Exercise list'!X$2,IF($A39=$A38,BD38,1))-AI39&lt;0),-1,MIN(1,IF($A39=$A38,BD38,1)-AI39+$D$2))</f>
        <v>1</v>
      </c>
      <c r="BF39" s="16">
        <f t="shared" si="24"/>
        <v>6.480460999290874E-2</v>
      </c>
      <c r="BG39" s="16">
        <f t="shared" si="25"/>
        <v>0.10366661729247725</v>
      </c>
      <c r="BH39" s="16">
        <f t="shared" si="26"/>
        <v>8.4009071590199921E-2</v>
      </c>
      <c r="BI39" s="16">
        <f t="shared" si="27"/>
        <v>0.10749113118196947</v>
      </c>
      <c r="BJ39" s="16">
        <f t="shared" si="28"/>
        <v>0.40015263051901506</v>
      </c>
      <c r="BK39" s="16">
        <f t="shared" si="29"/>
        <v>7.8008122015201187E-2</v>
      </c>
      <c r="BL39" s="16">
        <f t="shared" si="30"/>
        <v>9.0053724527213788E-2</v>
      </c>
      <c r="BM39" s="16">
        <f t="shared" si="31"/>
        <v>4.5124999999999998E-2</v>
      </c>
      <c r="BN39" s="16">
        <f t="shared" si="32"/>
        <v>7.4234788686477232E-2</v>
      </c>
      <c r="BO39" s="16">
        <f t="shared" si="33"/>
        <v>7.2643623113186478E-2</v>
      </c>
      <c r="BP39" s="16">
        <f t="shared" si="34"/>
        <v>0.3941765311165446</v>
      </c>
      <c r="BQ39" s="16">
        <f t="shared" si="35"/>
        <v>6.3528299606213187E-2</v>
      </c>
      <c r="BR39" s="16">
        <f t="shared" si="36"/>
        <v>0.26638824892399127</v>
      </c>
      <c r="BS39" s="16">
        <f t="shared" si="37"/>
        <v>2.9909570395139091E-2</v>
      </c>
      <c r="BT39" s="16">
        <f t="shared" si="38"/>
        <v>0.33802549609632115</v>
      </c>
      <c r="BU39" s="16">
        <f t="shared" si="39"/>
        <v>0.38405751811110383</v>
      </c>
      <c r="BV39" s="16">
        <f t="shared" si="40"/>
        <v>0.49623989043167882</v>
      </c>
      <c r="BW39" s="16">
        <f t="shared" si="41"/>
        <v>0.10569625518842488</v>
      </c>
      <c r="BX39" s="16">
        <f t="shared" si="42"/>
        <v>0.10478243558376957</v>
      </c>
      <c r="BY39" s="16">
        <f t="shared" si="43"/>
        <v>3.6351617053746538E-2</v>
      </c>
      <c r="CA39" s="16">
        <f t="shared" si="4"/>
        <v>0.18255429233491216</v>
      </c>
      <c r="CB39" s="16">
        <f t="shared" si="5"/>
        <v>0.14369228503534365</v>
      </c>
      <c r="CC39" s="16">
        <f t="shared" si="6"/>
        <v>3.9670379573710529E-2</v>
      </c>
      <c r="CD39" s="16">
        <f t="shared" si="7"/>
        <v>1.618831998194098E-2</v>
      </c>
      <c r="CE39" s="16">
        <f t="shared" si="8"/>
        <v>0</v>
      </c>
      <c r="CF39" s="16">
        <f t="shared" si="9"/>
        <v>0.29303023147653023</v>
      </c>
      <c r="CG39" s="16">
        <f t="shared" si="10"/>
        <v>3.3625726636696662E-2</v>
      </c>
      <c r="CH39" s="16">
        <f t="shared" si="11"/>
        <v>7.8554451163910452E-2</v>
      </c>
      <c r="CI39" s="16">
        <f t="shared" si="12"/>
        <v>0.17312411364134367</v>
      </c>
      <c r="CJ39" s="16">
        <f t="shared" si="13"/>
        <v>5.1035828050723972E-2</v>
      </c>
      <c r="CK39" s="16">
        <f t="shared" si="14"/>
        <v>0</v>
      </c>
      <c r="CL39" s="16">
        <f t="shared" si="15"/>
        <v>6.0151151557697263E-2</v>
      </c>
      <c r="CM39" s="16">
        <f t="shared" si="16"/>
        <v>0</v>
      </c>
      <c r="CN39" s="16">
        <f t="shared" si="17"/>
        <v>9.3769880768771352E-2</v>
      </c>
      <c r="CO39" s="16">
        <f t="shared" si="18"/>
        <v>0</v>
      </c>
      <c r="CP39" s="16">
        <f t="shared" si="19"/>
        <v>0</v>
      </c>
      <c r="CQ39" s="16">
        <f t="shared" si="20"/>
        <v>0</v>
      </c>
      <c r="CR39" s="16">
        <f t="shared" si="21"/>
        <v>1.7983195975485575E-2</v>
      </c>
      <c r="CS39" s="16">
        <f t="shared" si="22"/>
        <v>1.8897015580140883E-2</v>
      </c>
      <c r="CT39" s="16">
        <f t="shared" si="23"/>
        <v>8.7327834110163913E-2</v>
      </c>
    </row>
    <row r="40" spans="1:99" x14ac:dyDescent="0.25">
      <c r="A40" s="13">
        <v>45055</v>
      </c>
      <c r="B40" s="14">
        <v>18</v>
      </c>
      <c r="C40" s="15" t="s">
        <v>125</v>
      </c>
      <c r="D40" s="12">
        <f t="shared" si="45"/>
        <v>1</v>
      </c>
      <c r="E40" s="32">
        <f t="shared" si="1"/>
        <v>1.5481894813501791</v>
      </c>
      <c r="F40" s="63" cm="1">
        <f t="array" ref="F40">IF(B40="","",0.1+IFERROR(INDEX($F$6:$F39,SUMPRODUCT(MAX(ROW($C$6:$C39)*($C40=$C$6:$C39))-ROW($A$5)))*0.9^($A40-INDEX($A$6:A39,SUMPRODUCT(MAX(ROW($C$6:$C39)*($C40=$C$6:$C39))-ROW($A$5)))),0))</f>
        <v>0.1</v>
      </c>
      <c r="G40" s="64">
        <f>INDEX('Exercise list'!$Y$5:$Y$102,MATCH(C40,'Exercise list'!$C$5:$C$102,0))</f>
        <v>2</v>
      </c>
      <c r="H40" s="115">
        <f t="shared" si="46"/>
        <v>9.7581852782018808E-2</v>
      </c>
      <c r="I40" s="6">
        <f t="shared" si="44"/>
        <v>2</v>
      </c>
      <c r="J40" s="6">
        <v>0</v>
      </c>
      <c r="K40" s="12"/>
      <c r="L40" s="74" t="str" cm="1">
        <f t="array" ref="L40">IF(K40="","",INDEX('Exercise list'!$C$5:$C$102,K40))</f>
        <v/>
      </c>
      <c r="M40" s="6"/>
      <c r="N40" s="75" t="str" cm="1">
        <f t="array" ref="N40">IF(M40="","",INDEX('Exercise list'!$C$5:$C$102,M40))</f>
        <v/>
      </c>
      <c r="P40">
        <f>IFERROR(INDEX('Exercise list'!$E$5:$X$102,MATCH($C40,'Exercise list'!$C$5:$C$102,0),MATCH(P$5,'Exercise list'!$E$4:$X$4,0)),0)</f>
        <v>0.8</v>
      </c>
      <c r="Q40">
        <f>IFERROR(INDEX('Exercise list'!$E$5:$X$102,MATCH($C40,'Exercise list'!$C$5:$C$102,0),MATCH(Q$5,'Exercise list'!$E$4:$X$4,0)),0)</f>
        <v>0</v>
      </c>
      <c r="R40">
        <f>IFERROR(INDEX('Exercise list'!$E$5:$X$102,MATCH($C40,'Exercise list'!$C$5:$C$102,0),MATCH(R$5,'Exercise list'!$E$4:$X$4,0)),0)</f>
        <v>0</v>
      </c>
      <c r="S40">
        <f>IFERROR(INDEX('Exercise list'!$E$5:$X$102,MATCH($C40,'Exercise list'!$C$5:$C$102,0),MATCH(S$5,'Exercise list'!$E$4:$X$4,0)),0)</f>
        <v>0</v>
      </c>
      <c r="T40">
        <f>IFERROR(INDEX('Exercise list'!$E$5:$X$102,MATCH($C40,'Exercise list'!$C$5:$C$102,0),MATCH(T$5,'Exercise list'!$E$4:$X$4,0)),0)</f>
        <v>0</v>
      </c>
      <c r="U40">
        <f>IFERROR(INDEX('Exercise list'!$E$5:$X$102,MATCH($C40,'Exercise list'!$C$5:$C$102,0),MATCH(U$5,'Exercise list'!$E$4:$X$4,0)),0)</f>
        <v>0</v>
      </c>
      <c r="V40">
        <f>IFERROR(INDEX('Exercise list'!$E$5:$X$102,MATCH($C40,'Exercise list'!$C$5:$C$102,0),MATCH(V$5,'Exercise list'!$E$4:$X$4,0)),0)</f>
        <v>0.8</v>
      </c>
      <c r="W40">
        <f>IFERROR(INDEX('Exercise list'!$E$5:$X$102,MATCH($C40,'Exercise list'!$C$5:$C$102,0),MATCH(W$5,'Exercise list'!$E$4:$X$4,0)),0)</f>
        <v>0</v>
      </c>
      <c r="X40">
        <f>IFERROR(INDEX('Exercise list'!$E$5:$X$102,MATCH($C40,'Exercise list'!$C$5:$C$102,0),MATCH(X$5,'Exercise list'!$E$4:$X$4,0)),0)</f>
        <v>0</v>
      </c>
      <c r="Y40">
        <f>IFERROR(INDEX('Exercise list'!$E$5:$X$102,MATCH($C40,'Exercise list'!$C$5:$C$102,0),MATCH(Y$5,'Exercise list'!$E$4:$X$4,0)),0)</f>
        <v>0.8</v>
      </c>
      <c r="Z40">
        <f>IFERROR(INDEX('Exercise list'!$E$5:$X$102,MATCH($C40,'Exercise list'!$C$5:$C$102,0),MATCH(Z$5,'Exercise list'!$E$4:$X$4,0)),0)</f>
        <v>0.5</v>
      </c>
      <c r="AA40">
        <f>IFERROR(INDEX('Exercise list'!$E$5:$X$102,MATCH($C40,'Exercise list'!$C$5:$C$102,0),MATCH(AA$5,'Exercise list'!$E$4:$X$4,0)),0)</f>
        <v>0</v>
      </c>
      <c r="AB40">
        <f>IFERROR(INDEX('Exercise list'!$E$5:$X$102,MATCH($C40,'Exercise list'!$C$5:$C$102,0),MATCH(AB$5,'Exercise list'!$E$4:$X$4,0)),0)</f>
        <v>0</v>
      </c>
      <c r="AC40">
        <f>IFERROR(INDEX('Exercise list'!$E$5:$X$102,MATCH($C40,'Exercise list'!$C$5:$C$102,0),MATCH(AC$5,'Exercise list'!$E$4:$X$4,0)),0)</f>
        <v>0</v>
      </c>
      <c r="AD40">
        <f>IFERROR(INDEX('Exercise list'!$E$5:$X$102,MATCH($C40,'Exercise list'!$C$5:$C$102,0),MATCH(AD$5,'Exercise list'!$E$4:$X$4,0)),0)</f>
        <v>0</v>
      </c>
      <c r="AE40">
        <f>IFERROR(INDEX('Exercise list'!$E$5:$X$102,MATCH($C40,'Exercise list'!$C$5:$C$102,0),MATCH(AE$5,'Exercise list'!$E$4:$X$4,0)),0)</f>
        <v>0</v>
      </c>
      <c r="AF40">
        <f>IFERROR(INDEX('Exercise list'!$E$5:$X$102,MATCH($C40,'Exercise list'!$C$5:$C$102,0),MATCH(AF$5,'Exercise list'!$E$4:$X$4,0)),0)</f>
        <v>0</v>
      </c>
      <c r="AG40">
        <f>IFERROR(INDEX('Exercise list'!$E$5:$X$102,MATCH($C40,'Exercise list'!$C$5:$C$102,0),MATCH(AG$5,'Exercise list'!$E$4:$X$4,0)),0)</f>
        <v>0</v>
      </c>
      <c r="AH40">
        <f>IFERROR(INDEX('Exercise list'!$E$5:$X$102,MATCH($C40,'Exercise list'!$C$5:$C$102,0),MATCH(AH$5,'Exercise list'!$E$4:$X$4,0)),0)</f>
        <v>0</v>
      </c>
      <c r="AI40">
        <f>IFERROR(INDEX('Exercise list'!$E$5:$X$102,MATCH($C40,'Exercise list'!$C$5:$C$102,0),MATCH(AI$5,'Exercise list'!$E$4:$X$4,0)),0)</f>
        <v>0</v>
      </c>
      <c r="AK40">
        <f>IF(OR($J40=1,COUNTIFS($A$5:$A39,"&gt;="&amp;$A40-1,$A$5:$A39,"&lt;="&amp;$A40,$B$5:$B39,$B40)&gt;0,MIN(1-'Exercise list'!E$2,IF($A40=$A39,AK39,1))-P40&lt;0),-1,MIN(1,IF($A40=$A39,AK39,1)-P40+$D$2))</f>
        <v>1</v>
      </c>
      <c r="AL40">
        <f>IF(OR($J40=1,COUNTIFS($A$5:$A39,"&gt;="&amp;$A40-1,$A$5:$A39,"&lt;="&amp;$A40,$B$5:$B39,$B40)&gt;0,MIN(1-'Exercise list'!F$2,IF($A40=$A39,AL39,1))-Q40&lt;0),-1,MIN(1,IF($A40=$A39,AL39,1)-Q40+$D$2))</f>
        <v>1</v>
      </c>
      <c r="AM40">
        <f>IF(OR($J40=1,COUNTIFS($A$5:$A39,"&gt;="&amp;$A40-1,$A$5:$A39,"&lt;="&amp;$A40,$B$5:$B39,$B40)&gt;0,MIN(1-'Exercise list'!G$2,IF($A40=$A39,AM39,1))-R40&lt;0),-1,MIN(1,IF($A40=$A39,AM39,1)-R40+$D$2))</f>
        <v>1</v>
      </c>
      <c r="AN40">
        <f>IF(OR($J40=1,COUNTIFS($A$5:$A39,"&gt;="&amp;$A40-1,$A$5:$A39,"&lt;="&amp;$A40,$B$5:$B39,$B40)&gt;0,MIN(1-'Exercise list'!H$2,IF($A40=$A39,AN39,1))-S40&lt;0),-1,MIN(1,IF($A40=$A39,AN39,1)-S40+$D$2))</f>
        <v>1</v>
      </c>
      <c r="AO40">
        <f>IF(OR($J40=1,COUNTIFS($A$5:$A39,"&gt;="&amp;$A40-1,$A$5:$A39,"&lt;="&amp;$A40,$B$5:$B39,$B40)&gt;0,MIN(1-'Exercise list'!I$2,IF($A40=$A39,AO39,1))-T40&lt;0),-1,MIN(1,IF($A40=$A39,AO39,1)-T40+$D$2))</f>
        <v>1</v>
      </c>
      <c r="AP40">
        <f>IF(OR($J40=1,COUNTIFS($A$5:$A39,"&gt;="&amp;$A40-1,$A$5:$A39,"&lt;="&amp;$A40,$B$5:$B39,$B40)&gt;0,MIN(1-'Exercise list'!J$2,IF($A40=$A39,AP39,1))-U40&lt;0),-1,MIN(1,IF($A40=$A39,AP39,1)-U40+$D$2))</f>
        <v>1</v>
      </c>
      <c r="AQ40">
        <f>IF(OR($J40=1,COUNTIFS($A$5:$A39,"&gt;="&amp;$A40-1,$A$5:$A39,"&lt;="&amp;$A40,$B$5:$B39,$B40)&gt;0,MIN(1-'Exercise list'!K$2,IF($A40=$A39,AQ39,1))-V40&lt;0),-1,MIN(1,IF($A40=$A39,AQ39,1)-V40+$D$2))</f>
        <v>1</v>
      </c>
      <c r="AR40">
        <f>IF(OR($J40=1,COUNTIFS($A$5:$A39,"&gt;="&amp;$A40-1,$A$5:$A39,"&lt;="&amp;$A40,$B$5:$B39,$B40)&gt;0,MIN(1-'Exercise list'!L$2,IF($A40=$A39,AR39,1))-W40&lt;0),-1,MIN(1,IF($A40=$A39,AR39,1)-W40+$D$2))</f>
        <v>1</v>
      </c>
      <c r="AS40">
        <f>IF(OR($J40=1,COUNTIFS($A$5:$A39,"&gt;="&amp;$A40-1,$A$5:$A39,"&lt;="&amp;$A40,$B$5:$B39,$B40)&gt;0,MIN(1-'Exercise list'!M$2,IF($A40=$A39,AS39,1))-X40&lt;0),-1,MIN(1,IF($A40=$A39,AS39,1)-X40+$D$2))</f>
        <v>1</v>
      </c>
      <c r="AT40">
        <f>IF(OR($J40=1,COUNTIFS($A$5:$A39,"&gt;="&amp;$A40-1,$A$5:$A39,"&lt;="&amp;$A40,$B$5:$B39,$B40)&gt;0,MIN(1-'Exercise list'!N$2,IF($A40=$A39,AT39,1))-Y40&lt;0),-1,MIN(1,IF($A40=$A39,AT39,1)-Y40+$D$2))</f>
        <v>1</v>
      </c>
      <c r="AU40">
        <f>IF(OR($J40=1,COUNTIFS($A$5:$A39,"&gt;="&amp;$A40-1,$A$5:$A39,"&lt;="&amp;$A40,$B$5:$B39,$B40)&gt;0,MIN(1-'Exercise list'!O$2,IF($A40=$A39,AU39,1))-Z40&lt;0),-1,MIN(1,IF($A40=$A39,AU39,1)-Z40+$D$2))</f>
        <v>1</v>
      </c>
      <c r="AV40">
        <f>IF(OR($J40=1,COUNTIFS($A$5:$A39,"&gt;="&amp;$A40-1,$A$5:$A39,"&lt;="&amp;$A40,$B$5:$B39,$B40)&gt;0,MIN(1-'Exercise list'!P$2,IF($A40=$A39,AV39,1))-AA40&lt;0),-1,MIN(1,IF($A40=$A39,AV39,1)-AA40+$D$2))</f>
        <v>1</v>
      </c>
      <c r="AW40">
        <f>IF(OR($J40=1,COUNTIFS($A$5:$A39,"&gt;="&amp;$A40-1,$A$5:$A39,"&lt;="&amp;$A40,$B$5:$B39,$B40)&gt;0,MIN(1-'Exercise list'!Q$2,IF($A40=$A39,AW39,1))-AB40&lt;0),-1,MIN(1,IF($A40=$A39,AW39,1)-AB40+$D$2))</f>
        <v>1</v>
      </c>
      <c r="AX40">
        <f>IF(OR($J40=1,COUNTIFS($A$5:$A39,"&gt;="&amp;$A40-1,$A$5:$A39,"&lt;="&amp;$A40,$B$5:$B39,$B40)&gt;0,MIN(1-'Exercise list'!R$2,IF($A40=$A39,AX39,1))-AC40&lt;0),-1,MIN(1,IF($A40=$A39,AX39,1)-AC40+$D$2))</f>
        <v>1</v>
      </c>
      <c r="AY40">
        <f>IF(OR($J40=1,COUNTIFS($A$5:$A39,"&gt;="&amp;$A40-1,$A$5:$A39,"&lt;="&amp;$A40,$B$5:$B39,$B40)&gt;0,MIN(1-'Exercise list'!S$2,IF($A40=$A39,AY39,1))-AD40&lt;0),-1,MIN(1,IF($A40=$A39,AY39,1)-AD40+$D$2))</f>
        <v>1</v>
      </c>
      <c r="AZ40">
        <f>IF(OR($J40=1,COUNTIFS($A$5:$A39,"&gt;="&amp;$A40-1,$A$5:$A39,"&lt;="&amp;$A40,$B$5:$B39,$B40)&gt;0,MIN(1-'Exercise list'!T$2,IF($A40=$A39,AZ39,1))-AE40&lt;0),-1,MIN(1,IF($A40=$A39,AZ39,1)-AE40+$D$2))</f>
        <v>1</v>
      </c>
      <c r="BA40">
        <f>IF(OR($J40=1,COUNTIFS($A$5:$A39,"&gt;="&amp;$A40-1,$A$5:$A39,"&lt;="&amp;$A40,$B$5:$B39,$B40)&gt;0,MIN(1-'Exercise list'!U$2,IF($A40=$A39,BA39,1))-AF40&lt;0),-1,MIN(1,IF($A40=$A39,BA39,1)-AF40+$D$2))</f>
        <v>1</v>
      </c>
      <c r="BB40">
        <f>IF(OR($J40=1,COUNTIFS($A$5:$A39,"&gt;="&amp;$A40-1,$A$5:$A39,"&lt;="&amp;$A40,$B$5:$B39,$B40)&gt;0,MIN(1-'Exercise list'!V$2,IF($A40=$A39,BB39,1))-AG40&lt;0),-1,MIN(1,IF($A40=$A39,BB39,1)-AG40+$D$2))</f>
        <v>1</v>
      </c>
      <c r="BC40">
        <f>IF(OR($J40=1,COUNTIFS($A$5:$A39,"&gt;="&amp;$A40-1,$A$5:$A39,"&lt;="&amp;$A40,$B$5:$B39,$B40)&gt;0,MIN(1-'Exercise list'!W$2,IF($A40=$A39,BC39,1))-AH40&lt;0),-1,MIN(1,IF($A40=$A39,BC39,1)-AH40+$D$2))</f>
        <v>1</v>
      </c>
      <c r="BD40">
        <f>IF(OR($J40=1,COUNTIFS($A$5:$A39,"&gt;="&amp;$A40-1,$A$5:$A39,"&lt;="&amp;$A40,$B$5:$B39,$B40)&gt;0,MIN(1-'Exercise list'!X$2,IF($A40=$A39,BD39,1))-AI40&lt;0),-1,MIN(1,IF($A40=$A39,BD39,1)-AI40+$D$2))</f>
        <v>1</v>
      </c>
      <c r="BF40" s="16">
        <f t="shared" si="24"/>
        <v>0.1015643794932633</v>
      </c>
      <c r="BG40" s="16">
        <f t="shared" si="25"/>
        <v>9.8483286427853381E-2</v>
      </c>
      <c r="BH40" s="16">
        <f t="shared" si="26"/>
        <v>7.9808618010689919E-2</v>
      </c>
      <c r="BI40" s="16">
        <f t="shared" si="27"/>
        <v>0.10211657462287099</v>
      </c>
      <c r="BJ40" s="16">
        <f t="shared" si="28"/>
        <v>0.38014499899306431</v>
      </c>
      <c r="BK40" s="16">
        <f t="shared" si="29"/>
        <v>7.4107715914441125E-2</v>
      </c>
      <c r="BL40" s="16">
        <f t="shared" si="30"/>
        <v>0.1255510383008531</v>
      </c>
      <c r="BM40" s="16">
        <f t="shared" si="31"/>
        <v>4.2868749999999997E-2</v>
      </c>
      <c r="BN40" s="16">
        <f t="shared" si="32"/>
        <v>7.0523049252153372E-2</v>
      </c>
      <c r="BO40" s="16">
        <f t="shared" si="33"/>
        <v>0.10901144195752716</v>
      </c>
      <c r="BP40" s="16">
        <f t="shared" si="34"/>
        <v>0.3994677045607174</v>
      </c>
      <c r="BQ40" s="16">
        <f t="shared" si="35"/>
        <v>6.0351884625902526E-2</v>
      </c>
      <c r="BR40" s="16">
        <f t="shared" si="36"/>
        <v>0.25306883647779171</v>
      </c>
      <c r="BS40" s="16">
        <f t="shared" si="37"/>
        <v>2.8414091875382137E-2</v>
      </c>
      <c r="BT40" s="16">
        <f t="shared" si="38"/>
        <v>0.32112422129150509</v>
      </c>
      <c r="BU40" s="16">
        <f t="shared" si="39"/>
        <v>0.36485464220554864</v>
      </c>
      <c r="BV40" s="16">
        <f t="shared" si="40"/>
        <v>0.47142789591009487</v>
      </c>
      <c r="BW40" s="16">
        <f t="shared" si="41"/>
        <v>0.10041144242900363</v>
      </c>
      <c r="BX40" s="16">
        <f t="shared" si="42"/>
        <v>9.9543313804581091E-2</v>
      </c>
      <c r="BY40" s="16">
        <f t="shared" si="43"/>
        <v>3.4534036201059208E-2</v>
      </c>
      <c r="CA40" s="16">
        <f t="shared" si="4"/>
        <v>0.14416731845890732</v>
      </c>
      <c r="CB40" s="16">
        <f t="shared" si="5"/>
        <v>0.14724841152431722</v>
      </c>
      <c r="CC40" s="16">
        <f t="shared" si="6"/>
        <v>4.3057230965395391E-2</v>
      </c>
      <c r="CD40" s="16">
        <f t="shared" si="7"/>
        <v>2.0749274353214317E-2</v>
      </c>
      <c r="CE40" s="16">
        <f t="shared" si="8"/>
        <v>0</v>
      </c>
      <c r="CF40" s="16">
        <f t="shared" si="9"/>
        <v>0.29448983101381476</v>
      </c>
      <c r="CG40" s="16">
        <f t="shared" si="10"/>
        <v>0</v>
      </c>
      <c r="CH40" s="16">
        <f t="shared" si="11"/>
        <v>7.9997098976085312E-2</v>
      </c>
      <c r="CI40" s="16">
        <f t="shared" si="12"/>
        <v>0.17520864870001723</v>
      </c>
      <c r="CJ40" s="16">
        <f t="shared" si="13"/>
        <v>1.3854407018558154E-2</v>
      </c>
      <c r="CK40" s="16">
        <f t="shared" si="14"/>
        <v>0</v>
      </c>
      <c r="CL40" s="16">
        <f t="shared" si="15"/>
        <v>6.2513964350182777E-2</v>
      </c>
      <c r="CM40" s="16">
        <f t="shared" si="16"/>
        <v>0</v>
      </c>
      <c r="CN40" s="16">
        <f t="shared" si="17"/>
        <v>9.4451757100703165E-2</v>
      </c>
      <c r="CO40" s="16">
        <f t="shared" si="18"/>
        <v>0</v>
      </c>
      <c r="CP40" s="16">
        <f t="shared" si="19"/>
        <v>0</v>
      </c>
      <c r="CQ40" s="16">
        <f t="shared" si="20"/>
        <v>0</v>
      </c>
      <c r="CR40" s="16">
        <f t="shared" si="21"/>
        <v>2.2454406547081682E-2</v>
      </c>
      <c r="CS40" s="16">
        <f t="shared" si="22"/>
        <v>2.3322535171504219E-2</v>
      </c>
      <c r="CT40" s="16">
        <f t="shared" si="23"/>
        <v>8.8331812775026108E-2</v>
      </c>
    </row>
    <row r="41" spans="1:99" x14ac:dyDescent="0.25">
      <c r="A41" s="13">
        <v>45055</v>
      </c>
      <c r="B41" s="14">
        <v>28</v>
      </c>
      <c r="C41" s="15" t="s">
        <v>140</v>
      </c>
      <c r="D41" s="12">
        <f t="shared" si="45"/>
        <v>1</v>
      </c>
      <c r="E41" s="32">
        <f t="shared" si="1"/>
        <v>0.58086221511903779</v>
      </c>
      <c r="F41" s="63" cm="1">
        <f t="array" ref="F41">IF(B41="","",0.1+IFERROR(INDEX($F$6:$F40,SUMPRODUCT(MAX(ROW($C$6:$C40)*($C41=$C$6:$C40))-ROW($A$5)))*0.9^($A41-INDEX($A$6:A40,SUMPRODUCT(MAX(ROW($C$6:$C40)*($C41=$C$6:$C40))-ROW($A$5)))),0))</f>
        <v>0.13874204890000003</v>
      </c>
      <c r="G41" s="64">
        <f>INDEX('Exercise list'!$Y$5:$Y$102,MATCH(C41,'Exercise list'!$C$5:$C$102,0))</f>
        <v>1</v>
      </c>
      <c r="H41" s="115">
        <f t="shared" si="46"/>
        <v>9.0949093947421927E-2</v>
      </c>
      <c r="I41" s="6">
        <f t="shared" si="44"/>
        <v>3</v>
      </c>
      <c r="J41" s="6">
        <v>0</v>
      </c>
      <c r="K41" s="12"/>
      <c r="L41" s="74" t="str" cm="1">
        <f t="array" ref="L41">IF(K41="","",INDEX('Exercise list'!$C$5:$C$102,K41))</f>
        <v/>
      </c>
      <c r="M41" s="6"/>
      <c r="N41" s="75" t="str" cm="1">
        <f t="array" ref="N41">IF(M41="","",INDEX('Exercise list'!$C$5:$C$102,M41))</f>
        <v/>
      </c>
      <c r="P41">
        <f>IFERROR(INDEX('Exercise list'!$E$5:$X$102,MATCH($C41,'Exercise list'!$C$5:$C$102,0),MATCH(P$5,'Exercise list'!$E$4:$X$4,0)),0)</f>
        <v>0</v>
      </c>
      <c r="Q41">
        <f>IFERROR(INDEX('Exercise list'!$E$5:$X$102,MATCH($C41,'Exercise list'!$C$5:$C$102,0),MATCH(Q$5,'Exercise list'!$E$4:$X$4,0)),0)</f>
        <v>0</v>
      </c>
      <c r="R41">
        <f>IFERROR(INDEX('Exercise list'!$E$5:$X$102,MATCH($C41,'Exercise list'!$C$5:$C$102,0),MATCH(R$5,'Exercise list'!$E$4:$X$4,0)),0)</f>
        <v>0</v>
      </c>
      <c r="S41">
        <f>IFERROR(INDEX('Exercise list'!$E$5:$X$102,MATCH($C41,'Exercise list'!$C$5:$C$102,0),MATCH(S$5,'Exercise list'!$E$4:$X$4,0)),0)</f>
        <v>0</v>
      </c>
      <c r="T41">
        <f>IFERROR(INDEX('Exercise list'!$E$5:$X$102,MATCH($C41,'Exercise list'!$C$5:$C$102,0),MATCH(T$5,'Exercise list'!$E$4:$X$4,0)),0)</f>
        <v>0</v>
      </c>
      <c r="U41">
        <f>IFERROR(INDEX('Exercise list'!$E$5:$X$102,MATCH($C41,'Exercise list'!$C$5:$C$102,0),MATCH(U$5,'Exercise list'!$E$4:$X$4,0)),0)</f>
        <v>0</v>
      </c>
      <c r="V41">
        <f>IFERROR(INDEX('Exercise list'!$E$5:$X$102,MATCH($C41,'Exercise list'!$C$5:$C$102,0),MATCH(V$5,'Exercise list'!$E$4:$X$4,0)),0)</f>
        <v>0</v>
      </c>
      <c r="W41">
        <f>IFERROR(INDEX('Exercise list'!$E$5:$X$102,MATCH($C41,'Exercise list'!$C$5:$C$102,0),MATCH(W$5,'Exercise list'!$E$4:$X$4,0)),0)</f>
        <v>0</v>
      </c>
      <c r="X41">
        <f>IFERROR(INDEX('Exercise list'!$E$5:$X$102,MATCH($C41,'Exercise list'!$C$5:$C$102,0),MATCH(X$5,'Exercise list'!$E$4:$X$4,0)),0)</f>
        <v>1</v>
      </c>
      <c r="Y41">
        <f>IFERROR(INDEX('Exercise list'!$E$5:$X$102,MATCH($C41,'Exercise list'!$C$5:$C$102,0),MATCH(Y$5,'Exercise list'!$E$4:$X$4,0)),0)</f>
        <v>0</v>
      </c>
      <c r="Z41">
        <f>IFERROR(INDEX('Exercise list'!$E$5:$X$102,MATCH($C41,'Exercise list'!$C$5:$C$102,0),MATCH(Z$5,'Exercise list'!$E$4:$X$4,0)),0)</f>
        <v>0</v>
      </c>
      <c r="AA41">
        <f>IFERROR(INDEX('Exercise list'!$E$5:$X$102,MATCH($C41,'Exercise list'!$C$5:$C$102,0),MATCH(AA$5,'Exercise list'!$E$4:$X$4,0)),0)</f>
        <v>0</v>
      </c>
      <c r="AB41">
        <f>IFERROR(INDEX('Exercise list'!$E$5:$X$102,MATCH($C41,'Exercise list'!$C$5:$C$102,0),MATCH(AB$5,'Exercise list'!$E$4:$X$4,0)),0)</f>
        <v>0</v>
      </c>
      <c r="AC41">
        <f>IFERROR(INDEX('Exercise list'!$E$5:$X$102,MATCH($C41,'Exercise list'!$C$5:$C$102,0),MATCH(AC$5,'Exercise list'!$E$4:$X$4,0)),0)</f>
        <v>0</v>
      </c>
      <c r="AD41">
        <f>IFERROR(INDEX('Exercise list'!$E$5:$X$102,MATCH($C41,'Exercise list'!$C$5:$C$102,0),MATCH(AD$5,'Exercise list'!$E$4:$X$4,0)),0)</f>
        <v>0</v>
      </c>
      <c r="AE41">
        <f>IFERROR(INDEX('Exercise list'!$E$5:$X$102,MATCH($C41,'Exercise list'!$C$5:$C$102,0),MATCH(AE$5,'Exercise list'!$E$4:$X$4,0)),0)</f>
        <v>0</v>
      </c>
      <c r="AF41">
        <f>IFERROR(INDEX('Exercise list'!$E$5:$X$102,MATCH($C41,'Exercise list'!$C$5:$C$102,0),MATCH(AF$5,'Exercise list'!$E$4:$X$4,0)),0)</f>
        <v>0</v>
      </c>
      <c r="AG41">
        <f>IFERROR(INDEX('Exercise list'!$E$5:$X$102,MATCH($C41,'Exercise list'!$C$5:$C$102,0),MATCH(AG$5,'Exercise list'!$E$4:$X$4,0)),0)</f>
        <v>0</v>
      </c>
      <c r="AH41">
        <f>IFERROR(INDEX('Exercise list'!$E$5:$X$102,MATCH($C41,'Exercise list'!$C$5:$C$102,0),MATCH(AH$5,'Exercise list'!$E$4:$X$4,0)),0)</f>
        <v>0</v>
      </c>
      <c r="AI41">
        <f>IFERROR(INDEX('Exercise list'!$E$5:$X$102,MATCH($C41,'Exercise list'!$C$5:$C$102,0),MATCH(AI$5,'Exercise list'!$E$4:$X$4,0)),0)</f>
        <v>0</v>
      </c>
      <c r="AK41">
        <f>IF(OR($J41=1,COUNTIFS($A$5:$A40,"&gt;="&amp;$A41-1,$A$5:$A40,"&lt;="&amp;$A41,$B$5:$B40,$B41)&gt;0,MIN(1-'Exercise list'!E$2,IF($A41=$A40,AK40,1))-P41&lt;0),-1,MIN(1,IF($A41=$A40,AK40,1)-P41+$D$2))</f>
        <v>1</v>
      </c>
      <c r="AL41">
        <f>IF(OR($J41=1,COUNTIFS($A$5:$A40,"&gt;="&amp;$A41-1,$A$5:$A40,"&lt;="&amp;$A41,$B$5:$B40,$B41)&gt;0,MIN(1-'Exercise list'!F$2,IF($A41=$A40,AL40,1))-Q41&lt;0),-1,MIN(1,IF($A41=$A40,AL40,1)-Q41+$D$2))</f>
        <v>1</v>
      </c>
      <c r="AM41">
        <f>IF(OR($J41=1,COUNTIFS($A$5:$A40,"&gt;="&amp;$A41-1,$A$5:$A40,"&lt;="&amp;$A41,$B$5:$B40,$B41)&gt;0,MIN(1-'Exercise list'!G$2,IF($A41=$A40,AM40,1))-R41&lt;0),-1,MIN(1,IF($A41=$A40,AM40,1)-R41+$D$2))</f>
        <v>1</v>
      </c>
      <c r="AN41">
        <f>IF(OR($J41=1,COUNTIFS($A$5:$A40,"&gt;="&amp;$A41-1,$A$5:$A40,"&lt;="&amp;$A41,$B$5:$B40,$B41)&gt;0,MIN(1-'Exercise list'!H$2,IF($A41=$A40,AN40,1))-S41&lt;0),-1,MIN(1,IF($A41=$A40,AN40,1)-S41+$D$2))</f>
        <v>1</v>
      </c>
      <c r="AO41">
        <f>IF(OR($J41=1,COUNTIFS($A$5:$A40,"&gt;="&amp;$A41-1,$A$5:$A40,"&lt;="&amp;$A41,$B$5:$B40,$B41)&gt;0,MIN(1-'Exercise list'!I$2,IF($A41=$A40,AO40,1))-T41&lt;0),-1,MIN(1,IF($A41=$A40,AO40,1)-T41+$D$2))</f>
        <v>1</v>
      </c>
      <c r="AP41">
        <f>IF(OR($J41=1,COUNTIFS($A$5:$A40,"&gt;="&amp;$A41-1,$A$5:$A40,"&lt;="&amp;$A41,$B$5:$B40,$B41)&gt;0,MIN(1-'Exercise list'!J$2,IF($A41=$A40,AP40,1))-U41&lt;0),-1,MIN(1,IF($A41=$A40,AP40,1)-U41+$D$2))</f>
        <v>1</v>
      </c>
      <c r="AQ41">
        <f>IF(OR($J41=1,COUNTIFS($A$5:$A40,"&gt;="&amp;$A41-1,$A$5:$A40,"&lt;="&amp;$A41,$B$5:$B40,$B41)&gt;0,MIN(1-'Exercise list'!K$2,IF($A41=$A40,AQ40,1))-V41&lt;0),-1,MIN(1,IF($A41=$A40,AQ40,1)-V41+$D$2))</f>
        <v>1</v>
      </c>
      <c r="AR41">
        <f>IF(OR($J41=1,COUNTIFS($A$5:$A40,"&gt;="&amp;$A41-1,$A$5:$A40,"&lt;="&amp;$A41,$B$5:$B40,$B41)&gt;0,MIN(1-'Exercise list'!L$2,IF($A41=$A40,AR40,1))-W41&lt;0),-1,MIN(1,IF($A41=$A40,AR40,1)-W41+$D$2))</f>
        <v>1</v>
      </c>
      <c r="AS41">
        <f>IF(OR($J41=1,COUNTIFS($A$5:$A40,"&gt;="&amp;$A41-1,$A$5:$A40,"&lt;="&amp;$A41,$B$5:$B40,$B41)&gt;0,MIN(1-'Exercise list'!M$2,IF($A41=$A40,AS40,1))-X41&lt;0),-1,MIN(1,IF($A41=$A40,AS40,1)-X41+$D$2))</f>
        <v>1</v>
      </c>
      <c r="AT41">
        <f>IF(OR($J41=1,COUNTIFS($A$5:$A40,"&gt;="&amp;$A41-1,$A$5:$A40,"&lt;="&amp;$A41,$B$5:$B40,$B41)&gt;0,MIN(1-'Exercise list'!N$2,IF($A41=$A40,AT40,1))-Y41&lt;0),-1,MIN(1,IF($A41=$A40,AT40,1)-Y41+$D$2))</f>
        <v>1</v>
      </c>
      <c r="AU41">
        <f>IF(OR($J41=1,COUNTIFS($A$5:$A40,"&gt;="&amp;$A41-1,$A$5:$A40,"&lt;="&amp;$A41,$B$5:$B40,$B41)&gt;0,MIN(1-'Exercise list'!O$2,IF($A41=$A40,AU40,1))-Z41&lt;0),-1,MIN(1,IF($A41=$A40,AU40,1)-Z41+$D$2))</f>
        <v>1</v>
      </c>
      <c r="AV41">
        <f>IF(OR($J41=1,COUNTIFS($A$5:$A40,"&gt;="&amp;$A41-1,$A$5:$A40,"&lt;="&amp;$A41,$B$5:$B40,$B41)&gt;0,MIN(1-'Exercise list'!P$2,IF($A41=$A40,AV40,1))-AA41&lt;0),-1,MIN(1,IF($A41=$A40,AV40,1)-AA41+$D$2))</f>
        <v>1</v>
      </c>
      <c r="AW41">
        <f>IF(OR($J41=1,COUNTIFS($A$5:$A40,"&gt;="&amp;$A41-1,$A$5:$A40,"&lt;="&amp;$A41,$B$5:$B40,$B41)&gt;0,MIN(1-'Exercise list'!Q$2,IF($A41=$A40,AW40,1))-AB41&lt;0),-1,MIN(1,IF($A41=$A40,AW40,1)-AB41+$D$2))</f>
        <v>1</v>
      </c>
      <c r="AX41">
        <f>IF(OR($J41=1,COUNTIFS($A$5:$A40,"&gt;="&amp;$A41-1,$A$5:$A40,"&lt;="&amp;$A41,$B$5:$B40,$B41)&gt;0,MIN(1-'Exercise list'!R$2,IF($A41=$A40,AX40,1))-AC41&lt;0),-1,MIN(1,IF($A41=$A40,AX40,1)-AC41+$D$2))</f>
        <v>1</v>
      </c>
      <c r="AY41">
        <f>IF(OR($J41=1,COUNTIFS($A$5:$A40,"&gt;="&amp;$A41-1,$A$5:$A40,"&lt;="&amp;$A41,$B$5:$B40,$B41)&gt;0,MIN(1-'Exercise list'!S$2,IF($A41=$A40,AY40,1))-AD41&lt;0),-1,MIN(1,IF($A41=$A40,AY40,1)-AD41+$D$2))</f>
        <v>1</v>
      </c>
      <c r="AZ41">
        <f>IF(OR($J41=1,COUNTIFS($A$5:$A40,"&gt;="&amp;$A41-1,$A$5:$A40,"&lt;="&amp;$A41,$B$5:$B40,$B41)&gt;0,MIN(1-'Exercise list'!T$2,IF($A41=$A40,AZ40,1))-AE41&lt;0),-1,MIN(1,IF($A41=$A40,AZ40,1)-AE41+$D$2))</f>
        <v>1</v>
      </c>
      <c r="BA41">
        <f>IF(OR($J41=1,COUNTIFS($A$5:$A40,"&gt;="&amp;$A41-1,$A$5:$A40,"&lt;="&amp;$A41,$B$5:$B40,$B41)&gt;0,MIN(1-'Exercise list'!U$2,IF($A41=$A40,BA40,1))-AF41&lt;0),-1,MIN(1,IF($A41=$A40,BA40,1)-AF41+$D$2))</f>
        <v>1</v>
      </c>
      <c r="BB41">
        <f>IF(OR($J41=1,COUNTIFS($A$5:$A40,"&gt;="&amp;$A41-1,$A$5:$A40,"&lt;="&amp;$A41,$B$5:$B40,$B41)&gt;0,MIN(1-'Exercise list'!V$2,IF($A41=$A40,BB40,1))-AG41&lt;0),-1,MIN(1,IF($A41=$A40,BB40,1)-AG41+$D$2))</f>
        <v>1</v>
      </c>
      <c r="BC41">
        <f>IF(OR($J41=1,COUNTIFS($A$5:$A40,"&gt;="&amp;$A41-1,$A$5:$A40,"&lt;="&amp;$A41,$B$5:$B40,$B41)&gt;0,MIN(1-'Exercise list'!W$2,IF($A41=$A40,BC40,1))-AH41&lt;0),-1,MIN(1,IF($A41=$A40,BC40,1)-AH41+$D$2))</f>
        <v>1</v>
      </c>
      <c r="BD41">
        <f>IF(OR($J41=1,COUNTIFS($A$5:$A40,"&gt;="&amp;$A41-1,$A$5:$A40,"&lt;="&amp;$A41,$B$5:$B40,$B41)&gt;0,MIN(1-'Exercise list'!X$2,IF($A41=$A40,BD40,1))-AI41&lt;0),-1,MIN(1,IF($A41=$A40,BD40,1)-AI41+$D$2))</f>
        <v>1</v>
      </c>
      <c r="BF41" s="16">
        <f t="shared" si="24"/>
        <v>9.6486160518600136E-2</v>
      </c>
      <c r="BG41" s="16">
        <f t="shared" si="25"/>
        <v>9.355912210646071E-2</v>
      </c>
      <c r="BH41" s="16">
        <f t="shared" si="26"/>
        <v>7.5818187110155422E-2</v>
      </c>
      <c r="BI41" s="16">
        <f t="shared" si="27"/>
        <v>9.7010745891727437E-2</v>
      </c>
      <c r="BJ41" s="16">
        <f t="shared" si="28"/>
        <v>0.36113774904341106</v>
      </c>
      <c r="BK41" s="16">
        <f t="shared" si="29"/>
        <v>7.0402330118719061E-2</v>
      </c>
      <c r="BL41" s="16">
        <f t="shared" si="30"/>
        <v>0.11927348638581044</v>
      </c>
      <c r="BM41" s="16">
        <f t="shared" si="31"/>
        <v>4.0725312499999992E-2</v>
      </c>
      <c r="BN41" s="16">
        <f t="shared" si="32"/>
        <v>0.11699689678954571</v>
      </c>
      <c r="BO41" s="16">
        <f t="shared" si="33"/>
        <v>0.10356086985965079</v>
      </c>
      <c r="BP41" s="16">
        <f t="shared" si="34"/>
        <v>0.37949431933268152</v>
      </c>
      <c r="BQ41" s="16">
        <f t="shared" si="35"/>
        <v>5.7334290394607398E-2</v>
      </c>
      <c r="BR41" s="16">
        <f t="shared" si="36"/>
        <v>0.2404153946539021</v>
      </c>
      <c r="BS41" s="16">
        <f t="shared" si="37"/>
        <v>2.6993387281613029E-2</v>
      </c>
      <c r="BT41" s="16">
        <f t="shared" si="38"/>
        <v>0.30506801022692981</v>
      </c>
      <c r="BU41" s="16">
        <f t="shared" si="39"/>
        <v>0.3466119100952712</v>
      </c>
      <c r="BV41" s="16">
        <f t="shared" si="40"/>
        <v>0.44785650111459013</v>
      </c>
      <c r="BW41" s="16">
        <f t="shared" si="41"/>
        <v>9.5390870307553444E-2</v>
      </c>
      <c r="BX41" s="16">
        <f t="shared" si="42"/>
        <v>9.456614811435203E-2</v>
      </c>
      <c r="BY41" s="16">
        <f t="shared" si="43"/>
        <v>3.2807334391006249E-2</v>
      </c>
      <c r="CA41" s="16">
        <f t="shared" si="4"/>
        <v>0.14066265623966567</v>
      </c>
      <c r="CB41" s="16">
        <f t="shared" si="5"/>
        <v>0.1435896946518051</v>
      </c>
      <c r="CC41" s="16">
        <f t="shared" si="6"/>
        <v>4.2756221268977476E-2</v>
      </c>
      <c r="CD41" s="16">
        <f t="shared" si="7"/>
        <v>2.1563662487405461E-2</v>
      </c>
      <c r="CE41" s="16">
        <f t="shared" si="8"/>
        <v>0</v>
      </c>
      <c r="CF41" s="16">
        <f t="shared" si="9"/>
        <v>0.28532089501867963</v>
      </c>
      <c r="CG41" s="16">
        <f t="shared" si="10"/>
        <v>0</v>
      </c>
      <c r="CH41" s="16">
        <f t="shared" si="11"/>
        <v>7.7849095879132912E-2</v>
      </c>
      <c r="CI41" s="16">
        <f t="shared" si="12"/>
        <v>0.12015191996872009</v>
      </c>
      <c r="CJ41" s="16">
        <f t="shared" si="13"/>
        <v>1.5013538519482103E-2</v>
      </c>
      <c r="CK41" s="16">
        <f t="shared" si="14"/>
        <v>0</v>
      </c>
      <c r="CL41" s="16">
        <f t="shared" si="15"/>
        <v>6.1240117984525499E-2</v>
      </c>
      <c r="CM41" s="16">
        <f t="shared" si="16"/>
        <v>0</v>
      </c>
      <c r="CN41" s="16">
        <f t="shared" si="17"/>
        <v>9.1581021097519866E-2</v>
      </c>
      <c r="CO41" s="16">
        <f t="shared" si="18"/>
        <v>0</v>
      </c>
      <c r="CP41" s="16">
        <f t="shared" si="19"/>
        <v>0</v>
      </c>
      <c r="CQ41" s="16">
        <f t="shared" si="20"/>
        <v>0</v>
      </c>
      <c r="CR41" s="16">
        <f t="shared" si="21"/>
        <v>2.3183538071579454E-2</v>
      </c>
      <c r="CS41" s="16">
        <f t="shared" si="22"/>
        <v>2.4008260264780867E-2</v>
      </c>
      <c r="CT41" s="16">
        <f t="shared" si="23"/>
        <v>8.5767073988126649E-2</v>
      </c>
    </row>
    <row r="42" spans="1:99" x14ac:dyDescent="0.25">
      <c r="A42" s="13">
        <v>45055</v>
      </c>
      <c r="B42" s="14">
        <v>26</v>
      </c>
      <c r="C42" s="15" t="s">
        <v>135</v>
      </c>
      <c r="D42" s="12">
        <f t="shared" si="45"/>
        <v>1</v>
      </c>
      <c r="E42" s="32">
        <f t="shared" si="1"/>
        <v>0.76668227997904925</v>
      </c>
      <c r="F42" s="63" cm="1">
        <f t="array" ref="F42">IF(B42="","",0.1+IFERROR(INDEX($F$6:$F41,SUMPRODUCT(MAX(ROW($C$6:$C41)*($C42=$C$6:$C41))-ROW($A$5)))*0.9^($A42-INDEX($A$6:A41,SUMPRODUCT(MAX(ROW($C$6:$C41)*($C42=$C$6:$C41))-ROW($A$5)))),0))</f>
        <v>0.1</v>
      </c>
      <c r="G42" s="64">
        <f>INDEX('Exercise list'!$Y$5:$Y$102,MATCH(C42,'Exercise list'!$C$5:$C$102,0))</f>
        <v>1</v>
      </c>
      <c r="H42" s="115">
        <f t="shared" si="46"/>
        <v>8.9103240505570558E-2</v>
      </c>
      <c r="I42" s="6">
        <f t="shared" si="44"/>
        <v>4</v>
      </c>
      <c r="J42" s="6">
        <v>0</v>
      </c>
      <c r="K42" s="12"/>
      <c r="L42" s="74" t="str" cm="1">
        <f t="array" ref="L42">IF(K42="","",INDEX('Exercise list'!$C$5:$C$102,K42))</f>
        <v/>
      </c>
      <c r="M42" s="6"/>
      <c r="N42" s="75" t="str" cm="1">
        <f t="array" ref="N42">IF(M42="","",INDEX('Exercise list'!$C$5:$C$102,M42))</f>
        <v/>
      </c>
      <c r="P42">
        <f>IFERROR(INDEX('Exercise list'!$E$5:$X$102,MATCH($C42,'Exercise list'!$C$5:$C$102,0),MATCH(P$5,'Exercise list'!$E$4:$X$4,0)),0)</f>
        <v>0</v>
      </c>
      <c r="Q42">
        <f>IFERROR(INDEX('Exercise list'!$E$5:$X$102,MATCH($C42,'Exercise list'!$C$5:$C$102,0),MATCH(Q$5,'Exercise list'!$E$4:$X$4,0)),0)</f>
        <v>0</v>
      </c>
      <c r="R42">
        <f>IFERROR(INDEX('Exercise list'!$E$5:$X$102,MATCH($C42,'Exercise list'!$C$5:$C$102,0),MATCH(R$5,'Exercise list'!$E$4:$X$4,0)),0)</f>
        <v>1</v>
      </c>
      <c r="S42">
        <f>IFERROR(INDEX('Exercise list'!$E$5:$X$102,MATCH($C42,'Exercise list'!$C$5:$C$102,0),MATCH(S$5,'Exercise list'!$E$4:$X$4,0)),0)</f>
        <v>0</v>
      </c>
      <c r="T42">
        <f>IFERROR(INDEX('Exercise list'!$E$5:$X$102,MATCH($C42,'Exercise list'!$C$5:$C$102,0),MATCH(T$5,'Exercise list'!$E$4:$X$4,0)),0)</f>
        <v>0</v>
      </c>
      <c r="U42">
        <f>IFERROR(INDEX('Exercise list'!$E$5:$X$102,MATCH($C42,'Exercise list'!$C$5:$C$102,0),MATCH(U$5,'Exercise list'!$E$4:$X$4,0)),0)</f>
        <v>0</v>
      </c>
      <c r="V42">
        <f>IFERROR(INDEX('Exercise list'!$E$5:$X$102,MATCH($C42,'Exercise list'!$C$5:$C$102,0),MATCH(V$5,'Exercise list'!$E$4:$X$4,0)),0)</f>
        <v>0</v>
      </c>
      <c r="W42">
        <f>IFERROR(INDEX('Exercise list'!$E$5:$X$102,MATCH($C42,'Exercise list'!$C$5:$C$102,0),MATCH(W$5,'Exercise list'!$E$4:$X$4,0)),0)</f>
        <v>0</v>
      </c>
      <c r="X42">
        <f>IFERROR(INDEX('Exercise list'!$E$5:$X$102,MATCH($C42,'Exercise list'!$C$5:$C$102,0),MATCH(X$5,'Exercise list'!$E$4:$X$4,0)),0)</f>
        <v>0</v>
      </c>
      <c r="Y42">
        <f>IFERROR(INDEX('Exercise list'!$E$5:$X$102,MATCH($C42,'Exercise list'!$C$5:$C$102,0),MATCH(Y$5,'Exercise list'!$E$4:$X$4,0)),0)</f>
        <v>0</v>
      </c>
      <c r="Z42">
        <f>IFERROR(INDEX('Exercise list'!$E$5:$X$102,MATCH($C42,'Exercise list'!$C$5:$C$102,0),MATCH(Z$5,'Exercise list'!$E$4:$X$4,0)),0)</f>
        <v>0.5</v>
      </c>
      <c r="AA42">
        <f>IFERROR(INDEX('Exercise list'!$E$5:$X$102,MATCH($C42,'Exercise list'!$C$5:$C$102,0),MATCH(AA$5,'Exercise list'!$E$4:$X$4,0)),0)</f>
        <v>0</v>
      </c>
      <c r="AB42">
        <f>IFERROR(INDEX('Exercise list'!$E$5:$X$102,MATCH($C42,'Exercise list'!$C$5:$C$102,0),MATCH(AB$5,'Exercise list'!$E$4:$X$4,0)),0)</f>
        <v>0</v>
      </c>
      <c r="AC42">
        <f>IFERROR(INDEX('Exercise list'!$E$5:$X$102,MATCH($C42,'Exercise list'!$C$5:$C$102,0),MATCH(AC$5,'Exercise list'!$E$4:$X$4,0)),0)</f>
        <v>0</v>
      </c>
      <c r="AD42">
        <f>IFERROR(INDEX('Exercise list'!$E$5:$X$102,MATCH($C42,'Exercise list'!$C$5:$C$102,0),MATCH(AD$5,'Exercise list'!$E$4:$X$4,0)),0)</f>
        <v>0</v>
      </c>
      <c r="AE42">
        <f>IFERROR(INDEX('Exercise list'!$E$5:$X$102,MATCH($C42,'Exercise list'!$C$5:$C$102,0),MATCH(AE$5,'Exercise list'!$E$4:$X$4,0)),0)</f>
        <v>0</v>
      </c>
      <c r="AF42">
        <f>IFERROR(INDEX('Exercise list'!$E$5:$X$102,MATCH($C42,'Exercise list'!$C$5:$C$102,0),MATCH(AF$5,'Exercise list'!$E$4:$X$4,0)),0)</f>
        <v>0</v>
      </c>
      <c r="AG42">
        <f>IFERROR(INDEX('Exercise list'!$E$5:$X$102,MATCH($C42,'Exercise list'!$C$5:$C$102,0),MATCH(AG$5,'Exercise list'!$E$4:$X$4,0)),0)</f>
        <v>0</v>
      </c>
      <c r="AH42">
        <f>IFERROR(INDEX('Exercise list'!$E$5:$X$102,MATCH($C42,'Exercise list'!$C$5:$C$102,0),MATCH(AH$5,'Exercise list'!$E$4:$X$4,0)),0)</f>
        <v>0</v>
      </c>
      <c r="AI42">
        <f>IFERROR(INDEX('Exercise list'!$E$5:$X$102,MATCH($C42,'Exercise list'!$C$5:$C$102,0),MATCH(AI$5,'Exercise list'!$E$4:$X$4,0)),0)</f>
        <v>0</v>
      </c>
      <c r="AK42">
        <f>IF(OR($J42=1,COUNTIFS($A$5:$A41,"&gt;="&amp;$A42-1,$A$5:$A41,"&lt;="&amp;$A42,$B$5:$B41,$B42)&gt;0,MIN(1-'Exercise list'!E$2,IF($A42=$A41,AK41,1))-P42&lt;0),-1,MIN(1,IF($A42=$A41,AK41,1)-P42+$D$2))</f>
        <v>1</v>
      </c>
      <c r="AL42">
        <f>IF(OR($J42=1,COUNTIFS($A$5:$A41,"&gt;="&amp;$A42-1,$A$5:$A41,"&lt;="&amp;$A42,$B$5:$B41,$B42)&gt;0,MIN(1-'Exercise list'!F$2,IF($A42=$A41,AL41,1))-Q42&lt;0),-1,MIN(1,IF($A42=$A41,AL41,1)-Q42+$D$2))</f>
        <v>1</v>
      </c>
      <c r="AM42">
        <f>IF(OR($J42=1,COUNTIFS($A$5:$A41,"&gt;="&amp;$A42-1,$A$5:$A41,"&lt;="&amp;$A42,$B$5:$B41,$B42)&gt;0,MIN(1-'Exercise list'!G$2,IF($A42=$A41,AM41,1))-R42&lt;0),-1,MIN(1,IF($A42=$A41,AM41,1)-R42+$D$2))</f>
        <v>1</v>
      </c>
      <c r="AN42">
        <f>IF(OR($J42=1,COUNTIFS($A$5:$A41,"&gt;="&amp;$A42-1,$A$5:$A41,"&lt;="&amp;$A42,$B$5:$B41,$B42)&gt;0,MIN(1-'Exercise list'!H$2,IF($A42=$A41,AN41,1))-S42&lt;0),-1,MIN(1,IF($A42=$A41,AN41,1)-S42+$D$2))</f>
        <v>1</v>
      </c>
      <c r="AO42">
        <f>IF(OR($J42=1,COUNTIFS($A$5:$A41,"&gt;="&amp;$A42-1,$A$5:$A41,"&lt;="&amp;$A42,$B$5:$B41,$B42)&gt;0,MIN(1-'Exercise list'!I$2,IF($A42=$A41,AO41,1))-T42&lt;0),-1,MIN(1,IF($A42=$A41,AO41,1)-T42+$D$2))</f>
        <v>1</v>
      </c>
      <c r="AP42">
        <f>IF(OR($J42=1,COUNTIFS($A$5:$A41,"&gt;="&amp;$A42-1,$A$5:$A41,"&lt;="&amp;$A42,$B$5:$B41,$B42)&gt;0,MIN(1-'Exercise list'!J$2,IF($A42=$A41,AP41,1))-U42&lt;0),-1,MIN(1,IF($A42=$A41,AP41,1)-U42+$D$2))</f>
        <v>1</v>
      </c>
      <c r="AQ42">
        <f>IF(OR($J42=1,COUNTIFS($A$5:$A41,"&gt;="&amp;$A42-1,$A$5:$A41,"&lt;="&amp;$A42,$B$5:$B41,$B42)&gt;0,MIN(1-'Exercise list'!K$2,IF($A42=$A41,AQ41,1))-V42&lt;0),-1,MIN(1,IF($A42=$A41,AQ41,1)-V42+$D$2))</f>
        <v>1</v>
      </c>
      <c r="AR42">
        <f>IF(OR($J42=1,COUNTIFS($A$5:$A41,"&gt;="&amp;$A42-1,$A$5:$A41,"&lt;="&amp;$A42,$B$5:$B41,$B42)&gt;0,MIN(1-'Exercise list'!L$2,IF($A42=$A41,AR41,1))-W42&lt;0),-1,MIN(1,IF($A42=$A41,AR41,1)-W42+$D$2))</f>
        <v>1</v>
      </c>
      <c r="AS42">
        <f>IF(OR($J42=1,COUNTIFS($A$5:$A41,"&gt;="&amp;$A42-1,$A$5:$A41,"&lt;="&amp;$A42,$B$5:$B41,$B42)&gt;0,MIN(1-'Exercise list'!M$2,IF($A42=$A41,AS41,1))-X42&lt;0),-1,MIN(1,IF($A42=$A41,AS41,1)-X42+$D$2))</f>
        <v>1</v>
      </c>
      <c r="AT42">
        <f>IF(OR($J42=1,COUNTIFS($A$5:$A41,"&gt;="&amp;$A42-1,$A$5:$A41,"&lt;="&amp;$A42,$B$5:$B41,$B42)&gt;0,MIN(1-'Exercise list'!N$2,IF($A42=$A41,AT41,1))-Y42&lt;0),-1,MIN(1,IF($A42=$A41,AT41,1)-Y42+$D$2))</f>
        <v>1</v>
      </c>
      <c r="AU42">
        <f>IF(OR($J42=1,COUNTIFS($A$5:$A41,"&gt;="&amp;$A42-1,$A$5:$A41,"&lt;="&amp;$A42,$B$5:$B41,$B42)&gt;0,MIN(1-'Exercise list'!O$2,IF($A42=$A41,AU41,1))-Z42&lt;0),-1,MIN(1,IF($A42=$A41,AU41,1)-Z42+$D$2))</f>
        <v>1</v>
      </c>
      <c r="AV42">
        <f>IF(OR($J42=1,COUNTIFS($A$5:$A41,"&gt;="&amp;$A42-1,$A$5:$A41,"&lt;="&amp;$A42,$B$5:$B41,$B42)&gt;0,MIN(1-'Exercise list'!P$2,IF($A42=$A41,AV41,1))-AA42&lt;0),-1,MIN(1,IF($A42=$A41,AV41,1)-AA42+$D$2))</f>
        <v>1</v>
      </c>
      <c r="AW42">
        <f>IF(OR($J42=1,COUNTIFS($A$5:$A41,"&gt;="&amp;$A42-1,$A$5:$A41,"&lt;="&amp;$A42,$B$5:$B41,$B42)&gt;0,MIN(1-'Exercise list'!Q$2,IF($A42=$A41,AW41,1))-AB42&lt;0),-1,MIN(1,IF($A42=$A41,AW41,1)-AB42+$D$2))</f>
        <v>1</v>
      </c>
      <c r="AX42">
        <f>IF(OR($J42=1,COUNTIFS($A$5:$A41,"&gt;="&amp;$A42-1,$A$5:$A41,"&lt;="&amp;$A42,$B$5:$B41,$B42)&gt;0,MIN(1-'Exercise list'!R$2,IF($A42=$A41,AX41,1))-AC42&lt;0),-1,MIN(1,IF($A42=$A41,AX41,1)-AC42+$D$2))</f>
        <v>1</v>
      </c>
      <c r="AY42">
        <f>IF(OR($J42=1,COUNTIFS($A$5:$A41,"&gt;="&amp;$A42-1,$A$5:$A41,"&lt;="&amp;$A42,$B$5:$B41,$B42)&gt;0,MIN(1-'Exercise list'!S$2,IF($A42=$A41,AY41,1))-AD42&lt;0),-1,MIN(1,IF($A42=$A41,AY41,1)-AD42+$D$2))</f>
        <v>1</v>
      </c>
      <c r="AZ42">
        <f>IF(OR($J42=1,COUNTIFS($A$5:$A41,"&gt;="&amp;$A42-1,$A$5:$A41,"&lt;="&amp;$A42,$B$5:$B41,$B42)&gt;0,MIN(1-'Exercise list'!T$2,IF($A42=$A41,AZ41,1))-AE42&lt;0),-1,MIN(1,IF($A42=$A41,AZ41,1)-AE42+$D$2))</f>
        <v>1</v>
      </c>
      <c r="BA42">
        <f>IF(OR($J42=1,COUNTIFS($A$5:$A41,"&gt;="&amp;$A42-1,$A$5:$A41,"&lt;="&amp;$A42,$B$5:$B41,$B42)&gt;0,MIN(1-'Exercise list'!U$2,IF($A42=$A41,BA41,1))-AF42&lt;0),-1,MIN(1,IF($A42=$A41,BA41,1)-AF42+$D$2))</f>
        <v>1</v>
      </c>
      <c r="BB42">
        <f>IF(OR($J42=1,COUNTIFS($A$5:$A41,"&gt;="&amp;$A42-1,$A$5:$A41,"&lt;="&amp;$A42,$B$5:$B41,$B42)&gt;0,MIN(1-'Exercise list'!V$2,IF($A42=$A41,BB41,1))-AG42&lt;0),-1,MIN(1,IF($A42=$A41,BB41,1)-AG42+$D$2))</f>
        <v>1</v>
      </c>
      <c r="BC42">
        <f>IF(OR($J42=1,COUNTIFS($A$5:$A41,"&gt;="&amp;$A42-1,$A$5:$A41,"&lt;="&amp;$A42,$B$5:$B41,$B42)&gt;0,MIN(1-'Exercise list'!W$2,IF($A42=$A41,BC41,1))-AH42&lt;0),-1,MIN(1,IF($A42=$A41,BC41,1)-AH42+$D$2))</f>
        <v>1</v>
      </c>
      <c r="BD42">
        <f>IF(OR($J42=1,COUNTIFS($A$5:$A41,"&gt;="&amp;$A42-1,$A$5:$A41,"&lt;="&amp;$A42,$B$5:$B41,$B42)&gt;0,MIN(1-'Exercise list'!X$2,IF($A42=$A41,BD41,1))-AI42&lt;0),-1,MIN(1,IF($A42=$A41,BD41,1)-AI42+$D$2))</f>
        <v>1</v>
      </c>
      <c r="BF42" s="16">
        <f t="shared" si="24"/>
        <v>9.1661852492670129E-2</v>
      </c>
      <c r="BG42" s="16">
        <f t="shared" si="25"/>
        <v>8.8881166001137671E-2</v>
      </c>
      <c r="BH42" s="16">
        <f t="shared" si="26"/>
        <v>0.12202727775464765</v>
      </c>
      <c r="BI42" s="16">
        <f t="shared" si="27"/>
        <v>9.2160208597141066E-2</v>
      </c>
      <c r="BJ42" s="16">
        <f t="shared" si="28"/>
        <v>0.34308086159124052</v>
      </c>
      <c r="BK42" s="16">
        <f t="shared" si="29"/>
        <v>6.6882213612783112E-2</v>
      </c>
      <c r="BL42" s="16">
        <f t="shared" si="30"/>
        <v>0.11330981206651991</v>
      </c>
      <c r="BM42" s="16">
        <f t="shared" si="31"/>
        <v>3.8689046874999994E-2</v>
      </c>
      <c r="BN42" s="16">
        <f t="shared" si="32"/>
        <v>0.11114705195006842</v>
      </c>
      <c r="BO42" s="16">
        <f t="shared" si="33"/>
        <v>9.8382826366668244E-2</v>
      </c>
      <c r="BP42" s="16">
        <f t="shared" si="34"/>
        <v>0.38551960336604746</v>
      </c>
      <c r="BQ42" s="16">
        <f t="shared" si="35"/>
        <v>5.4467575874877029E-2</v>
      </c>
      <c r="BR42" s="16">
        <f t="shared" si="36"/>
        <v>0.22839462492120699</v>
      </c>
      <c r="BS42" s="16">
        <f t="shared" si="37"/>
        <v>2.5643717917532376E-2</v>
      </c>
      <c r="BT42" s="16">
        <f t="shared" si="38"/>
        <v>0.28981460971558332</v>
      </c>
      <c r="BU42" s="16">
        <f t="shared" si="39"/>
        <v>0.32928131459050763</v>
      </c>
      <c r="BV42" s="16">
        <f t="shared" si="40"/>
        <v>0.4254636760588606</v>
      </c>
      <c r="BW42" s="16">
        <f t="shared" si="41"/>
        <v>9.0621326792175771E-2</v>
      </c>
      <c r="BX42" s="16">
        <f t="shared" si="42"/>
        <v>8.9837840708634431E-2</v>
      </c>
      <c r="BY42" s="16">
        <f t="shared" si="43"/>
        <v>3.1166967671455936E-2</v>
      </c>
      <c r="CA42" s="16">
        <f t="shared" si="4"/>
        <v>0.1391850789832379</v>
      </c>
      <c r="CB42" s="16">
        <f t="shared" si="5"/>
        <v>0.14196576547477036</v>
      </c>
      <c r="CC42" s="16">
        <f t="shared" si="6"/>
        <v>0</v>
      </c>
      <c r="CD42" s="16">
        <f t="shared" si="7"/>
        <v>2.3263257140812954E-2</v>
      </c>
      <c r="CE42" s="16">
        <f t="shared" si="8"/>
        <v>0</v>
      </c>
      <c r="CF42" s="16">
        <f t="shared" si="9"/>
        <v>0.27938818360107898</v>
      </c>
      <c r="CG42" s="16">
        <f t="shared" si="10"/>
        <v>2.1136536714341098E-3</v>
      </c>
      <c r="CH42" s="16">
        <f t="shared" si="11"/>
        <v>7.6734418862954026E-2</v>
      </c>
      <c r="CI42" s="16">
        <f t="shared" si="12"/>
        <v>0.11969987952583962</v>
      </c>
      <c r="CJ42" s="16">
        <f t="shared" si="13"/>
        <v>1.7040639371285776E-2</v>
      </c>
      <c r="CK42" s="16">
        <f t="shared" si="14"/>
        <v>0</v>
      </c>
      <c r="CL42" s="16">
        <f t="shared" si="15"/>
        <v>6.0955889863076991E-2</v>
      </c>
      <c r="CM42" s="16">
        <f t="shared" si="16"/>
        <v>2.4523065547010503E-3</v>
      </c>
      <c r="CN42" s="16">
        <f t="shared" si="17"/>
        <v>8.977974782042164E-2</v>
      </c>
      <c r="CO42" s="16">
        <f t="shared" si="18"/>
        <v>0</v>
      </c>
      <c r="CP42" s="16">
        <f t="shared" si="19"/>
        <v>0</v>
      </c>
      <c r="CQ42" s="16">
        <f t="shared" si="20"/>
        <v>0</v>
      </c>
      <c r="CR42" s="16">
        <f t="shared" si="21"/>
        <v>2.4802138945778249E-2</v>
      </c>
      <c r="CS42" s="16">
        <f t="shared" si="22"/>
        <v>2.5585625029319589E-2</v>
      </c>
      <c r="CT42" s="16">
        <f t="shared" si="23"/>
        <v>8.4256498066498084E-2</v>
      </c>
    </row>
    <row r="43" spans="1:99" x14ac:dyDescent="0.25">
      <c r="A43" s="20">
        <v>45055</v>
      </c>
      <c r="B43" s="21">
        <v>4</v>
      </c>
      <c r="C43" s="22" t="s">
        <v>29</v>
      </c>
      <c r="D43" s="17">
        <f t="shared" si="45"/>
        <v>1</v>
      </c>
      <c r="E43" s="33">
        <f t="shared" si="1"/>
        <v>1.2449537777807427</v>
      </c>
      <c r="F43" s="65" cm="1">
        <f t="array" ref="F43">IF(B43="","",0.1+IFERROR(INDEX($F$6:$F42,SUMPRODUCT(MAX(ROW($C$6:$C42)*($C43=$C$6:$C42))-ROW($A$5)))*0.9^($A43-INDEX($A$6:A42,SUMPRODUCT(MAX(ROW($C$6:$C42)*($C43=$C$6:$C42))-ROW($A$5)))),0))</f>
        <v>0.18100000000000002</v>
      </c>
      <c r="G43" s="25">
        <f>INDEX('Exercise list'!$Y$5:$Y$102,MATCH(C43,'Exercise list'!$C$5:$C$102,0))</f>
        <v>3</v>
      </c>
      <c r="H43" s="116">
        <f t="shared" si="46"/>
        <v>8.9103240505570558E-2</v>
      </c>
      <c r="I43" s="18">
        <f t="shared" ref="I43:I65" si="47">IF(A43&gt;A42,1,IF(A43&gt;A41,2,IF(A43&gt;A40,3,IF(A43&gt;A39,4,5))))</f>
        <v>5</v>
      </c>
      <c r="J43" s="18">
        <v>0</v>
      </c>
      <c r="K43" s="17"/>
      <c r="L43" s="51" t="str" cm="1">
        <f t="array" ref="L43">IF(K43="","",INDEX('Exercise list'!$C$5:$C$102,K43))</f>
        <v/>
      </c>
      <c r="M43" s="18"/>
      <c r="N43" s="76" t="str" cm="1">
        <f t="array" ref="N43">IF(M43="","",INDEX('Exercise list'!$C$5:$C$102,M43))</f>
        <v/>
      </c>
      <c r="O43" s="19"/>
      <c r="P43" s="19">
        <f>IFERROR(INDEX('Exercise list'!$E$5:$X$102,MATCH($C43,'Exercise list'!$C$5:$C$102,0),MATCH(P$5,'Exercise list'!$E$4:$X$4,0)),0)</f>
        <v>0</v>
      </c>
      <c r="Q43" s="19">
        <f>IFERROR(INDEX('Exercise list'!$E$5:$X$102,MATCH($C43,'Exercise list'!$C$5:$C$102,0),MATCH(Q$5,'Exercise list'!$E$4:$X$4,0)),0)</f>
        <v>0</v>
      </c>
      <c r="R43" s="19">
        <f>IFERROR(INDEX('Exercise list'!$E$5:$X$102,MATCH($C43,'Exercise list'!$C$5:$C$102,0),MATCH(R$5,'Exercise list'!$E$4:$X$4,0)),0)</f>
        <v>0</v>
      </c>
      <c r="S43" s="19">
        <f>IFERROR(INDEX('Exercise list'!$E$5:$X$102,MATCH($C43,'Exercise list'!$C$5:$C$102,0),MATCH(S$5,'Exercise list'!$E$4:$X$4,0)),0)</f>
        <v>0</v>
      </c>
      <c r="T43" s="19">
        <f>IFERROR(INDEX('Exercise list'!$E$5:$X$102,MATCH($C43,'Exercise list'!$C$5:$C$102,0),MATCH(T$5,'Exercise list'!$E$4:$X$4,0)),0)</f>
        <v>0</v>
      </c>
      <c r="U43" s="19">
        <f>IFERROR(INDEX('Exercise list'!$E$5:$X$102,MATCH($C43,'Exercise list'!$C$5:$C$102,0),MATCH(U$5,'Exercise list'!$E$4:$X$4,0)),0)</f>
        <v>0</v>
      </c>
      <c r="V43" s="19">
        <f>IFERROR(INDEX('Exercise list'!$E$5:$X$102,MATCH($C43,'Exercise list'!$C$5:$C$102,0),MATCH(V$5,'Exercise list'!$E$4:$X$4,0)),0)</f>
        <v>0</v>
      </c>
      <c r="W43" s="19">
        <f>IFERROR(INDEX('Exercise list'!$E$5:$X$102,MATCH($C43,'Exercise list'!$C$5:$C$102,0),MATCH(W$5,'Exercise list'!$E$4:$X$4,0)),0)</f>
        <v>0</v>
      </c>
      <c r="X43" s="19">
        <f>IFERROR(INDEX('Exercise list'!$E$5:$X$102,MATCH($C43,'Exercise list'!$C$5:$C$102,0),MATCH(X$5,'Exercise list'!$E$4:$X$4,0)),0)</f>
        <v>0</v>
      </c>
      <c r="Y43" s="19">
        <f>IFERROR(INDEX('Exercise list'!$E$5:$X$102,MATCH($C43,'Exercise list'!$C$5:$C$102,0),MATCH(Y$5,'Exercise list'!$E$4:$X$4,0)),0)</f>
        <v>0</v>
      </c>
      <c r="Z43" s="19">
        <f>IFERROR(INDEX('Exercise list'!$E$5:$X$102,MATCH($C43,'Exercise list'!$C$5:$C$102,0),MATCH(Z$5,'Exercise list'!$E$4:$X$4,0)),0)</f>
        <v>0</v>
      </c>
      <c r="AA43" s="19">
        <f>IFERROR(INDEX('Exercise list'!$E$5:$X$102,MATCH($C43,'Exercise list'!$C$5:$C$102,0),MATCH(AA$5,'Exercise list'!$E$4:$X$4,0)),0)</f>
        <v>0</v>
      </c>
      <c r="AB43" s="19">
        <f>IFERROR(INDEX('Exercise list'!$E$5:$X$102,MATCH($C43,'Exercise list'!$C$5:$C$102,0),MATCH(AB$5,'Exercise list'!$E$4:$X$4,0)),0)</f>
        <v>0</v>
      </c>
      <c r="AC43" s="19">
        <f>IFERROR(INDEX('Exercise list'!$E$5:$X$102,MATCH($C43,'Exercise list'!$C$5:$C$102,0),MATCH(AC$5,'Exercise list'!$E$4:$X$4,0)),0)</f>
        <v>0</v>
      </c>
      <c r="AD43" s="19">
        <f>IFERROR(INDEX('Exercise list'!$E$5:$X$102,MATCH($C43,'Exercise list'!$C$5:$C$102,0),MATCH(AD$5,'Exercise list'!$E$4:$X$4,0)),0)</f>
        <v>1</v>
      </c>
      <c r="AE43" s="19">
        <f>IFERROR(INDEX('Exercise list'!$E$5:$X$102,MATCH($C43,'Exercise list'!$C$5:$C$102,0),MATCH(AE$5,'Exercise list'!$E$4:$X$4,0)),0)</f>
        <v>0.8</v>
      </c>
      <c r="AF43" s="19">
        <f>IFERROR(INDEX('Exercise list'!$E$5:$X$102,MATCH($C43,'Exercise list'!$C$5:$C$102,0),MATCH(AF$5,'Exercise list'!$E$4:$X$4,0)),0)</f>
        <v>0.7</v>
      </c>
      <c r="AG43" s="19">
        <f>IFERROR(INDEX('Exercise list'!$E$5:$X$102,MATCH($C43,'Exercise list'!$C$5:$C$102,0),MATCH(AG$5,'Exercise list'!$E$4:$X$4,0)),0)</f>
        <v>1</v>
      </c>
      <c r="AH43" s="19">
        <f>IFERROR(INDEX('Exercise list'!$E$5:$X$102,MATCH($C43,'Exercise list'!$C$5:$C$102,0),MATCH(AH$5,'Exercise list'!$E$4:$X$4,0)),0)</f>
        <v>0</v>
      </c>
      <c r="AI43" s="19">
        <f>IFERROR(INDEX('Exercise list'!$E$5:$X$102,MATCH($C43,'Exercise list'!$C$5:$C$102,0),MATCH(AI$5,'Exercise list'!$E$4:$X$4,0)),0)</f>
        <v>0</v>
      </c>
      <c r="AJ43" s="19"/>
      <c r="AK43" s="19">
        <f>IF(OR($J43=1,COUNTIFS($A$5:$A42,"&gt;="&amp;$A43-1,$A$5:$A42,"&lt;="&amp;$A43,$B$5:$B42,$B43)&gt;0,MIN(1-'Exercise list'!E$2,IF($A43=$A42,AK42,1))-P43&lt;0),-1,MIN(1,IF($A43=$A42,AK42,1)-P43+$D$2))</f>
        <v>1</v>
      </c>
      <c r="AL43" s="19">
        <f>IF(OR($J43=1,COUNTIFS($A$5:$A42,"&gt;="&amp;$A43-1,$A$5:$A42,"&lt;="&amp;$A43,$B$5:$B42,$B43)&gt;0,MIN(1-'Exercise list'!F$2,IF($A43=$A42,AL42,1))-Q43&lt;0),-1,MIN(1,IF($A43=$A42,AL42,1)-Q43+$D$2))</f>
        <v>1</v>
      </c>
      <c r="AM43" s="19">
        <f>IF(OR($J43=1,COUNTIFS($A$5:$A42,"&gt;="&amp;$A43-1,$A$5:$A42,"&lt;="&amp;$A43,$B$5:$B42,$B43)&gt;0,MIN(1-'Exercise list'!G$2,IF($A43=$A42,AM42,1))-R43&lt;0),-1,MIN(1,IF($A43=$A42,AM42,1)-R43+$D$2))</f>
        <v>1</v>
      </c>
      <c r="AN43" s="19">
        <f>IF(OR($J43=1,COUNTIFS($A$5:$A42,"&gt;="&amp;$A43-1,$A$5:$A42,"&lt;="&amp;$A43,$B$5:$B42,$B43)&gt;0,MIN(1-'Exercise list'!H$2,IF($A43=$A42,AN42,1))-S43&lt;0),-1,MIN(1,IF($A43=$A42,AN42,1)-S43+$D$2))</f>
        <v>1</v>
      </c>
      <c r="AO43" s="19">
        <f>IF(OR($J43=1,COUNTIFS($A$5:$A42,"&gt;="&amp;$A43-1,$A$5:$A42,"&lt;="&amp;$A43,$B$5:$B42,$B43)&gt;0,MIN(1-'Exercise list'!I$2,IF($A43=$A42,AO42,1))-T43&lt;0),-1,MIN(1,IF($A43=$A42,AO42,1)-T43+$D$2))</f>
        <v>1</v>
      </c>
      <c r="AP43" s="19">
        <f>IF(OR($J43=1,COUNTIFS($A$5:$A42,"&gt;="&amp;$A43-1,$A$5:$A42,"&lt;="&amp;$A43,$B$5:$B42,$B43)&gt;0,MIN(1-'Exercise list'!J$2,IF($A43=$A42,AP42,1))-U43&lt;0),-1,MIN(1,IF($A43=$A42,AP42,1)-U43+$D$2))</f>
        <v>1</v>
      </c>
      <c r="AQ43" s="19">
        <f>IF(OR($J43=1,COUNTIFS($A$5:$A42,"&gt;="&amp;$A43-1,$A$5:$A42,"&lt;="&amp;$A43,$B$5:$B42,$B43)&gt;0,MIN(1-'Exercise list'!K$2,IF($A43=$A42,AQ42,1))-V43&lt;0),-1,MIN(1,IF($A43=$A42,AQ42,1)-V43+$D$2))</f>
        <v>1</v>
      </c>
      <c r="AR43" s="19">
        <f>IF(OR($J43=1,COUNTIFS($A$5:$A42,"&gt;="&amp;$A43-1,$A$5:$A42,"&lt;="&amp;$A43,$B$5:$B42,$B43)&gt;0,MIN(1-'Exercise list'!L$2,IF($A43=$A42,AR42,1))-W43&lt;0),-1,MIN(1,IF($A43=$A42,AR42,1)-W43+$D$2))</f>
        <v>1</v>
      </c>
      <c r="AS43" s="19">
        <f>IF(OR($J43=1,COUNTIFS($A$5:$A42,"&gt;="&amp;$A43-1,$A$5:$A42,"&lt;="&amp;$A43,$B$5:$B42,$B43)&gt;0,MIN(1-'Exercise list'!M$2,IF($A43=$A42,AS42,1))-X43&lt;0),-1,MIN(1,IF($A43=$A42,AS42,1)-X43+$D$2))</f>
        <v>1</v>
      </c>
      <c r="AT43" s="19">
        <f>IF(OR($J43=1,COUNTIFS($A$5:$A42,"&gt;="&amp;$A43-1,$A$5:$A42,"&lt;="&amp;$A43,$B$5:$B42,$B43)&gt;0,MIN(1-'Exercise list'!N$2,IF($A43=$A42,AT42,1))-Y43&lt;0),-1,MIN(1,IF($A43=$A42,AT42,1)-Y43+$D$2))</f>
        <v>1</v>
      </c>
      <c r="AU43" s="19">
        <f>IF(OR($J43=1,COUNTIFS($A$5:$A42,"&gt;="&amp;$A43-1,$A$5:$A42,"&lt;="&amp;$A43,$B$5:$B42,$B43)&gt;0,MIN(1-'Exercise list'!O$2,IF($A43=$A42,AU42,1))-Z43&lt;0),-1,MIN(1,IF($A43=$A42,AU42,1)-Z43+$D$2))</f>
        <v>1</v>
      </c>
      <c r="AV43" s="19">
        <f>IF(OR($J43=1,COUNTIFS($A$5:$A42,"&gt;="&amp;$A43-1,$A$5:$A42,"&lt;="&amp;$A43,$B$5:$B42,$B43)&gt;0,MIN(1-'Exercise list'!P$2,IF($A43=$A42,AV42,1))-AA43&lt;0),-1,MIN(1,IF($A43=$A42,AV42,1)-AA43+$D$2))</f>
        <v>1</v>
      </c>
      <c r="AW43" s="19">
        <f>IF(OR($J43=1,COUNTIFS($A$5:$A42,"&gt;="&amp;$A43-1,$A$5:$A42,"&lt;="&amp;$A43,$B$5:$B42,$B43)&gt;0,MIN(1-'Exercise list'!Q$2,IF($A43=$A42,AW42,1))-AB43&lt;0),-1,MIN(1,IF($A43=$A42,AW42,1)-AB43+$D$2))</f>
        <v>1</v>
      </c>
      <c r="AX43" s="19">
        <f>IF(OR($J43=1,COUNTIFS($A$5:$A42,"&gt;="&amp;$A43-1,$A$5:$A42,"&lt;="&amp;$A43,$B$5:$B42,$B43)&gt;0,MIN(1-'Exercise list'!R$2,IF($A43=$A42,AX42,1))-AC43&lt;0),-1,MIN(1,IF($A43=$A42,AX42,1)-AC43+$D$2))</f>
        <v>1</v>
      </c>
      <c r="AY43" s="19">
        <f>IF(OR($J43=1,COUNTIFS($A$5:$A42,"&gt;="&amp;$A43-1,$A$5:$A42,"&lt;="&amp;$A43,$B$5:$B42,$B43)&gt;0,MIN(1-'Exercise list'!S$2,IF($A43=$A42,AY42,1))-AD43&lt;0),-1,MIN(1,IF($A43=$A42,AY42,1)-AD43+$D$2))</f>
        <v>1</v>
      </c>
      <c r="AZ43" s="19">
        <f>IF(OR($J43=1,COUNTIFS($A$5:$A42,"&gt;="&amp;$A43-1,$A$5:$A42,"&lt;="&amp;$A43,$B$5:$B42,$B43)&gt;0,MIN(1-'Exercise list'!T$2,IF($A43=$A42,AZ42,1))-AE43&lt;0),-1,MIN(1,IF($A43=$A42,AZ42,1)-AE43+$D$2))</f>
        <v>1</v>
      </c>
      <c r="BA43" s="19">
        <f>IF(OR($J43=1,COUNTIFS($A$5:$A42,"&gt;="&amp;$A43-1,$A$5:$A42,"&lt;="&amp;$A43,$B$5:$B42,$B43)&gt;0,MIN(1-'Exercise list'!U$2,IF($A43=$A42,BA42,1))-AF43&lt;0),-1,MIN(1,IF($A43=$A42,BA42,1)-AF43+$D$2))</f>
        <v>1</v>
      </c>
      <c r="BB43" s="19">
        <f>IF(OR($J43=1,COUNTIFS($A$5:$A42,"&gt;="&amp;$A43-1,$A$5:$A42,"&lt;="&amp;$A43,$B$5:$B42,$B43)&gt;0,MIN(1-'Exercise list'!V$2,IF($A43=$A42,BB42,1))-AG43&lt;0),-1,MIN(1,IF($A43=$A42,BB42,1)-AG43+$D$2))</f>
        <v>1</v>
      </c>
      <c r="BC43" s="19">
        <f>IF(OR($J43=1,COUNTIFS($A$5:$A42,"&gt;="&amp;$A43-1,$A$5:$A42,"&lt;="&amp;$A43,$B$5:$B42,$B43)&gt;0,MIN(1-'Exercise list'!W$2,IF($A43=$A42,BC42,1))-AH43&lt;0),-1,MIN(1,IF($A43=$A42,BC42,1)-AH43+$D$2))</f>
        <v>1</v>
      </c>
      <c r="BD43" s="19">
        <f>IF(OR($J43=1,COUNTIFS($A$5:$A42,"&gt;="&amp;$A43-1,$A$5:$A42,"&lt;="&amp;$A43,$B$5:$B42,$B43)&gt;0,MIN(1-'Exercise list'!X$2,IF($A43=$A42,BD42,1))-AI43&lt;0),-1,MIN(1,IF($A43=$A42,BD42,1)-AI43+$D$2))</f>
        <v>1</v>
      </c>
      <c r="BE43" s="19"/>
      <c r="BF43" s="23">
        <f t="shared" si="24"/>
        <v>9.1661852492670129E-2</v>
      </c>
      <c r="BG43" s="23">
        <f t="shared" si="25"/>
        <v>8.8881166001137671E-2</v>
      </c>
      <c r="BH43" s="23">
        <f t="shared" si="26"/>
        <v>0.12202727775464765</v>
      </c>
      <c r="BI43" s="23">
        <f t="shared" si="27"/>
        <v>9.2160208597141066E-2</v>
      </c>
      <c r="BJ43" s="23">
        <f t="shared" si="28"/>
        <v>0.34308086159124052</v>
      </c>
      <c r="BK43" s="23">
        <f t="shared" si="29"/>
        <v>6.6882213612783112E-2</v>
      </c>
      <c r="BL43" s="23">
        <f t="shared" si="30"/>
        <v>0.11330981206651991</v>
      </c>
      <c r="BM43" s="23">
        <f t="shared" si="31"/>
        <v>3.8689046874999994E-2</v>
      </c>
      <c r="BN43" s="23">
        <f t="shared" si="32"/>
        <v>0.11114705195006842</v>
      </c>
      <c r="BO43" s="23">
        <f t="shared" si="33"/>
        <v>9.8382826366668244E-2</v>
      </c>
      <c r="BP43" s="23">
        <f t="shared" si="34"/>
        <v>0.38551960336604746</v>
      </c>
      <c r="BQ43" s="23">
        <f t="shared" si="35"/>
        <v>5.4467575874877029E-2</v>
      </c>
      <c r="BR43" s="23">
        <f t="shared" si="36"/>
        <v>0.22839462492120699</v>
      </c>
      <c r="BS43" s="23">
        <f t="shared" si="37"/>
        <v>2.5643717917532376E-2</v>
      </c>
      <c r="BT43" s="23">
        <f t="shared" si="38"/>
        <v>0.28981460971558332</v>
      </c>
      <c r="BU43" s="23">
        <f t="shared" si="39"/>
        <v>0.32928131459050763</v>
      </c>
      <c r="BV43" s="23">
        <f t="shared" si="40"/>
        <v>0.4254636760588606</v>
      </c>
      <c r="BW43" s="23">
        <f t="shared" si="41"/>
        <v>9.0621326792175771E-2</v>
      </c>
      <c r="BX43" s="23">
        <f t="shared" si="42"/>
        <v>8.9837840708634431E-2</v>
      </c>
      <c r="BY43" s="23">
        <f t="shared" si="43"/>
        <v>3.1166967671455936E-2</v>
      </c>
      <c r="BZ43" s="19"/>
      <c r="CA43" s="23">
        <f t="shared" si="4"/>
        <v>0.1391850789832379</v>
      </c>
      <c r="CB43" s="23">
        <f t="shared" si="5"/>
        <v>0.14196576547477036</v>
      </c>
      <c r="CC43" s="23">
        <f t="shared" si="6"/>
        <v>0</v>
      </c>
      <c r="CD43" s="23">
        <f t="shared" si="7"/>
        <v>2.3263257140812954E-2</v>
      </c>
      <c r="CE43" s="23">
        <f t="shared" si="8"/>
        <v>0</v>
      </c>
      <c r="CF43" s="23">
        <f t="shared" si="9"/>
        <v>0.27938818360107898</v>
      </c>
      <c r="CG43" s="23">
        <f t="shared" si="10"/>
        <v>2.1136536714341098E-3</v>
      </c>
      <c r="CH43" s="23">
        <f t="shared" si="11"/>
        <v>7.6734418862954026E-2</v>
      </c>
      <c r="CI43" s="23">
        <f t="shared" si="12"/>
        <v>0.11969987952583962</v>
      </c>
      <c r="CJ43" s="23">
        <f t="shared" si="13"/>
        <v>1.7040639371285776E-2</v>
      </c>
      <c r="CK43" s="23">
        <f t="shared" si="14"/>
        <v>0</v>
      </c>
      <c r="CL43" s="23">
        <f t="shared" si="15"/>
        <v>6.0955889863076991E-2</v>
      </c>
      <c r="CM43" s="23">
        <f t="shared" si="16"/>
        <v>2.4523065547010503E-3</v>
      </c>
      <c r="CN43" s="23">
        <f t="shared" si="17"/>
        <v>8.977974782042164E-2</v>
      </c>
      <c r="CO43" s="23">
        <f t="shared" si="18"/>
        <v>0</v>
      </c>
      <c r="CP43" s="23">
        <f t="shared" si="19"/>
        <v>0</v>
      </c>
      <c r="CQ43" s="23">
        <f t="shared" si="20"/>
        <v>0</v>
      </c>
      <c r="CR43" s="23">
        <f t="shared" si="21"/>
        <v>2.4802138945778249E-2</v>
      </c>
      <c r="CS43" s="23">
        <f t="shared" si="22"/>
        <v>2.5585625029319589E-2</v>
      </c>
      <c r="CT43" s="23">
        <f t="shared" si="23"/>
        <v>8.4256498066498084E-2</v>
      </c>
      <c r="CU43" s="19"/>
    </row>
    <row r="44" spans="1:99" x14ac:dyDescent="0.25">
      <c r="A44" s="13">
        <v>45057</v>
      </c>
      <c r="B44" s="14">
        <v>8</v>
      </c>
      <c r="C44" s="15" t="s">
        <v>116</v>
      </c>
      <c r="D44" s="12">
        <f t="shared" si="45"/>
        <v>1</v>
      </c>
      <c r="E44" s="32">
        <f t="shared" si="1"/>
        <v>0.99595724175876965</v>
      </c>
      <c r="F44" s="63" cm="1">
        <f t="array" ref="F44">IF(B44="","",0.1+IFERROR(INDEX($F$6:$F43,SUMPRODUCT(MAX(ROW($C$6:$C43)*($C44=$C$6:$C43))-ROW($A$5)))*0.9^($A44-INDEX($A$6:A43,SUMPRODUCT(MAX(ROW($C$6:$C43)*($C44=$C$6:$C43))-ROW($A$5)))),0))</f>
        <v>0.21238105960900003</v>
      </c>
      <c r="G44" s="64">
        <f>INDEX('Exercise list'!$Y$5:$Y$102,MATCH(C44,'Exercise list'!$C$5:$C$102,0))</f>
        <v>3</v>
      </c>
      <c r="H44" s="115">
        <f t="shared" si="46"/>
        <v>9.4922424845458223E-2</v>
      </c>
      <c r="I44" s="42">
        <f t="shared" si="47"/>
        <v>1</v>
      </c>
      <c r="J44" s="6">
        <v>0</v>
      </c>
      <c r="K44" s="12"/>
      <c r="L44" s="74" t="str" cm="1">
        <f t="array" ref="L44">IF(K44="","",INDEX('Exercise list'!$C$5:$C$102,K44))</f>
        <v/>
      </c>
      <c r="M44" s="6"/>
      <c r="N44" s="75" t="str" cm="1">
        <f t="array" ref="N44">IF(M44="","",INDEX('Exercise list'!$C$5:$C$102,M44))</f>
        <v/>
      </c>
      <c r="P44">
        <f>IFERROR(INDEX('Exercise list'!$E$5:$X$102,MATCH($C44,'Exercise list'!$C$5:$C$102,0),MATCH(P$5,'Exercise list'!$E$4:$X$4,0)),0)</f>
        <v>0</v>
      </c>
      <c r="Q44">
        <f>IFERROR(INDEX('Exercise list'!$E$5:$X$102,MATCH($C44,'Exercise list'!$C$5:$C$102,0),MATCH(Q$5,'Exercise list'!$E$4:$X$4,0)),0)</f>
        <v>0</v>
      </c>
      <c r="R44">
        <f>IFERROR(INDEX('Exercise list'!$E$5:$X$102,MATCH($C44,'Exercise list'!$C$5:$C$102,0),MATCH(R$5,'Exercise list'!$E$4:$X$4,0)),0)</f>
        <v>0</v>
      </c>
      <c r="S44">
        <f>IFERROR(INDEX('Exercise list'!$E$5:$X$102,MATCH($C44,'Exercise list'!$C$5:$C$102,0),MATCH(S$5,'Exercise list'!$E$4:$X$4,0)),0)</f>
        <v>0</v>
      </c>
      <c r="T44">
        <f>IFERROR(INDEX('Exercise list'!$E$5:$X$102,MATCH($C44,'Exercise list'!$C$5:$C$102,0),MATCH(T$5,'Exercise list'!$E$4:$X$4,0)),0)</f>
        <v>1</v>
      </c>
      <c r="U44">
        <f>IFERROR(INDEX('Exercise list'!$E$5:$X$102,MATCH($C44,'Exercise list'!$C$5:$C$102,0),MATCH(U$5,'Exercise list'!$E$4:$X$4,0)),0)</f>
        <v>0</v>
      </c>
      <c r="V44">
        <f>IFERROR(INDEX('Exercise list'!$E$5:$X$102,MATCH($C44,'Exercise list'!$C$5:$C$102,0),MATCH(V$5,'Exercise list'!$E$4:$X$4,0)),0)</f>
        <v>0</v>
      </c>
      <c r="W44">
        <f>IFERROR(INDEX('Exercise list'!$E$5:$X$102,MATCH($C44,'Exercise list'!$C$5:$C$102,0),MATCH(W$5,'Exercise list'!$E$4:$X$4,0)),0)</f>
        <v>0</v>
      </c>
      <c r="X44">
        <f>IFERROR(INDEX('Exercise list'!$E$5:$X$102,MATCH($C44,'Exercise list'!$C$5:$C$102,0),MATCH(X$5,'Exercise list'!$E$4:$X$4,0)),0)</f>
        <v>0</v>
      </c>
      <c r="Y44">
        <f>IFERROR(INDEX('Exercise list'!$E$5:$X$102,MATCH($C44,'Exercise list'!$C$5:$C$102,0),MATCH(Y$5,'Exercise list'!$E$4:$X$4,0)),0)</f>
        <v>0</v>
      </c>
      <c r="Z44">
        <f>IFERROR(INDEX('Exercise list'!$E$5:$X$102,MATCH($C44,'Exercise list'!$C$5:$C$102,0),MATCH(Z$5,'Exercise list'!$E$4:$X$4,0)),0)</f>
        <v>1</v>
      </c>
      <c r="AA44">
        <f>IFERROR(INDEX('Exercise list'!$E$5:$X$102,MATCH($C44,'Exercise list'!$C$5:$C$102,0),MATCH(AA$5,'Exercise list'!$E$4:$X$4,0)),0)</f>
        <v>0</v>
      </c>
      <c r="AB44">
        <f>IFERROR(INDEX('Exercise list'!$E$5:$X$102,MATCH($C44,'Exercise list'!$C$5:$C$102,0),MATCH(AB$5,'Exercise list'!$E$4:$X$4,0)),0)</f>
        <v>0.5</v>
      </c>
      <c r="AC44">
        <f>IFERROR(INDEX('Exercise list'!$E$5:$X$102,MATCH($C44,'Exercise list'!$C$5:$C$102,0),MATCH(AC$5,'Exercise list'!$E$4:$X$4,0)),0)</f>
        <v>0</v>
      </c>
      <c r="AD44">
        <f>IFERROR(INDEX('Exercise list'!$E$5:$X$102,MATCH($C44,'Exercise list'!$C$5:$C$102,0),MATCH(AD$5,'Exercise list'!$E$4:$X$4,0)),0)</f>
        <v>0.6</v>
      </c>
      <c r="AE44">
        <f>IFERROR(INDEX('Exercise list'!$E$5:$X$102,MATCH($C44,'Exercise list'!$C$5:$C$102,0),MATCH(AE$5,'Exercise list'!$E$4:$X$4,0)),0)</f>
        <v>0.7</v>
      </c>
      <c r="AF44">
        <f>IFERROR(INDEX('Exercise list'!$E$5:$X$102,MATCH($C44,'Exercise list'!$C$5:$C$102,0),MATCH(AF$5,'Exercise list'!$E$4:$X$4,0)),0)</f>
        <v>1</v>
      </c>
      <c r="AG44">
        <f>IFERROR(INDEX('Exercise list'!$E$5:$X$102,MATCH($C44,'Exercise list'!$C$5:$C$102,0),MATCH(AG$5,'Exercise list'!$E$4:$X$4,0)),0)</f>
        <v>0</v>
      </c>
      <c r="AH44">
        <f>IFERROR(INDEX('Exercise list'!$E$5:$X$102,MATCH($C44,'Exercise list'!$C$5:$C$102,0),MATCH(AH$5,'Exercise list'!$E$4:$X$4,0)),0)</f>
        <v>0</v>
      </c>
      <c r="AI44">
        <f>IFERROR(INDEX('Exercise list'!$E$5:$X$102,MATCH($C44,'Exercise list'!$C$5:$C$102,0),MATCH(AI$5,'Exercise list'!$E$4:$X$4,0)),0)</f>
        <v>0</v>
      </c>
      <c r="AK44">
        <f>IF(OR($J44=1,COUNTIFS($A$5:$A43,"&gt;="&amp;$A44-1,$A$5:$A43,"&lt;="&amp;$A44,$B$5:$B43,$B44)&gt;0,MIN(1-'Exercise list'!E$2,IF($A44=$A43,AK43,1))-P44&lt;0),-1,MIN(1,IF($A44=$A43,AK43,1)-P44+$D$2))</f>
        <v>1</v>
      </c>
      <c r="AL44">
        <f>IF(OR($J44=1,COUNTIFS($A$5:$A43,"&gt;="&amp;$A44-1,$A$5:$A43,"&lt;="&amp;$A44,$B$5:$B43,$B44)&gt;0,MIN(1-'Exercise list'!F$2,IF($A44=$A43,AL43,1))-Q44&lt;0),-1,MIN(1,IF($A44=$A43,AL43,1)-Q44+$D$2))</f>
        <v>1</v>
      </c>
      <c r="AM44">
        <f>IF(OR($J44=1,COUNTIFS($A$5:$A43,"&gt;="&amp;$A44-1,$A$5:$A43,"&lt;="&amp;$A44,$B$5:$B43,$B44)&gt;0,MIN(1-'Exercise list'!G$2,IF($A44=$A43,AM43,1))-R44&lt;0),-1,MIN(1,IF($A44=$A43,AM43,1)-R44+$D$2))</f>
        <v>1</v>
      </c>
      <c r="AN44">
        <f>IF(OR($J44=1,COUNTIFS($A$5:$A43,"&gt;="&amp;$A44-1,$A$5:$A43,"&lt;="&amp;$A44,$B$5:$B43,$B44)&gt;0,MIN(1-'Exercise list'!H$2,IF($A44=$A43,AN43,1))-S44&lt;0),-1,MIN(1,IF($A44=$A43,AN43,1)-S44+$D$2))</f>
        <v>1</v>
      </c>
      <c r="AO44">
        <f>IF(OR($J44=1,COUNTIFS($A$5:$A43,"&gt;="&amp;$A44-1,$A$5:$A43,"&lt;="&amp;$A44,$B$5:$B43,$B44)&gt;0,MIN(1-'Exercise list'!I$2,IF($A44=$A43,AO43,1))-T44&lt;0),-1,MIN(1,IF($A44=$A43,AO43,1)-T44+$D$2))</f>
        <v>1</v>
      </c>
      <c r="AP44">
        <f>IF(OR($J44=1,COUNTIFS($A$5:$A43,"&gt;="&amp;$A44-1,$A$5:$A43,"&lt;="&amp;$A44,$B$5:$B43,$B44)&gt;0,MIN(1-'Exercise list'!J$2,IF($A44=$A43,AP43,1))-U44&lt;0),-1,MIN(1,IF($A44=$A43,AP43,1)-U44+$D$2))</f>
        <v>1</v>
      </c>
      <c r="AQ44">
        <f>IF(OR($J44=1,COUNTIFS($A$5:$A43,"&gt;="&amp;$A44-1,$A$5:$A43,"&lt;="&amp;$A44,$B$5:$B43,$B44)&gt;0,MIN(1-'Exercise list'!K$2,IF($A44=$A43,AQ43,1))-V44&lt;0),-1,MIN(1,IF($A44=$A43,AQ43,1)-V44+$D$2))</f>
        <v>1</v>
      </c>
      <c r="AR44">
        <f>IF(OR($J44=1,COUNTIFS($A$5:$A43,"&gt;="&amp;$A44-1,$A$5:$A43,"&lt;="&amp;$A44,$B$5:$B43,$B44)&gt;0,MIN(1-'Exercise list'!L$2,IF($A44=$A43,AR43,1))-W44&lt;0),-1,MIN(1,IF($A44=$A43,AR43,1)-W44+$D$2))</f>
        <v>1</v>
      </c>
      <c r="AS44">
        <f>IF(OR($J44=1,COUNTIFS($A$5:$A43,"&gt;="&amp;$A44-1,$A$5:$A43,"&lt;="&amp;$A44,$B$5:$B43,$B44)&gt;0,MIN(1-'Exercise list'!M$2,IF($A44=$A43,AS43,1))-X44&lt;0),-1,MIN(1,IF($A44=$A43,AS43,1)-X44+$D$2))</f>
        <v>1</v>
      </c>
      <c r="AT44">
        <f>IF(OR($J44=1,COUNTIFS($A$5:$A43,"&gt;="&amp;$A44-1,$A$5:$A43,"&lt;="&amp;$A44,$B$5:$B43,$B44)&gt;0,MIN(1-'Exercise list'!N$2,IF($A44=$A43,AT43,1))-Y44&lt;0),-1,MIN(1,IF($A44=$A43,AT43,1)-Y44+$D$2))</f>
        <v>1</v>
      </c>
      <c r="AU44">
        <f>IF(OR($J44=1,COUNTIFS($A$5:$A43,"&gt;="&amp;$A44-1,$A$5:$A43,"&lt;="&amp;$A44,$B$5:$B43,$B44)&gt;0,MIN(1-'Exercise list'!O$2,IF($A44=$A43,AU43,1))-Z44&lt;0),-1,MIN(1,IF($A44=$A43,AU43,1)-Z44+$D$2))</f>
        <v>1</v>
      </c>
      <c r="AV44">
        <f>IF(OR($J44=1,COUNTIFS($A$5:$A43,"&gt;="&amp;$A44-1,$A$5:$A43,"&lt;="&amp;$A44,$B$5:$B43,$B44)&gt;0,MIN(1-'Exercise list'!P$2,IF($A44=$A43,AV43,1))-AA44&lt;0),-1,MIN(1,IF($A44=$A43,AV43,1)-AA44+$D$2))</f>
        <v>1</v>
      </c>
      <c r="AW44">
        <f>IF(OR($J44=1,COUNTIFS($A$5:$A43,"&gt;="&amp;$A44-1,$A$5:$A43,"&lt;="&amp;$A44,$B$5:$B43,$B44)&gt;0,MIN(1-'Exercise list'!Q$2,IF($A44=$A43,AW43,1))-AB44&lt;0),-1,MIN(1,IF($A44=$A43,AW43,1)-AB44+$D$2))</f>
        <v>1</v>
      </c>
      <c r="AX44">
        <f>IF(OR($J44=1,COUNTIFS($A$5:$A43,"&gt;="&amp;$A44-1,$A$5:$A43,"&lt;="&amp;$A44,$B$5:$B43,$B44)&gt;0,MIN(1-'Exercise list'!R$2,IF($A44=$A43,AX43,1))-AC44&lt;0),-1,MIN(1,IF($A44=$A43,AX43,1)-AC44+$D$2))</f>
        <v>1</v>
      </c>
      <c r="AY44">
        <f>IF(OR($J44=1,COUNTIFS($A$5:$A43,"&gt;="&amp;$A44-1,$A$5:$A43,"&lt;="&amp;$A44,$B$5:$B43,$B44)&gt;0,MIN(1-'Exercise list'!S$2,IF($A44=$A43,AY43,1))-AD44&lt;0),-1,MIN(1,IF($A44=$A43,AY43,1)-AD44+$D$2))</f>
        <v>1</v>
      </c>
      <c r="AZ44">
        <f>IF(OR($J44=1,COUNTIFS($A$5:$A43,"&gt;="&amp;$A44-1,$A$5:$A43,"&lt;="&amp;$A44,$B$5:$B43,$B44)&gt;0,MIN(1-'Exercise list'!T$2,IF($A44=$A43,AZ43,1))-AE44&lt;0),-1,MIN(1,IF($A44=$A43,AZ43,1)-AE44+$D$2))</f>
        <v>1</v>
      </c>
      <c r="BA44">
        <f>IF(OR($J44=1,COUNTIFS($A$5:$A43,"&gt;="&amp;$A44-1,$A$5:$A43,"&lt;="&amp;$A44,$B$5:$B43,$B44)&gt;0,MIN(1-'Exercise list'!U$2,IF($A44=$A43,BA43,1))-AF44&lt;0),-1,MIN(1,IF($A44=$A43,BA43,1)-AF44+$D$2))</f>
        <v>1</v>
      </c>
      <c r="BB44">
        <f>IF(OR($J44=1,COUNTIFS($A$5:$A43,"&gt;="&amp;$A44-1,$A$5:$A43,"&lt;="&amp;$A44,$B$5:$B43,$B44)&gt;0,MIN(1-'Exercise list'!V$2,IF($A44=$A43,BB43,1))-AG44&lt;0),-1,MIN(1,IF($A44=$A43,BB43,1)-AG44+$D$2))</f>
        <v>1</v>
      </c>
      <c r="BC44">
        <f>IF(OR($J44=1,COUNTIFS($A$5:$A43,"&gt;="&amp;$A44-1,$A$5:$A43,"&lt;="&amp;$A44,$B$5:$B43,$B44)&gt;0,MIN(1-'Exercise list'!W$2,IF($A44=$A43,BC43,1))-AH44&lt;0),-1,MIN(1,IF($A44=$A43,BC43,1)-AH44+$D$2))</f>
        <v>1</v>
      </c>
      <c r="BD44">
        <f>IF(OR($J44=1,COUNTIFS($A$5:$A43,"&gt;="&amp;$A44-1,$A$5:$A43,"&lt;="&amp;$A44,$B$5:$B43,$B44)&gt;0,MIN(1-'Exercise list'!X$2,IF($A44=$A43,BD43,1))-AI44&lt;0),-1,MIN(1,IF($A44=$A43,BD43,1)-AI44+$D$2))</f>
        <v>1</v>
      </c>
      <c r="BF44" s="16">
        <f t="shared" si="24"/>
        <v>8.707875986803662E-2</v>
      </c>
      <c r="BG44" s="16">
        <f t="shared" si="25"/>
        <v>8.4437107701080788E-2</v>
      </c>
      <c r="BH44" s="16">
        <f t="shared" si="26"/>
        <v>0.11592591386691527</v>
      </c>
      <c r="BI44" s="16">
        <f t="shared" si="27"/>
        <v>8.7552198167284004E-2</v>
      </c>
      <c r="BJ44" s="16">
        <f t="shared" si="28"/>
        <v>0.37592681851167847</v>
      </c>
      <c r="BK44" s="16">
        <f t="shared" si="29"/>
        <v>6.3538102932143958E-2</v>
      </c>
      <c r="BL44" s="16">
        <f t="shared" si="30"/>
        <v>0.10764432146319391</v>
      </c>
      <c r="BM44" s="16">
        <f t="shared" si="31"/>
        <v>3.675459453124999E-2</v>
      </c>
      <c r="BN44" s="16">
        <f t="shared" si="32"/>
        <v>0.105589699352565</v>
      </c>
      <c r="BO44" s="16">
        <f t="shared" si="33"/>
        <v>9.3463685048334827E-2</v>
      </c>
      <c r="BP44" s="16">
        <f t="shared" si="34"/>
        <v>0.41624362319774505</v>
      </c>
      <c r="BQ44" s="16">
        <f t="shared" si="35"/>
        <v>5.1744197081133175E-2</v>
      </c>
      <c r="BR44" s="16">
        <f t="shared" si="36"/>
        <v>0.24197489367514663</v>
      </c>
      <c r="BS44" s="16">
        <f t="shared" si="37"/>
        <v>2.4361532021655755E-2</v>
      </c>
      <c r="BT44" s="16">
        <f t="shared" si="38"/>
        <v>0.30532387922980408</v>
      </c>
      <c r="BU44" s="16">
        <f t="shared" si="39"/>
        <v>0.3478172488609822</v>
      </c>
      <c r="BV44" s="16">
        <f t="shared" si="40"/>
        <v>0.45419049225591751</v>
      </c>
      <c r="BW44" s="16">
        <f t="shared" si="41"/>
        <v>8.6090260452566986E-2</v>
      </c>
      <c r="BX44" s="16">
        <f t="shared" si="42"/>
        <v>8.5345948673202707E-2</v>
      </c>
      <c r="BY44" s="16">
        <f t="shared" si="43"/>
        <v>2.9608619287883137E-2</v>
      </c>
      <c r="CA44" s="16">
        <f t="shared" si="4"/>
        <v>0.15000360281185379</v>
      </c>
      <c r="CB44" s="16">
        <f t="shared" si="5"/>
        <v>0.15264525497880962</v>
      </c>
      <c r="CC44" s="16">
        <f t="shared" si="6"/>
        <v>2.6152674730299391E-3</v>
      </c>
      <c r="CD44" s="16">
        <f t="shared" si="7"/>
        <v>3.0988983172661203E-2</v>
      </c>
      <c r="CE44" s="16">
        <f t="shared" si="8"/>
        <v>0</v>
      </c>
      <c r="CF44" s="16">
        <f t="shared" si="9"/>
        <v>0.29208544108769169</v>
      </c>
      <c r="CG44" s="16">
        <f t="shared" si="10"/>
        <v>1.0896859876751291E-2</v>
      </c>
      <c r="CH44" s="16">
        <f t="shared" si="11"/>
        <v>8.1786586808695216E-2</v>
      </c>
      <c r="CI44" s="16">
        <f t="shared" si="12"/>
        <v>0.1314926633273254</v>
      </c>
      <c r="CJ44" s="16">
        <f t="shared" si="13"/>
        <v>2.5077496291610379E-2</v>
      </c>
      <c r="CK44" s="16">
        <f t="shared" si="14"/>
        <v>0</v>
      </c>
      <c r="CL44" s="16">
        <f t="shared" si="15"/>
        <v>6.6796984258812031E-2</v>
      </c>
      <c r="CM44" s="16">
        <f t="shared" si="16"/>
        <v>0</v>
      </c>
      <c r="CN44" s="16">
        <f t="shared" si="17"/>
        <v>9.4179649318289455E-2</v>
      </c>
      <c r="CO44" s="16">
        <f t="shared" si="18"/>
        <v>0</v>
      </c>
      <c r="CP44" s="16">
        <f t="shared" si="19"/>
        <v>0</v>
      </c>
      <c r="CQ44" s="16">
        <f t="shared" si="20"/>
        <v>0</v>
      </c>
      <c r="CR44" s="16">
        <f t="shared" si="21"/>
        <v>3.2450920887378221E-2</v>
      </c>
      <c r="CS44" s="16">
        <f t="shared" si="22"/>
        <v>3.31952326667425E-2</v>
      </c>
      <c r="CT44" s="16">
        <f t="shared" si="23"/>
        <v>8.893256205206207E-2</v>
      </c>
    </row>
    <row r="45" spans="1:99" x14ac:dyDescent="0.25">
      <c r="A45" s="13">
        <v>45057</v>
      </c>
      <c r="B45" s="14">
        <v>21</v>
      </c>
      <c r="C45" s="15" t="s">
        <v>31</v>
      </c>
      <c r="D45" s="12">
        <f t="shared" si="45"/>
        <v>1</v>
      </c>
      <c r="E45" s="32">
        <f t="shared" si="1"/>
        <v>0.7630504517630442</v>
      </c>
      <c r="F45" s="63" cm="1">
        <f t="array" ref="F45">IF(B45="","",0.1+IFERROR(INDEX($F$6:$F44,SUMPRODUCT(MAX(ROW($C$6:$C44)*($C45=$C$6:$C44))-ROW($A$5)))*0.9^($A45-INDEX($A$6:A44,SUMPRODUCT(MAX(ROW($C$6:$C44)*($C45=$C$6:$C44))-ROW($A$5)))),0))</f>
        <v>0.1</v>
      </c>
      <c r="G45" s="64">
        <f>INDEX('Exercise list'!$Y$5:$Y$102,MATCH(C45,'Exercise list'!$C$5:$C$102,0))</f>
        <v>1</v>
      </c>
      <c r="H45" s="115">
        <f t="shared" si="46"/>
        <v>9.3438555888101058E-2</v>
      </c>
      <c r="I45" s="6">
        <f t="shared" si="47"/>
        <v>2</v>
      </c>
      <c r="J45" s="6">
        <v>0</v>
      </c>
      <c r="K45" s="12"/>
      <c r="L45" s="74" t="str" cm="1">
        <f t="array" ref="L45">IF(K45="","",INDEX('Exercise list'!$C$5:$C$102,K45))</f>
        <v/>
      </c>
      <c r="M45" s="6"/>
      <c r="N45" s="75" t="str" cm="1">
        <f t="array" ref="N45">IF(M45="","",INDEX('Exercise list'!$C$5:$C$102,M45))</f>
        <v/>
      </c>
      <c r="P45">
        <f>IFERROR(INDEX('Exercise list'!$E$5:$X$102,MATCH($C45,'Exercise list'!$C$5:$C$102,0),MATCH(P$5,'Exercise list'!$E$4:$X$4,0)),0)</f>
        <v>0</v>
      </c>
      <c r="Q45">
        <f>IFERROR(INDEX('Exercise list'!$E$5:$X$102,MATCH($C45,'Exercise list'!$C$5:$C$102,0),MATCH(Q$5,'Exercise list'!$E$4:$X$4,0)),0)</f>
        <v>0</v>
      </c>
      <c r="R45">
        <f>IFERROR(INDEX('Exercise list'!$E$5:$X$102,MATCH($C45,'Exercise list'!$C$5:$C$102,0),MATCH(R$5,'Exercise list'!$E$4:$X$4,0)),0)</f>
        <v>0.5</v>
      </c>
      <c r="S45">
        <f>IFERROR(INDEX('Exercise list'!$E$5:$X$102,MATCH($C45,'Exercise list'!$C$5:$C$102,0),MATCH(S$5,'Exercise list'!$E$4:$X$4,0)),0)</f>
        <v>1</v>
      </c>
      <c r="T45">
        <f>IFERROR(INDEX('Exercise list'!$E$5:$X$102,MATCH($C45,'Exercise list'!$C$5:$C$102,0),MATCH(T$5,'Exercise list'!$E$4:$X$4,0)),0)</f>
        <v>0</v>
      </c>
      <c r="U45">
        <f>IFERROR(INDEX('Exercise list'!$E$5:$X$102,MATCH($C45,'Exercise list'!$C$5:$C$102,0),MATCH(U$5,'Exercise list'!$E$4:$X$4,0)),0)</f>
        <v>0</v>
      </c>
      <c r="V45">
        <f>IFERROR(INDEX('Exercise list'!$E$5:$X$102,MATCH($C45,'Exercise list'!$C$5:$C$102,0),MATCH(V$5,'Exercise list'!$E$4:$X$4,0)),0)</f>
        <v>0</v>
      </c>
      <c r="W45">
        <f>IFERROR(INDEX('Exercise list'!$E$5:$X$102,MATCH($C45,'Exercise list'!$C$5:$C$102,0),MATCH(W$5,'Exercise list'!$E$4:$X$4,0)),0)</f>
        <v>0.7</v>
      </c>
      <c r="X45">
        <f>IFERROR(INDEX('Exercise list'!$E$5:$X$102,MATCH($C45,'Exercise list'!$C$5:$C$102,0),MATCH(X$5,'Exercise list'!$E$4:$X$4,0)),0)</f>
        <v>0</v>
      </c>
      <c r="Y45">
        <f>IFERROR(INDEX('Exercise list'!$E$5:$X$102,MATCH($C45,'Exercise list'!$C$5:$C$102,0),MATCH(Y$5,'Exercise list'!$E$4:$X$4,0)),0)</f>
        <v>0</v>
      </c>
      <c r="Z45">
        <f>IFERROR(INDEX('Exercise list'!$E$5:$X$102,MATCH($C45,'Exercise list'!$C$5:$C$102,0),MATCH(Z$5,'Exercise list'!$E$4:$X$4,0)),0)</f>
        <v>0</v>
      </c>
      <c r="AA45">
        <f>IFERROR(INDEX('Exercise list'!$E$5:$X$102,MATCH($C45,'Exercise list'!$C$5:$C$102,0),MATCH(AA$5,'Exercise list'!$E$4:$X$4,0)),0)</f>
        <v>0</v>
      </c>
      <c r="AB45">
        <f>IFERROR(INDEX('Exercise list'!$E$5:$X$102,MATCH($C45,'Exercise list'!$C$5:$C$102,0),MATCH(AB$5,'Exercise list'!$E$4:$X$4,0)),0)</f>
        <v>0</v>
      </c>
      <c r="AC45">
        <f>IFERROR(INDEX('Exercise list'!$E$5:$X$102,MATCH($C45,'Exercise list'!$C$5:$C$102,0),MATCH(AC$5,'Exercise list'!$E$4:$X$4,0)),0)</f>
        <v>0</v>
      </c>
      <c r="AD45">
        <f>IFERROR(INDEX('Exercise list'!$E$5:$X$102,MATCH($C45,'Exercise list'!$C$5:$C$102,0),MATCH(AD$5,'Exercise list'!$E$4:$X$4,0)),0)</f>
        <v>0</v>
      </c>
      <c r="AE45">
        <f>IFERROR(INDEX('Exercise list'!$E$5:$X$102,MATCH($C45,'Exercise list'!$C$5:$C$102,0),MATCH(AE$5,'Exercise list'!$E$4:$X$4,0)),0)</f>
        <v>0</v>
      </c>
      <c r="AF45">
        <f>IFERROR(INDEX('Exercise list'!$E$5:$X$102,MATCH($C45,'Exercise list'!$C$5:$C$102,0),MATCH(AF$5,'Exercise list'!$E$4:$X$4,0)),0)</f>
        <v>0</v>
      </c>
      <c r="AG45">
        <f>IFERROR(INDEX('Exercise list'!$E$5:$X$102,MATCH($C45,'Exercise list'!$C$5:$C$102,0),MATCH(AG$5,'Exercise list'!$E$4:$X$4,0)),0)</f>
        <v>0</v>
      </c>
      <c r="AH45">
        <f>IFERROR(INDEX('Exercise list'!$E$5:$X$102,MATCH($C45,'Exercise list'!$C$5:$C$102,0),MATCH(AH$5,'Exercise list'!$E$4:$X$4,0)),0)</f>
        <v>0</v>
      </c>
      <c r="AI45">
        <f>IFERROR(INDEX('Exercise list'!$E$5:$X$102,MATCH($C45,'Exercise list'!$C$5:$C$102,0),MATCH(AI$5,'Exercise list'!$E$4:$X$4,0)),0)</f>
        <v>0</v>
      </c>
      <c r="AK45">
        <f>IF(OR($J45=1,COUNTIFS($A$5:$A44,"&gt;="&amp;$A45-1,$A$5:$A44,"&lt;="&amp;$A45,$B$5:$B44,$B45)&gt;0,MIN(1-'Exercise list'!E$2,IF($A45=$A44,AK44,1))-P45&lt;0),-1,MIN(1,IF($A45=$A44,AK44,1)-P45+$D$2))</f>
        <v>1</v>
      </c>
      <c r="AL45">
        <f>IF(OR($J45=1,COUNTIFS($A$5:$A44,"&gt;="&amp;$A45-1,$A$5:$A44,"&lt;="&amp;$A45,$B$5:$B44,$B45)&gt;0,MIN(1-'Exercise list'!F$2,IF($A45=$A44,AL44,1))-Q45&lt;0),-1,MIN(1,IF($A45=$A44,AL44,1)-Q45+$D$2))</f>
        <v>1</v>
      </c>
      <c r="AM45">
        <f>IF(OR($J45=1,COUNTIFS($A$5:$A44,"&gt;="&amp;$A45-1,$A$5:$A44,"&lt;="&amp;$A45,$B$5:$B44,$B45)&gt;0,MIN(1-'Exercise list'!G$2,IF($A45=$A44,AM44,1))-R45&lt;0),-1,MIN(1,IF($A45=$A44,AM44,1)-R45+$D$2))</f>
        <v>1</v>
      </c>
      <c r="AN45">
        <f>IF(OR($J45=1,COUNTIFS($A$5:$A44,"&gt;="&amp;$A45-1,$A$5:$A44,"&lt;="&amp;$A45,$B$5:$B44,$B45)&gt;0,MIN(1-'Exercise list'!H$2,IF($A45=$A44,AN44,1))-S45&lt;0),-1,MIN(1,IF($A45=$A44,AN44,1)-S45+$D$2))</f>
        <v>1</v>
      </c>
      <c r="AO45">
        <f>IF(OR($J45=1,COUNTIFS($A$5:$A44,"&gt;="&amp;$A45-1,$A$5:$A44,"&lt;="&amp;$A45,$B$5:$B44,$B45)&gt;0,MIN(1-'Exercise list'!I$2,IF($A45=$A44,AO44,1))-T45&lt;0),-1,MIN(1,IF($A45=$A44,AO44,1)-T45+$D$2))</f>
        <v>1</v>
      </c>
      <c r="AP45">
        <f>IF(OR($J45=1,COUNTIFS($A$5:$A44,"&gt;="&amp;$A45-1,$A$5:$A44,"&lt;="&amp;$A45,$B$5:$B44,$B45)&gt;0,MIN(1-'Exercise list'!J$2,IF($A45=$A44,AP44,1))-U45&lt;0),-1,MIN(1,IF($A45=$A44,AP44,1)-U45+$D$2))</f>
        <v>1</v>
      </c>
      <c r="AQ45">
        <f>IF(OR($J45=1,COUNTIFS($A$5:$A44,"&gt;="&amp;$A45-1,$A$5:$A44,"&lt;="&amp;$A45,$B$5:$B44,$B45)&gt;0,MIN(1-'Exercise list'!K$2,IF($A45=$A44,AQ44,1))-V45&lt;0),-1,MIN(1,IF($A45=$A44,AQ44,1)-V45+$D$2))</f>
        <v>1</v>
      </c>
      <c r="AR45">
        <f>IF(OR($J45=1,COUNTIFS($A$5:$A44,"&gt;="&amp;$A45-1,$A$5:$A44,"&lt;="&amp;$A45,$B$5:$B44,$B45)&gt;0,MIN(1-'Exercise list'!L$2,IF($A45=$A44,AR44,1))-W45&lt;0),-1,MIN(1,IF($A45=$A44,AR44,1)-W45+$D$2))</f>
        <v>1</v>
      </c>
      <c r="AS45">
        <f>IF(OR($J45=1,COUNTIFS($A$5:$A44,"&gt;="&amp;$A45-1,$A$5:$A44,"&lt;="&amp;$A45,$B$5:$B44,$B45)&gt;0,MIN(1-'Exercise list'!M$2,IF($A45=$A44,AS44,1))-X45&lt;0),-1,MIN(1,IF($A45=$A44,AS44,1)-X45+$D$2))</f>
        <v>1</v>
      </c>
      <c r="AT45">
        <f>IF(OR($J45=1,COUNTIFS($A$5:$A44,"&gt;="&amp;$A45-1,$A$5:$A44,"&lt;="&amp;$A45,$B$5:$B44,$B45)&gt;0,MIN(1-'Exercise list'!N$2,IF($A45=$A44,AT44,1))-Y45&lt;0),-1,MIN(1,IF($A45=$A44,AT44,1)-Y45+$D$2))</f>
        <v>1</v>
      </c>
      <c r="AU45">
        <f>IF(OR($J45=1,COUNTIFS($A$5:$A44,"&gt;="&amp;$A45-1,$A$5:$A44,"&lt;="&amp;$A45,$B$5:$B44,$B45)&gt;0,MIN(1-'Exercise list'!O$2,IF($A45=$A44,AU44,1))-Z45&lt;0),-1,MIN(1,IF($A45=$A44,AU44,1)-Z45+$D$2))</f>
        <v>1</v>
      </c>
      <c r="AV45">
        <f>IF(OR($J45=1,COUNTIFS($A$5:$A44,"&gt;="&amp;$A45-1,$A$5:$A44,"&lt;="&amp;$A45,$B$5:$B44,$B45)&gt;0,MIN(1-'Exercise list'!P$2,IF($A45=$A44,AV44,1))-AA45&lt;0),-1,MIN(1,IF($A45=$A44,AV44,1)-AA45+$D$2))</f>
        <v>1</v>
      </c>
      <c r="AW45">
        <f>IF(OR($J45=1,COUNTIFS($A$5:$A44,"&gt;="&amp;$A45-1,$A$5:$A44,"&lt;="&amp;$A45,$B$5:$B44,$B45)&gt;0,MIN(1-'Exercise list'!Q$2,IF($A45=$A44,AW44,1))-AB45&lt;0),-1,MIN(1,IF($A45=$A44,AW44,1)-AB45+$D$2))</f>
        <v>1</v>
      </c>
      <c r="AX45">
        <f>IF(OR($J45=1,COUNTIFS($A$5:$A44,"&gt;="&amp;$A45-1,$A$5:$A44,"&lt;="&amp;$A45,$B$5:$B44,$B45)&gt;0,MIN(1-'Exercise list'!R$2,IF($A45=$A44,AX44,1))-AC45&lt;0),-1,MIN(1,IF($A45=$A44,AX44,1)-AC45+$D$2))</f>
        <v>1</v>
      </c>
      <c r="AY45">
        <f>IF(OR($J45=1,COUNTIFS($A$5:$A44,"&gt;="&amp;$A45-1,$A$5:$A44,"&lt;="&amp;$A45,$B$5:$B44,$B45)&gt;0,MIN(1-'Exercise list'!S$2,IF($A45=$A44,AY44,1))-AD45&lt;0),-1,MIN(1,IF($A45=$A44,AY44,1)-AD45+$D$2))</f>
        <v>1</v>
      </c>
      <c r="AZ45">
        <f>IF(OR($J45=1,COUNTIFS($A$5:$A44,"&gt;="&amp;$A45-1,$A$5:$A44,"&lt;="&amp;$A45,$B$5:$B44,$B45)&gt;0,MIN(1-'Exercise list'!T$2,IF($A45=$A44,AZ44,1))-AE45&lt;0),-1,MIN(1,IF($A45=$A44,AZ44,1)-AE45+$D$2))</f>
        <v>1</v>
      </c>
      <c r="BA45">
        <f>IF(OR($J45=1,COUNTIFS($A$5:$A44,"&gt;="&amp;$A45-1,$A$5:$A44,"&lt;="&amp;$A45,$B$5:$B44,$B45)&gt;0,MIN(1-'Exercise list'!U$2,IF($A45=$A44,BA44,1))-AF45&lt;0),-1,MIN(1,IF($A45=$A44,BA44,1)-AF45+$D$2))</f>
        <v>1</v>
      </c>
      <c r="BB45">
        <f>IF(OR($J45=1,COUNTIFS($A$5:$A44,"&gt;="&amp;$A45-1,$A$5:$A44,"&lt;="&amp;$A45,$B$5:$B44,$B45)&gt;0,MIN(1-'Exercise list'!V$2,IF($A45=$A44,BB44,1))-AG45&lt;0),-1,MIN(1,IF($A45=$A44,BB44,1)-AG45+$D$2))</f>
        <v>1</v>
      </c>
      <c r="BC45">
        <f>IF(OR($J45=1,COUNTIFS($A$5:$A44,"&gt;="&amp;$A45-1,$A$5:$A44,"&lt;="&amp;$A45,$B$5:$B44,$B45)&gt;0,MIN(1-'Exercise list'!W$2,IF($A45=$A44,BC44,1))-AH45&lt;0),-1,MIN(1,IF($A45=$A44,BC44,1)-AH45+$D$2))</f>
        <v>1</v>
      </c>
      <c r="BD45">
        <f>IF(OR($J45=1,COUNTIFS($A$5:$A44,"&gt;="&amp;$A45-1,$A$5:$A44,"&lt;="&amp;$A45,$B$5:$B44,$B45)&gt;0,MIN(1-'Exercise list'!X$2,IF($A45=$A44,BD44,1))-AI45&lt;0),-1,MIN(1,IF($A45=$A44,BD44,1)-AI45+$D$2))</f>
        <v>1</v>
      </c>
      <c r="BF45" s="16">
        <f t="shared" si="24"/>
        <v>8.2724821874634785E-2</v>
      </c>
      <c r="BG45" s="16">
        <f t="shared" si="25"/>
        <v>8.0215252316026747E-2</v>
      </c>
      <c r="BH45" s="16">
        <f t="shared" si="26"/>
        <v>0.1351296181735695</v>
      </c>
      <c r="BI45" s="16">
        <f t="shared" si="27"/>
        <v>0.13317458825891981</v>
      </c>
      <c r="BJ45" s="16">
        <f t="shared" si="28"/>
        <v>0.35713047758609451</v>
      </c>
      <c r="BK45" s="16">
        <f t="shared" si="29"/>
        <v>6.0361197785536759E-2</v>
      </c>
      <c r="BL45" s="16">
        <f t="shared" si="30"/>
        <v>0.10226210539003422</v>
      </c>
      <c r="BM45" s="16">
        <f t="shared" si="31"/>
        <v>6.9916864804687479E-2</v>
      </c>
      <c r="BN45" s="16">
        <f t="shared" si="32"/>
        <v>0.10031021438493674</v>
      </c>
      <c r="BO45" s="16">
        <f t="shared" si="33"/>
        <v>8.8790500795918076E-2</v>
      </c>
      <c r="BP45" s="16">
        <f t="shared" si="34"/>
        <v>0.39543144203785779</v>
      </c>
      <c r="BQ45" s="16">
        <f t="shared" si="35"/>
        <v>4.9156987227076517E-2</v>
      </c>
      <c r="BR45" s="16">
        <f t="shared" si="36"/>
        <v>0.22987614899138928</v>
      </c>
      <c r="BS45" s="16">
        <f t="shared" si="37"/>
        <v>2.3143455420572966E-2</v>
      </c>
      <c r="BT45" s="16">
        <f t="shared" si="38"/>
        <v>0.29005768526831388</v>
      </c>
      <c r="BU45" s="16">
        <f t="shared" si="39"/>
        <v>0.33042638641793309</v>
      </c>
      <c r="BV45" s="16">
        <f t="shared" si="40"/>
        <v>0.4314809676431216</v>
      </c>
      <c r="BW45" s="16">
        <f t="shared" si="41"/>
        <v>8.1785747429938632E-2</v>
      </c>
      <c r="BX45" s="16">
        <f t="shared" si="42"/>
        <v>8.1078651239542568E-2</v>
      </c>
      <c r="BY45" s="16">
        <f t="shared" si="43"/>
        <v>2.8128188323488977E-2</v>
      </c>
      <c r="CA45" s="16">
        <f t="shared" si="4"/>
        <v>0.15065157081940925</v>
      </c>
      <c r="CB45" s="16">
        <f t="shared" si="5"/>
        <v>0.15316114037801729</v>
      </c>
      <c r="CC45" s="16">
        <f t="shared" si="6"/>
        <v>0</v>
      </c>
      <c r="CD45" s="16">
        <f t="shared" si="7"/>
        <v>0</v>
      </c>
      <c r="CE45" s="16">
        <f t="shared" si="8"/>
        <v>0</v>
      </c>
      <c r="CF45" s="16">
        <f t="shared" si="9"/>
        <v>0.2897033912555293</v>
      </c>
      <c r="CG45" s="16">
        <f t="shared" si="10"/>
        <v>1.4426090956987797E-2</v>
      </c>
      <c r="CH45" s="16">
        <f t="shared" si="11"/>
        <v>4.6771331542334538E-2</v>
      </c>
      <c r="CI45" s="16">
        <f t="shared" si="12"/>
        <v>0.13306617830910727</v>
      </c>
      <c r="CJ45" s="16">
        <f t="shared" si="13"/>
        <v>2.789769555110394E-2</v>
      </c>
      <c r="CK45" s="16">
        <f t="shared" si="14"/>
        <v>0</v>
      </c>
      <c r="CL45" s="16">
        <f t="shared" si="15"/>
        <v>6.7531209119945507E-2</v>
      </c>
      <c r="CM45" s="16">
        <f t="shared" si="16"/>
        <v>3.5002437026547539E-3</v>
      </c>
      <c r="CN45" s="16">
        <f t="shared" si="17"/>
        <v>9.3544740926449044E-2</v>
      </c>
      <c r="CO45" s="16">
        <f t="shared" si="18"/>
        <v>0</v>
      </c>
      <c r="CP45" s="16">
        <f t="shared" si="19"/>
        <v>0</v>
      </c>
      <c r="CQ45" s="16">
        <f t="shared" si="20"/>
        <v>0</v>
      </c>
      <c r="CR45" s="16">
        <f t="shared" si="21"/>
        <v>3.4902448917083384E-2</v>
      </c>
      <c r="CS45" s="16">
        <f t="shared" si="22"/>
        <v>3.5609545107479448E-2</v>
      </c>
      <c r="CT45" s="16">
        <f t="shared" si="23"/>
        <v>8.8560008023533032E-2</v>
      </c>
    </row>
    <row r="46" spans="1:99" x14ac:dyDescent="0.25">
      <c r="A46" s="13">
        <v>45057</v>
      </c>
      <c r="B46" s="14">
        <v>24</v>
      </c>
      <c r="C46" s="15" t="s">
        <v>134</v>
      </c>
      <c r="D46" s="12">
        <f t="shared" si="45"/>
        <v>1</v>
      </c>
      <c r="E46" s="32">
        <f t="shared" si="1"/>
        <v>0.77387985592998398</v>
      </c>
      <c r="F46" s="63" cm="1">
        <f t="array" ref="F46">IF(B46="","",0.1+IFERROR(INDEX($F$6:$F45,SUMPRODUCT(MAX(ROW($C$6:$C45)*($C46=$C$6:$C45))-ROW($A$5)))*0.9^($A46-INDEX($A$6:A45,SUMPRODUCT(MAX(ROW($C$6:$C45)*($C46=$C$6:$C45))-ROW($A$5)))),0))</f>
        <v>0.1</v>
      </c>
      <c r="G46" s="64">
        <f>INDEX('Exercise list'!$Y$5:$Y$102,MATCH(C46,'Exercise list'!$C$5:$C$102,0))</f>
        <v>1</v>
      </c>
      <c r="H46" s="115">
        <f t="shared" si="46"/>
        <v>9.0690777074301343E-2</v>
      </c>
      <c r="I46" s="6">
        <f t="shared" si="47"/>
        <v>3</v>
      </c>
      <c r="J46" s="6">
        <v>0</v>
      </c>
      <c r="K46" s="12"/>
      <c r="L46" s="74" t="str" cm="1">
        <f t="array" ref="L46">IF(K46="","",INDEX('Exercise list'!$C$5:$C$102,K46))</f>
        <v/>
      </c>
      <c r="M46" s="6"/>
      <c r="N46" s="75" t="str" cm="1">
        <f t="array" ref="N46">IF(M46="","",INDEX('Exercise list'!$C$5:$C$102,M46))</f>
        <v/>
      </c>
      <c r="P46">
        <f>IFERROR(INDEX('Exercise list'!$E$5:$X$102,MATCH($C46,'Exercise list'!$C$5:$C$102,0),MATCH(P$5,'Exercise list'!$E$4:$X$4,0)),0)</f>
        <v>0</v>
      </c>
      <c r="Q46">
        <f>IFERROR(INDEX('Exercise list'!$E$5:$X$102,MATCH($C46,'Exercise list'!$C$5:$C$102,0),MATCH(Q$5,'Exercise list'!$E$4:$X$4,0)),0)</f>
        <v>0</v>
      </c>
      <c r="R46">
        <f>IFERROR(INDEX('Exercise list'!$E$5:$X$102,MATCH($C46,'Exercise list'!$C$5:$C$102,0),MATCH(R$5,'Exercise list'!$E$4:$X$4,0)),0)</f>
        <v>0</v>
      </c>
      <c r="S46">
        <f>IFERROR(INDEX('Exercise list'!$E$5:$X$102,MATCH($C46,'Exercise list'!$C$5:$C$102,0),MATCH(S$5,'Exercise list'!$E$4:$X$4,0)),0)</f>
        <v>0</v>
      </c>
      <c r="T46">
        <f>IFERROR(INDEX('Exercise list'!$E$5:$X$102,MATCH($C46,'Exercise list'!$C$5:$C$102,0),MATCH(T$5,'Exercise list'!$E$4:$X$4,0)),0)</f>
        <v>0</v>
      </c>
      <c r="U46">
        <f>IFERROR(INDEX('Exercise list'!$E$5:$X$102,MATCH($C46,'Exercise list'!$C$5:$C$102,0),MATCH(U$5,'Exercise list'!$E$4:$X$4,0)),0)</f>
        <v>0</v>
      </c>
      <c r="V46">
        <f>IFERROR(INDEX('Exercise list'!$E$5:$X$102,MATCH($C46,'Exercise list'!$C$5:$C$102,0),MATCH(V$5,'Exercise list'!$E$4:$X$4,0)),0)</f>
        <v>0</v>
      </c>
      <c r="W46">
        <f>IFERROR(INDEX('Exercise list'!$E$5:$X$102,MATCH($C46,'Exercise list'!$C$5:$C$102,0),MATCH(W$5,'Exercise list'!$E$4:$X$4,0)),0)</f>
        <v>0</v>
      </c>
      <c r="X46">
        <f>IFERROR(INDEX('Exercise list'!$E$5:$X$102,MATCH($C46,'Exercise list'!$C$5:$C$102,0),MATCH(X$5,'Exercise list'!$E$4:$X$4,0)),0)</f>
        <v>0</v>
      </c>
      <c r="Y46">
        <f>IFERROR(INDEX('Exercise list'!$E$5:$X$102,MATCH($C46,'Exercise list'!$C$5:$C$102,0),MATCH(Y$5,'Exercise list'!$E$4:$X$4,0)),0)</f>
        <v>1</v>
      </c>
      <c r="Z46">
        <f>IFERROR(INDEX('Exercise list'!$E$5:$X$102,MATCH($C46,'Exercise list'!$C$5:$C$102,0),MATCH(Z$5,'Exercise list'!$E$4:$X$4,0)),0)</f>
        <v>0</v>
      </c>
      <c r="AA46">
        <f>IFERROR(INDEX('Exercise list'!$E$5:$X$102,MATCH($C46,'Exercise list'!$C$5:$C$102,0),MATCH(AA$5,'Exercise list'!$E$4:$X$4,0)),0)</f>
        <v>0</v>
      </c>
      <c r="AB46">
        <f>IFERROR(INDEX('Exercise list'!$E$5:$X$102,MATCH($C46,'Exercise list'!$C$5:$C$102,0),MATCH(AB$5,'Exercise list'!$E$4:$X$4,0)),0)</f>
        <v>0</v>
      </c>
      <c r="AC46">
        <f>IFERROR(INDEX('Exercise list'!$E$5:$X$102,MATCH($C46,'Exercise list'!$C$5:$C$102,0),MATCH(AC$5,'Exercise list'!$E$4:$X$4,0)),0)</f>
        <v>0</v>
      </c>
      <c r="AD46">
        <f>IFERROR(INDEX('Exercise list'!$E$5:$X$102,MATCH($C46,'Exercise list'!$C$5:$C$102,0),MATCH(AD$5,'Exercise list'!$E$4:$X$4,0)),0)</f>
        <v>0</v>
      </c>
      <c r="AE46">
        <f>IFERROR(INDEX('Exercise list'!$E$5:$X$102,MATCH($C46,'Exercise list'!$C$5:$C$102,0),MATCH(AE$5,'Exercise list'!$E$4:$X$4,0)),0)</f>
        <v>0</v>
      </c>
      <c r="AF46">
        <f>IFERROR(INDEX('Exercise list'!$E$5:$X$102,MATCH($C46,'Exercise list'!$C$5:$C$102,0),MATCH(AF$5,'Exercise list'!$E$4:$X$4,0)),0)</f>
        <v>0</v>
      </c>
      <c r="AG46">
        <f>IFERROR(INDEX('Exercise list'!$E$5:$X$102,MATCH($C46,'Exercise list'!$C$5:$C$102,0),MATCH(AG$5,'Exercise list'!$E$4:$X$4,0)),0)</f>
        <v>0</v>
      </c>
      <c r="AH46">
        <f>IFERROR(INDEX('Exercise list'!$E$5:$X$102,MATCH($C46,'Exercise list'!$C$5:$C$102,0),MATCH(AH$5,'Exercise list'!$E$4:$X$4,0)),0)</f>
        <v>0</v>
      </c>
      <c r="AI46">
        <f>IFERROR(INDEX('Exercise list'!$E$5:$X$102,MATCH($C46,'Exercise list'!$C$5:$C$102,0),MATCH(AI$5,'Exercise list'!$E$4:$X$4,0)),0)</f>
        <v>0</v>
      </c>
      <c r="AK46">
        <f>IF(OR($J46=1,COUNTIFS($A$5:$A45,"&gt;="&amp;$A46-1,$A$5:$A45,"&lt;="&amp;$A46,$B$5:$B45,$B46)&gt;0,MIN(1-'Exercise list'!E$2,IF($A46=$A45,AK45,1))-P46&lt;0),-1,MIN(1,IF($A46=$A45,AK45,1)-P46+$D$2))</f>
        <v>1</v>
      </c>
      <c r="AL46">
        <f>IF(OR($J46=1,COUNTIFS($A$5:$A45,"&gt;="&amp;$A46-1,$A$5:$A45,"&lt;="&amp;$A46,$B$5:$B45,$B46)&gt;0,MIN(1-'Exercise list'!F$2,IF($A46=$A45,AL45,1))-Q46&lt;0),-1,MIN(1,IF($A46=$A45,AL45,1)-Q46+$D$2))</f>
        <v>1</v>
      </c>
      <c r="AM46">
        <f>IF(OR($J46=1,COUNTIFS($A$5:$A45,"&gt;="&amp;$A46-1,$A$5:$A45,"&lt;="&amp;$A46,$B$5:$B45,$B46)&gt;0,MIN(1-'Exercise list'!G$2,IF($A46=$A45,AM45,1))-R46&lt;0),-1,MIN(1,IF($A46=$A45,AM45,1)-R46+$D$2))</f>
        <v>1</v>
      </c>
      <c r="AN46">
        <f>IF(OR($J46=1,COUNTIFS($A$5:$A45,"&gt;="&amp;$A46-1,$A$5:$A45,"&lt;="&amp;$A46,$B$5:$B45,$B46)&gt;0,MIN(1-'Exercise list'!H$2,IF($A46=$A45,AN45,1))-S46&lt;0),-1,MIN(1,IF($A46=$A45,AN45,1)-S46+$D$2))</f>
        <v>1</v>
      </c>
      <c r="AO46">
        <f>IF(OR($J46=1,COUNTIFS($A$5:$A45,"&gt;="&amp;$A46-1,$A$5:$A45,"&lt;="&amp;$A46,$B$5:$B45,$B46)&gt;0,MIN(1-'Exercise list'!I$2,IF($A46=$A45,AO45,1))-T46&lt;0),-1,MIN(1,IF($A46=$A45,AO45,1)-T46+$D$2))</f>
        <v>1</v>
      </c>
      <c r="AP46">
        <f>IF(OR($J46=1,COUNTIFS($A$5:$A45,"&gt;="&amp;$A46-1,$A$5:$A45,"&lt;="&amp;$A46,$B$5:$B45,$B46)&gt;0,MIN(1-'Exercise list'!J$2,IF($A46=$A45,AP45,1))-U46&lt;0),-1,MIN(1,IF($A46=$A45,AP45,1)-U46+$D$2))</f>
        <v>1</v>
      </c>
      <c r="AQ46">
        <f>IF(OR($J46=1,COUNTIFS($A$5:$A45,"&gt;="&amp;$A46-1,$A$5:$A45,"&lt;="&amp;$A46,$B$5:$B45,$B46)&gt;0,MIN(1-'Exercise list'!K$2,IF($A46=$A45,AQ45,1))-V46&lt;0),-1,MIN(1,IF($A46=$A45,AQ45,1)-V46+$D$2))</f>
        <v>1</v>
      </c>
      <c r="AR46">
        <f>IF(OR($J46=1,COUNTIFS($A$5:$A45,"&gt;="&amp;$A46-1,$A$5:$A45,"&lt;="&amp;$A46,$B$5:$B45,$B46)&gt;0,MIN(1-'Exercise list'!L$2,IF($A46=$A45,AR45,1))-W46&lt;0),-1,MIN(1,IF($A46=$A45,AR45,1)-W46+$D$2))</f>
        <v>1</v>
      </c>
      <c r="AS46">
        <f>IF(OR($J46=1,COUNTIFS($A$5:$A45,"&gt;="&amp;$A46-1,$A$5:$A45,"&lt;="&amp;$A46,$B$5:$B45,$B46)&gt;0,MIN(1-'Exercise list'!M$2,IF($A46=$A45,AS45,1))-X46&lt;0),-1,MIN(1,IF($A46=$A45,AS45,1)-X46+$D$2))</f>
        <v>1</v>
      </c>
      <c r="AT46">
        <f>IF(OR($J46=1,COUNTIFS($A$5:$A45,"&gt;="&amp;$A46-1,$A$5:$A45,"&lt;="&amp;$A46,$B$5:$B45,$B46)&gt;0,MIN(1-'Exercise list'!N$2,IF($A46=$A45,AT45,1))-Y46&lt;0),-1,MIN(1,IF($A46=$A45,AT45,1)-Y46+$D$2))</f>
        <v>1</v>
      </c>
      <c r="AU46">
        <f>IF(OR($J46=1,COUNTIFS($A$5:$A45,"&gt;="&amp;$A46-1,$A$5:$A45,"&lt;="&amp;$A46,$B$5:$B45,$B46)&gt;0,MIN(1-'Exercise list'!O$2,IF($A46=$A45,AU45,1))-Z46&lt;0),-1,MIN(1,IF($A46=$A45,AU45,1)-Z46+$D$2))</f>
        <v>1</v>
      </c>
      <c r="AV46">
        <f>IF(OR($J46=1,COUNTIFS($A$5:$A45,"&gt;="&amp;$A46-1,$A$5:$A45,"&lt;="&amp;$A46,$B$5:$B45,$B46)&gt;0,MIN(1-'Exercise list'!P$2,IF($A46=$A45,AV45,1))-AA46&lt;0),-1,MIN(1,IF($A46=$A45,AV45,1)-AA46+$D$2))</f>
        <v>1</v>
      </c>
      <c r="AW46">
        <f>IF(OR($J46=1,COUNTIFS($A$5:$A45,"&gt;="&amp;$A46-1,$A$5:$A45,"&lt;="&amp;$A46,$B$5:$B45,$B46)&gt;0,MIN(1-'Exercise list'!Q$2,IF($A46=$A45,AW45,1))-AB46&lt;0),-1,MIN(1,IF($A46=$A45,AW45,1)-AB46+$D$2))</f>
        <v>1</v>
      </c>
      <c r="AX46">
        <f>IF(OR($J46=1,COUNTIFS($A$5:$A45,"&gt;="&amp;$A46-1,$A$5:$A45,"&lt;="&amp;$A46,$B$5:$B45,$B46)&gt;0,MIN(1-'Exercise list'!R$2,IF($A46=$A45,AX45,1))-AC46&lt;0),-1,MIN(1,IF($A46=$A45,AX45,1)-AC46+$D$2))</f>
        <v>1</v>
      </c>
      <c r="AY46">
        <f>IF(OR($J46=1,COUNTIFS($A$5:$A45,"&gt;="&amp;$A46-1,$A$5:$A45,"&lt;="&amp;$A46,$B$5:$B45,$B46)&gt;0,MIN(1-'Exercise list'!S$2,IF($A46=$A45,AY45,1))-AD46&lt;0),-1,MIN(1,IF($A46=$A45,AY45,1)-AD46+$D$2))</f>
        <v>1</v>
      </c>
      <c r="AZ46">
        <f>IF(OR($J46=1,COUNTIFS($A$5:$A45,"&gt;="&amp;$A46-1,$A$5:$A45,"&lt;="&amp;$A46,$B$5:$B45,$B46)&gt;0,MIN(1-'Exercise list'!T$2,IF($A46=$A45,AZ45,1))-AE46&lt;0),-1,MIN(1,IF($A46=$A45,AZ45,1)-AE46+$D$2))</f>
        <v>1</v>
      </c>
      <c r="BA46">
        <f>IF(OR($J46=1,COUNTIFS($A$5:$A45,"&gt;="&amp;$A46-1,$A$5:$A45,"&lt;="&amp;$A46,$B$5:$B45,$B46)&gt;0,MIN(1-'Exercise list'!U$2,IF($A46=$A45,BA45,1))-AF46&lt;0),-1,MIN(1,IF($A46=$A45,BA45,1)-AF46+$D$2))</f>
        <v>1</v>
      </c>
      <c r="BB46">
        <f>IF(OR($J46=1,COUNTIFS($A$5:$A45,"&gt;="&amp;$A46-1,$A$5:$A45,"&lt;="&amp;$A46,$B$5:$B45,$B46)&gt;0,MIN(1-'Exercise list'!V$2,IF($A46=$A45,BB45,1))-AG46&lt;0),-1,MIN(1,IF($A46=$A45,BB45,1)-AG46+$D$2))</f>
        <v>1</v>
      </c>
      <c r="BC46">
        <f>IF(OR($J46=1,COUNTIFS($A$5:$A45,"&gt;="&amp;$A46-1,$A$5:$A45,"&lt;="&amp;$A46,$B$5:$B45,$B46)&gt;0,MIN(1-'Exercise list'!W$2,IF($A46=$A45,BC45,1))-AH46&lt;0),-1,MIN(1,IF($A46=$A45,BC45,1)-AH46+$D$2))</f>
        <v>1</v>
      </c>
      <c r="BD46">
        <f>IF(OR($J46=1,COUNTIFS($A$5:$A45,"&gt;="&amp;$A46-1,$A$5:$A45,"&lt;="&amp;$A46,$B$5:$B45,$B46)&gt;0,MIN(1-'Exercise list'!X$2,IF($A46=$A45,BD45,1))-AI46&lt;0),-1,MIN(1,IF($A46=$A45,BD45,1)-AI46+$D$2))</f>
        <v>1</v>
      </c>
      <c r="BF46" s="16">
        <f t="shared" si="24"/>
        <v>7.8588580780903042E-2</v>
      </c>
      <c r="BG46" s="16">
        <f t="shared" si="25"/>
        <v>7.6204489700225406E-2</v>
      </c>
      <c r="BH46" s="16">
        <f t="shared" si="26"/>
        <v>0.12837313726489102</v>
      </c>
      <c r="BI46" s="16">
        <f t="shared" si="27"/>
        <v>0.12651585884597383</v>
      </c>
      <c r="BJ46" s="16">
        <f t="shared" si="28"/>
        <v>0.33927395370678975</v>
      </c>
      <c r="BK46" s="16">
        <f t="shared" si="29"/>
        <v>5.7343137896259916E-2</v>
      </c>
      <c r="BL46" s="16">
        <f t="shared" si="30"/>
        <v>9.71490001205325E-2</v>
      </c>
      <c r="BM46" s="16">
        <f t="shared" si="31"/>
        <v>6.6421021564453106E-2</v>
      </c>
      <c r="BN46" s="16">
        <f t="shared" si="32"/>
        <v>9.52947036656899E-2</v>
      </c>
      <c r="BO46" s="16">
        <f t="shared" si="33"/>
        <v>0.13435097575612218</v>
      </c>
      <c r="BP46" s="16">
        <f t="shared" si="34"/>
        <v>0.3756598699359649</v>
      </c>
      <c r="BQ46" s="16">
        <f t="shared" si="35"/>
        <v>4.669913786572269E-2</v>
      </c>
      <c r="BR46" s="16">
        <f t="shared" si="36"/>
        <v>0.21838234154181979</v>
      </c>
      <c r="BS46" s="16">
        <f t="shared" si="37"/>
        <v>2.1986282649544317E-2</v>
      </c>
      <c r="BT46" s="16">
        <f t="shared" si="38"/>
        <v>0.27555480100489815</v>
      </c>
      <c r="BU46" s="16">
        <f t="shared" si="39"/>
        <v>0.31390506709703642</v>
      </c>
      <c r="BV46" s="16">
        <f t="shared" si="40"/>
        <v>0.40990691926096551</v>
      </c>
      <c r="BW46" s="16">
        <f t="shared" si="41"/>
        <v>7.7696460058441691E-2</v>
      </c>
      <c r="BX46" s="16">
        <f t="shared" si="42"/>
        <v>7.702471867756544E-2</v>
      </c>
      <c r="BY46" s="16">
        <f t="shared" si="43"/>
        <v>2.6721778907314527E-2</v>
      </c>
      <c r="CA46" s="16">
        <f t="shared" si="4"/>
        <v>0.14682269598214243</v>
      </c>
      <c r="CB46" s="16">
        <f t="shared" si="5"/>
        <v>0.14920678706282009</v>
      </c>
      <c r="CC46" s="16">
        <f t="shared" si="6"/>
        <v>0</v>
      </c>
      <c r="CD46" s="16">
        <f t="shared" si="7"/>
        <v>0</v>
      </c>
      <c r="CE46" s="16">
        <f t="shared" si="8"/>
        <v>0</v>
      </c>
      <c r="CF46" s="16">
        <f t="shared" si="9"/>
        <v>0.28077377724830832</v>
      </c>
      <c r="CG46" s="16">
        <f t="shared" si="10"/>
        <v>1.5556638260990241E-2</v>
      </c>
      <c r="CH46" s="16">
        <f t="shared" si="11"/>
        <v>4.6284616817069635E-2</v>
      </c>
      <c r="CI46" s="16">
        <f t="shared" si="12"/>
        <v>0.13011657309735558</v>
      </c>
      <c r="CJ46" s="16">
        <f t="shared" si="13"/>
        <v>0</v>
      </c>
      <c r="CK46" s="16">
        <f t="shared" si="14"/>
        <v>0</v>
      </c>
      <c r="CL46" s="16">
        <f t="shared" si="15"/>
        <v>6.6006500515800051E-2</v>
      </c>
      <c r="CM46" s="16">
        <f t="shared" si="16"/>
        <v>7.0289352212256906E-3</v>
      </c>
      <c r="CN46" s="16">
        <f t="shared" si="17"/>
        <v>9.0719355731978424E-2</v>
      </c>
      <c r="CO46" s="16">
        <f t="shared" si="18"/>
        <v>0</v>
      </c>
      <c r="CP46" s="16">
        <f t="shared" si="19"/>
        <v>0</v>
      </c>
      <c r="CQ46" s="16">
        <f t="shared" si="20"/>
        <v>0</v>
      </c>
      <c r="CR46" s="16">
        <f t="shared" si="21"/>
        <v>3.500917832308105E-2</v>
      </c>
      <c r="CS46" s="16">
        <f t="shared" si="22"/>
        <v>3.5680919703957301E-2</v>
      </c>
      <c r="CT46" s="16">
        <f t="shared" si="23"/>
        <v>8.598385947420821E-2</v>
      </c>
    </row>
    <row r="47" spans="1:99" x14ac:dyDescent="0.25">
      <c r="A47" s="20">
        <v>45057</v>
      </c>
      <c r="B47" s="21">
        <v>3</v>
      </c>
      <c r="C47" s="22" t="s">
        <v>28</v>
      </c>
      <c r="D47" s="17">
        <f t="shared" si="45"/>
        <v>1</v>
      </c>
      <c r="E47" s="33">
        <f t="shared" si="1"/>
        <v>2.2533663377831439</v>
      </c>
      <c r="F47" s="65" cm="1">
        <f t="array" ref="F47">IF(B47="","",0.1+IFERROR(INDEX($F$6:$F46,SUMPRODUCT(MAX(ROW($C$6:$C46)*($C47=$C$6:$C46))-ROW($A$5)))*0.9^($A47-INDEX($A$6:A46,SUMPRODUCT(MAX(ROW($C$6:$C46)*($C47=$C$6:$C46))-ROW($A$5)))),0))</f>
        <v>0.1</v>
      </c>
      <c r="G47" s="25">
        <f>INDEX('Exercise list'!$Y$5:$Y$102,MATCH(C47,'Exercise list'!$C$5:$C$102,0))</f>
        <v>3</v>
      </c>
      <c r="H47" s="116">
        <f t="shared" si="46"/>
        <v>9.0690777074301343E-2</v>
      </c>
      <c r="I47" s="18">
        <f t="shared" si="47"/>
        <v>4</v>
      </c>
      <c r="J47" s="18">
        <v>0</v>
      </c>
      <c r="K47" s="17"/>
      <c r="L47" s="51" t="str" cm="1">
        <f t="array" ref="L47">IF(K47="","",INDEX('Exercise list'!$C$5:$C$102,K47))</f>
        <v/>
      </c>
      <c r="M47" s="18"/>
      <c r="N47" s="76" t="str" cm="1">
        <f t="array" ref="N47">IF(M47="","",INDEX('Exercise list'!$C$5:$C$102,M47))</f>
        <v/>
      </c>
      <c r="O47" s="19"/>
      <c r="P47" s="19">
        <f>IFERROR(INDEX('Exercise list'!$E$5:$X$102,MATCH($C47,'Exercise list'!$C$5:$C$102,0),MATCH(P$5,'Exercise list'!$E$4:$X$4,0)),0)</f>
        <v>0</v>
      </c>
      <c r="Q47" s="19">
        <f>IFERROR(INDEX('Exercise list'!$E$5:$X$102,MATCH($C47,'Exercise list'!$C$5:$C$102,0),MATCH(Q$5,'Exercise list'!$E$4:$X$4,0)),0)</f>
        <v>0</v>
      </c>
      <c r="R47" s="19">
        <f>IFERROR(INDEX('Exercise list'!$E$5:$X$102,MATCH($C47,'Exercise list'!$C$5:$C$102,0),MATCH(R$5,'Exercise list'!$E$4:$X$4,0)),0)</f>
        <v>0</v>
      </c>
      <c r="S47" s="19">
        <f>IFERROR(INDEX('Exercise list'!$E$5:$X$102,MATCH($C47,'Exercise list'!$C$5:$C$102,0),MATCH(S$5,'Exercise list'!$E$4:$X$4,0)),0)</f>
        <v>0</v>
      </c>
      <c r="T47" s="19">
        <f>IFERROR(INDEX('Exercise list'!$E$5:$X$102,MATCH($C47,'Exercise list'!$C$5:$C$102,0),MATCH(T$5,'Exercise list'!$E$4:$X$4,0)),0)</f>
        <v>0</v>
      </c>
      <c r="U47" s="19">
        <f>IFERROR(INDEX('Exercise list'!$E$5:$X$102,MATCH($C47,'Exercise list'!$C$5:$C$102,0),MATCH(U$5,'Exercise list'!$E$4:$X$4,0)),0)</f>
        <v>0</v>
      </c>
      <c r="V47" s="19">
        <f>IFERROR(INDEX('Exercise list'!$E$5:$X$102,MATCH($C47,'Exercise list'!$C$5:$C$102,0),MATCH(V$5,'Exercise list'!$E$4:$X$4,0)),0)</f>
        <v>0</v>
      </c>
      <c r="W47" s="19">
        <f>IFERROR(INDEX('Exercise list'!$E$5:$X$102,MATCH($C47,'Exercise list'!$C$5:$C$102,0),MATCH(W$5,'Exercise list'!$E$4:$X$4,0)),0)</f>
        <v>0</v>
      </c>
      <c r="X47" s="19">
        <f>IFERROR(INDEX('Exercise list'!$E$5:$X$102,MATCH($C47,'Exercise list'!$C$5:$C$102,0),MATCH(X$5,'Exercise list'!$E$4:$X$4,0)),0)</f>
        <v>0</v>
      </c>
      <c r="Y47" s="19">
        <f>IFERROR(INDEX('Exercise list'!$E$5:$X$102,MATCH($C47,'Exercise list'!$C$5:$C$102,0),MATCH(Y$5,'Exercise list'!$E$4:$X$4,0)),0)</f>
        <v>0</v>
      </c>
      <c r="Z47" s="19">
        <f>IFERROR(INDEX('Exercise list'!$E$5:$X$102,MATCH($C47,'Exercise list'!$C$5:$C$102,0),MATCH(Z$5,'Exercise list'!$E$4:$X$4,0)),0)</f>
        <v>0</v>
      </c>
      <c r="AA47" s="19">
        <f>IFERROR(INDEX('Exercise list'!$E$5:$X$102,MATCH($C47,'Exercise list'!$C$5:$C$102,0),MATCH(AA$5,'Exercise list'!$E$4:$X$4,0)),0)</f>
        <v>0</v>
      </c>
      <c r="AB47" s="19">
        <f>IFERROR(INDEX('Exercise list'!$E$5:$X$102,MATCH($C47,'Exercise list'!$C$5:$C$102,0),MATCH(AB$5,'Exercise list'!$E$4:$X$4,0)),0)</f>
        <v>0</v>
      </c>
      <c r="AC47" s="19">
        <f>IFERROR(INDEX('Exercise list'!$E$5:$X$102,MATCH($C47,'Exercise list'!$C$5:$C$102,0),MATCH(AC$5,'Exercise list'!$E$4:$X$4,0)),0)</f>
        <v>0</v>
      </c>
      <c r="AD47" s="19">
        <f>IFERROR(INDEX('Exercise list'!$E$5:$X$102,MATCH($C47,'Exercise list'!$C$5:$C$102,0),MATCH(AD$5,'Exercise list'!$E$4:$X$4,0)),0)</f>
        <v>1</v>
      </c>
      <c r="AE47" s="19">
        <f>IFERROR(INDEX('Exercise list'!$E$5:$X$102,MATCH($C47,'Exercise list'!$C$5:$C$102,0),MATCH(AE$5,'Exercise list'!$E$4:$X$4,0)),0)</f>
        <v>0.7</v>
      </c>
      <c r="AF47" s="19">
        <f>IFERROR(INDEX('Exercise list'!$E$5:$X$102,MATCH($C47,'Exercise list'!$C$5:$C$102,0),MATCH(AF$5,'Exercise list'!$E$4:$X$4,0)),0)</f>
        <v>0.7</v>
      </c>
      <c r="AG47" s="19">
        <f>IFERROR(INDEX('Exercise list'!$E$5:$X$102,MATCH($C47,'Exercise list'!$C$5:$C$102,0),MATCH(AG$5,'Exercise list'!$E$4:$X$4,0)),0)</f>
        <v>1</v>
      </c>
      <c r="AH47" s="19">
        <f>IFERROR(INDEX('Exercise list'!$E$5:$X$102,MATCH($C47,'Exercise list'!$C$5:$C$102,0),MATCH(AH$5,'Exercise list'!$E$4:$X$4,0)),0)</f>
        <v>0.5</v>
      </c>
      <c r="AI47" s="19">
        <f>IFERROR(INDEX('Exercise list'!$E$5:$X$102,MATCH($C47,'Exercise list'!$C$5:$C$102,0),MATCH(AI$5,'Exercise list'!$E$4:$X$4,0)),0)</f>
        <v>0</v>
      </c>
      <c r="AJ47" s="19"/>
      <c r="AK47" s="19">
        <f>IF(OR($J47=1,COUNTIFS($A$5:$A46,"&gt;="&amp;$A47-1,$A$5:$A46,"&lt;="&amp;$A47,$B$5:$B46,$B47)&gt;0,MIN(1-'Exercise list'!E$2,IF($A47=$A46,AK46,1))-P47&lt;0),-1,MIN(1,IF($A47=$A46,AK46,1)-P47+$D$2))</f>
        <v>1</v>
      </c>
      <c r="AL47" s="19">
        <f>IF(OR($J47=1,COUNTIFS($A$5:$A46,"&gt;="&amp;$A47-1,$A$5:$A46,"&lt;="&amp;$A47,$B$5:$B46,$B47)&gt;0,MIN(1-'Exercise list'!F$2,IF($A47=$A46,AL46,1))-Q47&lt;0),-1,MIN(1,IF($A47=$A46,AL46,1)-Q47+$D$2))</f>
        <v>1</v>
      </c>
      <c r="AM47" s="19">
        <f>IF(OR($J47=1,COUNTIFS($A$5:$A46,"&gt;="&amp;$A47-1,$A$5:$A46,"&lt;="&amp;$A47,$B$5:$B46,$B47)&gt;0,MIN(1-'Exercise list'!G$2,IF($A47=$A46,AM46,1))-R47&lt;0),-1,MIN(1,IF($A47=$A46,AM46,1)-R47+$D$2))</f>
        <v>1</v>
      </c>
      <c r="AN47" s="19">
        <f>IF(OR($J47=1,COUNTIFS($A$5:$A46,"&gt;="&amp;$A47-1,$A$5:$A46,"&lt;="&amp;$A47,$B$5:$B46,$B47)&gt;0,MIN(1-'Exercise list'!H$2,IF($A47=$A46,AN46,1))-S47&lt;0),-1,MIN(1,IF($A47=$A46,AN46,1)-S47+$D$2))</f>
        <v>1</v>
      </c>
      <c r="AO47" s="19">
        <f>IF(OR($J47=1,COUNTIFS($A$5:$A46,"&gt;="&amp;$A47-1,$A$5:$A46,"&lt;="&amp;$A47,$B$5:$B46,$B47)&gt;0,MIN(1-'Exercise list'!I$2,IF($A47=$A46,AO46,1))-T47&lt;0),-1,MIN(1,IF($A47=$A46,AO46,1)-T47+$D$2))</f>
        <v>1</v>
      </c>
      <c r="AP47" s="19">
        <f>IF(OR($J47=1,COUNTIFS($A$5:$A46,"&gt;="&amp;$A47-1,$A$5:$A46,"&lt;="&amp;$A47,$B$5:$B46,$B47)&gt;0,MIN(1-'Exercise list'!J$2,IF($A47=$A46,AP46,1))-U47&lt;0),-1,MIN(1,IF($A47=$A46,AP46,1)-U47+$D$2))</f>
        <v>1</v>
      </c>
      <c r="AQ47" s="19">
        <f>IF(OR($J47=1,COUNTIFS($A$5:$A46,"&gt;="&amp;$A47-1,$A$5:$A46,"&lt;="&amp;$A47,$B$5:$B46,$B47)&gt;0,MIN(1-'Exercise list'!K$2,IF($A47=$A46,AQ46,1))-V47&lt;0),-1,MIN(1,IF($A47=$A46,AQ46,1)-V47+$D$2))</f>
        <v>1</v>
      </c>
      <c r="AR47" s="19">
        <f>IF(OR($J47=1,COUNTIFS($A$5:$A46,"&gt;="&amp;$A47-1,$A$5:$A46,"&lt;="&amp;$A47,$B$5:$B46,$B47)&gt;0,MIN(1-'Exercise list'!L$2,IF($A47=$A46,AR46,1))-W47&lt;0),-1,MIN(1,IF($A47=$A46,AR46,1)-W47+$D$2))</f>
        <v>1</v>
      </c>
      <c r="AS47" s="19">
        <f>IF(OR($J47=1,COUNTIFS($A$5:$A46,"&gt;="&amp;$A47-1,$A$5:$A46,"&lt;="&amp;$A47,$B$5:$B46,$B47)&gt;0,MIN(1-'Exercise list'!M$2,IF($A47=$A46,AS46,1))-X47&lt;0),-1,MIN(1,IF($A47=$A46,AS46,1)-X47+$D$2))</f>
        <v>1</v>
      </c>
      <c r="AT47" s="19">
        <f>IF(OR($J47=1,COUNTIFS($A$5:$A46,"&gt;="&amp;$A47-1,$A$5:$A46,"&lt;="&amp;$A47,$B$5:$B46,$B47)&gt;0,MIN(1-'Exercise list'!N$2,IF($A47=$A46,AT46,1))-Y47&lt;0),-1,MIN(1,IF($A47=$A46,AT46,1)-Y47+$D$2))</f>
        <v>1</v>
      </c>
      <c r="AU47" s="19">
        <f>IF(OR($J47=1,COUNTIFS($A$5:$A46,"&gt;="&amp;$A47-1,$A$5:$A46,"&lt;="&amp;$A47,$B$5:$B46,$B47)&gt;0,MIN(1-'Exercise list'!O$2,IF($A47=$A46,AU46,1))-Z47&lt;0),-1,MIN(1,IF($A47=$A46,AU46,1)-Z47+$D$2))</f>
        <v>1</v>
      </c>
      <c r="AV47" s="19">
        <f>IF(OR($J47=1,COUNTIFS($A$5:$A46,"&gt;="&amp;$A47-1,$A$5:$A46,"&lt;="&amp;$A47,$B$5:$B46,$B47)&gt;0,MIN(1-'Exercise list'!P$2,IF($A47=$A46,AV46,1))-AA47&lt;0),-1,MIN(1,IF($A47=$A46,AV46,1)-AA47+$D$2))</f>
        <v>1</v>
      </c>
      <c r="AW47" s="19">
        <f>IF(OR($J47=1,COUNTIFS($A$5:$A46,"&gt;="&amp;$A47-1,$A$5:$A46,"&lt;="&amp;$A47,$B$5:$B46,$B47)&gt;0,MIN(1-'Exercise list'!Q$2,IF($A47=$A46,AW46,1))-AB47&lt;0),-1,MIN(1,IF($A47=$A46,AW46,1)-AB47+$D$2))</f>
        <v>1</v>
      </c>
      <c r="AX47" s="19">
        <f>IF(OR($J47=1,COUNTIFS($A$5:$A46,"&gt;="&amp;$A47-1,$A$5:$A46,"&lt;="&amp;$A47,$B$5:$B46,$B47)&gt;0,MIN(1-'Exercise list'!R$2,IF($A47=$A46,AX46,1))-AC47&lt;0),-1,MIN(1,IF($A47=$A46,AX46,1)-AC47+$D$2))</f>
        <v>1</v>
      </c>
      <c r="AY47" s="19">
        <f>IF(OR($J47=1,COUNTIFS($A$5:$A46,"&gt;="&amp;$A47-1,$A$5:$A46,"&lt;="&amp;$A47,$B$5:$B46,$B47)&gt;0,MIN(1-'Exercise list'!S$2,IF($A47=$A46,AY46,1))-AD47&lt;0),-1,MIN(1,IF($A47=$A46,AY46,1)-AD47+$D$2))</f>
        <v>1</v>
      </c>
      <c r="AZ47" s="19">
        <f>IF(OR($J47=1,COUNTIFS($A$5:$A46,"&gt;="&amp;$A47-1,$A$5:$A46,"&lt;="&amp;$A47,$B$5:$B46,$B47)&gt;0,MIN(1-'Exercise list'!T$2,IF($A47=$A46,AZ46,1))-AE47&lt;0),-1,MIN(1,IF($A47=$A46,AZ46,1)-AE47+$D$2))</f>
        <v>1</v>
      </c>
      <c r="BA47" s="19">
        <f>IF(OR($J47=1,COUNTIFS($A$5:$A46,"&gt;="&amp;$A47-1,$A$5:$A46,"&lt;="&amp;$A47,$B$5:$B46,$B47)&gt;0,MIN(1-'Exercise list'!U$2,IF($A47=$A46,BA46,1))-AF47&lt;0),-1,MIN(1,IF($A47=$A46,BA46,1)-AF47+$D$2))</f>
        <v>1</v>
      </c>
      <c r="BB47" s="19">
        <f>IF(OR($J47=1,COUNTIFS($A$5:$A46,"&gt;="&amp;$A47-1,$A$5:$A46,"&lt;="&amp;$A47,$B$5:$B46,$B47)&gt;0,MIN(1-'Exercise list'!V$2,IF($A47=$A46,BB46,1))-AG47&lt;0),-1,MIN(1,IF($A47=$A46,BB46,1)-AG47+$D$2))</f>
        <v>1</v>
      </c>
      <c r="BC47" s="19">
        <f>IF(OR($J47=1,COUNTIFS($A$5:$A46,"&gt;="&amp;$A47-1,$A$5:$A46,"&lt;="&amp;$A47,$B$5:$B46,$B47)&gt;0,MIN(1-'Exercise list'!W$2,IF($A47=$A46,BC46,1))-AH47&lt;0),-1,MIN(1,IF($A47=$A46,BC46,1)-AH47+$D$2))</f>
        <v>1</v>
      </c>
      <c r="BD47" s="19">
        <f>IF(OR($J47=1,COUNTIFS($A$5:$A46,"&gt;="&amp;$A47-1,$A$5:$A46,"&lt;="&amp;$A47,$B$5:$B46,$B47)&gt;0,MIN(1-'Exercise list'!X$2,IF($A47=$A46,BD46,1))-AI47&lt;0),-1,MIN(1,IF($A47=$A46,BD46,1)-AI47+$D$2))</f>
        <v>1</v>
      </c>
      <c r="BE47" s="19"/>
      <c r="BF47" s="23">
        <f t="shared" si="24"/>
        <v>7.8588580780903042E-2</v>
      </c>
      <c r="BG47" s="23">
        <f t="shared" si="25"/>
        <v>7.6204489700225406E-2</v>
      </c>
      <c r="BH47" s="23">
        <f t="shared" si="26"/>
        <v>0.12837313726489102</v>
      </c>
      <c r="BI47" s="23">
        <f t="shared" si="27"/>
        <v>0.12651585884597383</v>
      </c>
      <c r="BJ47" s="23">
        <f t="shared" si="28"/>
        <v>0.33927395370678975</v>
      </c>
      <c r="BK47" s="23">
        <f t="shared" si="29"/>
        <v>5.7343137896259916E-2</v>
      </c>
      <c r="BL47" s="23">
        <f t="shared" si="30"/>
        <v>9.71490001205325E-2</v>
      </c>
      <c r="BM47" s="23">
        <f t="shared" si="31"/>
        <v>6.6421021564453106E-2</v>
      </c>
      <c r="BN47" s="23">
        <f t="shared" si="32"/>
        <v>9.52947036656899E-2</v>
      </c>
      <c r="BO47" s="23">
        <f t="shared" si="33"/>
        <v>0.13435097575612218</v>
      </c>
      <c r="BP47" s="23">
        <f t="shared" si="34"/>
        <v>0.3756598699359649</v>
      </c>
      <c r="BQ47" s="23">
        <f t="shared" si="35"/>
        <v>4.669913786572269E-2</v>
      </c>
      <c r="BR47" s="23">
        <f t="shared" si="36"/>
        <v>0.21838234154181979</v>
      </c>
      <c r="BS47" s="23">
        <f t="shared" si="37"/>
        <v>2.1986282649544317E-2</v>
      </c>
      <c r="BT47" s="23">
        <f t="shared" si="38"/>
        <v>0.27555480100489815</v>
      </c>
      <c r="BU47" s="23">
        <f t="shared" si="39"/>
        <v>0.31390506709703642</v>
      </c>
      <c r="BV47" s="23">
        <f t="shared" si="40"/>
        <v>0.40990691926096551</v>
      </c>
      <c r="BW47" s="23">
        <f t="shared" si="41"/>
        <v>7.7696460058441691E-2</v>
      </c>
      <c r="BX47" s="23">
        <f t="shared" si="42"/>
        <v>7.702471867756544E-2</v>
      </c>
      <c r="BY47" s="23">
        <f t="shared" si="43"/>
        <v>2.6721778907314527E-2</v>
      </c>
      <c r="BZ47" s="19"/>
      <c r="CA47" s="23">
        <f t="shared" si="4"/>
        <v>0.14682269598214243</v>
      </c>
      <c r="CB47" s="23">
        <f t="shared" si="5"/>
        <v>0.14920678706282009</v>
      </c>
      <c r="CC47" s="23">
        <f t="shared" si="6"/>
        <v>0</v>
      </c>
      <c r="CD47" s="23">
        <f t="shared" si="7"/>
        <v>0</v>
      </c>
      <c r="CE47" s="23">
        <f t="shared" si="8"/>
        <v>0</v>
      </c>
      <c r="CF47" s="23">
        <f t="shared" si="9"/>
        <v>0.28077377724830832</v>
      </c>
      <c r="CG47" s="23">
        <f t="shared" si="10"/>
        <v>1.5556638260990241E-2</v>
      </c>
      <c r="CH47" s="23">
        <f t="shared" si="11"/>
        <v>4.6284616817069635E-2</v>
      </c>
      <c r="CI47" s="23">
        <f t="shared" si="12"/>
        <v>0.13011657309735558</v>
      </c>
      <c r="CJ47" s="23">
        <f t="shared" si="13"/>
        <v>0</v>
      </c>
      <c r="CK47" s="23">
        <f t="shared" si="14"/>
        <v>0</v>
      </c>
      <c r="CL47" s="23">
        <f t="shared" si="15"/>
        <v>6.6006500515800051E-2</v>
      </c>
      <c r="CM47" s="23">
        <f t="shared" si="16"/>
        <v>7.0289352212256906E-3</v>
      </c>
      <c r="CN47" s="23">
        <f t="shared" si="17"/>
        <v>9.0719355731978424E-2</v>
      </c>
      <c r="CO47" s="23">
        <f t="shared" si="18"/>
        <v>0</v>
      </c>
      <c r="CP47" s="23">
        <f t="shared" si="19"/>
        <v>0</v>
      </c>
      <c r="CQ47" s="23">
        <f t="shared" si="20"/>
        <v>0</v>
      </c>
      <c r="CR47" s="23">
        <f t="shared" si="21"/>
        <v>3.500917832308105E-2</v>
      </c>
      <c r="CS47" s="23">
        <f t="shared" si="22"/>
        <v>3.5680919703957301E-2</v>
      </c>
      <c r="CT47" s="23">
        <f t="shared" si="23"/>
        <v>8.598385947420821E-2</v>
      </c>
      <c r="CU47" s="19"/>
    </row>
    <row r="48" spans="1:99" x14ac:dyDescent="0.25">
      <c r="A48" s="13">
        <v>45060</v>
      </c>
      <c r="B48" s="14">
        <v>13</v>
      </c>
      <c r="C48" s="15" t="s">
        <v>122</v>
      </c>
      <c r="D48" s="12">
        <f t="shared" si="45"/>
        <v>1</v>
      </c>
      <c r="E48" s="32">
        <f t="shared" si="1"/>
        <v>1.7303014844728337</v>
      </c>
      <c r="F48" s="63" cm="1">
        <f t="array" ref="F48">IF(B48="","",0.1+IFERROR(INDEX($F$6:$F47,SUMPRODUCT(MAX(ROW($C$6:$C47)*($C48=$C$6:$C47))-ROW($A$5)))*0.9^($A48-INDEX($A$6:A47,SUMPRODUCT(MAX(ROW($C$6:$C47)*($C48=$C$6:$C47))-ROW($A$5)))),0))</f>
        <v>0.13138105960900004</v>
      </c>
      <c r="G48" s="64">
        <f>INDEX('Exercise list'!$Y$5:$Y$102,MATCH(C48,'Exercise list'!$C$5:$C$102,0))</f>
        <v>3</v>
      </c>
      <c r="H48" s="115">
        <f t="shared" si="46"/>
        <v>8.989600350903032E-2</v>
      </c>
      <c r="I48" s="42">
        <f t="shared" si="47"/>
        <v>1</v>
      </c>
      <c r="J48" s="6">
        <v>0</v>
      </c>
      <c r="K48" s="12"/>
      <c r="L48" s="74" t="str" cm="1">
        <f t="array" ref="L48">IF(K48="","",INDEX('Exercise list'!$C$5:$C$102,K48))</f>
        <v/>
      </c>
      <c r="M48" s="6"/>
      <c r="N48" s="75" t="str" cm="1">
        <f t="array" ref="N48">IF(M48="","",INDEX('Exercise list'!$C$5:$C$102,M48))</f>
        <v/>
      </c>
      <c r="P48">
        <f>IFERROR(INDEX('Exercise list'!$E$5:$X$102,MATCH($C48,'Exercise list'!$C$5:$C$102,0),MATCH(P$5,'Exercise list'!$E$4:$X$4,0)),0)</f>
        <v>0</v>
      </c>
      <c r="Q48">
        <f>IFERROR(INDEX('Exercise list'!$E$5:$X$102,MATCH($C48,'Exercise list'!$C$5:$C$102,0),MATCH(Q$5,'Exercise list'!$E$4:$X$4,0)),0)</f>
        <v>1</v>
      </c>
      <c r="R48">
        <f>IFERROR(INDEX('Exercise list'!$E$5:$X$102,MATCH($C48,'Exercise list'!$C$5:$C$102,0),MATCH(R$5,'Exercise list'!$E$4:$X$4,0)),0)</f>
        <v>0.7</v>
      </c>
      <c r="S48">
        <f>IFERROR(INDEX('Exercise list'!$E$5:$X$102,MATCH($C48,'Exercise list'!$C$5:$C$102,0),MATCH(S$5,'Exercise list'!$E$4:$X$4,0)),0)</f>
        <v>0.7</v>
      </c>
      <c r="T48">
        <f>IFERROR(INDEX('Exercise list'!$E$5:$X$102,MATCH($C48,'Exercise list'!$C$5:$C$102,0),MATCH(T$5,'Exercise list'!$E$4:$X$4,0)),0)</f>
        <v>0.8</v>
      </c>
      <c r="U48">
        <f>IFERROR(INDEX('Exercise list'!$E$5:$X$102,MATCH($C48,'Exercise list'!$C$5:$C$102,0),MATCH(U$5,'Exercise list'!$E$4:$X$4,0)),0)</f>
        <v>0</v>
      </c>
      <c r="V48">
        <f>IFERROR(INDEX('Exercise list'!$E$5:$X$102,MATCH($C48,'Exercise list'!$C$5:$C$102,0),MATCH(V$5,'Exercise list'!$E$4:$X$4,0)),0)</f>
        <v>0</v>
      </c>
      <c r="W48">
        <f>IFERROR(INDEX('Exercise list'!$E$5:$X$102,MATCH($C48,'Exercise list'!$C$5:$C$102,0),MATCH(W$5,'Exercise list'!$E$4:$X$4,0)),0)</f>
        <v>0</v>
      </c>
      <c r="X48">
        <f>IFERROR(INDEX('Exercise list'!$E$5:$X$102,MATCH($C48,'Exercise list'!$C$5:$C$102,0),MATCH(X$5,'Exercise list'!$E$4:$X$4,0)),0)</f>
        <v>0.5</v>
      </c>
      <c r="Y48">
        <f>IFERROR(INDEX('Exercise list'!$E$5:$X$102,MATCH($C48,'Exercise list'!$C$5:$C$102,0),MATCH(Y$5,'Exercise list'!$E$4:$X$4,0)),0)</f>
        <v>0</v>
      </c>
      <c r="Z48">
        <f>IFERROR(INDEX('Exercise list'!$E$5:$X$102,MATCH($C48,'Exercise list'!$C$5:$C$102,0),MATCH(Z$5,'Exercise list'!$E$4:$X$4,0)),0)</f>
        <v>0.5</v>
      </c>
      <c r="AA48">
        <f>IFERROR(INDEX('Exercise list'!$E$5:$X$102,MATCH($C48,'Exercise list'!$C$5:$C$102,0),MATCH(AA$5,'Exercise list'!$E$4:$X$4,0)),0)</f>
        <v>0</v>
      </c>
      <c r="AB48">
        <f>IFERROR(INDEX('Exercise list'!$E$5:$X$102,MATCH($C48,'Exercise list'!$C$5:$C$102,0),MATCH(AB$5,'Exercise list'!$E$4:$X$4,0)),0)</f>
        <v>0</v>
      </c>
      <c r="AC48">
        <f>IFERROR(INDEX('Exercise list'!$E$5:$X$102,MATCH($C48,'Exercise list'!$C$5:$C$102,0),MATCH(AC$5,'Exercise list'!$E$4:$X$4,0)),0)</f>
        <v>0</v>
      </c>
      <c r="AD48">
        <f>IFERROR(INDEX('Exercise list'!$E$5:$X$102,MATCH($C48,'Exercise list'!$C$5:$C$102,0),MATCH(AD$5,'Exercise list'!$E$4:$X$4,0)),0)</f>
        <v>0</v>
      </c>
      <c r="AE48">
        <f>IFERROR(INDEX('Exercise list'!$E$5:$X$102,MATCH($C48,'Exercise list'!$C$5:$C$102,0),MATCH(AE$5,'Exercise list'!$E$4:$X$4,0)),0)</f>
        <v>0</v>
      </c>
      <c r="AF48">
        <f>IFERROR(INDEX('Exercise list'!$E$5:$X$102,MATCH($C48,'Exercise list'!$C$5:$C$102,0),MATCH(AF$5,'Exercise list'!$E$4:$X$4,0)),0)</f>
        <v>0</v>
      </c>
      <c r="AG48">
        <f>IFERROR(INDEX('Exercise list'!$E$5:$X$102,MATCH($C48,'Exercise list'!$C$5:$C$102,0),MATCH(AG$5,'Exercise list'!$E$4:$X$4,0)),0)</f>
        <v>0</v>
      </c>
      <c r="AH48">
        <f>IFERROR(INDEX('Exercise list'!$E$5:$X$102,MATCH($C48,'Exercise list'!$C$5:$C$102,0),MATCH(AH$5,'Exercise list'!$E$4:$X$4,0)),0)</f>
        <v>0</v>
      </c>
      <c r="AI48">
        <f>IFERROR(INDEX('Exercise list'!$E$5:$X$102,MATCH($C48,'Exercise list'!$C$5:$C$102,0),MATCH(AI$5,'Exercise list'!$E$4:$X$4,0)),0)</f>
        <v>0</v>
      </c>
      <c r="AK48">
        <f>IF(OR($J48=1,COUNTIFS($A$5:$A47,"&gt;="&amp;$A48-1,$A$5:$A47,"&lt;="&amp;$A48,$B$5:$B47,$B48)&gt;0,MIN(1-'Exercise list'!E$2,IF($A48=$A47,AK47,1))-P48&lt;0),-1,MIN(1,IF($A48=$A47,AK47,1)-P48+$D$2))</f>
        <v>1</v>
      </c>
      <c r="AL48">
        <f>IF(OR($J48=1,COUNTIFS($A$5:$A47,"&gt;="&amp;$A48-1,$A$5:$A47,"&lt;="&amp;$A48,$B$5:$B47,$B48)&gt;0,MIN(1-'Exercise list'!F$2,IF($A48=$A47,AL47,1))-Q48&lt;0),-1,MIN(1,IF($A48=$A47,AL47,1)-Q48+$D$2))</f>
        <v>1</v>
      </c>
      <c r="AM48">
        <f>IF(OR($J48=1,COUNTIFS($A$5:$A47,"&gt;="&amp;$A48-1,$A$5:$A47,"&lt;="&amp;$A48,$B$5:$B47,$B48)&gt;0,MIN(1-'Exercise list'!G$2,IF($A48=$A47,AM47,1))-R48&lt;0),-1,MIN(1,IF($A48=$A47,AM47,1)-R48+$D$2))</f>
        <v>1</v>
      </c>
      <c r="AN48">
        <f>IF(OR($J48=1,COUNTIFS($A$5:$A47,"&gt;="&amp;$A48-1,$A$5:$A47,"&lt;="&amp;$A48,$B$5:$B47,$B48)&gt;0,MIN(1-'Exercise list'!H$2,IF($A48=$A47,AN47,1))-S48&lt;0),-1,MIN(1,IF($A48=$A47,AN47,1)-S48+$D$2))</f>
        <v>1</v>
      </c>
      <c r="AO48">
        <f>IF(OR($J48=1,COUNTIFS($A$5:$A47,"&gt;="&amp;$A48-1,$A$5:$A47,"&lt;="&amp;$A48,$B$5:$B47,$B48)&gt;0,MIN(1-'Exercise list'!I$2,IF($A48=$A47,AO47,1))-T48&lt;0),-1,MIN(1,IF($A48=$A47,AO47,1)-T48+$D$2))</f>
        <v>1</v>
      </c>
      <c r="AP48">
        <f>IF(OR($J48=1,COUNTIFS($A$5:$A47,"&gt;="&amp;$A48-1,$A$5:$A47,"&lt;="&amp;$A48,$B$5:$B47,$B48)&gt;0,MIN(1-'Exercise list'!J$2,IF($A48=$A47,AP47,1))-U48&lt;0),-1,MIN(1,IF($A48=$A47,AP47,1)-U48+$D$2))</f>
        <v>1</v>
      </c>
      <c r="AQ48">
        <f>IF(OR($J48=1,COUNTIFS($A$5:$A47,"&gt;="&amp;$A48-1,$A$5:$A47,"&lt;="&amp;$A48,$B$5:$B47,$B48)&gt;0,MIN(1-'Exercise list'!K$2,IF($A48=$A47,AQ47,1))-V48&lt;0),-1,MIN(1,IF($A48=$A47,AQ47,1)-V48+$D$2))</f>
        <v>1</v>
      </c>
      <c r="AR48">
        <f>IF(OR($J48=1,COUNTIFS($A$5:$A47,"&gt;="&amp;$A48-1,$A$5:$A47,"&lt;="&amp;$A48,$B$5:$B47,$B48)&gt;0,MIN(1-'Exercise list'!L$2,IF($A48=$A47,AR47,1))-W48&lt;0),-1,MIN(1,IF($A48=$A47,AR47,1)-W48+$D$2))</f>
        <v>1</v>
      </c>
      <c r="AS48">
        <f>IF(OR($J48=1,COUNTIFS($A$5:$A47,"&gt;="&amp;$A48-1,$A$5:$A47,"&lt;="&amp;$A48,$B$5:$B47,$B48)&gt;0,MIN(1-'Exercise list'!M$2,IF($A48=$A47,AS47,1))-X48&lt;0),-1,MIN(1,IF($A48=$A47,AS47,1)-X48+$D$2))</f>
        <v>1</v>
      </c>
      <c r="AT48">
        <f>IF(OR($J48=1,COUNTIFS($A$5:$A47,"&gt;="&amp;$A48-1,$A$5:$A47,"&lt;="&amp;$A48,$B$5:$B47,$B48)&gt;0,MIN(1-'Exercise list'!N$2,IF($A48=$A47,AT47,1))-Y48&lt;0),-1,MIN(1,IF($A48=$A47,AT47,1)-Y48+$D$2))</f>
        <v>1</v>
      </c>
      <c r="AU48">
        <f>IF(OR($J48=1,COUNTIFS($A$5:$A47,"&gt;="&amp;$A48-1,$A$5:$A47,"&lt;="&amp;$A48,$B$5:$B47,$B48)&gt;0,MIN(1-'Exercise list'!O$2,IF($A48=$A47,AU47,1))-Z48&lt;0),-1,MIN(1,IF($A48=$A47,AU47,1)-Z48+$D$2))</f>
        <v>1</v>
      </c>
      <c r="AV48">
        <f>IF(OR($J48=1,COUNTIFS($A$5:$A47,"&gt;="&amp;$A48-1,$A$5:$A47,"&lt;="&amp;$A48,$B$5:$B47,$B48)&gt;0,MIN(1-'Exercise list'!P$2,IF($A48=$A47,AV47,1))-AA48&lt;0),-1,MIN(1,IF($A48=$A47,AV47,1)-AA48+$D$2))</f>
        <v>1</v>
      </c>
      <c r="AW48">
        <f>IF(OR($J48=1,COUNTIFS($A$5:$A47,"&gt;="&amp;$A48-1,$A$5:$A47,"&lt;="&amp;$A48,$B$5:$B47,$B48)&gt;0,MIN(1-'Exercise list'!Q$2,IF($A48=$A47,AW47,1))-AB48&lt;0),-1,MIN(1,IF($A48=$A47,AW47,1)-AB48+$D$2))</f>
        <v>1</v>
      </c>
      <c r="AX48">
        <f>IF(OR($J48=1,COUNTIFS($A$5:$A47,"&gt;="&amp;$A48-1,$A$5:$A47,"&lt;="&amp;$A48,$B$5:$B47,$B48)&gt;0,MIN(1-'Exercise list'!R$2,IF($A48=$A47,AX47,1))-AC48&lt;0),-1,MIN(1,IF($A48=$A47,AX47,1)-AC48+$D$2))</f>
        <v>1</v>
      </c>
      <c r="AY48">
        <f>IF(OR($J48=1,COUNTIFS($A$5:$A47,"&gt;="&amp;$A48-1,$A$5:$A47,"&lt;="&amp;$A48,$B$5:$B47,$B48)&gt;0,MIN(1-'Exercise list'!S$2,IF($A48=$A47,AY47,1))-AD48&lt;0),-1,MIN(1,IF($A48=$A47,AY47,1)-AD48+$D$2))</f>
        <v>1</v>
      </c>
      <c r="AZ48">
        <f>IF(OR($J48=1,COUNTIFS($A$5:$A47,"&gt;="&amp;$A48-1,$A$5:$A47,"&lt;="&amp;$A48,$B$5:$B47,$B48)&gt;0,MIN(1-'Exercise list'!T$2,IF($A48=$A47,AZ47,1))-AE48&lt;0),-1,MIN(1,IF($A48=$A47,AZ47,1)-AE48+$D$2))</f>
        <v>1</v>
      </c>
      <c r="BA48">
        <f>IF(OR($J48=1,COUNTIFS($A$5:$A47,"&gt;="&amp;$A48-1,$A$5:$A47,"&lt;="&amp;$A48,$B$5:$B47,$B48)&gt;0,MIN(1-'Exercise list'!U$2,IF($A48=$A47,BA47,1))-AF48&lt;0),-1,MIN(1,IF($A48=$A47,BA47,1)-AF48+$D$2))</f>
        <v>1</v>
      </c>
      <c r="BB48">
        <f>IF(OR($J48=1,COUNTIFS($A$5:$A47,"&gt;="&amp;$A48-1,$A$5:$A47,"&lt;="&amp;$A48,$B$5:$B47,$B48)&gt;0,MIN(1-'Exercise list'!V$2,IF($A48=$A47,BB47,1))-AG48&lt;0),-1,MIN(1,IF($A48=$A47,BB47,1)-AG48+$D$2))</f>
        <v>1</v>
      </c>
      <c r="BC48">
        <f>IF(OR($J48=1,COUNTIFS($A$5:$A47,"&gt;="&amp;$A48-1,$A$5:$A47,"&lt;="&amp;$A48,$B$5:$B47,$B48)&gt;0,MIN(1-'Exercise list'!W$2,IF($A48=$A47,BC47,1))-AH48&lt;0),-1,MIN(1,IF($A48=$A47,BC47,1)-AH48+$D$2))</f>
        <v>1</v>
      </c>
      <c r="BD48">
        <f>IF(OR($J48=1,COUNTIFS($A$5:$A47,"&gt;="&amp;$A48-1,$A$5:$A47,"&lt;="&amp;$A48,$B$5:$B47,$B48)&gt;0,MIN(1-'Exercise list'!X$2,IF($A48=$A47,BD47,1))-AI48&lt;0),-1,MIN(1,IF($A48=$A47,BD47,1)-AI48+$D$2))</f>
        <v>1</v>
      </c>
      <c r="BF48" s="16">
        <f t="shared" si="24"/>
        <v>7.4659151741857888E-2</v>
      </c>
      <c r="BG48" s="16">
        <f t="shared" si="25"/>
        <v>0.12239426521521414</v>
      </c>
      <c r="BH48" s="16">
        <f t="shared" si="26"/>
        <v>0.15695448040164647</v>
      </c>
      <c r="BI48" s="16">
        <f t="shared" si="27"/>
        <v>0.15519006590367512</v>
      </c>
      <c r="BJ48" s="16">
        <f t="shared" si="28"/>
        <v>0.36231025602145028</v>
      </c>
      <c r="BK48" s="16">
        <f t="shared" si="29"/>
        <v>5.4475981001446919E-2</v>
      </c>
      <c r="BL48" s="16">
        <f t="shared" si="30"/>
        <v>9.2291550114505877E-2</v>
      </c>
      <c r="BM48" s="16">
        <f t="shared" si="31"/>
        <v>6.309997048623045E-2</v>
      </c>
      <c r="BN48" s="16">
        <f t="shared" si="32"/>
        <v>0.1155299684824054</v>
      </c>
      <c r="BO48" s="16">
        <f t="shared" si="33"/>
        <v>0.12763342696831606</v>
      </c>
      <c r="BP48" s="16">
        <f t="shared" si="34"/>
        <v>0.38187687643916668</v>
      </c>
      <c r="BQ48" s="16">
        <f t="shared" si="35"/>
        <v>4.4364180972436551E-2</v>
      </c>
      <c r="BR48" s="16">
        <f t="shared" si="36"/>
        <v>0.20746322446472878</v>
      </c>
      <c r="BS48" s="16">
        <f t="shared" si="37"/>
        <v>2.08869685170671E-2</v>
      </c>
      <c r="BT48" s="16">
        <f t="shared" si="38"/>
        <v>0.26177706095465325</v>
      </c>
      <c r="BU48" s="16">
        <f t="shared" si="39"/>
        <v>0.29820981374218458</v>
      </c>
      <c r="BV48" s="16">
        <f t="shared" si="40"/>
        <v>0.3894115732979172</v>
      </c>
      <c r="BW48" s="16">
        <f t="shared" si="41"/>
        <v>7.3811637055519602E-2</v>
      </c>
      <c r="BX48" s="16">
        <f t="shared" si="42"/>
        <v>7.3173482743687165E-2</v>
      </c>
      <c r="BY48" s="16">
        <f t="shared" si="43"/>
        <v>2.5385689961948801E-2</v>
      </c>
      <c r="CA48" s="16">
        <f t="shared" si="4"/>
        <v>0.15503711673859091</v>
      </c>
      <c r="CB48" s="16">
        <f t="shared" si="5"/>
        <v>0.10730200326523466</v>
      </c>
      <c r="CC48" s="16">
        <f t="shared" si="6"/>
        <v>0</v>
      </c>
      <c r="CD48" s="16">
        <f t="shared" si="7"/>
        <v>0</v>
      </c>
      <c r="CE48" s="16">
        <f t="shared" si="8"/>
        <v>0</v>
      </c>
      <c r="CF48" s="16">
        <f t="shared" si="9"/>
        <v>0.29006842171922631</v>
      </c>
      <c r="CG48" s="16">
        <f t="shared" si="10"/>
        <v>2.2556584125718523E-2</v>
      </c>
      <c r="CH48" s="16">
        <f t="shared" si="11"/>
        <v>5.174816375399395E-2</v>
      </c>
      <c r="CI48" s="16">
        <f t="shared" si="12"/>
        <v>0.1141662999980434</v>
      </c>
      <c r="CJ48" s="16">
        <f t="shared" si="13"/>
        <v>0</v>
      </c>
      <c r="CK48" s="16">
        <f t="shared" si="14"/>
        <v>0</v>
      </c>
      <c r="CL48" s="16">
        <f t="shared" si="15"/>
        <v>7.0483953267787849E-2</v>
      </c>
      <c r="CM48" s="16">
        <f t="shared" si="16"/>
        <v>2.2233044015720016E-2</v>
      </c>
      <c r="CN48" s="16">
        <f t="shared" si="17"/>
        <v>9.3961165723157297E-2</v>
      </c>
      <c r="CO48" s="16">
        <f t="shared" si="18"/>
        <v>0</v>
      </c>
      <c r="CP48" s="16">
        <f t="shared" si="19"/>
        <v>0</v>
      </c>
      <c r="CQ48" s="16">
        <f t="shared" si="20"/>
        <v>0</v>
      </c>
      <c r="CR48" s="16">
        <f t="shared" si="21"/>
        <v>4.1036497184704798E-2</v>
      </c>
      <c r="CS48" s="16">
        <f t="shared" si="22"/>
        <v>4.1674651496537235E-2</v>
      </c>
      <c r="CT48" s="16">
        <f t="shared" si="23"/>
        <v>8.9462444278275599E-2</v>
      </c>
    </row>
    <row r="49" spans="1:100" x14ac:dyDescent="0.25">
      <c r="A49" s="13">
        <v>45060</v>
      </c>
      <c r="B49" s="14">
        <v>9</v>
      </c>
      <c r="C49" s="15" t="s">
        <v>118</v>
      </c>
      <c r="D49" s="12">
        <f t="shared" si="45"/>
        <v>1</v>
      </c>
      <c r="E49" s="32">
        <f t="shared" si="1"/>
        <v>0.99060517879498444</v>
      </c>
      <c r="F49" s="63" cm="1">
        <f t="array" ref="F49">IF(B49="","",0.1+IFERROR(INDEX($F$6:$F48,SUMPRODUCT(MAX(ROW($C$6:$C48)*($C49=$C$6:$C48))-ROW($A$5)))*0.9^($A49-INDEX($A$6:A48,SUMPRODUCT(MAX(ROW($C$6:$C48)*($C49=$C$6:$C48))-ROW($A$5)))),0))</f>
        <v>0.14782969000000001</v>
      </c>
      <c r="G49" s="64">
        <f>INDEX('Exercise list'!$Y$5:$Y$102,MATCH(C49,'Exercise list'!$C$5:$C$102,0))</f>
        <v>2</v>
      </c>
      <c r="H49" s="115">
        <f t="shared" si="46"/>
        <v>9.2218630355278511E-2</v>
      </c>
      <c r="I49" s="6">
        <f t="shared" si="47"/>
        <v>2</v>
      </c>
      <c r="J49" s="6">
        <v>0</v>
      </c>
      <c r="K49" s="12"/>
      <c r="L49" s="74" t="str" cm="1">
        <f t="array" ref="L49">IF(K49="","",INDEX('Exercise list'!$C$5:$C$102,K49))</f>
        <v/>
      </c>
      <c r="M49" s="6"/>
      <c r="N49" s="75" t="str" cm="1">
        <f t="array" ref="N49">IF(M49="","",INDEX('Exercise list'!$C$5:$C$102,M49))</f>
        <v/>
      </c>
      <c r="P49">
        <f>IFERROR(INDEX('Exercise list'!$E$5:$X$102,MATCH($C49,'Exercise list'!$C$5:$C$102,0),MATCH(P$5,'Exercise list'!$E$4:$X$4,0)),0)</f>
        <v>0</v>
      </c>
      <c r="Q49">
        <f>IFERROR(INDEX('Exercise list'!$E$5:$X$102,MATCH($C49,'Exercise list'!$C$5:$C$102,0),MATCH(Q$5,'Exercise list'!$E$4:$X$4,0)),0)</f>
        <v>0</v>
      </c>
      <c r="R49">
        <f>IFERROR(INDEX('Exercise list'!$E$5:$X$102,MATCH($C49,'Exercise list'!$C$5:$C$102,0),MATCH(R$5,'Exercise list'!$E$4:$X$4,0)),0)</f>
        <v>0</v>
      </c>
      <c r="S49">
        <f>IFERROR(INDEX('Exercise list'!$E$5:$X$102,MATCH($C49,'Exercise list'!$C$5:$C$102,0),MATCH(S$5,'Exercise list'!$E$4:$X$4,0)),0)</f>
        <v>0</v>
      </c>
      <c r="T49">
        <f>IFERROR(INDEX('Exercise list'!$E$5:$X$102,MATCH($C49,'Exercise list'!$C$5:$C$102,0),MATCH(T$5,'Exercise list'!$E$4:$X$4,0)),0)</f>
        <v>0</v>
      </c>
      <c r="U49">
        <f>IFERROR(INDEX('Exercise list'!$E$5:$X$102,MATCH($C49,'Exercise list'!$C$5:$C$102,0),MATCH(U$5,'Exercise list'!$E$4:$X$4,0)),0)</f>
        <v>0</v>
      </c>
      <c r="V49">
        <f>IFERROR(INDEX('Exercise list'!$E$5:$X$102,MATCH($C49,'Exercise list'!$C$5:$C$102,0),MATCH(V$5,'Exercise list'!$E$4:$X$4,0)),0)</f>
        <v>0</v>
      </c>
      <c r="W49">
        <f>IFERROR(INDEX('Exercise list'!$E$5:$X$102,MATCH($C49,'Exercise list'!$C$5:$C$102,0),MATCH(W$5,'Exercise list'!$E$4:$X$4,0)),0)</f>
        <v>0</v>
      </c>
      <c r="X49">
        <f>IFERROR(INDEX('Exercise list'!$E$5:$X$102,MATCH($C49,'Exercise list'!$C$5:$C$102,0),MATCH(X$5,'Exercise list'!$E$4:$X$4,0)),0)</f>
        <v>0</v>
      </c>
      <c r="Y49">
        <f>IFERROR(INDEX('Exercise list'!$E$5:$X$102,MATCH($C49,'Exercise list'!$C$5:$C$102,0),MATCH(Y$5,'Exercise list'!$E$4:$X$4,0)),0)</f>
        <v>0</v>
      </c>
      <c r="Z49">
        <f>IFERROR(INDEX('Exercise list'!$E$5:$X$102,MATCH($C49,'Exercise list'!$C$5:$C$102,0),MATCH(Z$5,'Exercise list'!$E$4:$X$4,0)),0)</f>
        <v>0</v>
      </c>
      <c r="AA49">
        <f>IFERROR(INDEX('Exercise list'!$E$5:$X$102,MATCH($C49,'Exercise list'!$C$5:$C$102,0),MATCH(AA$5,'Exercise list'!$E$4:$X$4,0)),0)</f>
        <v>0</v>
      </c>
      <c r="AB49">
        <f>IFERROR(INDEX('Exercise list'!$E$5:$X$102,MATCH($C49,'Exercise list'!$C$5:$C$102,0),MATCH(AB$5,'Exercise list'!$E$4:$X$4,0)),0)</f>
        <v>0</v>
      </c>
      <c r="AC49">
        <f>IFERROR(INDEX('Exercise list'!$E$5:$X$102,MATCH($C49,'Exercise list'!$C$5:$C$102,0),MATCH(AC$5,'Exercise list'!$E$4:$X$4,0)),0)</f>
        <v>0</v>
      </c>
      <c r="AD49">
        <f>IFERROR(INDEX('Exercise list'!$E$5:$X$102,MATCH($C49,'Exercise list'!$C$5:$C$102,0),MATCH(AD$5,'Exercise list'!$E$4:$X$4,0)),0)</f>
        <v>0.9</v>
      </c>
      <c r="AE49">
        <f>IFERROR(INDEX('Exercise list'!$E$5:$X$102,MATCH($C49,'Exercise list'!$C$5:$C$102,0),MATCH(AE$5,'Exercise list'!$E$4:$X$4,0)),0)</f>
        <v>0.7</v>
      </c>
      <c r="AF49">
        <f>IFERROR(INDEX('Exercise list'!$E$5:$X$102,MATCH($C49,'Exercise list'!$C$5:$C$102,0),MATCH(AF$5,'Exercise list'!$E$4:$X$4,0)),0)</f>
        <v>0.9</v>
      </c>
      <c r="AG49">
        <f>IFERROR(INDEX('Exercise list'!$E$5:$X$102,MATCH($C49,'Exercise list'!$C$5:$C$102,0),MATCH(AG$5,'Exercise list'!$E$4:$X$4,0)),0)</f>
        <v>0.5</v>
      </c>
      <c r="AH49">
        <f>IFERROR(INDEX('Exercise list'!$E$5:$X$102,MATCH($C49,'Exercise list'!$C$5:$C$102,0),MATCH(AH$5,'Exercise list'!$E$4:$X$4,0)),0)</f>
        <v>0.6</v>
      </c>
      <c r="AI49">
        <f>IFERROR(INDEX('Exercise list'!$E$5:$X$102,MATCH($C49,'Exercise list'!$C$5:$C$102,0),MATCH(AI$5,'Exercise list'!$E$4:$X$4,0)),0)</f>
        <v>0</v>
      </c>
      <c r="AK49">
        <f>IF(OR($J49=1,COUNTIFS($A$5:$A48,"&gt;="&amp;$A49-1,$A$5:$A48,"&lt;="&amp;$A49,$B$5:$B48,$B49)&gt;0,MIN(1-'Exercise list'!E$2,IF($A49=$A48,AK48,1))-P49&lt;0),-1,MIN(1,IF($A49=$A48,AK48,1)-P49+$D$2))</f>
        <v>1</v>
      </c>
      <c r="AL49">
        <f>IF(OR($J49=1,COUNTIFS($A$5:$A48,"&gt;="&amp;$A49-1,$A$5:$A48,"&lt;="&amp;$A49,$B$5:$B48,$B49)&gt;0,MIN(1-'Exercise list'!F$2,IF($A49=$A48,AL48,1))-Q49&lt;0),-1,MIN(1,IF($A49=$A48,AL48,1)-Q49+$D$2))</f>
        <v>1</v>
      </c>
      <c r="AM49">
        <f>IF(OR($J49=1,COUNTIFS($A$5:$A48,"&gt;="&amp;$A49-1,$A$5:$A48,"&lt;="&amp;$A49,$B$5:$B48,$B49)&gt;0,MIN(1-'Exercise list'!G$2,IF($A49=$A48,AM48,1))-R49&lt;0),-1,MIN(1,IF($A49=$A48,AM48,1)-R49+$D$2))</f>
        <v>1</v>
      </c>
      <c r="AN49">
        <f>IF(OR($J49=1,COUNTIFS($A$5:$A48,"&gt;="&amp;$A49-1,$A$5:$A48,"&lt;="&amp;$A49,$B$5:$B48,$B49)&gt;0,MIN(1-'Exercise list'!H$2,IF($A49=$A48,AN48,1))-S49&lt;0),-1,MIN(1,IF($A49=$A48,AN48,1)-S49+$D$2))</f>
        <v>1</v>
      </c>
      <c r="AO49">
        <f>IF(OR($J49=1,COUNTIFS($A$5:$A48,"&gt;="&amp;$A49-1,$A$5:$A48,"&lt;="&amp;$A49,$B$5:$B48,$B49)&gt;0,MIN(1-'Exercise list'!I$2,IF($A49=$A48,AO48,1))-T49&lt;0),-1,MIN(1,IF($A49=$A48,AO48,1)-T49+$D$2))</f>
        <v>1</v>
      </c>
      <c r="AP49">
        <f>IF(OR($J49=1,COUNTIFS($A$5:$A48,"&gt;="&amp;$A49-1,$A$5:$A48,"&lt;="&amp;$A49,$B$5:$B48,$B49)&gt;0,MIN(1-'Exercise list'!J$2,IF($A49=$A48,AP48,1))-U49&lt;0),-1,MIN(1,IF($A49=$A48,AP48,1)-U49+$D$2))</f>
        <v>1</v>
      </c>
      <c r="AQ49">
        <f>IF(OR($J49=1,COUNTIFS($A$5:$A48,"&gt;="&amp;$A49-1,$A$5:$A48,"&lt;="&amp;$A49,$B$5:$B48,$B49)&gt;0,MIN(1-'Exercise list'!K$2,IF($A49=$A48,AQ48,1))-V49&lt;0),-1,MIN(1,IF($A49=$A48,AQ48,1)-V49+$D$2))</f>
        <v>1</v>
      </c>
      <c r="AR49">
        <f>IF(OR($J49=1,COUNTIFS($A$5:$A48,"&gt;="&amp;$A49-1,$A$5:$A48,"&lt;="&amp;$A49,$B$5:$B48,$B49)&gt;0,MIN(1-'Exercise list'!L$2,IF($A49=$A48,AR48,1))-W49&lt;0),-1,MIN(1,IF($A49=$A48,AR48,1)-W49+$D$2))</f>
        <v>1</v>
      </c>
      <c r="AS49">
        <f>IF(OR($J49=1,COUNTIFS($A$5:$A48,"&gt;="&amp;$A49-1,$A$5:$A48,"&lt;="&amp;$A49,$B$5:$B48,$B49)&gt;0,MIN(1-'Exercise list'!M$2,IF($A49=$A48,AS48,1))-X49&lt;0),-1,MIN(1,IF($A49=$A48,AS48,1)-X49+$D$2))</f>
        <v>1</v>
      </c>
      <c r="AT49">
        <f>IF(OR($J49=1,COUNTIFS($A$5:$A48,"&gt;="&amp;$A49-1,$A$5:$A48,"&lt;="&amp;$A49,$B$5:$B48,$B49)&gt;0,MIN(1-'Exercise list'!N$2,IF($A49=$A48,AT48,1))-Y49&lt;0),-1,MIN(1,IF($A49=$A48,AT48,1)-Y49+$D$2))</f>
        <v>1</v>
      </c>
      <c r="AU49">
        <f>IF(OR($J49=1,COUNTIFS($A$5:$A48,"&gt;="&amp;$A49-1,$A$5:$A48,"&lt;="&amp;$A49,$B$5:$B48,$B49)&gt;0,MIN(1-'Exercise list'!O$2,IF($A49=$A48,AU48,1))-Z49&lt;0),-1,MIN(1,IF($A49=$A48,AU48,1)-Z49+$D$2))</f>
        <v>1</v>
      </c>
      <c r="AV49">
        <f>IF(OR($J49=1,COUNTIFS($A$5:$A48,"&gt;="&amp;$A49-1,$A$5:$A48,"&lt;="&amp;$A49,$B$5:$B48,$B49)&gt;0,MIN(1-'Exercise list'!P$2,IF($A49=$A48,AV48,1))-AA49&lt;0),-1,MIN(1,IF($A49=$A48,AV48,1)-AA49+$D$2))</f>
        <v>1</v>
      </c>
      <c r="AW49">
        <f>IF(OR($J49=1,COUNTIFS($A$5:$A48,"&gt;="&amp;$A49-1,$A$5:$A48,"&lt;="&amp;$A49,$B$5:$B48,$B49)&gt;0,MIN(1-'Exercise list'!Q$2,IF($A49=$A48,AW48,1))-AB49&lt;0),-1,MIN(1,IF($A49=$A48,AW48,1)-AB49+$D$2))</f>
        <v>1</v>
      </c>
      <c r="AX49">
        <f>IF(OR($J49=1,COUNTIFS($A$5:$A48,"&gt;="&amp;$A49-1,$A$5:$A48,"&lt;="&amp;$A49,$B$5:$B48,$B49)&gt;0,MIN(1-'Exercise list'!R$2,IF($A49=$A48,AX48,1))-AC49&lt;0),-1,MIN(1,IF($A49=$A48,AX48,1)-AC49+$D$2))</f>
        <v>1</v>
      </c>
      <c r="AY49">
        <f>IF(OR($J49=1,COUNTIFS($A$5:$A48,"&gt;="&amp;$A49-1,$A$5:$A48,"&lt;="&amp;$A49,$B$5:$B48,$B49)&gt;0,MIN(1-'Exercise list'!S$2,IF($A49=$A48,AY48,1))-AD49&lt;0),-1,MIN(1,IF($A49=$A48,AY48,1)-AD49+$D$2))</f>
        <v>1</v>
      </c>
      <c r="AZ49">
        <f>IF(OR($J49=1,COUNTIFS($A$5:$A48,"&gt;="&amp;$A49-1,$A$5:$A48,"&lt;="&amp;$A49,$B$5:$B48,$B49)&gt;0,MIN(1-'Exercise list'!T$2,IF($A49=$A48,AZ48,1))-AE49&lt;0),-1,MIN(1,IF($A49=$A48,AZ48,1)-AE49+$D$2))</f>
        <v>1</v>
      </c>
      <c r="BA49">
        <f>IF(OR($J49=1,COUNTIFS($A$5:$A48,"&gt;="&amp;$A49-1,$A$5:$A48,"&lt;="&amp;$A49,$B$5:$B48,$B49)&gt;0,MIN(1-'Exercise list'!U$2,IF($A49=$A48,BA48,1))-AF49&lt;0),-1,MIN(1,IF($A49=$A48,BA48,1)-AF49+$D$2))</f>
        <v>1</v>
      </c>
      <c r="BB49">
        <f>IF(OR($J49=1,COUNTIFS($A$5:$A48,"&gt;="&amp;$A49-1,$A$5:$A48,"&lt;="&amp;$A49,$B$5:$B48,$B49)&gt;0,MIN(1-'Exercise list'!V$2,IF($A49=$A48,BB48,1))-AG49&lt;0),-1,MIN(1,IF($A49=$A48,BB48,1)-AG49+$D$2))</f>
        <v>1</v>
      </c>
      <c r="BC49">
        <f>IF(OR($J49=1,COUNTIFS($A$5:$A48,"&gt;="&amp;$A49-1,$A$5:$A48,"&lt;="&amp;$A49,$B$5:$B48,$B49)&gt;0,MIN(1-'Exercise list'!W$2,IF($A49=$A48,BC48,1))-AH49&lt;0),-1,MIN(1,IF($A49=$A48,BC48,1)-AH49+$D$2))</f>
        <v>1</v>
      </c>
      <c r="BD49">
        <f>IF(OR($J49=1,COUNTIFS($A$5:$A48,"&gt;="&amp;$A49-1,$A$5:$A48,"&lt;="&amp;$A49,$B$5:$B48,$B49)&gt;0,MIN(1-'Exercise list'!X$2,IF($A49=$A48,BD48,1))-AI49&lt;0),-1,MIN(1,IF($A49=$A48,BD48,1)-AI49+$D$2))</f>
        <v>1</v>
      </c>
      <c r="BF49" s="16">
        <f t="shared" si="24"/>
        <v>7.092619415476499E-2</v>
      </c>
      <c r="BG49" s="16">
        <f t="shared" si="25"/>
        <v>0.11627455195445342</v>
      </c>
      <c r="BH49" s="16">
        <f t="shared" si="26"/>
        <v>0.14910675638156415</v>
      </c>
      <c r="BI49" s="16">
        <f t="shared" si="27"/>
        <v>0.14743056260849136</v>
      </c>
      <c r="BJ49" s="16">
        <f t="shared" si="28"/>
        <v>0.34419474322037774</v>
      </c>
      <c r="BK49" s="16">
        <f t="shared" si="29"/>
        <v>5.1752181951374571E-2</v>
      </c>
      <c r="BL49" s="16">
        <f t="shared" si="30"/>
        <v>8.7676972608780573E-2</v>
      </c>
      <c r="BM49" s="16">
        <f t="shared" si="31"/>
        <v>5.9944971961918926E-2</v>
      </c>
      <c r="BN49" s="16">
        <f t="shared" si="32"/>
        <v>0.10975347005828513</v>
      </c>
      <c r="BO49" s="16">
        <f t="shared" si="33"/>
        <v>0.12125175561990024</v>
      </c>
      <c r="BP49" s="16">
        <f t="shared" si="34"/>
        <v>0.36278303261720835</v>
      </c>
      <c r="BQ49" s="16">
        <f t="shared" si="35"/>
        <v>4.2145971923814723E-2</v>
      </c>
      <c r="BR49" s="16">
        <f t="shared" si="36"/>
        <v>0.19709006324149234</v>
      </c>
      <c r="BS49" s="16">
        <f t="shared" si="37"/>
        <v>1.9842620091213743E-2</v>
      </c>
      <c r="BT49" s="16">
        <f t="shared" si="38"/>
        <v>0.29368820790692057</v>
      </c>
      <c r="BU49" s="16">
        <f t="shared" si="39"/>
        <v>0.3182993230550753</v>
      </c>
      <c r="BV49" s="16">
        <f t="shared" si="40"/>
        <v>0.41494099463302131</v>
      </c>
      <c r="BW49" s="16">
        <f t="shared" si="41"/>
        <v>9.512105520274361E-2</v>
      </c>
      <c r="BX49" s="16">
        <f t="shared" si="42"/>
        <v>9.9514808606502803E-2</v>
      </c>
      <c r="BY49" s="16">
        <f t="shared" si="43"/>
        <v>2.4116405463851361E-2</v>
      </c>
      <c r="CA49" s="16">
        <f t="shared" si="4"/>
        <v>0.16061859423499464</v>
      </c>
      <c r="CB49" s="16">
        <f t="shared" si="5"/>
        <v>0.11527023643530622</v>
      </c>
      <c r="CC49" s="16">
        <f t="shared" si="6"/>
        <v>0</v>
      </c>
      <c r="CD49" s="16">
        <f t="shared" si="7"/>
        <v>0</v>
      </c>
      <c r="CE49" s="16">
        <f t="shared" si="8"/>
        <v>0</v>
      </c>
      <c r="CF49" s="16">
        <f t="shared" si="9"/>
        <v>0.29556500063326496</v>
      </c>
      <c r="CG49" s="16">
        <f t="shared" si="10"/>
        <v>2.8095421586099248E-2</v>
      </c>
      <c r="CH49" s="16">
        <f t="shared" si="11"/>
        <v>5.5827422232960895E-2</v>
      </c>
      <c r="CI49" s="16">
        <f t="shared" si="12"/>
        <v>0.12179131833147451</v>
      </c>
      <c r="CJ49" s="16">
        <f t="shared" si="13"/>
        <v>0</v>
      </c>
      <c r="CK49" s="16">
        <f t="shared" si="14"/>
        <v>0</v>
      </c>
      <c r="CL49" s="16">
        <f t="shared" si="15"/>
        <v>7.3626422271065098E-2</v>
      </c>
      <c r="CM49" s="16">
        <f t="shared" si="16"/>
        <v>3.4454725148267307E-2</v>
      </c>
      <c r="CN49" s="16">
        <f t="shared" si="17"/>
        <v>9.5929774103666071E-2</v>
      </c>
      <c r="CO49" s="16">
        <f t="shared" si="18"/>
        <v>0</v>
      </c>
      <c r="CP49" s="16">
        <f t="shared" si="19"/>
        <v>0</v>
      </c>
      <c r="CQ49" s="16">
        <f t="shared" si="20"/>
        <v>0</v>
      </c>
      <c r="CR49" s="16">
        <f t="shared" si="21"/>
        <v>2.0651338992136212E-2</v>
      </c>
      <c r="CS49" s="16">
        <f t="shared" si="22"/>
        <v>1.6257585588377019E-2</v>
      </c>
      <c r="CT49" s="16">
        <f t="shared" si="23"/>
        <v>9.1655988731028454E-2</v>
      </c>
    </row>
    <row r="50" spans="1:100" x14ac:dyDescent="0.25">
      <c r="A50" s="13">
        <v>45060</v>
      </c>
      <c r="B50" s="14">
        <v>31</v>
      </c>
      <c r="C50" s="15" t="s">
        <v>143</v>
      </c>
      <c r="D50" s="12">
        <f t="shared" si="45"/>
        <v>1</v>
      </c>
      <c r="E50" s="32">
        <f t="shared" si="1"/>
        <v>0.63531101124615852</v>
      </c>
      <c r="F50" s="63" cm="1">
        <f t="array" ref="F50">IF(B50="","",0.1+IFERROR(INDEX($F$6:$F49,SUMPRODUCT(MAX(ROW($C$6:$C49)*($C50=$C$6:$C49))-ROW($A$5)))*0.9^($A50-INDEX($A$6:A49,SUMPRODUCT(MAX(ROW($C$6:$C49)*($C50=$C$6:$C49))-ROW($A$5)))),0))</f>
        <v>0.12287679245496103</v>
      </c>
      <c r="G50" s="64">
        <f>INDEX('Exercise list'!$Y$5:$Y$102,MATCH(C50,'Exercise list'!$C$5:$C$102,0))</f>
        <v>1</v>
      </c>
      <c r="H50" s="115">
        <f t="shared" si="46"/>
        <v>8.8730507710204978E-2</v>
      </c>
      <c r="I50" s="6">
        <f t="shared" si="47"/>
        <v>3</v>
      </c>
      <c r="J50" s="6">
        <v>0</v>
      </c>
      <c r="K50" s="12"/>
      <c r="L50" s="74" t="str" cm="1">
        <f t="array" ref="L50">IF(K50="","",INDEX('Exercise list'!$C$5:$C$102,K50))</f>
        <v/>
      </c>
      <c r="M50" s="6"/>
      <c r="N50" s="75" t="str" cm="1">
        <f t="array" ref="N50">IF(M50="","",INDEX('Exercise list'!$C$5:$C$102,M50))</f>
        <v/>
      </c>
      <c r="P50">
        <f>IFERROR(INDEX('Exercise list'!$E$5:$X$102,MATCH($C50,'Exercise list'!$C$5:$C$102,0),MATCH(P$5,'Exercise list'!$E$4:$X$4,0)),0)</f>
        <v>0</v>
      </c>
      <c r="Q50">
        <f>IFERROR(INDEX('Exercise list'!$E$5:$X$102,MATCH($C50,'Exercise list'!$C$5:$C$102,0),MATCH(Q$5,'Exercise list'!$E$4:$X$4,0)),0)</f>
        <v>0</v>
      </c>
      <c r="R50">
        <f>IFERROR(INDEX('Exercise list'!$E$5:$X$102,MATCH($C50,'Exercise list'!$C$5:$C$102,0),MATCH(R$5,'Exercise list'!$E$4:$X$4,0)),0)</f>
        <v>0</v>
      </c>
      <c r="S50">
        <f>IFERROR(INDEX('Exercise list'!$E$5:$X$102,MATCH($C50,'Exercise list'!$C$5:$C$102,0),MATCH(S$5,'Exercise list'!$E$4:$X$4,0)),0)</f>
        <v>0</v>
      </c>
      <c r="T50">
        <f>IFERROR(INDEX('Exercise list'!$E$5:$X$102,MATCH($C50,'Exercise list'!$C$5:$C$102,0),MATCH(T$5,'Exercise list'!$E$4:$X$4,0)),0)</f>
        <v>0</v>
      </c>
      <c r="U50">
        <f>IFERROR(INDEX('Exercise list'!$E$5:$X$102,MATCH($C50,'Exercise list'!$C$5:$C$102,0),MATCH(U$5,'Exercise list'!$E$4:$X$4,0)),0)</f>
        <v>0</v>
      </c>
      <c r="V50">
        <f>IFERROR(INDEX('Exercise list'!$E$5:$X$102,MATCH($C50,'Exercise list'!$C$5:$C$102,0),MATCH(V$5,'Exercise list'!$E$4:$X$4,0)),0)</f>
        <v>0</v>
      </c>
      <c r="W50">
        <f>IFERROR(INDEX('Exercise list'!$E$5:$X$102,MATCH($C50,'Exercise list'!$C$5:$C$102,0),MATCH(W$5,'Exercise list'!$E$4:$X$4,0)),0)</f>
        <v>0</v>
      </c>
      <c r="X50">
        <f>IFERROR(INDEX('Exercise list'!$E$5:$X$102,MATCH($C50,'Exercise list'!$C$5:$C$102,0),MATCH(X$5,'Exercise list'!$E$4:$X$4,0)),0)</f>
        <v>0</v>
      </c>
      <c r="Y50">
        <f>IFERROR(INDEX('Exercise list'!$E$5:$X$102,MATCH($C50,'Exercise list'!$C$5:$C$102,0),MATCH(Y$5,'Exercise list'!$E$4:$X$4,0)),0)</f>
        <v>0</v>
      </c>
      <c r="Z50">
        <f>IFERROR(INDEX('Exercise list'!$E$5:$X$102,MATCH($C50,'Exercise list'!$C$5:$C$102,0),MATCH(Z$5,'Exercise list'!$E$4:$X$4,0)),0)</f>
        <v>0</v>
      </c>
      <c r="AA50">
        <f>IFERROR(INDEX('Exercise list'!$E$5:$X$102,MATCH($C50,'Exercise list'!$C$5:$C$102,0),MATCH(AA$5,'Exercise list'!$E$4:$X$4,0)),0)</f>
        <v>0</v>
      </c>
      <c r="AB50">
        <f>IFERROR(INDEX('Exercise list'!$E$5:$X$102,MATCH($C50,'Exercise list'!$C$5:$C$102,0),MATCH(AB$5,'Exercise list'!$E$4:$X$4,0)),0)</f>
        <v>0.6</v>
      </c>
      <c r="AC50">
        <f>IFERROR(INDEX('Exercise list'!$E$5:$X$102,MATCH($C50,'Exercise list'!$C$5:$C$102,0),MATCH(AC$5,'Exercise list'!$E$4:$X$4,0)),0)</f>
        <v>1</v>
      </c>
      <c r="AD50">
        <f>IFERROR(INDEX('Exercise list'!$E$5:$X$102,MATCH($C50,'Exercise list'!$C$5:$C$102,0),MATCH(AD$5,'Exercise list'!$E$4:$X$4,0)),0)</f>
        <v>0</v>
      </c>
      <c r="AE50">
        <f>IFERROR(INDEX('Exercise list'!$E$5:$X$102,MATCH($C50,'Exercise list'!$C$5:$C$102,0),MATCH(AE$5,'Exercise list'!$E$4:$X$4,0)),0)</f>
        <v>0</v>
      </c>
      <c r="AF50">
        <f>IFERROR(INDEX('Exercise list'!$E$5:$X$102,MATCH($C50,'Exercise list'!$C$5:$C$102,0),MATCH(AF$5,'Exercise list'!$E$4:$X$4,0)),0)</f>
        <v>0</v>
      </c>
      <c r="AG50">
        <f>IFERROR(INDEX('Exercise list'!$E$5:$X$102,MATCH($C50,'Exercise list'!$C$5:$C$102,0),MATCH(AG$5,'Exercise list'!$E$4:$X$4,0)),0)</f>
        <v>0</v>
      </c>
      <c r="AH50">
        <f>IFERROR(INDEX('Exercise list'!$E$5:$X$102,MATCH($C50,'Exercise list'!$C$5:$C$102,0),MATCH(AH$5,'Exercise list'!$E$4:$X$4,0)),0)</f>
        <v>0</v>
      </c>
      <c r="AI50">
        <f>IFERROR(INDEX('Exercise list'!$E$5:$X$102,MATCH($C50,'Exercise list'!$C$5:$C$102,0),MATCH(AI$5,'Exercise list'!$E$4:$X$4,0)),0)</f>
        <v>0</v>
      </c>
      <c r="AK50">
        <f>IF(OR($J50=1,COUNTIFS($A$5:$A49,"&gt;="&amp;$A50-1,$A$5:$A49,"&lt;="&amp;$A50,$B$5:$B49,$B50)&gt;0,MIN(1-'Exercise list'!E$2,IF($A50=$A49,AK49,1))-P50&lt;0),-1,MIN(1,IF($A50=$A49,AK49,1)-P50+$D$2))</f>
        <v>1</v>
      </c>
      <c r="AL50">
        <f>IF(OR($J50=1,COUNTIFS($A$5:$A49,"&gt;="&amp;$A50-1,$A$5:$A49,"&lt;="&amp;$A50,$B$5:$B49,$B50)&gt;0,MIN(1-'Exercise list'!F$2,IF($A50=$A49,AL49,1))-Q50&lt;0),-1,MIN(1,IF($A50=$A49,AL49,1)-Q50+$D$2))</f>
        <v>1</v>
      </c>
      <c r="AM50">
        <f>IF(OR($J50=1,COUNTIFS($A$5:$A49,"&gt;="&amp;$A50-1,$A$5:$A49,"&lt;="&amp;$A50,$B$5:$B49,$B50)&gt;0,MIN(1-'Exercise list'!G$2,IF($A50=$A49,AM49,1))-R50&lt;0),-1,MIN(1,IF($A50=$A49,AM49,1)-R50+$D$2))</f>
        <v>1</v>
      </c>
      <c r="AN50">
        <f>IF(OR($J50=1,COUNTIFS($A$5:$A49,"&gt;="&amp;$A50-1,$A$5:$A49,"&lt;="&amp;$A50,$B$5:$B49,$B50)&gt;0,MIN(1-'Exercise list'!H$2,IF($A50=$A49,AN49,1))-S50&lt;0),-1,MIN(1,IF($A50=$A49,AN49,1)-S50+$D$2))</f>
        <v>1</v>
      </c>
      <c r="AO50">
        <f>IF(OR($J50=1,COUNTIFS($A$5:$A49,"&gt;="&amp;$A50-1,$A$5:$A49,"&lt;="&amp;$A50,$B$5:$B49,$B50)&gt;0,MIN(1-'Exercise list'!I$2,IF($A50=$A49,AO49,1))-T50&lt;0),-1,MIN(1,IF($A50=$A49,AO49,1)-T50+$D$2))</f>
        <v>1</v>
      </c>
      <c r="AP50">
        <f>IF(OR($J50=1,COUNTIFS($A$5:$A49,"&gt;="&amp;$A50-1,$A$5:$A49,"&lt;="&amp;$A50,$B$5:$B49,$B50)&gt;0,MIN(1-'Exercise list'!J$2,IF($A50=$A49,AP49,1))-U50&lt;0),-1,MIN(1,IF($A50=$A49,AP49,1)-U50+$D$2))</f>
        <v>1</v>
      </c>
      <c r="AQ50">
        <f>IF(OR($J50=1,COUNTIFS($A$5:$A49,"&gt;="&amp;$A50-1,$A$5:$A49,"&lt;="&amp;$A50,$B$5:$B49,$B50)&gt;0,MIN(1-'Exercise list'!K$2,IF($A50=$A49,AQ49,1))-V50&lt;0),-1,MIN(1,IF($A50=$A49,AQ49,1)-V50+$D$2))</f>
        <v>1</v>
      </c>
      <c r="AR50">
        <f>IF(OR($J50=1,COUNTIFS($A$5:$A49,"&gt;="&amp;$A50-1,$A$5:$A49,"&lt;="&amp;$A50,$B$5:$B49,$B50)&gt;0,MIN(1-'Exercise list'!L$2,IF($A50=$A49,AR49,1))-W50&lt;0),-1,MIN(1,IF($A50=$A49,AR49,1)-W50+$D$2))</f>
        <v>1</v>
      </c>
      <c r="AS50">
        <f>IF(OR($J50=1,COUNTIFS($A$5:$A49,"&gt;="&amp;$A50-1,$A$5:$A49,"&lt;="&amp;$A50,$B$5:$B49,$B50)&gt;0,MIN(1-'Exercise list'!M$2,IF($A50=$A49,AS49,1))-X50&lt;0),-1,MIN(1,IF($A50=$A49,AS49,1)-X50+$D$2))</f>
        <v>1</v>
      </c>
      <c r="AT50">
        <f>IF(OR($J50=1,COUNTIFS($A$5:$A49,"&gt;="&amp;$A50-1,$A$5:$A49,"&lt;="&amp;$A50,$B$5:$B49,$B50)&gt;0,MIN(1-'Exercise list'!N$2,IF($A50=$A49,AT49,1))-Y50&lt;0),-1,MIN(1,IF($A50=$A49,AT49,1)-Y50+$D$2))</f>
        <v>1</v>
      </c>
      <c r="AU50">
        <f>IF(OR($J50=1,COUNTIFS($A$5:$A49,"&gt;="&amp;$A50-1,$A$5:$A49,"&lt;="&amp;$A50,$B$5:$B49,$B50)&gt;0,MIN(1-'Exercise list'!O$2,IF($A50=$A49,AU49,1))-Z50&lt;0),-1,MIN(1,IF($A50=$A49,AU49,1)-Z50+$D$2))</f>
        <v>1</v>
      </c>
      <c r="AV50">
        <f>IF(OR($J50=1,COUNTIFS($A$5:$A49,"&gt;="&amp;$A50-1,$A$5:$A49,"&lt;="&amp;$A50,$B$5:$B49,$B50)&gt;0,MIN(1-'Exercise list'!P$2,IF($A50=$A49,AV49,1))-AA50&lt;0),-1,MIN(1,IF($A50=$A49,AV49,1)-AA50+$D$2))</f>
        <v>1</v>
      </c>
      <c r="AW50">
        <f>IF(OR($J50=1,COUNTIFS($A$5:$A49,"&gt;="&amp;$A50-1,$A$5:$A49,"&lt;="&amp;$A50,$B$5:$B49,$B50)&gt;0,MIN(1-'Exercise list'!Q$2,IF($A50=$A49,AW49,1))-AB50&lt;0),-1,MIN(1,IF($A50=$A49,AW49,1)-AB50+$D$2))</f>
        <v>1</v>
      </c>
      <c r="AX50">
        <f>IF(OR($J50=1,COUNTIFS($A$5:$A49,"&gt;="&amp;$A50-1,$A$5:$A49,"&lt;="&amp;$A50,$B$5:$B49,$B50)&gt;0,MIN(1-'Exercise list'!R$2,IF($A50=$A49,AX49,1))-AC50&lt;0),-1,MIN(1,IF($A50=$A49,AX49,1)-AC50+$D$2))</f>
        <v>1</v>
      </c>
      <c r="AY50">
        <f>IF(OR($J50=1,COUNTIFS($A$5:$A49,"&gt;="&amp;$A50-1,$A$5:$A49,"&lt;="&amp;$A50,$B$5:$B49,$B50)&gt;0,MIN(1-'Exercise list'!S$2,IF($A50=$A49,AY49,1))-AD50&lt;0),-1,MIN(1,IF($A50=$A49,AY49,1)-AD50+$D$2))</f>
        <v>1</v>
      </c>
      <c r="AZ50">
        <f>IF(OR($J50=1,COUNTIFS($A$5:$A49,"&gt;="&amp;$A50-1,$A$5:$A49,"&lt;="&amp;$A50,$B$5:$B49,$B50)&gt;0,MIN(1-'Exercise list'!T$2,IF($A50=$A49,AZ49,1))-AE50&lt;0),-1,MIN(1,IF($A50=$A49,AZ49,1)-AE50+$D$2))</f>
        <v>1</v>
      </c>
      <c r="BA50">
        <f>IF(OR($J50=1,COUNTIFS($A$5:$A49,"&gt;="&amp;$A50-1,$A$5:$A49,"&lt;="&amp;$A50,$B$5:$B49,$B50)&gt;0,MIN(1-'Exercise list'!U$2,IF($A50=$A49,BA49,1))-AF50&lt;0),-1,MIN(1,IF($A50=$A49,BA49,1)-AF50+$D$2))</f>
        <v>1</v>
      </c>
      <c r="BB50">
        <f>IF(OR($J50=1,COUNTIFS($A$5:$A49,"&gt;="&amp;$A50-1,$A$5:$A49,"&lt;="&amp;$A50,$B$5:$B49,$B50)&gt;0,MIN(1-'Exercise list'!V$2,IF($A50=$A49,BB49,1))-AG50&lt;0),-1,MIN(1,IF($A50=$A49,BB49,1)-AG50+$D$2))</f>
        <v>1</v>
      </c>
      <c r="BC50">
        <f>IF(OR($J50=1,COUNTIFS($A$5:$A49,"&gt;="&amp;$A50-1,$A$5:$A49,"&lt;="&amp;$A50,$B$5:$B49,$B50)&gt;0,MIN(1-'Exercise list'!W$2,IF($A50=$A49,BC49,1))-AH50&lt;0),-1,MIN(1,IF($A50=$A49,BC49,1)-AH50+$D$2))</f>
        <v>1</v>
      </c>
      <c r="BD50">
        <f>IF(OR($J50=1,COUNTIFS($A$5:$A49,"&gt;="&amp;$A50-1,$A$5:$A49,"&lt;="&amp;$A50,$B$5:$B49,$B50)&gt;0,MIN(1-'Exercise list'!X$2,IF($A50=$A49,BD49,1))-AI50&lt;0),-1,MIN(1,IF($A50=$A49,BD49,1)-AI50+$D$2))</f>
        <v>1</v>
      </c>
      <c r="BF50" s="16">
        <f t="shared" si="24"/>
        <v>6.7379884447026736E-2</v>
      </c>
      <c r="BG50" s="16">
        <f t="shared" si="25"/>
        <v>0.11046082435673074</v>
      </c>
      <c r="BH50" s="16">
        <f t="shared" si="26"/>
        <v>0.14165141856248595</v>
      </c>
      <c r="BI50" s="16">
        <f t="shared" si="27"/>
        <v>0.14005903447806678</v>
      </c>
      <c r="BJ50" s="16">
        <f t="shared" si="28"/>
        <v>0.32698500605935882</v>
      </c>
      <c r="BK50" s="16">
        <f t="shared" si="29"/>
        <v>4.9164572853805842E-2</v>
      </c>
      <c r="BL50" s="16">
        <f t="shared" si="30"/>
        <v>8.3293123978341543E-2</v>
      </c>
      <c r="BM50" s="16">
        <f t="shared" si="31"/>
        <v>5.6947723363822977E-2</v>
      </c>
      <c r="BN50" s="16">
        <f t="shared" si="32"/>
        <v>0.10426579655537087</v>
      </c>
      <c r="BO50" s="16">
        <f t="shared" si="33"/>
        <v>0.11518916783890523</v>
      </c>
      <c r="BP50" s="16">
        <f t="shared" si="34"/>
        <v>0.34464388098634791</v>
      </c>
      <c r="BQ50" s="16">
        <f t="shared" si="35"/>
        <v>4.0038673327623987E-2</v>
      </c>
      <c r="BR50" s="16">
        <f t="shared" si="36"/>
        <v>0.21723556007941772</v>
      </c>
      <c r="BS50" s="16">
        <f t="shared" si="37"/>
        <v>6.8850489086653061E-2</v>
      </c>
      <c r="BT50" s="16">
        <f t="shared" si="38"/>
        <v>0.27900379751157456</v>
      </c>
      <c r="BU50" s="16">
        <f t="shared" si="39"/>
        <v>0.30238435690232152</v>
      </c>
      <c r="BV50" s="16">
        <f t="shared" si="40"/>
        <v>0.39419394490137022</v>
      </c>
      <c r="BW50" s="16">
        <f t="shared" si="41"/>
        <v>9.0365002442606424E-2</v>
      </c>
      <c r="BX50" s="16">
        <f t="shared" si="42"/>
        <v>9.453906817617766E-2</v>
      </c>
      <c r="BY50" s="16">
        <f t="shared" si="43"/>
        <v>2.2910585190658792E-2</v>
      </c>
      <c r="CA50" s="16">
        <f t="shared" si="4"/>
        <v>0.15851359044917085</v>
      </c>
      <c r="CB50" s="16">
        <f t="shared" si="5"/>
        <v>0.11543265053946683</v>
      </c>
      <c r="CC50" s="16">
        <f t="shared" si="6"/>
        <v>0</v>
      </c>
      <c r="CD50" s="16">
        <f t="shared" si="7"/>
        <v>0</v>
      </c>
      <c r="CE50" s="16">
        <f t="shared" si="8"/>
        <v>0</v>
      </c>
      <c r="CF50" s="16">
        <f t="shared" si="9"/>
        <v>0.28967563949049058</v>
      </c>
      <c r="CG50" s="16">
        <f t="shared" si="10"/>
        <v>2.9653613469757242E-2</v>
      </c>
      <c r="CH50" s="16">
        <f t="shared" si="11"/>
        <v>5.5999014084275808E-2</v>
      </c>
      <c r="CI50" s="16">
        <f t="shared" si="12"/>
        <v>0.1216276783408267</v>
      </c>
      <c r="CJ50" s="16">
        <f t="shared" si="13"/>
        <v>0</v>
      </c>
      <c r="CK50" s="16">
        <f t="shared" si="14"/>
        <v>0</v>
      </c>
      <c r="CL50" s="16">
        <f t="shared" si="15"/>
        <v>7.2908064120474791E-2</v>
      </c>
      <c r="CM50" s="16">
        <f t="shared" si="16"/>
        <v>8.6579148167798547E-3</v>
      </c>
      <c r="CN50" s="16">
        <f t="shared" si="17"/>
        <v>4.4096248361445725E-2</v>
      </c>
      <c r="CO50" s="16">
        <f t="shared" si="18"/>
        <v>0</v>
      </c>
      <c r="CP50" s="16">
        <f t="shared" si="19"/>
        <v>0</v>
      </c>
      <c r="CQ50" s="16">
        <f t="shared" si="20"/>
        <v>0</v>
      </c>
      <c r="CR50" s="16">
        <f t="shared" si="21"/>
        <v>2.2581735005492362E-2</v>
      </c>
      <c r="CS50" s="16">
        <f t="shared" si="22"/>
        <v>1.8407669271921126E-2</v>
      </c>
      <c r="CT50" s="16">
        <f t="shared" si="23"/>
        <v>9.0036152257439994E-2</v>
      </c>
    </row>
    <row r="51" spans="1:100" x14ac:dyDescent="0.25">
      <c r="A51" s="20">
        <v>45060</v>
      </c>
      <c r="B51" s="21">
        <v>23</v>
      </c>
      <c r="C51" s="22" t="s">
        <v>132</v>
      </c>
      <c r="D51" s="17">
        <f t="shared" si="45"/>
        <v>1</v>
      </c>
      <c r="E51" s="33">
        <f t="shared" si="1"/>
        <v>0.64355047498014606</v>
      </c>
      <c r="F51" s="65" cm="1">
        <f t="array" ref="F51">IF(B51="","",0.1+IFERROR(INDEX($F$6:$F50,SUMPRODUCT(MAX(ROW($C$6:$C50)*($C51=$C$6:$C50))-ROW($A$5)))*0.9^($A51-INDEX($A$6:A50,SUMPRODUCT(MAX(ROW($C$6:$C50)*($C51=$C$6:$C50))-ROW($A$5)))),0))</f>
        <v>0.12541865828329002</v>
      </c>
      <c r="G51" s="25">
        <f>INDEX('Exercise list'!$Y$5:$Y$102,MATCH(C51,'Exercise list'!$C$5:$C$102,0))</f>
        <v>1</v>
      </c>
      <c r="H51" s="116">
        <f t="shared" si="46"/>
        <v>8.2573130244267517E-2</v>
      </c>
      <c r="I51" s="18">
        <f t="shared" si="47"/>
        <v>4</v>
      </c>
      <c r="J51" s="18">
        <v>0</v>
      </c>
      <c r="K51" s="17"/>
      <c r="L51" s="51" t="str" cm="1">
        <f t="array" ref="L51">IF(K51="","",INDEX('Exercise list'!$C$5:$C$102,K51))</f>
        <v/>
      </c>
      <c r="M51" s="18"/>
      <c r="N51" s="76" t="str" cm="1">
        <f t="array" ref="N51">IF(M51="","",INDEX('Exercise list'!$C$5:$C$102,M51))</f>
        <v/>
      </c>
      <c r="O51" s="19"/>
      <c r="P51" s="19">
        <f>IFERROR(INDEX('Exercise list'!$E$5:$X$102,MATCH($C51,'Exercise list'!$C$5:$C$102,0),MATCH(P$5,'Exercise list'!$E$4:$X$4,0)),0)</f>
        <v>1</v>
      </c>
      <c r="Q51" s="19">
        <f>IFERROR(INDEX('Exercise list'!$E$5:$X$102,MATCH($C51,'Exercise list'!$C$5:$C$102,0),MATCH(Q$5,'Exercise list'!$E$4:$X$4,0)),0)</f>
        <v>0</v>
      </c>
      <c r="R51" s="19">
        <f>IFERROR(INDEX('Exercise list'!$E$5:$X$102,MATCH($C51,'Exercise list'!$C$5:$C$102,0),MATCH(R$5,'Exercise list'!$E$4:$X$4,0)),0)</f>
        <v>0</v>
      </c>
      <c r="S51" s="19">
        <f>IFERROR(INDEX('Exercise list'!$E$5:$X$102,MATCH($C51,'Exercise list'!$C$5:$C$102,0),MATCH(S$5,'Exercise list'!$E$4:$X$4,0)),0)</f>
        <v>0</v>
      </c>
      <c r="T51" s="19">
        <f>IFERROR(INDEX('Exercise list'!$E$5:$X$102,MATCH($C51,'Exercise list'!$C$5:$C$102,0),MATCH(T$5,'Exercise list'!$E$4:$X$4,0)),0)</f>
        <v>0</v>
      </c>
      <c r="U51" s="19">
        <f>IFERROR(INDEX('Exercise list'!$E$5:$X$102,MATCH($C51,'Exercise list'!$C$5:$C$102,0),MATCH(U$5,'Exercise list'!$E$4:$X$4,0)),0)</f>
        <v>0</v>
      </c>
      <c r="V51" s="19">
        <f>IFERROR(INDEX('Exercise list'!$E$5:$X$102,MATCH($C51,'Exercise list'!$C$5:$C$102,0),MATCH(V$5,'Exercise list'!$E$4:$X$4,0)),0)</f>
        <v>0</v>
      </c>
      <c r="W51" s="19">
        <f>IFERROR(INDEX('Exercise list'!$E$5:$X$102,MATCH($C51,'Exercise list'!$C$5:$C$102,0),MATCH(W$5,'Exercise list'!$E$4:$X$4,0)),0)</f>
        <v>0</v>
      </c>
      <c r="X51" s="19">
        <f>IFERROR(INDEX('Exercise list'!$E$5:$X$102,MATCH($C51,'Exercise list'!$C$5:$C$102,0),MATCH(X$5,'Exercise list'!$E$4:$X$4,0)),0)</f>
        <v>0</v>
      </c>
      <c r="Y51" s="19">
        <f>IFERROR(INDEX('Exercise list'!$E$5:$X$102,MATCH($C51,'Exercise list'!$C$5:$C$102,0),MATCH(Y$5,'Exercise list'!$E$4:$X$4,0)),0)</f>
        <v>0</v>
      </c>
      <c r="Z51" s="19">
        <f>IFERROR(INDEX('Exercise list'!$E$5:$X$102,MATCH($C51,'Exercise list'!$C$5:$C$102,0),MATCH(Z$5,'Exercise list'!$E$4:$X$4,0)),0)</f>
        <v>0</v>
      </c>
      <c r="AA51" s="19">
        <f>IFERROR(INDEX('Exercise list'!$E$5:$X$102,MATCH($C51,'Exercise list'!$C$5:$C$102,0),MATCH(AA$5,'Exercise list'!$E$4:$X$4,0)),0)</f>
        <v>0</v>
      </c>
      <c r="AB51" s="19">
        <f>IFERROR(INDEX('Exercise list'!$E$5:$X$102,MATCH($C51,'Exercise list'!$C$5:$C$102,0),MATCH(AB$5,'Exercise list'!$E$4:$X$4,0)),0)</f>
        <v>0</v>
      </c>
      <c r="AC51" s="19">
        <f>IFERROR(INDEX('Exercise list'!$E$5:$X$102,MATCH($C51,'Exercise list'!$C$5:$C$102,0),MATCH(AC$5,'Exercise list'!$E$4:$X$4,0)),0)</f>
        <v>0</v>
      </c>
      <c r="AD51" s="19">
        <f>IFERROR(INDEX('Exercise list'!$E$5:$X$102,MATCH($C51,'Exercise list'!$C$5:$C$102,0),MATCH(AD$5,'Exercise list'!$E$4:$X$4,0)),0)</f>
        <v>0</v>
      </c>
      <c r="AE51" s="19">
        <f>IFERROR(INDEX('Exercise list'!$E$5:$X$102,MATCH($C51,'Exercise list'!$C$5:$C$102,0),MATCH(AE$5,'Exercise list'!$E$4:$X$4,0)),0)</f>
        <v>0</v>
      </c>
      <c r="AF51" s="19">
        <f>IFERROR(INDEX('Exercise list'!$E$5:$X$102,MATCH($C51,'Exercise list'!$C$5:$C$102,0),MATCH(AF$5,'Exercise list'!$E$4:$X$4,0)),0)</f>
        <v>0</v>
      </c>
      <c r="AG51" s="19">
        <f>IFERROR(INDEX('Exercise list'!$E$5:$X$102,MATCH($C51,'Exercise list'!$C$5:$C$102,0),MATCH(AG$5,'Exercise list'!$E$4:$X$4,0)),0)</f>
        <v>0</v>
      </c>
      <c r="AH51" s="19">
        <f>IFERROR(INDEX('Exercise list'!$E$5:$X$102,MATCH($C51,'Exercise list'!$C$5:$C$102,0),MATCH(AH$5,'Exercise list'!$E$4:$X$4,0)),0)</f>
        <v>0</v>
      </c>
      <c r="AI51" s="19">
        <f>IFERROR(INDEX('Exercise list'!$E$5:$X$102,MATCH($C51,'Exercise list'!$C$5:$C$102,0),MATCH(AI$5,'Exercise list'!$E$4:$X$4,0)),0)</f>
        <v>0</v>
      </c>
      <c r="AJ51" s="19"/>
      <c r="AK51" s="19">
        <f>IF(OR($J51=1,COUNTIFS($A$5:$A50,"&gt;="&amp;$A51-1,$A$5:$A50,"&lt;="&amp;$A51,$B$5:$B50,$B51)&gt;0,MIN(1-'Exercise list'!E$2,IF($A51=$A50,AK50,1))-P51&lt;0),-1,MIN(1,IF($A51=$A50,AK50,1)-P51+$D$2))</f>
        <v>1</v>
      </c>
      <c r="AL51" s="19">
        <f>IF(OR($J51=1,COUNTIFS($A$5:$A50,"&gt;="&amp;$A51-1,$A$5:$A50,"&lt;="&amp;$A51,$B$5:$B50,$B51)&gt;0,MIN(1-'Exercise list'!F$2,IF($A51=$A50,AL50,1))-Q51&lt;0),-1,MIN(1,IF($A51=$A50,AL50,1)-Q51+$D$2))</f>
        <v>1</v>
      </c>
      <c r="AM51" s="19">
        <f>IF(OR($J51=1,COUNTIFS($A$5:$A50,"&gt;="&amp;$A51-1,$A$5:$A50,"&lt;="&amp;$A51,$B$5:$B50,$B51)&gt;0,MIN(1-'Exercise list'!G$2,IF($A51=$A50,AM50,1))-R51&lt;0),-1,MIN(1,IF($A51=$A50,AM50,1)-R51+$D$2))</f>
        <v>1</v>
      </c>
      <c r="AN51" s="19">
        <f>IF(OR($J51=1,COUNTIFS($A$5:$A50,"&gt;="&amp;$A51-1,$A$5:$A50,"&lt;="&amp;$A51,$B$5:$B50,$B51)&gt;0,MIN(1-'Exercise list'!H$2,IF($A51=$A50,AN50,1))-S51&lt;0),-1,MIN(1,IF($A51=$A50,AN50,1)-S51+$D$2))</f>
        <v>1</v>
      </c>
      <c r="AO51" s="19">
        <f>IF(OR($J51=1,COUNTIFS($A$5:$A50,"&gt;="&amp;$A51-1,$A$5:$A50,"&lt;="&amp;$A51,$B$5:$B50,$B51)&gt;0,MIN(1-'Exercise list'!I$2,IF($A51=$A50,AO50,1))-T51&lt;0),-1,MIN(1,IF($A51=$A50,AO50,1)-T51+$D$2))</f>
        <v>1</v>
      </c>
      <c r="AP51" s="19">
        <f>IF(OR($J51=1,COUNTIFS($A$5:$A50,"&gt;="&amp;$A51-1,$A$5:$A50,"&lt;="&amp;$A51,$B$5:$B50,$B51)&gt;0,MIN(1-'Exercise list'!J$2,IF($A51=$A50,AP50,1))-U51&lt;0),-1,MIN(1,IF($A51=$A50,AP50,1)-U51+$D$2))</f>
        <v>1</v>
      </c>
      <c r="AQ51" s="19">
        <f>IF(OR($J51=1,COUNTIFS($A$5:$A50,"&gt;="&amp;$A51-1,$A$5:$A50,"&lt;="&amp;$A51,$B$5:$B50,$B51)&gt;0,MIN(1-'Exercise list'!K$2,IF($A51=$A50,AQ50,1))-V51&lt;0),-1,MIN(1,IF($A51=$A50,AQ50,1)-V51+$D$2))</f>
        <v>1</v>
      </c>
      <c r="AR51" s="19">
        <f>IF(OR($J51=1,COUNTIFS($A$5:$A50,"&gt;="&amp;$A51-1,$A$5:$A50,"&lt;="&amp;$A51,$B$5:$B50,$B51)&gt;0,MIN(1-'Exercise list'!L$2,IF($A51=$A50,AR50,1))-W51&lt;0),-1,MIN(1,IF($A51=$A50,AR50,1)-W51+$D$2))</f>
        <v>1</v>
      </c>
      <c r="AS51" s="19">
        <f>IF(OR($J51=1,COUNTIFS($A$5:$A50,"&gt;="&amp;$A51-1,$A$5:$A50,"&lt;="&amp;$A51,$B$5:$B50,$B51)&gt;0,MIN(1-'Exercise list'!M$2,IF($A51=$A50,AS50,1))-X51&lt;0),-1,MIN(1,IF($A51=$A50,AS50,1)-X51+$D$2))</f>
        <v>1</v>
      </c>
      <c r="AT51" s="19">
        <f>IF(OR($J51=1,COUNTIFS($A$5:$A50,"&gt;="&amp;$A51-1,$A$5:$A50,"&lt;="&amp;$A51,$B$5:$B50,$B51)&gt;0,MIN(1-'Exercise list'!N$2,IF($A51=$A50,AT50,1))-Y51&lt;0),-1,MIN(1,IF($A51=$A50,AT50,1)-Y51+$D$2))</f>
        <v>1</v>
      </c>
      <c r="AU51" s="19">
        <f>IF(OR($J51=1,COUNTIFS($A$5:$A50,"&gt;="&amp;$A51-1,$A$5:$A50,"&lt;="&amp;$A51,$B$5:$B50,$B51)&gt;0,MIN(1-'Exercise list'!O$2,IF($A51=$A50,AU50,1))-Z51&lt;0),-1,MIN(1,IF($A51=$A50,AU50,1)-Z51+$D$2))</f>
        <v>1</v>
      </c>
      <c r="AV51" s="19">
        <f>IF(OR($J51=1,COUNTIFS($A$5:$A50,"&gt;="&amp;$A51-1,$A$5:$A50,"&lt;="&amp;$A51,$B$5:$B50,$B51)&gt;0,MIN(1-'Exercise list'!P$2,IF($A51=$A50,AV50,1))-AA51&lt;0),-1,MIN(1,IF($A51=$A50,AV50,1)-AA51+$D$2))</f>
        <v>1</v>
      </c>
      <c r="AW51" s="19">
        <f>IF(OR($J51=1,COUNTIFS($A$5:$A50,"&gt;="&amp;$A51-1,$A$5:$A50,"&lt;="&amp;$A51,$B$5:$B50,$B51)&gt;0,MIN(1-'Exercise list'!Q$2,IF($A51=$A50,AW50,1))-AB51&lt;0),-1,MIN(1,IF($A51=$A50,AW50,1)-AB51+$D$2))</f>
        <v>1</v>
      </c>
      <c r="AX51" s="19">
        <f>IF(OR($J51=1,COUNTIFS($A$5:$A50,"&gt;="&amp;$A51-1,$A$5:$A50,"&lt;="&amp;$A51,$B$5:$B50,$B51)&gt;0,MIN(1-'Exercise list'!R$2,IF($A51=$A50,AX50,1))-AC51&lt;0),-1,MIN(1,IF($A51=$A50,AX50,1)-AC51+$D$2))</f>
        <v>1</v>
      </c>
      <c r="AY51" s="19">
        <f>IF(OR($J51=1,COUNTIFS($A$5:$A50,"&gt;="&amp;$A51-1,$A$5:$A50,"&lt;="&amp;$A51,$B$5:$B50,$B51)&gt;0,MIN(1-'Exercise list'!S$2,IF($A51=$A50,AY50,1))-AD51&lt;0),-1,MIN(1,IF($A51=$A50,AY50,1)-AD51+$D$2))</f>
        <v>1</v>
      </c>
      <c r="AZ51" s="19">
        <f>IF(OR($J51=1,COUNTIFS($A$5:$A50,"&gt;="&amp;$A51-1,$A$5:$A50,"&lt;="&amp;$A51,$B$5:$B50,$B51)&gt;0,MIN(1-'Exercise list'!T$2,IF($A51=$A50,AZ50,1))-AE51&lt;0),-1,MIN(1,IF($A51=$A50,AZ50,1)-AE51+$D$2))</f>
        <v>1</v>
      </c>
      <c r="BA51" s="19">
        <f>IF(OR($J51=1,COUNTIFS($A$5:$A50,"&gt;="&amp;$A51-1,$A$5:$A50,"&lt;="&amp;$A51,$B$5:$B50,$B51)&gt;0,MIN(1-'Exercise list'!U$2,IF($A51=$A50,BA50,1))-AF51&lt;0),-1,MIN(1,IF($A51=$A50,BA50,1)-AF51+$D$2))</f>
        <v>1</v>
      </c>
      <c r="BB51" s="19">
        <f>IF(OR($J51=1,COUNTIFS($A$5:$A50,"&gt;="&amp;$A51-1,$A$5:$A50,"&lt;="&amp;$A51,$B$5:$B50,$B51)&gt;0,MIN(1-'Exercise list'!V$2,IF($A51=$A50,BB50,1))-AG51&lt;0),-1,MIN(1,IF($A51=$A50,BB50,1)-AG51+$D$2))</f>
        <v>1</v>
      </c>
      <c r="BC51" s="19">
        <f>IF(OR($J51=1,COUNTIFS($A$5:$A50,"&gt;="&amp;$A51-1,$A$5:$A50,"&lt;="&amp;$A51,$B$5:$B50,$B51)&gt;0,MIN(1-'Exercise list'!W$2,IF($A51=$A50,BC50,1))-AH51&lt;0),-1,MIN(1,IF($A51=$A50,BC50,1)-AH51+$D$2))</f>
        <v>1</v>
      </c>
      <c r="BD51" s="19">
        <f>IF(OR($J51=1,COUNTIFS($A$5:$A50,"&gt;="&amp;$A51-1,$A$5:$A50,"&lt;="&amp;$A51,$B$5:$B50,$B51)&gt;0,MIN(1-'Exercise list'!X$2,IF($A51=$A50,BD50,1))-AI51&lt;0),-1,MIN(1,IF($A51=$A50,BD50,1)-AI51+$D$2))</f>
        <v>1</v>
      </c>
      <c r="BE51" s="19"/>
      <c r="BF51" s="23">
        <f t="shared" si="24"/>
        <v>0.11401089022467539</v>
      </c>
      <c r="BG51" s="23">
        <f t="shared" si="25"/>
        <v>0.10493778313889419</v>
      </c>
      <c r="BH51" s="23">
        <f t="shared" si="26"/>
        <v>0.13456884763436164</v>
      </c>
      <c r="BI51" s="23">
        <f t="shared" si="27"/>
        <v>0.13305608275416345</v>
      </c>
      <c r="BJ51" s="23">
        <f t="shared" si="28"/>
        <v>0.31063575575639085</v>
      </c>
      <c r="BK51" s="23">
        <f t="shared" si="29"/>
        <v>4.6706344211115546E-2</v>
      </c>
      <c r="BL51" s="23">
        <f t="shared" si="30"/>
        <v>7.9128467779424463E-2</v>
      </c>
      <c r="BM51" s="23">
        <f t="shared" si="31"/>
        <v>5.4100337195631829E-2</v>
      </c>
      <c r="BN51" s="23">
        <f t="shared" si="32"/>
        <v>9.9052506727602324E-2</v>
      </c>
      <c r="BO51" s="23">
        <f t="shared" si="33"/>
        <v>0.10942970944695997</v>
      </c>
      <c r="BP51" s="23">
        <f t="shared" si="34"/>
        <v>0.32741168693703049</v>
      </c>
      <c r="BQ51" s="23">
        <f t="shared" si="35"/>
        <v>3.8036739661242783E-2</v>
      </c>
      <c r="BR51" s="23">
        <f t="shared" si="36"/>
        <v>0.20637378207544682</v>
      </c>
      <c r="BS51" s="23">
        <f t="shared" si="37"/>
        <v>6.5407964632320403E-2</v>
      </c>
      <c r="BT51" s="23">
        <f t="shared" si="38"/>
        <v>0.26505360763599584</v>
      </c>
      <c r="BU51" s="23">
        <f t="shared" si="39"/>
        <v>0.28726513905720541</v>
      </c>
      <c r="BV51" s="23">
        <f t="shared" si="40"/>
        <v>0.37448424765630167</v>
      </c>
      <c r="BW51" s="23">
        <f t="shared" si="41"/>
        <v>8.5846752320476102E-2</v>
      </c>
      <c r="BX51" s="23">
        <f t="shared" si="42"/>
        <v>8.9812114767368778E-2</v>
      </c>
      <c r="BY51" s="23">
        <f t="shared" si="43"/>
        <v>2.1765055931125852E-2</v>
      </c>
      <c r="BZ51" s="19"/>
      <c r="CA51" s="23">
        <f t="shared" si="4"/>
        <v>0.104291614630416</v>
      </c>
      <c r="CB51" s="23">
        <f t="shared" si="5"/>
        <v>0.1133647217161972</v>
      </c>
      <c r="CC51" s="23">
        <f t="shared" si="6"/>
        <v>0</v>
      </c>
      <c r="CD51" s="23">
        <f t="shared" si="7"/>
        <v>0</v>
      </c>
      <c r="CE51" s="23">
        <f t="shared" si="8"/>
        <v>0</v>
      </c>
      <c r="CF51" s="23">
        <f t="shared" si="9"/>
        <v>0.28074741307152162</v>
      </c>
      <c r="CG51" s="23">
        <f t="shared" si="10"/>
        <v>3.0022784648121234E-2</v>
      </c>
      <c r="CH51" s="23">
        <f t="shared" si="11"/>
        <v>5.5050915231913869E-2</v>
      </c>
      <c r="CI51" s="23">
        <f t="shared" si="12"/>
        <v>0.11924999812748907</v>
      </c>
      <c r="CJ51" s="23">
        <f t="shared" si="13"/>
        <v>0</v>
      </c>
      <c r="CK51" s="23">
        <f t="shared" si="14"/>
        <v>0</v>
      </c>
      <c r="CL51" s="23">
        <f t="shared" si="15"/>
        <v>7.1114512766302915E-2</v>
      </c>
      <c r="CM51" s="23">
        <f t="shared" si="16"/>
        <v>1.1928722779644574E-2</v>
      </c>
      <c r="CN51" s="23">
        <f t="shared" si="17"/>
        <v>4.3743287795225294E-2</v>
      </c>
      <c r="CO51" s="23">
        <f t="shared" si="18"/>
        <v>0</v>
      </c>
      <c r="CP51" s="23">
        <f t="shared" si="19"/>
        <v>0</v>
      </c>
      <c r="CQ51" s="23">
        <f t="shared" si="20"/>
        <v>0</v>
      </c>
      <c r="CR51" s="23">
        <f t="shared" si="21"/>
        <v>2.3304500107069595E-2</v>
      </c>
      <c r="CS51" s="23">
        <f t="shared" si="22"/>
        <v>1.9339137660176919E-2</v>
      </c>
      <c r="CT51" s="23">
        <f t="shared" si="23"/>
        <v>8.7386196496419849E-2</v>
      </c>
      <c r="CU51" s="19"/>
    </row>
    <row r="52" spans="1:100" x14ac:dyDescent="0.25">
      <c r="A52" s="13">
        <v>45062</v>
      </c>
      <c r="B52" s="14">
        <v>8</v>
      </c>
      <c r="C52" s="15" t="s">
        <v>117</v>
      </c>
      <c r="D52" s="12">
        <f t="shared" si="45"/>
        <v>1</v>
      </c>
      <c r="E52" s="32">
        <f t="shared" si="1"/>
        <v>1.4517810002745282</v>
      </c>
      <c r="F52" s="63" cm="1">
        <f t="array" ref="F52">IF(B52="","",0.1+IFERROR(INDEX($F$6:$F51,SUMPRODUCT(MAX(ROW($C$6:$C51)*($C52=$C$6:$C51))-ROW($A$5)))*0.9^($A52-INDEX($A$6:A51,SUMPRODUCT(MAX(ROW($C$6:$C51)*($C52=$C$6:$C51))-ROW($A$5)))),0))</f>
        <v>0.1</v>
      </c>
      <c r="G52" s="64">
        <f>INDEX('Exercise list'!$Y$5:$Y$102,MATCH(C52,'Exercise list'!$C$5:$C$102,0))</f>
        <v>2</v>
      </c>
      <c r="H52" s="115">
        <f t="shared" si="46"/>
        <v>8.5443333424086554E-2</v>
      </c>
      <c r="I52" s="6">
        <f t="shared" si="47"/>
        <v>1</v>
      </c>
      <c r="J52" s="6">
        <v>0</v>
      </c>
      <c r="K52" s="12"/>
      <c r="L52" s="74" t="str" cm="1">
        <f t="array" ref="L52">IF(K52="","",INDEX('Exercise list'!$C$5:$C$102,K52))</f>
        <v/>
      </c>
      <c r="M52" s="6"/>
      <c r="N52" s="75" t="str" cm="1">
        <f t="array" ref="N52">IF(M52="","",INDEX('Exercise list'!$C$5:$C$102,M52))</f>
        <v/>
      </c>
      <c r="P52">
        <f>IFERROR(INDEX('Exercise list'!$E$5:$X$102,MATCH($C52,'Exercise list'!$C$5:$C$102,0),MATCH(P$5,'Exercise list'!$E$4:$X$4,0)),0)</f>
        <v>0</v>
      </c>
      <c r="Q52">
        <f>IFERROR(INDEX('Exercise list'!$E$5:$X$102,MATCH($C52,'Exercise list'!$C$5:$C$102,0),MATCH(Q$5,'Exercise list'!$E$4:$X$4,0)),0)</f>
        <v>0</v>
      </c>
      <c r="R52">
        <f>IFERROR(INDEX('Exercise list'!$E$5:$X$102,MATCH($C52,'Exercise list'!$C$5:$C$102,0),MATCH(R$5,'Exercise list'!$E$4:$X$4,0)),0)</f>
        <v>0</v>
      </c>
      <c r="S52">
        <f>IFERROR(INDEX('Exercise list'!$E$5:$X$102,MATCH($C52,'Exercise list'!$C$5:$C$102,0),MATCH(S$5,'Exercise list'!$E$4:$X$4,0)),0)</f>
        <v>0</v>
      </c>
      <c r="T52">
        <f>IFERROR(INDEX('Exercise list'!$E$5:$X$102,MATCH($C52,'Exercise list'!$C$5:$C$102,0),MATCH(T$5,'Exercise list'!$E$4:$X$4,0)),0)</f>
        <v>0.8</v>
      </c>
      <c r="U52">
        <f>IFERROR(INDEX('Exercise list'!$E$5:$X$102,MATCH($C52,'Exercise list'!$C$5:$C$102,0),MATCH(U$5,'Exercise list'!$E$4:$X$4,0)),0)</f>
        <v>0</v>
      </c>
      <c r="V52">
        <f>IFERROR(INDEX('Exercise list'!$E$5:$X$102,MATCH($C52,'Exercise list'!$C$5:$C$102,0),MATCH(V$5,'Exercise list'!$E$4:$X$4,0)),0)</f>
        <v>0</v>
      </c>
      <c r="W52">
        <f>IFERROR(INDEX('Exercise list'!$E$5:$X$102,MATCH($C52,'Exercise list'!$C$5:$C$102,0),MATCH(W$5,'Exercise list'!$E$4:$X$4,0)),0)</f>
        <v>0</v>
      </c>
      <c r="X52">
        <f>IFERROR(INDEX('Exercise list'!$E$5:$X$102,MATCH($C52,'Exercise list'!$C$5:$C$102,0),MATCH(X$5,'Exercise list'!$E$4:$X$4,0)),0)</f>
        <v>0</v>
      </c>
      <c r="Y52">
        <f>IFERROR(INDEX('Exercise list'!$E$5:$X$102,MATCH($C52,'Exercise list'!$C$5:$C$102,0),MATCH(Y$5,'Exercise list'!$E$4:$X$4,0)),0)</f>
        <v>0</v>
      </c>
      <c r="Z52">
        <f>IFERROR(INDEX('Exercise list'!$E$5:$X$102,MATCH($C52,'Exercise list'!$C$5:$C$102,0),MATCH(Z$5,'Exercise list'!$E$4:$X$4,0)),0)</f>
        <v>0</v>
      </c>
      <c r="AA52">
        <f>IFERROR(INDEX('Exercise list'!$E$5:$X$102,MATCH($C52,'Exercise list'!$C$5:$C$102,0),MATCH(AA$5,'Exercise list'!$E$4:$X$4,0)),0)</f>
        <v>0</v>
      </c>
      <c r="AB52">
        <f>IFERROR(INDEX('Exercise list'!$E$5:$X$102,MATCH($C52,'Exercise list'!$C$5:$C$102,0),MATCH(AB$5,'Exercise list'!$E$4:$X$4,0)),0)</f>
        <v>0</v>
      </c>
      <c r="AC52">
        <f>IFERROR(INDEX('Exercise list'!$E$5:$X$102,MATCH($C52,'Exercise list'!$C$5:$C$102,0),MATCH(AC$5,'Exercise list'!$E$4:$X$4,0)),0)</f>
        <v>0</v>
      </c>
      <c r="AD52">
        <f>IFERROR(INDEX('Exercise list'!$E$5:$X$102,MATCH($C52,'Exercise list'!$C$5:$C$102,0),MATCH(AD$5,'Exercise list'!$E$4:$X$4,0)),0)</f>
        <v>0.6</v>
      </c>
      <c r="AE52">
        <f>IFERROR(INDEX('Exercise list'!$E$5:$X$102,MATCH($C52,'Exercise list'!$C$5:$C$102,0),MATCH(AE$5,'Exercise list'!$E$4:$X$4,0)),0)</f>
        <v>1</v>
      </c>
      <c r="AF52">
        <f>IFERROR(INDEX('Exercise list'!$E$5:$X$102,MATCH($C52,'Exercise list'!$C$5:$C$102,0),MATCH(AF$5,'Exercise list'!$E$4:$X$4,0)),0)</f>
        <v>0.9</v>
      </c>
      <c r="AG52">
        <f>IFERROR(INDEX('Exercise list'!$E$5:$X$102,MATCH($C52,'Exercise list'!$C$5:$C$102,0),MATCH(AG$5,'Exercise list'!$E$4:$X$4,0)),0)</f>
        <v>0</v>
      </c>
      <c r="AH52">
        <f>IFERROR(INDEX('Exercise list'!$E$5:$X$102,MATCH($C52,'Exercise list'!$C$5:$C$102,0),MATCH(AH$5,'Exercise list'!$E$4:$X$4,0)),0)</f>
        <v>0</v>
      </c>
      <c r="AI52">
        <f>IFERROR(INDEX('Exercise list'!$E$5:$X$102,MATCH($C52,'Exercise list'!$C$5:$C$102,0),MATCH(AI$5,'Exercise list'!$E$4:$X$4,0)),0)</f>
        <v>0</v>
      </c>
      <c r="AK52">
        <f>IF(OR($J52=1,COUNTIFS($A$5:$A51,"&gt;="&amp;$A52-1,$A$5:$A51,"&lt;="&amp;$A52,$B$5:$B51,$B52)&gt;0,MIN(1-'Exercise list'!E$2,IF($A52=$A51,AK51,1))-P52&lt;0),-1,MIN(1,IF($A52=$A51,AK51,1)-P52+$D$2))</f>
        <v>1</v>
      </c>
      <c r="AL52">
        <f>IF(OR($J52=1,COUNTIFS($A$5:$A51,"&gt;="&amp;$A52-1,$A$5:$A51,"&lt;="&amp;$A52,$B$5:$B51,$B52)&gt;0,MIN(1-'Exercise list'!F$2,IF($A52=$A51,AL51,1))-Q52&lt;0),-1,MIN(1,IF($A52=$A51,AL51,1)-Q52+$D$2))</f>
        <v>1</v>
      </c>
      <c r="AM52">
        <f>IF(OR($J52=1,COUNTIFS($A$5:$A51,"&gt;="&amp;$A52-1,$A$5:$A51,"&lt;="&amp;$A52,$B$5:$B51,$B52)&gt;0,MIN(1-'Exercise list'!G$2,IF($A52=$A51,AM51,1))-R52&lt;0),-1,MIN(1,IF($A52=$A51,AM51,1)-R52+$D$2))</f>
        <v>1</v>
      </c>
      <c r="AN52">
        <f>IF(OR($J52=1,COUNTIFS($A$5:$A51,"&gt;="&amp;$A52-1,$A$5:$A51,"&lt;="&amp;$A52,$B$5:$B51,$B52)&gt;0,MIN(1-'Exercise list'!H$2,IF($A52=$A51,AN51,1))-S52&lt;0),-1,MIN(1,IF($A52=$A51,AN51,1)-S52+$D$2))</f>
        <v>1</v>
      </c>
      <c r="AO52">
        <f>IF(OR($J52=1,COUNTIFS($A$5:$A51,"&gt;="&amp;$A52-1,$A$5:$A51,"&lt;="&amp;$A52,$B$5:$B51,$B52)&gt;0,MIN(1-'Exercise list'!I$2,IF($A52=$A51,AO51,1))-T52&lt;0),-1,MIN(1,IF($A52=$A51,AO51,1)-T52+$D$2))</f>
        <v>1</v>
      </c>
      <c r="AP52">
        <f>IF(OR($J52=1,COUNTIFS($A$5:$A51,"&gt;="&amp;$A52-1,$A$5:$A51,"&lt;="&amp;$A52,$B$5:$B51,$B52)&gt;0,MIN(1-'Exercise list'!J$2,IF($A52=$A51,AP51,1))-U52&lt;0),-1,MIN(1,IF($A52=$A51,AP51,1)-U52+$D$2))</f>
        <v>1</v>
      </c>
      <c r="AQ52">
        <f>IF(OR($J52=1,COUNTIFS($A$5:$A51,"&gt;="&amp;$A52-1,$A$5:$A51,"&lt;="&amp;$A52,$B$5:$B51,$B52)&gt;0,MIN(1-'Exercise list'!K$2,IF($A52=$A51,AQ51,1))-V52&lt;0),-1,MIN(1,IF($A52=$A51,AQ51,1)-V52+$D$2))</f>
        <v>1</v>
      </c>
      <c r="AR52">
        <f>IF(OR($J52=1,COUNTIFS($A$5:$A51,"&gt;="&amp;$A52-1,$A$5:$A51,"&lt;="&amp;$A52,$B$5:$B51,$B52)&gt;0,MIN(1-'Exercise list'!L$2,IF($A52=$A51,AR51,1))-W52&lt;0),-1,MIN(1,IF($A52=$A51,AR51,1)-W52+$D$2))</f>
        <v>1</v>
      </c>
      <c r="AS52">
        <f>IF(OR($J52=1,COUNTIFS($A$5:$A51,"&gt;="&amp;$A52-1,$A$5:$A51,"&lt;="&amp;$A52,$B$5:$B51,$B52)&gt;0,MIN(1-'Exercise list'!M$2,IF($A52=$A51,AS51,1))-X52&lt;0),-1,MIN(1,IF($A52=$A51,AS51,1)-X52+$D$2))</f>
        <v>1</v>
      </c>
      <c r="AT52">
        <f>IF(OR($J52=1,COUNTIFS($A$5:$A51,"&gt;="&amp;$A52-1,$A$5:$A51,"&lt;="&amp;$A52,$B$5:$B51,$B52)&gt;0,MIN(1-'Exercise list'!N$2,IF($A52=$A51,AT51,1))-Y52&lt;0),-1,MIN(1,IF($A52=$A51,AT51,1)-Y52+$D$2))</f>
        <v>1</v>
      </c>
      <c r="AU52">
        <f>IF(OR($J52=1,COUNTIFS($A$5:$A51,"&gt;="&amp;$A52-1,$A$5:$A51,"&lt;="&amp;$A52,$B$5:$B51,$B52)&gt;0,MIN(1-'Exercise list'!O$2,IF($A52=$A51,AU51,1))-Z52&lt;0),-1,MIN(1,IF($A52=$A51,AU51,1)-Z52+$D$2))</f>
        <v>1</v>
      </c>
      <c r="AV52">
        <f>IF(OR($J52=1,COUNTIFS($A$5:$A51,"&gt;="&amp;$A52-1,$A$5:$A51,"&lt;="&amp;$A52,$B$5:$B51,$B52)&gt;0,MIN(1-'Exercise list'!P$2,IF($A52=$A51,AV51,1))-AA52&lt;0),-1,MIN(1,IF($A52=$A51,AV51,1)-AA52+$D$2))</f>
        <v>1</v>
      </c>
      <c r="AW52">
        <f>IF(OR($J52=1,COUNTIFS($A$5:$A51,"&gt;="&amp;$A52-1,$A$5:$A51,"&lt;="&amp;$A52,$B$5:$B51,$B52)&gt;0,MIN(1-'Exercise list'!Q$2,IF($A52=$A51,AW51,1))-AB52&lt;0),-1,MIN(1,IF($A52=$A51,AW51,1)-AB52+$D$2))</f>
        <v>1</v>
      </c>
      <c r="AX52">
        <f>IF(OR($J52=1,COUNTIFS($A$5:$A51,"&gt;="&amp;$A52-1,$A$5:$A51,"&lt;="&amp;$A52,$B$5:$B51,$B52)&gt;0,MIN(1-'Exercise list'!R$2,IF($A52=$A51,AX51,1))-AC52&lt;0),-1,MIN(1,IF($A52=$A51,AX51,1)-AC52+$D$2))</f>
        <v>1</v>
      </c>
      <c r="AY52">
        <f>IF(OR($J52=1,COUNTIFS($A$5:$A51,"&gt;="&amp;$A52-1,$A$5:$A51,"&lt;="&amp;$A52,$B$5:$B51,$B52)&gt;0,MIN(1-'Exercise list'!S$2,IF($A52=$A51,AY51,1))-AD52&lt;0),-1,MIN(1,IF($A52=$A51,AY51,1)-AD52+$D$2))</f>
        <v>1</v>
      </c>
      <c r="AZ52">
        <f>IF(OR($J52=1,COUNTIFS($A$5:$A51,"&gt;="&amp;$A52-1,$A$5:$A51,"&lt;="&amp;$A52,$B$5:$B51,$B52)&gt;0,MIN(1-'Exercise list'!T$2,IF($A52=$A51,AZ51,1))-AE52&lt;0),-1,MIN(1,IF($A52=$A51,AZ51,1)-AE52+$D$2))</f>
        <v>1</v>
      </c>
      <c r="BA52">
        <f>IF(OR($J52=1,COUNTIFS($A$5:$A51,"&gt;="&amp;$A52-1,$A$5:$A51,"&lt;="&amp;$A52,$B$5:$B51,$B52)&gt;0,MIN(1-'Exercise list'!U$2,IF($A52=$A51,BA51,1))-AF52&lt;0),-1,MIN(1,IF($A52=$A51,BA51,1)-AF52+$D$2))</f>
        <v>1</v>
      </c>
      <c r="BB52">
        <f>IF(OR($J52=1,COUNTIFS($A$5:$A51,"&gt;="&amp;$A52-1,$A$5:$A51,"&lt;="&amp;$A52,$B$5:$B51,$B52)&gt;0,MIN(1-'Exercise list'!V$2,IF($A52=$A51,BB51,1))-AG52&lt;0),-1,MIN(1,IF($A52=$A51,BB51,1)-AG52+$D$2))</f>
        <v>1</v>
      </c>
      <c r="BC52">
        <f>IF(OR($J52=1,COUNTIFS($A$5:$A51,"&gt;="&amp;$A52-1,$A$5:$A51,"&lt;="&amp;$A52,$B$5:$B51,$B52)&gt;0,MIN(1-'Exercise list'!W$2,IF($A52=$A51,BC51,1))-AH52&lt;0),-1,MIN(1,IF($A52=$A51,BC51,1)-AH52+$D$2))</f>
        <v>1</v>
      </c>
      <c r="BD52">
        <f>IF(OR($J52=1,COUNTIFS($A$5:$A51,"&gt;="&amp;$A52-1,$A$5:$A51,"&lt;="&amp;$A52,$B$5:$B51,$B52)&gt;0,MIN(1-'Exercise list'!X$2,IF($A52=$A51,BD51,1))-AI52&lt;0),-1,MIN(1,IF($A52=$A51,BD51,1)-AI52+$D$2))</f>
        <v>1</v>
      </c>
      <c r="BF52" s="16">
        <f t="shared" si="24"/>
        <v>0.10831034571344161</v>
      </c>
      <c r="BG52" s="16">
        <f t="shared" si="25"/>
        <v>9.9690893981949483E-2</v>
      </c>
      <c r="BH52" s="16">
        <f t="shared" si="26"/>
        <v>0.12784040525264356</v>
      </c>
      <c r="BI52" s="16">
        <f t="shared" si="27"/>
        <v>0.12640327861645526</v>
      </c>
      <c r="BJ52" s="16">
        <f t="shared" si="28"/>
        <v>0.33510396796857134</v>
      </c>
      <c r="BK52" s="16">
        <f t="shared" si="29"/>
        <v>4.4371027000559768E-2</v>
      </c>
      <c r="BL52" s="16">
        <f t="shared" si="30"/>
        <v>7.5172044390453233E-2</v>
      </c>
      <c r="BM52" s="16">
        <f t="shared" si="31"/>
        <v>5.1395320335850238E-2</v>
      </c>
      <c r="BN52" s="16">
        <f t="shared" si="32"/>
        <v>9.4099881391222204E-2</v>
      </c>
      <c r="BO52" s="16">
        <f t="shared" si="33"/>
        <v>0.10395822397461196</v>
      </c>
      <c r="BP52" s="16">
        <f t="shared" si="34"/>
        <v>0.31104110259017897</v>
      </c>
      <c r="BQ52" s="16">
        <f t="shared" si="35"/>
        <v>3.613490267818064E-2</v>
      </c>
      <c r="BR52" s="16">
        <f t="shared" si="36"/>
        <v>0.19605509297167448</v>
      </c>
      <c r="BS52" s="16">
        <f t="shared" si="37"/>
        <v>6.2137566400704378E-2</v>
      </c>
      <c r="BT52" s="16">
        <f t="shared" si="38"/>
        <v>0.28180092725419603</v>
      </c>
      <c r="BU52" s="16">
        <f t="shared" si="39"/>
        <v>0.32290188210434512</v>
      </c>
      <c r="BV52" s="16">
        <f t="shared" si="40"/>
        <v>0.40076003527348658</v>
      </c>
      <c r="BW52" s="16">
        <f t="shared" si="41"/>
        <v>8.1554414704452294E-2</v>
      </c>
      <c r="BX52" s="16">
        <f t="shared" si="42"/>
        <v>8.5321509029000334E-2</v>
      </c>
      <c r="BY52" s="16">
        <f t="shared" si="43"/>
        <v>2.0676803134569557E-2</v>
      </c>
      <c r="CA52" s="16">
        <f t="shared" si="4"/>
        <v>0.11129925612111741</v>
      </c>
      <c r="CB52" s="16">
        <f t="shared" si="5"/>
        <v>0.11991870785260954</v>
      </c>
      <c r="CC52" s="16">
        <f t="shared" si="6"/>
        <v>0</v>
      </c>
      <c r="CD52" s="16">
        <f t="shared" si="7"/>
        <v>0</v>
      </c>
      <c r="CE52" s="16">
        <f t="shared" si="8"/>
        <v>0</v>
      </c>
      <c r="CF52" s="16">
        <f t="shared" si="9"/>
        <v>0.28504337575127875</v>
      </c>
      <c r="CG52" s="16">
        <f t="shared" si="10"/>
        <v>3.4632756526826278E-2</v>
      </c>
      <c r="CH52" s="16">
        <f t="shared" si="11"/>
        <v>5.8409480581429273E-2</v>
      </c>
      <c r="CI52" s="16">
        <f t="shared" si="12"/>
        <v>0.1255097204433368</v>
      </c>
      <c r="CJ52" s="16">
        <f t="shared" si="13"/>
        <v>5.8465769426675473E-3</v>
      </c>
      <c r="CK52" s="16">
        <f t="shared" si="14"/>
        <v>0</v>
      </c>
      <c r="CL52" s="16">
        <f t="shared" si="15"/>
        <v>7.3669898239098863E-2</v>
      </c>
      <c r="CM52" s="16">
        <f t="shared" si="16"/>
        <v>2.3554508862884543E-2</v>
      </c>
      <c r="CN52" s="16">
        <f t="shared" si="17"/>
        <v>4.7667234516575133E-2</v>
      </c>
      <c r="CO52" s="16">
        <f t="shared" si="18"/>
        <v>0</v>
      </c>
      <c r="CP52" s="16">
        <f t="shared" si="19"/>
        <v>0</v>
      </c>
      <c r="CQ52" s="16">
        <f t="shared" si="20"/>
        <v>0</v>
      </c>
      <c r="CR52" s="16">
        <f t="shared" si="21"/>
        <v>2.8250386212827217E-2</v>
      </c>
      <c r="CS52" s="16">
        <f t="shared" si="22"/>
        <v>2.4483291888279177E-2</v>
      </c>
      <c r="CT52" s="16">
        <f t="shared" si="23"/>
        <v>8.9127997782709953E-2</v>
      </c>
    </row>
    <row r="53" spans="1:100" x14ac:dyDescent="0.25">
      <c r="A53" s="13">
        <v>45062</v>
      </c>
      <c r="B53" s="14">
        <v>15</v>
      </c>
      <c r="C53" s="15" t="s">
        <v>97</v>
      </c>
      <c r="D53" s="12">
        <f t="shared" si="45"/>
        <v>1</v>
      </c>
      <c r="E53" s="32">
        <f t="shared" si="1"/>
        <v>1.7120293368256256</v>
      </c>
      <c r="F53" s="63" cm="1">
        <f t="array" ref="F53">IF(B53="","",0.1+IFERROR(INDEX($F$6:$F52,SUMPRODUCT(MAX(ROW($C$6:$C52)*($C53=$C$6:$C52))-ROW($A$5)))*0.9^($A53-INDEX($A$6:A52,SUMPRODUCT(MAX(ROW($C$6:$C52)*($C53=$C$6:$C52))-ROW($A$5)))),0))</f>
        <v>0.13486784401000002</v>
      </c>
      <c r="G53" s="64">
        <f>INDEX('Exercise list'!$Y$5:$Y$102,MATCH(C53,'Exercise list'!$C$5:$C$102,0))</f>
        <v>3</v>
      </c>
      <c r="H53" s="115">
        <f t="shared" si="46"/>
        <v>8.3385467549761144E-2</v>
      </c>
      <c r="I53" s="6">
        <f t="shared" si="47"/>
        <v>2</v>
      </c>
      <c r="J53" s="6">
        <v>0</v>
      </c>
      <c r="K53" s="12"/>
      <c r="L53" s="74" t="str" cm="1">
        <f t="array" ref="L53">IF(K53="","",INDEX('Exercise list'!$C$5:$C$102,K53))</f>
        <v/>
      </c>
      <c r="M53" s="6"/>
      <c r="N53" s="75" t="str" cm="1">
        <f t="array" ref="N53">IF(M53="","",INDEX('Exercise list'!$C$5:$C$102,M53))</f>
        <v/>
      </c>
      <c r="P53">
        <f>IFERROR(INDEX('Exercise list'!$E$5:$X$102,MATCH($C53,'Exercise list'!$C$5:$C$102,0),MATCH(P$5,'Exercise list'!$E$4:$X$4,0)),0)</f>
        <v>0</v>
      </c>
      <c r="Q53">
        <f>IFERROR(INDEX('Exercise list'!$E$5:$X$102,MATCH($C53,'Exercise list'!$C$5:$C$102,0),MATCH(Q$5,'Exercise list'!$E$4:$X$4,0)),0)</f>
        <v>1</v>
      </c>
      <c r="R53">
        <f>IFERROR(INDEX('Exercise list'!$E$5:$X$102,MATCH($C53,'Exercise list'!$C$5:$C$102,0),MATCH(R$5,'Exercise list'!$E$4:$X$4,0)),0)</f>
        <v>0.5</v>
      </c>
      <c r="S53">
        <f>IFERROR(INDEX('Exercise list'!$E$5:$X$102,MATCH($C53,'Exercise list'!$C$5:$C$102,0),MATCH(S$5,'Exercise list'!$E$4:$X$4,0)),0)</f>
        <v>0.5</v>
      </c>
      <c r="T53">
        <f>IFERROR(INDEX('Exercise list'!$E$5:$X$102,MATCH($C53,'Exercise list'!$C$5:$C$102,0),MATCH(T$5,'Exercise list'!$E$4:$X$4,0)),0)</f>
        <v>0</v>
      </c>
      <c r="U53">
        <f>IFERROR(INDEX('Exercise list'!$E$5:$X$102,MATCH($C53,'Exercise list'!$C$5:$C$102,0),MATCH(U$5,'Exercise list'!$E$4:$X$4,0)),0)</f>
        <v>0</v>
      </c>
      <c r="V53">
        <f>IFERROR(INDEX('Exercise list'!$E$5:$X$102,MATCH($C53,'Exercise list'!$C$5:$C$102,0),MATCH(V$5,'Exercise list'!$E$4:$X$4,0)),0)</f>
        <v>0</v>
      </c>
      <c r="W53">
        <f>IFERROR(INDEX('Exercise list'!$E$5:$X$102,MATCH($C53,'Exercise list'!$C$5:$C$102,0),MATCH(W$5,'Exercise list'!$E$4:$X$4,0)),0)</f>
        <v>0</v>
      </c>
      <c r="X53">
        <f>IFERROR(INDEX('Exercise list'!$E$5:$X$102,MATCH($C53,'Exercise list'!$C$5:$C$102,0),MATCH(X$5,'Exercise list'!$E$4:$X$4,0)),0)</f>
        <v>0.8</v>
      </c>
      <c r="Y53">
        <f>IFERROR(INDEX('Exercise list'!$E$5:$X$102,MATCH($C53,'Exercise list'!$C$5:$C$102,0),MATCH(Y$5,'Exercise list'!$E$4:$X$4,0)),0)</f>
        <v>0</v>
      </c>
      <c r="Z53">
        <f>IFERROR(INDEX('Exercise list'!$E$5:$X$102,MATCH($C53,'Exercise list'!$C$5:$C$102,0),MATCH(Z$5,'Exercise list'!$E$4:$X$4,0)),0)</f>
        <v>0.8</v>
      </c>
      <c r="AA53">
        <f>IFERROR(INDEX('Exercise list'!$E$5:$X$102,MATCH($C53,'Exercise list'!$C$5:$C$102,0),MATCH(AA$5,'Exercise list'!$E$4:$X$4,0)),0)</f>
        <v>0</v>
      </c>
      <c r="AB53">
        <f>IFERROR(INDEX('Exercise list'!$E$5:$X$102,MATCH($C53,'Exercise list'!$C$5:$C$102,0),MATCH(AB$5,'Exercise list'!$E$4:$X$4,0)),0)</f>
        <v>0</v>
      </c>
      <c r="AC53">
        <f>IFERROR(INDEX('Exercise list'!$E$5:$X$102,MATCH($C53,'Exercise list'!$C$5:$C$102,0),MATCH(AC$5,'Exercise list'!$E$4:$X$4,0)),0)</f>
        <v>0</v>
      </c>
      <c r="AD53">
        <f>IFERROR(INDEX('Exercise list'!$E$5:$X$102,MATCH($C53,'Exercise list'!$C$5:$C$102,0),MATCH(AD$5,'Exercise list'!$E$4:$X$4,0)),0)</f>
        <v>0</v>
      </c>
      <c r="AE53">
        <f>IFERROR(INDEX('Exercise list'!$E$5:$X$102,MATCH($C53,'Exercise list'!$C$5:$C$102,0),MATCH(AE$5,'Exercise list'!$E$4:$X$4,0)),0)</f>
        <v>0</v>
      </c>
      <c r="AF53">
        <f>IFERROR(INDEX('Exercise list'!$E$5:$X$102,MATCH($C53,'Exercise list'!$C$5:$C$102,0),MATCH(AF$5,'Exercise list'!$E$4:$X$4,0)),0)</f>
        <v>0</v>
      </c>
      <c r="AG53">
        <f>IFERROR(INDEX('Exercise list'!$E$5:$X$102,MATCH($C53,'Exercise list'!$C$5:$C$102,0),MATCH(AG$5,'Exercise list'!$E$4:$X$4,0)),0)</f>
        <v>0</v>
      </c>
      <c r="AH53">
        <f>IFERROR(INDEX('Exercise list'!$E$5:$X$102,MATCH($C53,'Exercise list'!$C$5:$C$102,0),MATCH(AH$5,'Exercise list'!$E$4:$X$4,0)),0)</f>
        <v>0</v>
      </c>
      <c r="AI53">
        <f>IFERROR(INDEX('Exercise list'!$E$5:$X$102,MATCH($C53,'Exercise list'!$C$5:$C$102,0),MATCH(AI$5,'Exercise list'!$E$4:$X$4,0)),0)</f>
        <v>0</v>
      </c>
      <c r="AK53">
        <f>IF(OR($J53=1,COUNTIFS($A$5:$A52,"&gt;="&amp;$A53-1,$A$5:$A52,"&lt;="&amp;$A53,$B$5:$B52,$B53)&gt;0,MIN(1-'Exercise list'!E$2,IF($A53=$A52,AK52,1))-P53&lt;0),-1,MIN(1,IF($A53=$A52,AK52,1)-P53+$D$2))</f>
        <v>1</v>
      </c>
      <c r="AL53">
        <f>IF(OR($J53=1,COUNTIFS($A$5:$A52,"&gt;="&amp;$A53-1,$A$5:$A52,"&lt;="&amp;$A53,$B$5:$B52,$B53)&gt;0,MIN(1-'Exercise list'!F$2,IF($A53=$A52,AL52,1))-Q53&lt;0),-1,MIN(1,IF($A53=$A52,AL52,1)-Q53+$D$2))</f>
        <v>1</v>
      </c>
      <c r="AM53">
        <f>IF(OR($J53=1,COUNTIFS($A$5:$A52,"&gt;="&amp;$A53-1,$A$5:$A52,"&lt;="&amp;$A53,$B$5:$B52,$B53)&gt;0,MIN(1-'Exercise list'!G$2,IF($A53=$A52,AM52,1))-R53&lt;0),-1,MIN(1,IF($A53=$A52,AM52,1)-R53+$D$2))</f>
        <v>1</v>
      </c>
      <c r="AN53">
        <f>IF(OR($J53=1,COUNTIFS($A$5:$A52,"&gt;="&amp;$A53-1,$A$5:$A52,"&lt;="&amp;$A53,$B$5:$B52,$B53)&gt;0,MIN(1-'Exercise list'!H$2,IF($A53=$A52,AN52,1))-S53&lt;0),-1,MIN(1,IF($A53=$A52,AN52,1)-S53+$D$2))</f>
        <v>1</v>
      </c>
      <c r="AO53">
        <f>IF(OR($J53=1,COUNTIFS($A$5:$A52,"&gt;="&amp;$A53-1,$A$5:$A52,"&lt;="&amp;$A53,$B$5:$B52,$B53)&gt;0,MIN(1-'Exercise list'!I$2,IF($A53=$A52,AO52,1))-T53&lt;0),-1,MIN(1,IF($A53=$A52,AO52,1)-T53+$D$2))</f>
        <v>1</v>
      </c>
      <c r="AP53">
        <f>IF(OR($J53=1,COUNTIFS($A$5:$A52,"&gt;="&amp;$A53-1,$A$5:$A52,"&lt;="&amp;$A53,$B$5:$B52,$B53)&gt;0,MIN(1-'Exercise list'!J$2,IF($A53=$A52,AP52,1))-U53&lt;0),-1,MIN(1,IF($A53=$A52,AP52,1)-U53+$D$2))</f>
        <v>1</v>
      </c>
      <c r="AQ53">
        <f>IF(OR($J53=1,COUNTIFS($A$5:$A52,"&gt;="&amp;$A53-1,$A$5:$A52,"&lt;="&amp;$A53,$B$5:$B52,$B53)&gt;0,MIN(1-'Exercise list'!K$2,IF($A53=$A52,AQ52,1))-V53&lt;0),-1,MIN(1,IF($A53=$A52,AQ52,1)-V53+$D$2))</f>
        <v>1</v>
      </c>
      <c r="AR53">
        <f>IF(OR($J53=1,COUNTIFS($A$5:$A52,"&gt;="&amp;$A53-1,$A$5:$A52,"&lt;="&amp;$A53,$B$5:$B52,$B53)&gt;0,MIN(1-'Exercise list'!L$2,IF($A53=$A52,AR52,1))-W53&lt;0),-1,MIN(1,IF($A53=$A52,AR52,1)-W53+$D$2))</f>
        <v>1</v>
      </c>
      <c r="AS53">
        <f>IF(OR($J53=1,COUNTIFS($A$5:$A52,"&gt;="&amp;$A53-1,$A$5:$A52,"&lt;="&amp;$A53,$B$5:$B52,$B53)&gt;0,MIN(1-'Exercise list'!M$2,IF($A53=$A52,AS52,1))-X53&lt;0),-1,MIN(1,IF($A53=$A52,AS52,1)-X53+$D$2))</f>
        <v>1</v>
      </c>
      <c r="AT53">
        <f>IF(OR($J53=1,COUNTIFS($A$5:$A52,"&gt;="&amp;$A53-1,$A$5:$A52,"&lt;="&amp;$A53,$B$5:$B52,$B53)&gt;0,MIN(1-'Exercise list'!N$2,IF($A53=$A52,AT52,1))-Y53&lt;0),-1,MIN(1,IF($A53=$A52,AT52,1)-Y53+$D$2))</f>
        <v>1</v>
      </c>
      <c r="AU53">
        <f>IF(OR($J53=1,COUNTIFS($A$5:$A52,"&gt;="&amp;$A53-1,$A$5:$A52,"&lt;="&amp;$A53,$B$5:$B52,$B53)&gt;0,MIN(1-'Exercise list'!O$2,IF($A53=$A52,AU52,1))-Z53&lt;0),-1,MIN(1,IF($A53=$A52,AU52,1)-Z53+$D$2))</f>
        <v>1</v>
      </c>
      <c r="AV53">
        <f>IF(OR($J53=1,COUNTIFS($A$5:$A52,"&gt;="&amp;$A53-1,$A$5:$A52,"&lt;="&amp;$A53,$B$5:$B52,$B53)&gt;0,MIN(1-'Exercise list'!P$2,IF($A53=$A52,AV52,1))-AA53&lt;0),-1,MIN(1,IF($A53=$A52,AV52,1)-AA53+$D$2))</f>
        <v>1</v>
      </c>
      <c r="AW53">
        <f>IF(OR($J53=1,COUNTIFS($A$5:$A52,"&gt;="&amp;$A53-1,$A$5:$A52,"&lt;="&amp;$A53,$B$5:$B52,$B53)&gt;0,MIN(1-'Exercise list'!Q$2,IF($A53=$A52,AW52,1))-AB53&lt;0),-1,MIN(1,IF($A53=$A52,AW52,1)-AB53+$D$2))</f>
        <v>1</v>
      </c>
      <c r="AX53">
        <f>IF(OR($J53=1,COUNTIFS($A$5:$A52,"&gt;="&amp;$A53-1,$A$5:$A52,"&lt;="&amp;$A53,$B$5:$B52,$B53)&gt;0,MIN(1-'Exercise list'!R$2,IF($A53=$A52,AX52,1))-AC53&lt;0),-1,MIN(1,IF($A53=$A52,AX52,1)-AC53+$D$2))</f>
        <v>1</v>
      </c>
      <c r="AY53">
        <f>IF(OR($J53=1,COUNTIFS($A$5:$A52,"&gt;="&amp;$A53-1,$A$5:$A52,"&lt;="&amp;$A53,$B$5:$B52,$B53)&gt;0,MIN(1-'Exercise list'!S$2,IF($A53=$A52,AY52,1))-AD53&lt;0),-1,MIN(1,IF($A53=$A52,AY52,1)-AD53+$D$2))</f>
        <v>1</v>
      </c>
      <c r="AZ53">
        <f>IF(OR($J53=1,COUNTIFS($A$5:$A52,"&gt;="&amp;$A53-1,$A$5:$A52,"&lt;="&amp;$A53,$B$5:$B52,$B53)&gt;0,MIN(1-'Exercise list'!T$2,IF($A53=$A52,AZ52,1))-AE53&lt;0),-1,MIN(1,IF($A53=$A52,AZ52,1)-AE53+$D$2))</f>
        <v>1</v>
      </c>
      <c r="BA53">
        <f>IF(OR($J53=1,COUNTIFS($A$5:$A52,"&gt;="&amp;$A53-1,$A$5:$A52,"&lt;="&amp;$A53,$B$5:$B52,$B53)&gt;0,MIN(1-'Exercise list'!U$2,IF($A53=$A52,BA52,1))-AF53&lt;0),-1,MIN(1,IF($A53=$A52,BA52,1)-AF53+$D$2))</f>
        <v>1</v>
      </c>
      <c r="BB53">
        <f>IF(OR($J53=1,COUNTIFS($A$5:$A52,"&gt;="&amp;$A53-1,$A$5:$A52,"&lt;="&amp;$A53,$B$5:$B52,$B53)&gt;0,MIN(1-'Exercise list'!V$2,IF($A53=$A52,BB52,1))-AG53&lt;0),-1,MIN(1,IF($A53=$A52,BB52,1)-AG53+$D$2))</f>
        <v>1</v>
      </c>
      <c r="BC53">
        <f>IF(OR($J53=1,COUNTIFS($A$5:$A52,"&gt;="&amp;$A53-1,$A$5:$A52,"&lt;="&amp;$A53,$B$5:$B52,$B53)&gt;0,MIN(1-'Exercise list'!W$2,IF($A53=$A52,BC52,1))-AH53&lt;0),-1,MIN(1,IF($A53=$A52,BC52,1)-AH53+$D$2))</f>
        <v>1</v>
      </c>
      <c r="BD53">
        <f>IF(OR($J53=1,COUNTIFS($A$5:$A52,"&gt;="&amp;$A53-1,$A$5:$A52,"&lt;="&amp;$A53,$B$5:$B52,$B53)&gt;0,MIN(1-'Exercise list'!X$2,IF($A53=$A52,BD52,1))-AI53&lt;0),-1,MIN(1,IF($A53=$A52,BD52,1)-AI53+$D$2))</f>
        <v>1</v>
      </c>
      <c r="BF53" s="16">
        <f t="shared" si="24"/>
        <v>0.10289482842776952</v>
      </c>
      <c r="BG53" s="16">
        <f t="shared" si="25"/>
        <v>0.144706349282852</v>
      </c>
      <c r="BH53" s="16">
        <f t="shared" si="26"/>
        <v>0.14644838499001139</v>
      </c>
      <c r="BI53" s="16">
        <f t="shared" si="27"/>
        <v>0.14508311468563248</v>
      </c>
      <c r="BJ53" s="16">
        <f t="shared" si="28"/>
        <v>0.31834876957014274</v>
      </c>
      <c r="BK53" s="16">
        <f t="shared" si="29"/>
        <v>4.2152475650531776E-2</v>
      </c>
      <c r="BL53" s="16">
        <f t="shared" si="30"/>
        <v>7.1413442170930569E-2</v>
      </c>
      <c r="BM53" s="16">
        <f t="shared" si="31"/>
        <v>4.8825554319057725E-2</v>
      </c>
      <c r="BN53" s="16">
        <f t="shared" si="32"/>
        <v>0.1293948873216611</v>
      </c>
      <c r="BO53" s="16">
        <f t="shared" si="33"/>
        <v>9.8760312775881362E-2</v>
      </c>
      <c r="BP53" s="16">
        <f t="shared" si="34"/>
        <v>0.33548904746066999</v>
      </c>
      <c r="BQ53" s="16">
        <f t="shared" si="35"/>
        <v>3.4328157544271605E-2</v>
      </c>
      <c r="BR53" s="16">
        <f t="shared" si="36"/>
        <v>0.18625233832309074</v>
      </c>
      <c r="BS53" s="16">
        <f t="shared" si="37"/>
        <v>5.9030688080669157E-2</v>
      </c>
      <c r="BT53" s="16">
        <f t="shared" si="38"/>
        <v>0.2677108808914862</v>
      </c>
      <c r="BU53" s="16">
        <f t="shared" si="39"/>
        <v>0.30675678799912787</v>
      </c>
      <c r="BV53" s="16">
        <f t="shared" si="40"/>
        <v>0.38072203350981221</v>
      </c>
      <c r="BW53" s="16">
        <f t="shared" si="41"/>
        <v>7.7476693969229682E-2</v>
      </c>
      <c r="BX53" s="16">
        <f t="shared" si="42"/>
        <v>8.1055433577550309E-2</v>
      </c>
      <c r="BY53" s="16">
        <f t="shared" si="43"/>
        <v>1.9642962977841079E-2</v>
      </c>
      <c r="CA53" s="16">
        <f t="shared" si="4"/>
        <v>0.11906762664839492</v>
      </c>
      <c r="CB53" s="16">
        <f t="shared" si="5"/>
        <v>7.7256105793312435E-2</v>
      </c>
      <c r="CC53" s="16">
        <f t="shared" si="6"/>
        <v>0</v>
      </c>
      <c r="CD53" s="16">
        <f t="shared" si="7"/>
        <v>0</v>
      </c>
      <c r="CE53" s="16">
        <f t="shared" si="8"/>
        <v>0</v>
      </c>
      <c r="CF53" s="16">
        <f t="shared" si="9"/>
        <v>0.29079120696371491</v>
      </c>
      <c r="CG53" s="16">
        <f t="shared" si="10"/>
        <v>3.9567785367151651E-2</v>
      </c>
      <c r="CH53" s="16">
        <f t="shared" si="11"/>
        <v>6.2155673219024495E-2</v>
      </c>
      <c r="CI53" s="16">
        <f t="shared" si="12"/>
        <v>9.2567567754503338E-2</v>
      </c>
      <c r="CJ53" s="16">
        <f t="shared" si="13"/>
        <v>1.2220914762200857E-2</v>
      </c>
      <c r="CK53" s="16">
        <f t="shared" si="14"/>
        <v>0</v>
      </c>
      <c r="CL53" s="16">
        <f t="shared" si="15"/>
        <v>7.6653069993810607E-2</v>
      </c>
      <c r="CM53" s="16">
        <f t="shared" si="16"/>
        <v>3.5710116753073701E-2</v>
      </c>
      <c r="CN53" s="16">
        <f t="shared" si="17"/>
        <v>5.1950539457413063E-2</v>
      </c>
      <c r="CO53" s="16">
        <f t="shared" si="18"/>
        <v>0</v>
      </c>
      <c r="CP53" s="16">
        <f t="shared" si="19"/>
        <v>0</v>
      </c>
      <c r="CQ53" s="16">
        <f t="shared" si="20"/>
        <v>0</v>
      </c>
      <c r="CR53" s="16">
        <f t="shared" si="21"/>
        <v>3.3504533568852538E-2</v>
      </c>
      <c r="CS53" s="16">
        <f t="shared" si="22"/>
        <v>2.992579396053191E-2</v>
      </c>
      <c r="CT53" s="16">
        <f t="shared" si="23"/>
        <v>9.1338264560241134E-2</v>
      </c>
    </row>
    <row r="54" spans="1:100" x14ac:dyDescent="0.25">
      <c r="A54" s="13">
        <v>45062</v>
      </c>
      <c r="B54" s="14">
        <v>27</v>
      </c>
      <c r="C54" s="15" t="s">
        <v>138</v>
      </c>
      <c r="D54" s="12">
        <f t="shared" si="45"/>
        <v>1</v>
      </c>
      <c r="E54" s="32">
        <f t="shared" si="1"/>
        <v>0.64065504533246864</v>
      </c>
      <c r="F54" s="63" cm="1">
        <f t="array" ref="F54">IF(B54="","",0.1+IFERROR(INDEX($F$6:$F53,SUMPRODUCT(MAX(ROW($C$6:$C53)*($C54=$C$6:$C53))-ROW($A$5)))*0.9^($A54-INDEX($A$6:A53,SUMPRODUCT(MAX(ROW($C$6:$C53)*($C54=$C$6:$C53))-ROW($A$5)))),0))</f>
        <v>0.12058911320946492</v>
      </c>
      <c r="G54" s="64">
        <f>INDEX('Exercise list'!$Y$5:$Y$102,MATCH(C54,'Exercise list'!$C$5:$C$102,0))</f>
        <v>1</v>
      </c>
      <c r="H54" s="115">
        <f t="shared" si="46"/>
        <v>8.1071566297599748E-2</v>
      </c>
      <c r="I54" s="6">
        <f t="shared" si="47"/>
        <v>3</v>
      </c>
      <c r="J54" s="6">
        <v>0</v>
      </c>
      <c r="K54" s="12"/>
      <c r="L54" s="74" t="str" cm="1">
        <f t="array" ref="L54">IF(K54="","",INDEX('Exercise list'!$C$5:$C$102,K54))</f>
        <v/>
      </c>
      <c r="M54" s="6"/>
      <c r="N54" s="75" t="str" cm="1">
        <f t="array" ref="N54">IF(M54="","",INDEX('Exercise list'!$C$5:$C$102,M54))</f>
        <v/>
      </c>
      <c r="P54">
        <f>IFERROR(INDEX('Exercise list'!$E$5:$X$102,MATCH($C54,'Exercise list'!$C$5:$C$102,0),MATCH(P$5,'Exercise list'!$E$4:$X$4,0)),0)</f>
        <v>0</v>
      </c>
      <c r="Q54">
        <f>IFERROR(INDEX('Exercise list'!$E$5:$X$102,MATCH($C54,'Exercise list'!$C$5:$C$102,0),MATCH(Q$5,'Exercise list'!$E$4:$X$4,0)),0)</f>
        <v>0</v>
      </c>
      <c r="R54">
        <f>IFERROR(INDEX('Exercise list'!$E$5:$X$102,MATCH($C54,'Exercise list'!$C$5:$C$102,0),MATCH(R$5,'Exercise list'!$E$4:$X$4,0)),0)</f>
        <v>0</v>
      </c>
      <c r="S54">
        <f>IFERROR(INDEX('Exercise list'!$E$5:$X$102,MATCH($C54,'Exercise list'!$C$5:$C$102,0),MATCH(S$5,'Exercise list'!$E$4:$X$4,0)),0)</f>
        <v>0</v>
      </c>
      <c r="T54">
        <f>IFERROR(INDEX('Exercise list'!$E$5:$X$102,MATCH($C54,'Exercise list'!$C$5:$C$102,0),MATCH(T$5,'Exercise list'!$E$4:$X$4,0)),0)</f>
        <v>0</v>
      </c>
      <c r="U54">
        <f>IFERROR(INDEX('Exercise list'!$E$5:$X$102,MATCH($C54,'Exercise list'!$C$5:$C$102,0),MATCH(U$5,'Exercise list'!$E$4:$X$4,0)),0)</f>
        <v>0</v>
      </c>
      <c r="V54">
        <f>IFERROR(INDEX('Exercise list'!$E$5:$X$102,MATCH($C54,'Exercise list'!$C$5:$C$102,0),MATCH(V$5,'Exercise list'!$E$4:$X$4,0)),0)</f>
        <v>0</v>
      </c>
      <c r="W54">
        <f>IFERROR(INDEX('Exercise list'!$E$5:$X$102,MATCH($C54,'Exercise list'!$C$5:$C$102,0),MATCH(W$5,'Exercise list'!$E$4:$X$4,0)),0)</f>
        <v>0</v>
      </c>
      <c r="X54">
        <f>IFERROR(INDEX('Exercise list'!$E$5:$X$102,MATCH($C54,'Exercise list'!$C$5:$C$102,0),MATCH(X$5,'Exercise list'!$E$4:$X$4,0)),0)</f>
        <v>0</v>
      </c>
      <c r="Y54">
        <f>IFERROR(INDEX('Exercise list'!$E$5:$X$102,MATCH($C54,'Exercise list'!$C$5:$C$102,0),MATCH(Y$5,'Exercise list'!$E$4:$X$4,0)),0)</f>
        <v>0</v>
      </c>
      <c r="Z54">
        <f>IFERROR(INDEX('Exercise list'!$E$5:$X$102,MATCH($C54,'Exercise list'!$C$5:$C$102,0),MATCH(Z$5,'Exercise list'!$E$4:$X$4,0)),0)</f>
        <v>0</v>
      </c>
      <c r="AA54">
        <f>IFERROR(INDEX('Exercise list'!$E$5:$X$102,MATCH($C54,'Exercise list'!$C$5:$C$102,0),MATCH(AA$5,'Exercise list'!$E$4:$X$4,0)),0)</f>
        <v>0</v>
      </c>
      <c r="AB54">
        <f>IFERROR(INDEX('Exercise list'!$E$5:$X$102,MATCH($C54,'Exercise list'!$C$5:$C$102,0),MATCH(AB$5,'Exercise list'!$E$4:$X$4,0)),0)</f>
        <v>0</v>
      </c>
      <c r="AC54">
        <f>IFERROR(INDEX('Exercise list'!$E$5:$X$102,MATCH($C54,'Exercise list'!$C$5:$C$102,0),MATCH(AC$5,'Exercise list'!$E$4:$X$4,0)),0)</f>
        <v>0</v>
      </c>
      <c r="AD54">
        <f>IFERROR(INDEX('Exercise list'!$E$5:$X$102,MATCH($C54,'Exercise list'!$C$5:$C$102,0),MATCH(AD$5,'Exercise list'!$E$4:$X$4,0)),0)</f>
        <v>0</v>
      </c>
      <c r="AE54">
        <f>IFERROR(INDEX('Exercise list'!$E$5:$X$102,MATCH($C54,'Exercise list'!$C$5:$C$102,0),MATCH(AE$5,'Exercise list'!$E$4:$X$4,0)),0)</f>
        <v>0</v>
      </c>
      <c r="AF54">
        <f>IFERROR(INDEX('Exercise list'!$E$5:$X$102,MATCH($C54,'Exercise list'!$C$5:$C$102,0),MATCH(AF$5,'Exercise list'!$E$4:$X$4,0)),0)</f>
        <v>0</v>
      </c>
      <c r="AG54">
        <f>IFERROR(INDEX('Exercise list'!$E$5:$X$102,MATCH($C54,'Exercise list'!$C$5:$C$102,0),MATCH(AG$5,'Exercise list'!$E$4:$X$4,0)),0)</f>
        <v>0</v>
      </c>
      <c r="AH54">
        <f>IFERROR(INDEX('Exercise list'!$E$5:$X$102,MATCH($C54,'Exercise list'!$C$5:$C$102,0),MATCH(AH$5,'Exercise list'!$E$4:$X$4,0)),0)</f>
        <v>1</v>
      </c>
      <c r="AI54">
        <f>IFERROR(INDEX('Exercise list'!$E$5:$X$102,MATCH($C54,'Exercise list'!$C$5:$C$102,0),MATCH(AI$5,'Exercise list'!$E$4:$X$4,0)),0)</f>
        <v>0</v>
      </c>
      <c r="AK54">
        <f>IF(OR($J54=1,COUNTIFS($A$5:$A53,"&gt;="&amp;$A54-1,$A$5:$A53,"&lt;="&amp;$A54,$B$5:$B53,$B54)&gt;0,MIN(1-'Exercise list'!E$2,IF($A54=$A53,AK53,1))-P54&lt;0),-1,MIN(1,IF($A54=$A53,AK53,1)-P54+$D$2))</f>
        <v>1</v>
      </c>
      <c r="AL54">
        <f>IF(OR($J54=1,COUNTIFS($A$5:$A53,"&gt;="&amp;$A54-1,$A$5:$A53,"&lt;="&amp;$A54,$B$5:$B53,$B54)&gt;0,MIN(1-'Exercise list'!F$2,IF($A54=$A53,AL53,1))-Q54&lt;0),-1,MIN(1,IF($A54=$A53,AL53,1)-Q54+$D$2))</f>
        <v>1</v>
      </c>
      <c r="AM54">
        <f>IF(OR($J54=1,COUNTIFS($A$5:$A53,"&gt;="&amp;$A54-1,$A$5:$A53,"&lt;="&amp;$A54,$B$5:$B53,$B54)&gt;0,MIN(1-'Exercise list'!G$2,IF($A54=$A53,AM53,1))-R54&lt;0),-1,MIN(1,IF($A54=$A53,AM53,1)-R54+$D$2))</f>
        <v>1</v>
      </c>
      <c r="AN54">
        <f>IF(OR($J54=1,COUNTIFS($A$5:$A53,"&gt;="&amp;$A54-1,$A$5:$A53,"&lt;="&amp;$A54,$B$5:$B53,$B54)&gt;0,MIN(1-'Exercise list'!H$2,IF($A54=$A53,AN53,1))-S54&lt;0),-1,MIN(1,IF($A54=$A53,AN53,1)-S54+$D$2))</f>
        <v>1</v>
      </c>
      <c r="AO54">
        <f>IF(OR($J54=1,COUNTIFS($A$5:$A53,"&gt;="&amp;$A54-1,$A$5:$A53,"&lt;="&amp;$A54,$B$5:$B53,$B54)&gt;0,MIN(1-'Exercise list'!I$2,IF($A54=$A53,AO53,1))-T54&lt;0),-1,MIN(1,IF($A54=$A53,AO53,1)-T54+$D$2))</f>
        <v>1</v>
      </c>
      <c r="AP54">
        <f>IF(OR($J54=1,COUNTIFS($A$5:$A53,"&gt;="&amp;$A54-1,$A$5:$A53,"&lt;="&amp;$A54,$B$5:$B53,$B54)&gt;0,MIN(1-'Exercise list'!J$2,IF($A54=$A53,AP53,1))-U54&lt;0),-1,MIN(1,IF($A54=$A53,AP53,1)-U54+$D$2))</f>
        <v>1</v>
      </c>
      <c r="AQ54">
        <f>IF(OR($J54=1,COUNTIFS($A$5:$A53,"&gt;="&amp;$A54-1,$A$5:$A53,"&lt;="&amp;$A54,$B$5:$B53,$B54)&gt;0,MIN(1-'Exercise list'!K$2,IF($A54=$A53,AQ53,1))-V54&lt;0),-1,MIN(1,IF($A54=$A53,AQ53,1)-V54+$D$2))</f>
        <v>1</v>
      </c>
      <c r="AR54">
        <f>IF(OR($J54=1,COUNTIFS($A$5:$A53,"&gt;="&amp;$A54-1,$A$5:$A53,"&lt;="&amp;$A54,$B$5:$B53,$B54)&gt;0,MIN(1-'Exercise list'!L$2,IF($A54=$A53,AR53,1))-W54&lt;0),-1,MIN(1,IF($A54=$A53,AR53,1)-W54+$D$2))</f>
        <v>1</v>
      </c>
      <c r="AS54">
        <f>IF(OR($J54=1,COUNTIFS($A$5:$A53,"&gt;="&amp;$A54-1,$A$5:$A53,"&lt;="&amp;$A54,$B$5:$B53,$B54)&gt;0,MIN(1-'Exercise list'!M$2,IF($A54=$A53,AS53,1))-X54&lt;0),-1,MIN(1,IF($A54=$A53,AS53,1)-X54+$D$2))</f>
        <v>1</v>
      </c>
      <c r="AT54">
        <f>IF(OR($J54=1,COUNTIFS($A$5:$A53,"&gt;="&amp;$A54-1,$A$5:$A53,"&lt;="&amp;$A54,$B$5:$B53,$B54)&gt;0,MIN(1-'Exercise list'!N$2,IF($A54=$A53,AT53,1))-Y54&lt;0),-1,MIN(1,IF($A54=$A53,AT53,1)-Y54+$D$2))</f>
        <v>1</v>
      </c>
      <c r="AU54">
        <f>IF(OR($J54=1,COUNTIFS($A$5:$A53,"&gt;="&amp;$A54-1,$A$5:$A53,"&lt;="&amp;$A54,$B$5:$B53,$B54)&gt;0,MIN(1-'Exercise list'!O$2,IF($A54=$A53,AU53,1))-Z54&lt;0),-1,MIN(1,IF($A54=$A53,AU53,1)-Z54+$D$2))</f>
        <v>1</v>
      </c>
      <c r="AV54">
        <f>IF(OR($J54=1,COUNTIFS($A$5:$A53,"&gt;="&amp;$A54-1,$A$5:$A53,"&lt;="&amp;$A54,$B$5:$B53,$B54)&gt;0,MIN(1-'Exercise list'!P$2,IF($A54=$A53,AV53,1))-AA54&lt;0),-1,MIN(1,IF($A54=$A53,AV53,1)-AA54+$D$2))</f>
        <v>1</v>
      </c>
      <c r="AW54">
        <f>IF(OR($J54=1,COUNTIFS($A$5:$A53,"&gt;="&amp;$A54-1,$A$5:$A53,"&lt;="&amp;$A54,$B$5:$B53,$B54)&gt;0,MIN(1-'Exercise list'!Q$2,IF($A54=$A53,AW53,1))-AB54&lt;0),-1,MIN(1,IF($A54=$A53,AW53,1)-AB54+$D$2))</f>
        <v>1</v>
      </c>
      <c r="AX54">
        <f>IF(OR($J54=1,COUNTIFS($A$5:$A53,"&gt;="&amp;$A54-1,$A$5:$A53,"&lt;="&amp;$A54,$B$5:$B53,$B54)&gt;0,MIN(1-'Exercise list'!R$2,IF($A54=$A53,AX53,1))-AC54&lt;0),-1,MIN(1,IF($A54=$A53,AX53,1)-AC54+$D$2))</f>
        <v>1</v>
      </c>
      <c r="AY54">
        <f>IF(OR($J54=1,COUNTIFS($A$5:$A53,"&gt;="&amp;$A54-1,$A$5:$A53,"&lt;="&amp;$A54,$B$5:$B53,$B54)&gt;0,MIN(1-'Exercise list'!S$2,IF($A54=$A53,AY53,1))-AD54&lt;0),-1,MIN(1,IF($A54=$A53,AY53,1)-AD54+$D$2))</f>
        <v>1</v>
      </c>
      <c r="AZ54">
        <f>IF(OR($J54=1,COUNTIFS($A$5:$A53,"&gt;="&amp;$A54-1,$A$5:$A53,"&lt;="&amp;$A54,$B$5:$B53,$B54)&gt;0,MIN(1-'Exercise list'!T$2,IF($A54=$A53,AZ53,1))-AE54&lt;0),-1,MIN(1,IF($A54=$A53,AZ53,1)-AE54+$D$2))</f>
        <v>1</v>
      </c>
      <c r="BA54">
        <f>IF(OR($J54=1,COUNTIFS($A$5:$A53,"&gt;="&amp;$A54-1,$A$5:$A53,"&lt;="&amp;$A54,$B$5:$B53,$B54)&gt;0,MIN(1-'Exercise list'!U$2,IF($A54=$A53,BA53,1))-AF54&lt;0),-1,MIN(1,IF($A54=$A53,BA53,1)-AF54+$D$2))</f>
        <v>1</v>
      </c>
      <c r="BB54">
        <f>IF(OR($J54=1,COUNTIFS($A$5:$A53,"&gt;="&amp;$A54-1,$A$5:$A53,"&lt;="&amp;$A54,$B$5:$B53,$B54)&gt;0,MIN(1-'Exercise list'!V$2,IF($A54=$A53,BB53,1))-AG54&lt;0),-1,MIN(1,IF($A54=$A53,BB53,1)-AG54+$D$2))</f>
        <v>1</v>
      </c>
      <c r="BC54">
        <f>IF(OR($J54=1,COUNTIFS($A$5:$A53,"&gt;="&amp;$A54-1,$A$5:$A53,"&lt;="&amp;$A54,$B$5:$B53,$B54)&gt;0,MIN(1-'Exercise list'!W$2,IF($A54=$A53,BC53,1))-AH54&lt;0),-1,MIN(1,IF($A54=$A53,BC53,1)-AH54+$D$2))</f>
        <v>1</v>
      </c>
      <c r="BD54">
        <f>IF(OR($J54=1,COUNTIFS($A$5:$A53,"&gt;="&amp;$A54-1,$A$5:$A53,"&lt;="&amp;$A54,$B$5:$B53,$B54)&gt;0,MIN(1-'Exercise list'!X$2,IF($A54=$A53,BD53,1))-AI54&lt;0),-1,MIN(1,IF($A54=$A53,BD53,1)-AI54+$D$2))</f>
        <v>1</v>
      </c>
      <c r="BF54" s="16">
        <f t="shared" si="24"/>
        <v>9.7750087006381048E-2</v>
      </c>
      <c r="BG54" s="16">
        <f t="shared" si="25"/>
        <v>0.1374710318187094</v>
      </c>
      <c r="BH54" s="16">
        <f t="shared" si="26"/>
        <v>0.13912596574051081</v>
      </c>
      <c r="BI54" s="16">
        <f t="shared" si="27"/>
        <v>0.13782895895135086</v>
      </c>
      <c r="BJ54" s="16">
        <f t="shared" si="28"/>
        <v>0.30243133109163561</v>
      </c>
      <c r="BK54" s="16">
        <f t="shared" si="29"/>
        <v>4.0044851868005188E-2</v>
      </c>
      <c r="BL54" s="16">
        <f t="shared" si="30"/>
        <v>6.7842770062384039E-2</v>
      </c>
      <c r="BM54" s="16">
        <f t="shared" si="31"/>
        <v>4.6384276603104839E-2</v>
      </c>
      <c r="BN54" s="16">
        <f t="shared" si="32"/>
        <v>0.12292514295557803</v>
      </c>
      <c r="BO54" s="16">
        <f t="shared" si="33"/>
        <v>9.3822297137087285E-2</v>
      </c>
      <c r="BP54" s="16">
        <f t="shared" si="34"/>
        <v>0.3187145950876365</v>
      </c>
      <c r="BQ54" s="16">
        <f t="shared" si="35"/>
        <v>3.2611749667058022E-2</v>
      </c>
      <c r="BR54" s="16">
        <f t="shared" si="36"/>
        <v>0.1769397214069362</v>
      </c>
      <c r="BS54" s="16">
        <f t="shared" si="37"/>
        <v>5.6079153676635698E-2</v>
      </c>
      <c r="BT54" s="16">
        <f t="shared" si="38"/>
        <v>0.25432533684691189</v>
      </c>
      <c r="BU54" s="16">
        <f t="shared" si="39"/>
        <v>0.29141894859917145</v>
      </c>
      <c r="BV54" s="16">
        <f t="shared" si="40"/>
        <v>0.36168593183432157</v>
      </c>
      <c r="BW54" s="16">
        <f t="shared" si="41"/>
        <v>7.3602859270768192E-2</v>
      </c>
      <c r="BX54" s="16">
        <f t="shared" si="42"/>
        <v>0.12700266189867279</v>
      </c>
      <c r="BY54" s="16">
        <f t="shared" si="43"/>
        <v>1.8660814828949025E-2</v>
      </c>
      <c r="CA54" s="16">
        <f t="shared" si="4"/>
        <v>0.11681794901967885</v>
      </c>
      <c r="CB54" s="16">
        <f t="shared" si="5"/>
        <v>7.7097004207350495E-2</v>
      </c>
      <c r="CC54" s="16">
        <f t="shared" si="6"/>
        <v>0</v>
      </c>
      <c r="CD54" s="16">
        <f t="shared" si="7"/>
        <v>0</v>
      </c>
      <c r="CE54" s="16">
        <f t="shared" si="8"/>
        <v>0</v>
      </c>
      <c r="CF54" s="16">
        <f t="shared" si="9"/>
        <v>0.28180720217108468</v>
      </c>
      <c r="CG54" s="16">
        <f t="shared" si="10"/>
        <v>3.9441247950645908E-2</v>
      </c>
      <c r="CH54" s="16">
        <f t="shared" si="11"/>
        <v>6.0899741409925108E-2</v>
      </c>
      <c r="CI54" s="16">
        <f t="shared" si="12"/>
        <v>9.164289307048186E-2</v>
      </c>
      <c r="CJ54" s="16">
        <f t="shared" si="13"/>
        <v>1.3461720875942662E-2</v>
      </c>
      <c r="CK54" s="16">
        <f t="shared" si="14"/>
        <v>0</v>
      </c>
      <c r="CL54" s="16">
        <f t="shared" si="15"/>
        <v>7.4672268345971932E-2</v>
      </c>
      <c r="CM54" s="16">
        <f t="shared" si="16"/>
        <v>3.7628314619123693E-2</v>
      </c>
      <c r="CN54" s="16">
        <f t="shared" si="17"/>
        <v>5.1204864336394249E-2</v>
      </c>
      <c r="CO54" s="16">
        <f t="shared" si="18"/>
        <v>0</v>
      </c>
      <c r="CP54" s="16">
        <f t="shared" si="19"/>
        <v>0</v>
      </c>
      <c r="CQ54" s="16">
        <f t="shared" si="20"/>
        <v>0</v>
      </c>
      <c r="CR54" s="16">
        <f t="shared" si="21"/>
        <v>3.3681158742261755E-2</v>
      </c>
      <c r="CS54" s="16">
        <f t="shared" si="22"/>
        <v>0</v>
      </c>
      <c r="CT54" s="16">
        <f t="shared" si="23"/>
        <v>8.8623203184080929E-2</v>
      </c>
    </row>
    <row r="55" spans="1:100" x14ac:dyDescent="0.25">
      <c r="A55" s="13">
        <v>45062</v>
      </c>
      <c r="B55" s="14">
        <v>11</v>
      </c>
      <c r="C55" s="15" t="s">
        <v>120</v>
      </c>
      <c r="D55" s="12">
        <f t="shared" si="45"/>
        <v>1</v>
      </c>
      <c r="E55" s="32">
        <f t="shared" si="1"/>
        <v>0.60274872755585462</v>
      </c>
      <c r="F55" s="63" cm="1">
        <f t="array" ref="F55">IF(B55="","",0.1+IFERROR(INDEX($F$6:$F54,SUMPRODUCT(MAX(ROW($C$6:$C54)*($C55=$C$6:$C54))-ROW($A$5)))*0.9^($A55-INDEX($A$6:A54,SUMPRODUCT(MAX(ROW($C$6:$C54)*($C55=$C$6:$C54))-ROW($A$5)))),0))</f>
        <v>0.12824295364810001</v>
      </c>
      <c r="G55" s="64">
        <f>INDEX('Exercise list'!$Y$5:$Y$102,MATCH(C55,'Exercise list'!$C$5:$C$102,0))</f>
        <v>1</v>
      </c>
      <c r="H55" s="115">
        <f t="shared" si="46"/>
        <v>7.877878836400376E-2</v>
      </c>
      <c r="I55" s="6">
        <f t="shared" si="47"/>
        <v>4</v>
      </c>
      <c r="J55" s="6">
        <v>0</v>
      </c>
      <c r="K55" s="12"/>
      <c r="L55" s="74" t="str" cm="1">
        <f t="array" ref="L55">IF(K55="","",INDEX('Exercise list'!$C$5:$C$102,K55))</f>
        <v/>
      </c>
      <c r="M55" s="6"/>
      <c r="N55" s="75" t="str" cm="1">
        <f t="array" ref="N55">IF(M55="","",INDEX('Exercise list'!$C$5:$C$102,M55))</f>
        <v/>
      </c>
      <c r="P55">
        <f>IFERROR(INDEX('Exercise list'!$E$5:$X$102,MATCH($C55,'Exercise list'!$C$5:$C$102,0),MATCH(P$5,'Exercise list'!$E$4:$X$4,0)),0)</f>
        <v>0</v>
      </c>
      <c r="Q55">
        <f>IFERROR(INDEX('Exercise list'!$E$5:$X$102,MATCH($C55,'Exercise list'!$C$5:$C$102,0),MATCH(Q$5,'Exercise list'!$E$4:$X$4,0)),0)</f>
        <v>0</v>
      </c>
      <c r="R55">
        <f>IFERROR(INDEX('Exercise list'!$E$5:$X$102,MATCH($C55,'Exercise list'!$C$5:$C$102,0),MATCH(R$5,'Exercise list'!$E$4:$X$4,0)),0)</f>
        <v>0</v>
      </c>
      <c r="S55">
        <f>IFERROR(INDEX('Exercise list'!$E$5:$X$102,MATCH($C55,'Exercise list'!$C$5:$C$102,0),MATCH(S$5,'Exercise list'!$E$4:$X$4,0)),0)</f>
        <v>0</v>
      </c>
      <c r="T55">
        <f>IFERROR(INDEX('Exercise list'!$E$5:$X$102,MATCH($C55,'Exercise list'!$C$5:$C$102,0),MATCH(T$5,'Exercise list'!$E$4:$X$4,0)),0)</f>
        <v>0</v>
      </c>
      <c r="U55">
        <f>IFERROR(INDEX('Exercise list'!$E$5:$X$102,MATCH($C55,'Exercise list'!$C$5:$C$102,0),MATCH(U$5,'Exercise list'!$E$4:$X$4,0)),0)</f>
        <v>0</v>
      </c>
      <c r="V55">
        <f>IFERROR(INDEX('Exercise list'!$E$5:$X$102,MATCH($C55,'Exercise list'!$C$5:$C$102,0),MATCH(V$5,'Exercise list'!$E$4:$X$4,0)),0)</f>
        <v>0</v>
      </c>
      <c r="W55">
        <f>IFERROR(INDEX('Exercise list'!$E$5:$X$102,MATCH($C55,'Exercise list'!$C$5:$C$102,0),MATCH(W$5,'Exercise list'!$E$4:$X$4,0)),0)</f>
        <v>0</v>
      </c>
      <c r="X55">
        <f>IFERROR(INDEX('Exercise list'!$E$5:$X$102,MATCH($C55,'Exercise list'!$C$5:$C$102,0),MATCH(X$5,'Exercise list'!$E$4:$X$4,0)),0)</f>
        <v>0</v>
      </c>
      <c r="Y55">
        <f>IFERROR(INDEX('Exercise list'!$E$5:$X$102,MATCH($C55,'Exercise list'!$C$5:$C$102,0),MATCH(Y$5,'Exercise list'!$E$4:$X$4,0)),0)</f>
        <v>0</v>
      </c>
      <c r="Z55">
        <f>IFERROR(INDEX('Exercise list'!$E$5:$X$102,MATCH($C55,'Exercise list'!$C$5:$C$102,0),MATCH(Z$5,'Exercise list'!$E$4:$X$4,0)),0)</f>
        <v>0</v>
      </c>
      <c r="AA55">
        <f>IFERROR(INDEX('Exercise list'!$E$5:$X$102,MATCH($C55,'Exercise list'!$C$5:$C$102,0),MATCH(AA$5,'Exercise list'!$E$4:$X$4,0)),0)</f>
        <v>0</v>
      </c>
      <c r="AB55">
        <f>IFERROR(INDEX('Exercise list'!$E$5:$X$102,MATCH($C55,'Exercise list'!$C$5:$C$102,0),MATCH(AB$5,'Exercise list'!$E$4:$X$4,0)),0)</f>
        <v>0</v>
      </c>
      <c r="AC55">
        <f>IFERROR(INDEX('Exercise list'!$E$5:$X$102,MATCH($C55,'Exercise list'!$C$5:$C$102,0),MATCH(AC$5,'Exercise list'!$E$4:$X$4,0)),0)</f>
        <v>0</v>
      </c>
      <c r="AD55">
        <f>IFERROR(INDEX('Exercise list'!$E$5:$X$102,MATCH($C55,'Exercise list'!$C$5:$C$102,0),MATCH(AD$5,'Exercise list'!$E$4:$X$4,0)),0)</f>
        <v>0</v>
      </c>
      <c r="AE55">
        <f>IFERROR(INDEX('Exercise list'!$E$5:$X$102,MATCH($C55,'Exercise list'!$C$5:$C$102,0),MATCH(AE$5,'Exercise list'!$E$4:$X$4,0)),0)</f>
        <v>0</v>
      </c>
      <c r="AF55">
        <f>IFERROR(INDEX('Exercise list'!$E$5:$X$102,MATCH($C55,'Exercise list'!$C$5:$C$102,0),MATCH(AF$5,'Exercise list'!$E$4:$X$4,0)),0)</f>
        <v>0</v>
      </c>
      <c r="AG55">
        <f>IFERROR(INDEX('Exercise list'!$E$5:$X$102,MATCH($C55,'Exercise list'!$C$5:$C$102,0),MATCH(AG$5,'Exercise list'!$E$4:$X$4,0)),0)</f>
        <v>1</v>
      </c>
      <c r="AH55">
        <f>IFERROR(INDEX('Exercise list'!$E$5:$X$102,MATCH($C55,'Exercise list'!$C$5:$C$102,0),MATCH(AH$5,'Exercise list'!$E$4:$X$4,0)),0)</f>
        <v>0</v>
      </c>
      <c r="AI55">
        <f>IFERROR(INDEX('Exercise list'!$E$5:$X$102,MATCH($C55,'Exercise list'!$C$5:$C$102,0),MATCH(AI$5,'Exercise list'!$E$4:$X$4,0)),0)</f>
        <v>0</v>
      </c>
      <c r="AK55">
        <f>IF(OR($J55=1,COUNTIFS($A$5:$A54,"&gt;="&amp;$A55-1,$A$5:$A54,"&lt;="&amp;$A55,$B$5:$B54,$B55)&gt;0,MIN(1-'Exercise list'!E$2,IF($A55=$A54,AK54,1))-P55&lt;0),-1,MIN(1,IF($A55=$A54,AK54,1)-P55+$D$2))</f>
        <v>1</v>
      </c>
      <c r="AL55">
        <f>IF(OR($J55=1,COUNTIFS($A$5:$A54,"&gt;="&amp;$A55-1,$A$5:$A54,"&lt;="&amp;$A55,$B$5:$B54,$B55)&gt;0,MIN(1-'Exercise list'!F$2,IF($A55=$A54,AL54,1))-Q55&lt;0),-1,MIN(1,IF($A55=$A54,AL54,1)-Q55+$D$2))</f>
        <v>1</v>
      </c>
      <c r="AM55">
        <f>IF(OR($J55=1,COUNTIFS($A$5:$A54,"&gt;="&amp;$A55-1,$A$5:$A54,"&lt;="&amp;$A55,$B$5:$B54,$B55)&gt;0,MIN(1-'Exercise list'!G$2,IF($A55=$A54,AM54,1))-R55&lt;0),-1,MIN(1,IF($A55=$A54,AM54,1)-R55+$D$2))</f>
        <v>1</v>
      </c>
      <c r="AN55">
        <f>IF(OR($J55=1,COUNTIFS($A$5:$A54,"&gt;="&amp;$A55-1,$A$5:$A54,"&lt;="&amp;$A55,$B$5:$B54,$B55)&gt;0,MIN(1-'Exercise list'!H$2,IF($A55=$A54,AN54,1))-S55&lt;0),-1,MIN(1,IF($A55=$A54,AN54,1)-S55+$D$2))</f>
        <v>1</v>
      </c>
      <c r="AO55">
        <f>IF(OR($J55=1,COUNTIFS($A$5:$A54,"&gt;="&amp;$A55-1,$A$5:$A54,"&lt;="&amp;$A55,$B$5:$B54,$B55)&gt;0,MIN(1-'Exercise list'!I$2,IF($A55=$A54,AO54,1))-T55&lt;0),-1,MIN(1,IF($A55=$A54,AO54,1)-T55+$D$2))</f>
        <v>1</v>
      </c>
      <c r="AP55">
        <f>IF(OR($J55=1,COUNTIFS($A$5:$A54,"&gt;="&amp;$A55-1,$A$5:$A54,"&lt;="&amp;$A55,$B$5:$B54,$B55)&gt;0,MIN(1-'Exercise list'!J$2,IF($A55=$A54,AP54,1))-U55&lt;0),-1,MIN(1,IF($A55=$A54,AP54,1)-U55+$D$2))</f>
        <v>1</v>
      </c>
      <c r="AQ55">
        <f>IF(OR($J55=1,COUNTIFS($A$5:$A54,"&gt;="&amp;$A55-1,$A$5:$A54,"&lt;="&amp;$A55,$B$5:$B54,$B55)&gt;0,MIN(1-'Exercise list'!K$2,IF($A55=$A54,AQ54,1))-V55&lt;0),-1,MIN(1,IF($A55=$A54,AQ54,1)-V55+$D$2))</f>
        <v>1</v>
      </c>
      <c r="AR55">
        <f>IF(OR($J55=1,COUNTIFS($A$5:$A54,"&gt;="&amp;$A55-1,$A$5:$A54,"&lt;="&amp;$A55,$B$5:$B54,$B55)&gt;0,MIN(1-'Exercise list'!L$2,IF($A55=$A54,AR54,1))-W55&lt;0),-1,MIN(1,IF($A55=$A54,AR54,1)-W55+$D$2))</f>
        <v>1</v>
      </c>
      <c r="AS55">
        <f>IF(OR($J55=1,COUNTIFS($A$5:$A54,"&gt;="&amp;$A55-1,$A$5:$A54,"&lt;="&amp;$A55,$B$5:$B54,$B55)&gt;0,MIN(1-'Exercise list'!M$2,IF($A55=$A54,AS54,1))-X55&lt;0),-1,MIN(1,IF($A55=$A54,AS54,1)-X55+$D$2))</f>
        <v>1</v>
      </c>
      <c r="AT55">
        <f>IF(OR($J55=1,COUNTIFS($A$5:$A54,"&gt;="&amp;$A55-1,$A$5:$A54,"&lt;="&amp;$A55,$B$5:$B54,$B55)&gt;0,MIN(1-'Exercise list'!N$2,IF($A55=$A54,AT54,1))-Y55&lt;0),-1,MIN(1,IF($A55=$A54,AT54,1)-Y55+$D$2))</f>
        <v>1</v>
      </c>
      <c r="AU55">
        <f>IF(OR($J55=1,COUNTIFS($A$5:$A54,"&gt;="&amp;$A55-1,$A$5:$A54,"&lt;="&amp;$A55,$B$5:$B54,$B55)&gt;0,MIN(1-'Exercise list'!O$2,IF($A55=$A54,AU54,1))-Z55&lt;0),-1,MIN(1,IF($A55=$A54,AU54,1)-Z55+$D$2))</f>
        <v>1</v>
      </c>
      <c r="AV55">
        <f>IF(OR($J55=1,COUNTIFS($A$5:$A54,"&gt;="&amp;$A55-1,$A$5:$A54,"&lt;="&amp;$A55,$B$5:$B54,$B55)&gt;0,MIN(1-'Exercise list'!P$2,IF($A55=$A54,AV54,1))-AA55&lt;0),-1,MIN(1,IF($A55=$A54,AV54,1)-AA55+$D$2))</f>
        <v>1</v>
      </c>
      <c r="AW55">
        <f>IF(OR($J55=1,COUNTIFS($A$5:$A54,"&gt;="&amp;$A55-1,$A$5:$A54,"&lt;="&amp;$A55,$B$5:$B54,$B55)&gt;0,MIN(1-'Exercise list'!Q$2,IF($A55=$A54,AW54,1))-AB55&lt;0),-1,MIN(1,IF($A55=$A54,AW54,1)-AB55+$D$2))</f>
        <v>1</v>
      </c>
      <c r="AX55">
        <f>IF(OR($J55=1,COUNTIFS($A$5:$A54,"&gt;="&amp;$A55-1,$A$5:$A54,"&lt;="&amp;$A55,$B$5:$B54,$B55)&gt;0,MIN(1-'Exercise list'!R$2,IF($A55=$A54,AX54,1))-AC55&lt;0),-1,MIN(1,IF($A55=$A54,AX54,1)-AC55+$D$2))</f>
        <v>1</v>
      </c>
      <c r="AY55">
        <f>IF(OR($J55=1,COUNTIFS($A$5:$A54,"&gt;="&amp;$A55-1,$A$5:$A54,"&lt;="&amp;$A55,$B$5:$B54,$B55)&gt;0,MIN(1-'Exercise list'!S$2,IF($A55=$A54,AY54,1))-AD55&lt;0),-1,MIN(1,IF($A55=$A54,AY54,1)-AD55+$D$2))</f>
        <v>1</v>
      </c>
      <c r="AZ55">
        <f>IF(OR($J55=1,COUNTIFS($A$5:$A54,"&gt;="&amp;$A55-1,$A$5:$A54,"&lt;="&amp;$A55,$B$5:$B54,$B55)&gt;0,MIN(1-'Exercise list'!T$2,IF($A55=$A54,AZ54,1))-AE55&lt;0),-1,MIN(1,IF($A55=$A54,AZ54,1)-AE55+$D$2))</f>
        <v>1</v>
      </c>
      <c r="BA55">
        <f>IF(OR($J55=1,COUNTIFS($A$5:$A54,"&gt;="&amp;$A55-1,$A$5:$A54,"&lt;="&amp;$A55,$B$5:$B54,$B55)&gt;0,MIN(1-'Exercise list'!U$2,IF($A55=$A54,BA54,1))-AF55&lt;0),-1,MIN(1,IF($A55=$A54,BA54,1)-AF55+$D$2))</f>
        <v>1</v>
      </c>
      <c r="BB55">
        <f>IF(OR($J55=1,COUNTIFS($A$5:$A54,"&gt;="&amp;$A55-1,$A$5:$A54,"&lt;="&amp;$A55,$B$5:$B54,$B55)&gt;0,MIN(1-'Exercise list'!V$2,IF($A55=$A54,BB54,1))-AG55&lt;0),-1,MIN(1,IF($A55=$A54,BB54,1)-AG55+$D$2))</f>
        <v>1</v>
      </c>
      <c r="BC55">
        <f>IF(OR($J55=1,COUNTIFS($A$5:$A54,"&gt;="&amp;$A55-1,$A$5:$A54,"&lt;="&amp;$A55,$B$5:$B54,$B55)&gt;0,MIN(1-'Exercise list'!W$2,IF($A55=$A54,BC54,1))-AH55&lt;0),-1,MIN(1,IF($A55=$A54,BC54,1)-AH55+$D$2))</f>
        <v>1</v>
      </c>
      <c r="BD55">
        <f>IF(OR($J55=1,COUNTIFS($A$5:$A54,"&gt;="&amp;$A55-1,$A$5:$A54,"&lt;="&amp;$A55,$B$5:$B54,$B55)&gt;0,MIN(1-'Exercise list'!X$2,IF($A55=$A54,BD54,1))-AI55&lt;0),-1,MIN(1,IF($A55=$A54,BD54,1)-AI55+$D$2))</f>
        <v>1</v>
      </c>
      <c r="BF55" s="16">
        <f t="shared" si="24"/>
        <v>9.2862582656061995E-2</v>
      </c>
      <c r="BG55" s="16">
        <f t="shared" si="25"/>
        <v>0.13059748022777393</v>
      </c>
      <c r="BH55" s="16">
        <f t="shared" si="26"/>
        <v>0.13216966745348527</v>
      </c>
      <c r="BI55" s="16">
        <f t="shared" si="27"/>
        <v>0.13093751100378331</v>
      </c>
      <c r="BJ55" s="16">
        <f t="shared" si="28"/>
        <v>0.28730976453705381</v>
      </c>
      <c r="BK55" s="16">
        <f t="shared" si="29"/>
        <v>3.8042609274604927E-2</v>
      </c>
      <c r="BL55" s="16">
        <f t="shared" si="30"/>
        <v>6.4450631559264837E-2</v>
      </c>
      <c r="BM55" s="16">
        <f t="shared" si="31"/>
        <v>4.4065062772949595E-2</v>
      </c>
      <c r="BN55" s="16">
        <f t="shared" si="32"/>
        <v>0.11677888580779913</v>
      </c>
      <c r="BO55" s="16">
        <f t="shared" si="33"/>
        <v>8.9131182280232923E-2</v>
      </c>
      <c r="BP55" s="16">
        <f t="shared" si="34"/>
        <v>0.30277886533325465</v>
      </c>
      <c r="BQ55" s="16">
        <f t="shared" si="35"/>
        <v>3.098116218370512E-2</v>
      </c>
      <c r="BR55" s="16">
        <f t="shared" si="36"/>
        <v>0.16809273533658939</v>
      </c>
      <c r="BS55" s="16">
        <f t="shared" si="37"/>
        <v>5.3275195992803913E-2</v>
      </c>
      <c r="BT55" s="16">
        <f t="shared" si="38"/>
        <v>0.24160907000456627</v>
      </c>
      <c r="BU55" s="16">
        <f t="shared" si="39"/>
        <v>0.27684800116921288</v>
      </c>
      <c r="BV55" s="16">
        <f t="shared" si="40"/>
        <v>0.34360163524260545</v>
      </c>
      <c r="BW55" s="16">
        <f t="shared" si="41"/>
        <v>0.11992271630722978</v>
      </c>
      <c r="BX55" s="16">
        <f t="shared" si="42"/>
        <v>0.12065252880373914</v>
      </c>
      <c r="BY55" s="16">
        <f t="shared" si="43"/>
        <v>1.7727774087501574E-2</v>
      </c>
      <c r="CA55" s="16">
        <f t="shared" si="4"/>
        <v>0.11468075527239861</v>
      </c>
      <c r="CB55" s="16">
        <f t="shared" si="5"/>
        <v>7.6945857700686682E-2</v>
      </c>
      <c r="CC55" s="16">
        <f t="shared" si="6"/>
        <v>0</v>
      </c>
      <c r="CD55" s="16">
        <f t="shared" si="7"/>
        <v>0</v>
      </c>
      <c r="CE55" s="16">
        <f t="shared" si="8"/>
        <v>0</v>
      </c>
      <c r="CF55" s="16">
        <f t="shared" si="9"/>
        <v>0.27327239761808597</v>
      </c>
      <c r="CG55" s="16">
        <f t="shared" si="10"/>
        <v>3.9321037404965467E-2</v>
      </c>
      <c r="CH55" s="16">
        <f t="shared" si="11"/>
        <v>5.9706606191280709E-2</v>
      </c>
      <c r="CI55" s="16">
        <f t="shared" si="12"/>
        <v>9.0764452120661476E-2</v>
      </c>
      <c r="CJ55" s="16">
        <f t="shared" si="13"/>
        <v>1.4640486683997381E-2</v>
      </c>
      <c r="CK55" s="16">
        <f t="shared" si="14"/>
        <v>0</v>
      </c>
      <c r="CL55" s="16">
        <f t="shared" si="15"/>
        <v>7.2790506780525177E-2</v>
      </c>
      <c r="CM55" s="16">
        <f t="shared" si="16"/>
        <v>3.945060259187122E-2</v>
      </c>
      <c r="CN55" s="16">
        <f t="shared" si="17"/>
        <v>5.0496472971426391E-2</v>
      </c>
      <c r="CO55" s="16">
        <f t="shared" si="18"/>
        <v>0</v>
      </c>
      <c r="CP55" s="16">
        <f t="shared" si="19"/>
        <v>0</v>
      </c>
      <c r="CQ55" s="16">
        <f t="shared" si="20"/>
        <v>0</v>
      </c>
      <c r="CR55" s="16">
        <f t="shared" si="21"/>
        <v>0</v>
      </c>
      <c r="CS55" s="16">
        <f t="shared" si="22"/>
        <v>0</v>
      </c>
      <c r="CT55" s="16">
        <f t="shared" si="23"/>
        <v>8.6043894876728727E-2</v>
      </c>
    </row>
    <row r="56" spans="1:100" x14ac:dyDescent="0.25">
      <c r="A56" s="20">
        <v>45062</v>
      </c>
      <c r="B56" s="21">
        <v>1</v>
      </c>
      <c r="C56" s="22" t="s">
        <v>26</v>
      </c>
      <c r="D56" s="17">
        <f t="shared" si="45"/>
        <v>1</v>
      </c>
      <c r="E56" s="33">
        <f t="shared" si="1"/>
        <v>1.5140328192442947</v>
      </c>
      <c r="F56" s="65" cm="1">
        <f t="array" ref="F56">IF(B56="","",0.1+IFERROR(INDEX($F$6:$F55,SUMPRODUCT(MAX(ROW($C$6:$C55)*($C56=$C$6:$C55))-ROW($A$5)))*0.9^($A56-INDEX($A$6:A55,SUMPRODUCT(MAX(ROW($C$6:$C55)*($C56=$C$6:$C55))-ROW($A$5)))),0))</f>
        <v>0.14883206685756495</v>
      </c>
      <c r="G56" s="25">
        <f>INDEX('Exercise list'!$Y$5:$Y$102,MATCH(C56,'Exercise list'!$C$5:$C$102,0))</f>
        <v>3</v>
      </c>
      <c r="H56" s="116">
        <f t="shared" si="46"/>
        <v>7.877878836400376E-2</v>
      </c>
      <c r="I56" s="18">
        <f t="shared" si="47"/>
        <v>5</v>
      </c>
      <c r="J56" s="18">
        <v>0</v>
      </c>
      <c r="K56" s="17"/>
      <c r="L56" s="51" t="str" cm="1">
        <f t="array" ref="L56">IF(K56="","",INDEX('Exercise list'!$C$5:$C$102,K56))</f>
        <v/>
      </c>
      <c r="M56" s="18"/>
      <c r="N56" s="76" t="str" cm="1">
        <f t="array" ref="N56">IF(M56="","",INDEX('Exercise list'!$C$5:$C$102,M56))</f>
        <v/>
      </c>
      <c r="O56" s="19"/>
      <c r="P56" s="19">
        <f>IFERROR(INDEX('Exercise list'!$E$5:$X$102,MATCH($C56,'Exercise list'!$C$5:$C$102,0),MATCH(P$5,'Exercise list'!$E$4:$X$4,0)),0)</f>
        <v>0</v>
      </c>
      <c r="Q56" s="19">
        <f>IFERROR(INDEX('Exercise list'!$E$5:$X$102,MATCH($C56,'Exercise list'!$C$5:$C$102,0),MATCH(Q$5,'Exercise list'!$E$4:$X$4,0)),0)</f>
        <v>1</v>
      </c>
      <c r="R56" s="19">
        <f>IFERROR(INDEX('Exercise list'!$E$5:$X$102,MATCH($C56,'Exercise list'!$C$5:$C$102,0),MATCH(R$5,'Exercise list'!$E$4:$X$4,0)),0)</f>
        <v>0.7</v>
      </c>
      <c r="S56" s="19">
        <f>IFERROR(INDEX('Exercise list'!$E$5:$X$102,MATCH($C56,'Exercise list'!$C$5:$C$102,0),MATCH(S$5,'Exercise list'!$E$4:$X$4,0)),0)</f>
        <v>0.7</v>
      </c>
      <c r="T56" s="19">
        <f>IFERROR(INDEX('Exercise list'!$E$5:$X$102,MATCH($C56,'Exercise list'!$C$5:$C$102,0),MATCH(T$5,'Exercise list'!$E$4:$X$4,0)),0)</f>
        <v>0.7</v>
      </c>
      <c r="U56" s="19">
        <f>IFERROR(INDEX('Exercise list'!$E$5:$X$102,MATCH($C56,'Exercise list'!$C$5:$C$102,0),MATCH(U$5,'Exercise list'!$E$4:$X$4,0)),0)</f>
        <v>0</v>
      </c>
      <c r="V56" s="19">
        <f>IFERROR(INDEX('Exercise list'!$E$5:$X$102,MATCH($C56,'Exercise list'!$C$5:$C$102,0),MATCH(V$5,'Exercise list'!$E$4:$X$4,0)),0)</f>
        <v>0</v>
      </c>
      <c r="W56" s="19">
        <f>IFERROR(INDEX('Exercise list'!$E$5:$X$102,MATCH($C56,'Exercise list'!$C$5:$C$102,0),MATCH(W$5,'Exercise list'!$E$4:$X$4,0)),0)</f>
        <v>0</v>
      </c>
      <c r="X56" s="19">
        <f>IFERROR(INDEX('Exercise list'!$E$5:$X$102,MATCH($C56,'Exercise list'!$C$5:$C$102,0),MATCH(X$5,'Exercise list'!$E$4:$X$4,0)),0)</f>
        <v>0.5</v>
      </c>
      <c r="Y56" s="19">
        <f>IFERROR(INDEX('Exercise list'!$E$5:$X$102,MATCH($C56,'Exercise list'!$C$5:$C$102,0),MATCH(Y$5,'Exercise list'!$E$4:$X$4,0)),0)</f>
        <v>0</v>
      </c>
      <c r="Z56" s="19">
        <f>IFERROR(INDEX('Exercise list'!$E$5:$X$102,MATCH($C56,'Exercise list'!$C$5:$C$102,0),MATCH(Z$5,'Exercise list'!$E$4:$X$4,0)),0)</f>
        <v>0.7</v>
      </c>
      <c r="AA56" s="19">
        <f>IFERROR(INDEX('Exercise list'!$E$5:$X$102,MATCH($C56,'Exercise list'!$C$5:$C$102,0),MATCH(AA$5,'Exercise list'!$E$4:$X$4,0)),0)</f>
        <v>0</v>
      </c>
      <c r="AB56" s="19">
        <f>IFERROR(INDEX('Exercise list'!$E$5:$X$102,MATCH($C56,'Exercise list'!$C$5:$C$102,0),MATCH(AB$5,'Exercise list'!$E$4:$X$4,0)),0)</f>
        <v>0.5</v>
      </c>
      <c r="AC56" s="19">
        <f>IFERROR(INDEX('Exercise list'!$E$5:$X$102,MATCH($C56,'Exercise list'!$C$5:$C$102,0),MATCH(AC$5,'Exercise list'!$E$4:$X$4,0)),0)</f>
        <v>0</v>
      </c>
      <c r="AD56" s="19">
        <f>IFERROR(INDEX('Exercise list'!$E$5:$X$102,MATCH($C56,'Exercise list'!$C$5:$C$102,0),MATCH(AD$5,'Exercise list'!$E$4:$X$4,0)),0)</f>
        <v>0.7</v>
      </c>
      <c r="AE56" s="19">
        <f>IFERROR(INDEX('Exercise list'!$E$5:$X$102,MATCH($C56,'Exercise list'!$C$5:$C$102,0),MATCH(AE$5,'Exercise list'!$E$4:$X$4,0)),0)</f>
        <v>0.7</v>
      </c>
      <c r="AF56" s="19">
        <f>IFERROR(INDEX('Exercise list'!$E$5:$X$102,MATCH($C56,'Exercise list'!$C$5:$C$102,0),MATCH(AF$5,'Exercise list'!$E$4:$X$4,0)),0)</f>
        <v>0.9</v>
      </c>
      <c r="AG56" s="19">
        <f>IFERROR(INDEX('Exercise list'!$E$5:$X$102,MATCH($C56,'Exercise list'!$C$5:$C$102,0),MATCH(AG$5,'Exercise list'!$E$4:$X$4,0)),0)</f>
        <v>0</v>
      </c>
      <c r="AH56" s="19">
        <f>IFERROR(INDEX('Exercise list'!$E$5:$X$102,MATCH($C56,'Exercise list'!$C$5:$C$102,0),MATCH(AH$5,'Exercise list'!$E$4:$X$4,0)),0)</f>
        <v>0</v>
      </c>
      <c r="AI56" s="19">
        <f>IFERROR(INDEX('Exercise list'!$E$5:$X$102,MATCH($C56,'Exercise list'!$C$5:$C$102,0),MATCH(AI$5,'Exercise list'!$E$4:$X$4,0)),0)</f>
        <v>0</v>
      </c>
      <c r="AJ56" s="19"/>
      <c r="AK56" s="19">
        <f>IF(OR($J56=1,COUNTIFS($A$5:$A55,"&gt;="&amp;$A56-1,$A$5:$A55,"&lt;="&amp;$A56,$B$5:$B55,$B56)&gt;0,MIN(1-'Exercise list'!E$2,IF($A56=$A55,AK55,1))-P56&lt;0),-1,MIN(1,IF($A56=$A55,AK55,1)-P56+$D$2))</f>
        <v>1</v>
      </c>
      <c r="AL56" s="19">
        <f>IF(OR($J56=1,COUNTIFS($A$5:$A55,"&gt;="&amp;$A56-1,$A$5:$A55,"&lt;="&amp;$A56,$B$5:$B55,$B56)&gt;0,MIN(1-'Exercise list'!F$2,IF($A56=$A55,AL55,1))-Q56&lt;0),-1,MIN(1,IF($A56=$A55,AL55,1)-Q56+$D$2))</f>
        <v>1</v>
      </c>
      <c r="AM56" s="19">
        <f>IF(OR($J56=1,COUNTIFS($A$5:$A55,"&gt;="&amp;$A56-1,$A$5:$A55,"&lt;="&amp;$A56,$B$5:$B55,$B56)&gt;0,MIN(1-'Exercise list'!G$2,IF($A56=$A55,AM55,1))-R56&lt;0),-1,MIN(1,IF($A56=$A55,AM55,1)-R56+$D$2))</f>
        <v>1</v>
      </c>
      <c r="AN56" s="19">
        <f>IF(OR($J56=1,COUNTIFS($A$5:$A55,"&gt;="&amp;$A56-1,$A$5:$A55,"&lt;="&amp;$A56,$B$5:$B55,$B56)&gt;0,MIN(1-'Exercise list'!H$2,IF($A56=$A55,AN55,1))-S56&lt;0),-1,MIN(1,IF($A56=$A55,AN55,1)-S56+$D$2))</f>
        <v>1</v>
      </c>
      <c r="AO56" s="19">
        <f>IF(OR($J56=1,COUNTIFS($A$5:$A55,"&gt;="&amp;$A56-1,$A$5:$A55,"&lt;="&amp;$A56,$B$5:$B55,$B56)&gt;0,MIN(1-'Exercise list'!I$2,IF($A56=$A55,AO55,1))-T56&lt;0),-1,MIN(1,IF($A56=$A55,AO55,1)-T56+$D$2))</f>
        <v>1</v>
      </c>
      <c r="AP56" s="19">
        <f>IF(OR($J56=1,COUNTIFS($A$5:$A55,"&gt;="&amp;$A56-1,$A$5:$A55,"&lt;="&amp;$A56,$B$5:$B55,$B56)&gt;0,MIN(1-'Exercise list'!J$2,IF($A56=$A55,AP55,1))-U56&lt;0),-1,MIN(1,IF($A56=$A55,AP55,1)-U56+$D$2))</f>
        <v>1</v>
      </c>
      <c r="AQ56" s="19">
        <f>IF(OR($J56=1,COUNTIFS($A$5:$A55,"&gt;="&amp;$A56-1,$A$5:$A55,"&lt;="&amp;$A56,$B$5:$B55,$B56)&gt;0,MIN(1-'Exercise list'!K$2,IF($A56=$A55,AQ55,1))-V56&lt;0),-1,MIN(1,IF($A56=$A55,AQ55,1)-V56+$D$2))</f>
        <v>1</v>
      </c>
      <c r="AR56" s="19">
        <f>IF(OR($J56=1,COUNTIFS($A$5:$A55,"&gt;="&amp;$A56-1,$A$5:$A55,"&lt;="&amp;$A56,$B$5:$B55,$B56)&gt;0,MIN(1-'Exercise list'!L$2,IF($A56=$A55,AR55,1))-W56&lt;0),-1,MIN(1,IF($A56=$A55,AR55,1)-W56+$D$2))</f>
        <v>1</v>
      </c>
      <c r="AS56" s="19">
        <f>IF(OR($J56=1,COUNTIFS($A$5:$A55,"&gt;="&amp;$A56-1,$A$5:$A55,"&lt;="&amp;$A56,$B$5:$B55,$B56)&gt;0,MIN(1-'Exercise list'!M$2,IF($A56=$A55,AS55,1))-X56&lt;0),-1,MIN(1,IF($A56=$A55,AS55,1)-X56+$D$2))</f>
        <v>1</v>
      </c>
      <c r="AT56" s="19">
        <f>IF(OR($J56=1,COUNTIFS($A$5:$A55,"&gt;="&amp;$A56-1,$A$5:$A55,"&lt;="&amp;$A56,$B$5:$B55,$B56)&gt;0,MIN(1-'Exercise list'!N$2,IF($A56=$A55,AT55,1))-Y56&lt;0),-1,MIN(1,IF($A56=$A55,AT55,1)-Y56+$D$2))</f>
        <v>1</v>
      </c>
      <c r="AU56" s="19">
        <f>IF(OR($J56=1,COUNTIFS($A$5:$A55,"&gt;="&amp;$A56-1,$A$5:$A55,"&lt;="&amp;$A56,$B$5:$B55,$B56)&gt;0,MIN(1-'Exercise list'!O$2,IF($A56=$A55,AU55,1))-Z56&lt;0),-1,MIN(1,IF($A56=$A55,AU55,1)-Z56+$D$2))</f>
        <v>1</v>
      </c>
      <c r="AV56" s="19">
        <f>IF(OR($J56=1,COUNTIFS($A$5:$A55,"&gt;="&amp;$A56-1,$A$5:$A55,"&lt;="&amp;$A56,$B$5:$B55,$B56)&gt;0,MIN(1-'Exercise list'!P$2,IF($A56=$A55,AV55,1))-AA56&lt;0),-1,MIN(1,IF($A56=$A55,AV55,1)-AA56+$D$2))</f>
        <v>1</v>
      </c>
      <c r="AW56" s="19">
        <f>IF(OR($J56=1,COUNTIFS($A$5:$A55,"&gt;="&amp;$A56-1,$A$5:$A55,"&lt;="&amp;$A56,$B$5:$B55,$B56)&gt;0,MIN(1-'Exercise list'!Q$2,IF($A56=$A55,AW55,1))-AB56&lt;0),-1,MIN(1,IF($A56=$A55,AW55,1)-AB56+$D$2))</f>
        <v>1</v>
      </c>
      <c r="AX56" s="19">
        <f>IF(OR($J56=1,COUNTIFS($A$5:$A55,"&gt;="&amp;$A56-1,$A$5:$A55,"&lt;="&amp;$A56,$B$5:$B55,$B56)&gt;0,MIN(1-'Exercise list'!R$2,IF($A56=$A55,AX55,1))-AC56&lt;0),-1,MIN(1,IF($A56=$A55,AX55,1)-AC56+$D$2))</f>
        <v>1</v>
      </c>
      <c r="AY56" s="19">
        <f>IF(OR($J56=1,COUNTIFS($A$5:$A55,"&gt;="&amp;$A56-1,$A$5:$A55,"&lt;="&amp;$A56,$B$5:$B55,$B56)&gt;0,MIN(1-'Exercise list'!S$2,IF($A56=$A55,AY55,1))-AD56&lt;0),-1,MIN(1,IF($A56=$A55,AY55,1)-AD56+$D$2))</f>
        <v>1</v>
      </c>
      <c r="AZ56" s="19">
        <f>IF(OR($J56=1,COUNTIFS($A$5:$A55,"&gt;="&amp;$A56-1,$A$5:$A55,"&lt;="&amp;$A56,$B$5:$B55,$B56)&gt;0,MIN(1-'Exercise list'!T$2,IF($A56=$A55,AZ55,1))-AE56&lt;0),-1,MIN(1,IF($A56=$A55,AZ55,1)-AE56+$D$2))</f>
        <v>1</v>
      </c>
      <c r="BA56" s="19">
        <f>IF(OR($J56=1,COUNTIFS($A$5:$A55,"&gt;="&amp;$A56-1,$A$5:$A55,"&lt;="&amp;$A56,$B$5:$B55,$B56)&gt;0,MIN(1-'Exercise list'!U$2,IF($A56=$A55,BA55,1))-AF56&lt;0),-1,MIN(1,IF($A56=$A55,BA55,1)-AF56+$D$2))</f>
        <v>1</v>
      </c>
      <c r="BB56" s="19">
        <f>IF(OR($J56=1,COUNTIFS($A$5:$A55,"&gt;="&amp;$A56-1,$A$5:$A55,"&lt;="&amp;$A56,$B$5:$B55,$B56)&gt;0,MIN(1-'Exercise list'!V$2,IF($A56=$A55,BB55,1))-AG56&lt;0),-1,MIN(1,IF($A56=$A55,BB55,1)-AG56+$D$2))</f>
        <v>1</v>
      </c>
      <c r="BC56" s="19">
        <f>IF(OR($J56=1,COUNTIFS($A$5:$A55,"&gt;="&amp;$A56-1,$A$5:$A55,"&lt;="&amp;$A56,$B$5:$B55,$B56)&gt;0,MIN(1-'Exercise list'!W$2,IF($A56=$A55,BC55,1))-AH56&lt;0),-1,MIN(1,IF($A56=$A55,BC55,1)-AH56+$D$2))</f>
        <v>1</v>
      </c>
      <c r="BD56" s="19">
        <f>IF(OR($J56=1,COUNTIFS($A$5:$A55,"&gt;="&amp;$A56-1,$A$5:$A55,"&lt;="&amp;$A56,$B$5:$B55,$B56)&gt;0,MIN(1-'Exercise list'!X$2,IF($A56=$A55,BD55,1))-AI56&lt;0),-1,MIN(1,IF($A56=$A55,BD55,1)-AI56+$D$2))</f>
        <v>1</v>
      </c>
      <c r="BE56" s="19"/>
      <c r="BF56" s="23">
        <f t="shared" si="24"/>
        <v>9.2862582656061995E-2</v>
      </c>
      <c r="BG56" s="23">
        <f t="shared" si="25"/>
        <v>0.13059748022777393</v>
      </c>
      <c r="BH56" s="23">
        <f t="shared" si="26"/>
        <v>0.13216966745348527</v>
      </c>
      <c r="BI56" s="23">
        <f t="shared" si="27"/>
        <v>0.13093751100378331</v>
      </c>
      <c r="BJ56" s="23">
        <f t="shared" si="28"/>
        <v>0.28730976453705381</v>
      </c>
      <c r="BK56" s="23">
        <f t="shared" si="29"/>
        <v>3.8042609274604927E-2</v>
      </c>
      <c r="BL56" s="23">
        <f t="shared" si="30"/>
        <v>6.4450631559264837E-2</v>
      </c>
      <c r="BM56" s="23">
        <f t="shared" si="31"/>
        <v>4.4065062772949595E-2</v>
      </c>
      <c r="BN56" s="23">
        <f t="shared" si="32"/>
        <v>0.11677888580779913</v>
      </c>
      <c r="BO56" s="23">
        <f t="shared" si="33"/>
        <v>8.9131182280232923E-2</v>
      </c>
      <c r="BP56" s="23">
        <f t="shared" si="34"/>
        <v>0.30277886533325465</v>
      </c>
      <c r="BQ56" s="23">
        <f t="shared" si="35"/>
        <v>3.098116218370512E-2</v>
      </c>
      <c r="BR56" s="23">
        <f t="shared" si="36"/>
        <v>0.16809273533658939</v>
      </c>
      <c r="BS56" s="23">
        <f t="shared" si="37"/>
        <v>5.3275195992803913E-2</v>
      </c>
      <c r="BT56" s="23">
        <f t="shared" si="38"/>
        <v>0.24160907000456627</v>
      </c>
      <c r="BU56" s="23">
        <f t="shared" si="39"/>
        <v>0.27684800116921288</v>
      </c>
      <c r="BV56" s="23">
        <f t="shared" si="40"/>
        <v>0.34360163524260545</v>
      </c>
      <c r="BW56" s="23">
        <f t="shared" si="41"/>
        <v>0.11992271630722978</v>
      </c>
      <c r="BX56" s="23">
        <f t="shared" si="42"/>
        <v>0.12065252880373914</v>
      </c>
      <c r="BY56" s="23">
        <f t="shared" si="43"/>
        <v>1.7727774087501574E-2</v>
      </c>
      <c r="BZ56" s="19"/>
      <c r="CA56" s="23">
        <f t="shared" si="4"/>
        <v>0.11468075527239861</v>
      </c>
      <c r="CB56" s="23">
        <f t="shared" si="5"/>
        <v>7.6945857700686682E-2</v>
      </c>
      <c r="CC56" s="23">
        <f t="shared" si="6"/>
        <v>0</v>
      </c>
      <c r="CD56" s="23">
        <f t="shared" si="7"/>
        <v>0</v>
      </c>
      <c r="CE56" s="23">
        <f t="shared" si="8"/>
        <v>0</v>
      </c>
      <c r="CF56" s="23">
        <f t="shared" si="9"/>
        <v>0.27327239761808597</v>
      </c>
      <c r="CG56" s="23">
        <f t="shared" si="10"/>
        <v>3.9321037404965467E-2</v>
      </c>
      <c r="CH56" s="23">
        <f t="shared" si="11"/>
        <v>5.9706606191280709E-2</v>
      </c>
      <c r="CI56" s="23">
        <f t="shared" si="12"/>
        <v>9.0764452120661476E-2</v>
      </c>
      <c r="CJ56" s="23">
        <f t="shared" si="13"/>
        <v>1.4640486683997381E-2</v>
      </c>
      <c r="CK56" s="23">
        <f t="shared" si="14"/>
        <v>0</v>
      </c>
      <c r="CL56" s="23">
        <f t="shared" si="15"/>
        <v>7.2790506780525177E-2</v>
      </c>
      <c r="CM56" s="23">
        <f t="shared" si="16"/>
        <v>3.945060259187122E-2</v>
      </c>
      <c r="CN56" s="23">
        <f t="shared" si="17"/>
        <v>5.0496472971426391E-2</v>
      </c>
      <c r="CO56" s="23">
        <f t="shared" si="18"/>
        <v>0</v>
      </c>
      <c r="CP56" s="23">
        <f t="shared" si="19"/>
        <v>0</v>
      </c>
      <c r="CQ56" s="23">
        <f t="shared" si="20"/>
        <v>0</v>
      </c>
      <c r="CR56" s="23">
        <f t="shared" si="21"/>
        <v>0</v>
      </c>
      <c r="CS56" s="23">
        <f t="shared" si="22"/>
        <v>0</v>
      </c>
      <c r="CT56" s="23">
        <f t="shared" si="23"/>
        <v>8.6043894876728727E-2</v>
      </c>
      <c r="CU56" s="19"/>
    </row>
    <row r="57" spans="1:100" x14ac:dyDescent="0.25">
      <c r="A57" s="13">
        <v>45063</v>
      </c>
      <c r="B57" s="14">
        <v>7</v>
      </c>
      <c r="C57" s="15" t="s">
        <v>115</v>
      </c>
      <c r="D57" s="12">
        <f t="shared" si="45"/>
        <v>1</v>
      </c>
      <c r="E57" s="32">
        <f t="shared" si="1"/>
        <v>0.87939396799653535</v>
      </c>
      <c r="F57" s="63" cm="1">
        <f t="array" ref="F57">IF(B57="","",0.1+IFERROR(INDEX($F$6:$F56,SUMPRODUCT(MAX(ROW($C$6:$C56)*($C57=$C$6:$C56))-ROW($A$5)))*0.9^($A57-INDEX($A$6:A56,SUMPRODUCT(MAX(ROW($C$6:$C56)*($C57=$C$6:$C56))-ROW($A$5)))),0))</f>
        <v>0.16161884135496105</v>
      </c>
      <c r="G57" s="64">
        <f>INDEX('Exercise list'!$Y$5:$Y$102,MATCH(C57,'Exercise list'!$C$5:$C$102,0))</f>
        <v>2</v>
      </c>
      <c r="H57" s="115">
        <f t="shared" si="46"/>
        <v>8.3267278192822342E-2</v>
      </c>
      <c r="I57" s="42">
        <f t="shared" si="47"/>
        <v>1</v>
      </c>
      <c r="J57" s="6">
        <v>0</v>
      </c>
      <c r="K57" s="12"/>
      <c r="L57" s="74" t="str" cm="1">
        <f t="array" ref="L57">IF(K57="","",INDEX('Exercise list'!$C$5:$C$102,K57))</f>
        <v/>
      </c>
      <c r="M57" s="6"/>
      <c r="N57" s="75" t="str" cm="1">
        <f t="array" ref="N57">IF(M57="","",INDEX('Exercise list'!$C$5:$C$102,M57))</f>
        <v/>
      </c>
      <c r="P57">
        <f>IFERROR(INDEX('Exercise list'!$E$5:$X$102,MATCH($C57,'Exercise list'!$C$5:$C$102,0),MATCH(P$5,'Exercise list'!$E$4:$X$4,0)),0)</f>
        <v>0</v>
      </c>
      <c r="Q57">
        <f>IFERROR(INDEX('Exercise list'!$E$5:$X$102,MATCH($C57,'Exercise list'!$C$5:$C$102,0),MATCH(Q$5,'Exercise list'!$E$4:$X$4,0)),0)</f>
        <v>0</v>
      </c>
      <c r="R57">
        <f>IFERROR(INDEX('Exercise list'!$E$5:$X$102,MATCH($C57,'Exercise list'!$C$5:$C$102,0),MATCH(R$5,'Exercise list'!$E$4:$X$4,0)),0)</f>
        <v>0</v>
      </c>
      <c r="S57">
        <f>IFERROR(INDEX('Exercise list'!$E$5:$X$102,MATCH($C57,'Exercise list'!$C$5:$C$102,0),MATCH(S$5,'Exercise list'!$E$4:$X$4,0)),0)</f>
        <v>0</v>
      </c>
      <c r="T57">
        <f>IFERROR(INDEX('Exercise list'!$E$5:$X$102,MATCH($C57,'Exercise list'!$C$5:$C$102,0),MATCH(T$5,'Exercise list'!$E$4:$X$4,0)),0)</f>
        <v>0.5</v>
      </c>
      <c r="U57">
        <f>IFERROR(INDEX('Exercise list'!$E$5:$X$102,MATCH($C57,'Exercise list'!$C$5:$C$102,0),MATCH(U$5,'Exercise list'!$E$4:$X$4,0)),0)</f>
        <v>0</v>
      </c>
      <c r="V57">
        <f>IFERROR(INDEX('Exercise list'!$E$5:$X$102,MATCH($C57,'Exercise list'!$C$5:$C$102,0),MATCH(V$5,'Exercise list'!$E$4:$X$4,0)),0)</f>
        <v>0</v>
      </c>
      <c r="W57">
        <f>IFERROR(INDEX('Exercise list'!$E$5:$X$102,MATCH($C57,'Exercise list'!$C$5:$C$102,0),MATCH(W$5,'Exercise list'!$E$4:$X$4,0)),0)</f>
        <v>0</v>
      </c>
      <c r="X57">
        <f>IFERROR(INDEX('Exercise list'!$E$5:$X$102,MATCH($C57,'Exercise list'!$C$5:$C$102,0),MATCH(X$5,'Exercise list'!$E$4:$X$4,0)),0)</f>
        <v>0</v>
      </c>
      <c r="Y57">
        <f>IFERROR(INDEX('Exercise list'!$E$5:$X$102,MATCH($C57,'Exercise list'!$C$5:$C$102,0),MATCH(Y$5,'Exercise list'!$E$4:$X$4,0)),0)</f>
        <v>0</v>
      </c>
      <c r="Z57">
        <f>IFERROR(INDEX('Exercise list'!$E$5:$X$102,MATCH($C57,'Exercise list'!$C$5:$C$102,0),MATCH(Z$5,'Exercise list'!$E$4:$X$4,0)),0)</f>
        <v>0</v>
      </c>
      <c r="AA57">
        <f>IFERROR(INDEX('Exercise list'!$E$5:$X$102,MATCH($C57,'Exercise list'!$C$5:$C$102,0),MATCH(AA$5,'Exercise list'!$E$4:$X$4,0)),0)</f>
        <v>0</v>
      </c>
      <c r="AB57">
        <f>IFERROR(INDEX('Exercise list'!$E$5:$X$102,MATCH($C57,'Exercise list'!$C$5:$C$102,0),MATCH(AB$5,'Exercise list'!$E$4:$X$4,0)),0)</f>
        <v>0</v>
      </c>
      <c r="AC57">
        <f>IFERROR(INDEX('Exercise list'!$E$5:$X$102,MATCH($C57,'Exercise list'!$C$5:$C$102,0),MATCH(AC$5,'Exercise list'!$E$4:$X$4,0)),0)</f>
        <v>0</v>
      </c>
      <c r="AD57">
        <f>IFERROR(INDEX('Exercise list'!$E$5:$X$102,MATCH($C57,'Exercise list'!$C$5:$C$102,0),MATCH(AD$5,'Exercise list'!$E$4:$X$4,0)),0)</f>
        <v>0.9</v>
      </c>
      <c r="AE57">
        <f>IFERROR(INDEX('Exercise list'!$E$5:$X$102,MATCH($C57,'Exercise list'!$C$5:$C$102,0),MATCH(AE$5,'Exercise list'!$E$4:$X$4,0)),0)</f>
        <v>0.7</v>
      </c>
      <c r="AF57">
        <f>IFERROR(INDEX('Exercise list'!$E$5:$X$102,MATCH($C57,'Exercise list'!$C$5:$C$102,0),MATCH(AF$5,'Exercise list'!$E$4:$X$4,0)),0)</f>
        <v>0.8</v>
      </c>
      <c r="AG57">
        <f>IFERROR(INDEX('Exercise list'!$E$5:$X$102,MATCH($C57,'Exercise list'!$C$5:$C$102,0),MATCH(AG$5,'Exercise list'!$E$4:$X$4,0)),0)</f>
        <v>0.5</v>
      </c>
      <c r="AH57">
        <f>IFERROR(INDEX('Exercise list'!$E$5:$X$102,MATCH($C57,'Exercise list'!$C$5:$C$102,0),MATCH(AH$5,'Exercise list'!$E$4:$X$4,0)),0)</f>
        <v>0.6</v>
      </c>
      <c r="AI57">
        <f>IFERROR(INDEX('Exercise list'!$E$5:$X$102,MATCH($C57,'Exercise list'!$C$5:$C$102,0),MATCH(AI$5,'Exercise list'!$E$4:$X$4,0)),0)</f>
        <v>0.6</v>
      </c>
      <c r="AK57">
        <f>IF(OR($J57=1,COUNTIFS($A$5:$A56,"&gt;="&amp;$A57-1,$A$5:$A56,"&lt;="&amp;$A57,$B$5:$B56,$B57)&gt;0,MIN(1-'Exercise list'!E$2,IF($A57=$A56,AK56,1))-P57&lt;0),-1,MIN(1,IF($A57=$A56,AK56,1)-P57+$D$2))</f>
        <v>1</v>
      </c>
      <c r="AL57">
        <f>IF(OR($J57=1,COUNTIFS($A$5:$A56,"&gt;="&amp;$A57-1,$A$5:$A56,"&lt;="&amp;$A57,$B$5:$B56,$B57)&gt;0,MIN(1-'Exercise list'!F$2,IF($A57=$A56,AL56,1))-Q57&lt;0),-1,MIN(1,IF($A57=$A56,AL56,1)-Q57+$D$2))</f>
        <v>1</v>
      </c>
      <c r="AM57">
        <f>IF(OR($J57=1,COUNTIFS($A$5:$A56,"&gt;="&amp;$A57-1,$A$5:$A56,"&lt;="&amp;$A57,$B$5:$B56,$B57)&gt;0,MIN(1-'Exercise list'!G$2,IF($A57=$A56,AM56,1))-R57&lt;0),-1,MIN(1,IF($A57=$A56,AM56,1)-R57+$D$2))</f>
        <v>1</v>
      </c>
      <c r="AN57">
        <f>IF(OR($J57=1,COUNTIFS($A$5:$A56,"&gt;="&amp;$A57-1,$A$5:$A56,"&lt;="&amp;$A57,$B$5:$B56,$B57)&gt;0,MIN(1-'Exercise list'!H$2,IF($A57=$A56,AN56,1))-S57&lt;0),-1,MIN(1,IF($A57=$A56,AN56,1)-S57+$D$2))</f>
        <v>1</v>
      </c>
      <c r="AO57">
        <f>IF(OR($J57=1,COUNTIFS($A$5:$A56,"&gt;="&amp;$A57-1,$A$5:$A56,"&lt;="&amp;$A57,$B$5:$B56,$B57)&gt;0,MIN(1-'Exercise list'!I$2,IF($A57=$A56,AO56,1))-T57&lt;0),-1,MIN(1,IF($A57=$A56,AO56,1)-T57+$D$2))</f>
        <v>1</v>
      </c>
      <c r="AP57">
        <f>IF(OR($J57=1,COUNTIFS($A$5:$A56,"&gt;="&amp;$A57-1,$A$5:$A56,"&lt;="&amp;$A57,$B$5:$B56,$B57)&gt;0,MIN(1-'Exercise list'!J$2,IF($A57=$A56,AP56,1))-U57&lt;0),-1,MIN(1,IF($A57=$A56,AP56,1)-U57+$D$2))</f>
        <v>1</v>
      </c>
      <c r="AQ57">
        <f>IF(OR($J57=1,COUNTIFS($A$5:$A56,"&gt;="&amp;$A57-1,$A$5:$A56,"&lt;="&amp;$A57,$B$5:$B56,$B57)&gt;0,MIN(1-'Exercise list'!K$2,IF($A57=$A56,AQ56,1))-V57&lt;0),-1,MIN(1,IF($A57=$A56,AQ56,1)-V57+$D$2))</f>
        <v>1</v>
      </c>
      <c r="AR57">
        <f>IF(OR($J57=1,COUNTIFS($A$5:$A56,"&gt;="&amp;$A57-1,$A$5:$A56,"&lt;="&amp;$A57,$B$5:$B56,$B57)&gt;0,MIN(1-'Exercise list'!L$2,IF($A57=$A56,AR56,1))-W57&lt;0),-1,MIN(1,IF($A57=$A56,AR56,1)-W57+$D$2))</f>
        <v>1</v>
      </c>
      <c r="AS57">
        <f>IF(OR($J57=1,COUNTIFS($A$5:$A56,"&gt;="&amp;$A57-1,$A$5:$A56,"&lt;="&amp;$A57,$B$5:$B56,$B57)&gt;0,MIN(1-'Exercise list'!M$2,IF($A57=$A56,AS56,1))-X57&lt;0),-1,MIN(1,IF($A57=$A56,AS56,1)-X57+$D$2))</f>
        <v>1</v>
      </c>
      <c r="AT57">
        <f>IF(OR($J57=1,COUNTIFS($A$5:$A56,"&gt;="&amp;$A57-1,$A$5:$A56,"&lt;="&amp;$A57,$B$5:$B56,$B57)&gt;0,MIN(1-'Exercise list'!N$2,IF($A57=$A56,AT56,1))-Y57&lt;0),-1,MIN(1,IF($A57=$A56,AT56,1)-Y57+$D$2))</f>
        <v>1</v>
      </c>
      <c r="AU57">
        <f>IF(OR($J57=1,COUNTIFS($A$5:$A56,"&gt;="&amp;$A57-1,$A$5:$A56,"&lt;="&amp;$A57,$B$5:$B56,$B57)&gt;0,MIN(1-'Exercise list'!O$2,IF($A57=$A56,AU56,1))-Z57&lt;0),-1,MIN(1,IF($A57=$A56,AU56,1)-Z57+$D$2))</f>
        <v>1</v>
      </c>
      <c r="AV57">
        <f>IF(OR($J57=1,COUNTIFS($A$5:$A56,"&gt;="&amp;$A57-1,$A$5:$A56,"&lt;="&amp;$A57,$B$5:$B56,$B57)&gt;0,MIN(1-'Exercise list'!P$2,IF($A57=$A56,AV56,1))-AA57&lt;0),-1,MIN(1,IF($A57=$A56,AV56,1)-AA57+$D$2))</f>
        <v>1</v>
      </c>
      <c r="AW57">
        <f>IF(OR($J57=1,COUNTIFS($A$5:$A56,"&gt;="&amp;$A57-1,$A$5:$A56,"&lt;="&amp;$A57,$B$5:$B56,$B57)&gt;0,MIN(1-'Exercise list'!Q$2,IF($A57=$A56,AW56,1))-AB57&lt;0),-1,MIN(1,IF($A57=$A56,AW56,1)-AB57+$D$2))</f>
        <v>1</v>
      </c>
      <c r="AX57">
        <f>IF(OR($J57=1,COUNTIFS($A$5:$A56,"&gt;="&amp;$A57-1,$A$5:$A56,"&lt;="&amp;$A57,$B$5:$B56,$B57)&gt;0,MIN(1-'Exercise list'!R$2,IF($A57=$A56,AX56,1))-AC57&lt;0),-1,MIN(1,IF($A57=$A56,AX56,1)-AC57+$D$2))</f>
        <v>1</v>
      </c>
      <c r="AY57">
        <f>IF(OR($J57=1,COUNTIFS($A$5:$A56,"&gt;="&amp;$A57-1,$A$5:$A56,"&lt;="&amp;$A57,$B$5:$B56,$B57)&gt;0,MIN(1-'Exercise list'!S$2,IF($A57=$A56,AY56,1))-AD57&lt;0),-1,MIN(1,IF($A57=$A56,AY56,1)-AD57+$D$2))</f>
        <v>1</v>
      </c>
      <c r="AZ57">
        <f>IF(OR($J57=1,COUNTIFS($A$5:$A56,"&gt;="&amp;$A57-1,$A$5:$A56,"&lt;="&amp;$A57,$B$5:$B56,$B57)&gt;0,MIN(1-'Exercise list'!T$2,IF($A57=$A56,AZ56,1))-AE57&lt;0),-1,MIN(1,IF($A57=$A56,AZ56,1)-AE57+$D$2))</f>
        <v>1</v>
      </c>
      <c r="BA57">
        <f>IF(OR($J57=1,COUNTIFS($A$5:$A56,"&gt;="&amp;$A57-1,$A$5:$A56,"&lt;="&amp;$A57,$B$5:$B56,$B57)&gt;0,MIN(1-'Exercise list'!U$2,IF($A57=$A56,BA56,1))-AF57&lt;0),-1,MIN(1,IF($A57=$A56,BA56,1)-AF57+$D$2))</f>
        <v>1</v>
      </c>
      <c r="BB57">
        <f>IF(OR($J57=1,COUNTIFS($A$5:$A56,"&gt;="&amp;$A57-1,$A$5:$A56,"&lt;="&amp;$A57,$B$5:$B56,$B57)&gt;0,MIN(1-'Exercise list'!V$2,IF($A57=$A56,BB56,1))-AG57&lt;0),-1,MIN(1,IF($A57=$A56,BB56,1)-AG57+$D$2))</f>
        <v>1</v>
      </c>
      <c r="BC57">
        <f>IF(OR($J57=1,COUNTIFS($A$5:$A56,"&gt;="&amp;$A57-1,$A$5:$A56,"&lt;="&amp;$A57,$B$5:$B56,$B57)&gt;0,MIN(1-'Exercise list'!W$2,IF($A57=$A56,BC56,1))-AH57&lt;0),-1,MIN(1,IF($A57=$A56,BC56,1)-AH57+$D$2))</f>
        <v>1</v>
      </c>
      <c r="BD57">
        <f>IF(OR($J57=1,COUNTIFS($A$5:$A56,"&gt;="&amp;$A57-1,$A$5:$A56,"&lt;="&amp;$A57,$B$5:$B56,$B57)&gt;0,MIN(1-'Exercise list'!X$2,IF($A57=$A56,BD56,1))-AI57&lt;0),-1,MIN(1,IF($A57=$A56,BD56,1)-AI57+$D$2))</f>
        <v>1</v>
      </c>
      <c r="BF57" s="16">
        <f t="shared" si="24"/>
        <v>8.8219453523258898E-2</v>
      </c>
      <c r="BG57" s="16">
        <f t="shared" si="25"/>
        <v>0.12406760621638523</v>
      </c>
      <c r="BH57" s="16">
        <f t="shared" si="26"/>
        <v>0.12556118408081099</v>
      </c>
      <c r="BI57" s="16">
        <f t="shared" si="27"/>
        <v>0.12439063545359415</v>
      </c>
      <c r="BJ57" s="16">
        <f t="shared" si="28"/>
        <v>0.29794427631020115</v>
      </c>
      <c r="BK57" s="16">
        <f t="shared" si="29"/>
        <v>3.6140478810874677E-2</v>
      </c>
      <c r="BL57" s="16">
        <f t="shared" si="30"/>
        <v>6.122809998130159E-2</v>
      </c>
      <c r="BM57" s="16">
        <f t="shared" si="31"/>
        <v>4.1861809634302111E-2</v>
      </c>
      <c r="BN57" s="16">
        <f t="shared" si="32"/>
        <v>0.11093994151740917</v>
      </c>
      <c r="BO57" s="16">
        <f t="shared" si="33"/>
        <v>8.4674623166221277E-2</v>
      </c>
      <c r="BP57" s="16">
        <f t="shared" si="34"/>
        <v>0.28763992206659189</v>
      </c>
      <c r="BQ57" s="16">
        <f t="shared" si="35"/>
        <v>2.9432104074519863E-2</v>
      </c>
      <c r="BR57" s="16">
        <f t="shared" si="36"/>
        <v>0.15968809856975991</v>
      </c>
      <c r="BS57" s="16">
        <f t="shared" si="37"/>
        <v>5.0611436193163717E-2</v>
      </c>
      <c r="BT57" s="16">
        <f t="shared" si="38"/>
        <v>0.27452861650433796</v>
      </c>
      <c r="BU57" s="16">
        <f t="shared" si="39"/>
        <v>0.29800560111075219</v>
      </c>
      <c r="BV57" s="16">
        <f t="shared" si="40"/>
        <v>0.36642155348047523</v>
      </c>
      <c r="BW57" s="16">
        <f t="shared" si="41"/>
        <v>0.13892658049186829</v>
      </c>
      <c r="BX57" s="16">
        <f t="shared" si="42"/>
        <v>0.14461990236355218</v>
      </c>
      <c r="BY57" s="16">
        <f t="shared" si="43"/>
        <v>4.6841385383126488E-2</v>
      </c>
      <c r="CA57" s="16">
        <f t="shared" si="4"/>
        <v>0.12598375454581573</v>
      </c>
      <c r="CB57" s="16">
        <f t="shared" si="5"/>
        <v>9.0135601852689387E-2</v>
      </c>
      <c r="CC57" s="16">
        <f t="shared" si="6"/>
        <v>0</v>
      </c>
      <c r="CD57" s="16">
        <f t="shared" si="7"/>
        <v>0</v>
      </c>
      <c r="CE57" s="16">
        <f t="shared" si="8"/>
        <v>0</v>
      </c>
      <c r="CF57" s="16">
        <f t="shared" si="9"/>
        <v>0.28516433329273727</v>
      </c>
      <c r="CG57" s="16">
        <f t="shared" si="10"/>
        <v>4.5873504053235717E-2</v>
      </c>
      <c r="CH57" s="16">
        <f t="shared" si="11"/>
        <v>6.5239794400235196E-2</v>
      </c>
      <c r="CI57" s="16">
        <f t="shared" si="12"/>
        <v>0.10326326655166544</v>
      </c>
      <c r="CJ57" s="16">
        <f t="shared" si="13"/>
        <v>2.2426980868316029E-2</v>
      </c>
      <c r="CK57" s="16">
        <f t="shared" si="14"/>
        <v>0</v>
      </c>
      <c r="CL57" s="16">
        <f t="shared" si="15"/>
        <v>7.7669499960017443E-2</v>
      </c>
      <c r="CM57" s="16">
        <f t="shared" si="16"/>
        <v>5.4515109499314707E-2</v>
      </c>
      <c r="CN57" s="16">
        <f t="shared" si="17"/>
        <v>5.649016784137359E-2</v>
      </c>
      <c r="CO57" s="16">
        <f t="shared" si="18"/>
        <v>0</v>
      </c>
      <c r="CP57" s="16">
        <f t="shared" si="19"/>
        <v>0</v>
      </c>
      <c r="CQ57" s="16">
        <f t="shared" si="20"/>
        <v>0</v>
      </c>
      <c r="CR57" s="16">
        <f t="shared" si="21"/>
        <v>0</v>
      </c>
      <c r="CS57" s="16">
        <f t="shared" si="22"/>
        <v>0</v>
      </c>
      <c r="CT57" s="16">
        <f t="shared" si="23"/>
        <v>6.0260218651410818E-2</v>
      </c>
    </row>
    <row r="58" spans="1:100" x14ac:dyDescent="0.25">
      <c r="A58" s="13">
        <v>45063</v>
      </c>
      <c r="B58" s="14">
        <v>14</v>
      </c>
      <c r="C58" s="15" t="s">
        <v>123</v>
      </c>
      <c r="D58" s="12">
        <f t="shared" si="45"/>
        <v>1</v>
      </c>
      <c r="E58" s="32">
        <f t="shared" si="1"/>
        <v>0.96545577208660405</v>
      </c>
      <c r="F58" s="63" cm="1">
        <f t="array" ref="F58">IF(B58="","",0.1+IFERROR(INDEX($F$6:$F57,SUMPRODUCT(MAX(ROW($C$6:$C57)*($C58=$C$6:$C57))-ROW($A$5)))*0.9^($A58-INDEX($A$6:A57,SUMPRODUCT(MAX(ROW($C$6:$C57)*($C58=$C$6:$C57))-ROW($A$5)))),0))</f>
        <v>0.15679971789229005</v>
      </c>
      <c r="G58" s="64">
        <f>INDEX('Exercise list'!$Y$5:$Y$102,MATCH(C58,'Exercise list'!$C$5:$C$102,0))</f>
        <v>2</v>
      </c>
      <c r="H58" s="115">
        <f t="shared" si="46"/>
        <v>8.2629904668278312E-2</v>
      </c>
      <c r="I58" s="6">
        <f t="shared" si="47"/>
        <v>2</v>
      </c>
      <c r="J58" s="6">
        <v>0</v>
      </c>
      <c r="K58" s="12"/>
      <c r="L58" s="74" t="str" cm="1">
        <f t="array" ref="L58">IF(K58="","",INDEX('Exercise list'!$C$5:$C$102,K58))</f>
        <v/>
      </c>
      <c r="M58" s="6"/>
      <c r="N58" s="75" t="str" cm="1">
        <f t="array" ref="N58">IF(M58="","",INDEX('Exercise list'!$C$5:$C$102,M58))</f>
        <v/>
      </c>
      <c r="P58">
        <f>IFERROR(INDEX('Exercise list'!$E$5:$X$102,MATCH($C58,'Exercise list'!$C$5:$C$102,0),MATCH(P$5,'Exercise list'!$E$4:$X$4,0)),0)</f>
        <v>0</v>
      </c>
      <c r="Q58">
        <f>IFERROR(INDEX('Exercise list'!$E$5:$X$102,MATCH($C58,'Exercise list'!$C$5:$C$102,0),MATCH(Q$5,'Exercise list'!$E$4:$X$4,0)),0)</f>
        <v>1</v>
      </c>
      <c r="R58">
        <f>IFERROR(INDEX('Exercise list'!$E$5:$X$102,MATCH($C58,'Exercise list'!$C$5:$C$102,0),MATCH(R$5,'Exercise list'!$E$4:$X$4,0)),0)</f>
        <v>0.6</v>
      </c>
      <c r="S58">
        <f>IFERROR(INDEX('Exercise list'!$E$5:$X$102,MATCH($C58,'Exercise list'!$C$5:$C$102,0),MATCH(S$5,'Exercise list'!$E$4:$X$4,0)),0)</f>
        <v>0.7</v>
      </c>
      <c r="T58">
        <f>IFERROR(INDEX('Exercise list'!$E$5:$X$102,MATCH($C58,'Exercise list'!$C$5:$C$102,0),MATCH(T$5,'Exercise list'!$E$4:$X$4,0)),0)</f>
        <v>0</v>
      </c>
      <c r="U58">
        <f>IFERROR(INDEX('Exercise list'!$E$5:$X$102,MATCH($C58,'Exercise list'!$C$5:$C$102,0),MATCH(U$5,'Exercise list'!$E$4:$X$4,0)),0)</f>
        <v>0</v>
      </c>
      <c r="V58">
        <f>IFERROR(INDEX('Exercise list'!$E$5:$X$102,MATCH($C58,'Exercise list'!$C$5:$C$102,0),MATCH(V$5,'Exercise list'!$E$4:$X$4,0)),0)</f>
        <v>0</v>
      </c>
      <c r="W58">
        <f>IFERROR(INDEX('Exercise list'!$E$5:$X$102,MATCH($C58,'Exercise list'!$C$5:$C$102,0),MATCH(W$5,'Exercise list'!$E$4:$X$4,0)),0)</f>
        <v>0</v>
      </c>
      <c r="X58">
        <f>IFERROR(INDEX('Exercise list'!$E$5:$X$102,MATCH($C58,'Exercise list'!$C$5:$C$102,0),MATCH(X$5,'Exercise list'!$E$4:$X$4,0)),0)</f>
        <v>0.5</v>
      </c>
      <c r="Y58">
        <f>IFERROR(INDEX('Exercise list'!$E$5:$X$102,MATCH($C58,'Exercise list'!$C$5:$C$102,0),MATCH(Y$5,'Exercise list'!$E$4:$X$4,0)),0)</f>
        <v>0</v>
      </c>
      <c r="Z58">
        <f>IFERROR(INDEX('Exercise list'!$E$5:$X$102,MATCH($C58,'Exercise list'!$C$5:$C$102,0),MATCH(Z$5,'Exercise list'!$E$4:$X$4,0)),0)</f>
        <v>0.5</v>
      </c>
      <c r="AA58">
        <f>IFERROR(INDEX('Exercise list'!$E$5:$X$102,MATCH($C58,'Exercise list'!$C$5:$C$102,0),MATCH(AA$5,'Exercise list'!$E$4:$X$4,0)),0)</f>
        <v>0</v>
      </c>
      <c r="AB58">
        <f>IFERROR(INDEX('Exercise list'!$E$5:$X$102,MATCH($C58,'Exercise list'!$C$5:$C$102,0),MATCH(AB$5,'Exercise list'!$E$4:$X$4,0)),0)</f>
        <v>0</v>
      </c>
      <c r="AC58">
        <f>IFERROR(INDEX('Exercise list'!$E$5:$X$102,MATCH($C58,'Exercise list'!$C$5:$C$102,0),MATCH(AC$5,'Exercise list'!$E$4:$X$4,0)),0)</f>
        <v>0</v>
      </c>
      <c r="AD58">
        <f>IFERROR(INDEX('Exercise list'!$E$5:$X$102,MATCH($C58,'Exercise list'!$C$5:$C$102,0),MATCH(AD$5,'Exercise list'!$E$4:$X$4,0)),0)</f>
        <v>0</v>
      </c>
      <c r="AE58">
        <f>IFERROR(INDEX('Exercise list'!$E$5:$X$102,MATCH($C58,'Exercise list'!$C$5:$C$102,0),MATCH(AE$5,'Exercise list'!$E$4:$X$4,0)),0)</f>
        <v>0</v>
      </c>
      <c r="AF58">
        <f>IFERROR(INDEX('Exercise list'!$E$5:$X$102,MATCH($C58,'Exercise list'!$C$5:$C$102,0),MATCH(AF$5,'Exercise list'!$E$4:$X$4,0)),0)</f>
        <v>0</v>
      </c>
      <c r="AG58">
        <f>IFERROR(INDEX('Exercise list'!$E$5:$X$102,MATCH($C58,'Exercise list'!$C$5:$C$102,0),MATCH(AG$5,'Exercise list'!$E$4:$X$4,0)),0)</f>
        <v>0</v>
      </c>
      <c r="AH58">
        <f>IFERROR(INDEX('Exercise list'!$E$5:$X$102,MATCH($C58,'Exercise list'!$C$5:$C$102,0),MATCH(AH$5,'Exercise list'!$E$4:$X$4,0)),0)</f>
        <v>0</v>
      </c>
      <c r="AI58">
        <f>IFERROR(INDEX('Exercise list'!$E$5:$X$102,MATCH($C58,'Exercise list'!$C$5:$C$102,0),MATCH(AI$5,'Exercise list'!$E$4:$X$4,0)),0)</f>
        <v>0</v>
      </c>
      <c r="AK58">
        <f>IF(OR($J58=1,COUNTIFS($A$5:$A57,"&gt;="&amp;$A58-1,$A$5:$A57,"&lt;="&amp;$A58,$B$5:$B57,$B58)&gt;0,MIN(1-'Exercise list'!E$2,IF($A58=$A57,AK57,1))-P58&lt;0),-1,MIN(1,IF($A58=$A57,AK57,1)-P58+$D$2))</f>
        <v>1</v>
      </c>
      <c r="AL58">
        <f>IF(OR($J58=1,COUNTIFS($A$5:$A57,"&gt;="&amp;$A58-1,$A$5:$A57,"&lt;="&amp;$A58,$B$5:$B57,$B58)&gt;0,MIN(1-'Exercise list'!F$2,IF($A58=$A57,AL57,1))-Q58&lt;0),-1,MIN(1,IF($A58=$A57,AL57,1)-Q58+$D$2))</f>
        <v>1</v>
      </c>
      <c r="AM58">
        <f>IF(OR($J58=1,COUNTIFS($A$5:$A57,"&gt;="&amp;$A58-1,$A$5:$A57,"&lt;="&amp;$A58,$B$5:$B57,$B58)&gt;0,MIN(1-'Exercise list'!G$2,IF($A58=$A57,AM57,1))-R58&lt;0),-1,MIN(1,IF($A58=$A57,AM57,1)-R58+$D$2))</f>
        <v>1</v>
      </c>
      <c r="AN58">
        <f>IF(OR($J58=1,COUNTIFS($A$5:$A57,"&gt;="&amp;$A58-1,$A$5:$A57,"&lt;="&amp;$A58,$B$5:$B57,$B58)&gt;0,MIN(1-'Exercise list'!H$2,IF($A58=$A57,AN57,1))-S58&lt;0),-1,MIN(1,IF($A58=$A57,AN57,1)-S58+$D$2))</f>
        <v>1</v>
      </c>
      <c r="AO58">
        <f>IF(OR($J58=1,COUNTIFS($A$5:$A57,"&gt;="&amp;$A58-1,$A$5:$A57,"&lt;="&amp;$A58,$B$5:$B57,$B58)&gt;0,MIN(1-'Exercise list'!I$2,IF($A58=$A57,AO57,1))-T58&lt;0),-1,MIN(1,IF($A58=$A57,AO57,1)-T58+$D$2))</f>
        <v>1</v>
      </c>
      <c r="AP58">
        <f>IF(OR($J58=1,COUNTIFS($A$5:$A57,"&gt;="&amp;$A58-1,$A$5:$A57,"&lt;="&amp;$A58,$B$5:$B57,$B58)&gt;0,MIN(1-'Exercise list'!J$2,IF($A58=$A57,AP57,1))-U58&lt;0),-1,MIN(1,IF($A58=$A57,AP57,1)-U58+$D$2))</f>
        <v>1</v>
      </c>
      <c r="AQ58">
        <f>IF(OR($J58=1,COUNTIFS($A$5:$A57,"&gt;="&amp;$A58-1,$A$5:$A57,"&lt;="&amp;$A58,$B$5:$B57,$B58)&gt;0,MIN(1-'Exercise list'!K$2,IF($A58=$A57,AQ57,1))-V58&lt;0),-1,MIN(1,IF($A58=$A57,AQ57,1)-V58+$D$2))</f>
        <v>1</v>
      </c>
      <c r="AR58">
        <f>IF(OR($J58=1,COUNTIFS($A$5:$A57,"&gt;="&amp;$A58-1,$A$5:$A57,"&lt;="&amp;$A58,$B$5:$B57,$B58)&gt;0,MIN(1-'Exercise list'!L$2,IF($A58=$A57,AR57,1))-W58&lt;0),-1,MIN(1,IF($A58=$A57,AR57,1)-W58+$D$2))</f>
        <v>1</v>
      </c>
      <c r="AS58">
        <f>IF(OR($J58=1,COUNTIFS($A$5:$A57,"&gt;="&amp;$A58-1,$A$5:$A57,"&lt;="&amp;$A58,$B$5:$B57,$B58)&gt;0,MIN(1-'Exercise list'!M$2,IF($A58=$A57,AS57,1))-X58&lt;0),-1,MIN(1,IF($A58=$A57,AS57,1)-X58+$D$2))</f>
        <v>1</v>
      </c>
      <c r="AT58">
        <f>IF(OR($J58=1,COUNTIFS($A$5:$A57,"&gt;="&amp;$A58-1,$A$5:$A57,"&lt;="&amp;$A58,$B$5:$B57,$B58)&gt;0,MIN(1-'Exercise list'!N$2,IF($A58=$A57,AT57,1))-Y58&lt;0),-1,MIN(1,IF($A58=$A57,AT57,1)-Y58+$D$2))</f>
        <v>1</v>
      </c>
      <c r="AU58">
        <f>IF(OR($J58=1,COUNTIFS($A$5:$A57,"&gt;="&amp;$A58-1,$A$5:$A57,"&lt;="&amp;$A58,$B$5:$B57,$B58)&gt;0,MIN(1-'Exercise list'!O$2,IF($A58=$A57,AU57,1))-Z58&lt;0),-1,MIN(1,IF($A58=$A57,AU57,1)-Z58+$D$2))</f>
        <v>1</v>
      </c>
      <c r="AV58">
        <f>IF(OR($J58=1,COUNTIFS($A$5:$A57,"&gt;="&amp;$A58-1,$A$5:$A57,"&lt;="&amp;$A58,$B$5:$B57,$B58)&gt;0,MIN(1-'Exercise list'!P$2,IF($A58=$A57,AV57,1))-AA58&lt;0),-1,MIN(1,IF($A58=$A57,AV57,1)-AA58+$D$2))</f>
        <v>1</v>
      </c>
      <c r="AW58">
        <f>IF(OR($J58=1,COUNTIFS($A$5:$A57,"&gt;="&amp;$A58-1,$A$5:$A57,"&lt;="&amp;$A58,$B$5:$B57,$B58)&gt;0,MIN(1-'Exercise list'!Q$2,IF($A58=$A57,AW57,1))-AB58&lt;0),-1,MIN(1,IF($A58=$A57,AW57,1)-AB58+$D$2))</f>
        <v>1</v>
      </c>
      <c r="AX58">
        <f>IF(OR($J58=1,COUNTIFS($A$5:$A57,"&gt;="&amp;$A58-1,$A$5:$A57,"&lt;="&amp;$A58,$B$5:$B57,$B58)&gt;0,MIN(1-'Exercise list'!R$2,IF($A58=$A57,AX57,1))-AC58&lt;0),-1,MIN(1,IF($A58=$A57,AX57,1)-AC58+$D$2))</f>
        <v>1</v>
      </c>
      <c r="AY58">
        <f>IF(OR($J58=1,COUNTIFS($A$5:$A57,"&gt;="&amp;$A58-1,$A$5:$A57,"&lt;="&amp;$A58,$B$5:$B57,$B58)&gt;0,MIN(1-'Exercise list'!S$2,IF($A58=$A57,AY57,1))-AD58&lt;0),-1,MIN(1,IF($A58=$A57,AY57,1)-AD58+$D$2))</f>
        <v>1</v>
      </c>
      <c r="AZ58">
        <f>IF(OR($J58=1,COUNTIFS($A$5:$A57,"&gt;="&amp;$A58-1,$A$5:$A57,"&lt;="&amp;$A58,$B$5:$B57,$B58)&gt;0,MIN(1-'Exercise list'!T$2,IF($A58=$A57,AZ57,1))-AE58&lt;0),-1,MIN(1,IF($A58=$A57,AZ57,1)-AE58+$D$2))</f>
        <v>1</v>
      </c>
      <c r="BA58">
        <f>IF(OR($J58=1,COUNTIFS($A$5:$A57,"&gt;="&amp;$A58-1,$A$5:$A57,"&lt;="&amp;$A58,$B$5:$B57,$B58)&gt;0,MIN(1-'Exercise list'!U$2,IF($A58=$A57,BA57,1))-AF58&lt;0),-1,MIN(1,IF($A58=$A57,BA57,1)-AF58+$D$2))</f>
        <v>1</v>
      </c>
      <c r="BB58">
        <f>IF(OR($J58=1,COUNTIFS($A$5:$A57,"&gt;="&amp;$A58-1,$A$5:$A57,"&lt;="&amp;$A58,$B$5:$B57,$B58)&gt;0,MIN(1-'Exercise list'!V$2,IF($A58=$A57,BB57,1))-AG58&lt;0),-1,MIN(1,IF($A58=$A57,BB57,1)-AG58+$D$2))</f>
        <v>1</v>
      </c>
      <c r="BC58">
        <f>IF(OR($J58=1,COUNTIFS($A$5:$A57,"&gt;="&amp;$A58-1,$A$5:$A57,"&lt;="&amp;$A58,$B$5:$B57,$B58)&gt;0,MIN(1-'Exercise list'!W$2,IF($A58=$A57,BC57,1))-AH58&lt;0),-1,MIN(1,IF($A58=$A57,BC57,1)-AH58+$D$2))</f>
        <v>1</v>
      </c>
      <c r="BD58">
        <f>IF(OR($J58=1,COUNTIFS($A$5:$A57,"&gt;="&amp;$A58-1,$A$5:$A57,"&lt;="&amp;$A58,$B$5:$B57,$B58)&gt;0,MIN(1-'Exercise list'!X$2,IF($A58=$A57,BD57,1))-AI58&lt;0),-1,MIN(1,IF($A58=$A57,BD57,1)-AI58+$D$2))</f>
        <v>1</v>
      </c>
      <c r="BF58" s="16">
        <f t="shared" si="24"/>
        <v>8.3808480847095954E-2</v>
      </c>
      <c r="BG58" s="16">
        <f t="shared" si="25"/>
        <v>0.16786422590556596</v>
      </c>
      <c r="BH58" s="16">
        <f t="shared" si="26"/>
        <v>0.14928312487677042</v>
      </c>
      <c r="BI58" s="16">
        <f t="shared" si="27"/>
        <v>0.15317110368091444</v>
      </c>
      <c r="BJ58" s="16">
        <f t="shared" si="28"/>
        <v>0.28304706249469108</v>
      </c>
      <c r="BK58" s="16">
        <f t="shared" si="29"/>
        <v>3.4333454870330939E-2</v>
      </c>
      <c r="BL58" s="16">
        <f t="shared" si="30"/>
        <v>5.8166694982236505E-2</v>
      </c>
      <c r="BM58" s="16">
        <f t="shared" si="31"/>
        <v>3.9768719152587007E-2</v>
      </c>
      <c r="BN58" s="16">
        <f t="shared" si="32"/>
        <v>0.13039294444153871</v>
      </c>
      <c r="BO58" s="16">
        <f t="shared" si="33"/>
        <v>8.0440892007910214E-2</v>
      </c>
      <c r="BP58" s="16">
        <f t="shared" si="34"/>
        <v>0.29825792596326228</v>
      </c>
      <c r="BQ58" s="16">
        <f t="shared" si="35"/>
        <v>2.7960498870793868E-2</v>
      </c>
      <c r="BR58" s="16">
        <f t="shared" si="36"/>
        <v>0.1517036936412719</v>
      </c>
      <c r="BS58" s="16">
        <f t="shared" si="37"/>
        <v>4.8080864383505527E-2</v>
      </c>
      <c r="BT58" s="16">
        <f t="shared" si="38"/>
        <v>0.26080218567912106</v>
      </c>
      <c r="BU58" s="16">
        <f t="shared" si="39"/>
        <v>0.28310532105521458</v>
      </c>
      <c r="BV58" s="16">
        <f t="shared" si="40"/>
        <v>0.34810047580645143</v>
      </c>
      <c r="BW58" s="16">
        <f t="shared" si="41"/>
        <v>0.13198025146727488</v>
      </c>
      <c r="BX58" s="16">
        <f t="shared" si="42"/>
        <v>0.13738890724537456</v>
      </c>
      <c r="BY58" s="16">
        <f t="shared" si="43"/>
        <v>4.4499316113970164E-2</v>
      </c>
      <c r="CA58" s="16">
        <f t="shared" si="4"/>
        <v>0.13190678904074715</v>
      </c>
      <c r="CB58" s="16">
        <f t="shared" si="5"/>
        <v>4.7851043982277158E-2</v>
      </c>
      <c r="CC58" s="16">
        <f t="shared" si="6"/>
        <v>0</v>
      </c>
      <c r="CD58" s="16">
        <f t="shared" si="7"/>
        <v>0</v>
      </c>
      <c r="CE58" s="16">
        <f t="shared" si="8"/>
        <v>0</v>
      </c>
      <c r="CF58" s="16">
        <f t="shared" si="9"/>
        <v>0.28923944996143375</v>
      </c>
      <c r="CG58" s="16">
        <f t="shared" si="10"/>
        <v>4.9690939961685054E-2</v>
      </c>
      <c r="CH58" s="16">
        <f t="shared" si="11"/>
        <v>6.8088915791334553E-2</v>
      </c>
      <c r="CI58" s="16">
        <f t="shared" si="12"/>
        <v>8.5322325446304415E-2</v>
      </c>
      <c r="CJ58" s="16">
        <f t="shared" si="13"/>
        <v>2.7416742936011346E-2</v>
      </c>
      <c r="CK58" s="16">
        <f t="shared" si="14"/>
        <v>0</v>
      </c>
      <c r="CL58" s="16">
        <f t="shared" si="15"/>
        <v>7.9897136073127692E-2</v>
      </c>
      <c r="CM58" s="16">
        <f t="shared" si="16"/>
        <v>6.4011576246571222E-2</v>
      </c>
      <c r="CN58" s="16">
        <f t="shared" si="17"/>
        <v>5.9776770560416033E-2</v>
      </c>
      <c r="CO58" s="16">
        <f t="shared" si="18"/>
        <v>0</v>
      </c>
      <c r="CP58" s="16">
        <f t="shared" si="19"/>
        <v>0</v>
      </c>
      <c r="CQ58" s="16">
        <f t="shared" si="20"/>
        <v>0</v>
      </c>
      <c r="CR58" s="16">
        <f t="shared" si="21"/>
        <v>0</v>
      </c>
      <c r="CS58" s="16">
        <f t="shared" si="22"/>
        <v>0</v>
      </c>
      <c r="CT58" s="16">
        <f t="shared" si="23"/>
        <v>6.3358318829951396E-2</v>
      </c>
    </row>
    <row r="59" spans="1:100" x14ac:dyDescent="0.25">
      <c r="A59" s="13">
        <v>45063</v>
      </c>
      <c r="B59" s="14">
        <v>29</v>
      </c>
      <c r="C59" s="15" t="s">
        <v>141</v>
      </c>
      <c r="D59" s="12">
        <f t="shared" si="45"/>
        <v>1</v>
      </c>
      <c r="E59" s="32">
        <f t="shared" si="1"/>
        <v>1.1615497933574208</v>
      </c>
      <c r="F59" s="63" cm="1">
        <f t="array" ref="F59">IF(B59="","",0.1+IFERROR(INDEX($F$6:$F58,SUMPRODUCT(MAX(ROW($C$6:$C58)*($C59=$C$6:$C58))-ROW($A$5)))*0.9^($A59-INDEX($A$6:A58,SUMPRODUCT(MAX(ROW($C$6:$C58)*($C59=$C$6:$C58))-ROW($A$5)))),0))</f>
        <v>0.13486784401000002</v>
      </c>
      <c r="G59" s="64">
        <f>INDEX('Exercise list'!$Y$5:$Y$102,MATCH(C59,'Exercise list'!$C$5:$C$102,0))</f>
        <v>2</v>
      </c>
      <c r="H59" s="115">
        <f t="shared" si="46"/>
        <v>7.9237642912508136E-2</v>
      </c>
      <c r="I59" s="6">
        <f t="shared" si="47"/>
        <v>3</v>
      </c>
      <c r="J59" s="6">
        <v>0</v>
      </c>
      <c r="K59" s="12"/>
      <c r="L59" s="74" t="str" cm="1">
        <f t="array" ref="L59">IF(K59="","",INDEX('Exercise list'!$C$5:$C$102,K59))</f>
        <v/>
      </c>
      <c r="M59" s="6"/>
      <c r="N59" s="75" t="str" cm="1">
        <f t="array" ref="N59">IF(M59="","",INDEX('Exercise list'!$C$5:$C$102,M59))</f>
        <v/>
      </c>
      <c r="P59">
        <f>IFERROR(INDEX('Exercise list'!$E$5:$X$102,MATCH($C59,'Exercise list'!$C$5:$C$102,0),MATCH(P$5,'Exercise list'!$E$4:$X$4,0)),0)</f>
        <v>0</v>
      </c>
      <c r="Q59">
        <f>IFERROR(INDEX('Exercise list'!$E$5:$X$102,MATCH($C59,'Exercise list'!$C$5:$C$102,0),MATCH(Q$5,'Exercise list'!$E$4:$X$4,0)),0)</f>
        <v>0</v>
      </c>
      <c r="R59">
        <f>IFERROR(INDEX('Exercise list'!$E$5:$X$102,MATCH($C59,'Exercise list'!$C$5:$C$102,0),MATCH(R$5,'Exercise list'!$E$4:$X$4,0)),0)</f>
        <v>0</v>
      </c>
      <c r="S59">
        <f>IFERROR(INDEX('Exercise list'!$E$5:$X$102,MATCH($C59,'Exercise list'!$C$5:$C$102,0),MATCH(S$5,'Exercise list'!$E$4:$X$4,0)),0)</f>
        <v>0</v>
      </c>
      <c r="T59">
        <f>IFERROR(INDEX('Exercise list'!$E$5:$X$102,MATCH($C59,'Exercise list'!$C$5:$C$102,0),MATCH(T$5,'Exercise list'!$E$4:$X$4,0)),0)</f>
        <v>0</v>
      </c>
      <c r="U59">
        <f>IFERROR(INDEX('Exercise list'!$E$5:$X$102,MATCH($C59,'Exercise list'!$C$5:$C$102,0),MATCH(U$5,'Exercise list'!$E$4:$X$4,0)),0)</f>
        <v>0</v>
      </c>
      <c r="V59">
        <f>IFERROR(INDEX('Exercise list'!$E$5:$X$102,MATCH($C59,'Exercise list'!$C$5:$C$102,0),MATCH(V$5,'Exercise list'!$E$4:$X$4,0)),0)</f>
        <v>0</v>
      </c>
      <c r="W59">
        <f>IFERROR(INDEX('Exercise list'!$E$5:$X$102,MATCH($C59,'Exercise list'!$C$5:$C$102,0),MATCH(W$5,'Exercise list'!$E$4:$X$4,0)),0)</f>
        <v>0</v>
      </c>
      <c r="X59">
        <f>IFERROR(INDEX('Exercise list'!$E$5:$X$102,MATCH($C59,'Exercise list'!$C$5:$C$102,0),MATCH(X$5,'Exercise list'!$E$4:$X$4,0)),0)</f>
        <v>0</v>
      </c>
      <c r="Y59">
        <f>IFERROR(INDEX('Exercise list'!$E$5:$X$102,MATCH($C59,'Exercise list'!$C$5:$C$102,0),MATCH(Y$5,'Exercise list'!$E$4:$X$4,0)),0)</f>
        <v>0</v>
      </c>
      <c r="Z59">
        <f>IFERROR(INDEX('Exercise list'!$E$5:$X$102,MATCH($C59,'Exercise list'!$C$5:$C$102,0),MATCH(Z$5,'Exercise list'!$E$4:$X$4,0)),0)</f>
        <v>0</v>
      </c>
      <c r="AA59">
        <f>IFERROR(INDEX('Exercise list'!$E$5:$X$102,MATCH($C59,'Exercise list'!$C$5:$C$102,0),MATCH(AA$5,'Exercise list'!$E$4:$X$4,0)),0)</f>
        <v>1</v>
      </c>
      <c r="AB59">
        <f>IFERROR(INDEX('Exercise list'!$E$5:$X$102,MATCH($C59,'Exercise list'!$C$5:$C$102,0),MATCH(AB$5,'Exercise list'!$E$4:$X$4,0)),0)</f>
        <v>0.6</v>
      </c>
      <c r="AC59">
        <f>IFERROR(INDEX('Exercise list'!$E$5:$X$102,MATCH($C59,'Exercise list'!$C$5:$C$102,0),MATCH(AC$5,'Exercise list'!$E$4:$X$4,0)),0)</f>
        <v>0</v>
      </c>
      <c r="AD59">
        <f>IFERROR(INDEX('Exercise list'!$E$5:$X$102,MATCH($C59,'Exercise list'!$C$5:$C$102,0),MATCH(AD$5,'Exercise list'!$E$4:$X$4,0)),0)</f>
        <v>0</v>
      </c>
      <c r="AE59">
        <f>IFERROR(INDEX('Exercise list'!$E$5:$X$102,MATCH($C59,'Exercise list'!$C$5:$C$102,0),MATCH(AE$5,'Exercise list'!$E$4:$X$4,0)),0)</f>
        <v>0</v>
      </c>
      <c r="AF59">
        <f>IFERROR(INDEX('Exercise list'!$E$5:$X$102,MATCH($C59,'Exercise list'!$C$5:$C$102,0),MATCH(AF$5,'Exercise list'!$E$4:$X$4,0)),0)</f>
        <v>0</v>
      </c>
      <c r="AG59">
        <f>IFERROR(INDEX('Exercise list'!$E$5:$X$102,MATCH($C59,'Exercise list'!$C$5:$C$102,0),MATCH(AG$5,'Exercise list'!$E$4:$X$4,0)),0)</f>
        <v>0</v>
      </c>
      <c r="AH59">
        <f>IFERROR(INDEX('Exercise list'!$E$5:$X$102,MATCH($C59,'Exercise list'!$C$5:$C$102,0),MATCH(AH$5,'Exercise list'!$E$4:$X$4,0)),0)</f>
        <v>0</v>
      </c>
      <c r="AI59">
        <f>IFERROR(INDEX('Exercise list'!$E$5:$X$102,MATCH($C59,'Exercise list'!$C$5:$C$102,0),MATCH(AI$5,'Exercise list'!$E$4:$X$4,0)),0)</f>
        <v>0</v>
      </c>
      <c r="AK59">
        <f>IF(OR($J59=1,COUNTIFS($A$5:$A58,"&gt;="&amp;$A59-1,$A$5:$A58,"&lt;="&amp;$A59,$B$5:$B58,$B59)&gt;0,MIN(1-'Exercise list'!E$2,IF($A59=$A58,AK58,1))-P59&lt;0),-1,MIN(1,IF($A59=$A58,AK58,1)-P59+$D$2))</f>
        <v>1</v>
      </c>
      <c r="AL59">
        <f>IF(OR($J59=1,COUNTIFS($A$5:$A58,"&gt;="&amp;$A59-1,$A$5:$A58,"&lt;="&amp;$A59,$B$5:$B58,$B59)&gt;0,MIN(1-'Exercise list'!F$2,IF($A59=$A58,AL58,1))-Q59&lt;0),-1,MIN(1,IF($A59=$A58,AL58,1)-Q59+$D$2))</f>
        <v>1</v>
      </c>
      <c r="AM59">
        <f>IF(OR($J59=1,COUNTIFS($A$5:$A58,"&gt;="&amp;$A59-1,$A$5:$A58,"&lt;="&amp;$A59,$B$5:$B58,$B59)&gt;0,MIN(1-'Exercise list'!G$2,IF($A59=$A58,AM58,1))-R59&lt;0),-1,MIN(1,IF($A59=$A58,AM58,1)-R59+$D$2))</f>
        <v>1</v>
      </c>
      <c r="AN59">
        <f>IF(OR($J59=1,COUNTIFS($A$5:$A58,"&gt;="&amp;$A59-1,$A$5:$A58,"&lt;="&amp;$A59,$B$5:$B58,$B59)&gt;0,MIN(1-'Exercise list'!H$2,IF($A59=$A58,AN58,1))-S59&lt;0),-1,MIN(1,IF($A59=$A58,AN58,1)-S59+$D$2))</f>
        <v>1</v>
      </c>
      <c r="AO59">
        <f>IF(OR($J59=1,COUNTIFS($A$5:$A58,"&gt;="&amp;$A59-1,$A$5:$A58,"&lt;="&amp;$A59,$B$5:$B58,$B59)&gt;0,MIN(1-'Exercise list'!I$2,IF($A59=$A58,AO58,1))-T59&lt;0),-1,MIN(1,IF($A59=$A58,AO58,1)-T59+$D$2))</f>
        <v>1</v>
      </c>
      <c r="AP59">
        <f>IF(OR($J59=1,COUNTIFS($A$5:$A58,"&gt;="&amp;$A59-1,$A$5:$A58,"&lt;="&amp;$A59,$B$5:$B58,$B59)&gt;0,MIN(1-'Exercise list'!J$2,IF($A59=$A58,AP58,1))-U59&lt;0),-1,MIN(1,IF($A59=$A58,AP58,1)-U59+$D$2))</f>
        <v>1</v>
      </c>
      <c r="AQ59">
        <f>IF(OR($J59=1,COUNTIFS($A$5:$A58,"&gt;="&amp;$A59-1,$A$5:$A58,"&lt;="&amp;$A59,$B$5:$B58,$B59)&gt;0,MIN(1-'Exercise list'!K$2,IF($A59=$A58,AQ58,1))-V59&lt;0),-1,MIN(1,IF($A59=$A58,AQ58,1)-V59+$D$2))</f>
        <v>1</v>
      </c>
      <c r="AR59">
        <f>IF(OR($J59=1,COUNTIFS($A$5:$A58,"&gt;="&amp;$A59-1,$A$5:$A58,"&lt;="&amp;$A59,$B$5:$B58,$B59)&gt;0,MIN(1-'Exercise list'!L$2,IF($A59=$A58,AR58,1))-W59&lt;0),-1,MIN(1,IF($A59=$A58,AR58,1)-W59+$D$2))</f>
        <v>1</v>
      </c>
      <c r="AS59">
        <f>IF(OR($J59=1,COUNTIFS($A$5:$A58,"&gt;="&amp;$A59-1,$A$5:$A58,"&lt;="&amp;$A59,$B$5:$B58,$B59)&gt;0,MIN(1-'Exercise list'!M$2,IF($A59=$A58,AS58,1))-X59&lt;0),-1,MIN(1,IF($A59=$A58,AS58,1)-X59+$D$2))</f>
        <v>1</v>
      </c>
      <c r="AT59">
        <f>IF(OR($J59=1,COUNTIFS($A$5:$A58,"&gt;="&amp;$A59-1,$A$5:$A58,"&lt;="&amp;$A59,$B$5:$B58,$B59)&gt;0,MIN(1-'Exercise list'!N$2,IF($A59=$A58,AT58,1))-Y59&lt;0),-1,MIN(1,IF($A59=$A58,AT58,1)-Y59+$D$2))</f>
        <v>1</v>
      </c>
      <c r="AU59">
        <f>IF(OR($J59=1,COUNTIFS($A$5:$A58,"&gt;="&amp;$A59-1,$A$5:$A58,"&lt;="&amp;$A59,$B$5:$B58,$B59)&gt;0,MIN(1-'Exercise list'!O$2,IF($A59=$A58,AU58,1))-Z59&lt;0),-1,MIN(1,IF($A59=$A58,AU58,1)-Z59+$D$2))</f>
        <v>1</v>
      </c>
      <c r="AV59">
        <f>IF(OR($J59=1,COUNTIFS($A$5:$A58,"&gt;="&amp;$A59-1,$A$5:$A58,"&lt;="&amp;$A59,$B$5:$B58,$B59)&gt;0,MIN(1-'Exercise list'!P$2,IF($A59=$A58,AV58,1))-AA59&lt;0),-1,MIN(1,IF($A59=$A58,AV58,1)-AA59+$D$2))</f>
        <v>1</v>
      </c>
      <c r="AW59">
        <f>IF(OR($J59=1,COUNTIFS($A$5:$A58,"&gt;="&amp;$A59-1,$A$5:$A58,"&lt;="&amp;$A59,$B$5:$B58,$B59)&gt;0,MIN(1-'Exercise list'!Q$2,IF($A59=$A58,AW58,1))-AB59&lt;0),-1,MIN(1,IF($A59=$A58,AW58,1)-AB59+$D$2))</f>
        <v>1</v>
      </c>
      <c r="AX59">
        <f>IF(OR($J59=1,COUNTIFS($A$5:$A58,"&gt;="&amp;$A59-1,$A$5:$A58,"&lt;="&amp;$A59,$B$5:$B58,$B59)&gt;0,MIN(1-'Exercise list'!R$2,IF($A59=$A58,AX58,1))-AC59&lt;0),-1,MIN(1,IF($A59=$A58,AX58,1)-AC59+$D$2))</f>
        <v>1</v>
      </c>
      <c r="AY59">
        <f>IF(OR($J59=1,COUNTIFS($A$5:$A58,"&gt;="&amp;$A59-1,$A$5:$A58,"&lt;="&amp;$A59,$B$5:$B58,$B59)&gt;0,MIN(1-'Exercise list'!S$2,IF($A59=$A58,AY58,1))-AD59&lt;0),-1,MIN(1,IF($A59=$A58,AY58,1)-AD59+$D$2))</f>
        <v>1</v>
      </c>
      <c r="AZ59">
        <f>IF(OR($J59=1,COUNTIFS($A$5:$A58,"&gt;="&amp;$A59-1,$A$5:$A58,"&lt;="&amp;$A59,$B$5:$B58,$B59)&gt;0,MIN(1-'Exercise list'!T$2,IF($A59=$A58,AZ58,1))-AE59&lt;0),-1,MIN(1,IF($A59=$A58,AZ58,1)-AE59+$D$2))</f>
        <v>1</v>
      </c>
      <c r="BA59">
        <f>IF(OR($J59=1,COUNTIFS($A$5:$A58,"&gt;="&amp;$A59-1,$A$5:$A58,"&lt;="&amp;$A59,$B$5:$B58,$B59)&gt;0,MIN(1-'Exercise list'!U$2,IF($A59=$A58,BA58,1))-AF59&lt;0),-1,MIN(1,IF($A59=$A58,BA58,1)-AF59+$D$2))</f>
        <v>1</v>
      </c>
      <c r="BB59">
        <f>IF(OR($J59=1,COUNTIFS($A$5:$A58,"&gt;="&amp;$A59-1,$A$5:$A58,"&lt;="&amp;$A59,$B$5:$B58,$B59)&gt;0,MIN(1-'Exercise list'!V$2,IF($A59=$A58,BB58,1))-AG59&lt;0),-1,MIN(1,IF($A59=$A58,BB58,1)-AG59+$D$2))</f>
        <v>1</v>
      </c>
      <c r="BC59">
        <f>IF(OR($J59=1,COUNTIFS($A$5:$A58,"&gt;="&amp;$A59-1,$A$5:$A58,"&lt;="&amp;$A59,$B$5:$B58,$B59)&gt;0,MIN(1-'Exercise list'!W$2,IF($A59=$A58,BC58,1))-AH59&lt;0),-1,MIN(1,IF($A59=$A58,BC58,1)-AH59+$D$2))</f>
        <v>1</v>
      </c>
      <c r="BD59">
        <f>IF(OR($J59=1,COUNTIFS($A$5:$A58,"&gt;="&amp;$A59-1,$A$5:$A58,"&lt;="&amp;$A59,$B$5:$B58,$B59)&gt;0,MIN(1-'Exercise list'!X$2,IF($A59=$A58,BD58,1))-AI59&lt;0),-1,MIN(1,IF($A59=$A58,BD58,1)-AI59+$D$2))</f>
        <v>1</v>
      </c>
      <c r="BF59" s="16">
        <f t="shared" si="24"/>
        <v>7.9618056804741155E-2</v>
      </c>
      <c r="BG59" s="16">
        <f t="shared" si="25"/>
        <v>0.15947101461028765</v>
      </c>
      <c r="BH59" s="16">
        <f t="shared" si="26"/>
        <v>0.14181896863293189</v>
      </c>
      <c r="BI59" s="16">
        <f t="shared" si="27"/>
        <v>0.1455125484968687</v>
      </c>
      <c r="BJ59" s="16">
        <f t="shared" si="28"/>
        <v>0.26889470936995652</v>
      </c>
      <c r="BK59" s="16">
        <f t="shared" si="29"/>
        <v>3.2616782126814389E-2</v>
      </c>
      <c r="BL59" s="16">
        <f t="shared" si="30"/>
        <v>5.5258360233124679E-2</v>
      </c>
      <c r="BM59" s="16">
        <f t="shared" si="31"/>
        <v>3.7780283194957652E-2</v>
      </c>
      <c r="BN59" s="16">
        <f t="shared" si="32"/>
        <v>0.12387329721946176</v>
      </c>
      <c r="BO59" s="16">
        <f t="shared" si="33"/>
        <v>7.6418847407514701E-2</v>
      </c>
      <c r="BP59" s="16">
        <f t="shared" si="34"/>
        <v>0.28334502966509917</v>
      </c>
      <c r="BQ59" s="16">
        <f t="shared" si="35"/>
        <v>7.6562473927254182E-2</v>
      </c>
      <c r="BR59" s="16">
        <f t="shared" si="36"/>
        <v>0.1741185089592083</v>
      </c>
      <c r="BS59" s="16">
        <f t="shared" si="37"/>
        <v>4.567682116433025E-2</v>
      </c>
      <c r="BT59" s="16">
        <f t="shared" si="38"/>
        <v>0.24776207639516498</v>
      </c>
      <c r="BU59" s="16">
        <f t="shared" si="39"/>
        <v>0.26895005500245384</v>
      </c>
      <c r="BV59" s="16">
        <f t="shared" si="40"/>
        <v>0.33069545201612882</v>
      </c>
      <c r="BW59" s="16">
        <f t="shared" si="41"/>
        <v>0.12538123889391112</v>
      </c>
      <c r="BX59" s="16">
        <f t="shared" si="42"/>
        <v>0.13051946188310581</v>
      </c>
      <c r="BY59" s="16">
        <f t="shared" si="43"/>
        <v>4.2274350308271653E-2</v>
      </c>
      <c r="CA59" s="16">
        <f t="shared" si="4"/>
        <v>0.13123737551463571</v>
      </c>
      <c r="CB59" s="16">
        <f t="shared" si="5"/>
        <v>5.138441770908922E-2</v>
      </c>
      <c r="CC59" s="16">
        <f t="shared" si="6"/>
        <v>0</v>
      </c>
      <c r="CD59" s="16">
        <f t="shared" si="7"/>
        <v>0</v>
      </c>
      <c r="CE59" s="16">
        <f t="shared" si="8"/>
        <v>0</v>
      </c>
      <c r="CF59" s="16">
        <f t="shared" si="9"/>
        <v>0.2836663663522509</v>
      </c>
      <c r="CG59" s="16">
        <f t="shared" si="10"/>
        <v>5.0169355926563755E-2</v>
      </c>
      <c r="CH59" s="16">
        <f t="shared" si="11"/>
        <v>6.7647432964730775E-2</v>
      </c>
      <c r="CI59" s="16">
        <f t="shared" si="12"/>
        <v>8.6982135099915106E-2</v>
      </c>
      <c r="CJ59" s="16">
        <f t="shared" si="13"/>
        <v>2.9008868752173733E-2</v>
      </c>
      <c r="CK59" s="16">
        <f t="shared" si="14"/>
        <v>0</v>
      </c>
      <c r="CL59" s="16">
        <f t="shared" si="15"/>
        <v>2.8865242232434252E-2</v>
      </c>
      <c r="CM59" s="16">
        <f t="shared" si="16"/>
        <v>3.6736923360168566E-2</v>
      </c>
      <c r="CN59" s="16">
        <f t="shared" si="17"/>
        <v>5.9750894995358184E-2</v>
      </c>
      <c r="CO59" s="16">
        <f t="shared" si="18"/>
        <v>0</v>
      </c>
      <c r="CP59" s="16">
        <f t="shared" si="19"/>
        <v>0</v>
      </c>
      <c r="CQ59" s="16">
        <f t="shared" si="20"/>
        <v>0</v>
      </c>
      <c r="CR59" s="16">
        <f t="shared" si="21"/>
        <v>0</v>
      </c>
      <c r="CS59" s="16">
        <f t="shared" si="22"/>
        <v>0</v>
      </c>
      <c r="CT59" s="16">
        <f t="shared" si="23"/>
        <v>6.3153365851416787E-2</v>
      </c>
    </row>
    <row r="60" spans="1:100" x14ac:dyDescent="0.25">
      <c r="A60" s="13">
        <v>45063</v>
      </c>
      <c r="B60" s="14">
        <v>12</v>
      </c>
      <c r="C60" s="15" t="s">
        <v>121</v>
      </c>
      <c r="D60" s="12">
        <f t="shared" si="45"/>
        <v>1</v>
      </c>
      <c r="E60" s="32">
        <f t="shared" si="1"/>
        <v>0.60544396567938452</v>
      </c>
      <c r="F60" s="63" cm="1">
        <f t="array" ref="F60">IF(B60="","",0.1+IFERROR(INDEX($F$6:$F59,SUMPRODUCT(MAX(ROW($C$6:$C59)*($C60=$C$6:$C59))-ROW($A$5)))*0.9^($A60-INDEX($A$6:A59,SUMPRODUCT(MAX(ROW($C$6:$C59)*($C60=$C$6:$C59))-ROW($A$5)))),0))</f>
        <v>0.12541865828329002</v>
      </c>
      <c r="G60" s="64">
        <f>INDEX('Exercise list'!$Y$5:$Y$102,MATCH(C60,'Exercise list'!$C$5:$C$102,0))</f>
        <v>1</v>
      </c>
      <c r="H60" s="115">
        <f t="shared" si="46"/>
        <v>7.8380131930270686E-2</v>
      </c>
      <c r="I60" s="6">
        <f t="shared" si="47"/>
        <v>4</v>
      </c>
      <c r="J60" s="6">
        <v>0</v>
      </c>
      <c r="K60" s="12"/>
      <c r="L60" s="74" t="str" cm="1">
        <f t="array" ref="L60">IF(K60="","",INDEX('Exercise list'!$C$5:$C$102,K60))</f>
        <v/>
      </c>
      <c r="M60" s="6"/>
      <c r="N60" s="75" t="str" cm="1">
        <f t="array" ref="N60">IF(M60="","",INDEX('Exercise list'!$C$5:$C$102,M60))</f>
        <v/>
      </c>
      <c r="P60">
        <f>IFERROR(INDEX('Exercise list'!$E$5:$X$102,MATCH($C60,'Exercise list'!$C$5:$C$102,0),MATCH(P$5,'Exercise list'!$E$4:$X$4,0)),0)</f>
        <v>0</v>
      </c>
      <c r="Q60">
        <f>IFERROR(INDEX('Exercise list'!$E$5:$X$102,MATCH($C60,'Exercise list'!$C$5:$C$102,0),MATCH(Q$5,'Exercise list'!$E$4:$X$4,0)),0)</f>
        <v>0</v>
      </c>
      <c r="R60">
        <f>IFERROR(INDEX('Exercise list'!$E$5:$X$102,MATCH($C60,'Exercise list'!$C$5:$C$102,0),MATCH(R$5,'Exercise list'!$E$4:$X$4,0)),0)</f>
        <v>0</v>
      </c>
      <c r="S60">
        <f>IFERROR(INDEX('Exercise list'!$E$5:$X$102,MATCH($C60,'Exercise list'!$C$5:$C$102,0),MATCH(S$5,'Exercise list'!$E$4:$X$4,0)),0)</f>
        <v>0</v>
      </c>
      <c r="T60">
        <f>IFERROR(INDEX('Exercise list'!$E$5:$X$102,MATCH($C60,'Exercise list'!$C$5:$C$102,0),MATCH(T$5,'Exercise list'!$E$4:$X$4,0)),0)</f>
        <v>0</v>
      </c>
      <c r="U60">
        <f>IFERROR(INDEX('Exercise list'!$E$5:$X$102,MATCH($C60,'Exercise list'!$C$5:$C$102,0),MATCH(U$5,'Exercise list'!$E$4:$X$4,0)),0)</f>
        <v>0</v>
      </c>
      <c r="V60">
        <f>IFERROR(INDEX('Exercise list'!$E$5:$X$102,MATCH($C60,'Exercise list'!$C$5:$C$102,0),MATCH(V$5,'Exercise list'!$E$4:$X$4,0)),0)</f>
        <v>0</v>
      </c>
      <c r="W60">
        <f>IFERROR(INDEX('Exercise list'!$E$5:$X$102,MATCH($C60,'Exercise list'!$C$5:$C$102,0),MATCH(W$5,'Exercise list'!$E$4:$X$4,0)),0)</f>
        <v>0</v>
      </c>
      <c r="X60">
        <f>IFERROR(INDEX('Exercise list'!$E$5:$X$102,MATCH($C60,'Exercise list'!$C$5:$C$102,0),MATCH(X$5,'Exercise list'!$E$4:$X$4,0)),0)</f>
        <v>0</v>
      </c>
      <c r="Y60">
        <f>IFERROR(INDEX('Exercise list'!$E$5:$X$102,MATCH($C60,'Exercise list'!$C$5:$C$102,0),MATCH(Y$5,'Exercise list'!$E$4:$X$4,0)),0)</f>
        <v>0</v>
      </c>
      <c r="Z60">
        <f>IFERROR(INDEX('Exercise list'!$E$5:$X$102,MATCH($C60,'Exercise list'!$C$5:$C$102,0),MATCH(Z$5,'Exercise list'!$E$4:$X$4,0)),0)</f>
        <v>0</v>
      </c>
      <c r="AA60">
        <f>IFERROR(INDEX('Exercise list'!$E$5:$X$102,MATCH($C60,'Exercise list'!$C$5:$C$102,0),MATCH(AA$5,'Exercise list'!$E$4:$X$4,0)),0)</f>
        <v>0</v>
      </c>
      <c r="AB60">
        <f>IFERROR(INDEX('Exercise list'!$E$5:$X$102,MATCH($C60,'Exercise list'!$C$5:$C$102,0),MATCH(AB$5,'Exercise list'!$E$4:$X$4,0)),0)</f>
        <v>0</v>
      </c>
      <c r="AC60">
        <f>IFERROR(INDEX('Exercise list'!$E$5:$X$102,MATCH($C60,'Exercise list'!$C$5:$C$102,0),MATCH(AC$5,'Exercise list'!$E$4:$X$4,0)),0)</f>
        <v>0</v>
      </c>
      <c r="AD60">
        <f>IFERROR(INDEX('Exercise list'!$E$5:$X$102,MATCH($C60,'Exercise list'!$C$5:$C$102,0),MATCH(AD$5,'Exercise list'!$E$4:$X$4,0)),0)</f>
        <v>0</v>
      </c>
      <c r="AE60">
        <f>IFERROR(INDEX('Exercise list'!$E$5:$X$102,MATCH($C60,'Exercise list'!$C$5:$C$102,0),MATCH(AE$5,'Exercise list'!$E$4:$X$4,0)),0)</f>
        <v>1</v>
      </c>
      <c r="AF60">
        <f>IFERROR(INDEX('Exercise list'!$E$5:$X$102,MATCH($C60,'Exercise list'!$C$5:$C$102,0),MATCH(AF$5,'Exercise list'!$E$4:$X$4,0)),0)</f>
        <v>0.5</v>
      </c>
      <c r="AG60">
        <f>IFERROR(INDEX('Exercise list'!$E$5:$X$102,MATCH($C60,'Exercise list'!$C$5:$C$102,0),MATCH(AG$5,'Exercise list'!$E$4:$X$4,0)),0)</f>
        <v>0</v>
      </c>
      <c r="AH60">
        <f>IFERROR(INDEX('Exercise list'!$E$5:$X$102,MATCH($C60,'Exercise list'!$C$5:$C$102,0),MATCH(AH$5,'Exercise list'!$E$4:$X$4,0)),0)</f>
        <v>0</v>
      </c>
      <c r="AI60">
        <f>IFERROR(INDEX('Exercise list'!$E$5:$X$102,MATCH($C60,'Exercise list'!$C$5:$C$102,0),MATCH(AI$5,'Exercise list'!$E$4:$X$4,0)),0)</f>
        <v>0</v>
      </c>
      <c r="AK60">
        <f>IF(OR($J60=1,COUNTIFS($A$5:$A59,"&gt;="&amp;$A60-1,$A$5:$A59,"&lt;="&amp;$A60,$B$5:$B59,$B60)&gt;0,MIN(1-'Exercise list'!E$2,IF($A60=$A59,AK59,1))-P60&lt;0),-1,MIN(1,IF($A60=$A59,AK59,1)-P60+$D$2))</f>
        <v>1</v>
      </c>
      <c r="AL60">
        <f>IF(OR($J60=1,COUNTIFS($A$5:$A59,"&gt;="&amp;$A60-1,$A$5:$A59,"&lt;="&amp;$A60,$B$5:$B59,$B60)&gt;0,MIN(1-'Exercise list'!F$2,IF($A60=$A59,AL59,1))-Q60&lt;0),-1,MIN(1,IF($A60=$A59,AL59,1)-Q60+$D$2))</f>
        <v>1</v>
      </c>
      <c r="AM60">
        <f>IF(OR($J60=1,COUNTIFS($A$5:$A59,"&gt;="&amp;$A60-1,$A$5:$A59,"&lt;="&amp;$A60,$B$5:$B59,$B60)&gt;0,MIN(1-'Exercise list'!G$2,IF($A60=$A59,AM59,1))-R60&lt;0),-1,MIN(1,IF($A60=$A59,AM59,1)-R60+$D$2))</f>
        <v>1</v>
      </c>
      <c r="AN60">
        <f>IF(OR($J60=1,COUNTIFS($A$5:$A59,"&gt;="&amp;$A60-1,$A$5:$A59,"&lt;="&amp;$A60,$B$5:$B59,$B60)&gt;0,MIN(1-'Exercise list'!H$2,IF($A60=$A59,AN59,1))-S60&lt;0),-1,MIN(1,IF($A60=$A59,AN59,1)-S60+$D$2))</f>
        <v>1</v>
      </c>
      <c r="AO60">
        <f>IF(OR($J60=1,COUNTIFS($A$5:$A59,"&gt;="&amp;$A60-1,$A$5:$A59,"&lt;="&amp;$A60,$B$5:$B59,$B60)&gt;0,MIN(1-'Exercise list'!I$2,IF($A60=$A59,AO59,1))-T60&lt;0),-1,MIN(1,IF($A60=$A59,AO59,1)-T60+$D$2))</f>
        <v>1</v>
      </c>
      <c r="AP60">
        <f>IF(OR($J60=1,COUNTIFS($A$5:$A59,"&gt;="&amp;$A60-1,$A$5:$A59,"&lt;="&amp;$A60,$B$5:$B59,$B60)&gt;0,MIN(1-'Exercise list'!J$2,IF($A60=$A59,AP59,1))-U60&lt;0),-1,MIN(1,IF($A60=$A59,AP59,1)-U60+$D$2))</f>
        <v>1</v>
      </c>
      <c r="AQ60">
        <f>IF(OR($J60=1,COUNTIFS($A$5:$A59,"&gt;="&amp;$A60-1,$A$5:$A59,"&lt;="&amp;$A60,$B$5:$B59,$B60)&gt;0,MIN(1-'Exercise list'!K$2,IF($A60=$A59,AQ59,1))-V60&lt;0),-1,MIN(1,IF($A60=$A59,AQ59,1)-V60+$D$2))</f>
        <v>1</v>
      </c>
      <c r="AR60">
        <f>IF(OR($J60=1,COUNTIFS($A$5:$A59,"&gt;="&amp;$A60-1,$A$5:$A59,"&lt;="&amp;$A60,$B$5:$B59,$B60)&gt;0,MIN(1-'Exercise list'!L$2,IF($A60=$A59,AR59,1))-W60&lt;0),-1,MIN(1,IF($A60=$A59,AR59,1)-W60+$D$2))</f>
        <v>1</v>
      </c>
      <c r="AS60">
        <f>IF(OR($J60=1,COUNTIFS($A$5:$A59,"&gt;="&amp;$A60-1,$A$5:$A59,"&lt;="&amp;$A60,$B$5:$B59,$B60)&gt;0,MIN(1-'Exercise list'!M$2,IF($A60=$A59,AS59,1))-X60&lt;0),-1,MIN(1,IF($A60=$A59,AS59,1)-X60+$D$2))</f>
        <v>1</v>
      </c>
      <c r="AT60">
        <f>IF(OR($J60=1,COUNTIFS($A$5:$A59,"&gt;="&amp;$A60-1,$A$5:$A59,"&lt;="&amp;$A60,$B$5:$B59,$B60)&gt;0,MIN(1-'Exercise list'!N$2,IF($A60=$A59,AT59,1))-Y60&lt;0),-1,MIN(1,IF($A60=$A59,AT59,1)-Y60+$D$2))</f>
        <v>1</v>
      </c>
      <c r="AU60">
        <f>IF(OR($J60=1,COUNTIFS($A$5:$A59,"&gt;="&amp;$A60-1,$A$5:$A59,"&lt;="&amp;$A60,$B$5:$B59,$B60)&gt;0,MIN(1-'Exercise list'!O$2,IF($A60=$A59,AU59,1))-Z60&lt;0),-1,MIN(1,IF($A60=$A59,AU59,1)-Z60+$D$2))</f>
        <v>1</v>
      </c>
      <c r="AV60">
        <f>IF(OR($J60=1,COUNTIFS($A$5:$A59,"&gt;="&amp;$A60-1,$A$5:$A59,"&lt;="&amp;$A60,$B$5:$B59,$B60)&gt;0,MIN(1-'Exercise list'!P$2,IF($A60=$A59,AV59,1))-AA60&lt;0),-1,MIN(1,IF($A60=$A59,AV59,1)-AA60+$D$2))</f>
        <v>1</v>
      </c>
      <c r="AW60">
        <f>IF(OR($J60=1,COUNTIFS($A$5:$A59,"&gt;="&amp;$A60-1,$A$5:$A59,"&lt;="&amp;$A60,$B$5:$B59,$B60)&gt;0,MIN(1-'Exercise list'!Q$2,IF($A60=$A59,AW59,1))-AB60&lt;0),-1,MIN(1,IF($A60=$A59,AW59,1)-AB60+$D$2))</f>
        <v>1</v>
      </c>
      <c r="AX60">
        <f>IF(OR($J60=1,COUNTIFS($A$5:$A59,"&gt;="&amp;$A60-1,$A$5:$A59,"&lt;="&amp;$A60,$B$5:$B59,$B60)&gt;0,MIN(1-'Exercise list'!R$2,IF($A60=$A59,AX59,1))-AC60&lt;0),-1,MIN(1,IF($A60=$A59,AX59,1)-AC60+$D$2))</f>
        <v>1</v>
      </c>
      <c r="AY60">
        <f>IF(OR($J60=1,COUNTIFS($A$5:$A59,"&gt;="&amp;$A60-1,$A$5:$A59,"&lt;="&amp;$A60,$B$5:$B59,$B60)&gt;0,MIN(1-'Exercise list'!S$2,IF($A60=$A59,AY59,1))-AD60&lt;0),-1,MIN(1,IF($A60=$A59,AY59,1)-AD60+$D$2))</f>
        <v>1</v>
      </c>
      <c r="AZ60">
        <f>IF(OR($J60=1,COUNTIFS($A$5:$A59,"&gt;="&amp;$A60-1,$A$5:$A59,"&lt;="&amp;$A60,$B$5:$B59,$B60)&gt;0,MIN(1-'Exercise list'!T$2,IF($A60=$A59,AZ59,1))-AE60&lt;0),-1,MIN(1,IF($A60=$A59,AZ59,1)-AE60+$D$2))</f>
        <v>1</v>
      </c>
      <c r="BA60">
        <f>IF(OR($J60=1,COUNTIFS($A$5:$A59,"&gt;="&amp;$A60-1,$A$5:$A59,"&lt;="&amp;$A60,$B$5:$B59,$B60)&gt;0,MIN(1-'Exercise list'!U$2,IF($A60=$A59,BA59,1))-AF60&lt;0),-1,MIN(1,IF($A60=$A59,BA59,1)-AF60+$D$2))</f>
        <v>1</v>
      </c>
      <c r="BB60">
        <f>IF(OR($J60=1,COUNTIFS($A$5:$A59,"&gt;="&amp;$A60-1,$A$5:$A59,"&lt;="&amp;$A60,$B$5:$B59,$B60)&gt;0,MIN(1-'Exercise list'!V$2,IF($A60=$A59,BB59,1))-AG60&lt;0),-1,MIN(1,IF($A60=$A59,BB59,1)-AG60+$D$2))</f>
        <v>1</v>
      </c>
      <c r="BC60">
        <f>IF(OR($J60=1,COUNTIFS($A$5:$A59,"&gt;="&amp;$A60-1,$A$5:$A59,"&lt;="&amp;$A60,$B$5:$B59,$B60)&gt;0,MIN(1-'Exercise list'!W$2,IF($A60=$A59,BC59,1))-AH60&lt;0),-1,MIN(1,IF($A60=$A59,BC59,1)-AH60+$D$2))</f>
        <v>1</v>
      </c>
      <c r="BD60">
        <f>IF(OR($J60=1,COUNTIFS($A$5:$A59,"&gt;="&amp;$A60-1,$A$5:$A59,"&lt;="&amp;$A60,$B$5:$B59,$B60)&gt;0,MIN(1-'Exercise list'!X$2,IF($A60=$A59,BD59,1))-AI60&lt;0),-1,MIN(1,IF($A60=$A59,BD59,1)-AI60+$D$2))</f>
        <v>1</v>
      </c>
      <c r="BF60" s="16">
        <f t="shared" si="24"/>
        <v>7.56371539645041E-2</v>
      </c>
      <c r="BG60" s="16">
        <f t="shared" si="25"/>
        <v>0.15149746387977325</v>
      </c>
      <c r="BH60" s="16">
        <f t="shared" si="26"/>
        <v>0.1347280202012853</v>
      </c>
      <c r="BI60" s="16">
        <f t="shared" si="27"/>
        <v>0.13823692107202526</v>
      </c>
      <c r="BJ60" s="16">
        <f t="shared" si="28"/>
        <v>0.25544997390145868</v>
      </c>
      <c r="BK60" s="16">
        <f t="shared" si="29"/>
        <v>3.098594302047367E-2</v>
      </c>
      <c r="BL60" s="16">
        <f t="shared" si="30"/>
        <v>5.2495442221468444E-2</v>
      </c>
      <c r="BM60" s="16">
        <f t="shared" si="31"/>
        <v>3.5891269035209769E-2</v>
      </c>
      <c r="BN60" s="16">
        <f t="shared" si="32"/>
        <v>0.11767963235848866</v>
      </c>
      <c r="BO60" s="16">
        <f t="shared" si="33"/>
        <v>7.2597905037138963E-2</v>
      </c>
      <c r="BP60" s="16">
        <f t="shared" si="34"/>
        <v>0.26917777818184419</v>
      </c>
      <c r="BQ60" s="16">
        <f t="shared" si="35"/>
        <v>7.2734350230891476E-2</v>
      </c>
      <c r="BR60" s="16">
        <f t="shared" si="36"/>
        <v>0.16541258351124788</v>
      </c>
      <c r="BS60" s="16">
        <f t="shared" si="37"/>
        <v>4.3392980106113734E-2</v>
      </c>
      <c r="BT60" s="16">
        <f t="shared" si="38"/>
        <v>0.23537397257540671</v>
      </c>
      <c r="BU60" s="16">
        <f t="shared" si="39"/>
        <v>0.30550255225233114</v>
      </c>
      <c r="BV60" s="16">
        <f t="shared" si="40"/>
        <v>0.33916067941532241</v>
      </c>
      <c r="BW60" s="16">
        <f t="shared" si="41"/>
        <v>0.11911217694921555</v>
      </c>
      <c r="BX60" s="16">
        <f t="shared" si="42"/>
        <v>0.12399348878895051</v>
      </c>
      <c r="BY60" s="16">
        <f t="shared" si="43"/>
        <v>4.0160632792858066E-2</v>
      </c>
      <c r="CA60" s="16">
        <f t="shared" si="4"/>
        <v>0.13023106229445944</v>
      </c>
      <c r="CB60" s="16">
        <f t="shared" si="5"/>
        <v>5.4370752379190285E-2</v>
      </c>
      <c r="CC60" s="16">
        <f t="shared" si="6"/>
        <v>0</v>
      </c>
      <c r="CD60" s="16">
        <f t="shared" si="7"/>
        <v>0</v>
      </c>
      <c r="CE60" s="16">
        <f t="shared" si="8"/>
        <v>0</v>
      </c>
      <c r="CF60" s="16">
        <f t="shared" si="9"/>
        <v>0.27781638136797165</v>
      </c>
      <c r="CG60" s="16">
        <f t="shared" si="10"/>
        <v>5.0438665908013325E-2</v>
      </c>
      <c r="CH60" s="16">
        <f t="shared" si="11"/>
        <v>6.7042839094272E-2</v>
      </c>
      <c r="CI60" s="16">
        <f t="shared" si="12"/>
        <v>8.8188583900474876E-2</v>
      </c>
      <c r="CJ60" s="16">
        <f t="shared" si="13"/>
        <v>3.0336203092342806E-2</v>
      </c>
      <c r="CK60" s="16">
        <f t="shared" si="14"/>
        <v>0</v>
      </c>
      <c r="CL60" s="16">
        <f t="shared" si="15"/>
        <v>3.0199757898590293E-2</v>
      </c>
      <c r="CM60" s="16">
        <f t="shared" si="16"/>
        <v>4.0455632747715659E-2</v>
      </c>
      <c r="CN60" s="16">
        <f t="shared" si="17"/>
        <v>5.9541128023368035E-2</v>
      </c>
      <c r="CO60" s="16">
        <f t="shared" si="18"/>
        <v>0</v>
      </c>
      <c r="CP60" s="16">
        <f t="shared" si="19"/>
        <v>0</v>
      </c>
      <c r="CQ60" s="16">
        <f t="shared" si="20"/>
        <v>0</v>
      </c>
      <c r="CR60" s="16">
        <f t="shared" si="21"/>
        <v>0</v>
      </c>
      <c r="CS60" s="16">
        <f t="shared" si="22"/>
        <v>0</v>
      </c>
      <c r="CT60" s="16">
        <f t="shared" si="23"/>
        <v>6.2773475336623696E-2</v>
      </c>
    </row>
    <row r="61" spans="1:100" x14ac:dyDescent="0.25">
      <c r="A61" s="20">
        <v>45063</v>
      </c>
      <c r="B61" s="21">
        <v>2</v>
      </c>
      <c r="C61" s="22" t="s">
        <v>27</v>
      </c>
      <c r="D61" s="17">
        <f t="shared" si="45"/>
        <v>1</v>
      </c>
      <c r="E61" s="33">
        <f t="shared" si="1"/>
        <v>1.931282796651218</v>
      </c>
      <c r="F61" s="65" cm="1">
        <f t="array" ref="F61">IF(B61="","",0.1+IFERROR(INDEX($F$6:$F60,SUMPRODUCT(MAX(ROW($C$6:$C60)*($C61=$C$6:$C60))-ROW($A$5)))*0.9^($A61-INDEX($A$6:A60,SUMPRODUCT(MAX(ROW($C$6:$C60)*($C61=$C$6:$C60))-ROW($A$5)))),0))</f>
        <v>0.11667718169966659</v>
      </c>
      <c r="G61" s="25">
        <f>INDEX('Exercise list'!$Y$5:$Y$102,MATCH(C61,'Exercise list'!$C$5:$C$102,0))</f>
        <v>3</v>
      </c>
      <c r="H61" s="116">
        <f t="shared" si="46"/>
        <v>7.8380131930270686E-2</v>
      </c>
      <c r="I61" s="18">
        <f t="shared" si="47"/>
        <v>5</v>
      </c>
      <c r="J61" s="18">
        <v>0</v>
      </c>
      <c r="K61" s="17"/>
      <c r="L61" s="51" t="str" cm="1">
        <f t="array" ref="L61">IF(K61="","",INDEX('Exercise list'!$C$5:$C$102,K61))</f>
        <v/>
      </c>
      <c r="M61" s="18"/>
      <c r="N61" s="76" t="str" cm="1">
        <f t="array" ref="N61">IF(M61="","",INDEX('Exercise list'!$C$5:$C$102,M61))</f>
        <v/>
      </c>
      <c r="O61" s="19"/>
      <c r="P61" s="19">
        <f>IFERROR(INDEX('Exercise list'!$E$5:$X$102,MATCH($C61,'Exercise list'!$C$5:$C$102,0),MATCH(P$5,'Exercise list'!$E$4:$X$4,0)),0)</f>
        <v>0</v>
      </c>
      <c r="Q61" s="19">
        <f>IFERROR(INDEX('Exercise list'!$E$5:$X$102,MATCH($C61,'Exercise list'!$C$5:$C$102,0),MATCH(Q$5,'Exercise list'!$E$4:$X$4,0)),0)</f>
        <v>0</v>
      </c>
      <c r="R61" s="19">
        <f>IFERROR(INDEX('Exercise list'!$E$5:$X$102,MATCH($C61,'Exercise list'!$C$5:$C$102,0),MATCH(R$5,'Exercise list'!$E$4:$X$4,0)),0)</f>
        <v>0</v>
      </c>
      <c r="S61" s="19">
        <f>IFERROR(INDEX('Exercise list'!$E$5:$X$102,MATCH($C61,'Exercise list'!$C$5:$C$102,0),MATCH(S$5,'Exercise list'!$E$4:$X$4,0)),0)</f>
        <v>0</v>
      </c>
      <c r="T61" s="19">
        <f>IFERROR(INDEX('Exercise list'!$E$5:$X$102,MATCH($C61,'Exercise list'!$C$5:$C$102,0),MATCH(T$5,'Exercise list'!$E$4:$X$4,0)),0)</f>
        <v>0</v>
      </c>
      <c r="U61" s="19">
        <f>IFERROR(INDEX('Exercise list'!$E$5:$X$102,MATCH($C61,'Exercise list'!$C$5:$C$102,0),MATCH(U$5,'Exercise list'!$E$4:$X$4,0)),0)</f>
        <v>0</v>
      </c>
      <c r="V61" s="19">
        <f>IFERROR(INDEX('Exercise list'!$E$5:$X$102,MATCH($C61,'Exercise list'!$C$5:$C$102,0),MATCH(V$5,'Exercise list'!$E$4:$X$4,0)),0)</f>
        <v>0</v>
      </c>
      <c r="W61" s="19">
        <f>IFERROR(INDEX('Exercise list'!$E$5:$X$102,MATCH($C61,'Exercise list'!$C$5:$C$102,0),MATCH(W$5,'Exercise list'!$E$4:$X$4,0)),0)</f>
        <v>0</v>
      </c>
      <c r="X61" s="19">
        <f>IFERROR(INDEX('Exercise list'!$E$5:$X$102,MATCH($C61,'Exercise list'!$C$5:$C$102,0),MATCH(X$5,'Exercise list'!$E$4:$X$4,0)),0)</f>
        <v>0</v>
      </c>
      <c r="Y61" s="19">
        <f>IFERROR(INDEX('Exercise list'!$E$5:$X$102,MATCH($C61,'Exercise list'!$C$5:$C$102,0),MATCH(Y$5,'Exercise list'!$E$4:$X$4,0)),0)</f>
        <v>0</v>
      </c>
      <c r="Z61" s="19">
        <f>IFERROR(INDEX('Exercise list'!$E$5:$X$102,MATCH($C61,'Exercise list'!$C$5:$C$102,0),MATCH(Z$5,'Exercise list'!$E$4:$X$4,0)),0)</f>
        <v>0</v>
      </c>
      <c r="AA61" s="19">
        <f>IFERROR(INDEX('Exercise list'!$E$5:$X$102,MATCH($C61,'Exercise list'!$C$5:$C$102,0),MATCH(AA$5,'Exercise list'!$E$4:$X$4,0)),0)</f>
        <v>0</v>
      </c>
      <c r="AB61" s="19">
        <f>IFERROR(INDEX('Exercise list'!$E$5:$X$102,MATCH($C61,'Exercise list'!$C$5:$C$102,0),MATCH(AB$5,'Exercise list'!$E$4:$X$4,0)),0)</f>
        <v>0</v>
      </c>
      <c r="AC61" s="19">
        <f>IFERROR(INDEX('Exercise list'!$E$5:$X$102,MATCH($C61,'Exercise list'!$C$5:$C$102,0),MATCH(AC$5,'Exercise list'!$E$4:$X$4,0)),0)</f>
        <v>0</v>
      </c>
      <c r="AD61" s="19">
        <f>IFERROR(INDEX('Exercise list'!$E$5:$X$102,MATCH($C61,'Exercise list'!$C$5:$C$102,0),MATCH(AD$5,'Exercise list'!$E$4:$X$4,0)),0)</f>
        <v>1</v>
      </c>
      <c r="AE61" s="19">
        <f>IFERROR(INDEX('Exercise list'!$E$5:$X$102,MATCH($C61,'Exercise list'!$C$5:$C$102,0),MATCH(AE$5,'Exercise list'!$E$4:$X$4,0)),0)</f>
        <v>0.7</v>
      </c>
      <c r="AF61" s="19">
        <f>IFERROR(INDEX('Exercise list'!$E$5:$X$102,MATCH($C61,'Exercise list'!$C$5:$C$102,0),MATCH(AF$5,'Exercise list'!$E$4:$X$4,0)),0)</f>
        <v>0.7</v>
      </c>
      <c r="AG61" s="19">
        <f>IFERROR(INDEX('Exercise list'!$E$5:$X$102,MATCH($C61,'Exercise list'!$C$5:$C$102,0),MATCH(AG$5,'Exercise list'!$E$4:$X$4,0)),0)</f>
        <v>1</v>
      </c>
      <c r="AH61" s="19">
        <f>IFERROR(INDEX('Exercise list'!$E$5:$X$102,MATCH($C61,'Exercise list'!$C$5:$C$102,0),MATCH(AH$5,'Exercise list'!$E$4:$X$4,0)),0)</f>
        <v>0</v>
      </c>
      <c r="AI61" s="19">
        <f>IFERROR(INDEX('Exercise list'!$E$5:$X$102,MATCH($C61,'Exercise list'!$C$5:$C$102,0),MATCH(AI$5,'Exercise list'!$E$4:$X$4,0)),0)</f>
        <v>0</v>
      </c>
      <c r="AJ61" s="19"/>
      <c r="AK61" s="19">
        <f>IF(OR($J61=1,COUNTIFS($A$5:$A60,"&gt;="&amp;$A61-1,$A$5:$A60,"&lt;="&amp;$A61,$B$5:$B60,$B61)&gt;0,MIN(1-'Exercise list'!E$2,IF($A61=$A60,AK60,1))-P61&lt;0),-1,MIN(1,IF($A61=$A60,AK60,1)-P61+$D$2))</f>
        <v>1</v>
      </c>
      <c r="AL61" s="19">
        <f>IF(OR($J61=1,COUNTIFS($A$5:$A60,"&gt;="&amp;$A61-1,$A$5:$A60,"&lt;="&amp;$A61,$B$5:$B60,$B61)&gt;0,MIN(1-'Exercise list'!F$2,IF($A61=$A60,AL60,1))-Q61&lt;0),-1,MIN(1,IF($A61=$A60,AL60,1)-Q61+$D$2))</f>
        <v>1</v>
      </c>
      <c r="AM61" s="19">
        <f>IF(OR($J61=1,COUNTIFS($A$5:$A60,"&gt;="&amp;$A61-1,$A$5:$A60,"&lt;="&amp;$A61,$B$5:$B60,$B61)&gt;0,MIN(1-'Exercise list'!G$2,IF($A61=$A60,AM60,1))-R61&lt;0),-1,MIN(1,IF($A61=$A60,AM60,1)-R61+$D$2))</f>
        <v>1</v>
      </c>
      <c r="AN61" s="19">
        <f>IF(OR($J61=1,COUNTIFS($A$5:$A60,"&gt;="&amp;$A61-1,$A$5:$A60,"&lt;="&amp;$A61,$B$5:$B60,$B61)&gt;0,MIN(1-'Exercise list'!H$2,IF($A61=$A60,AN60,1))-S61&lt;0),-1,MIN(1,IF($A61=$A60,AN60,1)-S61+$D$2))</f>
        <v>1</v>
      </c>
      <c r="AO61" s="19">
        <f>IF(OR($J61=1,COUNTIFS($A$5:$A60,"&gt;="&amp;$A61-1,$A$5:$A60,"&lt;="&amp;$A61,$B$5:$B60,$B61)&gt;0,MIN(1-'Exercise list'!I$2,IF($A61=$A60,AO60,1))-T61&lt;0),-1,MIN(1,IF($A61=$A60,AO60,1)-T61+$D$2))</f>
        <v>1</v>
      </c>
      <c r="AP61" s="19">
        <f>IF(OR($J61=1,COUNTIFS($A$5:$A60,"&gt;="&amp;$A61-1,$A$5:$A60,"&lt;="&amp;$A61,$B$5:$B60,$B61)&gt;0,MIN(1-'Exercise list'!J$2,IF($A61=$A60,AP60,1))-U61&lt;0),-1,MIN(1,IF($A61=$A60,AP60,1)-U61+$D$2))</f>
        <v>1</v>
      </c>
      <c r="AQ61" s="19">
        <f>IF(OR($J61=1,COUNTIFS($A$5:$A60,"&gt;="&amp;$A61-1,$A$5:$A60,"&lt;="&amp;$A61,$B$5:$B60,$B61)&gt;0,MIN(1-'Exercise list'!K$2,IF($A61=$A60,AQ60,1))-V61&lt;0),-1,MIN(1,IF($A61=$A60,AQ60,1)-V61+$D$2))</f>
        <v>1</v>
      </c>
      <c r="AR61" s="19">
        <f>IF(OR($J61=1,COUNTIFS($A$5:$A60,"&gt;="&amp;$A61-1,$A$5:$A60,"&lt;="&amp;$A61,$B$5:$B60,$B61)&gt;0,MIN(1-'Exercise list'!L$2,IF($A61=$A60,AR60,1))-W61&lt;0),-1,MIN(1,IF($A61=$A60,AR60,1)-W61+$D$2))</f>
        <v>1</v>
      </c>
      <c r="AS61" s="19">
        <f>IF(OR($J61=1,COUNTIFS($A$5:$A60,"&gt;="&amp;$A61-1,$A$5:$A60,"&lt;="&amp;$A61,$B$5:$B60,$B61)&gt;0,MIN(1-'Exercise list'!M$2,IF($A61=$A60,AS60,1))-X61&lt;0),-1,MIN(1,IF($A61=$A60,AS60,1)-X61+$D$2))</f>
        <v>1</v>
      </c>
      <c r="AT61" s="19">
        <f>IF(OR($J61=1,COUNTIFS($A$5:$A60,"&gt;="&amp;$A61-1,$A$5:$A60,"&lt;="&amp;$A61,$B$5:$B60,$B61)&gt;0,MIN(1-'Exercise list'!N$2,IF($A61=$A60,AT60,1))-Y61&lt;0),-1,MIN(1,IF($A61=$A60,AT60,1)-Y61+$D$2))</f>
        <v>1</v>
      </c>
      <c r="AU61" s="19">
        <f>IF(OR($J61=1,COUNTIFS($A$5:$A60,"&gt;="&amp;$A61-1,$A$5:$A60,"&lt;="&amp;$A61,$B$5:$B60,$B61)&gt;0,MIN(1-'Exercise list'!O$2,IF($A61=$A60,AU60,1))-Z61&lt;0),-1,MIN(1,IF($A61=$A60,AU60,1)-Z61+$D$2))</f>
        <v>1</v>
      </c>
      <c r="AV61" s="19">
        <f>IF(OR($J61=1,COUNTIFS($A$5:$A60,"&gt;="&amp;$A61-1,$A$5:$A60,"&lt;="&amp;$A61,$B$5:$B60,$B61)&gt;0,MIN(1-'Exercise list'!P$2,IF($A61=$A60,AV60,1))-AA61&lt;0),-1,MIN(1,IF($A61=$A60,AV60,1)-AA61+$D$2))</f>
        <v>1</v>
      </c>
      <c r="AW61" s="19">
        <f>IF(OR($J61=1,COUNTIFS($A$5:$A60,"&gt;="&amp;$A61-1,$A$5:$A60,"&lt;="&amp;$A61,$B$5:$B60,$B61)&gt;0,MIN(1-'Exercise list'!Q$2,IF($A61=$A60,AW60,1))-AB61&lt;0),-1,MIN(1,IF($A61=$A60,AW60,1)-AB61+$D$2))</f>
        <v>1</v>
      </c>
      <c r="AX61" s="19">
        <f>IF(OR($J61=1,COUNTIFS($A$5:$A60,"&gt;="&amp;$A61-1,$A$5:$A60,"&lt;="&amp;$A61,$B$5:$B60,$B61)&gt;0,MIN(1-'Exercise list'!R$2,IF($A61=$A60,AX60,1))-AC61&lt;0),-1,MIN(1,IF($A61=$A60,AX60,1)-AC61+$D$2))</f>
        <v>1</v>
      </c>
      <c r="AY61" s="19">
        <f>IF(OR($J61=1,COUNTIFS($A$5:$A60,"&gt;="&amp;$A61-1,$A$5:$A60,"&lt;="&amp;$A61,$B$5:$B60,$B61)&gt;0,MIN(1-'Exercise list'!S$2,IF($A61=$A60,AY60,1))-AD61&lt;0),-1,MIN(1,IF($A61=$A60,AY60,1)-AD61+$D$2))</f>
        <v>1</v>
      </c>
      <c r="AZ61" s="19">
        <f>IF(OR($J61=1,COUNTIFS($A$5:$A60,"&gt;="&amp;$A61-1,$A$5:$A60,"&lt;="&amp;$A61,$B$5:$B60,$B61)&gt;0,MIN(1-'Exercise list'!T$2,IF($A61=$A60,AZ60,1))-AE61&lt;0),-1,MIN(1,IF($A61=$A60,AZ60,1)-AE61+$D$2))</f>
        <v>1</v>
      </c>
      <c r="BA61" s="19">
        <f>IF(OR($J61=1,COUNTIFS($A$5:$A60,"&gt;="&amp;$A61-1,$A$5:$A60,"&lt;="&amp;$A61,$B$5:$B60,$B61)&gt;0,MIN(1-'Exercise list'!U$2,IF($A61=$A60,BA60,1))-AF61&lt;0),-1,MIN(1,IF($A61=$A60,BA60,1)-AF61+$D$2))</f>
        <v>1</v>
      </c>
      <c r="BB61" s="19">
        <f>IF(OR($J61=1,COUNTIFS($A$5:$A60,"&gt;="&amp;$A61-1,$A$5:$A60,"&lt;="&amp;$A61,$B$5:$B60,$B61)&gt;0,MIN(1-'Exercise list'!V$2,IF($A61=$A60,BB60,1))-AG61&lt;0),-1,MIN(1,IF($A61=$A60,BB60,1)-AG61+$D$2))</f>
        <v>1</v>
      </c>
      <c r="BC61" s="19">
        <f>IF(OR($J61=1,COUNTIFS($A$5:$A60,"&gt;="&amp;$A61-1,$A$5:$A60,"&lt;="&amp;$A61,$B$5:$B60,$B61)&gt;0,MIN(1-'Exercise list'!W$2,IF($A61=$A60,BC60,1))-AH61&lt;0),-1,MIN(1,IF($A61=$A60,BC60,1)-AH61+$D$2))</f>
        <v>1</v>
      </c>
      <c r="BD61" s="19">
        <f>IF(OR($J61=1,COUNTIFS($A$5:$A60,"&gt;="&amp;$A61-1,$A$5:$A60,"&lt;="&amp;$A61,$B$5:$B60,$B61)&gt;0,MIN(1-'Exercise list'!X$2,IF($A61=$A60,BD60,1))-AI61&lt;0),-1,MIN(1,IF($A61=$A60,BD60,1)-AI61+$D$2))</f>
        <v>1</v>
      </c>
      <c r="BE61" s="19"/>
      <c r="BF61" s="23">
        <f t="shared" si="24"/>
        <v>7.56371539645041E-2</v>
      </c>
      <c r="BG61" s="23">
        <f t="shared" si="25"/>
        <v>0.15149746387977325</v>
      </c>
      <c r="BH61" s="23">
        <f t="shared" si="26"/>
        <v>0.1347280202012853</v>
      </c>
      <c r="BI61" s="23">
        <f t="shared" si="27"/>
        <v>0.13823692107202526</v>
      </c>
      <c r="BJ61" s="23">
        <f t="shared" si="28"/>
        <v>0.25544997390145868</v>
      </c>
      <c r="BK61" s="23">
        <f t="shared" si="29"/>
        <v>3.098594302047367E-2</v>
      </c>
      <c r="BL61" s="23">
        <f t="shared" si="30"/>
        <v>5.2495442221468444E-2</v>
      </c>
      <c r="BM61" s="23">
        <f t="shared" si="31"/>
        <v>3.5891269035209769E-2</v>
      </c>
      <c r="BN61" s="23">
        <f t="shared" si="32"/>
        <v>0.11767963235848866</v>
      </c>
      <c r="BO61" s="23">
        <f t="shared" si="33"/>
        <v>7.2597905037138963E-2</v>
      </c>
      <c r="BP61" s="23">
        <f t="shared" si="34"/>
        <v>0.26917777818184419</v>
      </c>
      <c r="BQ61" s="23">
        <f t="shared" si="35"/>
        <v>7.2734350230891476E-2</v>
      </c>
      <c r="BR61" s="23">
        <f t="shared" si="36"/>
        <v>0.16541258351124788</v>
      </c>
      <c r="BS61" s="23">
        <f t="shared" si="37"/>
        <v>4.3392980106113734E-2</v>
      </c>
      <c r="BT61" s="23">
        <f t="shared" si="38"/>
        <v>0.23537397257540671</v>
      </c>
      <c r="BU61" s="23">
        <f t="shared" si="39"/>
        <v>0.30550255225233114</v>
      </c>
      <c r="BV61" s="23">
        <f t="shared" si="40"/>
        <v>0.33916067941532241</v>
      </c>
      <c r="BW61" s="23">
        <f t="shared" si="41"/>
        <v>0.11911217694921555</v>
      </c>
      <c r="BX61" s="23">
        <f t="shared" si="42"/>
        <v>0.12399348878895051</v>
      </c>
      <c r="BY61" s="23">
        <f t="shared" si="43"/>
        <v>4.0160632792858066E-2</v>
      </c>
      <c r="BZ61" s="19"/>
      <c r="CA61" s="23">
        <f t="shared" si="4"/>
        <v>0.13023106229445944</v>
      </c>
      <c r="CB61" s="23">
        <f t="shared" si="5"/>
        <v>5.4370752379190285E-2</v>
      </c>
      <c r="CC61" s="23">
        <f t="shared" si="6"/>
        <v>0</v>
      </c>
      <c r="CD61" s="23">
        <f t="shared" si="7"/>
        <v>0</v>
      </c>
      <c r="CE61" s="23">
        <f t="shared" si="8"/>
        <v>0</v>
      </c>
      <c r="CF61" s="23">
        <f t="shared" si="9"/>
        <v>0.27781638136797165</v>
      </c>
      <c r="CG61" s="23">
        <f t="shared" si="10"/>
        <v>5.0438665908013325E-2</v>
      </c>
      <c r="CH61" s="23">
        <f t="shared" si="11"/>
        <v>6.7042839094272E-2</v>
      </c>
      <c r="CI61" s="23">
        <f t="shared" si="12"/>
        <v>8.8188583900474876E-2</v>
      </c>
      <c r="CJ61" s="23">
        <f t="shared" si="13"/>
        <v>3.0336203092342806E-2</v>
      </c>
      <c r="CK61" s="23">
        <f t="shared" si="14"/>
        <v>0</v>
      </c>
      <c r="CL61" s="23">
        <f t="shared" si="15"/>
        <v>3.0199757898590293E-2</v>
      </c>
      <c r="CM61" s="23">
        <f t="shared" si="16"/>
        <v>4.0455632747715659E-2</v>
      </c>
      <c r="CN61" s="23">
        <f t="shared" si="17"/>
        <v>5.9541128023368035E-2</v>
      </c>
      <c r="CO61" s="23">
        <f t="shared" si="18"/>
        <v>0</v>
      </c>
      <c r="CP61" s="23">
        <f t="shared" si="19"/>
        <v>0</v>
      </c>
      <c r="CQ61" s="23">
        <f t="shared" si="20"/>
        <v>0</v>
      </c>
      <c r="CR61" s="23">
        <f t="shared" si="21"/>
        <v>0</v>
      </c>
      <c r="CS61" s="23">
        <f t="shared" si="22"/>
        <v>0</v>
      </c>
      <c r="CT61" s="23">
        <f t="shared" si="23"/>
        <v>6.2773475336623696E-2</v>
      </c>
      <c r="CU61" s="19"/>
    </row>
    <row r="62" spans="1:100" x14ac:dyDescent="0.25">
      <c r="A62" s="13">
        <v>45065</v>
      </c>
      <c r="B62" s="14">
        <v>8</v>
      </c>
      <c r="C62" s="15" t="s">
        <v>116</v>
      </c>
      <c r="D62" s="12">
        <f t="shared" si="45"/>
        <v>1</v>
      </c>
      <c r="E62" s="32">
        <f t="shared" si="1"/>
        <v>1.0993363422864937</v>
      </c>
      <c r="F62" s="63" cm="1">
        <f t="array" ref="F62">IF(B62="","",0.1+IFERROR(INDEX($F$6:$F61,SUMPRODUCT(MAX(ROW($C$6:$C61)*($C62=$C$6:$C61))-ROW($A$5)))*0.9^($A62-INDEX($A$6:A61,SUMPRODUCT(MAX(ROW($C$6:$C61)*($C62=$C$6:$C61))-ROW($A$5)))),0))</f>
        <v>0.19142308218672999</v>
      </c>
      <c r="G62" s="64">
        <f>INDEX('Exercise list'!$Y$5:$Y$102,MATCH(C62,'Exercise list'!$C$5:$C$102,0))</f>
        <v>3</v>
      </c>
      <c r="H62" s="115">
        <f t="shared" si="46"/>
        <v>8.3929165003942693E-2</v>
      </c>
      <c r="I62" s="42">
        <f t="shared" si="47"/>
        <v>1</v>
      </c>
      <c r="J62" s="6">
        <v>0</v>
      </c>
      <c r="K62" s="12"/>
      <c r="L62" s="74"/>
      <c r="M62" s="6"/>
      <c r="N62" s="75"/>
      <c r="P62">
        <f>IFERROR(INDEX('Exercise list'!$E$5:$X$102,MATCH($C62,'Exercise list'!$C$5:$C$102,0),MATCH(P$5,'Exercise list'!$E$4:$X$4,0)),0)</f>
        <v>0</v>
      </c>
      <c r="Q62">
        <f>IFERROR(INDEX('Exercise list'!$E$5:$X$102,MATCH($C62,'Exercise list'!$C$5:$C$102,0),MATCH(Q$5,'Exercise list'!$E$4:$X$4,0)),0)</f>
        <v>0</v>
      </c>
      <c r="R62">
        <f>IFERROR(INDEX('Exercise list'!$E$5:$X$102,MATCH($C62,'Exercise list'!$C$5:$C$102,0),MATCH(R$5,'Exercise list'!$E$4:$X$4,0)),0)</f>
        <v>0</v>
      </c>
      <c r="S62">
        <f>IFERROR(INDEX('Exercise list'!$E$5:$X$102,MATCH($C62,'Exercise list'!$C$5:$C$102,0),MATCH(S$5,'Exercise list'!$E$4:$X$4,0)),0)</f>
        <v>0</v>
      </c>
      <c r="T62">
        <f>IFERROR(INDEX('Exercise list'!$E$5:$X$102,MATCH($C62,'Exercise list'!$C$5:$C$102,0),MATCH(T$5,'Exercise list'!$E$4:$X$4,0)),0)</f>
        <v>1</v>
      </c>
      <c r="U62">
        <f>IFERROR(INDEX('Exercise list'!$E$5:$X$102,MATCH($C62,'Exercise list'!$C$5:$C$102,0),MATCH(U$5,'Exercise list'!$E$4:$X$4,0)),0)</f>
        <v>0</v>
      </c>
      <c r="V62">
        <f>IFERROR(INDEX('Exercise list'!$E$5:$X$102,MATCH($C62,'Exercise list'!$C$5:$C$102,0),MATCH(V$5,'Exercise list'!$E$4:$X$4,0)),0)</f>
        <v>0</v>
      </c>
      <c r="W62">
        <f>IFERROR(INDEX('Exercise list'!$E$5:$X$102,MATCH($C62,'Exercise list'!$C$5:$C$102,0),MATCH(W$5,'Exercise list'!$E$4:$X$4,0)),0)</f>
        <v>0</v>
      </c>
      <c r="X62">
        <f>IFERROR(INDEX('Exercise list'!$E$5:$X$102,MATCH($C62,'Exercise list'!$C$5:$C$102,0),MATCH(X$5,'Exercise list'!$E$4:$X$4,0)),0)</f>
        <v>0</v>
      </c>
      <c r="Y62">
        <f>IFERROR(INDEX('Exercise list'!$E$5:$X$102,MATCH($C62,'Exercise list'!$C$5:$C$102,0),MATCH(Y$5,'Exercise list'!$E$4:$X$4,0)),0)</f>
        <v>0</v>
      </c>
      <c r="Z62">
        <f>IFERROR(INDEX('Exercise list'!$E$5:$X$102,MATCH($C62,'Exercise list'!$C$5:$C$102,0),MATCH(Z$5,'Exercise list'!$E$4:$X$4,0)),0)</f>
        <v>1</v>
      </c>
      <c r="AA62">
        <f>IFERROR(INDEX('Exercise list'!$E$5:$X$102,MATCH($C62,'Exercise list'!$C$5:$C$102,0),MATCH(AA$5,'Exercise list'!$E$4:$X$4,0)),0)</f>
        <v>0</v>
      </c>
      <c r="AB62">
        <f>IFERROR(INDEX('Exercise list'!$E$5:$X$102,MATCH($C62,'Exercise list'!$C$5:$C$102,0),MATCH(AB$5,'Exercise list'!$E$4:$X$4,0)),0)</f>
        <v>0.5</v>
      </c>
      <c r="AC62">
        <f>IFERROR(INDEX('Exercise list'!$E$5:$X$102,MATCH($C62,'Exercise list'!$C$5:$C$102,0),MATCH(AC$5,'Exercise list'!$E$4:$X$4,0)),0)</f>
        <v>0</v>
      </c>
      <c r="AD62">
        <f>IFERROR(INDEX('Exercise list'!$E$5:$X$102,MATCH($C62,'Exercise list'!$C$5:$C$102,0),MATCH(AD$5,'Exercise list'!$E$4:$X$4,0)),0)</f>
        <v>0.6</v>
      </c>
      <c r="AE62">
        <f>IFERROR(INDEX('Exercise list'!$E$5:$X$102,MATCH($C62,'Exercise list'!$C$5:$C$102,0),MATCH(AE$5,'Exercise list'!$E$4:$X$4,0)),0)</f>
        <v>0.7</v>
      </c>
      <c r="AF62">
        <f>IFERROR(INDEX('Exercise list'!$E$5:$X$102,MATCH($C62,'Exercise list'!$C$5:$C$102,0),MATCH(AF$5,'Exercise list'!$E$4:$X$4,0)),0)</f>
        <v>1</v>
      </c>
      <c r="AG62">
        <f>IFERROR(INDEX('Exercise list'!$E$5:$X$102,MATCH($C62,'Exercise list'!$C$5:$C$102,0),MATCH(AG$5,'Exercise list'!$E$4:$X$4,0)),0)</f>
        <v>0</v>
      </c>
      <c r="AH62">
        <f>IFERROR(INDEX('Exercise list'!$E$5:$X$102,MATCH($C62,'Exercise list'!$C$5:$C$102,0),MATCH(AH$5,'Exercise list'!$E$4:$X$4,0)),0)</f>
        <v>0</v>
      </c>
      <c r="AI62">
        <f>IFERROR(INDEX('Exercise list'!$E$5:$X$102,MATCH($C62,'Exercise list'!$C$5:$C$102,0),MATCH(AI$5,'Exercise list'!$E$4:$X$4,0)),0)</f>
        <v>0</v>
      </c>
      <c r="AK62">
        <f>IF(OR($J62=1,COUNTIFS($A$5:$A61,"&gt;="&amp;$A62-1,$A$5:$A61,"&lt;="&amp;$A62,$B$5:$B61,$B62)&gt;0,MIN(1-'Exercise list'!E$2,IF($A62=$A61,AK61,1))-P62&lt;0),-1,MIN(1,IF($A62=$A61,AK61,1)-P62+$D$2))</f>
        <v>1</v>
      </c>
      <c r="AL62">
        <f>IF(OR($J62=1,COUNTIFS($A$5:$A61,"&gt;="&amp;$A62-1,$A$5:$A61,"&lt;="&amp;$A62,$B$5:$B61,$B62)&gt;0,MIN(1-'Exercise list'!F$2,IF($A62=$A61,AL61,1))-Q62&lt;0),-1,MIN(1,IF($A62=$A61,AL61,1)-Q62+$D$2))</f>
        <v>1</v>
      </c>
      <c r="AM62">
        <f>IF(OR($J62=1,COUNTIFS($A$5:$A61,"&gt;="&amp;$A62-1,$A$5:$A61,"&lt;="&amp;$A62,$B$5:$B61,$B62)&gt;0,MIN(1-'Exercise list'!G$2,IF($A62=$A61,AM61,1))-R62&lt;0),-1,MIN(1,IF($A62=$A61,AM61,1)-R62+$D$2))</f>
        <v>1</v>
      </c>
      <c r="AN62">
        <f>IF(OR($J62=1,COUNTIFS($A$5:$A61,"&gt;="&amp;$A62-1,$A$5:$A61,"&lt;="&amp;$A62,$B$5:$B61,$B62)&gt;0,MIN(1-'Exercise list'!H$2,IF($A62=$A61,AN61,1))-S62&lt;0),-1,MIN(1,IF($A62=$A61,AN61,1)-S62+$D$2))</f>
        <v>1</v>
      </c>
      <c r="AO62">
        <f>IF(OR($J62=1,COUNTIFS($A$5:$A61,"&gt;="&amp;$A62-1,$A$5:$A61,"&lt;="&amp;$A62,$B$5:$B61,$B62)&gt;0,MIN(1-'Exercise list'!I$2,IF($A62=$A61,AO61,1))-T62&lt;0),-1,MIN(1,IF($A62=$A61,AO61,1)-T62+$D$2))</f>
        <v>1</v>
      </c>
      <c r="AP62">
        <f>IF(OR($J62=1,COUNTIFS($A$5:$A61,"&gt;="&amp;$A62-1,$A$5:$A61,"&lt;="&amp;$A62,$B$5:$B61,$B62)&gt;0,MIN(1-'Exercise list'!J$2,IF($A62=$A61,AP61,1))-U62&lt;0),-1,MIN(1,IF($A62=$A61,AP61,1)-U62+$D$2))</f>
        <v>1</v>
      </c>
      <c r="AQ62">
        <f>IF(OR($J62=1,COUNTIFS($A$5:$A61,"&gt;="&amp;$A62-1,$A$5:$A61,"&lt;="&amp;$A62,$B$5:$B61,$B62)&gt;0,MIN(1-'Exercise list'!K$2,IF($A62=$A61,AQ61,1))-V62&lt;0),-1,MIN(1,IF($A62=$A61,AQ61,1)-V62+$D$2))</f>
        <v>1</v>
      </c>
      <c r="AR62">
        <f>IF(OR($J62=1,COUNTIFS($A$5:$A61,"&gt;="&amp;$A62-1,$A$5:$A61,"&lt;="&amp;$A62,$B$5:$B61,$B62)&gt;0,MIN(1-'Exercise list'!L$2,IF($A62=$A61,AR61,1))-W62&lt;0),-1,MIN(1,IF($A62=$A61,AR61,1)-W62+$D$2))</f>
        <v>1</v>
      </c>
      <c r="AS62">
        <f>IF(OR($J62=1,COUNTIFS($A$5:$A61,"&gt;="&amp;$A62-1,$A$5:$A61,"&lt;="&amp;$A62,$B$5:$B61,$B62)&gt;0,MIN(1-'Exercise list'!M$2,IF($A62=$A61,AS61,1))-X62&lt;0),-1,MIN(1,IF($A62=$A61,AS61,1)-X62+$D$2))</f>
        <v>1</v>
      </c>
      <c r="AT62">
        <f>IF(OR($J62=1,COUNTIFS($A$5:$A61,"&gt;="&amp;$A62-1,$A$5:$A61,"&lt;="&amp;$A62,$B$5:$B61,$B62)&gt;0,MIN(1-'Exercise list'!N$2,IF($A62=$A61,AT61,1))-Y62&lt;0),-1,MIN(1,IF($A62=$A61,AT61,1)-Y62+$D$2))</f>
        <v>1</v>
      </c>
      <c r="AU62">
        <f>IF(OR($J62=1,COUNTIFS($A$5:$A61,"&gt;="&amp;$A62-1,$A$5:$A61,"&lt;="&amp;$A62,$B$5:$B61,$B62)&gt;0,MIN(1-'Exercise list'!O$2,IF($A62=$A61,AU61,1))-Z62&lt;0),-1,MIN(1,IF($A62=$A61,AU61,1)-Z62+$D$2))</f>
        <v>1</v>
      </c>
      <c r="AV62">
        <f>IF(OR($J62=1,COUNTIFS($A$5:$A61,"&gt;="&amp;$A62-1,$A$5:$A61,"&lt;="&amp;$A62,$B$5:$B61,$B62)&gt;0,MIN(1-'Exercise list'!P$2,IF($A62=$A61,AV61,1))-AA62&lt;0),-1,MIN(1,IF($A62=$A61,AV61,1)-AA62+$D$2))</f>
        <v>1</v>
      </c>
      <c r="AW62">
        <f>IF(OR($J62=1,COUNTIFS($A$5:$A61,"&gt;="&amp;$A62-1,$A$5:$A61,"&lt;="&amp;$A62,$B$5:$B61,$B62)&gt;0,MIN(1-'Exercise list'!Q$2,IF($A62=$A61,AW61,1))-AB62&lt;0),-1,MIN(1,IF($A62=$A61,AW61,1)-AB62+$D$2))</f>
        <v>1</v>
      </c>
      <c r="AX62">
        <f>IF(OR($J62=1,COUNTIFS($A$5:$A61,"&gt;="&amp;$A62-1,$A$5:$A61,"&lt;="&amp;$A62,$B$5:$B61,$B62)&gt;0,MIN(1-'Exercise list'!R$2,IF($A62=$A61,AX61,1))-AC62&lt;0),-1,MIN(1,IF($A62=$A61,AX61,1)-AC62+$D$2))</f>
        <v>1</v>
      </c>
      <c r="AY62">
        <f>IF(OR($J62=1,COUNTIFS($A$5:$A61,"&gt;="&amp;$A62-1,$A$5:$A61,"&lt;="&amp;$A62,$B$5:$B61,$B62)&gt;0,MIN(1-'Exercise list'!S$2,IF($A62=$A61,AY61,1))-AD62&lt;0),-1,MIN(1,IF($A62=$A61,AY61,1)-AD62+$D$2))</f>
        <v>1</v>
      </c>
      <c r="AZ62">
        <f>IF(OR($J62=1,COUNTIFS($A$5:$A61,"&gt;="&amp;$A62-1,$A$5:$A61,"&lt;="&amp;$A62,$B$5:$B61,$B62)&gt;0,MIN(1-'Exercise list'!T$2,IF($A62=$A61,AZ61,1))-AE62&lt;0),-1,MIN(1,IF($A62=$A61,AZ61,1)-AE62+$D$2))</f>
        <v>1</v>
      </c>
      <c r="BA62">
        <f>IF(OR($J62=1,COUNTIFS($A$5:$A61,"&gt;="&amp;$A62-1,$A$5:$A61,"&lt;="&amp;$A62,$B$5:$B61,$B62)&gt;0,MIN(1-'Exercise list'!U$2,IF($A62=$A61,BA61,1))-AF62&lt;0),-1,MIN(1,IF($A62=$A61,BA61,1)-AF62+$D$2))</f>
        <v>1</v>
      </c>
      <c r="BB62">
        <f>IF(OR($J62=1,COUNTIFS($A$5:$A61,"&gt;="&amp;$A62-1,$A$5:$A61,"&lt;="&amp;$A62,$B$5:$B61,$B62)&gt;0,MIN(1-'Exercise list'!V$2,IF($A62=$A61,BB61,1))-AG62&lt;0),-1,MIN(1,IF($A62=$A61,BB61,1)-AG62+$D$2))</f>
        <v>1</v>
      </c>
      <c r="BC62">
        <f>IF(OR($J62=1,COUNTIFS($A$5:$A61,"&gt;="&amp;$A62-1,$A$5:$A61,"&lt;="&amp;$A62,$B$5:$B61,$B62)&gt;0,MIN(1-'Exercise list'!W$2,IF($A62=$A61,BC61,1))-AH62&lt;0),-1,MIN(1,IF($A62=$A61,BC61,1)-AH62+$D$2))</f>
        <v>1</v>
      </c>
      <c r="BD62">
        <f>IF(OR($J62=1,COUNTIFS($A$5:$A61,"&gt;="&amp;$A62-1,$A$5:$A61,"&lt;="&amp;$A62,$B$5:$B61,$B62)&gt;0,MIN(1-'Exercise list'!X$2,IF($A62=$A61,BD61,1))-AI62&lt;0),-1,MIN(1,IF($A62=$A61,BD61,1)-AI62+$D$2))</f>
        <v>1</v>
      </c>
      <c r="BF62" s="16">
        <f t="shared" si="24"/>
        <v>7.1855296266278887E-2</v>
      </c>
      <c r="BG62" s="16">
        <f t="shared" si="25"/>
        <v>0.14392259068578458</v>
      </c>
      <c r="BH62" s="16">
        <f t="shared" si="26"/>
        <v>0.12799161919122104</v>
      </c>
      <c r="BI62" s="16">
        <f t="shared" si="27"/>
        <v>0.131325075018424</v>
      </c>
      <c r="BJ62" s="16">
        <f t="shared" si="28"/>
        <v>0.29267747520638576</v>
      </c>
      <c r="BK62" s="16">
        <f t="shared" si="29"/>
        <v>2.9436645869449985E-2</v>
      </c>
      <c r="BL62" s="16">
        <f t="shared" si="30"/>
        <v>4.9870670110395018E-2</v>
      </c>
      <c r="BM62" s="16">
        <f t="shared" si="31"/>
        <v>3.409670558344928E-2</v>
      </c>
      <c r="BN62" s="16">
        <f t="shared" si="32"/>
        <v>0.11179565074056422</v>
      </c>
      <c r="BO62" s="16">
        <f t="shared" si="33"/>
        <v>6.8968009785282017E-2</v>
      </c>
      <c r="BP62" s="16">
        <f t="shared" si="34"/>
        <v>0.30571888927275193</v>
      </c>
      <c r="BQ62" s="16">
        <f t="shared" si="35"/>
        <v>6.9097632719346894E-2</v>
      </c>
      <c r="BR62" s="16">
        <f t="shared" si="36"/>
        <v>0.18214195433568547</v>
      </c>
      <c r="BS62" s="16">
        <f t="shared" si="37"/>
        <v>4.1223331100808044E-2</v>
      </c>
      <c r="BT62" s="16">
        <f t="shared" si="38"/>
        <v>0.25360527394663634</v>
      </c>
      <c r="BU62" s="16">
        <f t="shared" si="39"/>
        <v>0.32522742463971455</v>
      </c>
      <c r="BV62" s="16">
        <f t="shared" si="40"/>
        <v>0.37220264544455628</v>
      </c>
      <c r="BW62" s="16">
        <f t="shared" si="41"/>
        <v>0.11315656810175477</v>
      </c>
      <c r="BX62" s="16">
        <f t="shared" si="42"/>
        <v>0.11779381434950298</v>
      </c>
      <c r="BY62" s="16">
        <f t="shared" si="43"/>
        <v>3.8152601153215157E-2</v>
      </c>
      <c r="CA62" s="16">
        <f t="shared" si="4"/>
        <v>0.14149728695751423</v>
      </c>
      <c r="CB62" s="16">
        <f t="shared" si="5"/>
        <v>6.9429992538008523E-2</v>
      </c>
      <c r="CC62" s="16">
        <f t="shared" si="6"/>
        <v>0</v>
      </c>
      <c r="CD62" s="16">
        <f t="shared" si="7"/>
        <v>0</v>
      </c>
      <c r="CE62" s="16">
        <f t="shared" si="8"/>
        <v>0</v>
      </c>
      <c r="CF62" s="16">
        <f t="shared" si="9"/>
        <v>0.29059222896623971</v>
      </c>
      <c r="CG62" s="16">
        <f t="shared" si="10"/>
        <v>5.6805621501501535E-2</v>
      </c>
      <c r="CH62" s="16">
        <f t="shared" si="11"/>
        <v>7.2579586028447274E-2</v>
      </c>
      <c r="CI62" s="16">
        <f t="shared" si="12"/>
        <v>0.10155693248322889</v>
      </c>
      <c r="CJ62" s="16">
        <f t="shared" si="13"/>
        <v>3.7708281826614537E-2</v>
      </c>
      <c r="CK62" s="16">
        <f t="shared" si="14"/>
        <v>0</v>
      </c>
      <c r="CL62" s="16">
        <f t="shared" si="15"/>
        <v>3.757865889254966E-2</v>
      </c>
      <c r="CM62" s="16">
        <f t="shared" si="16"/>
        <v>3.1210628888107633E-2</v>
      </c>
      <c r="CN62" s="16">
        <f t="shared" si="17"/>
        <v>6.5452960511088509E-2</v>
      </c>
      <c r="CO62" s="16">
        <f t="shared" si="18"/>
        <v>0</v>
      </c>
      <c r="CP62" s="16">
        <f t="shared" si="19"/>
        <v>0</v>
      </c>
      <c r="CQ62" s="16">
        <f t="shared" si="20"/>
        <v>0</v>
      </c>
      <c r="CR62" s="16">
        <f t="shared" si="21"/>
        <v>0</v>
      </c>
      <c r="CS62" s="16">
        <f t="shared" si="22"/>
        <v>0</v>
      </c>
      <c r="CT62" s="16">
        <f t="shared" si="23"/>
        <v>6.8523690458681397E-2</v>
      </c>
    </row>
    <row r="63" spans="1:100" x14ac:dyDescent="0.25">
      <c r="A63" s="13">
        <v>45065</v>
      </c>
      <c r="B63" s="14">
        <v>19</v>
      </c>
      <c r="C63" s="15" t="s">
        <v>127</v>
      </c>
      <c r="D63" s="12">
        <f t="shared" si="45"/>
        <v>1</v>
      </c>
      <c r="E63" s="32">
        <f t="shared" si="1"/>
        <v>1.6875447480888459</v>
      </c>
      <c r="F63" s="63" cm="1">
        <f t="array" ref="F63">IF(B63="","",0.1+IFERROR(INDEX($F$6:$F62,SUMPRODUCT(MAX(ROW($C$6:$C62)*($C63=$C$6:$C62))-ROW($A$5)))*0.9^($A63-INDEX($A$6:A62,SUMPRODUCT(MAX(ROW($C$6:$C62)*($C63=$C$6:$C62))-ROW($A$5)))),0))</f>
        <v>0.14042812181298997</v>
      </c>
      <c r="G63" s="64">
        <f>INDEX('Exercise list'!$Y$5:$Y$102,MATCH(C63,'Exercise list'!$C$5:$C$102,0))</f>
        <v>3</v>
      </c>
      <c r="H63" s="115">
        <f t="shared" si="46"/>
        <v>7.9805958803506938E-2</v>
      </c>
      <c r="I63" s="6">
        <f t="shared" si="47"/>
        <v>2</v>
      </c>
      <c r="J63" s="6">
        <v>0</v>
      </c>
      <c r="K63" s="12"/>
      <c r="L63" s="74"/>
      <c r="M63" s="6"/>
      <c r="N63" s="75"/>
      <c r="P63">
        <f>IFERROR(INDEX('Exercise list'!$E$5:$X$102,MATCH($C63,'Exercise list'!$C$5:$C$102,0),MATCH(P$5,'Exercise list'!$E$4:$X$4,0)),0)</f>
        <v>1</v>
      </c>
      <c r="Q63">
        <f>IFERROR(INDEX('Exercise list'!$E$5:$X$102,MATCH($C63,'Exercise list'!$C$5:$C$102,0),MATCH(Q$5,'Exercise list'!$E$4:$X$4,0)),0)</f>
        <v>0</v>
      </c>
      <c r="R63">
        <f>IFERROR(INDEX('Exercise list'!$E$5:$X$102,MATCH($C63,'Exercise list'!$C$5:$C$102,0),MATCH(R$5,'Exercise list'!$E$4:$X$4,0)),0)</f>
        <v>0</v>
      </c>
      <c r="S63">
        <f>IFERROR(INDEX('Exercise list'!$E$5:$X$102,MATCH($C63,'Exercise list'!$C$5:$C$102,0),MATCH(S$5,'Exercise list'!$E$4:$X$4,0)),0)</f>
        <v>0</v>
      </c>
      <c r="T63">
        <f>IFERROR(INDEX('Exercise list'!$E$5:$X$102,MATCH($C63,'Exercise list'!$C$5:$C$102,0),MATCH(T$5,'Exercise list'!$E$4:$X$4,0)),0)</f>
        <v>0</v>
      </c>
      <c r="U63">
        <f>IFERROR(INDEX('Exercise list'!$E$5:$X$102,MATCH($C63,'Exercise list'!$C$5:$C$102,0),MATCH(U$5,'Exercise list'!$E$4:$X$4,0)),0)</f>
        <v>0</v>
      </c>
      <c r="V63">
        <f>IFERROR(INDEX('Exercise list'!$E$5:$X$102,MATCH($C63,'Exercise list'!$C$5:$C$102,0),MATCH(V$5,'Exercise list'!$E$4:$X$4,0)),0)</f>
        <v>0.5</v>
      </c>
      <c r="W63">
        <f>IFERROR(INDEX('Exercise list'!$E$5:$X$102,MATCH($C63,'Exercise list'!$C$5:$C$102,0),MATCH(W$5,'Exercise list'!$E$4:$X$4,0)),0)</f>
        <v>0</v>
      </c>
      <c r="X63">
        <f>IFERROR(INDEX('Exercise list'!$E$5:$X$102,MATCH($C63,'Exercise list'!$C$5:$C$102,0),MATCH(X$5,'Exercise list'!$E$4:$X$4,0)),0)</f>
        <v>0</v>
      </c>
      <c r="Y63">
        <f>IFERROR(INDEX('Exercise list'!$E$5:$X$102,MATCH($C63,'Exercise list'!$C$5:$C$102,0),MATCH(Y$5,'Exercise list'!$E$4:$X$4,0)),0)</f>
        <v>0.8</v>
      </c>
      <c r="Z63">
        <f>IFERROR(INDEX('Exercise list'!$E$5:$X$102,MATCH($C63,'Exercise list'!$C$5:$C$102,0),MATCH(Z$5,'Exercise list'!$E$4:$X$4,0)),0)</f>
        <v>0</v>
      </c>
      <c r="AA63">
        <f>IFERROR(INDEX('Exercise list'!$E$5:$X$102,MATCH($C63,'Exercise list'!$C$5:$C$102,0),MATCH(AA$5,'Exercise list'!$E$4:$X$4,0)),0)</f>
        <v>0</v>
      </c>
      <c r="AB63">
        <f>IFERROR(INDEX('Exercise list'!$E$5:$X$102,MATCH($C63,'Exercise list'!$C$5:$C$102,0),MATCH(AB$5,'Exercise list'!$E$4:$X$4,0)),0)</f>
        <v>0</v>
      </c>
      <c r="AC63">
        <f>IFERROR(INDEX('Exercise list'!$E$5:$X$102,MATCH($C63,'Exercise list'!$C$5:$C$102,0),MATCH(AC$5,'Exercise list'!$E$4:$X$4,0)),0)</f>
        <v>0</v>
      </c>
      <c r="AD63">
        <f>IFERROR(INDEX('Exercise list'!$E$5:$X$102,MATCH($C63,'Exercise list'!$C$5:$C$102,0),MATCH(AD$5,'Exercise list'!$E$4:$X$4,0)),0)</f>
        <v>0</v>
      </c>
      <c r="AE63">
        <f>IFERROR(INDEX('Exercise list'!$E$5:$X$102,MATCH($C63,'Exercise list'!$C$5:$C$102,0),MATCH(AE$5,'Exercise list'!$E$4:$X$4,0)),0)</f>
        <v>0</v>
      </c>
      <c r="AF63">
        <f>IFERROR(INDEX('Exercise list'!$E$5:$X$102,MATCH($C63,'Exercise list'!$C$5:$C$102,0),MATCH(AF$5,'Exercise list'!$E$4:$X$4,0)),0)</f>
        <v>0</v>
      </c>
      <c r="AG63">
        <f>IFERROR(INDEX('Exercise list'!$E$5:$X$102,MATCH($C63,'Exercise list'!$C$5:$C$102,0),MATCH(AG$5,'Exercise list'!$E$4:$X$4,0)),0)</f>
        <v>0</v>
      </c>
      <c r="AH63">
        <f>IFERROR(INDEX('Exercise list'!$E$5:$X$102,MATCH($C63,'Exercise list'!$C$5:$C$102,0),MATCH(AH$5,'Exercise list'!$E$4:$X$4,0)),0)</f>
        <v>0</v>
      </c>
      <c r="AI63">
        <f>IFERROR(INDEX('Exercise list'!$E$5:$X$102,MATCH($C63,'Exercise list'!$C$5:$C$102,0),MATCH(AI$5,'Exercise list'!$E$4:$X$4,0)),0)</f>
        <v>0</v>
      </c>
      <c r="AK63">
        <f>IF(OR($J63=1,COUNTIFS($A$5:$A62,"&gt;="&amp;$A63-1,$A$5:$A62,"&lt;="&amp;$A63,$B$5:$B62,$B63)&gt;0,MIN(1-'Exercise list'!E$2,IF($A63=$A62,AK62,1))-P63&lt;0),-1,MIN(1,IF($A63=$A62,AK62,1)-P63+$D$2))</f>
        <v>1</v>
      </c>
      <c r="AL63">
        <f>IF(OR($J63=1,COUNTIFS($A$5:$A62,"&gt;="&amp;$A63-1,$A$5:$A62,"&lt;="&amp;$A63,$B$5:$B62,$B63)&gt;0,MIN(1-'Exercise list'!F$2,IF($A63=$A62,AL62,1))-Q63&lt;0),-1,MIN(1,IF($A63=$A62,AL62,1)-Q63+$D$2))</f>
        <v>1</v>
      </c>
      <c r="AM63">
        <f>IF(OR($J63=1,COUNTIFS($A$5:$A62,"&gt;="&amp;$A63-1,$A$5:$A62,"&lt;="&amp;$A63,$B$5:$B62,$B63)&gt;0,MIN(1-'Exercise list'!G$2,IF($A63=$A62,AM62,1))-R63&lt;0),-1,MIN(1,IF($A63=$A62,AM62,1)-R63+$D$2))</f>
        <v>1</v>
      </c>
      <c r="AN63">
        <f>IF(OR($J63=1,COUNTIFS($A$5:$A62,"&gt;="&amp;$A63-1,$A$5:$A62,"&lt;="&amp;$A63,$B$5:$B62,$B63)&gt;0,MIN(1-'Exercise list'!H$2,IF($A63=$A62,AN62,1))-S63&lt;0),-1,MIN(1,IF($A63=$A62,AN62,1)-S63+$D$2))</f>
        <v>1</v>
      </c>
      <c r="AO63">
        <f>IF(OR($J63=1,COUNTIFS($A$5:$A62,"&gt;="&amp;$A63-1,$A$5:$A62,"&lt;="&amp;$A63,$B$5:$B62,$B63)&gt;0,MIN(1-'Exercise list'!I$2,IF($A63=$A62,AO62,1))-T63&lt;0),-1,MIN(1,IF($A63=$A62,AO62,1)-T63+$D$2))</f>
        <v>1</v>
      </c>
      <c r="AP63">
        <f>IF(OR($J63=1,COUNTIFS($A$5:$A62,"&gt;="&amp;$A63-1,$A$5:$A62,"&lt;="&amp;$A63,$B$5:$B62,$B63)&gt;0,MIN(1-'Exercise list'!J$2,IF($A63=$A62,AP62,1))-U63&lt;0),-1,MIN(1,IF($A63=$A62,AP62,1)-U63+$D$2))</f>
        <v>1</v>
      </c>
      <c r="AQ63">
        <f>IF(OR($J63=1,COUNTIFS($A$5:$A62,"&gt;="&amp;$A63-1,$A$5:$A62,"&lt;="&amp;$A63,$B$5:$B62,$B63)&gt;0,MIN(1-'Exercise list'!K$2,IF($A63=$A62,AQ62,1))-V63&lt;0),-1,MIN(1,IF($A63=$A62,AQ62,1)-V63+$D$2))</f>
        <v>1</v>
      </c>
      <c r="AR63">
        <f>IF(OR($J63=1,COUNTIFS($A$5:$A62,"&gt;="&amp;$A63-1,$A$5:$A62,"&lt;="&amp;$A63,$B$5:$B62,$B63)&gt;0,MIN(1-'Exercise list'!L$2,IF($A63=$A62,AR62,1))-W63&lt;0),-1,MIN(1,IF($A63=$A62,AR62,1)-W63+$D$2))</f>
        <v>1</v>
      </c>
      <c r="AS63">
        <f>IF(OR($J63=1,COUNTIFS($A$5:$A62,"&gt;="&amp;$A63-1,$A$5:$A62,"&lt;="&amp;$A63,$B$5:$B62,$B63)&gt;0,MIN(1-'Exercise list'!M$2,IF($A63=$A62,AS62,1))-X63&lt;0),-1,MIN(1,IF($A63=$A62,AS62,1)-X63+$D$2))</f>
        <v>1</v>
      </c>
      <c r="AT63">
        <f>IF(OR($J63=1,COUNTIFS($A$5:$A62,"&gt;="&amp;$A63-1,$A$5:$A62,"&lt;="&amp;$A63,$B$5:$B62,$B63)&gt;0,MIN(1-'Exercise list'!N$2,IF($A63=$A62,AT62,1))-Y63&lt;0),-1,MIN(1,IF($A63=$A62,AT62,1)-Y63+$D$2))</f>
        <v>1</v>
      </c>
      <c r="AU63">
        <f>IF(OR($J63=1,COUNTIFS($A$5:$A62,"&gt;="&amp;$A63-1,$A$5:$A62,"&lt;="&amp;$A63,$B$5:$B62,$B63)&gt;0,MIN(1-'Exercise list'!O$2,IF($A63=$A62,AU62,1))-Z63&lt;0),-1,MIN(1,IF($A63=$A62,AU62,1)-Z63+$D$2))</f>
        <v>1</v>
      </c>
      <c r="AV63">
        <f>IF(OR($J63=1,COUNTIFS($A$5:$A62,"&gt;="&amp;$A63-1,$A$5:$A62,"&lt;="&amp;$A63,$B$5:$B62,$B63)&gt;0,MIN(1-'Exercise list'!P$2,IF($A63=$A62,AV62,1))-AA63&lt;0),-1,MIN(1,IF($A63=$A62,AV62,1)-AA63+$D$2))</f>
        <v>1</v>
      </c>
      <c r="AW63">
        <f>IF(OR($J63=1,COUNTIFS($A$5:$A62,"&gt;="&amp;$A63-1,$A$5:$A62,"&lt;="&amp;$A63,$B$5:$B62,$B63)&gt;0,MIN(1-'Exercise list'!Q$2,IF($A63=$A62,AW62,1))-AB63&lt;0),-1,MIN(1,IF($A63=$A62,AW62,1)-AB63+$D$2))</f>
        <v>1</v>
      </c>
      <c r="AX63">
        <f>IF(OR($J63=1,COUNTIFS($A$5:$A62,"&gt;="&amp;$A63-1,$A$5:$A62,"&lt;="&amp;$A63,$B$5:$B62,$B63)&gt;0,MIN(1-'Exercise list'!R$2,IF($A63=$A62,AX62,1))-AC63&lt;0),-1,MIN(1,IF($A63=$A62,AX62,1)-AC63+$D$2))</f>
        <v>1</v>
      </c>
      <c r="AY63">
        <f>IF(OR($J63=1,COUNTIFS($A$5:$A62,"&gt;="&amp;$A63-1,$A$5:$A62,"&lt;="&amp;$A63,$B$5:$B62,$B63)&gt;0,MIN(1-'Exercise list'!S$2,IF($A63=$A62,AY62,1))-AD63&lt;0),-1,MIN(1,IF($A63=$A62,AY62,1)-AD63+$D$2))</f>
        <v>1</v>
      </c>
      <c r="AZ63">
        <f>IF(OR($J63=1,COUNTIFS($A$5:$A62,"&gt;="&amp;$A63-1,$A$5:$A62,"&lt;="&amp;$A63,$B$5:$B62,$B63)&gt;0,MIN(1-'Exercise list'!T$2,IF($A63=$A62,AZ62,1))-AE63&lt;0),-1,MIN(1,IF($A63=$A62,AZ62,1)-AE63+$D$2))</f>
        <v>1</v>
      </c>
      <c r="BA63">
        <f>IF(OR($J63=1,COUNTIFS($A$5:$A62,"&gt;="&amp;$A63-1,$A$5:$A62,"&lt;="&amp;$A63,$B$5:$B62,$B63)&gt;0,MIN(1-'Exercise list'!U$2,IF($A63=$A62,BA62,1))-AF63&lt;0),-1,MIN(1,IF($A63=$A62,BA62,1)-AF63+$D$2))</f>
        <v>1</v>
      </c>
      <c r="BB63">
        <f>IF(OR($J63=1,COUNTIFS($A$5:$A62,"&gt;="&amp;$A63-1,$A$5:$A62,"&lt;="&amp;$A63,$B$5:$B62,$B63)&gt;0,MIN(1-'Exercise list'!V$2,IF($A63=$A62,BB62,1))-AG63&lt;0),-1,MIN(1,IF($A63=$A62,BB62,1)-AG63+$D$2))</f>
        <v>1</v>
      </c>
      <c r="BC63">
        <f>IF(OR($J63=1,COUNTIFS($A$5:$A62,"&gt;="&amp;$A63-1,$A$5:$A62,"&lt;="&amp;$A63,$B$5:$B62,$B63)&gt;0,MIN(1-'Exercise list'!W$2,IF($A63=$A62,BC62,1))-AH63&lt;0),-1,MIN(1,IF($A63=$A62,BC62,1)-AH63+$D$2))</f>
        <v>1</v>
      </c>
      <c r="BD63">
        <f>IF(OR($J63=1,COUNTIFS($A$5:$A62,"&gt;="&amp;$A63-1,$A$5:$A62,"&lt;="&amp;$A63,$B$5:$B62,$B63)&gt;0,MIN(1-'Exercise list'!X$2,IF($A63=$A62,BD62,1))-AI63&lt;0),-1,MIN(1,IF($A63=$A62,BD62,1)-AI63+$D$2))</f>
        <v>1</v>
      </c>
      <c r="BF63" s="16">
        <f t="shared" si="24"/>
        <v>0.11826253145296495</v>
      </c>
      <c r="BG63" s="16">
        <f t="shared" si="25"/>
        <v>0.13672646115149534</v>
      </c>
      <c r="BH63" s="16">
        <f t="shared" si="26"/>
        <v>0.12159203823165998</v>
      </c>
      <c r="BI63" s="16">
        <f t="shared" si="27"/>
        <v>0.12475882126750279</v>
      </c>
      <c r="BJ63" s="16">
        <f t="shared" si="28"/>
        <v>0.27804360144606644</v>
      </c>
      <c r="BK63" s="16">
        <f t="shared" si="29"/>
        <v>2.7964813575977486E-2</v>
      </c>
      <c r="BL63" s="16">
        <f t="shared" si="30"/>
        <v>7.237713660487527E-2</v>
      </c>
      <c r="BM63" s="16">
        <f t="shared" si="31"/>
        <v>3.2391870304276815E-2</v>
      </c>
      <c r="BN63" s="16">
        <f t="shared" si="32"/>
        <v>0.106205868203536</v>
      </c>
      <c r="BO63" s="16">
        <f t="shared" si="33"/>
        <v>0.10551960929601792</v>
      </c>
      <c r="BP63" s="16">
        <f t="shared" si="34"/>
        <v>0.2904329448091143</v>
      </c>
      <c r="BQ63" s="16">
        <f t="shared" si="35"/>
        <v>6.5642751083379552E-2</v>
      </c>
      <c r="BR63" s="16">
        <f t="shared" si="36"/>
        <v>0.17303485661890119</v>
      </c>
      <c r="BS63" s="16">
        <f t="shared" si="37"/>
        <v>3.9162164545767639E-2</v>
      </c>
      <c r="BT63" s="16">
        <f t="shared" si="38"/>
        <v>0.24092501024930452</v>
      </c>
      <c r="BU63" s="16">
        <f t="shared" si="39"/>
        <v>0.30896605340772881</v>
      </c>
      <c r="BV63" s="16">
        <f t="shared" si="40"/>
        <v>0.35359251317232843</v>
      </c>
      <c r="BW63" s="16">
        <f t="shared" si="41"/>
        <v>0.10749873969666703</v>
      </c>
      <c r="BX63" s="16">
        <f t="shared" si="42"/>
        <v>0.11190412363202783</v>
      </c>
      <c r="BY63" s="16">
        <f t="shared" si="43"/>
        <v>3.6244971095554399E-2</v>
      </c>
      <c r="CA63" s="16">
        <f t="shared" si="4"/>
        <v>9.2940941128157095E-2</v>
      </c>
      <c r="CB63" s="16">
        <f t="shared" si="5"/>
        <v>7.4477011429626705E-2</v>
      </c>
      <c r="CC63" s="16">
        <f t="shared" si="6"/>
        <v>0</v>
      </c>
      <c r="CD63" s="16">
        <f t="shared" si="7"/>
        <v>0</v>
      </c>
      <c r="CE63" s="16">
        <f t="shared" si="8"/>
        <v>0</v>
      </c>
      <c r="CF63" s="16">
        <f t="shared" si="9"/>
        <v>0.2888403952957056</v>
      </c>
      <c r="CG63" s="16">
        <f t="shared" si="10"/>
        <v>3.3224599685685752E-2</v>
      </c>
      <c r="CH63" s="16">
        <f t="shared" si="11"/>
        <v>7.3209865986284206E-2</v>
      </c>
      <c r="CI63" s="16">
        <f t="shared" si="12"/>
        <v>0.10499760437758604</v>
      </c>
      <c r="CJ63" s="16">
        <f t="shared" si="13"/>
        <v>8.2126994543102461E-5</v>
      </c>
      <c r="CK63" s="16">
        <f t="shared" si="14"/>
        <v>0</v>
      </c>
      <c r="CL63" s="16">
        <f t="shared" si="15"/>
        <v>3.9958985207181469E-2</v>
      </c>
      <c r="CM63" s="16">
        <f t="shared" si="16"/>
        <v>3.8168615962220848E-2</v>
      </c>
      <c r="CN63" s="16">
        <f t="shared" si="17"/>
        <v>6.6439571744793383E-2</v>
      </c>
      <c r="CO63" s="16">
        <f t="shared" si="18"/>
        <v>0</v>
      </c>
      <c r="CP63" s="16">
        <f t="shared" si="19"/>
        <v>0</v>
      </c>
      <c r="CQ63" s="16">
        <f t="shared" si="20"/>
        <v>0</v>
      </c>
      <c r="CR63" s="16">
        <f t="shared" si="21"/>
        <v>0</v>
      </c>
      <c r="CS63" s="16">
        <f t="shared" si="22"/>
        <v>0</v>
      </c>
      <c r="CT63" s="16">
        <f t="shared" si="23"/>
        <v>6.9356765195006623E-2</v>
      </c>
    </row>
    <row r="64" spans="1:100" x14ac:dyDescent="0.25">
      <c r="A64" s="13">
        <v>45065</v>
      </c>
      <c r="B64" s="14">
        <v>17</v>
      </c>
      <c r="C64" s="15" t="s">
        <v>95</v>
      </c>
      <c r="D64" s="12">
        <f t="shared" si="45"/>
        <v>1</v>
      </c>
      <c r="E64" s="32">
        <f t="shared" si="1"/>
        <v>2.2397990673792143</v>
      </c>
      <c r="F64" s="63" cm="1">
        <f t="array" ref="F64">IF(B64="","",0.1+IFERROR(INDEX($F$6:$F63,SUMPRODUCT(MAX(ROW($C$6:$C63)*($C64=$C$6:$C63))-ROW($A$5)))*0.9^($A64-INDEX($A$6:A63,SUMPRODUCT(MAX(ROW($C$6:$C63)*($C64=$C$6:$C63))-ROW($A$5)))),0))</f>
        <v>0.1</v>
      </c>
      <c r="G64" s="64">
        <f>INDEX('Exercise list'!$Y$5:$Y$102,MATCH(C64,'Exercise list'!$C$5:$C$102,0))</f>
        <v>3</v>
      </c>
      <c r="H64" s="115">
        <f t="shared" si="46"/>
        <v>8.0289372266214992E-2</v>
      </c>
      <c r="I64" s="6">
        <f t="shared" si="47"/>
        <v>3</v>
      </c>
      <c r="J64" s="6">
        <v>0</v>
      </c>
      <c r="K64" s="12"/>
      <c r="L64" s="74"/>
      <c r="M64" s="6"/>
      <c r="N64" s="75"/>
      <c r="P64">
        <f>IFERROR(INDEX('Exercise list'!$E$5:$X$102,MATCH($C64,'Exercise list'!$C$5:$C$102,0),MATCH(P$5,'Exercise list'!$E$4:$X$4,0)),0)</f>
        <v>0</v>
      </c>
      <c r="Q64">
        <f>IFERROR(INDEX('Exercise list'!$E$5:$X$102,MATCH($C64,'Exercise list'!$C$5:$C$102,0),MATCH(Q$5,'Exercise list'!$E$4:$X$4,0)),0)</f>
        <v>1</v>
      </c>
      <c r="R64">
        <f>IFERROR(INDEX('Exercise list'!$E$5:$X$102,MATCH($C64,'Exercise list'!$C$5:$C$102,0),MATCH(R$5,'Exercise list'!$E$4:$X$4,0)),0)</f>
        <v>0.5</v>
      </c>
      <c r="S64">
        <f>IFERROR(INDEX('Exercise list'!$E$5:$X$102,MATCH($C64,'Exercise list'!$C$5:$C$102,0),MATCH(S$5,'Exercise list'!$E$4:$X$4,0)),0)</f>
        <v>0.5</v>
      </c>
      <c r="T64">
        <f>IFERROR(INDEX('Exercise list'!$E$5:$X$102,MATCH($C64,'Exercise list'!$C$5:$C$102,0),MATCH(T$5,'Exercise list'!$E$4:$X$4,0)),0)</f>
        <v>0</v>
      </c>
      <c r="U64">
        <f>IFERROR(INDEX('Exercise list'!$E$5:$X$102,MATCH($C64,'Exercise list'!$C$5:$C$102,0),MATCH(U$5,'Exercise list'!$E$4:$X$4,0)),0)</f>
        <v>0</v>
      </c>
      <c r="V64">
        <f>IFERROR(INDEX('Exercise list'!$E$5:$X$102,MATCH($C64,'Exercise list'!$C$5:$C$102,0),MATCH(V$5,'Exercise list'!$E$4:$X$4,0)),0)</f>
        <v>0</v>
      </c>
      <c r="W64">
        <f>IFERROR(INDEX('Exercise list'!$E$5:$X$102,MATCH($C64,'Exercise list'!$C$5:$C$102,0),MATCH(W$5,'Exercise list'!$E$4:$X$4,0)),0)</f>
        <v>0</v>
      </c>
      <c r="X64">
        <f>IFERROR(INDEX('Exercise list'!$E$5:$X$102,MATCH($C64,'Exercise list'!$C$5:$C$102,0),MATCH(X$5,'Exercise list'!$E$4:$X$4,0)),0)</f>
        <v>0</v>
      </c>
      <c r="Y64">
        <f>IFERROR(INDEX('Exercise list'!$E$5:$X$102,MATCH($C64,'Exercise list'!$C$5:$C$102,0),MATCH(Y$5,'Exercise list'!$E$4:$X$4,0)),0)</f>
        <v>0</v>
      </c>
      <c r="Z64">
        <f>IFERROR(INDEX('Exercise list'!$E$5:$X$102,MATCH($C64,'Exercise list'!$C$5:$C$102,0),MATCH(Z$5,'Exercise list'!$E$4:$X$4,0)),0)</f>
        <v>1</v>
      </c>
      <c r="AA64">
        <f>IFERROR(INDEX('Exercise list'!$E$5:$X$102,MATCH($C64,'Exercise list'!$C$5:$C$102,0),MATCH(AA$5,'Exercise list'!$E$4:$X$4,0)),0)</f>
        <v>0</v>
      </c>
      <c r="AB64">
        <f>IFERROR(INDEX('Exercise list'!$E$5:$X$102,MATCH($C64,'Exercise list'!$C$5:$C$102,0),MATCH(AB$5,'Exercise list'!$E$4:$X$4,0)),0)</f>
        <v>0</v>
      </c>
      <c r="AC64">
        <f>IFERROR(INDEX('Exercise list'!$E$5:$X$102,MATCH($C64,'Exercise list'!$C$5:$C$102,0),MATCH(AC$5,'Exercise list'!$E$4:$X$4,0)),0)</f>
        <v>0</v>
      </c>
      <c r="AD64">
        <f>IFERROR(INDEX('Exercise list'!$E$5:$X$102,MATCH($C64,'Exercise list'!$C$5:$C$102,0),MATCH(AD$5,'Exercise list'!$E$4:$X$4,0)),0)</f>
        <v>0</v>
      </c>
      <c r="AE64">
        <f>IFERROR(INDEX('Exercise list'!$E$5:$X$102,MATCH($C64,'Exercise list'!$C$5:$C$102,0),MATCH(AE$5,'Exercise list'!$E$4:$X$4,0)),0)</f>
        <v>0</v>
      </c>
      <c r="AF64">
        <f>IFERROR(INDEX('Exercise list'!$E$5:$X$102,MATCH($C64,'Exercise list'!$C$5:$C$102,0),MATCH(AF$5,'Exercise list'!$E$4:$X$4,0)),0)</f>
        <v>0</v>
      </c>
      <c r="AG64">
        <f>IFERROR(INDEX('Exercise list'!$E$5:$X$102,MATCH($C64,'Exercise list'!$C$5:$C$102,0),MATCH(AG$5,'Exercise list'!$E$4:$X$4,0)),0)</f>
        <v>0</v>
      </c>
      <c r="AH64">
        <f>IFERROR(INDEX('Exercise list'!$E$5:$X$102,MATCH($C64,'Exercise list'!$C$5:$C$102,0),MATCH(AH$5,'Exercise list'!$E$4:$X$4,0)),0)</f>
        <v>0</v>
      </c>
      <c r="AI64">
        <f>IFERROR(INDEX('Exercise list'!$E$5:$X$102,MATCH($C64,'Exercise list'!$C$5:$C$102,0),MATCH(AI$5,'Exercise list'!$E$4:$X$4,0)),0)</f>
        <v>0</v>
      </c>
      <c r="AK64">
        <f>IF(OR($J64=1,COUNTIFS($A$5:$A63,"&gt;="&amp;$A64-1,$A$5:$A63,"&lt;="&amp;$A64,$B$5:$B63,$B64)&gt;0,MIN(1-'Exercise list'!E$2,IF($A64=$A63,AK63,1))-P64&lt;0),-1,MIN(1,IF($A64=$A63,AK63,1)-P64+$D$2))</f>
        <v>1</v>
      </c>
      <c r="AL64">
        <f>IF(OR($J64=1,COUNTIFS($A$5:$A63,"&gt;="&amp;$A64-1,$A$5:$A63,"&lt;="&amp;$A64,$B$5:$B63,$B64)&gt;0,MIN(1-'Exercise list'!F$2,IF($A64=$A63,AL63,1))-Q64&lt;0),-1,MIN(1,IF($A64=$A63,AL63,1)-Q64+$D$2))</f>
        <v>1</v>
      </c>
      <c r="AM64">
        <f>IF(OR($J64=1,COUNTIFS($A$5:$A63,"&gt;="&amp;$A64-1,$A$5:$A63,"&lt;="&amp;$A64,$B$5:$B63,$B64)&gt;0,MIN(1-'Exercise list'!G$2,IF($A64=$A63,AM63,1))-R64&lt;0),-1,MIN(1,IF($A64=$A63,AM63,1)-R64+$D$2))</f>
        <v>1</v>
      </c>
      <c r="AN64">
        <f>IF(OR($J64=1,COUNTIFS($A$5:$A63,"&gt;="&amp;$A64-1,$A$5:$A63,"&lt;="&amp;$A64,$B$5:$B63,$B64)&gt;0,MIN(1-'Exercise list'!H$2,IF($A64=$A63,AN63,1))-S64&lt;0),-1,MIN(1,IF($A64=$A63,AN63,1)-S64+$D$2))</f>
        <v>1</v>
      </c>
      <c r="AO64">
        <f>IF(OR($J64=1,COUNTIFS($A$5:$A63,"&gt;="&amp;$A64-1,$A$5:$A63,"&lt;="&amp;$A64,$B$5:$B63,$B64)&gt;0,MIN(1-'Exercise list'!I$2,IF($A64=$A63,AO63,1))-T64&lt;0),-1,MIN(1,IF($A64=$A63,AO63,1)-T64+$D$2))</f>
        <v>1</v>
      </c>
      <c r="AP64">
        <f>IF(OR($J64=1,COUNTIFS($A$5:$A63,"&gt;="&amp;$A64-1,$A$5:$A63,"&lt;="&amp;$A64,$B$5:$B63,$B64)&gt;0,MIN(1-'Exercise list'!J$2,IF($A64=$A63,AP63,1))-U64&lt;0),-1,MIN(1,IF($A64=$A63,AP63,1)-U64+$D$2))</f>
        <v>1</v>
      </c>
      <c r="AQ64">
        <f>IF(OR($J64=1,COUNTIFS($A$5:$A63,"&gt;="&amp;$A64-1,$A$5:$A63,"&lt;="&amp;$A64,$B$5:$B63,$B64)&gt;0,MIN(1-'Exercise list'!K$2,IF($A64=$A63,AQ63,1))-V64&lt;0),-1,MIN(1,IF($A64=$A63,AQ63,1)-V64+$D$2))</f>
        <v>1</v>
      </c>
      <c r="AR64">
        <f>IF(OR($J64=1,COUNTIFS($A$5:$A63,"&gt;="&amp;$A64-1,$A$5:$A63,"&lt;="&amp;$A64,$B$5:$B63,$B64)&gt;0,MIN(1-'Exercise list'!L$2,IF($A64=$A63,AR63,1))-W64&lt;0),-1,MIN(1,IF($A64=$A63,AR63,1)-W64+$D$2))</f>
        <v>1</v>
      </c>
      <c r="AS64">
        <f>IF(OR($J64=1,COUNTIFS($A$5:$A63,"&gt;="&amp;$A64-1,$A$5:$A63,"&lt;="&amp;$A64,$B$5:$B63,$B64)&gt;0,MIN(1-'Exercise list'!M$2,IF($A64=$A63,AS63,1))-X64&lt;0),-1,MIN(1,IF($A64=$A63,AS63,1)-X64+$D$2))</f>
        <v>1</v>
      </c>
      <c r="AT64">
        <f>IF(OR($J64=1,COUNTIFS($A$5:$A63,"&gt;="&amp;$A64-1,$A$5:$A63,"&lt;="&amp;$A64,$B$5:$B63,$B64)&gt;0,MIN(1-'Exercise list'!N$2,IF($A64=$A63,AT63,1))-Y64&lt;0),-1,MIN(1,IF($A64=$A63,AT63,1)-Y64+$D$2))</f>
        <v>1</v>
      </c>
      <c r="AU64">
        <f>IF(OR($J64=1,COUNTIFS($A$5:$A63,"&gt;="&amp;$A64-1,$A$5:$A63,"&lt;="&amp;$A64,$B$5:$B63,$B64)&gt;0,MIN(1-'Exercise list'!O$2,IF($A64=$A63,AU63,1))-Z64&lt;0),-1,MIN(1,IF($A64=$A63,AU63,1)-Z64+$D$2))</f>
        <v>1</v>
      </c>
      <c r="AV64">
        <f>IF(OR($J64=1,COUNTIFS($A$5:$A63,"&gt;="&amp;$A64-1,$A$5:$A63,"&lt;="&amp;$A64,$B$5:$B63,$B64)&gt;0,MIN(1-'Exercise list'!P$2,IF($A64=$A63,AV63,1))-AA64&lt;0),-1,MIN(1,IF($A64=$A63,AV63,1)-AA64+$D$2))</f>
        <v>1</v>
      </c>
      <c r="AW64">
        <f>IF(OR($J64=1,COUNTIFS($A$5:$A63,"&gt;="&amp;$A64-1,$A$5:$A63,"&lt;="&amp;$A64,$B$5:$B63,$B64)&gt;0,MIN(1-'Exercise list'!Q$2,IF($A64=$A63,AW63,1))-AB64&lt;0),-1,MIN(1,IF($A64=$A63,AW63,1)-AB64+$D$2))</f>
        <v>1</v>
      </c>
      <c r="AX64">
        <f>IF(OR($J64=1,COUNTIFS($A$5:$A63,"&gt;="&amp;$A64-1,$A$5:$A63,"&lt;="&amp;$A64,$B$5:$B63,$B64)&gt;0,MIN(1-'Exercise list'!R$2,IF($A64=$A63,AX63,1))-AC64&lt;0),-1,MIN(1,IF($A64=$A63,AX63,1)-AC64+$D$2))</f>
        <v>1</v>
      </c>
      <c r="AY64">
        <f>IF(OR($J64=1,COUNTIFS($A$5:$A63,"&gt;="&amp;$A64-1,$A$5:$A63,"&lt;="&amp;$A64,$B$5:$B63,$B64)&gt;0,MIN(1-'Exercise list'!S$2,IF($A64=$A63,AY63,1))-AD64&lt;0),-1,MIN(1,IF($A64=$A63,AY63,1)-AD64+$D$2))</f>
        <v>1</v>
      </c>
      <c r="AZ64">
        <f>IF(OR($J64=1,COUNTIFS($A$5:$A63,"&gt;="&amp;$A64-1,$A$5:$A63,"&lt;="&amp;$A64,$B$5:$B63,$B64)&gt;0,MIN(1-'Exercise list'!T$2,IF($A64=$A63,AZ63,1))-AE64&lt;0),-1,MIN(1,IF($A64=$A63,AZ63,1)-AE64+$D$2))</f>
        <v>1</v>
      </c>
      <c r="BA64">
        <f>IF(OR($J64=1,COUNTIFS($A$5:$A63,"&gt;="&amp;$A64-1,$A$5:$A63,"&lt;="&amp;$A64,$B$5:$B63,$B64)&gt;0,MIN(1-'Exercise list'!U$2,IF($A64=$A63,BA63,1))-AF64&lt;0),-1,MIN(1,IF($A64=$A63,BA63,1)-AF64+$D$2))</f>
        <v>1</v>
      </c>
      <c r="BB64">
        <f>IF(OR($J64=1,COUNTIFS($A$5:$A63,"&gt;="&amp;$A64-1,$A$5:$A63,"&lt;="&amp;$A64,$B$5:$B63,$B64)&gt;0,MIN(1-'Exercise list'!V$2,IF($A64=$A63,BB63,1))-AG64&lt;0),-1,MIN(1,IF($A64=$A63,BB63,1)-AG64+$D$2))</f>
        <v>1</v>
      </c>
      <c r="BC64">
        <f>IF(OR($J64=1,COUNTIFS($A$5:$A63,"&gt;="&amp;$A64-1,$A$5:$A63,"&lt;="&amp;$A64,$B$5:$B63,$B64)&gt;0,MIN(1-'Exercise list'!W$2,IF($A64=$A63,BC63,1))-AH64&lt;0),-1,MIN(1,IF($A64=$A63,BC63,1)-AH64+$D$2))</f>
        <v>1</v>
      </c>
      <c r="BD64">
        <f>IF(OR($J64=1,COUNTIFS($A$5:$A63,"&gt;="&amp;$A64-1,$A$5:$A63,"&lt;="&amp;$A64,$B$5:$B63,$B64)&gt;0,MIN(1-'Exercise list'!X$2,IF($A64=$A63,BD63,1))-AI64&lt;0),-1,MIN(1,IF($A64=$A63,BD63,1)-AI64+$D$2))</f>
        <v>1</v>
      </c>
      <c r="BF64" s="16">
        <f t="shared" si="24"/>
        <v>0.11234940488031669</v>
      </c>
      <c r="BG64" s="16">
        <f t="shared" si="25"/>
        <v>0.17989013809392057</v>
      </c>
      <c r="BH64" s="16">
        <f t="shared" si="26"/>
        <v>0.14051243632007698</v>
      </c>
      <c r="BI64" s="16">
        <f t="shared" si="27"/>
        <v>0.14352088020412765</v>
      </c>
      <c r="BJ64" s="16">
        <f t="shared" si="28"/>
        <v>0.26414142137376312</v>
      </c>
      <c r="BK64" s="16">
        <f t="shared" si="29"/>
        <v>2.6566572897178609E-2</v>
      </c>
      <c r="BL64" s="16">
        <f t="shared" si="30"/>
        <v>6.8758279774631503E-2</v>
      </c>
      <c r="BM64" s="16">
        <f t="shared" si="31"/>
        <v>3.0772276789062972E-2</v>
      </c>
      <c r="BN64" s="16">
        <f t="shared" si="32"/>
        <v>0.1008955747933592</v>
      </c>
      <c r="BO64" s="16">
        <f t="shared" si="33"/>
        <v>0.10024362883121701</v>
      </c>
      <c r="BP64" s="16">
        <f t="shared" si="34"/>
        <v>0.32591129756865855</v>
      </c>
      <c r="BQ64" s="16">
        <f t="shared" si="35"/>
        <v>6.2360613529210573E-2</v>
      </c>
      <c r="BR64" s="16">
        <f t="shared" si="36"/>
        <v>0.16438311378795611</v>
      </c>
      <c r="BS64" s="16">
        <f t="shared" si="37"/>
        <v>3.7204056318479256E-2</v>
      </c>
      <c r="BT64" s="16">
        <f t="shared" si="38"/>
        <v>0.22887875973683927</v>
      </c>
      <c r="BU64" s="16">
        <f t="shared" si="39"/>
        <v>0.29351775073734238</v>
      </c>
      <c r="BV64" s="16">
        <f t="shared" si="40"/>
        <v>0.33591288751371201</v>
      </c>
      <c r="BW64" s="16">
        <f t="shared" si="41"/>
        <v>0.10212380271183367</v>
      </c>
      <c r="BX64" s="16">
        <f t="shared" si="42"/>
        <v>0.10630891745042644</v>
      </c>
      <c r="BY64" s="16">
        <f t="shared" si="43"/>
        <v>3.4432722540776679E-2</v>
      </c>
      <c r="CA64" s="16">
        <f t="shared" si="4"/>
        <v>9.9405005182860329E-2</v>
      </c>
      <c r="CB64" s="16">
        <f t="shared" si="5"/>
        <v>3.1864271969256452E-2</v>
      </c>
      <c r="CC64" s="16">
        <f t="shared" si="6"/>
        <v>0</v>
      </c>
      <c r="CD64" s="16">
        <f t="shared" si="7"/>
        <v>0</v>
      </c>
      <c r="CE64" s="16">
        <f t="shared" si="8"/>
        <v>0</v>
      </c>
      <c r="CF64" s="16">
        <f t="shared" si="9"/>
        <v>0.29106504219758694</v>
      </c>
      <c r="CG64" s="16">
        <f t="shared" si="10"/>
        <v>3.7118925256957008E-2</v>
      </c>
      <c r="CH64" s="16">
        <f t="shared" si="11"/>
        <v>7.5104928242525543E-2</v>
      </c>
      <c r="CI64" s="16">
        <f t="shared" si="12"/>
        <v>0.11085883526981782</v>
      </c>
      <c r="CJ64" s="16">
        <f t="shared" si="13"/>
        <v>5.6335762003714984E-3</v>
      </c>
      <c r="CK64" s="16">
        <f t="shared" si="14"/>
        <v>0</v>
      </c>
      <c r="CL64" s="16">
        <f t="shared" si="15"/>
        <v>4.3516591502377938E-2</v>
      </c>
      <c r="CM64" s="16">
        <f t="shared" si="16"/>
        <v>4.7371296275220909E-2</v>
      </c>
      <c r="CN64" s="16">
        <f t="shared" si="17"/>
        <v>6.8673148713109256E-2</v>
      </c>
      <c r="CO64" s="16">
        <f t="shared" si="18"/>
        <v>0</v>
      </c>
      <c r="CP64" s="16">
        <f t="shared" si="19"/>
        <v>0</v>
      </c>
      <c r="CQ64" s="16">
        <f t="shared" si="20"/>
        <v>0</v>
      </c>
      <c r="CR64" s="16">
        <f t="shared" si="21"/>
        <v>3.7534023197548366E-3</v>
      </c>
      <c r="CS64" s="16">
        <f t="shared" si="22"/>
        <v>0</v>
      </c>
      <c r="CT64" s="16">
        <f t="shared" si="23"/>
        <v>7.1444482490811839E-2</v>
      </c>
      <c r="CV64" s="16"/>
    </row>
    <row r="65" spans="1:100" x14ac:dyDescent="0.25">
      <c r="A65" s="20">
        <v>45065</v>
      </c>
      <c r="B65" s="21">
        <v>22</v>
      </c>
      <c r="C65" s="22" t="s">
        <v>131</v>
      </c>
      <c r="D65" s="17">
        <f t="shared" si="45"/>
        <v>1</v>
      </c>
      <c r="E65" s="33">
        <f t="shared" si="1"/>
        <v>0.65367294402460629</v>
      </c>
      <c r="F65" s="65" cm="1">
        <f t="array" ref="F65">IF(B65="","",0.1+IFERROR(INDEX($F$6:$F64,SUMPRODUCT(MAX(ROW($C$6:$C64)*($C65=$C$6:$C64))-ROW($A$5)))*0.9^($A65-INDEX($A$6:A64,SUMPRODUCT(MAX(ROW($C$6:$C64)*($C65=$C$6:$C64))-ROW($A$5)))),0))</f>
        <v>0.13138105960900004</v>
      </c>
      <c r="G65" s="25">
        <f>INDEX('Exercise list'!$Y$5:$Y$102,MATCH(C65,'Exercise list'!$C$5:$C$102,0))</f>
        <v>1</v>
      </c>
      <c r="H65" s="116">
        <f t="shared" si="46"/>
        <v>7.0222346944941533E-2</v>
      </c>
      <c r="I65" s="18">
        <f t="shared" si="47"/>
        <v>4</v>
      </c>
      <c r="J65" s="18">
        <v>0</v>
      </c>
      <c r="K65" s="17"/>
      <c r="L65" s="51"/>
      <c r="M65" s="18"/>
      <c r="N65" s="76"/>
      <c r="O65" s="19"/>
      <c r="P65" s="19">
        <f>IFERROR(INDEX('Exercise list'!$E$5:$X$102,MATCH($C65,'Exercise list'!$C$5:$C$102,0),MATCH(P$5,'Exercise list'!$E$4:$X$4,0)),0)</f>
        <v>0</v>
      </c>
      <c r="Q65" s="19">
        <f>IFERROR(INDEX('Exercise list'!$E$5:$X$102,MATCH($C65,'Exercise list'!$C$5:$C$102,0),MATCH(Q$5,'Exercise list'!$E$4:$X$4,0)),0)</f>
        <v>0</v>
      </c>
      <c r="R65" s="19">
        <f>IFERROR(INDEX('Exercise list'!$E$5:$X$102,MATCH($C65,'Exercise list'!$C$5:$C$102,0),MATCH(R$5,'Exercise list'!$E$4:$X$4,0)),0)</f>
        <v>0</v>
      </c>
      <c r="S65" s="19">
        <f>IFERROR(INDEX('Exercise list'!$E$5:$X$102,MATCH($C65,'Exercise list'!$C$5:$C$102,0),MATCH(S$5,'Exercise list'!$E$4:$X$4,0)),0)</f>
        <v>0</v>
      </c>
      <c r="T65" s="19">
        <f>IFERROR(INDEX('Exercise list'!$E$5:$X$102,MATCH($C65,'Exercise list'!$C$5:$C$102,0),MATCH(T$5,'Exercise list'!$E$4:$X$4,0)),0)</f>
        <v>0</v>
      </c>
      <c r="U65" s="19">
        <f>IFERROR(INDEX('Exercise list'!$E$5:$X$102,MATCH($C65,'Exercise list'!$C$5:$C$102,0),MATCH(U$5,'Exercise list'!$E$4:$X$4,0)),0)</f>
        <v>1</v>
      </c>
      <c r="V65" s="19">
        <f>IFERROR(INDEX('Exercise list'!$E$5:$X$102,MATCH($C65,'Exercise list'!$C$5:$C$102,0),MATCH(V$5,'Exercise list'!$E$4:$X$4,0)),0)</f>
        <v>0.5</v>
      </c>
      <c r="W65" s="19">
        <f>IFERROR(INDEX('Exercise list'!$E$5:$X$102,MATCH($C65,'Exercise list'!$C$5:$C$102,0),MATCH(W$5,'Exercise list'!$E$4:$X$4,0)),0)</f>
        <v>0</v>
      </c>
      <c r="X65" s="19">
        <f>IFERROR(INDEX('Exercise list'!$E$5:$X$102,MATCH($C65,'Exercise list'!$C$5:$C$102,0),MATCH(X$5,'Exercise list'!$E$4:$X$4,0)),0)</f>
        <v>0</v>
      </c>
      <c r="Y65" s="19">
        <f>IFERROR(INDEX('Exercise list'!$E$5:$X$102,MATCH($C65,'Exercise list'!$C$5:$C$102,0),MATCH(Y$5,'Exercise list'!$E$4:$X$4,0)),0)</f>
        <v>0</v>
      </c>
      <c r="Z65" s="19">
        <f>IFERROR(INDEX('Exercise list'!$E$5:$X$102,MATCH($C65,'Exercise list'!$C$5:$C$102,0),MATCH(Z$5,'Exercise list'!$E$4:$X$4,0)),0)</f>
        <v>0</v>
      </c>
      <c r="AA65" s="19">
        <f>IFERROR(INDEX('Exercise list'!$E$5:$X$102,MATCH($C65,'Exercise list'!$C$5:$C$102,0),MATCH(AA$5,'Exercise list'!$E$4:$X$4,0)),0)</f>
        <v>0</v>
      </c>
      <c r="AB65" s="19">
        <f>IFERROR(INDEX('Exercise list'!$E$5:$X$102,MATCH($C65,'Exercise list'!$C$5:$C$102,0),MATCH(AB$5,'Exercise list'!$E$4:$X$4,0)),0)</f>
        <v>0</v>
      </c>
      <c r="AC65" s="19">
        <f>IFERROR(INDEX('Exercise list'!$E$5:$X$102,MATCH($C65,'Exercise list'!$C$5:$C$102,0),MATCH(AC$5,'Exercise list'!$E$4:$X$4,0)),0)</f>
        <v>0</v>
      </c>
      <c r="AD65" s="19">
        <f>IFERROR(INDEX('Exercise list'!$E$5:$X$102,MATCH($C65,'Exercise list'!$C$5:$C$102,0),MATCH(AD$5,'Exercise list'!$E$4:$X$4,0)),0)</f>
        <v>0</v>
      </c>
      <c r="AE65" s="19">
        <f>IFERROR(INDEX('Exercise list'!$E$5:$X$102,MATCH($C65,'Exercise list'!$C$5:$C$102,0),MATCH(AE$5,'Exercise list'!$E$4:$X$4,0)),0)</f>
        <v>0</v>
      </c>
      <c r="AF65" s="19">
        <f>IFERROR(INDEX('Exercise list'!$E$5:$X$102,MATCH($C65,'Exercise list'!$C$5:$C$102,0),MATCH(AF$5,'Exercise list'!$E$4:$X$4,0)),0)</f>
        <v>0</v>
      </c>
      <c r="AG65" s="19">
        <f>IFERROR(INDEX('Exercise list'!$E$5:$X$102,MATCH($C65,'Exercise list'!$C$5:$C$102,0),MATCH(AG$5,'Exercise list'!$E$4:$X$4,0)),0)</f>
        <v>0</v>
      </c>
      <c r="AH65" s="19">
        <f>IFERROR(INDEX('Exercise list'!$E$5:$X$102,MATCH($C65,'Exercise list'!$C$5:$C$102,0),MATCH(AH$5,'Exercise list'!$E$4:$X$4,0)),0)</f>
        <v>0</v>
      </c>
      <c r="AI65" s="19">
        <f>IFERROR(INDEX('Exercise list'!$E$5:$X$102,MATCH($C65,'Exercise list'!$C$5:$C$102,0),MATCH(AI$5,'Exercise list'!$E$4:$X$4,0)),0)</f>
        <v>0</v>
      </c>
      <c r="AJ65" s="19"/>
      <c r="AK65" s="19">
        <f>IF(OR($J65=1,COUNTIFS($A$5:$A64,"&gt;="&amp;$A65-1,$A$5:$A64,"&lt;="&amp;$A65,$B$5:$B64,$B65)&gt;0,MIN(1-'Exercise list'!E$2,IF($A65=$A64,AK64,1))-P65&lt;0),-1,MIN(1,IF($A65=$A64,AK64,1)-P65+$D$2))</f>
        <v>1</v>
      </c>
      <c r="AL65" s="19">
        <f>IF(OR($J65=1,COUNTIFS($A$5:$A64,"&gt;="&amp;$A65-1,$A$5:$A64,"&lt;="&amp;$A65,$B$5:$B64,$B65)&gt;0,MIN(1-'Exercise list'!F$2,IF($A65=$A64,AL64,1))-Q65&lt;0),-1,MIN(1,IF($A65=$A64,AL64,1)-Q65+$D$2))</f>
        <v>1</v>
      </c>
      <c r="AM65" s="19">
        <f>IF(OR($J65=1,COUNTIFS($A$5:$A64,"&gt;="&amp;$A65-1,$A$5:$A64,"&lt;="&amp;$A65,$B$5:$B64,$B65)&gt;0,MIN(1-'Exercise list'!G$2,IF($A65=$A64,AM64,1))-R65&lt;0),-1,MIN(1,IF($A65=$A64,AM64,1)-R65+$D$2))</f>
        <v>1</v>
      </c>
      <c r="AN65" s="19">
        <f>IF(OR($J65=1,COUNTIFS($A$5:$A64,"&gt;="&amp;$A65-1,$A$5:$A64,"&lt;="&amp;$A65,$B$5:$B64,$B65)&gt;0,MIN(1-'Exercise list'!H$2,IF($A65=$A64,AN64,1))-S65&lt;0),-1,MIN(1,IF($A65=$A64,AN64,1)-S65+$D$2))</f>
        <v>1</v>
      </c>
      <c r="AO65" s="19">
        <f>IF(OR($J65=1,COUNTIFS($A$5:$A64,"&gt;="&amp;$A65-1,$A$5:$A64,"&lt;="&amp;$A65,$B$5:$B64,$B65)&gt;0,MIN(1-'Exercise list'!I$2,IF($A65=$A64,AO64,1))-T65&lt;0),-1,MIN(1,IF($A65=$A64,AO64,1)-T65+$D$2))</f>
        <v>1</v>
      </c>
      <c r="AP65" s="19">
        <f>IF(OR($J65=1,COUNTIFS($A$5:$A64,"&gt;="&amp;$A65-1,$A$5:$A64,"&lt;="&amp;$A65,$B$5:$B64,$B65)&gt;0,MIN(1-'Exercise list'!J$2,IF($A65=$A64,AP64,1))-U65&lt;0),-1,MIN(1,IF($A65=$A64,AP64,1)-U65+$D$2))</f>
        <v>1</v>
      </c>
      <c r="AQ65" s="19">
        <f>IF(OR($J65=1,COUNTIFS($A$5:$A64,"&gt;="&amp;$A65-1,$A$5:$A64,"&lt;="&amp;$A65,$B$5:$B64,$B65)&gt;0,MIN(1-'Exercise list'!K$2,IF($A65=$A64,AQ64,1))-V65&lt;0),-1,MIN(1,IF($A65=$A64,AQ64,1)-V65+$D$2))</f>
        <v>1</v>
      </c>
      <c r="AR65" s="19">
        <f>IF(OR($J65=1,COUNTIFS($A$5:$A64,"&gt;="&amp;$A65-1,$A$5:$A64,"&lt;="&amp;$A65,$B$5:$B64,$B65)&gt;0,MIN(1-'Exercise list'!L$2,IF($A65=$A64,AR64,1))-W65&lt;0),-1,MIN(1,IF($A65=$A64,AR64,1)-W65+$D$2))</f>
        <v>1</v>
      </c>
      <c r="AS65" s="19">
        <f>IF(OR($J65=1,COUNTIFS($A$5:$A64,"&gt;="&amp;$A65-1,$A$5:$A64,"&lt;="&amp;$A65,$B$5:$B64,$B65)&gt;0,MIN(1-'Exercise list'!M$2,IF($A65=$A64,AS64,1))-X65&lt;0),-1,MIN(1,IF($A65=$A64,AS64,1)-X65+$D$2))</f>
        <v>1</v>
      </c>
      <c r="AT65" s="19">
        <f>IF(OR($J65=1,COUNTIFS($A$5:$A64,"&gt;="&amp;$A65-1,$A$5:$A64,"&lt;="&amp;$A65,$B$5:$B64,$B65)&gt;0,MIN(1-'Exercise list'!N$2,IF($A65=$A64,AT64,1))-Y65&lt;0),-1,MIN(1,IF($A65=$A64,AT64,1)-Y65+$D$2))</f>
        <v>1</v>
      </c>
      <c r="AU65" s="19">
        <f>IF(OR($J65=1,COUNTIFS($A$5:$A64,"&gt;="&amp;$A65-1,$A$5:$A64,"&lt;="&amp;$A65,$B$5:$B64,$B65)&gt;0,MIN(1-'Exercise list'!O$2,IF($A65=$A64,AU64,1))-Z65&lt;0),-1,MIN(1,IF($A65=$A64,AU64,1)-Z65+$D$2))</f>
        <v>1</v>
      </c>
      <c r="AV65" s="19">
        <f>IF(OR($J65=1,COUNTIFS($A$5:$A64,"&gt;="&amp;$A65-1,$A$5:$A64,"&lt;="&amp;$A65,$B$5:$B64,$B65)&gt;0,MIN(1-'Exercise list'!P$2,IF($A65=$A64,AV64,1))-AA65&lt;0),-1,MIN(1,IF($A65=$A64,AV64,1)-AA65+$D$2))</f>
        <v>1</v>
      </c>
      <c r="AW65" s="19">
        <f>IF(OR($J65=1,COUNTIFS($A$5:$A64,"&gt;="&amp;$A65-1,$A$5:$A64,"&lt;="&amp;$A65,$B$5:$B64,$B65)&gt;0,MIN(1-'Exercise list'!Q$2,IF($A65=$A64,AW64,1))-AB65&lt;0),-1,MIN(1,IF($A65=$A64,AW64,1)-AB65+$D$2))</f>
        <v>1</v>
      </c>
      <c r="AX65" s="19">
        <f>IF(OR($J65=1,COUNTIFS($A$5:$A64,"&gt;="&amp;$A65-1,$A$5:$A64,"&lt;="&amp;$A65,$B$5:$B64,$B65)&gt;0,MIN(1-'Exercise list'!R$2,IF($A65=$A64,AX64,1))-AC65&lt;0),-1,MIN(1,IF($A65=$A64,AX64,1)-AC65+$D$2))</f>
        <v>1</v>
      </c>
      <c r="AY65" s="19">
        <f>IF(OR($J65=1,COUNTIFS($A$5:$A64,"&gt;="&amp;$A65-1,$A$5:$A64,"&lt;="&amp;$A65,$B$5:$B64,$B65)&gt;0,MIN(1-'Exercise list'!S$2,IF($A65=$A64,AY64,1))-AD65&lt;0),-1,MIN(1,IF($A65=$A64,AY64,1)-AD65+$D$2))</f>
        <v>1</v>
      </c>
      <c r="AZ65" s="19">
        <f>IF(OR($J65=1,COUNTIFS($A$5:$A64,"&gt;="&amp;$A65-1,$A$5:$A64,"&lt;="&amp;$A65,$B$5:$B64,$B65)&gt;0,MIN(1-'Exercise list'!T$2,IF($A65=$A64,AZ64,1))-AE65&lt;0),-1,MIN(1,IF($A65=$A64,AZ64,1)-AE65+$D$2))</f>
        <v>1</v>
      </c>
      <c r="BA65" s="19">
        <f>IF(OR($J65=1,COUNTIFS($A$5:$A64,"&gt;="&amp;$A65-1,$A$5:$A64,"&lt;="&amp;$A65,$B$5:$B64,$B65)&gt;0,MIN(1-'Exercise list'!U$2,IF($A65=$A64,BA64,1))-AF65&lt;0),-1,MIN(1,IF($A65=$A64,BA64,1)-AF65+$D$2))</f>
        <v>1</v>
      </c>
      <c r="BB65" s="19">
        <f>IF(OR($J65=1,COUNTIFS($A$5:$A64,"&gt;="&amp;$A65-1,$A$5:$A64,"&lt;="&amp;$A65,$B$5:$B64,$B65)&gt;0,MIN(1-'Exercise list'!V$2,IF($A65=$A64,BB64,1))-AG65&lt;0),-1,MIN(1,IF($A65=$A64,BB64,1)-AG65+$D$2))</f>
        <v>1</v>
      </c>
      <c r="BC65" s="19">
        <f>IF(OR($J65=1,COUNTIFS($A$5:$A64,"&gt;="&amp;$A65-1,$A$5:$A64,"&lt;="&amp;$A65,$B$5:$B64,$B65)&gt;0,MIN(1-'Exercise list'!W$2,IF($A65=$A64,BC64,1))-AH65&lt;0),-1,MIN(1,IF($A65=$A64,BC64,1)-AH65+$D$2))</f>
        <v>1</v>
      </c>
      <c r="BD65" s="19">
        <f>IF(OR($J65=1,COUNTIFS($A$5:$A64,"&gt;="&amp;$A65-1,$A$5:$A64,"&lt;="&amp;$A65,$B$5:$B64,$B65)&gt;0,MIN(1-'Exercise list'!X$2,IF($A65=$A64,BD64,1))-AI65&lt;0),-1,MIN(1,IF($A65=$A64,BD64,1)-AI65+$D$2))</f>
        <v>1</v>
      </c>
      <c r="BE65" s="19"/>
      <c r="BF65" s="23">
        <f t="shared" si="24"/>
        <v>0.10673193463630086</v>
      </c>
      <c r="BG65" s="23">
        <f t="shared" si="25"/>
        <v>0.17089563118922454</v>
      </c>
      <c r="BH65" s="23">
        <f t="shared" si="26"/>
        <v>0.13348681450407313</v>
      </c>
      <c r="BI65" s="23">
        <f t="shared" si="27"/>
        <v>0.13634483619392126</v>
      </c>
      <c r="BJ65" s="23">
        <f t="shared" si="28"/>
        <v>0.25093435030507494</v>
      </c>
      <c r="BK65" s="23">
        <f t="shared" si="29"/>
        <v>7.5238244252319675E-2</v>
      </c>
      <c r="BL65" s="23">
        <f t="shared" si="30"/>
        <v>9.0320365785899914E-2</v>
      </c>
      <c r="BM65" s="23">
        <f t="shared" si="31"/>
        <v>2.9233662949609822E-2</v>
      </c>
      <c r="BN65" s="23">
        <f t="shared" si="32"/>
        <v>9.5850796053691234E-2</v>
      </c>
      <c r="BO65" s="23">
        <f t="shared" si="33"/>
        <v>9.5231447389656151E-2</v>
      </c>
      <c r="BP65" s="23">
        <f t="shared" si="34"/>
        <v>0.30961573269022563</v>
      </c>
      <c r="BQ65" s="23">
        <f t="shared" si="35"/>
        <v>5.9242582852750039E-2</v>
      </c>
      <c r="BR65" s="23">
        <f t="shared" si="36"/>
        <v>0.15616395809855829</v>
      </c>
      <c r="BS65" s="23">
        <f t="shared" si="37"/>
        <v>3.5343853502555291E-2</v>
      </c>
      <c r="BT65" s="23">
        <f t="shared" si="38"/>
        <v>0.21743482174999729</v>
      </c>
      <c r="BU65" s="23">
        <f t="shared" si="39"/>
        <v>0.27884186320047527</v>
      </c>
      <c r="BV65" s="23">
        <f t="shared" si="40"/>
        <v>0.31911724313802642</v>
      </c>
      <c r="BW65" s="23">
        <f t="shared" si="41"/>
        <v>9.7017612576241988E-2</v>
      </c>
      <c r="BX65" s="23">
        <f t="shared" si="42"/>
        <v>0.10099347157790511</v>
      </c>
      <c r="BY65" s="23">
        <f t="shared" si="43"/>
        <v>3.2711086413737843E-2</v>
      </c>
      <c r="BZ65" s="19"/>
      <c r="CA65" s="23">
        <f t="shared" si="4"/>
        <v>9.9990310479272829E-2</v>
      </c>
      <c r="CB65" s="23">
        <f t="shared" si="5"/>
        <v>3.5826613926349143E-2</v>
      </c>
      <c r="CC65" s="23">
        <f t="shared" si="6"/>
        <v>0</v>
      </c>
      <c r="CD65" s="23">
        <f t="shared" si="7"/>
        <v>0</v>
      </c>
      <c r="CE65" s="23">
        <f t="shared" si="8"/>
        <v>0</v>
      </c>
      <c r="CF65" s="23">
        <f t="shared" si="9"/>
        <v>0.23484512342104091</v>
      </c>
      <c r="CG65" s="23">
        <f t="shared" si="10"/>
        <v>1.304075677188693E-2</v>
      </c>
      <c r="CH65" s="23">
        <f t="shared" si="11"/>
        <v>7.4127459608177015E-2</v>
      </c>
      <c r="CI65" s="23">
        <f t="shared" si="12"/>
        <v>0.11087144906188245</v>
      </c>
      <c r="CJ65" s="23">
        <f t="shared" si="13"/>
        <v>8.1296751681306928E-3</v>
      </c>
      <c r="CK65" s="23">
        <f t="shared" si="14"/>
        <v>0</v>
      </c>
      <c r="CL65" s="23">
        <f t="shared" si="15"/>
        <v>4.4118539705036805E-2</v>
      </c>
      <c r="CM65" s="23">
        <f t="shared" si="16"/>
        <v>5.0558287017015396E-2</v>
      </c>
      <c r="CN65" s="23">
        <f t="shared" si="17"/>
        <v>6.8017269055231561E-2</v>
      </c>
      <c r="CO65" s="23">
        <f t="shared" si="18"/>
        <v>0</v>
      </c>
      <c r="CP65" s="23">
        <f t="shared" si="19"/>
        <v>0</v>
      </c>
      <c r="CQ65" s="23">
        <f t="shared" si="20"/>
        <v>0</v>
      </c>
      <c r="CR65" s="23">
        <f t="shared" si="21"/>
        <v>6.3435099815448565E-3</v>
      </c>
      <c r="CS65" s="23">
        <f t="shared" si="22"/>
        <v>2.3676509798817302E-3</v>
      </c>
      <c r="CT65" s="23">
        <f t="shared" si="23"/>
        <v>7.0650036144048994E-2</v>
      </c>
      <c r="CU65" s="19"/>
      <c r="CV65" s="102"/>
    </row>
    <row r="66" spans="1:100" x14ac:dyDescent="0.25">
      <c r="A66" s="13">
        <v>45067</v>
      </c>
      <c r="B66" s="14">
        <v>37</v>
      </c>
      <c r="C66" s="15" t="str" cm="1">
        <f t="array" ref="C66">IF(B66="","",INDEX('Exercise list'!$C$5:$C$102,B66))</f>
        <v>Barbell low-bar squats</v>
      </c>
      <c r="D66" s="12">
        <f t="shared" ref="D66:D68" si="48">IF(C66="","",MIN(AK66:BD66))</f>
        <v>1</v>
      </c>
      <c r="E66" s="32">
        <f>IF(C66="","",IFERROR((F66/$F$3)^-$F$2*(G66/$G$3)^IF(B66&gt;5,$G$2,0)*(H66/H65)^-$H$2,0))</f>
        <v>1.5094912100793982</v>
      </c>
      <c r="F66" s="63" cm="1">
        <f t="array" ref="F66">IF(B66="","",0.1+IFERROR(INDEX($F$6:$F65,SUMPRODUCT(MAX(ROW($C$6:$C65)*($C66=$C$6:$C65))-ROW($A$5)))*0.9^($A66-INDEX($A$6:A65,SUMPRODUCT(MAX(ROW($C$6:$C65)*($C66=$C$6:$C65))-ROW($A$5)))),0))</f>
        <v>0.13955397415462761</v>
      </c>
      <c r="G66" s="64">
        <f>INDEX('Exercise list'!$Y$5:$Y$102,MATCH(C66,'Exercise list'!$C$5:$C$102,0))</f>
        <v>3</v>
      </c>
      <c r="H66" s="115">
        <f t="shared" ref="H66:H68" si="49">SQRT(SUMPRODUCT(CA66:CT66,CA66:CT66)/20)</f>
        <v>7.5116327264389798E-2</v>
      </c>
      <c r="I66" s="6">
        <f t="shared" ref="I66:I68" si="50">IF(A66&gt;A65,1,IF(A66&gt;A64,2,IF(A66&gt;A63,3,IF(A66&gt;A62,4,5))))</f>
        <v>1</v>
      </c>
      <c r="J66" s="6" cm="1">
        <f t="array" ref="J66">IF(B66="","",INDEX('Exercise list'!$D$5:$D$102,B66))</f>
        <v>0</v>
      </c>
      <c r="K66" s="12">
        <v>7</v>
      </c>
      <c r="L66" s="74" t="str" cm="1">
        <f t="array" ref="L66">IF(K66="","",INDEX('Exercise list'!$C$5:$C$102,K66))</f>
        <v>Barbell bent-over rows</v>
      </c>
      <c r="M66" s="6">
        <v>17</v>
      </c>
      <c r="N66" s="75" t="str" cm="1">
        <f t="array" ref="N66">IF(M66="","",INDEX('Exercise list'!$C$5:$C$102,M66))</f>
        <v>Romanian deadlifts</v>
      </c>
      <c r="P66">
        <f>IFERROR(INDEX('Exercise list'!$E$5:$X$102,MATCH($C66,'Exercise list'!$C$5:$C$102,0),MATCH(P$5,'Exercise list'!$E$4:$X$4,0)),0)</f>
        <v>0</v>
      </c>
      <c r="Q66">
        <f>IFERROR(INDEX('Exercise list'!$E$5:$X$102,MATCH($C66,'Exercise list'!$C$5:$C$102,0),MATCH(Q$5,'Exercise list'!$E$4:$X$4,0)),0)</f>
        <v>0</v>
      </c>
      <c r="R66">
        <f>IFERROR(INDEX('Exercise list'!$E$5:$X$102,MATCH($C66,'Exercise list'!$C$5:$C$102,0),MATCH(R$5,'Exercise list'!$E$4:$X$4,0)),0)</f>
        <v>0</v>
      </c>
      <c r="S66">
        <f>IFERROR(INDEX('Exercise list'!$E$5:$X$102,MATCH($C66,'Exercise list'!$C$5:$C$102,0),MATCH(S$5,'Exercise list'!$E$4:$X$4,0)),0)</f>
        <v>0</v>
      </c>
      <c r="T66">
        <f>IFERROR(INDEX('Exercise list'!$E$5:$X$102,MATCH($C66,'Exercise list'!$C$5:$C$102,0),MATCH(T$5,'Exercise list'!$E$4:$X$4,0)),0)</f>
        <v>0.5</v>
      </c>
      <c r="U66">
        <f>IFERROR(INDEX('Exercise list'!$E$5:$X$102,MATCH($C66,'Exercise list'!$C$5:$C$102,0),MATCH(U$5,'Exercise list'!$E$4:$X$4,0)),0)</f>
        <v>0</v>
      </c>
      <c r="V66">
        <f>IFERROR(INDEX('Exercise list'!$E$5:$X$102,MATCH($C66,'Exercise list'!$C$5:$C$102,0),MATCH(V$5,'Exercise list'!$E$4:$X$4,0)),0)</f>
        <v>0</v>
      </c>
      <c r="W66">
        <f>IFERROR(INDEX('Exercise list'!$E$5:$X$102,MATCH($C66,'Exercise list'!$C$5:$C$102,0),MATCH(W$5,'Exercise list'!$E$4:$X$4,0)),0)</f>
        <v>0</v>
      </c>
      <c r="X66">
        <f>IFERROR(INDEX('Exercise list'!$E$5:$X$102,MATCH($C66,'Exercise list'!$C$5:$C$102,0),MATCH(X$5,'Exercise list'!$E$4:$X$4,0)),0)</f>
        <v>0</v>
      </c>
      <c r="Y66">
        <f>IFERROR(INDEX('Exercise list'!$E$5:$X$102,MATCH($C66,'Exercise list'!$C$5:$C$102,0),MATCH(Y$5,'Exercise list'!$E$4:$X$4,0)),0)</f>
        <v>0</v>
      </c>
      <c r="Z66">
        <f>IFERROR(INDEX('Exercise list'!$E$5:$X$102,MATCH($C66,'Exercise list'!$C$5:$C$102,0),MATCH(Z$5,'Exercise list'!$E$4:$X$4,0)),0)</f>
        <v>0</v>
      </c>
      <c r="AA66">
        <f>IFERROR(INDEX('Exercise list'!$E$5:$X$102,MATCH($C66,'Exercise list'!$C$5:$C$102,0),MATCH(AA$5,'Exercise list'!$E$4:$X$4,0)),0)</f>
        <v>0</v>
      </c>
      <c r="AB66">
        <f>IFERROR(INDEX('Exercise list'!$E$5:$X$102,MATCH($C66,'Exercise list'!$C$5:$C$102,0),MATCH(AB$5,'Exercise list'!$E$4:$X$4,0)),0)</f>
        <v>0.5</v>
      </c>
      <c r="AC66">
        <f>IFERROR(INDEX('Exercise list'!$E$5:$X$102,MATCH($C66,'Exercise list'!$C$5:$C$102,0),MATCH(AC$5,'Exercise list'!$E$4:$X$4,0)),0)</f>
        <v>0</v>
      </c>
      <c r="AD66">
        <f>IFERROR(INDEX('Exercise list'!$E$5:$X$102,MATCH($C66,'Exercise list'!$C$5:$C$102,0),MATCH(AD$5,'Exercise list'!$E$4:$X$4,0)),0)</f>
        <v>0.8</v>
      </c>
      <c r="AE66">
        <f>IFERROR(INDEX('Exercise list'!$E$5:$X$102,MATCH($C66,'Exercise list'!$C$5:$C$102,0),MATCH(AE$5,'Exercise list'!$E$4:$X$4,0)),0)</f>
        <v>0.7</v>
      </c>
      <c r="AF66">
        <f>IFERROR(INDEX('Exercise list'!$E$5:$X$102,MATCH($C66,'Exercise list'!$C$5:$C$102,0),MATCH(AF$5,'Exercise list'!$E$4:$X$4,0)),0)</f>
        <v>0.9</v>
      </c>
      <c r="AG66">
        <f>IFERROR(INDEX('Exercise list'!$E$5:$X$102,MATCH($C66,'Exercise list'!$C$5:$C$102,0),MATCH(AG$5,'Exercise list'!$E$4:$X$4,0)),0)</f>
        <v>0.5</v>
      </c>
      <c r="AH66">
        <f>IFERROR(INDEX('Exercise list'!$E$5:$X$102,MATCH($C66,'Exercise list'!$C$5:$C$102,0),MATCH(AH$5,'Exercise list'!$E$4:$X$4,0)),0)</f>
        <v>0.5</v>
      </c>
      <c r="AI66">
        <f>IFERROR(INDEX('Exercise list'!$E$5:$X$102,MATCH($C66,'Exercise list'!$C$5:$C$102,0),MATCH(AI$5,'Exercise list'!$E$4:$X$4,0)),0)</f>
        <v>0</v>
      </c>
      <c r="AK66">
        <f>IF(OR($J66=1,COUNTIFS($A$5:$A65,"&gt;="&amp;$A66-1,$A$5:$A65,"&lt;="&amp;$A66,$B$5:$B65,$B66)&gt;0,MIN(1-'Exercise list'!E$2,IF($A66=$A65,AK65,1))-P66&lt;0),-1,MIN(1,IF($A66=$A65,AK65,1)-P66+$D$2))</f>
        <v>1</v>
      </c>
      <c r="AL66">
        <f>IF(OR($J66=1,COUNTIFS($A$5:$A65,"&gt;="&amp;$A66-1,$A$5:$A65,"&lt;="&amp;$A66,$B$5:$B65,$B66)&gt;0,MIN(1-'Exercise list'!F$2,IF($A66=$A65,AL65,1))-Q66&lt;0),-1,MIN(1,IF($A66=$A65,AL65,1)-Q66+$D$2))</f>
        <v>1</v>
      </c>
      <c r="AM66">
        <f>IF(OR($J66=1,COUNTIFS($A$5:$A65,"&gt;="&amp;$A66-1,$A$5:$A65,"&lt;="&amp;$A66,$B$5:$B65,$B66)&gt;0,MIN(1-'Exercise list'!G$2,IF($A66=$A65,AM65,1))-R66&lt;0),-1,MIN(1,IF($A66=$A65,AM65,1)-R66+$D$2))</f>
        <v>1</v>
      </c>
      <c r="AN66">
        <f>IF(OR($J66=1,COUNTIFS($A$5:$A65,"&gt;="&amp;$A66-1,$A$5:$A65,"&lt;="&amp;$A66,$B$5:$B65,$B66)&gt;0,MIN(1-'Exercise list'!H$2,IF($A66=$A65,AN65,1))-S66&lt;0),-1,MIN(1,IF($A66=$A65,AN65,1)-S66+$D$2))</f>
        <v>1</v>
      </c>
      <c r="AO66">
        <f>IF(OR($J66=1,COUNTIFS($A$5:$A65,"&gt;="&amp;$A66-1,$A$5:$A65,"&lt;="&amp;$A66,$B$5:$B65,$B66)&gt;0,MIN(1-'Exercise list'!I$2,IF($A66=$A65,AO65,1))-T66&lt;0),-1,MIN(1,IF($A66=$A65,AO65,1)-T66+$D$2))</f>
        <v>1</v>
      </c>
      <c r="AP66">
        <f>IF(OR($J66=1,COUNTIFS($A$5:$A65,"&gt;="&amp;$A66-1,$A$5:$A65,"&lt;="&amp;$A66,$B$5:$B65,$B66)&gt;0,MIN(1-'Exercise list'!J$2,IF($A66=$A65,AP65,1))-U66&lt;0),-1,MIN(1,IF($A66=$A65,AP65,1)-U66+$D$2))</f>
        <v>1</v>
      </c>
      <c r="AQ66">
        <f>IF(OR($J66=1,COUNTIFS($A$5:$A65,"&gt;="&amp;$A66-1,$A$5:$A65,"&lt;="&amp;$A66,$B$5:$B65,$B66)&gt;0,MIN(1-'Exercise list'!K$2,IF($A66=$A65,AQ65,1))-V66&lt;0),-1,MIN(1,IF($A66=$A65,AQ65,1)-V66+$D$2))</f>
        <v>1</v>
      </c>
      <c r="AR66">
        <f>IF(OR($J66=1,COUNTIFS($A$5:$A65,"&gt;="&amp;$A66-1,$A$5:$A65,"&lt;="&amp;$A66,$B$5:$B65,$B66)&gt;0,MIN(1-'Exercise list'!L$2,IF($A66=$A65,AR65,1))-W66&lt;0),-1,MIN(1,IF($A66=$A65,AR65,1)-W66+$D$2))</f>
        <v>1</v>
      </c>
      <c r="AS66">
        <f>IF(OR($J66=1,COUNTIFS($A$5:$A65,"&gt;="&amp;$A66-1,$A$5:$A65,"&lt;="&amp;$A66,$B$5:$B65,$B66)&gt;0,MIN(1-'Exercise list'!M$2,IF($A66=$A65,AS65,1))-X66&lt;0),-1,MIN(1,IF($A66=$A65,AS65,1)-X66+$D$2))</f>
        <v>1</v>
      </c>
      <c r="AT66">
        <f>IF(OR($J66=1,COUNTIFS($A$5:$A65,"&gt;="&amp;$A66-1,$A$5:$A65,"&lt;="&amp;$A66,$B$5:$B65,$B66)&gt;0,MIN(1-'Exercise list'!N$2,IF($A66=$A65,AT65,1))-Y66&lt;0),-1,MIN(1,IF($A66=$A65,AT65,1)-Y66+$D$2))</f>
        <v>1</v>
      </c>
      <c r="AU66">
        <f>IF(OR($J66=1,COUNTIFS($A$5:$A65,"&gt;="&amp;$A66-1,$A$5:$A65,"&lt;="&amp;$A66,$B$5:$B65,$B66)&gt;0,MIN(1-'Exercise list'!O$2,IF($A66=$A65,AU65,1))-Z66&lt;0),-1,MIN(1,IF($A66=$A65,AU65,1)-Z66+$D$2))</f>
        <v>1</v>
      </c>
      <c r="AV66">
        <f>IF(OR($J66=1,COUNTIFS($A$5:$A65,"&gt;="&amp;$A66-1,$A$5:$A65,"&lt;="&amp;$A66,$B$5:$B65,$B66)&gt;0,MIN(1-'Exercise list'!P$2,IF($A66=$A65,AV65,1))-AA66&lt;0),-1,MIN(1,IF($A66=$A65,AV65,1)-AA66+$D$2))</f>
        <v>1</v>
      </c>
      <c r="AW66">
        <f>IF(OR($J66=1,COUNTIFS($A$5:$A65,"&gt;="&amp;$A66-1,$A$5:$A65,"&lt;="&amp;$A66,$B$5:$B65,$B66)&gt;0,MIN(1-'Exercise list'!Q$2,IF($A66=$A65,AW65,1))-AB66&lt;0),-1,MIN(1,IF($A66=$A65,AW65,1)-AB66+$D$2))</f>
        <v>1</v>
      </c>
      <c r="AX66">
        <f>IF(OR($J66=1,COUNTIFS($A$5:$A65,"&gt;="&amp;$A66-1,$A$5:$A65,"&lt;="&amp;$A66,$B$5:$B65,$B66)&gt;0,MIN(1-'Exercise list'!R$2,IF($A66=$A65,AX65,1))-AC66&lt;0),-1,MIN(1,IF($A66=$A65,AX65,1)-AC66+$D$2))</f>
        <v>1</v>
      </c>
      <c r="AY66">
        <f>IF(OR($J66=1,COUNTIFS($A$5:$A65,"&gt;="&amp;$A66-1,$A$5:$A65,"&lt;="&amp;$A66,$B$5:$B65,$B66)&gt;0,MIN(1-'Exercise list'!S$2,IF($A66=$A65,AY65,1))-AD66&lt;0),-1,MIN(1,IF($A66=$A65,AY65,1)-AD66+$D$2))</f>
        <v>1</v>
      </c>
      <c r="AZ66">
        <f>IF(OR($J66=1,COUNTIFS($A$5:$A65,"&gt;="&amp;$A66-1,$A$5:$A65,"&lt;="&amp;$A66,$B$5:$B65,$B66)&gt;0,MIN(1-'Exercise list'!T$2,IF($A66=$A65,AZ65,1))-AE66&lt;0),-1,MIN(1,IF($A66=$A65,AZ65,1)-AE66+$D$2))</f>
        <v>1</v>
      </c>
      <c r="BA66">
        <f>IF(OR($J66=1,COUNTIFS($A$5:$A65,"&gt;="&amp;$A66-1,$A$5:$A65,"&lt;="&amp;$A66,$B$5:$B65,$B66)&gt;0,MIN(1-'Exercise list'!U$2,IF($A66=$A65,BA65,1))-AF66&lt;0),-1,MIN(1,IF($A66=$A65,BA65,1)-AF66+$D$2))</f>
        <v>1</v>
      </c>
      <c r="BB66">
        <f>IF(OR($J66=1,COUNTIFS($A$5:$A65,"&gt;="&amp;$A66-1,$A$5:$A65,"&lt;="&amp;$A66,$B$5:$B65,$B66)&gt;0,MIN(1-'Exercise list'!V$2,IF($A66=$A65,BB65,1))-AG66&lt;0),-1,MIN(1,IF($A66=$A65,BB65,1)-AG66+$D$2))</f>
        <v>1</v>
      </c>
      <c r="BC66">
        <f>IF(OR($J66=1,COUNTIFS($A$5:$A65,"&gt;="&amp;$A66-1,$A$5:$A65,"&lt;="&amp;$A66,$B$5:$B65,$B66)&gt;0,MIN(1-'Exercise list'!W$2,IF($A66=$A65,BC65,1))-AH66&lt;0),-1,MIN(1,IF($A66=$A65,BC65,1)-AH66+$D$2))</f>
        <v>1</v>
      </c>
      <c r="BD66">
        <f>IF(OR($J66=1,COUNTIFS($A$5:$A65,"&gt;="&amp;$A66-1,$A$5:$A65,"&lt;="&amp;$A66,$B$5:$B65,$B66)&gt;0,MIN(1-'Exercise list'!X$2,IF($A66=$A65,BD65,1))-AI66&lt;0),-1,MIN(1,IF($A66=$A65,BD65,1)-AI66+$D$2))</f>
        <v>1</v>
      </c>
      <c r="BF66" s="16">
        <f t="shared" si="24"/>
        <v>0.10139533790448581</v>
      </c>
      <c r="BG66" s="16">
        <f t="shared" si="25"/>
        <v>0.16235084962976332</v>
      </c>
      <c r="BH66" s="16">
        <f t="shared" si="26"/>
        <v>0.12681247377886945</v>
      </c>
      <c r="BI66" s="16">
        <f t="shared" si="27"/>
        <v>0.1295275943842252</v>
      </c>
      <c r="BJ66" s="16">
        <f t="shared" si="28"/>
        <v>0.26338763278982119</v>
      </c>
      <c r="BK66" s="16">
        <f t="shared" si="29"/>
        <v>7.1476332039703688E-2</v>
      </c>
      <c r="BL66" s="16">
        <f t="shared" si="30"/>
        <v>8.5804347496604913E-2</v>
      </c>
      <c r="BM66" s="16">
        <f t="shared" si="31"/>
        <v>2.777197980212933E-2</v>
      </c>
      <c r="BN66" s="16">
        <f t="shared" si="32"/>
        <v>9.1058256251006664E-2</v>
      </c>
      <c r="BO66" s="16">
        <f t="shared" si="33"/>
        <v>9.046987502017334E-2</v>
      </c>
      <c r="BP66" s="16">
        <f t="shared" si="34"/>
        <v>0.29413494605571433</v>
      </c>
      <c r="BQ66" s="16">
        <f t="shared" si="35"/>
        <v>5.6280453710112532E-2</v>
      </c>
      <c r="BR66" s="16">
        <f t="shared" si="36"/>
        <v>0.17335576019363036</v>
      </c>
      <c r="BS66" s="16">
        <f t="shared" si="37"/>
        <v>3.3576660827427524E-2</v>
      </c>
      <c r="BT66" s="16">
        <f t="shared" si="38"/>
        <v>0.24656308066249741</v>
      </c>
      <c r="BU66" s="16">
        <f t="shared" si="39"/>
        <v>0.29989977004045149</v>
      </c>
      <c r="BV66" s="16">
        <f t="shared" si="40"/>
        <v>0.34816138098112509</v>
      </c>
      <c r="BW66" s="16">
        <f t="shared" si="41"/>
        <v>0.11716673194742988</v>
      </c>
      <c r="BX66" s="16">
        <f t="shared" si="42"/>
        <v>0.12094379799900987</v>
      </c>
      <c r="BY66" s="16">
        <f t="shared" si="43"/>
        <v>3.1075532093050948E-2</v>
      </c>
      <c r="CA66" s="16">
        <f t="shared" si="4"/>
        <v>0.1112870912516055</v>
      </c>
      <c r="CB66" s="16">
        <f t="shared" si="5"/>
        <v>5.0331579526327996E-2</v>
      </c>
      <c r="CC66" s="16">
        <f t="shared" si="6"/>
        <v>0</v>
      </c>
      <c r="CD66" s="16">
        <f t="shared" si="7"/>
        <v>0</v>
      </c>
      <c r="CE66" s="16">
        <f t="shared" si="8"/>
        <v>0</v>
      </c>
      <c r="CF66" s="16">
        <f t="shared" si="9"/>
        <v>0.24754731169443331</v>
      </c>
      <c r="CG66" s="16">
        <f t="shared" si="10"/>
        <v>2.0536867081440743E-2</v>
      </c>
      <c r="CH66" s="16">
        <f t="shared" si="11"/>
        <v>7.8569234775916319E-2</v>
      </c>
      <c r="CI66" s="16">
        <f t="shared" si="12"/>
        <v>0.12162417290508465</v>
      </c>
      <c r="CJ66" s="16">
        <f t="shared" si="13"/>
        <v>1.5871339557872316E-2</v>
      </c>
      <c r="CK66" s="16">
        <f t="shared" si="14"/>
        <v>0</v>
      </c>
      <c r="CL66" s="16">
        <f t="shared" si="15"/>
        <v>5.0060760867933124E-2</v>
      </c>
      <c r="CM66" s="16">
        <f t="shared" si="16"/>
        <v>3.9326668962460953E-2</v>
      </c>
      <c r="CN66" s="16">
        <f t="shared" si="17"/>
        <v>7.2764553750618133E-2</v>
      </c>
      <c r="CO66" s="16">
        <f t="shared" si="18"/>
        <v>0</v>
      </c>
      <c r="CP66" s="16">
        <f t="shared" si="19"/>
        <v>0</v>
      </c>
      <c r="CQ66" s="16">
        <f t="shared" si="20"/>
        <v>0</v>
      </c>
      <c r="CR66" s="16">
        <f t="shared" si="21"/>
        <v>0</v>
      </c>
      <c r="CS66" s="16">
        <f t="shared" si="22"/>
        <v>0</v>
      </c>
      <c r="CT66" s="16">
        <f t="shared" si="23"/>
        <v>7.5265682484994711E-2</v>
      </c>
    </row>
    <row r="67" spans="1:100" x14ac:dyDescent="0.25">
      <c r="A67" s="13">
        <v>45067</v>
      </c>
      <c r="B67" s="14">
        <v>7</v>
      </c>
      <c r="C67" s="15" t="str" cm="1">
        <f t="array" ref="C67">IF(B67="","",INDEX('Exercise list'!$C$5:$C$102,B67))</f>
        <v>Barbell bent-over rows</v>
      </c>
      <c r="D67" s="12">
        <f t="shared" si="48"/>
        <v>-1</v>
      </c>
      <c r="E67" s="32">
        <f t="shared" ref="E67:E68" si="51">IF(C67="","",IFERROR((F67/$F$3)^-$F$2*(G67/$G$3)^IF(B67&gt;5,$G$2,0)*(H67/H66)^-$H$2,0))</f>
        <v>1.3470554673361776</v>
      </c>
      <c r="F67" s="63" cm="1">
        <f t="array" ref="F67">IF(B67="","",0.1+IFERROR(INDEX($F$6:$F66,SUMPRODUCT(MAX(ROW($C$6:$C66)*($C67=$C$6:$C66))-ROW($A$5)))*0.9^($A67-INDEX($A$6:A66,SUMPRODUCT(MAX(ROW($C$6:$C66)*($C67=$C$6:$C66))-ROW($A$5)))),0))</f>
        <v>0.16283915352969996</v>
      </c>
      <c r="G67" s="64">
        <f>INDEX('Exercise list'!$Y$5:$Y$102,MATCH(C67,'Exercise list'!$C$5:$C$102,0))</f>
        <v>3</v>
      </c>
      <c r="H67" s="115">
        <f t="shared" si="49"/>
        <v>7.7165261553525002E-2</v>
      </c>
      <c r="I67" s="6">
        <f t="shared" si="50"/>
        <v>2</v>
      </c>
      <c r="J67" s="6" cm="1">
        <f t="array" ref="J67">IF(B67="","",INDEX('Exercise list'!$D$5:$D$102,B67))</f>
        <v>1</v>
      </c>
      <c r="K67" s="12">
        <v>14</v>
      </c>
      <c r="L67" s="74" t="str" cm="1">
        <f t="array" ref="L67">IF(K67="","",INDEX('Exercise list'!$C$5:$C$102,K67))</f>
        <v>Machine seated rows</v>
      </c>
      <c r="M67" s="6">
        <v>10</v>
      </c>
      <c r="N67" s="75" t="str" cm="1">
        <f t="array" ref="N67">IF(M67="","",INDEX('Exercise list'!$C$5:$C$102,M67))</f>
        <v>Cable seated rows</v>
      </c>
      <c r="P67">
        <f>IFERROR(INDEX('Exercise list'!$E$5:$X$102,MATCH($C67,'Exercise list'!$C$5:$C$102,0),MATCH(P$5,'Exercise list'!$E$4:$X$4,0)),0)</f>
        <v>0</v>
      </c>
      <c r="Q67">
        <f>IFERROR(INDEX('Exercise list'!$E$5:$X$102,MATCH($C67,'Exercise list'!$C$5:$C$102,0),MATCH(Q$5,'Exercise list'!$E$4:$X$4,0)),0)</f>
        <v>1</v>
      </c>
      <c r="R67">
        <f>IFERROR(INDEX('Exercise list'!$E$5:$X$102,MATCH($C67,'Exercise list'!$C$5:$C$102,0),MATCH(R$5,'Exercise list'!$E$4:$X$4,0)),0)</f>
        <v>0.7</v>
      </c>
      <c r="S67">
        <f>IFERROR(INDEX('Exercise list'!$E$5:$X$102,MATCH($C67,'Exercise list'!$C$5:$C$102,0),MATCH(S$5,'Exercise list'!$E$4:$X$4,0)),0)</f>
        <v>0.7</v>
      </c>
      <c r="T67">
        <f>IFERROR(INDEX('Exercise list'!$E$5:$X$102,MATCH($C67,'Exercise list'!$C$5:$C$102,0),MATCH(T$5,'Exercise list'!$E$4:$X$4,0)),0)</f>
        <v>0.8</v>
      </c>
      <c r="U67">
        <f>IFERROR(INDEX('Exercise list'!$E$5:$X$102,MATCH($C67,'Exercise list'!$C$5:$C$102,0),MATCH(U$5,'Exercise list'!$E$4:$X$4,0)),0)</f>
        <v>0</v>
      </c>
      <c r="V67">
        <f>IFERROR(INDEX('Exercise list'!$E$5:$X$102,MATCH($C67,'Exercise list'!$C$5:$C$102,0),MATCH(V$5,'Exercise list'!$E$4:$X$4,0)),0)</f>
        <v>0</v>
      </c>
      <c r="W67">
        <f>IFERROR(INDEX('Exercise list'!$E$5:$X$102,MATCH($C67,'Exercise list'!$C$5:$C$102,0),MATCH(W$5,'Exercise list'!$E$4:$X$4,0)),0)</f>
        <v>0</v>
      </c>
      <c r="X67">
        <f>IFERROR(INDEX('Exercise list'!$E$5:$X$102,MATCH($C67,'Exercise list'!$C$5:$C$102,0),MATCH(X$5,'Exercise list'!$E$4:$X$4,0)),0)</f>
        <v>0.5</v>
      </c>
      <c r="Y67">
        <f>IFERROR(INDEX('Exercise list'!$E$5:$X$102,MATCH($C67,'Exercise list'!$C$5:$C$102,0),MATCH(Y$5,'Exercise list'!$E$4:$X$4,0)),0)</f>
        <v>0</v>
      </c>
      <c r="Z67">
        <f>IFERROR(INDEX('Exercise list'!$E$5:$X$102,MATCH($C67,'Exercise list'!$C$5:$C$102,0),MATCH(Z$5,'Exercise list'!$E$4:$X$4,0)),0)</f>
        <v>0.5</v>
      </c>
      <c r="AA67">
        <f>IFERROR(INDEX('Exercise list'!$E$5:$X$102,MATCH($C67,'Exercise list'!$C$5:$C$102,0),MATCH(AA$5,'Exercise list'!$E$4:$X$4,0)),0)</f>
        <v>0</v>
      </c>
      <c r="AB67">
        <f>IFERROR(INDEX('Exercise list'!$E$5:$X$102,MATCH($C67,'Exercise list'!$C$5:$C$102,0),MATCH(AB$5,'Exercise list'!$E$4:$X$4,0)),0)</f>
        <v>0</v>
      </c>
      <c r="AC67">
        <f>IFERROR(INDEX('Exercise list'!$E$5:$X$102,MATCH($C67,'Exercise list'!$C$5:$C$102,0),MATCH(AC$5,'Exercise list'!$E$4:$X$4,0)),0)</f>
        <v>0</v>
      </c>
      <c r="AD67">
        <f>IFERROR(INDEX('Exercise list'!$E$5:$X$102,MATCH($C67,'Exercise list'!$C$5:$C$102,0),MATCH(AD$5,'Exercise list'!$E$4:$X$4,0)),0)</f>
        <v>0</v>
      </c>
      <c r="AE67">
        <f>IFERROR(INDEX('Exercise list'!$E$5:$X$102,MATCH($C67,'Exercise list'!$C$5:$C$102,0),MATCH(AE$5,'Exercise list'!$E$4:$X$4,0)),0)</f>
        <v>0</v>
      </c>
      <c r="AF67">
        <f>IFERROR(INDEX('Exercise list'!$E$5:$X$102,MATCH($C67,'Exercise list'!$C$5:$C$102,0),MATCH(AF$5,'Exercise list'!$E$4:$X$4,0)),0)</f>
        <v>0</v>
      </c>
      <c r="AG67">
        <f>IFERROR(INDEX('Exercise list'!$E$5:$X$102,MATCH($C67,'Exercise list'!$C$5:$C$102,0),MATCH(AG$5,'Exercise list'!$E$4:$X$4,0)),0)</f>
        <v>0</v>
      </c>
      <c r="AH67">
        <f>IFERROR(INDEX('Exercise list'!$E$5:$X$102,MATCH($C67,'Exercise list'!$C$5:$C$102,0),MATCH(AH$5,'Exercise list'!$E$4:$X$4,0)),0)</f>
        <v>0</v>
      </c>
      <c r="AI67">
        <f>IFERROR(INDEX('Exercise list'!$E$5:$X$102,MATCH($C67,'Exercise list'!$C$5:$C$102,0),MATCH(AI$5,'Exercise list'!$E$4:$X$4,0)),0)</f>
        <v>0</v>
      </c>
      <c r="AK67">
        <f>IF(OR($J67=1,COUNTIFS($A$5:$A66,"&gt;="&amp;$A67-1,$A$5:$A66,"&lt;="&amp;$A67,$B$5:$B66,$B67)&gt;0,MIN(1-'Exercise list'!E$2,IF($A67=$A66,AK66,1))-P67&lt;0),-1,MIN(1,IF($A67=$A66,AK66,1)-P67+$D$2))</f>
        <v>-1</v>
      </c>
      <c r="AL67">
        <f>IF(OR($J67=1,COUNTIFS($A$5:$A66,"&gt;="&amp;$A67-1,$A$5:$A66,"&lt;="&amp;$A67,$B$5:$B66,$B67)&gt;0,MIN(1-'Exercise list'!F$2,IF($A67=$A66,AL66,1))-Q67&lt;0),-1,MIN(1,IF($A67=$A66,AL66,1)-Q67+$D$2))</f>
        <v>-1</v>
      </c>
      <c r="AM67">
        <f>IF(OR($J67=1,COUNTIFS($A$5:$A66,"&gt;="&amp;$A67-1,$A$5:$A66,"&lt;="&amp;$A67,$B$5:$B66,$B67)&gt;0,MIN(1-'Exercise list'!G$2,IF($A67=$A66,AM66,1))-R67&lt;0),-1,MIN(1,IF($A67=$A66,AM66,1)-R67+$D$2))</f>
        <v>-1</v>
      </c>
      <c r="AN67">
        <f>IF(OR($J67=1,COUNTIFS($A$5:$A66,"&gt;="&amp;$A67-1,$A$5:$A66,"&lt;="&amp;$A67,$B$5:$B66,$B67)&gt;0,MIN(1-'Exercise list'!H$2,IF($A67=$A66,AN66,1))-S67&lt;0),-1,MIN(1,IF($A67=$A66,AN66,1)-S67+$D$2))</f>
        <v>-1</v>
      </c>
      <c r="AO67">
        <f>IF(OR($J67=1,COUNTIFS($A$5:$A66,"&gt;="&amp;$A67-1,$A$5:$A66,"&lt;="&amp;$A67,$B$5:$B66,$B67)&gt;0,MIN(1-'Exercise list'!I$2,IF($A67=$A66,AO66,1))-T67&lt;0),-1,MIN(1,IF($A67=$A66,AO66,1)-T67+$D$2))</f>
        <v>-1</v>
      </c>
      <c r="AP67">
        <f>IF(OR($J67=1,COUNTIFS($A$5:$A66,"&gt;="&amp;$A67-1,$A$5:$A66,"&lt;="&amp;$A67,$B$5:$B66,$B67)&gt;0,MIN(1-'Exercise list'!J$2,IF($A67=$A66,AP66,1))-U67&lt;0),-1,MIN(1,IF($A67=$A66,AP66,1)-U67+$D$2))</f>
        <v>-1</v>
      </c>
      <c r="AQ67">
        <f>IF(OR($J67=1,COUNTIFS($A$5:$A66,"&gt;="&amp;$A67-1,$A$5:$A66,"&lt;="&amp;$A67,$B$5:$B66,$B67)&gt;0,MIN(1-'Exercise list'!K$2,IF($A67=$A66,AQ66,1))-V67&lt;0),-1,MIN(1,IF($A67=$A66,AQ66,1)-V67+$D$2))</f>
        <v>-1</v>
      </c>
      <c r="AR67">
        <f>IF(OR($J67=1,COUNTIFS($A$5:$A66,"&gt;="&amp;$A67-1,$A$5:$A66,"&lt;="&amp;$A67,$B$5:$B66,$B67)&gt;0,MIN(1-'Exercise list'!L$2,IF($A67=$A66,AR66,1))-W67&lt;0),-1,MIN(1,IF($A67=$A66,AR66,1)-W67+$D$2))</f>
        <v>-1</v>
      </c>
      <c r="AS67">
        <f>IF(OR($J67=1,COUNTIFS($A$5:$A66,"&gt;="&amp;$A67-1,$A$5:$A66,"&lt;="&amp;$A67,$B$5:$B66,$B67)&gt;0,MIN(1-'Exercise list'!M$2,IF($A67=$A66,AS66,1))-X67&lt;0),-1,MIN(1,IF($A67=$A66,AS66,1)-X67+$D$2))</f>
        <v>-1</v>
      </c>
      <c r="AT67">
        <f>IF(OR($J67=1,COUNTIFS($A$5:$A66,"&gt;="&amp;$A67-1,$A$5:$A66,"&lt;="&amp;$A67,$B$5:$B66,$B67)&gt;0,MIN(1-'Exercise list'!N$2,IF($A67=$A66,AT66,1))-Y67&lt;0),-1,MIN(1,IF($A67=$A66,AT66,1)-Y67+$D$2))</f>
        <v>-1</v>
      </c>
      <c r="AU67">
        <f>IF(OR($J67=1,COUNTIFS($A$5:$A66,"&gt;="&amp;$A67-1,$A$5:$A66,"&lt;="&amp;$A67,$B$5:$B66,$B67)&gt;0,MIN(1-'Exercise list'!O$2,IF($A67=$A66,AU66,1))-Z67&lt;0),-1,MIN(1,IF($A67=$A66,AU66,1)-Z67+$D$2))</f>
        <v>-1</v>
      </c>
      <c r="AV67">
        <f>IF(OR($J67=1,COUNTIFS($A$5:$A66,"&gt;="&amp;$A67-1,$A$5:$A66,"&lt;="&amp;$A67,$B$5:$B66,$B67)&gt;0,MIN(1-'Exercise list'!P$2,IF($A67=$A66,AV66,1))-AA67&lt;0),-1,MIN(1,IF($A67=$A66,AV66,1)-AA67+$D$2))</f>
        <v>-1</v>
      </c>
      <c r="AW67">
        <f>IF(OR($J67=1,COUNTIFS($A$5:$A66,"&gt;="&amp;$A67-1,$A$5:$A66,"&lt;="&amp;$A67,$B$5:$B66,$B67)&gt;0,MIN(1-'Exercise list'!Q$2,IF($A67=$A66,AW66,1))-AB67&lt;0),-1,MIN(1,IF($A67=$A66,AW66,1)-AB67+$D$2))</f>
        <v>-1</v>
      </c>
      <c r="AX67">
        <f>IF(OR($J67=1,COUNTIFS($A$5:$A66,"&gt;="&amp;$A67-1,$A$5:$A66,"&lt;="&amp;$A67,$B$5:$B66,$B67)&gt;0,MIN(1-'Exercise list'!R$2,IF($A67=$A66,AX66,1))-AC67&lt;0),-1,MIN(1,IF($A67=$A66,AX66,1)-AC67+$D$2))</f>
        <v>-1</v>
      </c>
      <c r="AY67">
        <f>IF(OR($J67=1,COUNTIFS($A$5:$A66,"&gt;="&amp;$A67-1,$A$5:$A66,"&lt;="&amp;$A67,$B$5:$B66,$B67)&gt;0,MIN(1-'Exercise list'!S$2,IF($A67=$A66,AY66,1))-AD67&lt;0),-1,MIN(1,IF($A67=$A66,AY66,1)-AD67+$D$2))</f>
        <v>-1</v>
      </c>
      <c r="AZ67">
        <f>IF(OR($J67=1,COUNTIFS($A$5:$A66,"&gt;="&amp;$A67-1,$A$5:$A66,"&lt;="&amp;$A67,$B$5:$B66,$B67)&gt;0,MIN(1-'Exercise list'!T$2,IF($A67=$A66,AZ66,1))-AE67&lt;0),-1,MIN(1,IF($A67=$A66,AZ66,1)-AE67+$D$2))</f>
        <v>-1</v>
      </c>
      <c r="BA67">
        <f>IF(OR($J67=1,COUNTIFS($A$5:$A66,"&gt;="&amp;$A67-1,$A$5:$A66,"&lt;="&amp;$A67,$B$5:$B66,$B67)&gt;0,MIN(1-'Exercise list'!U$2,IF($A67=$A66,BA66,1))-AF67&lt;0),-1,MIN(1,IF($A67=$A66,BA66,1)-AF67+$D$2))</f>
        <v>-1</v>
      </c>
      <c r="BB67">
        <f>IF(OR($J67=1,COUNTIFS($A$5:$A66,"&gt;="&amp;$A67-1,$A$5:$A66,"&lt;="&amp;$A67,$B$5:$B66,$B67)&gt;0,MIN(1-'Exercise list'!V$2,IF($A67=$A66,BB66,1))-AG67&lt;0),-1,MIN(1,IF($A67=$A66,BB66,1)-AG67+$D$2))</f>
        <v>-1</v>
      </c>
      <c r="BC67">
        <f>IF(OR($J67=1,COUNTIFS($A$5:$A66,"&gt;="&amp;$A67-1,$A$5:$A66,"&lt;="&amp;$A67,$B$5:$B66,$B67)&gt;0,MIN(1-'Exercise list'!W$2,IF($A67=$A66,BC66,1))-AH67&lt;0),-1,MIN(1,IF($A67=$A66,BC66,1)-AH67+$D$2))</f>
        <v>-1</v>
      </c>
      <c r="BD67">
        <f>IF(OR($J67=1,COUNTIFS($A$5:$A66,"&gt;="&amp;$A67-1,$A$5:$A66,"&lt;="&amp;$A67,$B$5:$B66,$B67)&gt;0,MIN(1-'Exercise list'!X$2,IF($A67=$A66,BD66,1))-AI67&lt;0),-1,MIN(1,IF($A67=$A66,BD66,1)-AI67+$D$2))</f>
        <v>-1</v>
      </c>
      <c r="BF67" s="16">
        <f t="shared" si="24"/>
        <v>9.6325571009261507E-2</v>
      </c>
      <c r="BG67" s="16">
        <f t="shared" si="25"/>
        <v>0.20423330714827514</v>
      </c>
      <c r="BH67" s="16">
        <f t="shared" si="26"/>
        <v>0.15547185008992598</v>
      </c>
      <c r="BI67" s="16">
        <f t="shared" si="27"/>
        <v>0.15805121466501393</v>
      </c>
      <c r="BJ67" s="16">
        <f t="shared" si="28"/>
        <v>0.29021825115033018</v>
      </c>
      <c r="BK67" s="16">
        <f t="shared" si="29"/>
        <v>6.7902515437718497E-2</v>
      </c>
      <c r="BL67" s="16">
        <f t="shared" si="30"/>
        <v>8.1514130121774664E-2</v>
      </c>
      <c r="BM67" s="16">
        <f t="shared" si="31"/>
        <v>2.6383380812022864E-2</v>
      </c>
      <c r="BN67" s="16">
        <f t="shared" si="32"/>
        <v>0.11150534343845633</v>
      </c>
      <c r="BO67" s="16">
        <f t="shared" si="33"/>
        <v>8.5946381269164665E-2</v>
      </c>
      <c r="BP67" s="16">
        <f t="shared" si="34"/>
        <v>0.30442819875292865</v>
      </c>
      <c r="BQ67" s="16">
        <f t="shared" si="35"/>
        <v>5.3466431024606902E-2</v>
      </c>
      <c r="BR67" s="16">
        <f t="shared" si="36"/>
        <v>0.16468797218394884</v>
      </c>
      <c r="BS67" s="16">
        <f t="shared" si="37"/>
        <v>3.1897827786056147E-2</v>
      </c>
      <c r="BT67" s="16">
        <f t="shared" si="38"/>
        <v>0.23423492662937254</v>
      </c>
      <c r="BU67" s="16">
        <f t="shared" si="39"/>
        <v>0.28490478153842891</v>
      </c>
      <c r="BV67" s="16">
        <f t="shared" si="40"/>
        <v>0.33075331193206881</v>
      </c>
      <c r="BW67" s="16">
        <f t="shared" si="41"/>
        <v>0.11130839535005838</v>
      </c>
      <c r="BX67" s="16">
        <f t="shared" si="42"/>
        <v>0.11489660809905937</v>
      </c>
      <c r="BY67" s="16">
        <f t="shared" si="43"/>
        <v>2.9521755488398398E-2</v>
      </c>
      <c r="CA67" s="16">
        <f t="shared" si="4"/>
        <v>0.12127829224458084</v>
      </c>
      <c r="CB67" s="16">
        <f t="shared" si="5"/>
        <v>1.33705561055672E-2</v>
      </c>
      <c r="CC67" s="16">
        <f t="shared" si="6"/>
        <v>0</v>
      </c>
      <c r="CD67" s="16">
        <f t="shared" si="7"/>
        <v>0</v>
      </c>
      <c r="CE67" s="16">
        <f t="shared" si="8"/>
        <v>0</v>
      </c>
      <c r="CF67" s="16">
        <f t="shared" si="9"/>
        <v>0.25850327944304508</v>
      </c>
      <c r="CG67" s="16">
        <f t="shared" si="10"/>
        <v>2.7287801505146508E-2</v>
      </c>
      <c r="CH67" s="16">
        <f t="shared" si="11"/>
        <v>8.2418550814898309E-2</v>
      </c>
      <c r="CI67" s="16">
        <f t="shared" si="12"/>
        <v>0.10609851981538601</v>
      </c>
      <c r="CJ67" s="16">
        <f t="shared" si="13"/>
        <v>2.2855550357756507E-2</v>
      </c>
      <c r="CK67" s="16">
        <f t="shared" si="14"/>
        <v>0</v>
      </c>
      <c r="CL67" s="16">
        <f t="shared" si="15"/>
        <v>5.5335500602314271E-2</v>
      </c>
      <c r="CM67" s="16">
        <f t="shared" si="16"/>
        <v>5.29158910698935E-2</v>
      </c>
      <c r="CN67" s="16">
        <f t="shared" si="17"/>
        <v>7.6904103840865018E-2</v>
      </c>
      <c r="CO67" s="16">
        <f t="shared" si="18"/>
        <v>0</v>
      </c>
      <c r="CP67" s="16">
        <f t="shared" si="19"/>
        <v>0</v>
      </c>
      <c r="CQ67" s="16">
        <f t="shared" si="20"/>
        <v>0</v>
      </c>
      <c r="CR67" s="16">
        <f t="shared" si="21"/>
        <v>0</v>
      </c>
      <c r="CS67" s="16">
        <f t="shared" si="22"/>
        <v>0</v>
      </c>
      <c r="CT67" s="16">
        <f t="shared" si="23"/>
        <v>7.928017613852277E-2</v>
      </c>
    </row>
    <row r="68" spans="1:100" x14ac:dyDescent="0.25">
      <c r="A68" s="13">
        <v>45067</v>
      </c>
      <c r="B68" s="14">
        <v>52</v>
      </c>
      <c r="C68" s="15" t="str" cm="1">
        <f t="array" ref="C68">IF(B68="","",INDEX('Exercise list'!$C$5:$C$102,B68))</f>
        <v>Dumbbell seated front shoulder presses</v>
      </c>
      <c r="D68" s="12">
        <f t="shared" si="48"/>
        <v>-1</v>
      </c>
      <c r="E68" s="32">
        <f t="shared" si="51"/>
        <v>0.79244912169570947</v>
      </c>
      <c r="F68" s="63" cm="1">
        <f t="array" ref="F68">IF(B68="","",0.1+IFERROR(INDEX($F$6:$F67,SUMPRODUCT(MAX(ROW($C$6:$C67)*($C68=$C$6:$C67))-ROW($A$5)))*0.9^($A68-INDEX($A$6:A67,SUMPRODUCT(MAX(ROW($C$6:$C67)*($C68=$C$6:$C67))-ROW($A$5)))),0))</f>
        <v>0.1</v>
      </c>
      <c r="G68" s="64">
        <f>INDEX('Exercise list'!$Y$5:$Y$102,MATCH(C68,'Exercise list'!$C$5:$C$102,0))</f>
        <v>1</v>
      </c>
      <c r="H68" s="115">
        <f t="shared" si="49"/>
        <v>7.3141016489431873E-2</v>
      </c>
      <c r="I68" s="6">
        <f t="shared" si="50"/>
        <v>3</v>
      </c>
      <c r="J68" s="6" cm="1">
        <f t="array" ref="J68">IF(B68="","",INDEX('Exercise list'!$D$5:$D$102,B68))</f>
        <v>1</v>
      </c>
      <c r="K68" s="12">
        <v>53</v>
      </c>
      <c r="L68" s="74" t="str" cm="1">
        <f t="array" ref="L68">IF(K68="","",INDEX('Exercise list'!$C$5:$C$102,K68))</f>
        <v>Dumbbell seated side shoulder presses</v>
      </c>
      <c r="M68" s="6">
        <v>26</v>
      </c>
      <c r="N68" s="75" t="str" cm="1">
        <f t="array" ref="N68">IF(M68="","",INDEX('Exercise list'!$C$5:$C$102,M68))</f>
        <v>Dumbbell incline bench presses</v>
      </c>
      <c r="P68">
        <f>IFERROR(INDEX('Exercise list'!$E$5:$X$102,MATCH($C68,'Exercise list'!$C$5:$C$102,0),MATCH(P$5,'Exercise list'!$E$4:$X$4,0)),0)</f>
        <v>0</v>
      </c>
      <c r="Q68">
        <f>IFERROR(INDEX('Exercise list'!$E$5:$X$102,MATCH($C68,'Exercise list'!$C$5:$C$102,0),MATCH(Q$5,'Exercise list'!$E$4:$X$4,0)),0)</f>
        <v>0</v>
      </c>
      <c r="R68">
        <f>IFERROR(INDEX('Exercise list'!$E$5:$X$102,MATCH($C68,'Exercise list'!$C$5:$C$102,0),MATCH(R$5,'Exercise list'!$E$4:$X$4,0)),0)</f>
        <v>0</v>
      </c>
      <c r="S68">
        <f>IFERROR(INDEX('Exercise list'!$E$5:$X$102,MATCH($C68,'Exercise list'!$C$5:$C$102,0),MATCH(S$5,'Exercise list'!$E$4:$X$4,0)),0)</f>
        <v>0</v>
      </c>
      <c r="T68">
        <f>IFERROR(INDEX('Exercise list'!$E$5:$X$102,MATCH($C68,'Exercise list'!$C$5:$C$102,0),MATCH(T$5,'Exercise list'!$E$4:$X$4,0)),0)</f>
        <v>0</v>
      </c>
      <c r="U68">
        <f>IFERROR(INDEX('Exercise list'!$E$5:$X$102,MATCH($C68,'Exercise list'!$C$5:$C$102,0),MATCH(U$5,'Exercise list'!$E$4:$X$4,0)),0)</f>
        <v>0.7</v>
      </c>
      <c r="V68">
        <f>IFERROR(INDEX('Exercise list'!$E$5:$X$102,MATCH($C68,'Exercise list'!$C$5:$C$102,0),MATCH(V$5,'Exercise list'!$E$4:$X$4,0)),0)</f>
        <v>1</v>
      </c>
      <c r="W68">
        <f>IFERROR(INDEX('Exercise list'!$E$5:$X$102,MATCH($C68,'Exercise list'!$C$5:$C$102,0),MATCH(W$5,'Exercise list'!$E$4:$X$4,0)),0)</f>
        <v>0</v>
      </c>
      <c r="X68">
        <f>IFERROR(INDEX('Exercise list'!$E$5:$X$102,MATCH($C68,'Exercise list'!$C$5:$C$102,0),MATCH(X$5,'Exercise list'!$E$4:$X$4,0)),0)</f>
        <v>0</v>
      </c>
      <c r="Y68">
        <f>IFERROR(INDEX('Exercise list'!$E$5:$X$102,MATCH($C68,'Exercise list'!$C$5:$C$102,0),MATCH(Y$5,'Exercise list'!$E$4:$X$4,0)),0)</f>
        <v>0.7</v>
      </c>
      <c r="Z68">
        <f>IFERROR(INDEX('Exercise list'!$E$5:$X$102,MATCH($C68,'Exercise list'!$C$5:$C$102,0),MATCH(Z$5,'Exercise list'!$E$4:$X$4,0)),0)</f>
        <v>0.5</v>
      </c>
      <c r="AA68">
        <f>IFERROR(INDEX('Exercise list'!$E$5:$X$102,MATCH($C68,'Exercise list'!$C$5:$C$102,0),MATCH(AA$5,'Exercise list'!$E$4:$X$4,0)),0)</f>
        <v>0</v>
      </c>
      <c r="AB68">
        <f>IFERROR(INDEX('Exercise list'!$E$5:$X$102,MATCH($C68,'Exercise list'!$C$5:$C$102,0),MATCH(AB$5,'Exercise list'!$E$4:$X$4,0)),0)</f>
        <v>0</v>
      </c>
      <c r="AC68">
        <f>IFERROR(INDEX('Exercise list'!$E$5:$X$102,MATCH($C68,'Exercise list'!$C$5:$C$102,0),MATCH(AC$5,'Exercise list'!$E$4:$X$4,0)),0)</f>
        <v>0</v>
      </c>
      <c r="AD68">
        <f>IFERROR(INDEX('Exercise list'!$E$5:$X$102,MATCH($C68,'Exercise list'!$C$5:$C$102,0),MATCH(AD$5,'Exercise list'!$E$4:$X$4,0)),0)</f>
        <v>0</v>
      </c>
      <c r="AE68">
        <f>IFERROR(INDEX('Exercise list'!$E$5:$X$102,MATCH($C68,'Exercise list'!$C$5:$C$102,0),MATCH(AE$5,'Exercise list'!$E$4:$X$4,0)),0)</f>
        <v>0</v>
      </c>
      <c r="AF68">
        <f>IFERROR(INDEX('Exercise list'!$E$5:$X$102,MATCH($C68,'Exercise list'!$C$5:$C$102,0),MATCH(AF$5,'Exercise list'!$E$4:$X$4,0)),0)</f>
        <v>0</v>
      </c>
      <c r="AG68">
        <f>IFERROR(INDEX('Exercise list'!$E$5:$X$102,MATCH($C68,'Exercise list'!$C$5:$C$102,0),MATCH(AG$5,'Exercise list'!$E$4:$X$4,0)),0)</f>
        <v>0</v>
      </c>
      <c r="AH68">
        <f>IFERROR(INDEX('Exercise list'!$E$5:$X$102,MATCH($C68,'Exercise list'!$C$5:$C$102,0),MATCH(AH$5,'Exercise list'!$E$4:$X$4,0)),0)</f>
        <v>0</v>
      </c>
      <c r="AI68">
        <f>IFERROR(INDEX('Exercise list'!$E$5:$X$102,MATCH($C68,'Exercise list'!$C$5:$C$102,0),MATCH(AI$5,'Exercise list'!$E$4:$X$4,0)),0)</f>
        <v>0</v>
      </c>
      <c r="AK68">
        <f>IF(OR($J68=1,COUNTIFS($A$5:$A67,"&gt;="&amp;$A68-1,$A$5:$A67,"&lt;="&amp;$A68,$B$5:$B67,$B68)&gt;0,MIN(1-'Exercise list'!E$2,IF($A68=$A67,AK67,1))-P68&lt;0),-1,MIN(1,IF($A68=$A67,AK67,1)-P68+$D$2))</f>
        <v>-1</v>
      </c>
      <c r="AL68">
        <f>IF(OR($J68=1,COUNTIFS($A$5:$A67,"&gt;="&amp;$A68-1,$A$5:$A67,"&lt;="&amp;$A68,$B$5:$B67,$B68)&gt;0,MIN(1-'Exercise list'!F$2,IF($A68=$A67,AL67,1))-Q68&lt;0),-1,MIN(1,IF($A68=$A67,AL67,1)-Q68+$D$2))</f>
        <v>-1</v>
      </c>
      <c r="AM68">
        <f>IF(OR($J68=1,COUNTIFS($A$5:$A67,"&gt;="&amp;$A68-1,$A$5:$A67,"&lt;="&amp;$A68,$B$5:$B67,$B68)&gt;0,MIN(1-'Exercise list'!G$2,IF($A68=$A67,AM67,1))-R68&lt;0),-1,MIN(1,IF($A68=$A67,AM67,1)-R68+$D$2))</f>
        <v>-1</v>
      </c>
      <c r="AN68">
        <f>IF(OR($J68=1,COUNTIFS($A$5:$A67,"&gt;="&amp;$A68-1,$A$5:$A67,"&lt;="&amp;$A68,$B$5:$B67,$B68)&gt;0,MIN(1-'Exercise list'!H$2,IF($A68=$A67,AN67,1))-S68&lt;0),-1,MIN(1,IF($A68=$A67,AN67,1)-S68+$D$2))</f>
        <v>-1</v>
      </c>
      <c r="AO68">
        <f>IF(OR($J68=1,COUNTIFS($A$5:$A67,"&gt;="&amp;$A68-1,$A$5:$A67,"&lt;="&amp;$A68,$B$5:$B67,$B68)&gt;0,MIN(1-'Exercise list'!I$2,IF($A68=$A67,AO67,1))-T68&lt;0),-1,MIN(1,IF($A68=$A67,AO67,1)-T68+$D$2))</f>
        <v>-1</v>
      </c>
      <c r="AP68">
        <f>IF(OR($J68=1,COUNTIFS($A$5:$A67,"&gt;="&amp;$A68-1,$A$5:$A67,"&lt;="&amp;$A68,$B$5:$B67,$B68)&gt;0,MIN(1-'Exercise list'!J$2,IF($A68=$A67,AP67,1))-U68&lt;0),-1,MIN(1,IF($A68=$A67,AP67,1)-U68+$D$2))</f>
        <v>-1</v>
      </c>
      <c r="AQ68">
        <f>IF(OR($J68=1,COUNTIFS($A$5:$A67,"&gt;="&amp;$A68-1,$A$5:$A67,"&lt;="&amp;$A68,$B$5:$B67,$B68)&gt;0,MIN(1-'Exercise list'!K$2,IF($A68=$A67,AQ67,1))-V68&lt;0),-1,MIN(1,IF($A68=$A67,AQ67,1)-V68+$D$2))</f>
        <v>-1</v>
      </c>
      <c r="AR68">
        <f>IF(OR($J68=1,COUNTIFS($A$5:$A67,"&gt;="&amp;$A68-1,$A$5:$A67,"&lt;="&amp;$A68,$B$5:$B67,$B68)&gt;0,MIN(1-'Exercise list'!L$2,IF($A68=$A67,AR67,1))-W68&lt;0),-1,MIN(1,IF($A68=$A67,AR67,1)-W68+$D$2))</f>
        <v>-1</v>
      </c>
      <c r="AS68">
        <f>IF(OR($J68=1,COUNTIFS($A$5:$A67,"&gt;="&amp;$A68-1,$A$5:$A67,"&lt;="&amp;$A68,$B$5:$B67,$B68)&gt;0,MIN(1-'Exercise list'!M$2,IF($A68=$A67,AS67,1))-X68&lt;0),-1,MIN(1,IF($A68=$A67,AS67,1)-X68+$D$2))</f>
        <v>-1</v>
      </c>
      <c r="AT68">
        <f>IF(OR($J68=1,COUNTIFS($A$5:$A67,"&gt;="&amp;$A68-1,$A$5:$A67,"&lt;="&amp;$A68,$B$5:$B67,$B68)&gt;0,MIN(1-'Exercise list'!N$2,IF($A68=$A67,AT67,1))-Y68&lt;0),-1,MIN(1,IF($A68=$A67,AT67,1)-Y68+$D$2))</f>
        <v>-1</v>
      </c>
      <c r="AU68">
        <f>IF(OR($J68=1,COUNTIFS($A$5:$A67,"&gt;="&amp;$A68-1,$A$5:$A67,"&lt;="&amp;$A68,$B$5:$B67,$B68)&gt;0,MIN(1-'Exercise list'!O$2,IF($A68=$A67,AU67,1))-Z68&lt;0),-1,MIN(1,IF($A68=$A67,AU67,1)-Z68+$D$2))</f>
        <v>-1</v>
      </c>
      <c r="AV68">
        <f>IF(OR($J68=1,COUNTIFS($A$5:$A67,"&gt;="&amp;$A68-1,$A$5:$A67,"&lt;="&amp;$A68,$B$5:$B67,$B68)&gt;0,MIN(1-'Exercise list'!P$2,IF($A68=$A67,AV67,1))-AA68&lt;0),-1,MIN(1,IF($A68=$A67,AV67,1)-AA68+$D$2))</f>
        <v>-1</v>
      </c>
      <c r="AW68">
        <f>IF(OR($J68=1,COUNTIFS($A$5:$A67,"&gt;="&amp;$A68-1,$A$5:$A67,"&lt;="&amp;$A68,$B$5:$B67,$B68)&gt;0,MIN(1-'Exercise list'!Q$2,IF($A68=$A67,AW67,1))-AB68&lt;0),-1,MIN(1,IF($A68=$A67,AW67,1)-AB68+$D$2))</f>
        <v>-1</v>
      </c>
      <c r="AX68">
        <f>IF(OR($J68=1,COUNTIFS($A$5:$A67,"&gt;="&amp;$A68-1,$A$5:$A67,"&lt;="&amp;$A68,$B$5:$B67,$B68)&gt;0,MIN(1-'Exercise list'!R$2,IF($A68=$A67,AX67,1))-AC68&lt;0),-1,MIN(1,IF($A68=$A67,AX67,1)-AC68+$D$2))</f>
        <v>-1</v>
      </c>
      <c r="AY68">
        <f>IF(OR($J68=1,COUNTIFS($A$5:$A67,"&gt;="&amp;$A68-1,$A$5:$A67,"&lt;="&amp;$A68,$B$5:$B67,$B68)&gt;0,MIN(1-'Exercise list'!S$2,IF($A68=$A67,AY67,1))-AD68&lt;0),-1,MIN(1,IF($A68=$A67,AY67,1)-AD68+$D$2))</f>
        <v>-1</v>
      </c>
      <c r="AZ68">
        <f>IF(OR($J68=1,COUNTIFS($A$5:$A67,"&gt;="&amp;$A68-1,$A$5:$A67,"&lt;="&amp;$A68,$B$5:$B67,$B68)&gt;0,MIN(1-'Exercise list'!T$2,IF($A68=$A67,AZ67,1))-AE68&lt;0),-1,MIN(1,IF($A68=$A67,AZ67,1)-AE68+$D$2))</f>
        <v>-1</v>
      </c>
      <c r="BA68">
        <f>IF(OR($J68=1,COUNTIFS($A$5:$A67,"&gt;="&amp;$A68-1,$A$5:$A67,"&lt;="&amp;$A68,$B$5:$B67,$B68)&gt;0,MIN(1-'Exercise list'!U$2,IF($A68=$A67,BA67,1))-AF68&lt;0),-1,MIN(1,IF($A68=$A67,BA67,1)-AF68+$D$2))</f>
        <v>-1</v>
      </c>
      <c r="BB68">
        <f>IF(OR($J68=1,COUNTIFS($A$5:$A67,"&gt;="&amp;$A68-1,$A$5:$A67,"&lt;="&amp;$A68,$B$5:$B67,$B68)&gt;0,MIN(1-'Exercise list'!V$2,IF($A68=$A67,BB67,1))-AG68&lt;0),-1,MIN(1,IF($A68=$A67,BB67,1)-AG68+$D$2))</f>
        <v>-1</v>
      </c>
      <c r="BC68">
        <f>IF(OR($J68=1,COUNTIFS($A$5:$A67,"&gt;="&amp;$A68-1,$A$5:$A67,"&lt;="&amp;$A68,$B$5:$B67,$B68)&gt;0,MIN(1-'Exercise list'!W$2,IF($A68=$A67,BC67,1))-AH68&lt;0),-1,MIN(1,IF($A68=$A67,BC67,1)-AH68+$D$2))</f>
        <v>-1</v>
      </c>
      <c r="BD68">
        <f>IF(OR($J68=1,COUNTIFS($A$5:$A67,"&gt;="&amp;$A68-1,$A$5:$A67,"&lt;="&amp;$A68,$B$5:$B67,$B68)&gt;0,MIN(1-'Exercise list'!X$2,IF($A68=$A67,BD67,1))-AI68&lt;0),-1,MIN(1,IF($A68=$A67,BD67,1)-AI68+$D$2))</f>
        <v>-1</v>
      </c>
      <c r="BF68" s="16">
        <f t="shared" si="24"/>
        <v>9.1509292458798422E-2</v>
      </c>
      <c r="BG68" s="16">
        <f t="shared" si="25"/>
        <v>0.19402164179086137</v>
      </c>
      <c r="BH68" s="16">
        <f t="shared" si="26"/>
        <v>0.14769825758542968</v>
      </c>
      <c r="BI68" s="16">
        <f t="shared" si="27"/>
        <v>0.15014865393176322</v>
      </c>
      <c r="BJ68" s="16">
        <f t="shared" si="28"/>
        <v>0.27570733859281366</v>
      </c>
      <c r="BK68" s="16">
        <f t="shared" si="29"/>
        <v>9.9507389665832557E-2</v>
      </c>
      <c r="BL68" s="16">
        <f t="shared" si="30"/>
        <v>0.12743842361568591</v>
      </c>
      <c r="BM68" s="16">
        <f t="shared" si="31"/>
        <v>2.5064211771421718E-2</v>
      </c>
      <c r="BN68" s="16">
        <f t="shared" si="32"/>
        <v>0.10593007626653352</v>
      </c>
      <c r="BO68" s="16">
        <f t="shared" si="33"/>
        <v>0.11664906220570642</v>
      </c>
      <c r="BP68" s="16">
        <f t="shared" si="34"/>
        <v>0.31420678881528225</v>
      </c>
      <c r="BQ68" s="16">
        <f t="shared" si="35"/>
        <v>5.0793109473376556E-2</v>
      </c>
      <c r="BR68" s="16">
        <f t="shared" si="36"/>
        <v>0.1564535735747514</v>
      </c>
      <c r="BS68" s="16">
        <f t="shared" si="37"/>
        <v>3.0302936396753338E-2</v>
      </c>
      <c r="BT68" s="16">
        <f t="shared" si="38"/>
        <v>0.22252318029790391</v>
      </c>
      <c r="BU68" s="16">
        <f t="shared" si="39"/>
        <v>0.27065954246150747</v>
      </c>
      <c r="BV68" s="16">
        <f t="shared" si="40"/>
        <v>0.31421564633546534</v>
      </c>
      <c r="BW68" s="16">
        <f t="shared" si="41"/>
        <v>0.10574297558255545</v>
      </c>
      <c r="BX68" s="16">
        <f t="shared" si="42"/>
        <v>0.10915177769410639</v>
      </c>
      <c r="BY68" s="16">
        <f t="shared" si="43"/>
        <v>2.8045667713978477E-2</v>
      </c>
      <c r="CA68" s="16">
        <f t="shared" si="4"/>
        <v>0.12595511837309248</v>
      </c>
      <c r="CB68" s="16">
        <f t="shared" si="5"/>
        <v>2.3442769041029515E-2</v>
      </c>
      <c r="CC68" s="16">
        <f t="shared" si="6"/>
        <v>0</v>
      </c>
      <c r="CD68" s="16">
        <f t="shared" si="7"/>
        <v>0</v>
      </c>
      <c r="CE68" s="16">
        <f t="shared" si="8"/>
        <v>0</v>
      </c>
      <c r="CF68" s="16">
        <f t="shared" si="9"/>
        <v>0.2266892265820038</v>
      </c>
      <c r="CG68" s="16">
        <f t="shared" si="10"/>
        <v>0</v>
      </c>
      <c r="CH68" s="16">
        <f t="shared" si="11"/>
        <v>8.3667993644523722E-2</v>
      </c>
      <c r="CI68" s="16">
        <f t="shared" si="12"/>
        <v>0.11153433456535737</v>
      </c>
      <c r="CJ68" s="16">
        <f t="shared" si="13"/>
        <v>0</v>
      </c>
      <c r="CK68" s="16">
        <f t="shared" si="14"/>
        <v>0</v>
      </c>
      <c r="CL68" s="16">
        <f t="shared" si="15"/>
        <v>5.7939095942568887E-2</v>
      </c>
      <c r="CM68" s="16">
        <f t="shared" si="16"/>
        <v>6.1010837257139489E-2</v>
      </c>
      <c r="CN68" s="16">
        <f t="shared" si="17"/>
        <v>7.8429269019192102E-2</v>
      </c>
      <c r="CO68" s="16">
        <f t="shared" si="18"/>
        <v>0</v>
      </c>
      <c r="CP68" s="16">
        <f t="shared" si="19"/>
        <v>0</v>
      </c>
      <c r="CQ68" s="16">
        <f t="shared" si="20"/>
        <v>0</v>
      </c>
      <c r="CR68" s="16">
        <f t="shared" si="21"/>
        <v>2.9892298333899919E-3</v>
      </c>
      <c r="CS68" s="16">
        <f t="shared" si="22"/>
        <v>0</v>
      </c>
      <c r="CT68" s="16">
        <f t="shared" si="23"/>
        <v>8.0686537701966959E-2</v>
      </c>
    </row>
    <row r="69" spans="1:100" x14ac:dyDescent="0.25">
      <c r="A69" s="20">
        <v>45067</v>
      </c>
      <c r="B69" s="21">
        <v>3</v>
      </c>
      <c r="C69" s="22" t="str" cm="1">
        <f t="array" ref="C69">IF(B69="","",INDEX('Exercise list'!$C$5:$C$102,B69))</f>
        <v>Rowing machine</v>
      </c>
      <c r="D69" s="17">
        <f t="shared" ref="D69:D98" si="52">IF(C69="","",MIN(AK69:BD69))</f>
        <v>-1</v>
      </c>
      <c r="E69" s="33">
        <f t="shared" ref="E69:E98" si="53">IF(C69="","",IFERROR((F69/$F$3)^-$F$2*(G69/$G$3)^IF(B69&gt;5,$G$2,0)*(H69/H68)^-$H$2,0))</f>
        <v>1.1993401092535161</v>
      </c>
      <c r="F69" s="65" cm="1">
        <f t="array" ref="F69">IF(B69="","",0.1+IFERROR(INDEX($F$6:$F68,SUMPRODUCT(MAX(ROW($C$6:$C68)*($C69=$C$6:$C68))-ROW($A$5)))*0.9^($A69-INDEX($A$6:A68,SUMPRODUCT(MAX(ROW($C$6:$C68)*($C69=$C$6:$C68))-ROW($A$5)))),0))</f>
        <v>0.18788384715872355</v>
      </c>
      <c r="G69" s="25">
        <f>INDEX('Exercise list'!$Y$5:$Y$102,MATCH(C69,'Exercise list'!$C$5:$C$102,0))</f>
        <v>3</v>
      </c>
      <c r="H69" s="116">
        <f t="shared" ref="H69:H98" si="54">SQRT(SUMPRODUCT(CA69:CT69,CA69:CT69)/20)</f>
        <v>7.3141016489431873E-2</v>
      </c>
      <c r="I69" s="18">
        <f t="shared" ref="I69:I98" si="55">IF(A69&gt;A68,1,IF(A69&gt;A67,2,IF(A69&gt;A66,3,IF(A69&gt;A65,4,5))))</f>
        <v>4</v>
      </c>
      <c r="J69" s="18" cm="1">
        <f t="array" ref="J69">IF(B69="","",INDEX('Exercise list'!$D$5:$D$102,B69))</f>
        <v>0</v>
      </c>
      <c r="K69" s="17">
        <v>2</v>
      </c>
      <c r="L69" s="51" t="str" cm="1">
        <f t="array" ref="L69">IF(K69="","",INDEX('Exercise list'!$C$5:$C$102,K69))</f>
        <v>Lateral elliptical machine</v>
      </c>
      <c r="M69" s="18">
        <v>1</v>
      </c>
      <c r="N69" s="76" t="str" cm="1">
        <f t="array" ref="N69">IF(M69="","",INDEX('Exercise list'!$C$5:$C$102,M69))</f>
        <v>Cycling machine</v>
      </c>
      <c r="O69" s="19"/>
      <c r="P69" s="19">
        <f>IFERROR(INDEX('Exercise list'!$E$5:$X$102,MATCH($C69,'Exercise list'!$C$5:$C$102,0),MATCH(P$5,'Exercise list'!$E$4:$X$4,0)),0)</f>
        <v>0</v>
      </c>
      <c r="Q69" s="19">
        <f>IFERROR(INDEX('Exercise list'!$E$5:$X$102,MATCH($C69,'Exercise list'!$C$5:$C$102,0),MATCH(Q$5,'Exercise list'!$E$4:$X$4,0)),0)</f>
        <v>1</v>
      </c>
      <c r="R69" s="19">
        <f>IFERROR(INDEX('Exercise list'!$E$5:$X$102,MATCH($C69,'Exercise list'!$C$5:$C$102,0),MATCH(R$5,'Exercise list'!$E$4:$X$4,0)),0)</f>
        <v>0.7</v>
      </c>
      <c r="S69" s="19">
        <f>IFERROR(INDEX('Exercise list'!$E$5:$X$102,MATCH($C69,'Exercise list'!$C$5:$C$102,0),MATCH(S$5,'Exercise list'!$E$4:$X$4,0)),0)</f>
        <v>0.7</v>
      </c>
      <c r="T69" s="19">
        <f>IFERROR(INDEX('Exercise list'!$E$5:$X$102,MATCH($C69,'Exercise list'!$C$5:$C$102,0),MATCH(T$5,'Exercise list'!$E$4:$X$4,0)),0)</f>
        <v>0.7</v>
      </c>
      <c r="U69" s="19">
        <f>IFERROR(INDEX('Exercise list'!$E$5:$X$102,MATCH($C69,'Exercise list'!$C$5:$C$102,0),MATCH(U$5,'Exercise list'!$E$4:$X$4,0)),0)</f>
        <v>0</v>
      </c>
      <c r="V69" s="19">
        <f>IFERROR(INDEX('Exercise list'!$E$5:$X$102,MATCH($C69,'Exercise list'!$C$5:$C$102,0),MATCH(V$5,'Exercise list'!$E$4:$X$4,0)),0)</f>
        <v>0</v>
      </c>
      <c r="W69" s="19">
        <f>IFERROR(INDEX('Exercise list'!$E$5:$X$102,MATCH($C69,'Exercise list'!$C$5:$C$102,0),MATCH(W$5,'Exercise list'!$E$4:$X$4,0)),0)</f>
        <v>0</v>
      </c>
      <c r="X69" s="19">
        <f>IFERROR(INDEX('Exercise list'!$E$5:$X$102,MATCH($C69,'Exercise list'!$C$5:$C$102,0),MATCH(X$5,'Exercise list'!$E$4:$X$4,0)),0)</f>
        <v>0.5</v>
      </c>
      <c r="Y69" s="19">
        <f>IFERROR(INDEX('Exercise list'!$E$5:$X$102,MATCH($C69,'Exercise list'!$C$5:$C$102,0),MATCH(Y$5,'Exercise list'!$E$4:$X$4,0)),0)</f>
        <v>0</v>
      </c>
      <c r="Z69" s="19">
        <f>IFERROR(INDEX('Exercise list'!$E$5:$X$102,MATCH($C69,'Exercise list'!$C$5:$C$102,0),MATCH(Z$5,'Exercise list'!$E$4:$X$4,0)),0)</f>
        <v>0.7</v>
      </c>
      <c r="AA69" s="19">
        <f>IFERROR(INDEX('Exercise list'!$E$5:$X$102,MATCH($C69,'Exercise list'!$C$5:$C$102,0),MATCH(AA$5,'Exercise list'!$E$4:$X$4,0)),0)</f>
        <v>0</v>
      </c>
      <c r="AB69" s="19">
        <f>IFERROR(INDEX('Exercise list'!$E$5:$X$102,MATCH($C69,'Exercise list'!$C$5:$C$102,0),MATCH(AB$5,'Exercise list'!$E$4:$X$4,0)),0)</f>
        <v>0.5</v>
      </c>
      <c r="AC69" s="19">
        <f>IFERROR(INDEX('Exercise list'!$E$5:$X$102,MATCH($C69,'Exercise list'!$C$5:$C$102,0),MATCH(AC$5,'Exercise list'!$E$4:$X$4,0)),0)</f>
        <v>0</v>
      </c>
      <c r="AD69" s="19">
        <f>IFERROR(INDEX('Exercise list'!$E$5:$X$102,MATCH($C69,'Exercise list'!$C$5:$C$102,0),MATCH(AD$5,'Exercise list'!$E$4:$X$4,0)),0)</f>
        <v>0.7</v>
      </c>
      <c r="AE69" s="19">
        <f>IFERROR(INDEX('Exercise list'!$E$5:$X$102,MATCH($C69,'Exercise list'!$C$5:$C$102,0),MATCH(AE$5,'Exercise list'!$E$4:$X$4,0)),0)</f>
        <v>0.7</v>
      </c>
      <c r="AF69" s="19">
        <f>IFERROR(INDEX('Exercise list'!$E$5:$X$102,MATCH($C69,'Exercise list'!$C$5:$C$102,0),MATCH(AF$5,'Exercise list'!$E$4:$X$4,0)),0)</f>
        <v>0.9</v>
      </c>
      <c r="AG69" s="19">
        <f>IFERROR(INDEX('Exercise list'!$E$5:$X$102,MATCH($C69,'Exercise list'!$C$5:$C$102,0),MATCH(AG$5,'Exercise list'!$E$4:$X$4,0)),0)</f>
        <v>0</v>
      </c>
      <c r="AH69" s="19">
        <f>IFERROR(INDEX('Exercise list'!$E$5:$X$102,MATCH($C69,'Exercise list'!$C$5:$C$102,0),MATCH(AH$5,'Exercise list'!$E$4:$X$4,0)),0)</f>
        <v>0</v>
      </c>
      <c r="AI69" s="19">
        <f>IFERROR(INDEX('Exercise list'!$E$5:$X$102,MATCH($C69,'Exercise list'!$C$5:$C$102,0),MATCH(AI$5,'Exercise list'!$E$4:$X$4,0)),0)</f>
        <v>0</v>
      </c>
      <c r="AJ69" s="19"/>
      <c r="AK69" s="19">
        <f>IF(OR($J69=1,COUNTIFS($A$5:$A68,"&gt;="&amp;$A69-1,$A$5:$A68,"&lt;="&amp;$A69,$B$5:$B68,$B69)&gt;0,MIN(1-'Exercise list'!E$2,IF($A69=$A68,AK68,1))-P69&lt;0),-1,MIN(1,IF($A69=$A68,AK68,1)-P69+$D$2))</f>
        <v>-1</v>
      </c>
      <c r="AL69" s="19">
        <f>IF(OR($J69=1,COUNTIFS($A$5:$A68,"&gt;="&amp;$A69-1,$A$5:$A68,"&lt;="&amp;$A69,$B$5:$B68,$B69)&gt;0,MIN(1-'Exercise list'!F$2,IF($A69=$A68,AL68,1))-Q69&lt;0),-1,MIN(1,IF($A69=$A68,AL68,1)-Q69+$D$2))</f>
        <v>-1</v>
      </c>
      <c r="AM69" s="19">
        <f>IF(OR($J69=1,COUNTIFS($A$5:$A68,"&gt;="&amp;$A69-1,$A$5:$A68,"&lt;="&amp;$A69,$B$5:$B68,$B69)&gt;0,MIN(1-'Exercise list'!G$2,IF($A69=$A68,AM68,1))-R69&lt;0),-1,MIN(1,IF($A69=$A68,AM68,1)-R69+$D$2))</f>
        <v>-1</v>
      </c>
      <c r="AN69" s="19">
        <f>IF(OR($J69=1,COUNTIFS($A$5:$A68,"&gt;="&amp;$A69-1,$A$5:$A68,"&lt;="&amp;$A69,$B$5:$B68,$B69)&gt;0,MIN(1-'Exercise list'!H$2,IF($A69=$A68,AN68,1))-S69&lt;0),-1,MIN(1,IF($A69=$A68,AN68,1)-S69+$D$2))</f>
        <v>-1</v>
      </c>
      <c r="AO69" s="19">
        <f>IF(OR($J69=1,COUNTIFS($A$5:$A68,"&gt;="&amp;$A69-1,$A$5:$A68,"&lt;="&amp;$A69,$B$5:$B68,$B69)&gt;0,MIN(1-'Exercise list'!I$2,IF($A69=$A68,AO68,1))-T69&lt;0),-1,MIN(1,IF($A69=$A68,AO68,1)-T69+$D$2))</f>
        <v>-1</v>
      </c>
      <c r="AP69" s="19">
        <f>IF(OR($J69=1,COUNTIFS($A$5:$A68,"&gt;="&amp;$A69-1,$A$5:$A68,"&lt;="&amp;$A69,$B$5:$B68,$B69)&gt;0,MIN(1-'Exercise list'!J$2,IF($A69=$A68,AP68,1))-U69&lt;0),-1,MIN(1,IF($A69=$A68,AP68,1)-U69+$D$2))</f>
        <v>-1</v>
      </c>
      <c r="AQ69" s="19">
        <f>IF(OR($J69=1,COUNTIFS($A$5:$A68,"&gt;="&amp;$A69-1,$A$5:$A68,"&lt;="&amp;$A69,$B$5:$B68,$B69)&gt;0,MIN(1-'Exercise list'!K$2,IF($A69=$A68,AQ68,1))-V69&lt;0),-1,MIN(1,IF($A69=$A68,AQ68,1)-V69+$D$2))</f>
        <v>-1</v>
      </c>
      <c r="AR69" s="19">
        <f>IF(OR($J69=1,COUNTIFS($A$5:$A68,"&gt;="&amp;$A69-1,$A$5:$A68,"&lt;="&amp;$A69,$B$5:$B68,$B69)&gt;0,MIN(1-'Exercise list'!L$2,IF($A69=$A68,AR68,1))-W69&lt;0),-1,MIN(1,IF($A69=$A68,AR68,1)-W69+$D$2))</f>
        <v>-1</v>
      </c>
      <c r="AS69" s="19">
        <f>IF(OR($J69=1,COUNTIFS($A$5:$A68,"&gt;="&amp;$A69-1,$A$5:$A68,"&lt;="&amp;$A69,$B$5:$B68,$B69)&gt;0,MIN(1-'Exercise list'!M$2,IF($A69=$A68,AS68,1))-X69&lt;0),-1,MIN(1,IF($A69=$A68,AS68,1)-X69+$D$2))</f>
        <v>-1</v>
      </c>
      <c r="AT69" s="19">
        <f>IF(OR($J69=1,COUNTIFS($A$5:$A68,"&gt;="&amp;$A69-1,$A$5:$A68,"&lt;="&amp;$A69,$B$5:$B68,$B69)&gt;0,MIN(1-'Exercise list'!N$2,IF($A69=$A68,AT68,1))-Y69&lt;0),-1,MIN(1,IF($A69=$A68,AT68,1)-Y69+$D$2))</f>
        <v>-1</v>
      </c>
      <c r="AU69" s="19">
        <f>IF(OR($J69=1,COUNTIFS($A$5:$A68,"&gt;="&amp;$A69-1,$A$5:$A68,"&lt;="&amp;$A69,$B$5:$B68,$B69)&gt;0,MIN(1-'Exercise list'!O$2,IF($A69=$A68,AU68,1))-Z69&lt;0),-1,MIN(1,IF($A69=$A68,AU68,1)-Z69+$D$2))</f>
        <v>-1</v>
      </c>
      <c r="AV69" s="19">
        <f>IF(OR($J69=1,COUNTIFS($A$5:$A68,"&gt;="&amp;$A69-1,$A$5:$A68,"&lt;="&amp;$A69,$B$5:$B68,$B69)&gt;0,MIN(1-'Exercise list'!P$2,IF($A69=$A68,AV68,1))-AA69&lt;0),-1,MIN(1,IF($A69=$A68,AV68,1)-AA69+$D$2))</f>
        <v>-1</v>
      </c>
      <c r="AW69" s="19">
        <f>IF(OR($J69=1,COUNTIFS($A$5:$A68,"&gt;="&amp;$A69-1,$A$5:$A68,"&lt;="&amp;$A69,$B$5:$B68,$B69)&gt;0,MIN(1-'Exercise list'!Q$2,IF($A69=$A68,AW68,1))-AB69&lt;0),-1,MIN(1,IF($A69=$A68,AW68,1)-AB69+$D$2))</f>
        <v>-1</v>
      </c>
      <c r="AX69" s="19">
        <f>IF(OR($J69=1,COUNTIFS($A$5:$A68,"&gt;="&amp;$A69-1,$A$5:$A68,"&lt;="&amp;$A69,$B$5:$B68,$B69)&gt;0,MIN(1-'Exercise list'!R$2,IF($A69=$A68,AX68,1))-AC69&lt;0),-1,MIN(1,IF($A69=$A68,AX68,1)-AC69+$D$2))</f>
        <v>-1</v>
      </c>
      <c r="AY69" s="19">
        <f>IF(OR($J69=1,COUNTIFS($A$5:$A68,"&gt;="&amp;$A69-1,$A$5:$A68,"&lt;="&amp;$A69,$B$5:$B68,$B69)&gt;0,MIN(1-'Exercise list'!S$2,IF($A69=$A68,AY68,1))-AD69&lt;0),-1,MIN(1,IF($A69=$A68,AY68,1)-AD69+$D$2))</f>
        <v>-1</v>
      </c>
      <c r="AZ69" s="19">
        <f>IF(OR($J69=1,COUNTIFS($A$5:$A68,"&gt;="&amp;$A69-1,$A$5:$A68,"&lt;="&amp;$A69,$B$5:$B68,$B69)&gt;0,MIN(1-'Exercise list'!T$2,IF($A69=$A68,AZ68,1))-AE69&lt;0),-1,MIN(1,IF($A69=$A68,AZ68,1)-AE69+$D$2))</f>
        <v>-1</v>
      </c>
      <c r="BA69" s="19">
        <f>IF(OR($J69=1,COUNTIFS($A$5:$A68,"&gt;="&amp;$A69-1,$A$5:$A68,"&lt;="&amp;$A69,$B$5:$B68,$B69)&gt;0,MIN(1-'Exercise list'!U$2,IF($A69=$A68,BA68,1))-AF69&lt;0),-1,MIN(1,IF($A69=$A68,BA68,1)-AF69+$D$2))</f>
        <v>-1</v>
      </c>
      <c r="BB69" s="19">
        <f>IF(OR($J69=1,COUNTIFS($A$5:$A68,"&gt;="&amp;$A69-1,$A$5:$A68,"&lt;="&amp;$A69,$B$5:$B68,$B69)&gt;0,MIN(1-'Exercise list'!V$2,IF($A69=$A68,BB68,1))-AG69&lt;0),-1,MIN(1,IF($A69=$A68,BB68,1)-AG69+$D$2))</f>
        <v>-1</v>
      </c>
      <c r="BC69" s="19">
        <f>IF(OR($J69=1,COUNTIFS($A$5:$A68,"&gt;="&amp;$A69-1,$A$5:$A68,"&lt;="&amp;$A69,$B$5:$B68,$B69)&gt;0,MIN(1-'Exercise list'!W$2,IF($A69=$A68,BC68,1))-AH69&lt;0),-1,MIN(1,IF($A69=$A68,BC68,1)-AH69+$D$2))</f>
        <v>-1</v>
      </c>
      <c r="BD69" s="19">
        <f>IF(OR($J69=1,COUNTIFS($A$5:$A68,"&gt;="&amp;$A69-1,$A$5:$A68,"&lt;="&amp;$A69,$B$5:$B68,$B69)&gt;0,MIN(1-'Exercise list'!X$2,IF($A69=$A68,BD68,1))-AI69&lt;0),-1,MIN(1,IF($A69=$A68,BD68,1)-AI69+$D$2))</f>
        <v>-1</v>
      </c>
      <c r="BE69" s="19"/>
      <c r="BF69" s="23">
        <f t="shared" si="24"/>
        <v>9.1509292458798422E-2</v>
      </c>
      <c r="BG69" s="23">
        <f t="shared" si="25"/>
        <v>0.19402164179086137</v>
      </c>
      <c r="BH69" s="23">
        <f t="shared" si="26"/>
        <v>0.14769825758542968</v>
      </c>
      <c r="BI69" s="23">
        <f t="shared" si="27"/>
        <v>0.15014865393176322</v>
      </c>
      <c r="BJ69" s="23">
        <f t="shared" si="28"/>
        <v>0.27570733859281366</v>
      </c>
      <c r="BK69" s="23">
        <f t="shared" si="29"/>
        <v>9.9507389665832557E-2</v>
      </c>
      <c r="BL69" s="23">
        <f t="shared" si="30"/>
        <v>0.12743842361568591</v>
      </c>
      <c r="BM69" s="23">
        <f t="shared" si="31"/>
        <v>2.5064211771421718E-2</v>
      </c>
      <c r="BN69" s="23">
        <f t="shared" si="32"/>
        <v>0.10593007626653352</v>
      </c>
      <c r="BO69" s="23">
        <f t="shared" si="33"/>
        <v>0.11664906220570642</v>
      </c>
      <c r="BP69" s="23">
        <f t="shared" si="34"/>
        <v>0.31420678881528225</v>
      </c>
      <c r="BQ69" s="23">
        <f t="shared" si="35"/>
        <v>5.0793109473376556E-2</v>
      </c>
      <c r="BR69" s="23">
        <f t="shared" si="36"/>
        <v>0.1564535735747514</v>
      </c>
      <c r="BS69" s="23">
        <f t="shared" si="37"/>
        <v>3.0302936396753338E-2</v>
      </c>
      <c r="BT69" s="23">
        <f t="shared" si="38"/>
        <v>0.22252318029790391</v>
      </c>
      <c r="BU69" s="23">
        <f t="shared" si="39"/>
        <v>0.27065954246150747</v>
      </c>
      <c r="BV69" s="23">
        <f t="shared" si="40"/>
        <v>0.31421564633546534</v>
      </c>
      <c r="BW69" s="23">
        <f t="shared" si="41"/>
        <v>0.10574297558255545</v>
      </c>
      <c r="BX69" s="23">
        <f t="shared" si="42"/>
        <v>0.10915177769410639</v>
      </c>
      <c r="BY69" s="23">
        <f t="shared" si="43"/>
        <v>2.8045667713978477E-2</v>
      </c>
      <c r="BZ69" s="19"/>
      <c r="CA69" s="23">
        <f t="shared" si="4"/>
        <v>0.12595511837309248</v>
      </c>
      <c r="CB69" s="23">
        <f t="shared" si="5"/>
        <v>2.3442769041029515E-2</v>
      </c>
      <c r="CC69" s="23">
        <f t="shared" si="6"/>
        <v>0</v>
      </c>
      <c r="CD69" s="23">
        <f t="shared" si="7"/>
        <v>0</v>
      </c>
      <c r="CE69" s="23">
        <f t="shared" si="8"/>
        <v>0</v>
      </c>
      <c r="CF69" s="23">
        <f t="shared" si="9"/>
        <v>0.2266892265820038</v>
      </c>
      <c r="CG69" s="23">
        <f t="shared" si="10"/>
        <v>0</v>
      </c>
      <c r="CH69" s="23">
        <f t="shared" si="11"/>
        <v>8.3667993644523722E-2</v>
      </c>
      <c r="CI69" s="23">
        <f t="shared" si="12"/>
        <v>0.11153433456535737</v>
      </c>
      <c r="CJ69" s="23">
        <f t="shared" si="13"/>
        <v>0</v>
      </c>
      <c r="CK69" s="23">
        <f t="shared" si="14"/>
        <v>0</v>
      </c>
      <c r="CL69" s="23">
        <f t="shared" si="15"/>
        <v>5.7939095942568887E-2</v>
      </c>
      <c r="CM69" s="23">
        <f t="shared" si="16"/>
        <v>6.1010837257139489E-2</v>
      </c>
      <c r="CN69" s="23">
        <f t="shared" si="17"/>
        <v>7.8429269019192102E-2</v>
      </c>
      <c r="CO69" s="23">
        <f t="shared" si="18"/>
        <v>0</v>
      </c>
      <c r="CP69" s="23">
        <f t="shared" si="19"/>
        <v>0</v>
      </c>
      <c r="CQ69" s="23">
        <f t="shared" si="20"/>
        <v>0</v>
      </c>
      <c r="CR69" s="23">
        <f t="shared" si="21"/>
        <v>2.9892298333899919E-3</v>
      </c>
      <c r="CS69" s="23">
        <f t="shared" si="22"/>
        <v>0</v>
      </c>
      <c r="CT69" s="23">
        <f t="shared" si="23"/>
        <v>8.0686537701966959E-2</v>
      </c>
      <c r="CU69" s="19"/>
    </row>
    <row r="70" spans="1:100" x14ac:dyDescent="0.25">
      <c r="A70" s="13">
        <v>45069</v>
      </c>
      <c r="B70" s="14">
        <v>25</v>
      </c>
      <c r="C70" s="15" t="str" cm="1">
        <f t="array" ref="C70">IF(B70="","",INDEX('Exercise list'!$C$5:$C$102,B70))</f>
        <v>Dumbbell decline bench presses</v>
      </c>
      <c r="D70" s="12">
        <f t="shared" si="52"/>
        <v>1</v>
      </c>
      <c r="E70" s="32">
        <f t="shared" si="53"/>
        <v>1.5228448775786103</v>
      </c>
      <c r="F70" s="63" cm="1">
        <f t="array" ref="F70">IF(B70="","",0.1+IFERROR(INDEX($F$6:$F69,SUMPRODUCT(MAX(ROW($C$6:$C69)*($C70=$C$6:$C69))-ROW($A$5)))*0.9^($A70-INDEX($A$6:A69,SUMPRODUCT(MAX(ROW($C$6:$C69)*($C70=$C$6:$C69))-ROW($A$5)))),0))</f>
        <v>0.1</v>
      </c>
      <c r="G70" s="64">
        <f>INDEX('Exercise list'!$Y$5:$Y$102,MATCH(C70,'Exercise list'!$C$5:$C$102,0))</f>
        <v>2</v>
      </c>
      <c r="H70" s="115">
        <f t="shared" si="54"/>
        <v>7.2151583699314265E-2</v>
      </c>
      <c r="I70" s="42">
        <f t="shared" si="55"/>
        <v>1</v>
      </c>
      <c r="J70" s="6" cm="1">
        <f t="array" ref="J70">IF(B70="","",INDEX('Exercise list'!$D$5:$D$102,B70))</f>
        <v>0</v>
      </c>
      <c r="K70" s="12">
        <v>26</v>
      </c>
      <c r="L70" s="74" t="str" cm="1">
        <f t="array" ref="L70">IF(K70="","",INDEX('Exercise list'!$C$5:$C$102,K70))</f>
        <v>Dumbbell incline bench presses</v>
      </c>
      <c r="M70" s="6">
        <v>53</v>
      </c>
      <c r="N70" s="75" t="str" cm="1">
        <f t="array" ref="N70">IF(M70="","",INDEX('Exercise list'!$C$5:$C$102,M70))</f>
        <v>Dumbbell seated side shoulder presses</v>
      </c>
      <c r="P70">
        <f>IFERROR(INDEX('Exercise list'!$E$5:$X$102,MATCH($C70,'Exercise list'!$C$5:$C$102,0),MATCH(P$5,'Exercise list'!$E$4:$X$4,0)),0)</f>
        <v>1</v>
      </c>
      <c r="Q70">
        <f>IFERROR(INDEX('Exercise list'!$E$5:$X$102,MATCH($C70,'Exercise list'!$C$5:$C$102,0),MATCH(Q$5,'Exercise list'!$E$4:$X$4,0)),0)</f>
        <v>0</v>
      </c>
      <c r="R70">
        <f>IFERROR(INDEX('Exercise list'!$E$5:$X$102,MATCH($C70,'Exercise list'!$C$5:$C$102,0),MATCH(R$5,'Exercise list'!$E$4:$X$4,0)),0)</f>
        <v>0</v>
      </c>
      <c r="S70">
        <f>IFERROR(INDEX('Exercise list'!$E$5:$X$102,MATCH($C70,'Exercise list'!$C$5:$C$102,0),MATCH(S$5,'Exercise list'!$E$4:$X$4,0)),0)</f>
        <v>0</v>
      </c>
      <c r="T70">
        <f>IFERROR(INDEX('Exercise list'!$E$5:$X$102,MATCH($C70,'Exercise list'!$C$5:$C$102,0),MATCH(T$5,'Exercise list'!$E$4:$X$4,0)),0)</f>
        <v>0</v>
      </c>
      <c r="U70">
        <f>IFERROR(INDEX('Exercise list'!$E$5:$X$102,MATCH($C70,'Exercise list'!$C$5:$C$102,0),MATCH(U$5,'Exercise list'!$E$4:$X$4,0)),0)</f>
        <v>0</v>
      </c>
      <c r="V70">
        <f>IFERROR(INDEX('Exercise list'!$E$5:$X$102,MATCH($C70,'Exercise list'!$C$5:$C$102,0),MATCH(V$5,'Exercise list'!$E$4:$X$4,0)),0)</f>
        <v>0.5</v>
      </c>
      <c r="W70">
        <f>IFERROR(INDEX('Exercise list'!$E$5:$X$102,MATCH($C70,'Exercise list'!$C$5:$C$102,0),MATCH(W$5,'Exercise list'!$E$4:$X$4,0)),0)</f>
        <v>0</v>
      </c>
      <c r="X70">
        <f>IFERROR(INDEX('Exercise list'!$E$5:$X$102,MATCH($C70,'Exercise list'!$C$5:$C$102,0),MATCH(X$5,'Exercise list'!$E$4:$X$4,0)),0)</f>
        <v>0</v>
      </c>
      <c r="Y70">
        <f>IFERROR(INDEX('Exercise list'!$E$5:$X$102,MATCH($C70,'Exercise list'!$C$5:$C$102,0),MATCH(Y$5,'Exercise list'!$E$4:$X$4,0)),0)</f>
        <v>1</v>
      </c>
      <c r="Z70">
        <f>IFERROR(INDEX('Exercise list'!$E$5:$X$102,MATCH($C70,'Exercise list'!$C$5:$C$102,0),MATCH(Z$5,'Exercise list'!$E$4:$X$4,0)),0)</f>
        <v>0.5</v>
      </c>
      <c r="AA70">
        <f>IFERROR(INDEX('Exercise list'!$E$5:$X$102,MATCH($C70,'Exercise list'!$C$5:$C$102,0),MATCH(AA$5,'Exercise list'!$E$4:$X$4,0)),0)</f>
        <v>0</v>
      </c>
      <c r="AB70">
        <f>IFERROR(INDEX('Exercise list'!$E$5:$X$102,MATCH($C70,'Exercise list'!$C$5:$C$102,0),MATCH(AB$5,'Exercise list'!$E$4:$X$4,0)),0)</f>
        <v>0</v>
      </c>
      <c r="AC70">
        <f>IFERROR(INDEX('Exercise list'!$E$5:$X$102,MATCH($C70,'Exercise list'!$C$5:$C$102,0),MATCH(AC$5,'Exercise list'!$E$4:$X$4,0)),0)</f>
        <v>0</v>
      </c>
      <c r="AD70">
        <f>IFERROR(INDEX('Exercise list'!$E$5:$X$102,MATCH($C70,'Exercise list'!$C$5:$C$102,0),MATCH(AD$5,'Exercise list'!$E$4:$X$4,0)),0)</f>
        <v>0</v>
      </c>
      <c r="AE70">
        <f>IFERROR(INDEX('Exercise list'!$E$5:$X$102,MATCH($C70,'Exercise list'!$C$5:$C$102,0),MATCH(AE$5,'Exercise list'!$E$4:$X$4,0)),0)</f>
        <v>0</v>
      </c>
      <c r="AF70">
        <f>IFERROR(INDEX('Exercise list'!$E$5:$X$102,MATCH($C70,'Exercise list'!$C$5:$C$102,0),MATCH(AF$5,'Exercise list'!$E$4:$X$4,0)),0)</f>
        <v>0</v>
      </c>
      <c r="AG70">
        <f>IFERROR(INDEX('Exercise list'!$E$5:$X$102,MATCH($C70,'Exercise list'!$C$5:$C$102,0),MATCH(AG$5,'Exercise list'!$E$4:$X$4,0)),0)</f>
        <v>0</v>
      </c>
      <c r="AH70">
        <f>IFERROR(INDEX('Exercise list'!$E$5:$X$102,MATCH($C70,'Exercise list'!$C$5:$C$102,0),MATCH(AH$5,'Exercise list'!$E$4:$X$4,0)),0)</f>
        <v>0</v>
      </c>
      <c r="AI70">
        <f>IFERROR(INDEX('Exercise list'!$E$5:$X$102,MATCH($C70,'Exercise list'!$C$5:$C$102,0),MATCH(AI$5,'Exercise list'!$E$4:$X$4,0)),0)</f>
        <v>0</v>
      </c>
      <c r="AK70">
        <f>IF(OR($J70=1,COUNTIFS($A$5:$A69,"&gt;="&amp;$A70-1,$A$5:$A69,"&lt;="&amp;$A70,$B$5:$B69,$B70)&gt;0,MIN(1-'Exercise list'!E$2,IF($A70=$A69,AK69,1))-P70&lt;0),-1,MIN(1,IF($A70=$A69,AK69,1)-P70+$D$2))</f>
        <v>1</v>
      </c>
      <c r="AL70">
        <f>IF(OR($J70=1,COUNTIFS($A$5:$A69,"&gt;="&amp;$A70-1,$A$5:$A69,"&lt;="&amp;$A70,$B$5:$B69,$B70)&gt;0,MIN(1-'Exercise list'!F$2,IF($A70=$A69,AL69,1))-Q70&lt;0),-1,MIN(1,IF($A70=$A69,AL69,1)-Q70+$D$2))</f>
        <v>1</v>
      </c>
      <c r="AM70">
        <f>IF(OR($J70=1,COUNTIFS($A$5:$A69,"&gt;="&amp;$A70-1,$A$5:$A69,"&lt;="&amp;$A70,$B$5:$B69,$B70)&gt;0,MIN(1-'Exercise list'!G$2,IF($A70=$A69,AM69,1))-R70&lt;0),-1,MIN(1,IF($A70=$A69,AM69,1)-R70+$D$2))</f>
        <v>1</v>
      </c>
      <c r="AN70">
        <f>IF(OR($J70=1,COUNTIFS($A$5:$A69,"&gt;="&amp;$A70-1,$A$5:$A69,"&lt;="&amp;$A70,$B$5:$B69,$B70)&gt;0,MIN(1-'Exercise list'!H$2,IF($A70=$A69,AN69,1))-S70&lt;0),-1,MIN(1,IF($A70=$A69,AN69,1)-S70+$D$2))</f>
        <v>1</v>
      </c>
      <c r="AO70">
        <f>IF(OR($J70=1,COUNTIFS($A$5:$A69,"&gt;="&amp;$A70-1,$A$5:$A69,"&lt;="&amp;$A70,$B$5:$B69,$B70)&gt;0,MIN(1-'Exercise list'!I$2,IF($A70=$A69,AO69,1))-T70&lt;0),-1,MIN(1,IF($A70=$A69,AO69,1)-T70+$D$2))</f>
        <v>1</v>
      </c>
      <c r="AP70">
        <f>IF(OR($J70=1,COUNTIFS($A$5:$A69,"&gt;="&amp;$A70-1,$A$5:$A69,"&lt;="&amp;$A70,$B$5:$B69,$B70)&gt;0,MIN(1-'Exercise list'!J$2,IF($A70=$A69,AP69,1))-U70&lt;0),-1,MIN(1,IF($A70=$A69,AP69,1)-U70+$D$2))</f>
        <v>1</v>
      </c>
      <c r="AQ70">
        <f>IF(OR($J70=1,COUNTIFS($A$5:$A69,"&gt;="&amp;$A70-1,$A$5:$A69,"&lt;="&amp;$A70,$B$5:$B69,$B70)&gt;0,MIN(1-'Exercise list'!K$2,IF($A70=$A69,AQ69,1))-V70&lt;0),-1,MIN(1,IF($A70=$A69,AQ69,1)-V70+$D$2))</f>
        <v>1</v>
      </c>
      <c r="AR70">
        <f>IF(OR($J70=1,COUNTIFS($A$5:$A69,"&gt;="&amp;$A70-1,$A$5:$A69,"&lt;="&amp;$A70,$B$5:$B69,$B70)&gt;0,MIN(1-'Exercise list'!L$2,IF($A70=$A69,AR69,1))-W70&lt;0),-1,MIN(1,IF($A70=$A69,AR69,1)-W70+$D$2))</f>
        <v>1</v>
      </c>
      <c r="AS70">
        <f>IF(OR($J70=1,COUNTIFS($A$5:$A69,"&gt;="&amp;$A70-1,$A$5:$A69,"&lt;="&amp;$A70,$B$5:$B69,$B70)&gt;0,MIN(1-'Exercise list'!M$2,IF($A70=$A69,AS69,1))-X70&lt;0),-1,MIN(1,IF($A70=$A69,AS69,1)-X70+$D$2))</f>
        <v>1</v>
      </c>
      <c r="AT70">
        <f>IF(OR($J70=1,COUNTIFS($A$5:$A69,"&gt;="&amp;$A70-1,$A$5:$A69,"&lt;="&amp;$A70,$B$5:$B69,$B70)&gt;0,MIN(1-'Exercise list'!N$2,IF($A70=$A69,AT69,1))-Y70&lt;0),-1,MIN(1,IF($A70=$A69,AT69,1)-Y70+$D$2))</f>
        <v>1</v>
      </c>
      <c r="AU70">
        <f>IF(OR($J70=1,COUNTIFS($A$5:$A69,"&gt;="&amp;$A70-1,$A$5:$A69,"&lt;="&amp;$A70,$B$5:$B69,$B70)&gt;0,MIN(1-'Exercise list'!O$2,IF($A70=$A69,AU69,1))-Z70&lt;0),-1,MIN(1,IF($A70=$A69,AU69,1)-Z70+$D$2))</f>
        <v>1</v>
      </c>
      <c r="AV70">
        <f>IF(OR($J70=1,COUNTIFS($A$5:$A69,"&gt;="&amp;$A70-1,$A$5:$A69,"&lt;="&amp;$A70,$B$5:$B69,$B70)&gt;0,MIN(1-'Exercise list'!P$2,IF($A70=$A69,AV69,1))-AA70&lt;0),-1,MIN(1,IF($A70=$A69,AV69,1)-AA70+$D$2))</f>
        <v>1</v>
      </c>
      <c r="AW70">
        <f>IF(OR($J70=1,COUNTIFS($A$5:$A69,"&gt;="&amp;$A70-1,$A$5:$A69,"&lt;="&amp;$A70,$B$5:$B69,$B70)&gt;0,MIN(1-'Exercise list'!Q$2,IF($A70=$A69,AW69,1))-AB70&lt;0),-1,MIN(1,IF($A70=$A69,AW69,1)-AB70+$D$2))</f>
        <v>1</v>
      </c>
      <c r="AX70">
        <f>IF(OR($J70=1,COUNTIFS($A$5:$A69,"&gt;="&amp;$A70-1,$A$5:$A69,"&lt;="&amp;$A70,$B$5:$B69,$B70)&gt;0,MIN(1-'Exercise list'!R$2,IF($A70=$A69,AX69,1))-AC70&lt;0),-1,MIN(1,IF($A70=$A69,AX69,1)-AC70+$D$2))</f>
        <v>1</v>
      </c>
      <c r="AY70">
        <f>IF(OR($J70=1,COUNTIFS($A$5:$A69,"&gt;="&amp;$A70-1,$A$5:$A69,"&lt;="&amp;$A70,$B$5:$B69,$B70)&gt;0,MIN(1-'Exercise list'!S$2,IF($A70=$A69,AY69,1))-AD70&lt;0),-1,MIN(1,IF($A70=$A69,AY69,1)-AD70+$D$2))</f>
        <v>1</v>
      </c>
      <c r="AZ70">
        <f>IF(OR($J70=1,COUNTIFS($A$5:$A69,"&gt;="&amp;$A70-1,$A$5:$A69,"&lt;="&amp;$A70,$B$5:$B69,$B70)&gt;0,MIN(1-'Exercise list'!T$2,IF($A70=$A69,AZ69,1))-AE70&lt;0),-1,MIN(1,IF($A70=$A69,AZ69,1)-AE70+$D$2))</f>
        <v>1</v>
      </c>
      <c r="BA70">
        <f>IF(OR($J70=1,COUNTIFS($A$5:$A69,"&gt;="&amp;$A70-1,$A$5:$A69,"&lt;="&amp;$A70,$B$5:$B69,$B70)&gt;0,MIN(1-'Exercise list'!U$2,IF($A70=$A69,BA69,1))-AF70&lt;0),-1,MIN(1,IF($A70=$A69,BA69,1)-AF70+$D$2))</f>
        <v>1</v>
      </c>
      <c r="BB70">
        <f>IF(OR($J70=1,COUNTIFS($A$5:$A69,"&gt;="&amp;$A70-1,$A$5:$A69,"&lt;="&amp;$A70,$B$5:$B69,$B70)&gt;0,MIN(1-'Exercise list'!V$2,IF($A70=$A69,BB69,1))-AG70&lt;0),-1,MIN(1,IF($A70=$A69,BB69,1)-AG70+$D$2))</f>
        <v>1</v>
      </c>
      <c r="BC70">
        <f>IF(OR($J70=1,COUNTIFS($A$5:$A69,"&gt;="&amp;$A70-1,$A$5:$A69,"&lt;="&amp;$A70,$B$5:$B69,$B70)&gt;0,MIN(1-'Exercise list'!W$2,IF($A70=$A69,BC69,1))-AH70&lt;0),-1,MIN(1,IF($A70=$A69,BC69,1)-AH70+$D$2))</f>
        <v>1</v>
      </c>
      <c r="BD70">
        <f>IF(OR($J70=1,COUNTIFS($A$5:$A69,"&gt;="&amp;$A70-1,$A$5:$A69,"&lt;="&amp;$A70,$B$5:$B69,$B70)&gt;0,MIN(1-'Exercise list'!X$2,IF($A70=$A69,BD69,1))-AI70&lt;0),-1,MIN(1,IF($A70=$A69,BD69,1)-AI70+$D$2))</f>
        <v>1</v>
      </c>
      <c r="BF70" s="16">
        <f t="shared" si="24"/>
        <v>0.1369338278358585</v>
      </c>
      <c r="BG70" s="16">
        <f t="shared" si="25"/>
        <v>0.1843205597013183</v>
      </c>
      <c r="BH70" s="16">
        <f t="shared" si="26"/>
        <v>0.14031334470615819</v>
      </c>
      <c r="BI70" s="16">
        <f t="shared" si="27"/>
        <v>0.14264122123517506</v>
      </c>
      <c r="BJ70" s="16">
        <f t="shared" si="28"/>
        <v>0.26192197166317294</v>
      </c>
      <c r="BK70" s="16">
        <f t="shared" si="29"/>
        <v>9.4532020182540921E-2</v>
      </c>
      <c r="BL70" s="16">
        <f t="shared" si="30"/>
        <v>0.1460665024349016</v>
      </c>
      <c r="BM70" s="16">
        <f t="shared" si="31"/>
        <v>2.3811001182850632E-2</v>
      </c>
      <c r="BN70" s="16">
        <f t="shared" si="32"/>
        <v>0.10063357245320684</v>
      </c>
      <c r="BO70" s="16">
        <f t="shared" si="33"/>
        <v>0.16081660909542111</v>
      </c>
      <c r="BP70" s="16">
        <f t="shared" si="34"/>
        <v>0.32349644937451816</v>
      </c>
      <c r="BQ70" s="16">
        <f t="shared" si="35"/>
        <v>4.8253453999707728E-2</v>
      </c>
      <c r="BR70" s="16">
        <f t="shared" si="36"/>
        <v>0.14863089489601383</v>
      </c>
      <c r="BS70" s="16">
        <f t="shared" si="37"/>
        <v>2.8787789576915669E-2</v>
      </c>
      <c r="BT70" s="16">
        <f t="shared" si="38"/>
        <v>0.21139702128300872</v>
      </c>
      <c r="BU70" s="16">
        <f t="shared" si="39"/>
        <v>0.25712656533843209</v>
      </c>
      <c r="BV70" s="16">
        <f t="shared" si="40"/>
        <v>0.29850486401869203</v>
      </c>
      <c r="BW70" s="16">
        <f t="shared" si="41"/>
        <v>0.10045582680342767</v>
      </c>
      <c r="BX70" s="16">
        <f t="shared" si="42"/>
        <v>0.10369418880940107</v>
      </c>
      <c r="BY70" s="16">
        <f t="shared" si="43"/>
        <v>2.6643384328279552E-2</v>
      </c>
      <c r="CA70" s="16">
        <f t="shared" ref="CA70:CA133" si="56">IF($A70="","",MAX(0,CA$2/SUM($CA$2:$CT$2)*SUM($BF70:$BY70)-BF70))</f>
        <v>8.0768473565548948E-2</v>
      </c>
      <c r="CB70" s="16">
        <f t="shared" ref="CB70:CB133" si="57">IF($A70="","",MAX(0,CB$2/SUM($CA$2:$CT$2)*SUM($BF70:$BY70)-BG70))</f>
        <v>3.3381741700089146E-2</v>
      </c>
      <c r="CC70" s="16">
        <f t="shared" ref="CC70:CC133" si="58">IF($A70="","",MAX(0,CC$2/SUM($CA$2:$CT$2)*SUM($BF70:$BY70)-BH70))</f>
        <v>0</v>
      </c>
      <c r="CD70" s="16">
        <f t="shared" ref="CD70:CD133" si="59">IF($A70="","",MAX(0,CD$2/SUM($CA$2:$CT$2)*SUM($BF70:$BY70)-BI70))</f>
        <v>0</v>
      </c>
      <c r="CE70" s="16">
        <f t="shared" ref="CE70:CE133" si="60">IF($A70="","",MAX(0,CE$2/SUM($CA$2:$CT$2)*SUM($BF70:$BY70)-BJ70))</f>
        <v>0</v>
      </c>
      <c r="CF70" s="16">
        <f t="shared" ref="CF70:CF133" si="61">IF($A70="","",MAX(0,CF$2/SUM($CA$2:$CT$2)*SUM($BF70:$BY70)-BK70))</f>
        <v>0.23202143191957031</v>
      </c>
      <c r="CG70" s="16">
        <f t="shared" ref="CG70:CG133" si="62">IF($A70="","",MAX(0,CG$2/SUM($CA$2:$CT$2)*SUM($BF70:$BY70)-BL70))</f>
        <v>0</v>
      </c>
      <c r="CH70" s="16">
        <f t="shared" ref="CH70:CH133" si="63">IF($A70="","",MAX(0,CH$2/SUM($CA$2:$CT$2)*SUM($BF70:$BY70)-BM70))</f>
        <v>8.5040149517853089E-2</v>
      </c>
      <c r="CI70" s="16">
        <f t="shared" ref="CI70:CI133" si="64">IF($A70="","",MAX(0,CI$2/SUM($CA$2:$CT$2)*SUM($BF70:$BY70)-BN70))</f>
        <v>0.11706872894820061</v>
      </c>
      <c r="CJ70" s="16">
        <f t="shared" ref="CJ70:CJ133" si="65">IF($A70="","",MAX(0,CJ$2/SUM($CA$2:$CT$2)*SUM($BF70:$BY70)-BO70))</f>
        <v>0</v>
      </c>
      <c r="CK70" s="16">
        <f t="shared" ref="CK70:CK133" si="66">IF($A70="","",MAX(0,CK$2/SUM($CA$2:$CT$2)*SUM($BF70:$BY70)-BP70))</f>
        <v>0</v>
      </c>
      <c r="CL70" s="16">
        <f t="shared" ref="CL70:CL133" si="67">IF($A70="","",MAX(0,CL$2/SUM($CA$2:$CT$2)*SUM($BF70:$BY70)-BQ70))</f>
        <v>6.0597696700995997E-2</v>
      </c>
      <c r="CM70" s="16">
        <f t="shared" ref="CM70:CM133" si="68">IF($A70="","",MAX(0,CM$2/SUM($CA$2:$CT$2)*SUM($BF70:$BY70)-BR70))</f>
        <v>6.9071406505393618E-2</v>
      </c>
      <c r="CN70" s="16">
        <f t="shared" ref="CN70:CN133" si="69">IF($A70="","",MAX(0,CN$2/SUM($CA$2:$CT$2)*SUM($BF70:$BY70)-BS70))</f>
        <v>8.0063361123788063E-2</v>
      </c>
      <c r="CO70" s="16">
        <f t="shared" ref="CO70:CO133" si="70">IF($A70="","",MAX(0,CO$2/SUM($CA$2:$CT$2)*SUM($BF70:$BY70)-BT70))</f>
        <v>0</v>
      </c>
      <c r="CP70" s="16">
        <f t="shared" ref="CP70:CP133" si="71">IF($A70="","",MAX(0,CP$2/SUM($CA$2:$CT$2)*SUM($BF70:$BY70)-BU70))</f>
        <v>0</v>
      </c>
      <c r="CQ70" s="16">
        <f t="shared" ref="CQ70:CQ133" si="72">IF($A70="","",MAX(0,CQ$2/SUM($CA$2:$CT$2)*SUM($BF70:$BY70)-BV70))</f>
        <v>0</v>
      </c>
      <c r="CR70" s="16">
        <f t="shared" ref="CR70:CR133" si="73">IF($A70="","",MAX(0,CR$2/SUM($CA$2:$CT$2)*SUM($BF70:$BY70)-BW70))</f>
        <v>8.3953238972760552E-3</v>
      </c>
      <c r="CS70" s="16">
        <f t="shared" ref="CS70:CS133" si="74">IF($A70="","",MAX(0,CS$2/SUM($CA$2:$CT$2)*SUM($BF70:$BY70)-BX70))</f>
        <v>5.1569618913026583E-3</v>
      </c>
      <c r="CT70" s="16">
        <f t="shared" ref="CT70:CT133" si="75">IF($A70="","",MAX(0,CT$2/SUM($CA$2:$CT$2)*SUM($BF70:$BY70)-BY70))</f>
        <v>8.2207766372424176E-2</v>
      </c>
    </row>
    <row r="71" spans="1:100" x14ac:dyDescent="0.25">
      <c r="A71" s="13">
        <v>45069</v>
      </c>
      <c r="B71" s="14">
        <v>26</v>
      </c>
      <c r="C71" s="15" t="str" cm="1">
        <f t="array" ref="C71">IF(B71="","",INDEX('Exercise list'!$C$5:$C$102,B71))</f>
        <v>Dumbbell incline bench presses</v>
      </c>
      <c r="D71" s="12">
        <f t="shared" si="52"/>
        <v>1</v>
      </c>
      <c r="E71" s="32">
        <f t="shared" si="53"/>
        <v>1.211810077895368</v>
      </c>
      <c r="F71" s="63" cm="1">
        <f t="array" ref="F71">IF(B71="","",0.1+IFERROR(INDEX($F$6:$F70,SUMPRODUCT(MAX(ROW($C$6:$C70)*($C71=$C$6:$C70))-ROW($A$5)))*0.9^($A71-INDEX($A$6:A70,SUMPRODUCT(MAX(ROW($C$6:$C70)*($C71=$C$6:$C70))-ROW($A$5)))),0))</f>
        <v>0.12287679245496103</v>
      </c>
      <c r="G71" s="64">
        <f>INDEX('Exercise list'!$Y$5:$Y$102,MATCH(C71,'Exercise list'!$C$5:$C$102,0))</f>
        <v>2</v>
      </c>
      <c r="H71" s="115">
        <f t="shared" si="54"/>
        <v>7.2791720637331941E-2</v>
      </c>
      <c r="I71" s="6">
        <f t="shared" si="55"/>
        <v>2</v>
      </c>
      <c r="J71" s="6" cm="1">
        <f t="array" ref="J71">IF(B71="","",INDEX('Exercise list'!$D$5:$D$102,B71))</f>
        <v>0</v>
      </c>
      <c r="K71" s="12">
        <v>56</v>
      </c>
      <c r="L71" s="74" t="str" cm="1">
        <f t="array" ref="L71">IF(K71="","",INDEX('Exercise list'!$C$5:$C$102,K71))</f>
        <v>Standing cable reverse flyes</v>
      </c>
      <c r="M71" s="6">
        <v>14</v>
      </c>
      <c r="N71" s="75" t="str" cm="1">
        <f t="array" ref="N71">IF(M71="","",INDEX('Exercise list'!$C$5:$C$102,M71))</f>
        <v>Machine seated rows</v>
      </c>
      <c r="P71">
        <f>IFERROR(INDEX('Exercise list'!$E$5:$X$102,MATCH($C71,'Exercise list'!$C$5:$C$102,0),MATCH(P$5,'Exercise list'!$E$4:$X$4,0)),0)</f>
        <v>0.8</v>
      </c>
      <c r="Q71">
        <f>IFERROR(INDEX('Exercise list'!$E$5:$X$102,MATCH($C71,'Exercise list'!$C$5:$C$102,0),MATCH(Q$5,'Exercise list'!$E$4:$X$4,0)),0)</f>
        <v>0</v>
      </c>
      <c r="R71">
        <f>IFERROR(INDEX('Exercise list'!$E$5:$X$102,MATCH($C71,'Exercise list'!$C$5:$C$102,0),MATCH(R$5,'Exercise list'!$E$4:$X$4,0)),0)</f>
        <v>0</v>
      </c>
      <c r="S71">
        <f>IFERROR(INDEX('Exercise list'!$E$5:$X$102,MATCH($C71,'Exercise list'!$C$5:$C$102,0),MATCH(S$5,'Exercise list'!$E$4:$X$4,0)),0)</f>
        <v>0</v>
      </c>
      <c r="T71">
        <f>IFERROR(INDEX('Exercise list'!$E$5:$X$102,MATCH($C71,'Exercise list'!$C$5:$C$102,0),MATCH(T$5,'Exercise list'!$E$4:$X$4,0)),0)</f>
        <v>0</v>
      </c>
      <c r="U71">
        <f>IFERROR(INDEX('Exercise list'!$E$5:$X$102,MATCH($C71,'Exercise list'!$C$5:$C$102,0),MATCH(U$5,'Exercise list'!$E$4:$X$4,0)),0)</f>
        <v>0</v>
      </c>
      <c r="V71">
        <f>IFERROR(INDEX('Exercise list'!$E$5:$X$102,MATCH($C71,'Exercise list'!$C$5:$C$102,0),MATCH(V$5,'Exercise list'!$E$4:$X$4,0)),0)</f>
        <v>0.8</v>
      </c>
      <c r="W71">
        <f>IFERROR(INDEX('Exercise list'!$E$5:$X$102,MATCH($C71,'Exercise list'!$C$5:$C$102,0),MATCH(W$5,'Exercise list'!$E$4:$X$4,0)),0)</f>
        <v>0</v>
      </c>
      <c r="X71">
        <f>IFERROR(INDEX('Exercise list'!$E$5:$X$102,MATCH($C71,'Exercise list'!$C$5:$C$102,0),MATCH(X$5,'Exercise list'!$E$4:$X$4,0)),0)</f>
        <v>0</v>
      </c>
      <c r="Y71">
        <f>IFERROR(INDEX('Exercise list'!$E$5:$X$102,MATCH($C71,'Exercise list'!$C$5:$C$102,0),MATCH(Y$5,'Exercise list'!$E$4:$X$4,0)),0)</f>
        <v>0.8</v>
      </c>
      <c r="Z71">
        <f>IFERROR(INDEX('Exercise list'!$E$5:$X$102,MATCH($C71,'Exercise list'!$C$5:$C$102,0),MATCH(Z$5,'Exercise list'!$E$4:$X$4,0)),0)</f>
        <v>0.5</v>
      </c>
      <c r="AA71">
        <f>IFERROR(INDEX('Exercise list'!$E$5:$X$102,MATCH($C71,'Exercise list'!$C$5:$C$102,0),MATCH(AA$5,'Exercise list'!$E$4:$X$4,0)),0)</f>
        <v>0</v>
      </c>
      <c r="AB71">
        <f>IFERROR(INDEX('Exercise list'!$E$5:$X$102,MATCH($C71,'Exercise list'!$C$5:$C$102,0),MATCH(AB$5,'Exercise list'!$E$4:$X$4,0)),0)</f>
        <v>0</v>
      </c>
      <c r="AC71">
        <f>IFERROR(INDEX('Exercise list'!$E$5:$X$102,MATCH($C71,'Exercise list'!$C$5:$C$102,0),MATCH(AC$5,'Exercise list'!$E$4:$X$4,0)),0)</f>
        <v>0</v>
      </c>
      <c r="AD71">
        <f>IFERROR(INDEX('Exercise list'!$E$5:$X$102,MATCH($C71,'Exercise list'!$C$5:$C$102,0),MATCH(AD$5,'Exercise list'!$E$4:$X$4,0)),0)</f>
        <v>0</v>
      </c>
      <c r="AE71">
        <f>IFERROR(INDEX('Exercise list'!$E$5:$X$102,MATCH($C71,'Exercise list'!$C$5:$C$102,0),MATCH(AE$5,'Exercise list'!$E$4:$X$4,0)),0)</f>
        <v>0</v>
      </c>
      <c r="AF71">
        <f>IFERROR(INDEX('Exercise list'!$E$5:$X$102,MATCH($C71,'Exercise list'!$C$5:$C$102,0),MATCH(AF$5,'Exercise list'!$E$4:$X$4,0)),0)</f>
        <v>0</v>
      </c>
      <c r="AG71">
        <f>IFERROR(INDEX('Exercise list'!$E$5:$X$102,MATCH($C71,'Exercise list'!$C$5:$C$102,0),MATCH(AG$5,'Exercise list'!$E$4:$X$4,0)),0)</f>
        <v>0</v>
      </c>
      <c r="AH71">
        <f>IFERROR(INDEX('Exercise list'!$E$5:$X$102,MATCH($C71,'Exercise list'!$C$5:$C$102,0),MATCH(AH$5,'Exercise list'!$E$4:$X$4,0)),0)</f>
        <v>0</v>
      </c>
      <c r="AI71">
        <f>IFERROR(INDEX('Exercise list'!$E$5:$X$102,MATCH($C71,'Exercise list'!$C$5:$C$102,0),MATCH(AI$5,'Exercise list'!$E$4:$X$4,0)),0)</f>
        <v>0</v>
      </c>
      <c r="AK71">
        <f>IF(OR($J71=1,COUNTIFS($A$5:$A70,"&gt;="&amp;$A71-1,$A$5:$A70,"&lt;="&amp;$A71,$B$5:$B70,$B71)&gt;0,MIN(1-'Exercise list'!E$2,IF($A71=$A70,AK70,1))-P71&lt;0),-1,MIN(1,IF($A71=$A70,AK70,1)-P71+$D$2))</f>
        <v>1</v>
      </c>
      <c r="AL71">
        <f>IF(OR($J71=1,COUNTIFS($A$5:$A70,"&gt;="&amp;$A71-1,$A$5:$A70,"&lt;="&amp;$A71,$B$5:$B70,$B71)&gt;0,MIN(1-'Exercise list'!F$2,IF($A71=$A70,AL70,1))-Q71&lt;0),-1,MIN(1,IF($A71=$A70,AL70,1)-Q71+$D$2))</f>
        <v>1</v>
      </c>
      <c r="AM71">
        <f>IF(OR($J71=1,COUNTIFS($A$5:$A70,"&gt;="&amp;$A71-1,$A$5:$A70,"&lt;="&amp;$A71,$B$5:$B70,$B71)&gt;0,MIN(1-'Exercise list'!G$2,IF($A71=$A70,AM70,1))-R71&lt;0),-1,MIN(1,IF($A71=$A70,AM70,1)-R71+$D$2))</f>
        <v>1</v>
      </c>
      <c r="AN71">
        <f>IF(OR($J71=1,COUNTIFS($A$5:$A70,"&gt;="&amp;$A71-1,$A$5:$A70,"&lt;="&amp;$A71,$B$5:$B70,$B71)&gt;0,MIN(1-'Exercise list'!H$2,IF($A71=$A70,AN70,1))-S71&lt;0),-1,MIN(1,IF($A71=$A70,AN70,1)-S71+$D$2))</f>
        <v>1</v>
      </c>
      <c r="AO71">
        <f>IF(OR($J71=1,COUNTIFS($A$5:$A70,"&gt;="&amp;$A71-1,$A$5:$A70,"&lt;="&amp;$A71,$B$5:$B70,$B71)&gt;0,MIN(1-'Exercise list'!I$2,IF($A71=$A70,AO70,1))-T71&lt;0),-1,MIN(1,IF($A71=$A70,AO70,1)-T71+$D$2))</f>
        <v>1</v>
      </c>
      <c r="AP71">
        <f>IF(OR($J71=1,COUNTIFS($A$5:$A70,"&gt;="&amp;$A71-1,$A$5:$A70,"&lt;="&amp;$A71,$B$5:$B70,$B71)&gt;0,MIN(1-'Exercise list'!J$2,IF($A71=$A70,AP70,1))-U71&lt;0),-1,MIN(1,IF($A71=$A70,AP70,1)-U71+$D$2))</f>
        <v>1</v>
      </c>
      <c r="AQ71">
        <f>IF(OR($J71=1,COUNTIFS($A$5:$A70,"&gt;="&amp;$A71-1,$A$5:$A70,"&lt;="&amp;$A71,$B$5:$B70,$B71)&gt;0,MIN(1-'Exercise list'!K$2,IF($A71=$A70,AQ70,1))-V71&lt;0),-1,MIN(1,IF($A71=$A70,AQ70,1)-V71+$D$2))</f>
        <v>1</v>
      </c>
      <c r="AR71">
        <f>IF(OR($J71=1,COUNTIFS($A$5:$A70,"&gt;="&amp;$A71-1,$A$5:$A70,"&lt;="&amp;$A71,$B$5:$B70,$B71)&gt;0,MIN(1-'Exercise list'!L$2,IF($A71=$A70,AR70,1))-W71&lt;0),-1,MIN(1,IF($A71=$A70,AR70,1)-W71+$D$2))</f>
        <v>1</v>
      </c>
      <c r="AS71">
        <f>IF(OR($J71=1,COUNTIFS($A$5:$A70,"&gt;="&amp;$A71-1,$A$5:$A70,"&lt;="&amp;$A71,$B$5:$B70,$B71)&gt;0,MIN(1-'Exercise list'!M$2,IF($A71=$A70,AS70,1))-X71&lt;0),-1,MIN(1,IF($A71=$A70,AS70,1)-X71+$D$2))</f>
        <v>1</v>
      </c>
      <c r="AT71">
        <f>IF(OR($J71=1,COUNTIFS($A$5:$A70,"&gt;="&amp;$A71-1,$A$5:$A70,"&lt;="&amp;$A71,$B$5:$B70,$B71)&gt;0,MIN(1-'Exercise list'!N$2,IF($A71=$A70,AT70,1))-Y71&lt;0),-1,MIN(1,IF($A71=$A70,AT70,1)-Y71+$D$2))</f>
        <v>1</v>
      </c>
      <c r="AU71">
        <f>IF(OR($J71=1,COUNTIFS($A$5:$A70,"&gt;="&amp;$A71-1,$A$5:$A70,"&lt;="&amp;$A71,$B$5:$B70,$B71)&gt;0,MIN(1-'Exercise list'!O$2,IF($A71=$A70,AU70,1))-Z71&lt;0),-1,MIN(1,IF($A71=$A70,AU70,1)-Z71+$D$2))</f>
        <v>1</v>
      </c>
      <c r="AV71">
        <f>IF(OR($J71=1,COUNTIFS($A$5:$A70,"&gt;="&amp;$A71-1,$A$5:$A70,"&lt;="&amp;$A71,$B$5:$B70,$B71)&gt;0,MIN(1-'Exercise list'!P$2,IF($A71=$A70,AV70,1))-AA71&lt;0),-1,MIN(1,IF($A71=$A70,AV70,1)-AA71+$D$2))</f>
        <v>1</v>
      </c>
      <c r="AW71">
        <f>IF(OR($J71=1,COUNTIFS($A$5:$A70,"&gt;="&amp;$A71-1,$A$5:$A70,"&lt;="&amp;$A71,$B$5:$B70,$B71)&gt;0,MIN(1-'Exercise list'!Q$2,IF($A71=$A70,AW70,1))-AB71&lt;0),-1,MIN(1,IF($A71=$A70,AW70,1)-AB71+$D$2))</f>
        <v>1</v>
      </c>
      <c r="AX71">
        <f>IF(OR($J71=1,COUNTIFS($A$5:$A70,"&gt;="&amp;$A71-1,$A$5:$A70,"&lt;="&amp;$A71,$B$5:$B70,$B71)&gt;0,MIN(1-'Exercise list'!R$2,IF($A71=$A70,AX70,1))-AC71&lt;0),-1,MIN(1,IF($A71=$A70,AX70,1)-AC71+$D$2))</f>
        <v>1</v>
      </c>
      <c r="AY71">
        <f>IF(OR($J71=1,COUNTIFS($A$5:$A70,"&gt;="&amp;$A71-1,$A$5:$A70,"&lt;="&amp;$A71,$B$5:$B70,$B71)&gt;0,MIN(1-'Exercise list'!S$2,IF($A71=$A70,AY70,1))-AD71&lt;0),-1,MIN(1,IF($A71=$A70,AY70,1)-AD71+$D$2))</f>
        <v>1</v>
      </c>
      <c r="AZ71">
        <f>IF(OR($J71=1,COUNTIFS($A$5:$A70,"&gt;="&amp;$A71-1,$A$5:$A70,"&lt;="&amp;$A71,$B$5:$B70,$B71)&gt;0,MIN(1-'Exercise list'!T$2,IF($A71=$A70,AZ70,1))-AE71&lt;0),-1,MIN(1,IF($A71=$A70,AZ70,1)-AE71+$D$2))</f>
        <v>1</v>
      </c>
      <c r="BA71">
        <f>IF(OR($J71=1,COUNTIFS($A$5:$A70,"&gt;="&amp;$A71-1,$A$5:$A70,"&lt;="&amp;$A71,$B$5:$B70,$B71)&gt;0,MIN(1-'Exercise list'!U$2,IF($A71=$A70,BA70,1))-AF71&lt;0),-1,MIN(1,IF($A71=$A70,BA70,1)-AF71+$D$2))</f>
        <v>1</v>
      </c>
      <c r="BB71">
        <f>IF(OR($J71=1,COUNTIFS($A$5:$A70,"&gt;="&amp;$A71-1,$A$5:$A70,"&lt;="&amp;$A71,$B$5:$B70,$B71)&gt;0,MIN(1-'Exercise list'!V$2,IF($A71=$A70,BB70,1))-AG71&lt;0),-1,MIN(1,IF($A71=$A70,BB70,1)-AG71+$D$2))</f>
        <v>1</v>
      </c>
      <c r="BC71">
        <f>IF(OR($J71=1,COUNTIFS($A$5:$A70,"&gt;="&amp;$A71-1,$A$5:$A70,"&lt;="&amp;$A71,$B$5:$B70,$B71)&gt;0,MIN(1-'Exercise list'!W$2,IF($A71=$A70,BC70,1))-AH71&lt;0),-1,MIN(1,IF($A71=$A70,BC70,1)-AH71+$D$2))</f>
        <v>1</v>
      </c>
      <c r="BD71">
        <f>IF(OR($J71=1,COUNTIFS($A$5:$A70,"&gt;="&amp;$A71-1,$A$5:$A70,"&lt;="&amp;$A71,$B$5:$B70,$B71)&gt;0,MIN(1-'Exercise list'!X$2,IF($A71=$A70,BD70,1))-AI71&lt;0),-1,MIN(1,IF($A71=$A70,BD70,1)-AI71+$D$2))</f>
        <v>1</v>
      </c>
      <c r="BF71" s="16">
        <f t="shared" ref="BF71:BF93" si="76">IF($B71&lt;6,BF70,$AN$2*P71+(1-$AN$2)*BF70)</f>
        <v>0.17008713644406559</v>
      </c>
      <c r="BG71" s="16">
        <f t="shared" ref="BG71:BG98" si="77">IF($B71&lt;6,BG70,$AN$2*Q71+(1-$AN$2)*BG70)</f>
        <v>0.17510453171625237</v>
      </c>
      <c r="BH71" s="16">
        <f t="shared" ref="BH71:BH98" si="78">IF($B71&lt;6,BH70,$AN$2*R71+(1-$AN$2)*BH70)</f>
        <v>0.13329767747085028</v>
      </c>
      <c r="BI71" s="16">
        <f t="shared" ref="BI71:BI98" si="79">IF($B71&lt;6,BI70,$AN$2*S71+(1-$AN$2)*BI70)</f>
        <v>0.1355091601734163</v>
      </c>
      <c r="BJ71" s="16">
        <f t="shared" ref="BJ71:BJ98" si="80">IF($B71&lt;6,BJ70,$AN$2*T71+(1-$AN$2)*BJ70)</f>
        <v>0.24882587308001428</v>
      </c>
      <c r="BK71" s="16">
        <f t="shared" ref="BK71:BK98" si="81">IF($B71&lt;6,BK70,$AN$2*U71+(1-$AN$2)*BK70)</f>
        <v>8.9805419173413864E-2</v>
      </c>
      <c r="BL71" s="16">
        <f t="shared" ref="BL71:BL98" si="82">IF($B71&lt;6,BL70,$AN$2*V71+(1-$AN$2)*BL70)</f>
        <v>0.17876317731315652</v>
      </c>
      <c r="BM71" s="16">
        <f t="shared" ref="BM71:BM98" si="83">IF($B71&lt;6,BM70,$AN$2*W71+(1-$AN$2)*BM70)</f>
        <v>2.2620451123708099E-2</v>
      </c>
      <c r="BN71" s="16">
        <f t="shared" ref="BN71:BN98" si="84">IF($B71&lt;6,BN70,$AN$2*X71+(1-$AN$2)*BN70)</f>
        <v>9.5601893830546486E-2</v>
      </c>
      <c r="BO71" s="16">
        <f t="shared" ref="BO71:BO98" si="85">IF($B71&lt;6,BO70,$AN$2*Y71+(1-$AN$2)*BO70)</f>
        <v>0.19277577864065007</v>
      </c>
      <c r="BP71" s="16">
        <f t="shared" ref="BP71:BP98" si="86">IF($B71&lt;6,BP70,$AN$2*Z71+(1-$AN$2)*BP70)</f>
        <v>0.33232162690579226</v>
      </c>
      <c r="BQ71" s="16">
        <f t="shared" ref="BQ71:BQ98" si="87">IF($B71&lt;6,BQ70,$AN$2*AA71+(1-$AN$2)*BQ70)</f>
        <v>4.5840781299722341E-2</v>
      </c>
      <c r="BR71" s="16">
        <f t="shared" ref="BR71:BR98" si="88">IF($B71&lt;6,BR70,$AN$2*AB71+(1-$AN$2)*BR70)</f>
        <v>0.14119935015121313</v>
      </c>
      <c r="BS71" s="16">
        <f t="shared" ref="BS71:BS98" si="89">IF($B71&lt;6,BS70,$AN$2*AC71+(1-$AN$2)*BS70)</f>
        <v>2.7348400098069884E-2</v>
      </c>
      <c r="BT71" s="16">
        <f t="shared" ref="BT71:BT98" si="90">IF($B71&lt;6,BT70,$AN$2*AD71+(1-$AN$2)*BT70)</f>
        <v>0.20082717021885826</v>
      </c>
      <c r="BU71" s="16">
        <f t="shared" ref="BU71:BU98" si="91">IF($B71&lt;6,BU70,$AN$2*AE71+(1-$AN$2)*BU70)</f>
        <v>0.24427023707151047</v>
      </c>
      <c r="BV71" s="16">
        <f t="shared" ref="BV71:BV98" si="92">IF($B71&lt;6,BV70,$AN$2*AF71+(1-$AN$2)*BV70)</f>
        <v>0.28357962081775739</v>
      </c>
      <c r="BW71" s="16">
        <f t="shared" ref="BW71:BW98" si="93">IF($B71&lt;6,BW70,$AN$2*AG71+(1-$AN$2)*BW70)</f>
        <v>9.543303546325628E-2</v>
      </c>
      <c r="BX71" s="16">
        <f t="shared" ref="BX71:BX98" si="94">IF($B71&lt;6,BX70,$AN$2*AH71+(1-$AN$2)*BX70)</f>
        <v>9.8509479368931008E-2</v>
      </c>
      <c r="BY71" s="16">
        <f t="shared" ref="BY71:BY98" si="95">IF($B71&lt;6,BY70,$AN$2*AI71+(1-$AN$2)*BY70)</f>
        <v>2.5311215111865574E-2</v>
      </c>
      <c r="CA71" s="16">
        <f t="shared" si="56"/>
        <v>4.7470790628012266E-2</v>
      </c>
      <c r="CB71" s="16">
        <f t="shared" si="57"/>
        <v>4.2453395355825485E-2</v>
      </c>
      <c r="CC71" s="16">
        <f t="shared" si="58"/>
        <v>0</v>
      </c>
      <c r="CD71" s="16">
        <f t="shared" si="59"/>
        <v>0</v>
      </c>
      <c r="CE71" s="16">
        <f t="shared" si="60"/>
        <v>0</v>
      </c>
      <c r="CF71" s="16">
        <f t="shared" si="61"/>
        <v>0.23653147143470296</v>
      </c>
      <c r="CG71" s="16">
        <f t="shared" si="62"/>
        <v>0</v>
      </c>
      <c r="CH71" s="16">
        <f t="shared" si="63"/>
        <v>8.6158512412330829E-2</v>
      </c>
      <c r="CI71" s="16">
        <f t="shared" si="64"/>
        <v>0.12195603324153137</v>
      </c>
      <c r="CJ71" s="16">
        <f t="shared" si="65"/>
        <v>0</v>
      </c>
      <c r="CK71" s="16">
        <f t="shared" si="66"/>
        <v>0</v>
      </c>
      <c r="CL71" s="16">
        <f t="shared" si="67"/>
        <v>6.2938182236316587E-2</v>
      </c>
      <c r="CM71" s="16">
        <f t="shared" si="68"/>
        <v>7.6358576920864729E-2</v>
      </c>
      <c r="CN71" s="16">
        <f t="shared" si="69"/>
        <v>8.1430563437969047E-2</v>
      </c>
      <c r="CO71" s="16">
        <f t="shared" si="70"/>
        <v>0</v>
      </c>
      <c r="CP71" s="16">
        <f t="shared" si="71"/>
        <v>0</v>
      </c>
      <c r="CQ71" s="16">
        <f t="shared" si="72"/>
        <v>0</v>
      </c>
      <c r="CR71" s="16">
        <f t="shared" si="73"/>
        <v>1.3345928072782648E-2</v>
      </c>
      <c r="CS71" s="16">
        <f t="shared" si="74"/>
        <v>1.026948416710792E-2</v>
      </c>
      <c r="CT71" s="16">
        <f t="shared" si="75"/>
        <v>8.3467748424173357E-2</v>
      </c>
    </row>
    <row r="72" spans="1:100" x14ac:dyDescent="0.25">
      <c r="A72" s="13">
        <v>45069</v>
      </c>
      <c r="B72" s="14">
        <v>14</v>
      </c>
      <c r="C72" s="15" t="str" cm="1">
        <f t="array" ref="C72">IF(B72="","",INDEX('Exercise list'!$C$5:$C$102,B72))</f>
        <v>Machine seated rows</v>
      </c>
      <c r="D72" s="12">
        <f t="shared" si="52"/>
        <v>-1</v>
      </c>
      <c r="E72" s="32">
        <f t="shared" si="53"/>
        <v>1.4942020195731089</v>
      </c>
      <c r="F72" s="63" cm="1">
        <f t="array" ref="F72">IF(B72="","",0.1+IFERROR(INDEX($F$6:$F71,SUMPRODUCT(MAX(ROW($C$6:$C71)*($C72=$C$6:$C71))-ROW($A$5)))*0.9^($A72-INDEX($A$6:A71,SUMPRODUCT(MAX(ROW($C$6:$C71)*($C72=$C$6:$C71))-ROW($A$5)))),0))</f>
        <v>0.1</v>
      </c>
      <c r="G72" s="64">
        <f>INDEX('Exercise list'!$Y$5:$Y$102,MATCH(C72,'Exercise list'!$C$5:$C$102,0))</f>
        <v>2</v>
      </c>
      <c r="H72" s="115">
        <f t="shared" si="54"/>
        <v>7.3183505668281024E-2</v>
      </c>
      <c r="I72" s="6">
        <f t="shared" si="55"/>
        <v>3</v>
      </c>
      <c r="J72" s="6" cm="1">
        <f t="array" ref="J72">IF(B72="","",INDEX('Exercise list'!$D$5:$D$102,B72))</f>
        <v>1</v>
      </c>
      <c r="K72" s="12">
        <v>9</v>
      </c>
      <c r="L72" s="74" t="str" cm="1">
        <f t="array" ref="L72">IF(K72="","",INDEX('Exercise list'!$C$5:$C$102,K72))</f>
        <v>Cable lat pulldowns</v>
      </c>
      <c r="M72" s="6">
        <v>38</v>
      </c>
      <c r="N72" s="75" t="str" cm="1">
        <f t="array" ref="N72">IF(M72="","",INDEX('Exercise list'!$C$5:$C$102,M72))</f>
        <v>Cable hip abductions</v>
      </c>
      <c r="P72">
        <f>IFERROR(INDEX('Exercise list'!$E$5:$X$102,MATCH($C72,'Exercise list'!$C$5:$C$102,0),MATCH(P$5,'Exercise list'!$E$4:$X$4,0)),0)</f>
        <v>0</v>
      </c>
      <c r="Q72">
        <f>IFERROR(INDEX('Exercise list'!$E$5:$X$102,MATCH($C72,'Exercise list'!$C$5:$C$102,0),MATCH(Q$5,'Exercise list'!$E$4:$X$4,0)),0)</f>
        <v>1</v>
      </c>
      <c r="R72">
        <f>IFERROR(INDEX('Exercise list'!$E$5:$X$102,MATCH($C72,'Exercise list'!$C$5:$C$102,0),MATCH(R$5,'Exercise list'!$E$4:$X$4,0)),0)</f>
        <v>0.6</v>
      </c>
      <c r="S72">
        <f>IFERROR(INDEX('Exercise list'!$E$5:$X$102,MATCH($C72,'Exercise list'!$C$5:$C$102,0),MATCH(S$5,'Exercise list'!$E$4:$X$4,0)),0)</f>
        <v>0.7</v>
      </c>
      <c r="T72">
        <f>IFERROR(INDEX('Exercise list'!$E$5:$X$102,MATCH($C72,'Exercise list'!$C$5:$C$102,0),MATCH(T$5,'Exercise list'!$E$4:$X$4,0)),0)</f>
        <v>0</v>
      </c>
      <c r="U72">
        <f>IFERROR(INDEX('Exercise list'!$E$5:$X$102,MATCH($C72,'Exercise list'!$C$5:$C$102,0),MATCH(U$5,'Exercise list'!$E$4:$X$4,0)),0)</f>
        <v>0</v>
      </c>
      <c r="V72">
        <f>IFERROR(INDEX('Exercise list'!$E$5:$X$102,MATCH($C72,'Exercise list'!$C$5:$C$102,0),MATCH(V$5,'Exercise list'!$E$4:$X$4,0)),0)</f>
        <v>0</v>
      </c>
      <c r="W72">
        <f>IFERROR(INDEX('Exercise list'!$E$5:$X$102,MATCH($C72,'Exercise list'!$C$5:$C$102,0),MATCH(W$5,'Exercise list'!$E$4:$X$4,0)),0)</f>
        <v>0</v>
      </c>
      <c r="X72">
        <f>IFERROR(INDEX('Exercise list'!$E$5:$X$102,MATCH($C72,'Exercise list'!$C$5:$C$102,0),MATCH(X$5,'Exercise list'!$E$4:$X$4,0)),0)</f>
        <v>0.5</v>
      </c>
      <c r="Y72">
        <f>IFERROR(INDEX('Exercise list'!$E$5:$X$102,MATCH($C72,'Exercise list'!$C$5:$C$102,0),MATCH(Y$5,'Exercise list'!$E$4:$X$4,0)),0)</f>
        <v>0</v>
      </c>
      <c r="Z72">
        <f>IFERROR(INDEX('Exercise list'!$E$5:$X$102,MATCH($C72,'Exercise list'!$C$5:$C$102,0),MATCH(Z$5,'Exercise list'!$E$4:$X$4,0)),0)</f>
        <v>0.5</v>
      </c>
      <c r="AA72">
        <f>IFERROR(INDEX('Exercise list'!$E$5:$X$102,MATCH($C72,'Exercise list'!$C$5:$C$102,0),MATCH(AA$5,'Exercise list'!$E$4:$X$4,0)),0)</f>
        <v>0</v>
      </c>
      <c r="AB72">
        <f>IFERROR(INDEX('Exercise list'!$E$5:$X$102,MATCH($C72,'Exercise list'!$C$5:$C$102,0),MATCH(AB$5,'Exercise list'!$E$4:$X$4,0)),0)</f>
        <v>0</v>
      </c>
      <c r="AC72">
        <f>IFERROR(INDEX('Exercise list'!$E$5:$X$102,MATCH($C72,'Exercise list'!$C$5:$C$102,0),MATCH(AC$5,'Exercise list'!$E$4:$X$4,0)),0)</f>
        <v>0</v>
      </c>
      <c r="AD72">
        <f>IFERROR(INDEX('Exercise list'!$E$5:$X$102,MATCH($C72,'Exercise list'!$C$5:$C$102,0),MATCH(AD$5,'Exercise list'!$E$4:$X$4,0)),0)</f>
        <v>0</v>
      </c>
      <c r="AE72">
        <f>IFERROR(INDEX('Exercise list'!$E$5:$X$102,MATCH($C72,'Exercise list'!$C$5:$C$102,0),MATCH(AE$5,'Exercise list'!$E$4:$X$4,0)),0)</f>
        <v>0</v>
      </c>
      <c r="AF72">
        <f>IFERROR(INDEX('Exercise list'!$E$5:$X$102,MATCH($C72,'Exercise list'!$C$5:$C$102,0),MATCH(AF$5,'Exercise list'!$E$4:$X$4,0)),0)</f>
        <v>0</v>
      </c>
      <c r="AG72">
        <f>IFERROR(INDEX('Exercise list'!$E$5:$X$102,MATCH($C72,'Exercise list'!$C$5:$C$102,0),MATCH(AG$5,'Exercise list'!$E$4:$X$4,0)),0)</f>
        <v>0</v>
      </c>
      <c r="AH72">
        <f>IFERROR(INDEX('Exercise list'!$E$5:$X$102,MATCH($C72,'Exercise list'!$C$5:$C$102,0),MATCH(AH$5,'Exercise list'!$E$4:$X$4,0)),0)</f>
        <v>0</v>
      </c>
      <c r="AI72">
        <f>IFERROR(INDEX('Exercise list'!$E$5:$X$102,MATCH($C72,'Exercise list'!$C$5:$C$102,0),MATCH(AI$5,'Exercise list'!$E$4:$X$4,0)),0)</f>
        <v>0</v>
      </c>
      <c r="AK72">
        <f>IF(OR($J72=1,COUNTIFS($A$5:$A71,"&gt;="&amp;$A72-1,$A$5:$A71,"&lt;="&amp;$A72,$B$5:$B71,$B72)&gt;0,MIN(1-'Exercise list'!E$2,IF($A72=$A71,AK71,1))-P72&lt;0),-1,MIN(1,IF($A72=$A71,AK71,1)-P72+$D$2))</f>
        <v>-1</v>
      </c>
      <c r="AL72">
        <f>IF(OR($J72=1,COUNTIFS($A$5:$A71,"&gt;="&amp;$A72-1,$A$5:$A71,"&lt;="&amp;$A72,$B$5:$B71,$B72)&gt;0,MIN(1-'Exercise list'!F$2,IF($A72=$A71,AL71,1))-Q72&lt;0),-1,MIN(1,IF($A72=$A71,AL71,1)-Q72+$D$2))</f>
        <v>-1</v>
      </c>
      <c r="AM72">
        <f>IF(OR($J72=1,COUNTIFS($A$5:$A71,"&gt;="&amp;$A72-1,$A$5:$A71,"&lt;="&amp;$A72,$B$5:$B71,$B72)&gt;0,MIN(1-'Exercise list'!G$2,IF($A72=$A71,AM71,1))-R72&lt;0),-1,MIN(1,IF($A72=$A71,AM71,1)-R72+$D$2))</f>
        <v>-1</v>
      </c>
      <c r="AN72">
        <f>IF(OR($J72=1,COUNTIFS($A$5:$A71,"&gt;="&amp;$A72-1,$A$5:$A71,"&lt;="&amp;$A72,$B$5:$B71,$B72)&gt;0,MIN(1-'Exercise list'!H$2,IF($A72=$A71,AN71,1))-S72&lt;0),-1,MIN(1,IF($A72=$A71,AN71,1)-S72+$D$2))</f>
        <v>-1</v>
      </c>
      <c r="AO72">
        <f>IF(OR($J72=1,COUNTIFS($A$5:$A71,"&gt;="&amp;$A72-1,$A$5:$A71,"&lt;="&amp;$A72,$B$5:$B71,$B72)&gt;0,MIN(1-'Exercise list'!I$2,IF($A72=$A71,AO71,1))-T72&lt;0),-1,MIN(1,IF($A72=$A71,AO71,1)-T72+$D$2))</f>
        <v>-1</v>
      </c>
      <c r="AP72">
        <f>IF(OR($J72=1,COUNTIFS($A$5:$A71,"&gt;="&amp;$A72-1,$A$5:$A71,"&lt;="&amp;$A72,$B$5:$B71,$B72)&gt;0,MIN(1-'Exercise list'!J$2,IF($A72=$A71,AP71,1))-U72&lt;0),-1,MIN(1,IF($A72=$A71,AP71,1)-U72+$D$2))</f>
        <v>-1</v>
      </c>
      <c r="AQ72">
        <f>IF(OR($J72=1,COUNTIFS($A$5:$A71,"&gt;="&amp;$A72-1,$A$5:$A71,"&lt;="&amp;$A72,$B$5:$B71,$B72)&gt;0,MIN(1-'Exercise list'!K$2,IF($A72=$A71,AQ71,1))-V72&lt;0),-1,MIN(1,IF($A72=$A71,AQ71,1)-V72+$D$2))</f>
        <v>-1</v>
      </c>
      <c r="AR72">
        <f>IF(OR($J72=1,COUNTIFS($A$5:$A71,"&gt;="&amp;$A72-1,$A$5:$A71,"&lt;="&amp;$A72,$B$5:$B71,$B72)&gt;0,MIN(1-'Exercise list'!L$2,IF($A72=$A71,AR71,1))-W72&lt;0),-1,MIN(1,IF($A72=$A71,AR71,1)-W72+$D$2))</f>
        <v>-1</v>
      </c>
      <c r="AS72">
        <f>IF(OR($J72=1,COUNTIFS($A$5:$A71,"&gt;="&amp;$A72-1,$A$5:$A71,"&lt;="&amp;$A72,$B$5:$B71,$B72)&gt;0,MIN(1-'Exercise list'!M$2,IF($A72=$A71,AS71,1))-X72&lt;0),-1,MIN(1,IF($A72=$A71,AS71,1)-X72+$D$2))</f>
        <v>-1</v>
      </c>
      <c r="AT72">
        <f>IF(OR($J72=1,COUNTIFS($A$5:$A71,"&gt;="&amp;$A72-1,$A$5:$A71,"&lt;="&amp;$A72,$B$5:$B71,$B72)&gt;0,MIN(1-'Exercise list'!N$2,IF($A72=$A71,AT71,1))-Y72&lt;0),-1,MIN(1,IF($A72=$A71,AT71,1)-Y72+$D$2))</f>
        <v>-1</v>
      </c>
      <c r="AU72">
        <f>IF(OR($J72=1,COUNTIFS($A$5:$A71,"&gt;="&amp;$A72-1,$A$5:$A71,"&lt;="&amp;$A72,$B$5:$B71,$B72)&gt;0,MIN(1-'Exercise list'!O$2,IF($A72=$A71,AU71,1))-Z72&lt;0),-1,MIN(1,IF($A72=$A71,AU71,1)-Z72+$D$2))</f>
        <v>-1</v>
      </c>
      <c r="AV72">
        <f>IF(OR($J72=1,COUNTIFS($A$5:$A71,"&gt;="&amp;$A72-1,$A$5:$A71,"&lt;="&amp;$A72,$B$5:$B71,$B72)&gt;0,MIN(1-'Exercise list'!P$2,IF($A72=$A71,AV71,1))-AA72&lt;0),-1,MIN(1,IF($A72=$A71,AV71,1)-AA72+$D$2))</f>
        <v>-1</v>
      </c>
      <c r="AW72">
        <f>IF(OR($J72=1,COUNTIFS($A$5:$A71,"&gt;="&amp;$A72-1,$A$5:$A71,"&lt;="&amp;$A72,$B$5:$B71,$B72)&gt;0,MIN(1-'Exercise list'!Q$2,IF($A72=$A71,AW71,1))-AB72&lt;0),-1,MIN(1,IF($A72=$A71,AW71,1)-AB72+$D$2))</f>
        <v>-1</v>
      </c>
      <c r="AX72">
        <f>IF(OR($J72=1,COUNTIFS($A$5:$A71,"&gt;="&amp;$A72-1,$A$5:$A71,"&lt;="&amp;$A72,$B$5:$B71,$B72)&gt;0,MIN(1-'Exercise list'!R$2,IF($A72=$A71,AX71,1))-AC72&lt;0),-1,MIN(1,IF($A72=$A71,AX71,1)-AC72+$D$2))</f>
        <v>-1</v>
      </c>
      <c r="AY72">
        <f>IF(OR($J72=1,COUNTIFS($A$5:$A71,"&gt;="&amp;$A72-1,$A$5:$A71,"&lt;="&amp;$A72,$B$5:$B71,$B72)&gt;0,MIN(1-'Exercise list'!S$2,IF($A72=$A71,AY71,1))-AD72&lt;0),-1,MIN(1,IF($A72=$A71,AY71,1)-AD72+$D$2))</f>
        <v>-1</v>
      </c>
      <c r="AZ72">
        <f>IF(OR($J72=1,COUNTIFS($A$5:$A71,"&gt;="&amp;$A72-1,$A$5:$A71,"&lt;="&amp;$A72,$B$5:$B71,$B72)&gt;0,MIN(1-'Exercise list'!T$2,IF($A72=$A71,AZ71,1))-AE72&lt;0),-1,MIN(1,IF($A72=$A71,AZ71,1)-AE72+$D$2))</f>
        <v>-1</v>
      </c>
      <c r="BA72">
        <f>IF(OR($J72=1,COUNTIFS($A$5:$A71,"&gt;="&amp;$A72-1,$A$5:$A71,"&lt;="&amp;$A72,$B$5:$B71,$B72)&gt;0,MIN(1-'Exercise list'!U$2,IF($A72=$A71,BA71,1))-AF72&lt;0),-1,MIN(1,IF($A72=$A71,BA71,1)-AF72+$D$2))</f>
        <v>-1</v>
      </c>
      <c r="BB72">
        <f>IF(OR($J72=1,COUNTIFS($A$5:$A71,"&gt;="&amp;$A72-1,$A$5:$A71,"&lt;="&amp;$A72,$B$5:$B71,$B72)&gt;0,MIN(1-'Exercise list'!V$2,IF($A72=$A71,BB71,1))-AG72&lt;0),-1,MIN(1,IF($A72=$A71,BB71,1)-AG72+$D$2))</f>
        <v>-1</v>
      </c>
      <c r="BC72">
        <f>IF(OR($J72=1,COUNTIFS($A$5:$A71,"&gt;="&amp;$A72-1,$A$5:$A71,"&lt;="&amp;$A72,$B$5:$B71,$B72)&gt;0,MIN(1-'Exercise list'!W$2,IF($A72=$A71,BC71,1))-AH72&lt;0),-1,MIN(1,IF($A72=$A71,BC71,1)-AH72+$D$2))</f>
        <v>-1</v>
      </c>
      <c r="BD72">
        <f>IF(OR($J72=1,COUNTIFS($A$5:$A71,"&gt;="&amp;$A72-1,$A$5:$A71,"&lt;="&amp;$A72,$B$5:$B71,$B72)&gt;0,MIN(1-'Exercise list'!X$2,IF($A72=$A71,BD71,1))-AI72&lt;0),-1,MIN(1,IF($A72=$A71,BD71,1)-AI72+$D$2))</f>
        <v>-1</v>
      </c>
      <c r="BF72" s="16">
        <f t="shared" si="76"/>
        <v>0.16158277962186229</v>
      </c>
      <c r="BG72" s="16">
        <f t="shared" si="77"/>
        <v>0.21634930513043976</v>
      </c>
      <c r="BH72" s="16">
        <f t="shared" si="78"/>
        <v>0.15663279359730775</v>
      </c>
      <c r="BI72" s="16">
        <f t="shared" si="79"/>
        <v>0.16373370216474548</v>
      </c>
      <c r="BJ72" s="16">
        <f t="shared" si="80"/>
        <v>0.23638457942601354</v>
      </c>
      <c r="BK72" s="16">
        <f t="shared" si="81"/>
        <v>8.5315148214743161E-2</v>
      </c>
      <c r="BL72" s="16">
        <f t="shared" si="82"/>
        <v>0.1698250184474987</v>
      </c>
      <c r="BM72" s="16">
        <f t="shared" si="83"/>
        <v>2.1489428567522693E-2</v>
      </c>
      <c r="BN72" s="16">
        <f t="shared" si="84"/>
        <v>0.11582179913901916</v>
      </c>
      <c r="BO72" s="16">
        <f t="shared" si="85"/>
        <v>0.18313698970861755</v>
      </c>
      <c r="BP72" s="16">
        <f t="shared" si="86"/>
        <v>0.34070554556050264</v>
      </c>
      <c r="BQ72" s="16">
        <f t="shared" si="87"/>
        <v>4.3548742234736225E-2</v>
      </c>
      <c r="BR72" s="16">
        <f t="shared" si="88"/>
        <v>0.13413938264365247</v>
      </c>
      <c r="BS72" s="16">
        <f t="shared" si="89"/>
        <v>2.5980980093166389E-2</v>
      </c>
      <c r="BT72" s="16">
        <f t="shared" si="90"/>
        <v>0.19078581170791534</v>
      </c>
      <c r="BU72" s="16">
        <f t="shared" si="91"/>
        <v>0.23205672521793494</v>
      </c>
      <c r="BV72" s="16">
        <f t="shared" si="92"/>
        <v>0.26940063977686951</v>
      </c>
      <c r="BW72" s="16">
        <f t="shared" si="93"/>
        <v>9.0661383690093467E-2</v>
      </c>
      <c r="BX72" s="16">
        <f t="shared" si="94"/>
        <v>9.3584005400484449E-2</v>
      </c>
      <c r="BY72" s="16">
        <f t="shared" si="95"/>
        <v>2.4045654356272293E-2</v>
      </c>
      <c r="CA72" s="16">
        <f t="shared" si="56"/>
        <v>5.731947331883383E-2</v>
      </c>
      <c r="CB72" s="16">
        <f t="shared" si="57"/>
        <v>2.5529478102563619E-3</v>
      </c>
      <c r="CC72" s="16">
        <f t="shared" si="58"/>
        <v>0</v>
      </c>
      <c r="CD72" s="16">
        <f t="shared" si="59"/>
        <v>0</v>
      </c>
      <c r="CE72" s="16">
        <f t="shared" si="60"/>
        <v>0</v>
      </c>
      <c r="CF72" s="16">
        <f t="shared" si="61"/>
        <v>0.24303823119630102</v>
      </c>
      <c r="CG72" s="16">
        <f t="shared" si="62"/>
        <v>0</v>
      </c>
      <c r="CH72" s="16">
        <f t="shared" si="63"/>
        <v>8.7961697902825375E-2</v>
      </c>
      <c r="CI72" s="16">
        <f t="shared" si="64"/>
        <v>0.10308045380167696</v>
      </c>
      <c r="CJ72" s="16">
        <f t="shared" si="65"/>
        <v>0</v>
      </c>
      <c r="CK72" s="16">
        <f t="shared" si="66"/>
        <v>0</v>
      </c>
      <c r="CL72" s="16">
        <f t="shared" si="67"/>
        <v>6.5902384235611844E-2</v>
      </c>
      <c r="CM72" s="16">
        <f t="shared" si="68"/>
        <v>8.4762870297043658E-2</v>
      </c>
      <c r="CN72" s="16">
        <f t="shared" si="69"/>
        <v>8.347014637718167E-2</v>
      </c>
      <c r="CO72" s="16">
        <f t="shared" si="70"/>
        <v>0</v>
      </c>
      <c r="CP72" s="16">
        <f t="shared" si="71"/>
        <v>0</v>
      </c>
      <c r="CQ72" s="16">
        <f t="shared" si="72"/>
        <v>0</v>
      </c>
      <c r="CR72" s="16">
        <f t="shared" si="73"/>
        <v>1.8789742780254595E-2</v>
      </c>
      <c r="CS72" s="16">
        <f t="shared" si="74"/>
        <v>1.5867121069863613E-2</v>
      </c>
      <c r="CT72" s="16">
        <f t="shared" si="75"/>
        <v>8.5405472114075773E-2</v>
      </c>
    </row>
    <row r="73" spans="1:100" x14ac:dyDescent="0.25">
      <c r="A73" s="13">
        <v>45069</v>
      </c>
      <c r="B73" s="14">
        <v>24</v>
      </c>
      <c r="C73" s="15" t="str" cm="1">
        <f t="array" ref="C73">IF(B73="","",INDEX('Exercise list'!$C$5:$C$102,B73))</f>
        <v>Cable crossovers</v>
      </c>
      <c r="D73" s="12">
        <f t="shared" si="52"/>
        <v>-1</v>
      </c>
      <c r="E73" s="32">
        <f t="shared" si="53"/>
        <v>0.52573628094916525</v>
      </c>
      <c r="F73" s="63" cm="1">
        <f t="array" ref="F73">IF(B73="","",0.1+IFERROR(INDEX($F$6:$F72,SUMPRODUCT(MAX(ROW($C$6:$C72)*($C73=$C$6:$C72))-ROW($A$5)))*0.9^($A73-INDEX($A$6:A72,SUMPRODUCT(MAX(ROW($C$6:$C72)*($C73=$C$6:$C72))-ROW($A$5)))),0))</f>
        <v>0.14858975792183615</v>
      </c>
      <c r="G73" s="64">
        <f>INDEX('Exercise list'!$Y$5:$Y$102,MATCH(C73,'Exercise list'!$C$5:$C$102,0))</f>
        <v>1</v>
      </c>
      <c r="H73" s="115">
        <f t="shared" si="54"/>
        <v>7.0366659307963333E-2</v>
      </c>
      <c r="I73" s="6">
        <f t="shared" si="55"/>
        <v>4</v>
      </c>
      <c r="J73" s="6" cm="1">
        <f t="array" ref="J73">IF(B73="","",INDEX('Exercise list'!$D$5:$D$102,B73))</f>
        <v>1</v>
      </c>
      <c r="K73" s="12">
        <v>38</v>
      </c>
      <c r="L73" s="74" t="str" cm="1">
        <f t="array" ref="L73">IF(K73="","",INDEX('Exercise list'!$C$5:$C$102,K73))</f>
        <v>Cable hip abductions</v>
      </c>
      <c r="M73" s="6">
        <v>36</v>
      </c>
      <c r="N73" s="75" t="str" cm="1">
        <f t="array" ref="N73">IF(M73="","",INDEX('Exercise list'!$C$5:$C$102,M73))</f>
        <v>Barbell hip thrusts</v>
      </c>
      <c r="P73">
        <f>IFERROR(INDEX('Exercise list'!$E$5:$X$102,MATCH($C73,'Exercise list'!$C$5:$C$102,0),MATCH(P$5,'Exercise list'!$E$4:$X$4,0)),0)</f>
        <v>1</v>
      </c>
      <c r="Q73">
        <f>IFERROR(INDEX('Exercise list'!$E$5:$X$102,MATCH($C73,'Exercise list'!$C$5:$C$102,0),MATCH(Q$5,'Exercise list'!$E$4:$X$4,0)),0)</f>
        <v>0</v>
      </c>
      <c r="R73">
        <f>IFERROR(INDEX('Exercise list'!$E$5:$X$102,MATCH($C73,'Exercise list'!$C$5:$C$102,0),MATCH(R$5,'Exercise list'!$E$4:$X$4,0)),0)</f>
        <v>0</v>
      </c>
      <c r="S73">
        <f>IFERROR(INDEX('Exercise list'!$E$5:$X$102,MATCH($C73,'Exercise list'!$C$5:$C$102,0),MATCH(S$5,'Exercise list'!$E$4:$X$4,0)),0)</f>
        <v>0</v>
      </c>
      <c r="T73">
        <f>IFERROR(INDEX('Exercise list'!$E$5:$X$102,MATCH($C73,'Exercise list'!$C$5:$C$102,0),MATCH(T$5,'Exercise list'!$E$4:$X$4,0)),0)</f>
        <v>0</v>
      </c>
      <c r="U73">
        <f>IFERROR(INDEX('Exercise list'!$E$5:$X$102,MATCH($C73,'Exercise list'!$C$5:$C$102,0),MATCH(U$5,'Exercise list'!$E$4:$X$4,0)),0)</f>
        <v>0</v>
      </c>
      <c r="V73">
        <f>IFERROR(INDEX('Exercise list'!$E$5:$X$102,MATCH($C73,'Exercise list'!$C$5:$C$102,0),MATCH(V$5,'Exercise list'!$E$4:$X$4,0)),0)</f>
        <v>0</v>
      </c>
      <c r="W73">
        <f>IFERROR(INDEX('Exercise list'!$E$5:$X$102,MATCH($C73,'Exercise list'!$C$5:$C$102,0),MATCH(W$5,'Exercise list'!$E$4:$X$4,0)),0)</f>
        <v>0</v>
      </c>
      <c r="X73">
        <f>IFERROR(INDEX('Exercise list'!$E$5:$X$102,MATCH($C73,'Exercise list'!$C$5:$C$102,0),MATCH(X$5,'Exercise list'!$E$4:$X$4,0)),0)</f>
        <v>0</v>
      </c>
      <c r="Y73">
        <f>IFERROR(INDEX('Exercise list'!$E$5:$X$102,MATCH($C73,'Exercise list'!$C$5:$C$102,0),MATCH(Y$5,'Exercise list'!$E$4:$X$4,0)),0)</f>
        <v>0</v>
      </c>
      <c r="Z73">
        <f>IFERROR(INDEX('Exercise list'!$E$5:$X$102,MATCH($C73,'Exercise list'!$C$5:$C$102,0),MATCH(Z$5,'Exercise list'!$E$4:$X$4,0)),0)</f>
        <v>0</v>
      </c>
      <c r="AA73">
        <f>IFERROR(INDEX('Exercise list'!$E$5:$X$102,MATCH($C73,'Exercise list'!$C$5:$C$102,0),MATCH(AA$5,'Exercise list'!$E$4:$X$4,0)),0)</f>
        <v>0</v>
      </c>
      <c r="AB73">
        <f>IFERROR(INDEX('Exercise list'!$E$5:$X$102,MATCH($C73,'Exercise list'!$C$5:$C$102,0),MATCH(AB$5,'Exercise list'!$E$4:$X$4,0)),0)</f>
        <v>0</v>
      </c>
      <c r="AC73">
        <f>IFERROR(INDEX('Exercise list'!$E$5:$X$102,MATCH($C73,'Exercise list'!$C$5:$C$102,0),MATCH(AC$5,'Exercise list'!$E$4:$X$4,0)),0)</f>
        <v>0</v>
      </c>
      <c r="AD73">
        <f>IFERROR(INDEX('Exercise list'!$E$5:$X$102,MATCH($C73,'Exercise list'!$C$5:$C$102,0),MATCH(AD$5,'Exercise list'!$E$4:$X$4,0)),0)</f>
        <v>0</v>
      </c>
      <c r="AE73">
        <f>IFERROR(INDEX('Exercise list'!$E$5:$X$102,MATCH($C73,'Exercise list'!$C$5:$C$102,0),MATCH(AE$5,'Exercise list'!$E$4:$X$4,0)),0)</f>
        <v>0</v>
      </c>
      <c r="AF73">
        <f>IFERROR(INDEX('Exercise list'!$E$5:$X$102,MATCH($C73,'Exercise list'!$C$5:$C$102,0),MATCH(AF$5,'Exercise list'!$E$4:$X$4,0)),0)</f>
        <v>0</v>
      </c>
      <c r="AG73">
        <f>IFERROR(INDEX('Exercise list'!$E$5:$X$102,MATCH($C73,'Exercise list'!$C$5:$C$102,0),MATCH(AG$5,'Exercise list'!$E$4:$X$4,0)),0)</f>
        <v>0</v>
      </c>
      <c r="AH73">
        <f>IFERROR(INDEX('Exercise list'!$E$5:$X$102,MATCH($C73,'Exercise list'!$C$5:$C$102,0),MATCH(AH$5,'Exercise list'!$E$4:$X$4,0)),0)</f>
        <v>0</v>
      </c>
      <c r="AI73">
        <f>IFERROR(INDEX('Exercise list'!$E$5:$X$102,MATCH($C73,'Exercise list'!$C$5:$C$102,0),MATCH(AI$5,'Exercise list'!$E$4:$X$4,0)),0)</f>
        <v>0</v>
      </c>
      <c r="AK73">
        <f>IF(OR($J73=1,COUNTIFS($A$5:$A72,"&gt;="&amp;$A73-1,$A$5:$A72,"&lt;="&amp;$A73,$B$5:$B72,$B73)&gt;0,MIN(1-'Exercise list'!E$2,IF($A73=$A72,AK72,1))-P73&lt;0),-1,MIN(1,IF($A73=$A72,AK72,1)-P73+$D$2))</f>
        <v>-1</v>
      </c>
      <c r="AL73">
        <f>IF(OR($J73=1,COUNTIFS($A$5:$A72,"&gt;="&amp;$A73-1,$A$5:$A72,"&lt;="&amp;$A73,$B$5:$B72,$B73)&gt;0,MIN(1-'Exercise list'!F$2,IF($A73=$A72,AL72,1))-Q73&lt;0),-1,MIN(1,IF($A73=$A72,AL72,1)-Q73+$D$2))</f>
        <v>-1</v>
      </c>
      <c r="AM73">
        <f>IF(OR($J73=1,COUNTIFS($A$5:$A72,"&gt;="&amp;$A73-1,$A$5:$A72,"&lt;="&amp;$A73,$B$5:$B72,$B73)&gt;0,MIN(1-'Exercise list'!G$2,IF($A73=$A72,AM72,1))-R73&lt;0),-1,MIN(1,IF($A73=$A72,AM72,1)-R73+$D$2))</f>
        <v>-1</v>
      </c>
      <c r="AN73">
        <f>IF(OR($J73=1,COUNTIFS($A$5:$A72,"&gt;="&amp;$A73-1,$A$5:$A72,"&lt;="&amp;$A73,$B$5:$B72,$B73)&gt;0,MIN(1-'Exercise list'!H$2,IF($A73=$A72,AN72,1))-S73&lt;0),-1,MIN(1,IF($A73=$A72,AN72,1)-S73+$D$2))</f>
        <v>-1</v>
      </c>
      <c r="AO73">
        <f>IF(OR($J73=1,COUNTIFS($A$5:$A72,"&gt;="&amp;$A73-1,$A$5:$A72,"&lt;="&amp;$A73,$B$5:$B72,$B73)&gt;0,MIN(1-'Exercise list'!I$2,IF($A73=$A72,AO72,1))-T73&lt;0),-1,MIN(1,IF($A73=$A72,AO72,1)-T73+$D$2))</f>
        <v>-1</v>
      </c>
      <c r="AP73">
        <f>IF(OR($J73=1,COUNTIFS($A$5:$A72,"&gt;="&amp;$A73-1,$A$5:$A72,"&lt;="&amp;$A73,$B$5:$B72,$B73)&gt;0,MIN(1-'Exercise list'!J$2,IF($A73=$A72,AP72,1))-U73&lt;0),-1,MIN(1,IF($A73=$A72,AP72,1)-U73+$D$2))</f>
        <v>-1</v>
      </c>
      <c r="AQ73">
        <f>IF(OR($J73=1,COUNTIFS($A$5:$A72,"&gt;="&amp;$A73-1,$A$5:$A72,"&lt;="&amp;$A73,$B$5:$B72,$B73)&gt;0,MIN(1-'Exercise list'!K$2,IF($A73=$A72,AQ72,1))-V73&lt;0),-1,MIN(1,IF($A73=$A72,AQ72,1)-V73+$D$2))</f>
        <v>-1</v>
      </c>
      <c r="AR73">
        <f>IF(OR($J73=1,COUNTIFS($A$5:$A72,"&gt;="&amp;$A73-1,$A$5:$A72,"&lt;="&amp;$A73,$B$5:$B72,$B73)&gt;0,MIN(1-'Exercise list'!L$2,IF($A73=$A72,AR72,1))-W73&lt;0),-1,MIN(1,IF($A73=$A72,AR72,1)-W73+$D$2))</f>
        <v>-1</v>
      </c>
      <c r="AS73">
        <f>IF(OR($J73=1,COUNTIFS($A$5:$A72,"&gt;="&amp;$A73-1,$A$5:$A72,"&lt;="&amp;$A73,$B$5:$B72,$B73)&gt;0,MIN(1-'Exercise list'!M$2,IF($A73=$A72,AS72,1))-X73&lt;0),-1,MIN(1,IF($A73=$A72,AS72,1)-X73+$D$2))</f>
        <v>-1</v>
      </c>
      <c r="AT73">
        <f>IF(OR($J73=1,COUNTIFS($A$5:$A72,"&gt;="&amp;$A73-1,$A$5:$A72,"&lt;="&amp;$A73,$B$5:$B72,$B73)&gt;0,MIN(1-'Exercise list'!N$2,IF($A73=$A72,AT72,1))-Y73&lt;0),-1,MIN(1,IF($A73=$A72,AT72,1)-Y73+$D$2))</f>
        <v>-1</v>
      </c>
      <c r="AU73">
        <f>IF(OR($J73=1,COUNTIFS($A$5:$A72,"&gt;="&amp;$A73-1,$A$5:$A72,"&lt;="&amp;$A73,$B$5:$B72,$B73)&gt;0,MIN(1-'Exercise list'!O$2,IF($A73=$A72,AU72,1))-Z73&lt;0),-1,MIN(1,IF($A73=$A72,AU72,1)-Z73+$D$2))</f>
        <v>-1</v>
      </c>
      <c r="AV73">
        <f>IF(OR($J73=1,COUNTIFS($A$5:$A72,"&gt;="&amp;$A73-1,$A$5:$A72,"&lt;="&amp;$A73,$B$5:$B72,$B73)&gt;0,MIN(1-'Exercise list'!P$2,IF($A73=$A72,AV72,1))-AA73&lt;0),-1,MIN(1,IF($A73=$A72,AV72,1)-AA73+$D$2))</f>
        <v>-1</v>
      </c>
      <c r="AW73">
        <f>IF(OR($J73=1,COUNTIFS($A$5:$A72,"&gt;="&amp;$A73-1,$A$5:$A72,"&lt;="&amp;$A73,$B$5:$B72,$B73)&gt;0,MIN(1-'Exercise list'!Q$2,IF($A73=$A72,AW72,1))-AB73&lt;0),-1,MIN(1,IF($A73=$A72,AW72,1)-AB73+$D$2))</f>
        <v>-1</v>
      </c>
      <c r="AX73">
        <f>IF(OR($J73=1,COUNTIFS($A$5:$A72,"&gt;="&amp;$A73-1,$A$5:$A72,"&lt;="&amp;$A73,$B$5:$B72,$B73)&gt;0,MIN(1-'Exercise list'!R$2,IF($A73=$A72,AX72,1))-AC73&lt;0),-1,MIN(1,IF($A73=$A72,AX72,1)-AC73+$D$2))</f>
        <v>-1</v>
      </c>
      <c r="AY73">
        <f>IF(OR($J73=1,COUNTIFS($A$5:$A72,"&gt;="&amp;$A73-1,$A$5:$A72,"&lt;="&amp;$A73,$B$5:$B72,$B73)&gt;0,MIN(1-'Exercise list'!S$2,IF($A73=$A72,AY72,1))-AD73&lt;0),-1,MIN(1,IF($A73=$A72,AY72,1)-AD73+$D$2))</f>
        <v>-1</v>
      </c>
      <c r="AZ73">
        <f>IF(OR($J73=1,COUNTIFS($A$5:$A72,"&gt;="&amp;$A73-1,$A$5:$A72,"&lt;="&amp;$A73,$B$5:$B72,$B73)&gt;0,MIN(1-'Exercise list'!T$2,IF($A73=$A72,AZ72,1))-AE73&lt;0),-1,MIN(1,IF($A73=$A72,AZ72,1)-AE73+$D$2))</f>
        <v>-1</v>
      </c>
      <c r="BA73">
        <f>IF(OR($J73=1,COUNTIFS($A$5:$A72,"&gt;="&amp;$A73-1,$A$5:$A72,"&lt;="&amp;$A73,$B$5:$B72,$B73)&gt;0,MIN(1-'Exercise list'!U$2,IF($A73=$A72,BA72,1))-AF73&lt;0),-1,MIN(1,IF($A73=$A72,BA72,1)-AF73+$D$2))</f>
        <v>-1</v>
      </c>
      <c r="BB73">
        <f>IF(OR($J73=1,COUNTIFS($A$5:$A72,"&gt;="&amp;$A73-1,$A$5:$A72,"&lt;="&amp;$A73,$B$5:$B72,$B73)&gt;0,MIN(1-'Exercise list'!V$2,IF($A73=$A72,BB72,1))-AG73&lt;0),-1,MIN(1,IF($A73=$A72,BB72,1)-AG73+$D$2))</f>
        <v>-1</v>
      </c>
      <c r="BC73">
        <f>IF(OR($J73=1,COUNTIFS($A$5:$A72,"&gt;="&amp;$A73-1,$A$5:$A72,"&lt;="&amp;$A73,$B$5:$B72,$B73)&gt;0,MIN(1-'Exercise list'!W$2,IF($A73=$A72,BC72,1))-AH73&lt;0),-1,MIN(1,IF($A73=$A72,BC72,1)-AH73+$D$2))</f>
        <v>-1</v>
      </c>
      <c r="BD73">
        <f>IF(OR($J73=1,COUNTIFS($A$5:$A72,"&gt;="&amp;$A73-1,$A$5:$A72,"&lt;="&amp;$A73,$B$5:$B72,$B73)&gt;0,MIN(1-'Exercise list'!X$2,IF($A73=$A72,BD72,1))-AI73&lt;0),-1,MIN(1,IF($A73=$A72,BD72,1)-AI73+$D$2))</f>
        <v>-1</v>
      </c>
      <c r="BF73" s="16">
        <f t="shared" si="76"/>
        <v>0.2035036406407692</v>
      </c>
      <c r="BG73" s="16">
        <f t="shared" si="77"/>
        <v>0.20553183987391777</v>
      </c>
      <c r="BH73" s="16">
        <f t="shared" si="78"/>
        <v>0.14880115391744236</v>
      </c>
      <c r="BI73" s="16">
        <f t="shared" si="79"/>
        <v>0.1555470170565082</v>
      </c>
      <c r="BJ73" s="16">
        <f t="shared" si="80"/>
        <v>0.22456535045471285</v>
      </c>
      <c r="BK73" s="16">
        <f t="shared" si="81"/>
        <v>8.1049390804006E-2</v>
      </c>
      <c r="BL73" s="16">
        <f t="shared" si="82"/>
        <v>0.16133376752512377</v>
      </c>
      <c r="BM73" s="16">
        <f t="shared" si="83"/>
        <v>2.0414957139146556E-2</v>
      </c>
      <c r="BN73" s="16">
        <f t="shared" si="84"/>
        <v>0.1100307091820682</v>
      </c>
      <c r="BO73" s="16">
        <f t="shared" si="85"/>
        <v>0.17398014022318667</v>
      </c>
      <c r="BP73" s="16">
        <f t="shared" si="86"/>
        <v>0.32367026828247747</v>
      </c>
      <c r="BQ73" s="16">
        <f t="shared" si="87"/>
        <v>4.1371305122999413E-2</v>
      </c>
      <c r="BR73" s="16">
        <f t="shared" si="88"/>
        <v>0.12743241351146983</v>
      </c>
      <c r="BS73" s="16">
        <f t="shared" si="89"/>
        <v>2.468193108850807E-2</v>
      </c>
      <c r="BT73" s="16">
        <f t="shared" si="90"/>
        <v>0.18124652112251957</v>
      </c>
      <c r="BU73" s="16">
        <f t="shared" si="91"/>
        <v>0.22045388895703819</v>
      </c>
      <c r="BV73" s="16">
        <f t="shared" si="92"/>
        <v>0.25593060778802601</v>
      </c>
      <c r="BW73" s="16">
        <f t="shared" si="93"/>
        <v>8.6128314505588791E-2</v>
      </c>
      <c r="BX73" s="16">
        <f t="shared" si="94"/>
        <v>8.8904805130460229E-2</v>
      </c>
      <c r="BY73" s="16">
        <f t="shared" si="95"/>
        <v>2.2843371638458676E-2</v>
      </c>
      <c r="CA73" s="16">
        <f t="shared" si="56"/>
        <v>8.157203356595838E-3</v>
      </c>
      <c r="CB73" s="16">
        <f t="shared" si="57"/>
        <v>6.1290041234472736E-3</v>
      </c>
      <c r="CC73" s="16">
        <f t="shared" si="58"/>
        <v>0</v>
      </c>
      <c r="CD73" s="16">
        <f t="shared" si="59"/>
        <v>0</v>
      </c>
      <c r="CE73" s="16">
        <f t="shared" si="60"/>
        <v>0</v>
      </c>
      <c r="CF73" s="16">
        <f t="shared" si="61"/>
        <v>0.2364418751920416</v>
      </c>
      <c r="CG73" s="16">
        <f t="shared" si="62"/>
        <v>0</v>
      </c>
      <c r="CH73" s="16">
        <f t="shared" si="63"/>
        <v>8.5415464859535967E-2</v>
      </c>
      <c r="CI73" s="16">
        <f t="shared" si="64"/>
        <v>0.10163013481529684</v>
      </c>
      <c r="CJ73" s="16">
        <f t="shared" si="65"/>
        <v>0</v>
      </c>
      <c r="CK73" s="16">
        <f t="shared" si="66"/>
        <v>0</v>
      </c>
      <c r="CL73" s="16">
        <f t="shared" si="67"/>
        <v>6.4459116875683106E-2</v>
      </c>
      <c r="CM73" s="16">
        <f t="shared" si="68"/>
        <v>8.4228430485895206E-2</v>
      </c>
      <c r="CN73" s="16">
        <f t="shared" si="69"/>
        <v>8.1148490910174453E-2</v>
      </c>
      <c r="CO73" s="16">
        <f t="shared" si="70"/>
        <v>0</v>
      </c>
      <c r="CP73" s="16">
        <f t="shared" si="71"/>
        <v>0</v>
      </c>
      <c r="CQ73" s="16">
        <f t="shared" si="72"/>
        <v>0</v>
      </c>
      <c r="CR73" s="16">
        <f t="shared" si="73"/>
        <v>1.9702107493093729E-2</v>
      </c>
      <c r="CS73" s="16">
        <f t="shared" si="74"/>
        <v>1.692561686822229E-2</v>
      </c>
      <c r="CT73" s="16">
        <f t="shared" si="75"/>
        <v>8.2987050360223844E-2</v>
      </c>
    </row>
    <row r="74" spans="1:100" x14ac:dyDescent="0.25">
      <c r="A74" s="20">
        <v>45069</v>
      </c>
      <c r="B74" s="21">
        <v>2</v>
      </c>
      <c r="C74" s="22" t="str" cm="1">
        <f t="array" ref="C74">IF(B74="","",INDEX('Exercise list'!$C$5:$C$102,B74))</f>
        <v>Lateral elliptical machine</v>
      </c>
      <c r="D74" s="17">
        <f t="shared" si="52"/>
        <v>-1</v>
      </c>
      <c r="E74" s="33">
        <f t="shared" si="53"/>
        <v>1.6974922935116641</v>
      </c>
      <c r="F74" s="65" cm="1">
        <f t="array" ref="F74">IF(B74="","",0.1+IFERROR(INDEX($F$6:$F73,SUMPRODUCT(MAX(ROW($C$6:$C73)*($C74=$C$6:$C73))-ROW($A$5)))*0.9^($A74-INDEX($A$6:A73,SUMPRODUCT(MAX(ROW($C$6:$C73)*($C74=$C$6:$C73))-ROW($A$5)))),0))</f>
        <v>0.13274677866852186</v>
      </c>
      <c r="G74" s="25">
        <f>INDEX('Exercise list'!$Y$5:$Y$102,MATCH(C74,'Exercise list'!$C$5:$C$102,0))</f>
        <v>3</v>
      </c>
      <c r="H74" s="116">
        <f t="shared" si="54"/>
        <v>7.0366659307963333E-2</v>
      </c>
      <c r="I74" s="18">
        <f t="shared" si="55"/>
        <v>5</v>
      </c>
      <c r="J74" s="18" cm="1">
        <f t="array" ref="J74">IF(B74="","",INDEX('Exercise list'!$D$5:$D$102,B74))</f>
        <v>0</v>
      </c>
      <c r="K74" s="17">
        <v>1</v>
      </c>
      <c r="L74" s="51" t="str" cm="1">
        <f t="array" ref="L74">IF(K74="","",INDEX('Exercise list'!$C$5:$C$102,K74))</f>
        <v>Cycling machine</v>
      </c>
      <c r="M74" s="18">
        <v>4</v>
      </c>
      <c r="N74" s="76" t="str" cm="1">
        <f t="array" ref="N74">IF(M74="","",INDEX('Exercise list'!$C$5:$C$102,M74))</f>
        <v>Stair climbing machine</v>
      </c>
      <c r="O74" s="19"/>
      <c r="P74" s="19">
        <f>IFERROR(INDEX('Exercise list'!$E$5:$X$102,MATCH($C74,'Exercise list'!$C$5:$C$102,0),MATCH(P$5,'Exercise list'!$E$4:$X$4,0)),0)</f>
        <v>0</v>
      </c>
      <c r="Q74" s="19">
        <f>IFERROR(INDEX('Exercise list'!$E$5:$X$102,MATCH($C74,'Exercise list'!$C$5:$C$102,0),MATCH(Q$5,'Exercise list'!$E$4:$X$4,0)),0)</f>
        <v>0</v>
      </c>
      <c r="R74" s="19">
        <f>IFERROR(INDEX('Exercise list'!$E$5:$X$102,MATCH($C74,'Exercise list'!$C$5:$C$102,0),MATCH(R$5,'Exercise list'!$E$4:$X$4,0)),0)</f>
        <v>0</v>
      </c>
      <c r="S74" s="19">
        <f>IFERROR(INDEX('Exercise list'!$E$5:$X$102,MATCH($C74,'Exercise list'!$C$5:$C$102,0),MATCH(S$5,'Exercise list'!$E$4:$X$4,0)),0)</f>
        <v>0</v>
      </c>
      <c r="T74" s="19">
        <f>IFERROR(INDEX('Exercise list'!$E$5:$X$102,MATCH($C74,'Exercise list'!$C$5:$C$102,0),MATCH(T$5,'Exercise list'!$E$4:$X$4,0)),0)</f>
        <v>0</v>
      </c>
      <c r="U74" s="19">
        <f>IFERROR(INDEX('Exercise list'!$E$5:$X$102,MATCH($C74,'Exercise list'!$C$5:$C$102,0),MATCH(U$5,'Exercise list'!$E$4:$X$4,0)),0)</f>
        <v>0</v>
      </c>
      <c r="V74" s="19">
        <f>IFERROR(INDEX('Exercise list'!$E$5:$X$102,MATCH($C74,'Exercise list'!$C$5:$C$102,0),MATCH(V$5,'Exercise list'!$E$4:$X$4,0)),0)</f>
        <v>0</v>
      </c>
      <c r="W74" s="19">
        <f>IFERROR(INDEX('Exercise list'!$E$5:$X$102,MATCH($C74,'Exercise list'!$C$5:$C$102,0),MATCH(W$5,'Exercise list'!$E$4:$X$4,0)),0)</f>
        <v>0</v>
      </c>
      <c r="X74" s="19">
        <f>IFERROR(INDEX('Exercise list'!$E$5:$X$102,MATCH($C74,'Exercise list'!$C$5:$C$102,0),MATCH(X$5,'Exercise list'!$E$4:$X$4,0)),0)</f>
        <v>0</v>
      </c>
      <c r="Y74" s="19">
        <f>IFERROR(INDEX('Exercise list'!$E$5:$X$102,MATCH($C74,'Exercise list'!$C$5:$C$102,0),MATCH(Y$5,'Exercise list'!$E$4:$X$4,0)),0)</f>
        <v>0</v>
      </c>
      <c r="Z74" s="19">
        <f>IFERROR(INDEX('Exercise list'!$E$5:$X$102,MATCH($C74,'Exercise list'!$C$5:$C$102,0),MATCH(Z$5,'Exercise list'!$E$4:$X$4,0)),0)</f>
        <v>0</v>
      </c>
      <c r="AA74" s="19">
        <f>IFERROR(INDEX('Exercise list'!$E$5:$X$102,MATCH($C74,'Exercise list'!$C$5:$C$102,0),MATCH(AA$5,'Exercise list'!$E$4:$X$4,0)),0)</f>
        <v>0</v>
      </c>
      <c r="AB74" s="19">
        <f>IFERROR(INDEX('Exercise list'!$E$5:$X$102,MATCH($C74,'Exercise list'!$C$5:$C$102,0),MATCH(AB$5,'Exercise list'!$E$4:$X$4,0)),0)</f>
        <v>0</v>
      </c>
      <c r="AC74" s="19">
        <f>IFERROR(INDEX('Exercise list'!$E$5:$X$102,MATCH($C74,'Exercise list'!$C$5:$C$102,0),MATCH(AC$5,'Exercise list'!$E$4:$X$4,0)),0)</f>
        <v>0</v>
      </c>
      <c r="AD74" s="19">
        <f>IFERROR(INDEX('Exercise list'!$E$5:$X$102,MATCH($C74,'Exercise list'!$C$5:$C$102,0),MATCH(AD$5,'Exercise list'!$E$4:$X$4,0)),0)</f>
        <v>1</v>
      </c>
      <c r="AE74" s="19">
        <f>IFERROR(INDEX('Exercise list'!$E$5:$X$102,MATCH($C74,'Exercise list'!$C$5:$C$102,0),MATCH(AE$5,'Exercise list'!$E$4:$X$4,0)),0)</f>
        <v>0.7</v>
      </c>
      <c r="AF74" s="19">
        <f>IFERROR(INDEX('Exercise list'!$E$5:$X$102,MATCH($C74,'Exercise list'!$C$5:$C$102,0),MATCH(AF$5,'Exercise list'!$E$4:$X$4,0)),0)</f>
        <v>0.8</v>
      </c>
      <c r="AG74" s="19">
        <f>IFERROR(INDEX('Exercise list'!$E$5:$X$102,MATCH($C74,'Exercise list'!$C$5:$C$102,0),MATCH(AG$5,'Exercise list'!$E$4:$X$4,0)),0)</f>
        <v>0.7</v>
      </c>
      <c r="AH74" s="19">
        <f>IFERROR(INDEX('Exercise list'!$E$5:$X$102,MATCH($C74,'Exercise list'!$C$5:$C$102,0),MATCH(AH$5,'Exercise list'!$E$4:$X$4,0)),0)</f>
        <v>0.8</v>
      </c>
      <c r="AI74" s="19">
        <f>IFERROR(INDEX('Exercise list'!$E$5:$X$102,MATCH($C74,'Exercise list'!$C$5:$C$102,0),MATCH(AI$5,'Exercise list'!$E$4:$X$4,0)),0)</f>
        <v>0.8</v>
      </c>
      <c r="AJ74" s="19"/>
      <c r="AK74" s="19">
        <f>IF(OR($J74=1,COUNTIFS($A$5:$A73,"&gt;="&amp;$A74-1,$A$5:$A73,"&lt;="&amp;$A74,$B$5:$B73,$B74)&gt;0,MIN(1-'Exercise list'!E$2,IF($A74=$A73,AK73,1))-P74&lt;0),-1,MIN(1,IF($A74=$A73,AK73,1)-P74+$D$2))</f>
        <v>-1</v>
      </c>
      <c r="AL74" s="19">
        <f>IF(OR($J74=1,COUNTIFS($A$5:$A73,"&gt;="&amp;$A74-1,$A$5:$A73,"&lt;="&amp;$A74,$B$5:$B73,$B74)&gt;0,MIN(1-'Exercise list'!F$2,IF($A74=$A73,AL73,1))-Q74&lt;0),-1,MIN(1,IF($A74=$A73,AL73,1)-Q74+$D$2))</f>
        <v>-1</v>
      </c>
      <c r="AM74" s="19">
        <f>IF(OR($J74=1,COUNTIFS($A$5:$A73,"&gt;="&amp;$A74-1,$A$5:$A73,"&lt;="&amp;$A74,$B$5:$B73,$B74)&gt;0,MIN(1-'Exercise list'!G$2,IF($A74=$A73,AM73,1))-R74&lt;0),-1,MIN(1,IF($A74=$A73,AM73,1)-R74+$D$2))</f>
        <v>-1</v>
      </c>
      <c r="AN74" s="19">
        <f>IF(OR($J74=1,COUNTIFS($A$5:$A73,"&gt;="&amp;$A74-1,$A$5:$A73,"&lt;="&amp;$A74,$B$5:$B73,$B74)&gt;0,MIN(1-'Exercise list'!H$2,IF($A74=$A73,AN73,1))-S74&lt;0),-1,MIN(1,IF($A74=$A73,AN73,1)-S74+$D$2))</f>
        <v>-1</v>
      </c>
      <c r="AO74" s="19">
        <f>IF(OR($J74=1,COUNTIFS($A$5:$A73,"&gt;="&amp;$A74-1,$A$5:$A73,"&lt;="&amp;$A74,$B$5:$B73,$B74)&gt;0,MIN(1-'Exercise list'!I$2,IF($A74=$A73,AO73,1))-T74&lt;0),-1,MIN(1,IF($A74=$A73,AO73,1)-T74+$D$2))</f>
        <v>-1</v>
      </c>
      <c r="AP74" s="19">
        <f>IF(OR($J74=1,COUNTIFS($A$5:$A73,"&gt;="&amp;$A74-1,$A$5:$A73,"&lt;="&amp;$A74,$B$5:$B73,$B74)&gt;0,MIN(1-'Exercise list'!J$2,IF($A74=$A73,AP73,1))-U74&lt;0),-1,MIN(1,IF($A74=$A73,AP73,1)-U74+$D$2))</f>
        <v>-1</v>
      </c>
      <c r="AQ74" s="19">
        <f>IF(OR($J74=1,COUNTIFS($A$5:$A73,"&gt;="&amp;$A74-1,$A$5:$A73,"&lt;="&amp;$A74,$B$5:$B73,$B74)&gt;0,MIN(1-'Exercise list'!K$2,IF($A74=$A73,AQ73,1))-V74&lt;0),-1,MIN(1,IF($A74=$A73,AQ73,1)-V74+$D$2))</f>
        <v>-1</v>
      </c>
      <c r="AR74" s="19">
        <f>IF(OR($J74=1,COUNTIFS($A$5:$A73,"&gt;="&amp;$A74-1,$A$5:$A73,"&lt;="&amp;$A74,$B$5:$B73,$B74)&gt;0,MIN(1-'Exercise list'!L$2,IF($A74=$A73,AR73,1))-W74&lt;0),-1,MIN(1,IF($A74=$A73,AR73,1)-W74+$D$2))</f>
        <v>-1</v>
      </c>
      <c r="AS74" s="19">
        <f>IF(OR($J74=1,COUNTIFS($A$5:$A73,"&gt;="&amp;$A74-1,$A$5:$A73,"&lt;="&amp;$A74,$B$5:$B73,$B74)&gt;0,MIN(1-'Exercise list'!M$2,IF($A74=$A73,AS73,1))-X74&lt;0),-1,MIN(1,IF($A74=$A73,AS73,1)-X74+$D$2))</f>
        <v>-1</v>
      </c>
      <c r="AT74" s="19">
        <f>IF(OR($J74=1,COUNTIFS($A$5:$A73,"&gt;="&amp;$A74-1,$A$5:$A73,"&lt;="&amp;$A74,$B$5:$B73,$B74)&gt;0,MIN(1-'Exercise list'!N$2,IF($A74=$A73,AT73,1))-Y74&lt;0),-1,MIN(1,IF($A74=$A73,AT73,1)-Y74+$D$2))</f>
        <v>-1</v>
      </c>
      <c r="AU74" s="19">
        <f>IF(OR($J74=1,COUNTIFS($A$5:$A73,"&gt;="&amp;$A74-1,$A$5:$A73,"&lt;="&amp;$A74,$B$5:$B73,$B74)&gt;0,MIN(1-'Exercise list'!O$2,IF($A74=$A73,AU73,1))-Z74&lt;0),-1,MIN(1,IF($A74=$A73,AU73,1)-Z74+$D$2))</f>
        <v>-1</v>
      </c>
      <c r="AV74" s="19">
        <f>IF(OR($J74=1,COUNTIFS($A$5:$A73,"&gt;="&amp;$A74-1,$A$5:$A73,"&lt;="&amp;$A74,$B$5:$B73,$B74)&gt;0,MIN(1-'Exercise list'!P$2,IF($A74=$A73,AV73,1))-AA74&lt;0),-1,MIN(1,IF($A74=$A73,AV73,1)-AA74+$D$2))</f>
        <v>-1</v>
      </c>
      <c r="AW74" s="19">
        <f>IF(OR($J74=1,COUNTIFS($A$5:$A73,"&gt;="&amp;$A74-1,$A$5:$A73,"&lt;="&amp;$A74,$B$5:$B73,$B74)&gt;0,MIN(1-'Exercise list'!Q$2,IF($A74=$A73,AW73,1))-AB74&lt;0),-1,MIN(1,IF($A74=$A73,AW73,1)-AB74+$D$2))</f>
        <v>-1</v>
      </c>
      <c r="AX74" s="19">
        <f>IF(OR($J74=1,COUNTIFS($A$5:$A73,"&gt;="&amp;$A74-1,$A$5:$A73,"&lt;="&amp;$A74,$B$5:$B73,$B74)&gt;0,MIN(1-'Exercise list'!R$2,IF($A74=$A73,AX73,1))-AC74&lt;0),-1,MIN(1,IF($A74=$A73,AX73,1)-AC74+$D$2))</f>
        <v>-1</v>
      </c>
      <c r="AY74" s="19">
        <f>IF(OR($J74=1,COUNTIFS($A$5:$A73,"&gt;="&amp;$A74-1,$A$5:$A73,"&lt;="&amp;$A74,$B$5:$B73,$B74)&gt;0,MIN(1-'Exercise list'!S$2,IF($A74=$A73,AY73,1))-AD74&lt;0),-1,MIN(1,IF($A74=$A73,AY73,1)-AD74+$D$2))</f>
        <v>-1</v>
      </c>
      <c r="AZ74" s="19">
        <f>IF(OR($J74=1,COUNTIFS($A$5:$A73,"&gt;="&amp;$A74-1,$A$5:$A73,"&lt;="&amp;$A74,$B$5:$B73,$B74)&gt;0,MIN(1-'Exercise list'!T$2,IF($A74=$A73,AZ73,1))-AE74&lt;0),-1,MIN(1,IF($A74=$A73,AZ73,1)-AE74+$D$2))</f>
        <v>-1</v>
      </c>
      <c r="BA74" s="19">
        <f>IF(OR($J74=1,COUNTIFS($A$5:$A73,"&gt;="&amp;$A74-1,$A$5:$A73,"&lt;="&amp;$A74,$B$5:$B73,$B74)&gt;0,MIN(1-'Exercise list'!U$2,IF($A74=$A73,BA73,1))-AF74&lt;0),-1,MIN(1,IF($A74=$A73,BA73,1)-AF74+$D$2))</f>
        <v>-1</v>
      </c>
      <c r="BB74" s="19">
        <f>IF(OR($J74=1,COUNTIFS($A$5:$A73,"&gt;="&amp;$A74-1,$A$5:$A73,"&lt;="&amp;$A74,$B$5:$B73,$B74)&gt;0,MIN(1-'Exercise list'!V$2,IF($A74=$A73,BB73,1))-AG74&lt;0),-1,MIN(1,IF($A74=$A73,BB73,1)-AG74+$D$2))</f>
        <v>-1</v>
      </c>
      <c r="BC74" s="19">
        <f>IF(OR($J74=1,COUNTIFS($A$5:$A73,"&gt;="&amp;$A74-1,$A$5:$A73,"&lt;="&amp;$A74,$B$5:$B73,$B74)&gt;0,MIN(1-'Exercise list'!W$2,IF($A74=$A73,BC73,1))-AH74&lt;0),-1,MIN(1,IF($A74=$A73,BC73,1)-AH74+$D$2))</f>
        <v>-1</v>
      </c>
      <c r="BD74" s="19">
        <f>IF(OR($J74=1,COUNTIFS($A$5:$A73,"&gt;="&amp;$A74-1,$A$5:$A73,"&lt;="&amp;$A74,$B$5:$B73,$B74)&gt;0,MIN(1-'Exercise list'!X$2,IF($A74=$A73,BD73,1))-AI74&lt;0),-1,MIN(1,IF($A74=$A73,BD73,1)-AI74+$D$2))</f>
        <v>-1</v>
      </c>
      <c r="BE74" s="19"/>
      <c r="BF74" s="23">
        <f t="shared" si="76"/>
        <v>0.2035036406407692</v>
      </c>
      <c r="BG74" s="23">
        <f t="shared" si="77"/>
        <v>0.20553183987391777</v>
      </c>
      <c r="BH74" s="23">
        <f t="shared" si="78"/>
        <v>0.14880115391744236</v>
      </c>
      <c r="BI74" s="23">
        <f t="shared" si="79"/>
        <v>0.1555470170565082</v>
      </c>
      <c r="BJ74" s="23">
        <f t="shared" si="80"/>
        <v>0.22456535045471285</v>
      </c>
      <c r="BK74" s="23">
        <f t="shared" si="81"/>
        <v>8.1049390804006E-2</v>
      </c>
      <c r="BL74" s="23">
        <f t="shared" si="82"/>
        <v>0.16133376752512377</v>
      </c>
      <c r="BM74" s="23">
        <f t="shared" si="83"/>
        <v>2.0414957139146556E-2</v>
      </c>
      <c r="BN74" s="23">
        <f t="shared" si="84"/>
        <v>0.1100307091820682</v>
      </c>
      <c r="BO74" s="23">
        <f t="shared" si="85"/>
        <v>0.17398014022318667</v>
      </c>
      <c r="BP74" s="23">
        <f t="shared" si="86"/>
        <v>0.32367026828247747</v>
      </c>
      <c r="BQ74" s="23">
        <f t="shared" si="87"/>
        <v>4.1371305122999413E-2</v>
      </c>
      <c r="BR74" s="23">
        <f t="shared" si="88"/>
        <v>0.12743241351146983</v>
      </c>
      <c r="BS74" s="23">
        <f t="shared" si="89"/>
        <v>2.468193108850807E-2</v>
      </c>
      <c r="BT74" s="23">
        <f t="shared" si="90"/>
        <v>0.18124652112251957</v>
      </c>
      <c r="BU74" s="23">
        <f t="shared" si="91"/>
        <v>0.22045388895703819</v>
      </c>
      <c r="BV74" s="23">
        <f t="shared" si="92"/>
        <v>0.25593060778802601</v>
      </c>
      <c r="BW74" s="23">
        <f t="shared" si="93"/>
        <v>8.6128314505588791E-2</v>
      </c>
      <c r="BX74" s="23">
        <f t="shared" si="94"/>
        <v>8.8904805130460229E-2</v>
      </c>
      <c r="BY74" s="23">
        <f t="shared" si="95"/>
        <v>2.2843371638458676E-2</v>
      </c>
      <c r="BZ74" s="19"/>
      <c r="CA74" s="23">
        <f t="shared" si="56"/>
        <v>8.157203356595838E-3</v>
      </c>
      <c r="CB74" s="23">
        <f t="shared" si="57"/>
        <v>6.1290041234472736E-3</v>
      </c>
      <c r="CC74" s="23">
        <f t="shared" si="58"/>
        <v>0</v>
      </c>
      <c r="CD74" s="23">
        <f t="shared" si="59"/>
        <v>0</v>
      </c>
      <c r="CE74" s="23">
        <f t="shared" si="60"/>
        <v>0</v>
      </c>
      <c r="CF74" s="23">
        <f t="shared" si="61"/>
        <v>0.2364418751920416</v>
      </c>
      <c r="CG74" s="23">
        <f t="shared" si="62"/>
        <v>0</v>
      </c>
      <c r="CH74" s="23">
        <f t="shared" si="63"/>
        <v>8.5415464859535967E-2</v>
      </c>
      <c r="CI74" s="23">
        <f t="shared" si="64"/>
        <v>0.10163013481529684</v>
      </c>
      <c r="CJ74" s="23">
        <f t="shared" si="65"/>
        <v>0</v>
      </c>
      <c r="CK74" s="23">
        <f t="shared" si="66"/>
        <v>0</v>
      </c>
      <c r="CL74" s="23">
        <f t="shared" si="67"/>
        <v>6.4459116875683106E-2</v>
      </c>
      <c r="CM74" s="23">
        <f t="shared" si="68"/>
        <v>8.4228430485895206E-2</v>
      </c>
      <c r="CN74" s="23">
        <f t="shared" si="69"/>
        <v>8.1148490910174453E-2</v>
      </c>
      <c r="CO74" s="23">
        <f t="shared" si="70"/>
        <v>0</v>
      </c>
      <c r="CP74" s="23">
        <f t="shared" si="71"/>
        <v>0</v>
      </c>
      <c r="CQ74" s="23">
        <f t="shared" si="72"/>
        <v>0</v>
      </c>
      <c r="CR74" s="23">
        <f t="shared" si="73"/>
        <v>1.9702107493093729E-2</v>
      </c>
      <c r="CS74" s="23">
        <f t="shared" si="74"/>
        <v>1.692561686822229E-2</v>
      </c>
      <c r="CT74" s="23">
        <f t="shared" si="75"/>
        <v>8.2987050360223844E-2</v>
      </c>
      <c r="CU74" s="19"/>
    </row>
    <row r="75" spans="1:100" x14ac:dyDescent="0.25">
      <c r="A75" s="13">
        <v>45070</v>
      </c>
      <c r="B75" s="14">
        <v>37</v>
      </c>
      <c r="C75" s="15" t="str" cm="1">
        <f t="array" ref="C75">IF(B75="","",INDEX('Exercise list'!$C$5:$C$102,B75))</f>
        <v>Barbell low-bar squats</v>
      </c>
      <c r="D75" s="12">
        <f t="shared" si="52"/>
        <v>1</v>
      </c>
      <c r="E75" s="32">
        <f t="shared" si="53"/>
        <v>1.0669195017393751</v>
      </c>
      <c r="F75" s="63" cm="1">
        <f t="array" ref="F75">IF(B75="","",0.1+IFERROR(INDEX($F$6:$F74,SUMPRODUCT(MAX(ROW($C$6:$C74)*($C75=$C$6:$C74))-ROW($A$5)))*0.9^($A75-INDEX($A$6:A74,SUMPRODUCT(MAX(ROW($C$6:$C74)*($C75=$C$6:$C74))-ROW($A$5)))),0))</f>
        <v>0.20173484715872353</v>
      </c>
      <c r="G75" s="64">
        <f>INDEX('Exercise list'!$Y$5:$Y$102,MATCH(C75,'Exercise list'!$C$5:$C$102,0))</f>
        <v>3</v>
      </c>
      <c r="H75" s="115">
        <f t="shared" si="54"/>
        <v>7.3669234711752851E-2</v>
      </c>
      <c r="I75" s="42">
        <f t="shared" si="55"/>
        <v>1</v>
      </c>
      <c r="J75" s="6" cm="1">
        <f t="array" ref="J75">IF(B75="","",INDEX('Exercise list'!$D$5:$D$102,B75))</f>
        <v>0</v>
      </c>
      <c r="K75" s="12">
        <v>56</v>
      </c>
      <c r="L75" s="74" t="str" cm="1">
        <f t="array" ref="L75">IF(K75="","",INDEX('Exercise list'!$C$5:$C$102,K75))</f>
        <v>Standing cable reverse flyes</v>
      </c>
      <c r="M75" s="6">
        <v>48</v>
      </c>
      <c r="N75" s="75" t="str" cm="1">
        <f t="array" ref="N75">IF(M75="","",INDEX('Exercise list'!$C$5:$C$102,M75))</f>
        <v>Barbell overhead presses</v>
      </c>
      <c r="P75">
        <f>IFERROR(INDEX('Exercise list'!$E$5:$X$102,MATCH($C75,'Exercise list'!$C$5:$C$102,0),MATCH(P$5,'Exercise list'!$E$4:$X$4,0)),0)</f>
        <v>0</v>
      </c>
      <c r="Q75">
        <f>IFERROR(INDEX('Exercise list'!$E$5:$X$102,MATCH($C75,'Exercise list'!$C$5:$C$102,0),MATCH(Q$5,'Exercise list'!$E$4:$X$4,0)),0)</f>
        <v>0</v>
      </c>
      <c r="R75">
        <f>IFERROR(INDEX('Exercise list'!$E$5:$X$102,MATCH($C75,'Exercise list'!$C$5:$C$102,0),MATCH(R$5,'Exercise list'!$E$4:$X$4,0)),0)</f>
        <v>0</v>
      </c>
      <c r="S75">
        <f>IFERROR(INDEX('Exercise list'!$E$5:$X$102,MATCH($C75,'Exercise list'!$C$5:$C$102,0),MATCH(S$5,'Exercise list'!$E$4:$X$4,0)),0)</f>
        <v>0</v>
      </c>
      <c r="T75">
        <f>IFERROR(INDEX('Exercise list'!$E$5:$X$102,MATCH($C75,'Exercise list'!$C$5:$C$102,0),MATCH(T$5,'Exercise list'!$E$4:$X$4,0)),0)</f>
        <v>0.5</v>
      </c>
      <c r="U75">
        <f>IFERROR(INDEX('Exercise list'!$E$5:$X$102,MATCH($C75,'Exercise list'!$C$5:$C$102,0),MATCH(U$5,'Exercise list'!$E$4:$X$4,0)),0)</f>
        <v>0</v>
      </c>
      <c r="V75">
        <f>IFERROR(INDEX('Exercise list'!$E$5:$X$102,MATCH($C75,'Exercise list'!$C$5:$C$102,0),MATCH(V$5,'Exercise list'!$E$4:$X$4,0)),0)</f>
        <v>0</v>
      </c>
      <c r="W75">
        <f>IFERROR(INDEX('Exercise list'!$E$5:$X$102,MATCH($C75,'Exercise list'!$C$5:$C$102,0),MATCH(W$5,'Exercise list'!$E$4:$X$4,0)),0)</f>
        <v>0</v>
      </c>
      <c r="X75">
        <f>IFERROR(INDEX('Exercise list'!$E$5:$X$102,MATCH($C75,'Exercise list'!$C$5:$C$102,0),MATCH(X$5,'Exercise list'!$E$4:$X$4,0)),0)</f>
        <v>0</v>
      </c>
      <c r="Y75">
        <f>IFERROR(INDEX('Exercise list'!$E$5:$X$102,MATCH($C75,'Exercise list'!$C$5:$C$102,0),MATCH(Y$5,'Exercise list'!$E$4:$X$4,0)),0)</f>
        <v>0</v>
      </c>
      <c r="Z75">
        <f>IFERROR(INDEX('Exercise list'!$E$5:$X$102,MATCH($C75,'Exercise list'!$C$5:$C$102,0),MATCH(Z$5,'Exercise list'!$E$4:$X$4,0)),0)</f>
        <v>0</v>
      </c>
      <c r="AA75">
        <f>IFERROR(INDEX('Exercise list'!$E$5:$X$102,MATCH($C75,'Exercise list'!$C$5:$C$102,0),MATCH(AA$5,'Exercise list'!$E$4:$X$4,0)),0)</f>
        <v>0</v>
      </c>
      <c r="AB75">
        <f>IFERROR(INDEX('Exercise list'!$E$5:$X$102,MATCH($C75,'Exercise list'!$C$5:$C$102,0),MATCH(AB$5,'Exercise list'!$E$4:$X$4,0)),0)</f>
        <v>0.5</v>
      </c>
      <c r="AC75">
        <f>IFERROR(INDEX('Exercise list'!$E$5:$X$102,MATCH($C75,'Exercise list'!$C$5:$C$102,0),MATCH(AC$5,'Exercise list'!$E$4:$X$4,0)),0)</f>
        <v>0</v>
      </c>
      <c r="AD75">
        <f>IFERROR(INDEX('Exercise list'!$E$5:$X$102,MATCH($C75,'Exercise list'!$C$5:$C$102,0),MATCH(AD$5,'Exercise list'!$E$4:$X$4,0)),0)</f>
        <v>0.8</v>
      </c>
      <c r="AE75">
        <f>IFERROR(INDEX('Exercise list'!$E$5:$X$102,MATCH($C75,'Exercise list'!$C$5:$C$102,0),MATCH(AE$5,'Exercise list'!$E$4:$X$4,0)),0)</f>
        <v>0.7</v>
      </c>
      <c r="AF75">
        <f>IFERROR(INDEX('Exercise list'!$E$5:$X$102,MATCH($C75,'Exercise list'!$C$5:$C$102,0),MATCH(AF$5,'Exercise list'!$E$4:$X$4,0)),0)</f>
        <v>0.9</v>
      </c>
      <c r="AG75">
        <f>IFERROR(INDEX('Exercise list'!$E$5:$X$102,MATCH($C75,'Exercise list'!$C$5:$C$102,0),MATCH(AG$5,'Exercise list'!$E$4:$X$4,0)),0)</f>
        <v>0.5</v>
      </c>
      <c r="AH75">
        <f>IFERROR(INDEX('Exercise list'!$E$5:$X$102,MATCH($C75,'Exercise list'!$C$5:$C$102,0),MATCH(AH$5,'Exercise list'!$E$4:$X$4,0)),0)</f>
        <v>0.5</v>
      </c>
      <c r="AI75">
        <f>IFERROR(INDEX('Exercise list'!$E$5:$X$102,MATCH($C75,'Exercise list'!$C$5:$C$102,0),MATCH(AI$5,'Exercise list'!$E$4:$X$4,0)),0)</f>
        <v>0</v>
      </c>
      <c r="AK75">
        <f>IF(OR($J75=1,COUNTIFS($A$5:$A74,"&gt;="&amp;$A75-1,$A$5:$A74,"&lt;="&amp;$A75,$B$5:$B74,$B75)&gt;0,MIN(1-'Exercise list'!E$2,IF($A75=$A74,AK74,1))-P75&lt;0),-1,MIN(1,IF($A75=$A74,AK74,1)-P75+$D$2))</f>
        <v>1</v>
      </c>
      <c r="AL75">
        <f>IF(OR($J75=1,COUNTIFS($A$5:$A74,"&gt;="&amp;$A75-1,$A$5:$A74,"&lt;="&amp;$A75,$B$5:$B74,$B75)&gt;0,MIN(1-'Exercise list'!F$2,IF($A75=$A74,AL74,1))-Q75&lt;0),-1,MIN(1,IF($A75=$A74,AL74,1)-Q75+$D$2))</f>
        <v>1</v>
      </c>
      <c r="AM75">
        <f>IF(OR($J75=1,COUNTIFS($A$5:$A74,"&gt;="&amp;$A75-1,$A$5:$A74,"&lt;="&amp;$A75,$B$5:$B74,$B75)&gt;0,MIN(1-'Exercise list'!G$2,IF($A75=$A74,AM74,1))-R75&lt;0),-1,MIN(1,IF($A75=$A74,AM74,1)-R75+$D$2))</f>
        <v>1</v>
      </c>
      <c r="AN75">
        <f>IF(OR($J75=1,COUNTIFS($A$5:$A74,"&gt;="&amp;$A75-1,$A$5:$A74,"&lt;="&amp;$A75,$B$5:$B74,$B75)&gt;0,MIN(1-'Exercise list'!H$2,IF($A75=$A74,AN74,1))-S75&lt;0),-1,MIN(1,IF($A75=$A74,AN74,1)-S75+$D$2))</f>
        <v>1</v>
      </c>
      <c r="AO75">
        <f>IF(OR($J75=1,COUNTIFS($A$5:$A74,"&gt;="&amp;$A75-1,$A$5:$A74,"&lt;="&amp;$A75,$B$5:$B74,$B75)&gt;0,MIN(1-'Exercise list'!I$2,IF($A75=$A74,AO74,1))-T75&lt;0),-1,MIN(1,IF($A75=$A74,AO74,1)-T75+$D$2))</f>
        <v>1</v>
      </c>
      <c r="AP75">
        <f>IF(OR($J75=1,COUNTIFS($A$5:$A74,"&gt;="&amp;$A75-1,$A$5:$A74,"&lt;="&amp;$A75,$B$5:$B74,$B75)&gt;0,MIN(1-'Exercise list'!J$2,IF($A75=$A74,AP74,1))-U75&lt;0),-1,MIN(1,IF($A75=$A74,AP74,1)-U75+$D$2))</f>
        <v>1</v>
      </c>
      <c r="AQ75">
        <f>IF(OR($J75=1,COUNTIFS($A$5:$A74,"&gt;="&amp;$A75-1,$A$5:$A74,"&lt;="&amp;$A75,$B$5:$B74,$B75)&gt;0,MIN(1-'Exercise list'!K$2,IF($A75=$A74,AQ74,1))-V75&lt;0),-1,MIN(1,IF($A75=$A74,AQ74,1)-V75+$D$2))</f>
        <v>1</v>
      </c>
      <c r="AR75">
        <f>IF(OR($J75=1,COUNTIFS($A$5:$A74,"&gt;="&amp;$A75-1,$A$5:$A74,"&lt;="&amp;$A75,$B$5:$B74,$B75)&gt;0,MIN(1-'Exercise list'!L$2,IF($A75=$A74,AR74,1))-W75&lt;0),-1,MIN(1,IF($A75=$A74,AR74,1)-W75+$D$2))</f>
        <v>1</v>
      </c>
      <c r="AS75">
        <f>IF(OR($J75=1,COUNTIFS($A$5:$A74,"&gt;="&amp;$A75-1,$A$5:$A74,"&lt;="&amp;$A75,$B$5:$B74,$B75)&gt;0,MIN(1-'Exercise list'!M$2,IF($A75=$A74,AS74,1))-X75&lt;0),-1,MIN(1,IF($A75=$A74,AS74,1)-X75+$D$2))</f>
        <v>1</v>
      </c>
      <c r="AT75">
        <f>IF(OR($J75=1,COUNTIFS($A$5:$A74,"&gt;="&amp;$A75-1,$A$5:$A74,"&lt;="&amp;$A75,$B$5:$B74,$B75)&gt;0,MIN(1-'Exercise list'!N$2,IF($A75=$A74,AT74,1))-Y75&lt;0),-1,MIN(1,IF($A75=$A74,AT74,1)-Y75+$D$2))</f>
        <v>1</v>
      </c>
      <c r="AU75">
        <f>IF(OR($J75=1,COUNTIFS($A$5:$A74,"&gt;="&amp;$A75-1,$A$5:$A74,"&lt;="&amp;$A75,$B$5:$B74,$B75)&gt;0,MIN(1-'Exercise list'!O$2,IF($A75=$A74,AU74,1))-Z75&lt;0),-1,MIN(1,IF($A75=$A74,AU74,1)-Z75+$D$2))</f>
        <v>1</v>
      </c>
      <c r="AV75">
        <f>IF(OR($J75=1,COUNTIFS($A$5:$A74,"&gt;="&amp;$A75-1,$A$5:$A74,"&lt;="&amp;$A75,$B$5:$B74,$B75)&gt;0,MIN(1-'Exercise list'!P$2,IF($A75=$A74,AV74,1))-AA75&lt;0),-1,MIN(1,IF($A75=$A74,AV74,1)-AA75+$D$2))</f>
        <v>1</v>
      </c>
      <c r="AW75">
        <f>IF(OR($J75=1,COUNTIFS($A$5:$A74,"&gt;="&amp;$A75-1,$A$5:$A74,"&lt;="&amp;$A75,$B$5:$B74,$B75)&gt;0,MIN(1-'Exercise list'!Q$2,IF($A75=$A74,AW74,1))-AB75&lt;0),-1,MIN(1,IF($A75=$A74,AW74,1)-AB75+$D$2))</f>
        <v>1</v>
      </c>
      <c r="AX75">
        <f>IF(OR($J75=1,COUNTIFS($A$5:$A74,"&gt;="&amp;$A75-1,$A$5:$A74,"&lt;="&amp;$A75,$B$5:$B74,$B75)&gt;0,MIN(1-'Exercise list'!R$2,IF($A75=$A74,AX74,1))-AC75&lt;0),-1,MIN(1,IF($A75=$A74,AX74,1)-AC75+$D$2))</f>
        <v>1</v>
      </c>
      <c r="AY75">
        <f>IF(OR($J75=1,COUNTIFS($A$5:$A74,"&gt;="&amp;$A75-1,$A$5:$A74,"&lt;="&amp;$A75,$B$5:$B74,$B75)&gt;0,MIN(1-'Exercise list'!S$2,IF($A75=$A74,AY74,1))-AD75&lt;0),-1,MIN(1,IF($A75=$A74,AY74,1)-AD75+$D$2))</f>
        <v>1</v>
      </c>
      <c r="AZ75">
        <f>IF(OR($J75=1,COUNTIFS($A$5:$A74,"&gt;="&amp;$A75-1,$A$5:$A74,"&lt;="&amp;$A75,$B$5:$B74,$B75)&gt;0,MIN(1-'Exercise list'!T$2,IF($A75=$A74,AZ74,1))-AE75&lt;0),-1,MIN(1,IF($A75=$A74,AZ74,1)-AE75+$D$2))</f>
        <v>1</v>
      </c>
      <c r="BA75">
        <f>IF(OR($J75=1,COUNTIFS($A$5:$A74,"&gt;="&amp;$A75-1,$A$5:$A74,"&lt;="&amp;$A75,$B$5:$B74,$B75)&gt;0,MIN(1-'Exercise list'!U$2,IF($A75=$A74,BA74,1))-AF75&lt;0),-1,MIN(1,IF($A75=$A74,BA74,1)-AF75+$D$2))</f>
        <v>1</v>
      </c>
      <c r="BB75">
        <f>IF(OR($J75=1,COUNTIFS($A$5:$A74,"&gt;="&amp;$A75-1,$A$5:$A74,"&lt;="&amp;$A75,$B$5:$B74,$B75)&gt;0,MIN(1-'Exercise list'!V$2,IF($A75=$A74,BB74,1))-AG75&lt;0),-1,MIN(1,IF($A75=$A74,BB74,1)-AG75+$D$2))</f>
        <v>1</v>
      </c>
      <c r="BC75">
        <f>IF(OR($J75=1,COUNTIFS($A$5:$A74,"&gt;="&amp;$A75-1,$A$5:$A74,"&lt;="&amp;$A75,$B$5:$B74,$B75)&gt;0,MIN(1-'Exercise list'!W$2,IF($A75=$A74,BC74,1))-AH75&lt;0),-1,MIN(1,IF($A75=$A74,BC74,1)-AH75+$D$2))</f>
        <v>1</v>
      </c>
      <c r="BD75">
        <f>IF(OR($J75=1,COUNTIFS($A$5:$A74,"&gt;="&amp;$A75-1,$A$5:$A74,"&lt;="&amp;$A75,$B$5:$B74,$B75)&gt;0,MIN(1-'Exercise list'!X$2,IF($A75=$A74,BD74,1))-AI75&lt;0),-1,MIN(1,IF($A75=$A74,BD74,1)-AI75+$D$2))</f>
        <v>1</v>
      </c>
      <c r="BF75" s="16">
        <f t="shared" si="76"/>
        <v>0.19332845860873074</v>
      </c>
      <c r="BG75" s="16">
        <f t="shared" si="77"/>
        <v>0.19525524788022186</v>
      </c>
      <c r="BH75" s="16">
        <f t="shared" si="78"/>
        <v>0.14136109622157023</v>
      </c>
      <c r="BI75" s="16">
        <f t="shared" si="79"/>
        <v>0.14776966620368279</v>
      </c>
      <c r="BJ75" s="16">
        <f t="shared" si="80"/>
        <v>0.2383370829319772</v>
      </c>
      <c r="BK75" s="16">
        <f t="shared" si="81"/>
        <v>7.6996921263805695E-2</v>
      </c>
      <c r="BL75" s="16">
        <f t="shared" si="82"/>
        <v>0.15326707914886756</v>
      </c>
      <c r="BM75" s="16">
        <f t="shared" si="83"/>
        <v>1.9394209282189226E-2</v>
      </c>
      <c r="BN75" s="16">
        <f t="shared" si="84"/>
        <v>0.10452917372296479</v>
      </c>
      <c r="BO75" s="16">
        <f t="shared" si="85"/>
        <v>0.16528113321202734</v>
      </c>
      <c r="BP75" s="16">
        <f t="shared" si="86"/>
        <v>0.30748675486835358</v>
      </c>
      <c r="BQ75" s="16">
        <f t="shared" si="87"/>
        <v>3.9302739866849443E-2</v>
      </c>
      <c r="BR75" s="16">
        <f t="shared" si="88"/>
        <v>0.14606079283589635</v>
      </c>
      <c r="BS75" s="16">
        <f t="shared" si="89"/>
        <v>2.3447834534082664E-2</v>
      </c>
      <c r="BT75" s="16">
        <f t="shared" si="90"/>
        <v>0.2121841950663936</v>
      </c>
      <c r="BU75" s="16">
        <f t="shared" si="91"/>
        <v>0.24443119450918627</v>
      </c>
      <c r="BV75" s="16">
        <f t="shared" si="92"/>
        <v>0.28813407739862468</v>
      </c>
      <c r="BW75" s="16">
        <f t="shared" si="93"/>
        <v>0.10682189878030934</v>
      </c>
      <c r="BX75" s="16">
        <f t="shared" si="94"/>
        <v>0.10945956487393721</v>
      </c>
      <c r="BY75" s="16">
        <f t="shared" si="95"/>
        <v>2.170120305653574E-2</v>
      </c>
      <c r="CA75" s="16">
        <f t="shared" si="56"/>
        <v>2.4045639485062331E-2</v>
      </c>
      <c r="CB75" s="16">
        <f t="shared" si="57"/>
        <v>2.2118850213571212E-2</v>
      </c>
      <c r="CC75" s="16">
        <f t="shared" si="58"/>
        <v>0</v>
      </c>
      <c r="CD75" s="16">
        <f t="shared" si="59"/>
        <v>0</v>
      </c>
      <c r="CE75" s="16">
        <f t="shared" si="60"/>
        <v>0</v>
      </c>
      <c r="CF75" s="16">
        <f t="shared" si="61"/>
        <v>0.24906422587688393</v>
      </c>
      <c r="CG75" s="16">
        <f t="shared" si="62"/>
        <v>0</v>
      </c>
      <c r="CH75" s="16">
        <f t="shared" si="63"/>
        <v>8.929283976470731E-2</v>
      </c>
      <c r="CI75" s="16">
        <f t="shared" si="64"/>
        <v>0.11284492437082828</v>
      </c>
      <c r="CJ75" s="16">
        <f t="shared" si="65"/>
        <v>0</v>
      </c>
      <c r="CK75" s="16">
        <f t="shared" si="66"/>
        <v>0</v>
      </c>
      <c r="CL75" s="16">
        <f t="shared" si="67"/>
        <v>6.9384309180047093E-2</v>
      </c>
      <c r="CM75" s="16">
        <f t="shared" si="68"/>
        <v>7.1313305257896725E-2</v>
      </c>
      <c r="CN75" s="16">
        <f t="shared" si="69"/>
        <v>8.5239214512813868E-2</v>
      </c>
      <c r="CO75" s="16">
        <f t="shared" si="70"/>
        <v>0</v>
      </c>
      <c r="CP75" s="16">
        <f t="shared" si="71"/>
        <v>0</v>
      </c>
      <c r="CQ75" s="16">
        <f t="shared" si="72"/>
        <v>0</v>
      </c>
      <c r="CR75" s="16">
        <f t="shared" si="73"/>
        <v>1.8651502665871927E-3</v>
      </c>
      <c r="CS75" s="16">
        <f t="shared" si="74"/>
        <v>0</v>
      </c>
      <c r="CT75" s="16">
        <f t="shared" si="75"/>
        <v>8.6985845990360799E-2</v>
      </c>
    </row>
    <row r="76" spans="1:100" x14ac:dyDescent="0.25">
      <c r="A76" s="13">
        <v>45070</v>
      </c>
      <c r="B76" s="14">
        <v>53</v>
      </c>
      <c r="C76" s="15" t="str" cm="1">
        <f t="array" ref="C76">IF(B76="","",INDEX('Exercise list'!$C$5:$C$102,B76))</f>
        <v>Dumbbell seated side shoulder presses</v>
      </c>
      <c r="D76" s="12">
        <f t="shared" si="52"/>
        <v>-1</v>
      </c>
      <c r="E76" s="32">
        <f t="shared" si="53"/>
        <v>0.814345100888625</v>
      </c>
      <c r="F76" s="63" cm="1">
        <f t="array" ref="F76">IF(B76="","",0.1+IFERROR(INDEX($F$6:$F75,SUMPRODUCT(MAX(ROW($C$6:$C75)*($C76=$C$6:$C75))-ROW($A$5)))*0.9^($A76-INDEX($A$6:A75,SUMPRODUCT(MAX(ROW($C$6:$C75)*($C76=$C$6:$C75))-ROW($A$5)))),0))</f>
        <v>0.1</v>
      </c>
      <c r="G76" s="64">
        <f>INDEX('Exercise list'!$Y$5:$Y$102,MATCH(C76,'Exercise list'!$C$5:$C$102,0))</f>
        <v>1</v>
      </c>
      <c r="H76" s="115">
        <f t="shared" si="54"/>
        <v>6.7949805493421916E-2</v>
      </c>
      <c r="I76" s="6">
        <f t="shared" si="55"/>
        <v>2</v>
      </c>
      <c r="J76" s="6" cm="1">
        <f t="array" ref="J76">IF(B76="","",INDEX('Exercise list'!$D$5:$D$102,B76))</f>
        <v>1</v>
      </c>
      <c r="K76" s="12">
        <v>56</v>
      </c>
      <c r="L76" s="74" t="str" cm="1">
        <f t="array" ref="L76">IF(K76="","",INDEX('Exercise list'!$C$5:$C$102,K76))</f>
        <v>Standing cable reverse flyes</v>
      </c>
      <c r="M76" s="6">
        <v>48</v>
      </c>
      <c r="N76" s="75" t="str" cm="1">
        <f t="array" ref="N76">IF(M76="","",INDEX('Exercise list'!$C$5:$C$102,M76))</f>
        <v>Barbell overhead presses</v>
      </c>
      <c r="P76">
        <f>IFERROR(INDEX('Exercise list'!$E$5:$X$102,MATCH($C76,'Exercise list'!$C$5:$C$102,0),MATCH(P$5,'Exercise list'!$E$4:$X$4,0)),0)</f>
        <v>0</v>
      </c>
      <c r="Q76">
        <f>IFERROR(INDEX('Exercise list'!$E$5:$X$102,MATCH($C76,'Exercise list'!$C$5:$C$102,0),MATCH(Q$5,'Exercise list'!$E$4:$X$4,0)),0)</f>
        <v>0</v>
      </c>
      <c r="R76">
        <f>IFERROR(INDEX('Exercise list'!$E$5:$X$102,MATCH($C76,'Exercise list'!$C$5:$C$102,0),MATCH(R$5,'Exercise list'!$E$4:$X$4,0)),0)</f>
        <v>0</v>
      </c>
      <c r="S76">
        <f>IFERROR(INDEX('Exercise list'!$E$5:$X$102,MATCH($C76,'Exercise list'!$C$5:$C$102,0),MATCH(S$5,'Exercise list'!$E$4:$X$4,0)),0)</f>
        <v>0</v>
      </c>
      <c r="T76">
        <f>IFERROR(INDEX('Exercise list'!$E$5:$X$102,MATCH($C76,'Exercise list'!$C$5:$C$102,0),MATCH(T$5,'Exercise list'!$E$4:$X$4,0)),0)</f>
        <v>0</v>
      </c>
      <c r="U76">
        <f>IFERROR(INDEX('Exercise list'!$E$5:$X$102,MATCH($C76,'Exercise list'!$C$5:$C$102,0),MATCH(U$5,'Exercise list'!$E$4:$X$4,0)),0)</f>
        <v>1</v>
      </c>
      <c r="V76">
        <f>IFERROR(INDEX('Exercise list'!$E$5:$X$102,MATCH($C76,'Exercise list'!$C$5:$C$102,0),MATCH(V$5,'Exercise list'!$E$4:$X$4,0)),0)</f>
        <v>0.8</v>
      </c>
      <c r="W76">
        <f>IFERROR(INDEX('Exercise list'!$E$5:$X$102,MATCH($C76,'Exercise list'!$C$5:$C$102,0),MATCH(W$5,'Exercise list'!$E$4:$X$4,0)),0)</f>
        <v>0</v>
      </c>
      <c r="X76">
        <f>IFERROR(INDEX('Exercise list'!$E$5:$X$102,MATCH($C76,'Exercise list'!$C$5:$C$102,0),MATCH(X$5,'Exercise list'!$E$4:$X$4,0)),0)</f>
        <v>0</v>
      </c>
      <c r="Y76">
        <f>IFERROR(INDEX('Exercise list'!$E$5:$X$102,MATCH($C76,'Exercise list'!$C$5:$C$102,0),MATCH(Y$5,'Exercise list'!$E$4:$X$4,0)),0)</f>
        <v>0.7</v>
      </c>
      <c r="Z76">
        <f>IFERROR(INDEX('Exercise list'!$E$5:$X$102,MATCH($C76,'Exercise list'!$C$5:$C$102,0),MATCH(Z$5,'Exercise list'!$E$4:$X$4,0)),0)</f>
        <v>0.5</v>
      </c>
      <c r="AA76">
        <f>IFERROR(INDEX('Exercise list'!$E$5:$X$102,MATCH($C76,'Exercise list'!$C$5:$C$102,0),MATCH(AA$5,'Exercise list'!$E$4:$X$4,0)),0)</f>
        <v>0</v>
      </c>
      <c r="AB76">
        <f>IFERROR(INDEX('Exercise list'!$E$5:$X$102,MATCH($C76,'Exercise list'!$C$5:$C$102,0),MATCH(AB$5,'Exercise list'!$E$4:$X$4,0)),0)</f>
        <v>0</v>
      </c>
      <c r="AC76">
        <f>IFERROR(INDEX('Exercise list'!$E$5:$X$102,MATCH($C76,'Exercise list'!$C$5:$C$102,0),MATCH(AC$5,'Exercise list'!$E$4:$X$4,0)),0)</f>
        <v>0</v>
      </c>
      <c r="AD76">
        <f>IFERROR(INDEX('Exercise list'!$E$5:$X$102,MATCH($C76,'Exercise list'!$C$5:$C$102,0),MATCH(AD$5,'Exercise list'!$E$4:$X$4,0)),0)</f>
        <v>0</v>
      </c>
      <c r="AE76">
        <f>IFERROR(INDEX('Exercise list'!$E$5:$X$102,MATCH($C76,'Exercise list'!$C$5:$C$102,0),MATCH(AE$5,'Exercise list'!$E$4:$X$4,0)),0)</f>
        <v>0</v>
      </c>
      <c r="AF76">
        <f>IFERROR(INDEX('Exercise list'!$E$5:$X$102,MATCH($C76,'Exercise list'!$C$5:$C$102,0),MATCH(AF$5,'Exercise list'!$E$4:$X$4,0)),0)</f>
        <v>0</v>
      </c>
      <c r="AG76">
        <f>IFERROR(INDEX('Exercise list'!$E$5:$X$102,MATCH($C76,'Exercise list'!$C$5:$C$102,0),MATCH(AG$5,'Exercise list'!$E$4:$X$4,0)),0)</f>
        <v>0</v>
      </c>
      <c r="AH76">
        <f>IFERROR(INDEX('Exercise list'!$E$5:$X$102,MATCH($C76,'Exercise list'!$C$5:$C$102,0),MATCH(AH$5,'Exercise list'!$E$4:$X$4,0)),0)</f>
        <v>0</v>
      </c>
      <c r="AI76">
        <f>IFERROR(INDEX('Exercise list'!$E$5:$X$102,MATCH($C76,'Exercise list'!$C$5:$C$102,0),MATCH(AI$5,'Exercise list'!$E$4:$X$4,0)),0)</f>
        <v>0</v>
      </c>
      <c r="AK76">
        <f>IF(OR($J76=1,COUNTIFS($A$5:$A75,"&gt;="&amp;$A76-1,$A$5:$A75,"&lt;="&amp;$A76,$B$5:$B75,$B76)&gt;0,MIN(1-'Exercise list'!E$2,IF($A76=$A75,AK75,1))-P76&lt;0),-1,MIN(1,IF($A76=$A75,AK75,1)-P76+$D$2))</f>
        <v>-1</v>
      </c>
      <c r="AL76">
        <f>IF(OR($J76=1,COUNTIFS($A$5:$A75,"&gt;="&amp;$A76-1,$A$5:$A75,"&lt;="&amp;$A76,$B$5:$B75,$B76)&gt;0,MIN(1-'Exercise list'!F$2,IF($A76=$A75,AL75,1))-Q76&lt;0),-1,MIN(1,IF($A76=$A75,AL75,1)-Q76+$D$2))</f>
        <v>-1</v>
      </c>
      <c r="AM76">
        <f>IF(OR($J76=1,COUNTIFS($A$5:$A75,"&gt;="&amp;$A76-1,$A$5:$A75,"&lt;="&amp;$A76,$B$5:$B75,$B76)&gt;0,MIN(1-'Exercise list'!G$2,IF($A76=$A75,AM75,1))-R76&lt;0),-1,MIN(1,IF($A76=$A75,AM75,1)-R76+$D$2))</f>
        <v>-1</v>
      </c>
      <c r="AN76">
        <f>IF(OR($J76=1,COUNTIFS($A$5:$A75,"&gt;="&amp;$A76-1,$A$5:$A75,"&lt;="&amp;$A76,$B$5:$B75,$B76)&gt;0,MIN(1-'Exercise list'!H$2,IF($A76=$A75,AN75,1))-S76&lt;0),-1,MIN(1,IF($A76=$A75,AN75,1)-S76+$D$2))</f>
        <v>-1</v>
      </c>
      <c r="AO76">
        <f>IF(OR($J76=1,COUNTIFS($A$5:$A75,"&gt;="&amp;$A76-1,$A$5:$A75,"&lt;="&amp;$A76,$B$5:$B75,$B76)&gt;0,MIN(1-'Exercise list'!I$2,IF($A76=$A75,AO75,1))-T76&lt;0),-1,MIN(1,IF($A76=$A75,AO75,1)-T76+$D$2))</f>
        <v>-1</v>
      </c>
      <c r="AP76">
        <f>IF(OR($J76=1,COUNTIFS($A$5:$A75,"&gt;="&amp;$A76-1,$A$5:$A75,"&lt;="&amp;$A76,$B$5:$B75,$B76)&gt;0,MIN(1-'Exercise list'!J$2,IF($A76=$A75,AP75,1))-U76&lt;0),-1,MIN(1,IF($A76=$A75,AP75,1)-U76+$D$2))</f>
        <v>-1</v>
      </c>
      <c r="AQ76">
        <f>IF(OR($J76=1,COUNTIFS($A$5:$A75,"&gt;="&amp;$A76-1,$A$5:$A75,"&lt;="&amp;$A76,$B$5:$B75,$B76)&gt;0,MIN(1-'Exercise list'!K$2,IF($A76=$A75,AQ75,1))-V76&lt;0),-1,MIN(1,IF($A76=$A75,AQ75,1)-V76+$D$2))</f>
        <v>-1</v>
      </c>
      <c r="AR76">
        <f>IF(OR($J76=1,COUNTIFS($A$5:$A75,"&gt;="&amp;$A76-1,$A$5:$A75,"&lt;="&amp;$A76,$B$5:$B75,$B76)&gt;0,MIN(1-'Exercise list'!L$2,IF($A76=$A75,AR75,1))-W76&lt;0),-1,MIN(1,IF($A76=$A75,AR75,1)-W76+$D$2))</f>
        <v>-1</v>
      </c>
      <c r="AS76">
        <f>IF(OR($J76=1,COUNTIFS($A$5:$A75,"&gt;="&amp;$A76-1,$A$5:$A75,"&lt;="&amp;$A76,$B$5:$B75,$B76)&gt;0,MIN(1-'Exercise list'!M$2,IF($A76=$A75,AS75,1))-X76&lt;0),-1,MIN(1,IF($A76=$A75,AS75,1)-X76+$D$2))</f>
        <v>-1</v>
      </c>
      <c r="AT76">
        <f>IF(OR($J76=1,COUNTIFS($A$5:$A75,"&gt;="&amp;$A76-1,$A$5:$A75,"&lt;="&amp;$A76,$B$5:$B75,$B76)&gt;0,MIN(1-'Exercise list'!N$2,IF($A76=$A75,AT75,1))-Y76&lt;0),-1,MIN(1,IF($A76=$A75,AT75,1)-Y76+$D$2))</f>
        <v>-1</v>
      </c>
      <c r="AU76">
        <f>IF(OR($J76=1,COUNTIFS($A$5:$A75,"&gt;="&amp;$A76-1,$A$5:$A75,"&lt;="&amp;$A76,$B$5:$B75,$B76)&gt;0,MIN(1-'Exercise list'!O$2,IF($A76=$A75,AU75,1))-Z76&lt;0),-1,MIN(1,IF($A76=$A75,AU75,1)-Z76+$D$2))</f>
        <v>-1</v>
      </c>
      <c r="AV76">
        <f>IF(OR($J76=1,COUNTIFS($A$5:$A75,"&gt;="&amp;$A76-1,$A$5:$A75,"&lt;="&amp;$A76,$B$5:$B75,$B76)&gt;0,MIN(1-'Exercise list'!P$2,IF($A76=$A75,AV75,1))-AA76&lt;0),-1,MIN(1,IF($A76=$A75,AV75,1)-AA76+$D$2))</f>
        <v>-1</v>
      </c>
      <c r="AW76">
        <f>IF(OR($J76=1,COUNTIFS($A$5:$A75,"&gt;="&amp;$A76-1,$A$5:$A75,"&lt;="&amp;$A76,$B$5:$B75,$B76)&gt;0,MIN(1-'Exercise list'!Q$2,IF($A76=$A75,AW75,1))-AB76&lt;0),-1,MIN(1,IF($A76=$A75,AW75,1)-AB76+$D$2))</f>
        <v>-1</v>
      </c>
      <c r="AX76">
        <f>IF(OR($J76=1,COUNTIFS($A$5:$A75,"&gt;="&amp;$A76-1,$A$5:$A75,"&lt;="&amp;$A76,$B$5:$B75,$B76)&gt;0,MIN(1-'Exercise list'!R$2,IF($A76=$A75,AX75,1))-AC76&lt;0),-1,MIN(1,IF($A76=$A75,AX75,1)-AC76+$D$2))</f>
        <v>-1</v>
      </c>
      <c r="AY76">
        <f>IF(OR($J76=1,COUNTIFS($A$5:$A75,"&gt;="&amp;$A76-1,$A$5:$A75,"&lt;="&amp;$A76,$B$5:$B75,$B76)&gt;0,MIN(1-'Exercise list'!S$2,IF($A76=$A75,AY75,1))-AD76&lt;0),-1,MIN(1,IF($A76=$A75,AY75,1)-AD76+$D$2))</f>
        <v>-1</v>
      </c>
      <c r="AZ76">
        <f>IF(OR($J76=1,COUNTIFS($A$5:$A75,"&gt;="&amp;$A76-1,$A$5:$A75,"&lt;="&amp;$A76,$B$5:$B75,$B76)&gt;0,MIN(1-'Exercise list'!T$2,IF($A76=$A75,AZ75,1))-AE76&lt;0),-1,MIN(1,IF($A76=$A75,AZ75,1)-AE76+$D$2))</f>
        <v>-1</v>
      </c>
      <c r="BA76">
        <f>IF(OR($J76=1,COUNTIFS($A$5:$A75,"&gt;="&amp;$A76-1,$A$5:$A75,"&lt;="&amp;$A76,$B$5:$B75,$B76)&gt;0,MIN(1-'Exercise list'!U$2,IF($A76=$A75,BA75,1))-AF76&lt;0),-1,MIN(1,IF($A76=$A75,BA75,1)-AF76+$D$2))</f>
        <v>-1</v>
      </c>
      <c r="BB76">
        <f>IF(OR($J76=1,COUNTIFS($A$5:$A75,"&gt;="&amp;$A76-1,$A$5:$A75,"&lt;="&amp;$A76,$B$5:$B75,$B76)&gt;0,MIN(1-'Exercise list'!V$2,IF($A76=$A75,BB75,1))-AG76&lt;0),-1,MIN(1,IF($A76=$A75,BB75,1)-AG76+$D$2))</f>
        <v>-1</v>
      </c>
      <c r="BC76">
        <f>IF(OR($J76=1,COUNTIFS($A$5:$A75,"&gt;="&amp;$A76-1,$A$5:$A75,"&lt;="&amp;$A76,$B$5:$B75,$B76)&gt;0,MIN(1-'Exercise list'!W$2,IF($A76=$A75,BC75,1))-AH76&lt;0),-1,MIN(1,IF($A76=$A75,BC75,1)-AH76+$D$2))</f>
        <v>-1</v>
      </c>
      <c r="BD76">
        <f>IF(OR($J76=1,COUNTIFS($A$5:$A75,"&gt;="&amp;$A76-1,$A$5:$A75,"&lt;="&amp;$A76,$B$5:$B75,$B76)&gt;0,MIN(1-'Exercise list'!X$2,IF($A76=$A75,BD75,1))-AI76&lt;0),-1,MIN(1,IF($A76=$A75,BD75,1)-AI76+$D$2))</f>
        <v>-1</v>
      </c>
      <c r="BF76" s="16">
        <f t="shared" si="76"/>
        <v>0.1836620356782942</v>
      </c>
      <c r="BG76" s="16">
        <f t="shared" si="77"/>
        <v>0.18549248548621075</v>
      </c>
      <c r="BH76" s="16">
        <f t="shared" si="78"/>
        <v>0.1342930414104917</v>
      </c>
      <c r="BI76" s="16">
        <f t="shared" si="79"/>
        <v>0.14038118289349863</v>
      </c>
      <c r="BJ76" s="16">
        <f t="shared" si="80"/>
        <v>0.22642022878537832</v>
      </c>
      <c r="BK76" s="16">
        <f t="shared" si="81"/>
        <v>0.12314707520061541</v>
      </c>
      <c r="BL76" s="16">
        <f t="shared" si="82"/>
        <v>0.18560372519142418</v>
      </c>
      <c r="BM76" s="16">
        <f t="shared" si="83"/>
        <v>1.8424498818079765E-2</v>
      </c>
      <c r="BN76" s="16">
        <f t="shared" si="84"/>
        <v>9.930271503681655E-2</v>
      </c>
      <c r="BO76" s="16">
        <f t="shared" si="85"/>
        <v>0.19201707655142597</v>
      </c>
      <c r="BP76" s="16">
        <f t="shared" si="86"/>
        <v>0.31711241712493593</v>
      </c>
      <c r="BQ76" s="16">
        <f t="shared" si="87"/>
        <v>3.7337602873506966E-2</v>
      </c>
      <c r="BR76" s="16">
        <f t="shared" si="88"/>
        <v>0.13875775319410152</v>
      </c>
      <c r="BS76" s="16">
        <f t="shared" si="89"/>
        <v>2.2275442807378532E-2</v>
      </c>
      <c r="BT76" s="16">
        <f t="shared" si="90"/>
        <v>0.20157498531307391</v>
      </c>
      <c r="BU76" s="16">
        <f t="shared" si="91"/>
        <v>0.23220963478372694</v>
      </c>
      <c r="BV76" s="16">
        <f t="shared" si="92"/>
        <v>0.27372737352869342</v>
      </c>
      <c r="BW76" s="16">
        <f t="shared" si="93"/>
        <v>0.10148080384129388</v>
      </c>
      <c r="BX76" s="16">
        <f t="shared" si="94"/>
        <v>0.10398658663024034</v>
      </c>
      <c r="BY76" s="16">
        <f t="shared" si="95"/>
        <v>2.0616142903708952E-2</v>
      </c>
      <c r="CA76" s="16">
        <f t="shared" si="56"/>
        <v>3.3954468621920336E-2</v>
      </c>
      <c r="CB76" s="16">
        <f t="shared" si="57"/>
        <v>3.2124018814003785E-2</v>
      </c>
      <c r="CC76" s="16">
        <f t="shared" si="58"/>
        <v>0</v>
      </c>
      <c r="CD76" s="16">
        <f t="shared" si="59"/>
        <v>0</v>
      </c>
      <c r="CE76" s="16">
        <f t="shared" si="60"/>
        <v>0</v>
      </c>
      <c r="CF76" s="16">
        <f t="shared" si="61"/>
        <v>0.20327768124970641</v>
      </c>
      <c r="CG76" s="16">
        <f t="shared" si="62"/>
        <v>0</v>
      </c>
      <c r="CH76" s="16">
        <f t="shared" si="63"/>
        <v>9.03837533320275E-2</v>
      </c>
      <c r="CI76" s="16">
        <f t="shared" si="64"/>
        <v>0.11831378926339799</v>
      </c>
      <c r="CJ76" s="16">
        <f t="shared" si="65"/>
        <v>0</v>
      </c>
      <c r="CK76" s="16">
        <f t="shared" si="66"/>
        <v>0</v>
      </c>
      <c r="CL76" s="16">
        <f t="shared" si="67"/>
        <v>7.1470649276600295E-2</v>
      </c>
      <c r="CM76" s="16">
        <f t="shared" si="68"/>
        <v>7.8858751106113012E-2</v>
      </c>
      <c r="CN76" s="16">
        <f t="shared" si="69"/>
        <v>8.6532809342728736E-2</v>
      </c>
      <c r="CO76" s="16">
        <f t="shared" si="70"/>
        <v>0</v>
      </c>
      <c r="CP76" s="16">
        <f t="shared" si="71"/>
        <v>0</v>
      </c>
      <c r="CQ76" s="16">
        <f t="shared" si="72"/>
        <v>0</v>
      </c>
      <c r="CR76" s="16">
        <f t="shared" si="73"/>
        <v>7.3274483088133918E-3</v>
      </c>
      <c r="CS76" s="16">
        <f t="shared" si="74"/>
        <v>4.82166551986693E-3</v>
      </c>
      <c r="CT76" s="16">
        <f t="shared" si="75"/>
        <v>8.8192109246398309E-2</v>
      </c>
    </row>
    <row r="77" spans="1:100" x14ac:dyDescent="0.25">
      <c r="A77" s="13">
        <v>45070</v>
      </c>
      <c r="B77" s="14">
        <v>9</v>
      </c>
      <c r="C77" s="15" t="str" cm="1">
        <f t="array" ref="C77">IF(B77="","",INDEX('Exercise list'!$C$5:$C$102,B77))</f>
        <v>Cable lat pulldowns</v>
      </c>
      <c r="D77" s="12">
        <f t="shared" si="52"/>
        <v>-1</v>
      </c>
      <c r="E77" s="32">
        <f t="shared" si="53"/>
        <v>1.4985516237614702</v>
      </c>
      <c r="F77" s="63" cm="1">
        <f t="array" ref="F77">IF(B77="","",0.1+IFERROR(INDEX($F$6:$F76,SUMPRODUCT(MAX(ROW($C$6:$C76)*($C77=$C$6:$C76))-ROW($A$5)))*0.9^($A77-INDEX($A$6:A76,SUMPRODUCT(MAX(ROW($C$6:$C76)*($C77=$C$6:$C76))-ROW($A$5)))),0))</f>
        <v>0.1</v>
      </c>
      <c r="G77" s="64">
        <f>INDEX('Exercise list'!$Y$5:$Y$102,MATCH(C77,'Exercise list'!$C$5:$C$102,0))</f>
        <v>2</v>
      </c>
      <c r="H77" s="115">
        <f t="shared" si="54"/>
        <v>6.8117241532842057E-2</v>
      </c>
      <c r="I77" s="6">
        <f t="shared" si="55"/>
        <v>3</v>
      </c>
      <c r="J77" s="6" cm="1">
        <f t="array" ref="J77">IF(B77="","",INDEX('Exercise list'!$D$5:$D$102,B77))</f>
        <v>1</v>
      </c>
      <c r="K77" s="12">
        <v>10</v>
      </c>
      <c r="L77" s="74" t="str" cm="1">
        <f t="array" ref="L77">IF(K77="","",INDEX('Exercise list'!$C$5:$C$102,K77))</f>
        <v>Cable seated rows</v>
      </c>
      <c r="M77" s="6">
        <v>9</v>
      </c>
      <c r="N77" s="75" t="str" cm="1">
        <f t="array" ref="N77">IF(M77="","",INDEX('Exercise list'!$C$5:$C$102,M77))</f>
        <v>Cable lat pulldowns</v>
      </c>
      <c r="P77">
        <f>IFERROR(INDEX('Exercise list'!$E$5:$X$102,MATCH($C77,'Exercise list'!$C$5:$C$102,0),MATCH(P$5,'Exercise list'!$E$4:$X$4,0)),0)</f>
        <v>0</v>
      </c>
      <c r="Q77">
        <f>IFERROR(INDEX('Exercise list'!$E$5:$X$102,MATCH($C77,'Exercise list'!$C$5:$C$102,0),MATCH(Q$5,'Exercise list'!$E$4:$X$4,0)),0)</f>
        <v>1</v>
      </c>
      <c r="R77">
        <f>IFERROR(INDEX('Exercise list'!$E$5:$X$102,MATCH($C77,'Exercise list'!$C$5:$C$102,0),MATCH(R$5,'Exercise list'!$E$4:$X$4,0)),0)</f>
        <v>0.5</v>
      </c>
      <c r="S77">
        <f>IFERROR(INDEX('Exercise list'!$E$5:$X$102,MATCH($C77,'Exercise list'!$C$5:$C$102,0),MATCH(S$5,'Exercise list'!$E$4:$X$4,0)),0)</f>
        <v>0.6</v>
      </c>
      <c r="T77">
        <f>IFERROR(INDEX('Exercise list'!$E$5:$X$102,MATCH($C77,'Exercise list'!$C$5:$C$102,0),MATCH(T$5,'Exercise list'!$E$4:$X$4,0)),0)</f>
        <v>0</v>
      </c>
      <c r="U77">
        <f>IFERROR(INDEX('Exercise list'!$E$5:$X$102,MATCH($C77,'Exercise list'!$C$5:$C$102,0),MATCH(U$5,'Exercise list'!$E$4:$X$4,0)),0)</f>
        <v>0</v>
      </c>
      <c r="V77">
        <f>IFERROR(INDEX('Exercise list'!$E$5:$X$102,MATCH($C77,'Exercise list'!$C$5:$C$102,0),MATCH(V$5,'Exercise list'!$E$4:$X$4,0)),0)</f>
        <v>0</v>
      </c>
      <c r="W77">
        <f>IFERROR(INDEX('Exercise list'!$E$5:$X$102,MATCH($C77,'Exercise list'!$C$5:$C$102,0),MATCH(W$5,'Exercise list'!$E$4:$X$4,0)),0)</f>
        <v>0</v>
      </c>
      <c r="X77">
        <f>IFERROR(INDEX('Exercise list'!$E$5:$X$102,MATCH($C77,'Exercise list'!$C$5:$C$102,0),MATCH(X$5,'Exercise list'!$E$4:$X$4,0)),0)</f>
        <v>0.6</v>
      </c>
      <c r="Y77">
        <f>IFERROR(INDEX('Exercise list'!$E$5:$X$102,MATCH($C77,'Exercise list'!$C$5:$C$102,0),MATCH(Y$5,'Exercise list'!$E$4:$X$4,0)),0)</f>
        <v>0</v>
      </c>
      <c r="Z77">
        <f>IFERROR(INDEX('Exercise list'!$E$5:$X$102,MATCH($C77,'Exercise list'!$C$5:$C$102,0),MATCH(Z$5,'Exercise list'!$E$4:$X$4,0)),0)</f>
        <v>0.5</v>
      </c>
      <c r="AA77">
        <f>IFERROR(INDEX('Exercise list'!$E$5:$X$102,MATCH($C77,'Exercise list'!$C$5:$C$102,0),MATCH(AA$5,'Exercise list'!$E$4:$X$4,0)),0)</f>
        <v>0</v>
      </c>
      <c r="AB77">
        <f>IFERROR(INDEX('Exercise list'!$E$5:$X$102,MATCH($C77,'Exercise list'!$C$5:$C$102,0),MATCH(AB$5,'Exercise list'!$E$4:$X$4,0)),0)</f>
        <v>0</v>
      </c>
      <c r="AC77">
        <f>IFERROR(INDEX('Exercise list'!$E$5:$X$102,MATCH($C77,'Exercise list'!$C$5:$C$102,0),MATCH(AC$5,'Exercise list'!$E$4:$X$4,0)),0)</f>
        <v>0</v>
      </c>
      <c r="AD77">
        <f>IFERROR(INDEX('Exercise list'!$E$5:$X$102,MATCH($C77,'Exercise list'!$C$5:$C$102,0),MATCH(AD$5,'Exercise list'!$E$4:$X$4,0)),0)</f>
        <v>0</v>
      </c>
      <c r="AE77">
        <f>IFERROR(INDEX('Exercise list'!$E$5:$X$102,MATCH($C77,'Exercise list'!$C$5:$C$102,0),MATCH(AE$5,'Exercise list'!$E$4:$X$4,0)),0)</f>
        <v>0</v>
      </c>
      <c r="AF77">
        <f>IFERROR(INDEX('Exercise list'!$E$5:$X$102,MATCH($C77,'Exercise list'!$C$5:$C$102,0),MATCH(AF$5,'Exercise list'!$E$4:$X$4,0)),0)</f>
        <v>0</v>
      </c>
      <c r="AG77">
        <f>IFERROR(INDEX('Exercise list'!$E$5:$X$102,MATCH($C77,'Exercise list'!$C$5:$C$102,0),MATCH(AG$5,'Exercise list'!$E$4:$X$4,0)),0)</f>
        <v>0</v>
      </c>
      <c r="AH77">
        <f>IFERROR(INDEX('Exercise list'!$E$5:$X$102,MATCH($C77,'Exercise list'!$C$5:$C$102,0),MATCH(AH$5,'Exercise list'!$E$4:$X$4,0)),0)</f>
        <v>0</v>
      </c>
      <c r="AI77">
        <f>IFERROR(INDEX('Exercise list'!$E$5:$X$102,MATCH($C77,'Exercise list'!$C$5:$C$102,0),MATCH(AI$5,'Exercise list'!$E$4:$X$4,0)),0)</f>
        <v>0</v>
      </c>
      <c r="AK77">
        <f>IF(OR($J77=1,COUNTIFS($A$5:$A76,"&gt;="&amp;$A77-1,$A$5:$A76,"&lt;="&amp;$A77,$B$5:$B76,$B77)&gt;0,MIN(1-'Exercise list'!E$2,IF($A77=$A76,AK76,1))-P77&lt;0),-1,MIN(1,IF($A77=$A76,AK76,1)-P77+$D$2))</f>
        <v>-1</v>
      </c>
      <c r="AL77">
        <f>IF(OR($J77=1,COUNTIFS($A$5:$A76,"&gt;="&amp;$A77-1,$A$5:$A76,"&lt;="&amp;$A77,$B$5:$B76,$B77)&gt;0,MIN(1-'Exercise list'!F$2,IF($A77=$A76,AL76,1))-Q77&lt;0),-1,MIN(1,IF($A77=$A76,AL76,1)-Q77+$D$2))</f>
        <v>-1</v>
      </c>
      <c r="AM77">
        <f>IF(OR($J77=1,COUNTIFS($A$5:$A76,"&gt;="&amp;$A77-1,$A$5:$A76,"&lt;="&amp;$A77,$B$5:$B76,$B77)&gt;0,MIN(1-'Exercise list'!G$2,IF($A77=$A76,AM76,1))-R77&lt;0),-1,MIN(1,IF($A77=$A76,AM76,1)-R77+$D$2))</f>
        <v>-1</v>
      </c>
      <c r="AN77">
        <f>IF(OR($J77=1,COUNTIFS($A$5:$A76,"&gt;="&amp;$A77-1,$A$5:$A76,"&lt;="&amp;$A77,$B$5:$B76,$B77)&gt;0,MIN(1-'Exercise list'!H$2,IF($A77=$A76,AN76,1))-S77&lt;0),-1,MIN(1,IF($A77=$A76,AN76,1)-S77+$D$2))</f>
        <v>-1</v>
      </c>
      <c r="AO77">
        <f>IF(OR($J77=1,COUNTIFS($A$5:$A76,"&gt;="&amp;$A77-1,$A$5:$A76,"&lt;="&amp;$A77,$B$5:$B76,$B77)&gt;0,MIN(1-'Exercise list'!I$2,IF($A77=$A76,AO76,1))-T77&lt;0),-1,MIN(1,IF($A77=$A76,AO76,1)-T77+$D$2))</f>
        <v>-1</v>
      </c>
      <c r="AP77">
        <f>IF(OR($J77=1,COUNTIFS($A$5:$A76,"&gt;="&amp;$A77-1,$A$5:$A76,"&lt;="&amp;$A77,$B$5:$B76,$B77)&gt;0,MIN(1-'Exercise list'!J$2,IF($A77=$A76,AP76,1))-U77&lt;0),-1,MIN(1,IF($A77=$A76,AP76,1)-U77+$D$2))</f>
        <v>-1</v>
      </c>
      <c r="AQ77">
        <f>IF(OR($J77=1,COUNTIFS($A$5:$A76,"&gt;="&amp;$A77-1,$A$5:$A76,"&lt;="&amp;$A77,$B$5:$B76,$B77)&gt;0,MIN(1-'Exercise list'!K$2,IF($A77=$A76,AQ76,1))-V77&lt;0),-1,MIN(1,IF($A77=$A76,AQ76,1)-V77+$D$2))</f>
        <v>-1</v>
      </c>
      <c r="AR77">
        <f>IF(OR($J77=1,COUNTIFS($A$5:$A76,"&gt;="&amp;$A77-1,$A$5:$A76,"&lt;="&amp;$A77,$B$5:$B76,$B77)&gt;0,MIN(1-'Exercise list'!L$2,IF($A77=$A76,AR76,1))-W77&lt;0),-1,MIN(1,IF($A77=$A76,AR76,1)-W77+$D$2))</f>
        <v>-1</v>
      </c>
      <c r="AS77">
        <f>IF(OR($J77=1,COUNTIFS($A$5:$A76,"&gt;="&amp;$A77-1,$A$5:$A76,"&lt;="&amp;$A77,$B$5:$B76,$B77)&gt;0,MIN(1-'Exercise list'!M$2,IF($A77=$A76,AS76,1))-X77&lt;0),-1,MIN(1,IF($A77=$A76,AS76,1)-X77+$D$2))</f>
        <v>-1</v>
      </c>
      <c r="AT77">
        <f>IF(OR($J77=1,COUNTIFS($A$5:$A76,"&gt;="&amp;$A77-1,$A$5:$A76,"&lt;="&amp;$A77,$B$5:$B76,$B77)&gt;0,MIN(1-'Exercise list'!N$2,IF($A77=$A76,AT76,1))-Y77&lt;0),-1,MIN(1,IF($A77=$A76,AT76,1)-Y77+$D$2))</f>
        <v>-1</v>
      </c>
      <c r="AU77">
        <f>IF(OR($J77=1,COUNTIFS($A$5:$A76,"&gt;="&amp;$A77-1,$A$5:$A76,"&lt;="&amp;$A77,$B$5:$B76,$B77)&gt;0,MIN(1-'Exercise list'!O$2,IF($A77=$A76,AU76,1))-Z77&lt;0),-1,MIN(1,IF($A77=$A76,AU76,1)-Z77+$D$2))</f>
        <v>-1</v>
      </c>
      <c r="AV77">
        <f>IF(OR($J77=1,COUNTIFS($A$5:$A76,"&gt;="&amp;$A77-1,$A$5:$A76,"&lt;="&amp;$A77,$B$5:$B76,$B77)&gt;0,MIN(1-'Exercise list'!P$2,IF($A77=$A76,AV76,1))-AA77&lt;0),-1,MIN(1,IF($A77=$A76,AV76,1)-AA77+$D$2))</f>
        <v>-1</v>
      </c>
      <c r="AW77">
        <f>IF(OR($J77=1,COUNTIFS($A$5:$A76,"&gt;="&amp;$A77-1,$A$5:$A76,"&lt;="&amp;$A77,$B$5:$B76,$B77)&gt;0,MIN(1-'Exercise list'!Q$2,IF($A77=$A76,AW76,1))-AB77&lt;0),-1,MIN(1,IF($A77=$A76,AW76,1)-AB77+$D$2))</f>
        <v>-1</v>
      </c>
      <c r="AX77">
        <f>IF(OR($J77=1,COUNTIFS($A$5:$A76,"&gt;="&amp;$A77-1,$A$5:$A76,"&lt;="&amp;$A77,$B$5:$B76,$B77)&gt;0,MIN(1-'Exercise list'!R$2,IF($A77=$A76,AX76,1))-AC77&lt;0),-1,MIN(1,IF($A77=$A76,AX76,1)-AC77+$D$2))</f>
        <v>-1</v>
      </c>
      <c r="AY77">
        <f>IF(OR($J77=1,COUNTIFS($A$5:$A76,"&gt;="&amp;$A77-1,$A$5:$A76,"&lt;="&amp;$A77,$B$5:$B76,$B77)&gt;0,MIN(1-'Exercise list'!S$2,IF($A77=$A76,AY76,1))-AD77&lt;0),-1,MIN(1,IF($A77=$A76,AY76,1)-AD77+$D$2))</f>
        <v>-1</v>
      </c>
      <c r="AZ77">
        <f>IF(OR($J77=1,COUNTIFS($A$5:$A76,"&gt;="&amp;$A77-1,$A$5:$A76,"&lt;="&amp;$A77,$B$5:$B76,$B77)&gt;0,MIN(1-'Exercise list'!T$2,IF($A77=$A76,AZ76,1))-AE77&lt;0),-1,MIN(1,IF($A77=$A76,AZ76,1)-AE77+$D$2))</f>
        <v>-1</v>
      </c>
      <c r="BA77">
        <f>IF(OR($J77=1,COUNTIFS($A$5:$A76,"&gt;="&amp;$A77-1,$A$5:$A76,"&lt;="&amp;$A77,$B$5:$B76,$B77)&gt;0,MIN(1-'Exercise list'!U$2,IF($A77=$A76,BA76,1))-AF77&lt;0),-1,MIN(1,IF($A77=$A76,BA76,1)-AF77+$D$2))</f>
        <v>-1</v>
      </c>
      <c r="BB77">
        <f>IF(OR($J77=1,COUNTIFS($A$5:$A76,"&gt;="&amp;$A77-1,$A$5:$A76,"&lt;="&amp;$A77,$B$5:$B76,$B77)&gt;0,MIN(1-'Exercise list'!V$2,IF($A77=$A76,BB76,1))-AG77&lt;0),-1,MIN(1,IF($A77=$A76,BB76,1)-AG77+$D$2))</f>
        <v>-1</v>
      </c>
      <c r="BC77">
        <f>IF(OR($J77=1,COUNTIFS($A$5:$A76,"&gt;="&amp;$A77-1,$A$5:$A76,"&lt;="&amp;$A77,$B$5:$B76,$B77)&gt;0,MIN(1-'Exercise list'!W$2,IF($A77=$A76,BC76,1))-AH77&lt;0),-1,MIN(1,IF($A77=$A76,BC76,1)-AH77+$D$2))</f>
        <v>-1</v>
      </c>
      <c r="BD77">
        <f>IF(OR($J77=1,COUNTIFS($A$5:$A76,"&gt;="&amp;$A77-1,$A$5:$A76,"&lt;="&amp;$A77,$B$5:$B76,$B77)&gt;0,MIN(1-'Exercise list'!X$2,IF($A77=$A76,BD76,1))-AI77&lt;0),-1,MIN(1,IF($A77=$A76,BD76,1)-AI77+$D$2))</f>
        <v>-1</v>
      </c>
      <c r="BF77" s="16">
        <f t="shared" si="76"/>
        <v>0.17447893389437949</v>
      </c>
      <c r="BG77" s="16">
        <f t="shared" si="77"/>
        <v>0.22621786121190018</v>
      </c>
      <c r="BH77" s="16">
        <f t="shared" si="78"/>
        <v>0.15257838933996709</v>
      </c>
      <c r="BI77" s="16">
        <f t="shared" si="79"/>
        <v>0.1633621237488237</v>
      </c>
      <c r="BJ77" s="16">
        <f t="shared" si="80"/>
        <v>0.2150992173461094</v>
      </c>
      <c r="BK77" s="16">
        <f t="shared" si="81"/>
        <v>0.11698972144058463</v>
      </c>
      <c r="BL77" s="16">
        <f t="shared" si="82"/>
        <v>0.17632353893185296</v>
      </c>
      <c r="BM77" s="16">
        <f t="shared" si="83"/>
        <v>1.7503273877175776E-2</v>
      </c>
      <c r="BN77" s="16">
        <f t="shared" si="84"/>
        <v>0.12433757928497571</v>
      </c>
      <c r="BO77" s="16">
        <f t="shared" si="85"/>
        <v>0.18241622272385466</v>
      </c>
      <c r="BP77" s="16">
        <f t="shared" si="86"/>
        <v>0.32625679626868914</v>
      </c>
      <c r="BQ77" s="16">
        <f t="shared" si="87"/>
        <v>3.5470722729831615E-2</v>
      </c>
      <c r="BR77" s="16">
        <f t="shared" si="88"/>
        <v>0.13181986553439645</v>
      </c>
      <c r="BS77" s="16">
        <f t="shared" si="89"/>
        <v>2.1161670667009604E-2</v>
      </c>
      <c r="BT77" s="16">
        <f t="shared" si="90"/>
        <v>0.19149623604742022</v>
      </c>
      <c r="BU77" s="16">
        <f t="shared" si="91"/>
        <v>0.22059915304454059</v>
      </c>
      <c r="BV77" s="16">
        <f t="shared" si="92"/>
        <v>0.26004100485225873</v>
      </c>
      <c r="BW77" s="16">
        <f t="shared" si="93"/>
        <v>9.6406763649229177E-2</v>
      </c>
      <c r="BX77" s="16">
        <f t="shared" si="94"/>
        <v>9.8787257298728323E-2</v>
      </c>
      <c r="BY77" s="16">
        <f t="shared" si="95"/>
        <v>1.9585335758523503E-2</v>
      </c>
      <c r="CA77" s="16">
        <f t="shared" si="56"/>
        <v>4.4108597042676168E-2</v>
      </c>
      <c r="CB77" s="16">
        <f t="shared" si="57"/>
        <v>0</v>
      </c>
      <c r="CC77" s="16">
        <f t="shared" si="58"/>
        <v>0</v>
      </c>
      <c r="CD77" s="16">
        <f t="shared" si="59"/>
        <v>0</v>
      </c>
      <c r="CE77" s="16">
        <f t="shared" si="60"/>
        <v>0</v>
      </c>
      <c r="CF77" s="16">
        <f t="shared" si="61"/>
        <v>0.21089157496499888</v>
      </c>
      <c r="CG77" s="16">
        <f t="shared" si="62"/>
        <v>0</v>
      </c>
      <c r="CH77" s="16">
        <f t="shared" si="63"/>
        <v>9.1790491591352052E-2</v>
      </c>
      <c r="CI77" s="16">
        <f t="shared" si="64"/>
        <v>9.4249951652079944E-2</v>
      </c>
      <c r="CJ77" s="16">
        <f t="shared" si="65"/>
        <v>0</v>
      </c>
      <c r="CK77" s="16">
        <f t="shared" si="66"/>
        <v>0</v>
      </c>
      <c r="CL77" s="16">
        <f t="shared" si="67"/>
        <v>7.3823042738696221E-2</v>
      </c>
      <c r="CM77" s="16">
        <f t="shared" si="68"/>
        <v>8.6767665402659205E-2</v>
      </c>
      <c r="CN77" s="16">
        <f t="shared" si="69"/>
        <v>8.8132094801518221E-2</v>
      </c>
      <c r="CO77" s="16">
        <f t="shared" si="70"/>
        <v>0</v>
      </c>
      <c r="CP77" s="16">
        <f t="shared" si="71"/>
        <v>0</v>
      </c>
      <c r="CQ77" s="16">
        <f t="shared" si="72"/>
        <v>0</v>
      </c>
      <c r="CR77" s="16">
        <f t="shared" si="73"/>
        <v>1.2887001819298652E-2</v>
      </c>
      <c r="CS77" s="16">
        <f t="shared" si="74"/>
        <v>1.0506508169799506E-2</v>
      </c>
      <c r="CT77" s="16">
        <f t="shared" si="75"/>
        <v>8.9708429710004325E-2</v>
      </c>
    </row>
    <row r="78" spans="1:100" x14ac:dyDescent="0.25">
      <c r="A78" s="13">
        <v>45070</v>
      </c>
      <c r="B78" s="14">
        <v>59</v>
      </c>
      <c r="C78" s="15" t="str" cm="1">
        <f t="array" ref="C78">IF(B78="","",INDEX('Exercise list'!$C$5:$C$102,B78))</f>
        <v>Triceps dips</v>
      </c>
      <c r="D78" s="12">
        <f t="shared" si="52"/>
        <v>-1</v>
      </c>
      <c r="E78" s="32">
        <f t="shared" si="53"/>
        <v>1.5265870023574095</v>
      </c>
      <c r="F78" s="63" cm="1">
        <f t="array" ref="F78">IF(B78="","",0.1+IFERROR(INDEX($F$6:$F77,SUMPRODUCT(MAX(ROW($C$6:$C77)*($C78=$C$6:$C77))-ROW($A$5)))*0.9^($A78-INDEX($A$6:A77,SUMPRODUCT(MAX(ROW($C$6:$C77)*($C78=$C$6:$C77))-ROW($A$5)))),0))</f>
        <v>0.1</v>
      </c>
      <c r="G78" s="64">
        <f>INDEX('Exercise list'!$Y$5:$Y$102,MATCH(C78,'Exercise list'!$C$5:$C$102,0))</f>
        <v>2</v>
      </c>
      <c r="H78" s="115">
        <f t="shared" si="54"/>
        <v>6.7031051994075969E-2</v>
      </c>
      <c r="I78" s="6">
        <f t="shared" si="55"/>
        <v>4</v>
      </c>
      <c r="J78" s="6" cm="1">
        <f t="array" ref="J78">IF(B78="","",INDEX('Exercise list'!$D$5:$D$102,B78))</f>
        <v>0</v>
      </c>
      <c r="K78" s="12">
        <v>59</v>
      </c>
      <c r="L78" s="74" t="str" cm="1">
        <f t="array" ref="L78">IF(K78="","",INDEX('Exercise list'!$C$5:$C$102,K78))</f>
        <v>Triceps dips</v>
      </c>
      <c r="M78" s="6">
        <v>23</v>
      </c>
      <c r="N78" s="75" t="str" cm="1">
        <f t="array" ref="N78">IF(M78="","",INDEX('Exercise list'!$C$5:$C$102,M78))</f>
        <v>Barbell bench presses</v>
      </c>
      <c r="P78">
        <f>IFERROR(INDEX('Exercise list'!$E$5:$X$102,MATCH($C78,'Exercise list'!$C$5:$C$102,0),MATCH(P$5,'Exercise list'!$E$4:$X$4,0)),0)</f>
        <v>0.5</v>
      </c>
      <c r="Q78">
        <f>IFERROR(INDEX('Exercise list'!$E$5:$X$102,MATCH($C78,'Exercise list'!$C$5:$C$102,0),MATCH(Q$5,'Exercise list'!$E$4:$X$4,0)),0)</f>
        <v>0</v>
      </c>
      <c r="R78">
        <f>IFERROR(INDEX('Exercise list'!$E$5:$X$102,MATCH($C78,'Exercise list'!$C$5:$C$102,0),MATCH(R$5,'Exercise list'!$E$4:$X$4,0)),0)</f>
        <v>0</v>
      </c>
      <c r="S78">
        <f>IFERROR(INDEX('Exercise list'!$E$5:$X$102,MATCH($C78,'Exercise list'!$C$5:$C$102,0),MATCH(S$5,'Exercise list'!$E$4:$X$4,0)),0)</f>
        <v>0</v>
      </c>
      <c r="T78">
        <f>IFERROR(INDEX('Exercise list'!$E$5:$X$102,MATCH($C78,'Exercise list'!$C$5:$C$102,0),MATCH(T$5,'Exercise list'!$E$4:$X$4,0)),0)</f>
        <v>0</v>
      </c>
      <c r="U78">
        <f>IFERROR(INDEX('Exercise list'!$E$5:$X$102,MATCH($C78,'Exercise list'!$C$5:$C$102,0),MATCH(U$5,'Exercise list'!$E$4:$X$4,0)),0)</f>
        <v>0</v>
      </c>
      <c r="V78">
        <f>IFERROR(INDEX('Exercise list'!$E$5:$X$102,MATCH($C78,'Exercise list'!$C$5:$C$102,0),MATCH(V$5,'Exercise list'!$E$4:$X$4,0)),0)</f>
        <v>0</v>
      </c>
      <c r="W78">
        <f>IFERROR(INDEX('Exercise list'!$E$5:$X$102,MATCH($C78,'Exercise list'!$C$5:$C$102,0),MATCH(W$5,'Exercise list'!$E$4:$X$4,0)),0)</f>
        <v>0</v>
      </c>
      <c r="X78">
        <f>IFERROR(INDEX('Exercise list'!$E$5:$X$102,MATCH($C78,'Exercise list'!$C$5:$C$102,0),MATCH(X$5,'Exercise list'!$E$4:$X$4,0)),0)</f>
        <v>0</v>
      </c>
      <c r="Y78">
        <f>IFERROR(INDEX('Exercise list'!$E$5:$X$102,MATCH($C78,'Exercise list'!$C$5:$C$102,0),MATCH(Y$5,'Exercise list'!$E$4:$X$4,0)),0)</f>
        <v>1</v>
      </c>
      <c r="Z78">
        <f>IFERROR(INDEX('Exercise list'!$E$5:$X$102,MATCH($C78,'Exercise list'!$C$5:$C$102,0),MATCH(Z$5,'Exercise list'!$E$4:$X$4,0)),0)</f>
        <v>0</v>
      </c>
      <c r="AA78">
        <f>IFERROR(INDEX('Exercise list'!$E$5:$X$102,MATCH($C78,'Exercise list'!$C$5:$C$102,0),MATCH(AA$5,'Exercise list'!$E$4:$X$4,0)),0)</f>
        <v>0</v>
      </c>
      <c r="AB78">
        <f>IFERROR(INDEX('Exercise list'!$E$5:$X$102,MATCH($C78,'Exercise list'!$C$5:$C$102,0),MATCH(AB$5,'Exercise list'!$E$4:$X$4,0)),0)</f>
        <v>0</v>
      </c>
      <c r="AC78">
        <f>IFERROR(INDEX('Exercise list'!$E$5:$X$102,MATCH($C78,'Exercise list'!$C$5:$C$102,0),MATCH(AC$5,'Exercise list'!$E$4:$X$4,0)),0)</f>
        <v>0</v>
      </c>
      <c r="AD78">
        <f>IFERROR(INDEX('Exercise list'!$E$5:$X$102,MATCH($C78,'Exercise list'!$C$5:$C$102,0),MATCH(AD$5,'Exercise list'!$E$4:$X$4,0)),0)</f>
        <v>0</v>
      </c>
      <c r="AE78">
        <f>IFERROR(INDEX('Exercise list'!$E$5:$X$102,MATCH($C78,'Exercise list'!$C$5:$C$102,0),MATCH(AE$5,'Exercise list'!$E$4:$X$4,0)),0)</f>
        <v>0</v>
      </c>
      <c r="AF78">
        <f>IFERROR(INDEX('Exercise list'!$E$5:$X$102,MATCH($C78,'Exercise list'!$C$5:$C$102,0),MATCH(AF$5,'Exercise list'!$E$4:$X$4,0)),0)</f>
        <v>0</v>
      </c>
      <c r="AG78">
        <f>IFERROR(INDEX('Exercise list'!$E$5:$X$102,MATCH($C78,'Exercise list'!$C$5:$C$102,0),MATCH(AG$5,'Exercise list'!$E$4:$X$4,0)),0)</f>
        <v>0</v>
      </c>
      <c r="AH78">
        <f>IFERROR(INDEX('Exercise list'!$E$5:$X$102,MATCH($C78,'Exercise list'!$C$5:$C$102,0),MATCH(AH$5,'Exercise list'!$E$4:$X$4,0)),0)</f>
        <v>0</v>
      </c>
      <c r="AI78">
        <f>IFERROR(INDEX('Exercise list'!$E$5:$X$102,MATCH($C78,'Exercise list'!$C$5:$C$102,0),MATCH(AI$5,'Exercise list'!$E$4:$X$4,0)),0)</f>
        <v>0</v>
      </c>
      <c r="AK78">
        <f>IF(OR($J78=1,COUNTIFS($A$5:$A77,"&gt;="&amp;$A78-1,$A$5:$A77,"&lt;="&amp;$A78,$B$5:$B77,$B78)&gt;0,MIN(1-'Exercise list'!E$2,IF($A78=$A77,AK77,1))-P78&lt;0),-1,MIN(1,IF($A78=$A77,AK77,1)-P78+$D$2))</f>
        <v>-1</v>
      </c>
      <c r="AL78">
        <f>IF(OR($J78=1,COUNTIFS($A$5:$A77,"&gt;="&amp;$A78-1,$A$5:$A77,"&lt;="&amp;$A78,$B$5:$B77,$B78)&gt;0,MIN(1-'Exercise list'!F$2,IF($A78=$A77,AL77,1))-Q78&lt;0),-1,MIN(1,IF($A78=$A77,AL77,1)-Q78+$D$2))</f>
        <v>-1</v>
      </c>
      <c r="AM78">
        <f>IF(OR($J78=1,COUNTIFS($A$5:$A77,"&gt;="&amp;$A78-1,$A$5:$A77,"&lt;="&amp;$A78,$B$5:$B77,$B78)&gt;0,MIN(1-'Exercise list'!G$2,IF($A78=$A77,AM77,1))-R78&lt;0),-1,MIN(1,IF($A78=$A77,AM77,1)-R78+$D$2))</f>
        <v>-1</v>
      </c>
      <c r="AN78">
        <f>IF(OR($J78=1,COUNTIFS($A$5:$A77,"&gt;="&amp;$A78-1,$A$5:$A77,"&lt;="&amp;$A78,$B$5:$B77,$B78)&gt;0,MIN(1-'Exercise list'!H$2,IF($A78=$A77,AN77,1))-S78&lt;0),-1,MIN(1,IF($A78=$A77,AN77,1)-S78+$D$2))</f>
        <v>-1</v>
      </c>
      <c r="AO78">
        <f>IF(OR($J78=1,COUNTIFS($A$5:$A77,"&gt;="&amp;$A78-1,$A$5:$A77,"&lt;="&amp;$A78,$B$5:$B77,$B78)&gt;0,MIN(1-'Exercise list'!I$2,IF($A78=$A77,AO77,1))-T78&lt;0),-1,MIN(1,IF($A78=$A77,AO77,1)-T78+$D$2))</f>
        <v>-1</v>
      </c>
      <c r="AP78">
        <f>IF(OR($J78=1,COUNTIFS($A$5:$A77,"&gt;="&amp;$A78-1,$A$5:$A77,"&lt;="&amp;$A78,$B$5:$B77,$B78)&gt;0,MIN(1-'Exercise list'!J$2,IF($A78=$A77,AP77,1))-U78&lt;0),-1,MIN(1,IF($A78=$A77,AP77,1)-U78+$D$2))</f>
        <v>-1</v>
      </c>
      <c r="AQ78">
        <f>IF(OR($J78=1,COUNTIFS($A$5:$A77,"&gt;="&amp;$A78-1,$A$5:$A77,"&lt;="&amp;$A78,$B$5:$B77,$B78)&gt;0,MIN(1-'Exercise list'!K$2,IF($A78=$A77,AQ77,1))-V78&lt;0),-1,MIN(1,IF($A78=$A77,AQ77,1)-V78+$D$2))</f>
        <v>-1</v>
      </c>
      <c r="AR78">
        <f>IF(OR($J78=1,COUNTIFS($A$5:$A77,"&gt;="&amp;$A78-1,$A$5:$A77,"&lt;="&amp;$A78,$B$5:$B77,$B78)&gt;0,MIN(1-'Exercise list'!L$2,IF($A78=$A77,AR77,1))-W78&lt;0),-1,MIN(1,IF($A78=$A77,AR77,1)-W78+$D$2))</f>
        <v>-1</v>
      </c>
      <c r="AS78">
        <f>IF(OR($J78=1,COUNTIFS($A$5:$A77,"&gt;="&amp;$A78-1,$A$5:$A77,"&lt;="&amp;$A78,$B$5:$B77,$B78)&gt;0,MIN(1-'Exercise list'!M$2,IF($A78=$A77,AS77,1))-X78&lt;0),-1,MIN(1,IF($A78=$A77,AS77,1)-X78+$D$2))</f>
        <v>-1</v>
      </c>
      <c r="AT78">
        <f>IF(OR($J78=1,COUNTIFS($A$5:$A77,"&gt;="&amp;$A78-1,$A$5:$A77,"&lt;="&amp;$A78,$B$5:$B77,$B78)&gt;0,MIN(1-'Exercise list'!N$2,IF($A78=$A77,AT77,1))-Y78&lt;0),-1,MIN(1,IF($A78=$A77,AT77,1)-Y78+$D$2))</f>
        <v>-1</v>
      </c>
      <c r="AU78">
        <f>IF(OR($J78=1,COUNTIFS($A$5:$A77,"&gt;="&amp;$A78-1,$A$5:$A77,"&lt;="&amp;$A78,$B$5:$B77,$B78)&gt;0,MIN(1-'Exercise list'!O$2,IF($A78=$A77,AU77,1))-Z78&lt;0),-1,MIN(1,IF($A78=$A77,AU77,1)-Z78+$D$2))</f>
        <v>-1</v>
      </c>
      <c r="AV78">
        <f>IF(OR($J78=1,COUNTIFS($A$5:$A77,"&gt;="&amp;$A78-1,$A$5:$A77,"&lt;="&amp;$A78,$B$5:$B77,$B78)&gt;0,MIN(1-'Exercise list'!P$2,IF($A78=$A77,AV77,1))-AA78&lt;0),-1,MIN(1,IF($A78=$A77,AV77,1)-AA78+$D$2))</f>
        <v>-1</v>
      </c>
      <c r="AW78">
        <f>IF(OR($J78=1,COUNTIFS($A$5:$A77,"&gt;="&amp;$A78-1,$A$5:$A77,"&lt;="&amp;$A78,$B$5:$B77,$B78)&gt;0,MIN(1-'Exercise list'!Q$2,IF($A78=$A77,AW77,1))-AB78&lt;0),-1,MIN(1,IF($A78=$A77,AW77,1)-AB78+$D$2))</f>
        <v>-1</v>
      </c>
      <c r="AX78">
        <f>IF(OR($J78=1,COUNTIFS($A$5:$A77,"&gt;="&amp;$A78-1,$A$5:$A77,"&lt;="&amp;$A78,$B$5:$B77,$B78)&gt;0,MIN(1-'Exercise list'!R$2,IF($A78=$A77,AX77,1))-AC78&lt;0),-1,MIN(1,IF($A78=$A77,AX77,1)-AC78+$D$2))</f>
        <v>-1</v>
      </c>
      <c r="AY78">
        <f>IF(OR($J78=1,COUNTIFS($A$5:$A77,"&gt;="&amp;$A78-1,$A$5:$A77,"&lt;="&amp;$A78,$B$5:$B77,$B78)&gt;0,MIN(1-'Exercise list'!S$2,IF($A78=$A77,AY77,1))-AD78&lt;0),-1,MIN(1,IF($A78=$A77,AY77,1)-AD78+$D$2))</f>
        <v>-1</v>
      </c>
      <c r="AZ78">
        <f>IF(OR($J78=1,COUNTIFS($A$5:$A77,"&gt;="&amp;$A78-1,$A$5:$A77,"&lt;="&amp;$A78,$B$5:$B77,$B78)&gt;0,MIN(1-'Exercise list'!T$2,IF($A78=$A77,AZ77,1))-AE78&lt;0),-1,MIN(1,IF($A78=$A77,AZ77,1)-AE78+$D$2))</f>
        <v>-1</v>
      </c>
      <c r="BA78">
        <f>IF(OR($J78=1,COUNTIFS($A$5:$A77,"&gt;="&amp;$A78-1,$A$5:$A77,"&lt;="&amp;$A78,$B$5:$B77,$B78)&gt;0,MIN(1-'Exercise list'!U$2,IF($A78=$A77,BA77,1))-AF78&lt;0),-1,MIN(1,IF($A78=$A77,BA77,1)-AF78+$D$2))</f>
        <v>-1</v>
      </c>
      <c r="BB78">
        <f>IF(OR($J78=1,COUNTIFS($A$5:$A77,"&gt;="&amp;$A78-1,$A$5:$A77,"&lt;="&amp;$A78,$B$5:$B77,$B78)&gt;0,MIN(1-'Exercise list'!V$2,IF($A78=$A77,BB77,1))-AG78&lt;0),-1,MIN(1,IF($A78=$A77,BB77,1)-AG78+$D$2))</f>
        <v>-1</v>
      </c>
      <c r="BC78">
        <f>IF(OR($J78=1,COUNTIFS($A$5:$A77,"&gt;="&amp;$A78-1,$A$5:$A77,"&lt;="&amp;$A78,$B$5:$B77,$B78)&gt;0,MIN(1-'Exercise list'!W$2,IF($A78=$A77,BC77,1))-AH78&lt;0),-1,MIN(1,IF($A78=$A77,BC77,1)-AH78+$D$2))</f>
        <v>-1</v>
      </c>
      <c r="BD78">
        <f>IF(OR($J78=1,COUNTIFS($A$5:$A77,"&gt;="&amp;$A78-1,$A$5:$A77,"&lt;="&amp;$A78,$B$5:$B77,$B78)&gt;0,MIN(1-'Exercise list'!X$2,IF($A78=$A77,BD77,1))-AI78&lt;0),-1,MIN(1,IF($A78=$A77,BD77,1)-AI78+$D$2))</f>
        <v>-1</v>
      </c>
      <c r="BF78" s="16">
        <f t="shared" si="76"/>
        <v>0.1907549871996605</v>
      </c>
      <c r="BG78" s="16">
        <f t="shared" si="77"/>
        <v>0.21490696815130517</v>
      </c>
      <c r="BH78" s="16">
        <f t="shared" si="78"/>
        <v>0.14494946987296872</v>
      </c>
      <c r="BI78" s="16">
        <f t="shared" si="79"/>
        <v>0.15519401756138251</v>
      </c>
      <c r="BJ78" s="16">
        <f t="shared" si="80"/>
        <v>0.20434425647880392</v>
      </c>
      <c r="BK78" s="16">
        <f t="shared" si="81"/>
        <v>0.1111402353685554</v>
      </c>
      <c r="BL78" s="16">
        <f t="shared" si="82"/>
        <v>0.16750736198526031</v>
      </c>
      <c r="BM78" s="16">
        <f t="shared" si="83"/>
        <v>1.6628110183316988E-2</v>
      </c>
      <c r="BN78" s="16">
        <f t="shared" si="84"/>
        <v>0.11812070032072693</v>
      </c>
      <c r="BO78" s="16">
        <f t="shared" si="85"/>
        <v>0.22329541158766192</v>
      </c>
      <c r="BP78" s="16">
        <f t="shared" si="86"/>
        <v>0.30994395645525469</v>
      </c>
      <c r="BQ78" s="16">
        <f t="shared" si="87"/>
        <v>3.3697186593340034E-2</v>
      </c>
      <c r="BR78" s="16">
        <f t="shared" si="88"/>
        <v>0.12522887225767662</v>
      </c>
      <c r="BS78" s="16">
        <f t="shared" si="89"/>
        <v>2.0103587133659125E-2</v>
      </c>
      <c r="BT78" s="16">
        <f t="shared" si="90"/>
        <v>0.1819214242450492</v>
      </c>
      <c r="BU78" s="16">
        <f t="shared" si="91"/>
        <v>0.20956919539231356</v>
      </c>
      <c r="BV78" s="16">
        <f t="shared" si="92"/>
        <v>0.24703895460964578</v>
      </c>
      <c r="BW78" s="16">
        <f t="shared" si="93"/>
        <v>9.1586425466767707E-2</v>
      </c>
      <c r="BX78" s="16">
        <f t="shared" si="94"/>
        <v>9.3847894433791906E-2</v>
      </c>
      <c r="BY78" s="16">
        <f t="shared" si="95"/>
        <v>1.8606068970597328E-2</v>
      </c>
      <c r="CA78" s="16">
        <f t="shared" si="56"/>
        <v>2.245872274609792E-2</v>
      </c>
      <c r="CB78" s="16">
        <f t="shared" si="57"/>
        <v>0</v>
      </c>
      <c r="CC78" s="16">
        <f t="shared" si="58"/>
        <v>0</v>
      </c>
      <c r="CD78" s="16">
        <f t="shared" si="59"/>
        <v>0</v>
      </c>
      <c r="CE78" s="16">
        <f t="shared" si="60"/>
        <v>0</v>
      </c>
      <c r="CF78" s="16">
        <f t="shared" si="61"/>
        <v>0.20868032955008226</v>
      </c>
      <c r="CG78" s="16">
        <f t="shared" si="62"/>
        <v>0</v>
      </c>
      <c r="CH78" s="16">
        <f t="shared" si="63"/>
        <v>8.9978744789562221E-2</v>
      </c>
      <c r="CI78" s="16">
        <f t="shared" si="64"/>
        <v>9.5093009625031491E-2</v>
      </c>
      <c r="CJ78" s="16">
        <f t="shared" si="65"/>
        <v>0</v>
      </c>
      <c r="CK78" s="16">
        <f t="shared" si="66"/>
        <v>0</v>
      </c>
      <c r="CL78" s="16">
        <f t="shared" si="67"/>
        <v>7.2909668379539175E-2</v>
      </c>
      <c r="CM78" s="16">
        <f t="shared" si="68"/>
        <v>8.7984837688081796E-2</v>
      </c>
      <c r="CN78" s="16">
        <f t="shared" si="69"/>
        <v>8.6503267839220077E-2</v>
      </c>
      <c r="CO78" s="16">
        <f t="shared" si="70"/>
        <v>0</v>
      </c>
      <c r="CP78" s="16">
        <f t="shared" si="71"/>
        <v>0</v>
      </c>
      <c r="CQ78" s="16">
        <f t="shared" si="72"/>
        <v>0</v>
      </c>
      <c r="CR78" s="16">
        <f t="shared" si="73"/>
        <v>1.5020429506111502E-2</v>
      </c>
      <c r="CS78" s="16">
        <f t="shared" si="74"/>
        <v>1.2758960539087302E-2</v>
      </c>
      <c r="CT78" s="16">
        <f t="shared" si="75"/>
        <v>8.8000786002281881E-2</v>
      </c>
    </row>
    <row r="79" spans="1:100" x14ac:dyDescent="0.25">
      <c r="A79" s="20">
        <v>45070</v>
      </c>
      <c r="B79" s="21">
        <v>1</v>
      </c>
      <c r="C79" s="22" t="str" cm="1">
        <f t="array" ref="C79">IF(B79="","",INDEX('Exercise list'!$C$5:$C$102,B79))</f>
        <v>Cycling machine</v>
      </c>
      <c r="D79" s="17">
        <f t="shared" si="52"/>
        <v>-1</v>
      </c>
      <c r="E79" s="33">
        <f t="shared" si="53"/>
        <v>1.6416020693753286</v>
      </c>
      <c r="F79" s="65" cm="1">
        <f t="array" ref="F79">IF(B79="","",0.1+IFERROR(INDEX($F$6:$F78,SUMPRODUCT(MAX(ROW($C$6:$C78)*($C79=$C$6:$C78))-ROW($A$5)))*0.9^($A79-INDEX($A$6:A78,SUMPRODUCT(MAX(ROW($C$6:$C78)*($C79=$C$6:$C78))-ROW($A$5)))),0))</f>
        <v>0.1372662949091315</v>
      </c>
      <c r="G79" s="25">
        <f>INDEX('Exercise list'!$Y$5:$Y$102,MATCH(C79,'Exercise list'!$C$5:$C$102,0))</f>
        <v>3</v>
      </c>
      <c r="H79" s="116">
        <f t="shared" si="54"/>
        <v>6.7031051994075969E-2</v>
      </c>
      <c r="I79" s="18">
        <f t="shared" si="55"/>
        <v>5</v>
      </c>
      <c r="J79" s="18" cm="1">
        <f t="array" ref="J79">IF(B79="","",INDEX('Exercise list'!$D$5:$D$102,B79))</f>
        <v>0</v>
      </c>
      <c r="K79" s="17">
        <v>4</v>
      </c>
      <c r="L79" s="51" t="str" cm="1">
        <f t="array" ref="L79">IF(K79="","",INDEX('Exercise list'!$C$5:$C$102,K79))</f>
        <v>Stair climbing machine</v>
      </c>
      <c r="M79" s="18">
        <v>5</v>
      </c>
      <c r="N79" s="76" t="str" cm="1">
        <f t="array" ref="N79">IF(M79="","",INDEX('Exercise list'!$C$5:$C$102,M79))</f>
        <v>Treadmill running</v>
      </c>
      <c r="O79" s="19"/>
      <c r="P79" s="19">
        <f>IFERROR(INDEX('Exercise list'!$E$5:$X$102,MATCH($C79,'Exercise list'!$C$5:$C$102,0),MATCH(P$5,'Exercise list'!$E$4:$X$4,0)),0)</f>
        <v>0</v>
      </c>
      <c r="Q79" s="19">
        <f>IFERROR(INDEX('Exercise list'!$E$5:$X$102,MATCH($C79,'Exercise list'!$C$5:$C$102,0),MATCH(Q$5,'Exercise list'!$E$4:$X$4,0)),0)</f>
        <v>0</v>
      </c>
      <c r="R79" s="19">
        <f>IFERROR(INDEX('Exercise list'!$E$5:$X$102,MATCH($C79,'Exercise list'!$C$5:$C$102,0),MATCH(R$5,'Exercise list'!$E$4:$X$4,0)),0)</f>
        <v>0</v>
      </c>
      <c r="S79" s="19">
        <f>IFERROR(INDEX('Exercise list'!$E$5:$X$102,MATCH($C79,'Exercise list'!$C$5:$C$102,0),MATCH(S$5,'Exercise list'!$E$4:$X$4,0)),0)</f>
        <v>0</v>
      </c>
      <c r="T79" s="19">
        <f>IFERROR(INDEX('Exercise list'!$E$5:$X$102,MATCH($C79,'Exercise list'!$C$5:$C$102,0),MATCH(T$5,'Exercise list'!$E$4:$X$4,0)),0)</f>
        <v>0</v>
      </c>
      <c r="U79" s="19">
        <f>IFERROR(INDEX('Exercise list'!$E$5:$X$102,MATCH($C79,'Exercise list'!$C$5:$C$102,0),MATCH(U$5,'Exercise list'!$E$4:$X$4,0)),0)</f>
        <v>0</v>
      </c>
      <c r="V79" s="19">
        <f>IFERROR(INDEX('Exercise list'!$E$5:$X$102,MATCH($C79,'Exercise list'!$C$5:$C$102,0),MATCH(V$5,'Exercise list'!$E$4:$X$4,0)),0)</f>
        <v>0</v>
      </c>
      <c r="W79" s="19">
        <f>IFERROR(INDEX('Exercise list'!$E$5:$X$102,MATCH($C79,'Exercise list'!$C$5:$C$102,0),MATCH(W$5,'Exercise list'!$E$4:$X$4,0)),0)</f>
        <v>0</v>
      </c>
      <c r="X79" s="19">
        <f>IFERROR(INDEX('Exercise list'!$E$5:$X$102,MATCH($C79,'Exercise list'!$C$5:$C$102,0),MATCH(X$5,'Exercise list'!$E$4:$X$4,0)),0)</f>
        <v>0</v>
      </c>
      <c r="Y79" s="19">
        <f>IFERROR(INDEX('Exercise list'!$E$5:$X$102,MATCH($C79,'Exercise list'!$C$5:$C$102,0),MATCH(Y$5,'Exercise list'!$E$4:$X$4,0)),0)</f>
        <v>0</v>
      </c>
      <c r="Z79" s="19">
        <f>IFERROR(INDEX('Exercise list'!$E$5:$X$102,MATCH($C79,'Exercise list'!$C$5:$C$102,0),MATCH(Z$5,'Exercise list'!$E$4:$X$4,0)),0)</f>
        <v>0</v>
      </c>
      <c r="AA79" s="19">
        <f>IFERROR(INDEX('Exercise list'!$E$5:$X$102,MATCH($C79,'Exercise list'!$C$5:$C$102,0),MATCH(AA$5,'Exercise list'!$E$4:$X$4,0)),0)</f>
        <v>0</v>
      </c>
      <c r="AB79" s="19">
        <f>IFERROR(INDEX('Exercise list'!$E$5:$X$102,MATCH($C79,'Exercise list'!$C$5:$C$102,0),MATCH(AB$5,'Exercise list'!$E$4:$X$4,0)),0)</f>
        <v>0</v>
      </c>
      <c r="AC79" s="19">
        <f>IFERROR(INDEX('Exercise list'!$E$5:$X$102,MATCH($C79,'Exercise list'!$C$5:$C$102,0),MATCH(AC$5,'Exercise list'!$E$4:$X$4,0)),0)</f>
        <v>0</v>
      </c>
      <c r="AD79" s="19">
        <f>IFERROR(INDEX('Exercise list'!$E$5:$X$102,MATCH($C79,'Exercise list'!$C$5:$C$102,0),MATCH(AD$5,'Exercise list'!$E$4:$X$4,0)),0)</f>
        <v>1</v>
      </c>
      <c r="AE79" s="19">
        <f>IFERROR(INDEX('Exercise list'!$E$5:$X$102,MATCH($C79,'Exercise list'!$C$5:$C$102,0),MATCH(AE$5,'Exercise list'!$E$4:$X$4,0)),0)</f>
        <v>0.8</v>
      </c>
      <c r="AF79" s="19">
        <f>IFERROR(INDEX('Exercise list'!$E$5:$X$102,MATCH($C79,'Exercise list'!$C$5:$C$102,0),MATCH(AF$5,'Exercise list'!$E$4:$X$4,0)),0)</f>
        <v>0.7</v>
      </c>
      <c r="AG79" s="19">
        <f>IFERROR(INDEX('Exercise list'!$E$5:$X$102,MATCH($C79,'Exercise list'!$C$5:$C$102,0),MATCH(AG$5,'Exercise list'!$E$4:$X$4,0)),0)</f>
        <v>1</v>
      </c>
      <c r="AH79" s="19">
        <f>IFERROR(INDEX('Exercise list'!$E$5:$X$102,MATCH($C79,'Exercise list'!$C$5:$C$102,0),MATCH(AH$5,'Exercise list'!$E$4:$X$4,0)),0)</f>
        <v>0</v>
      </c>
      <c r="AI79" s="19">
        <f>IFERROR(INDEX('Exercise list'!$E$5:$X$102,MATCH($C79,'Exercise list'!$C$5:$C$102,0),MATCH(AI$5,'Exercise list'!$E$4:$X$4,0)),0)</f>
        <v>0</v>
      </c>
      <c r="AJ79" s="19"/>
      <c r="AK79" s="19">
        <f>IF(OR($J79=1,COUNTIFS($A$5:$A78,"&gt;="&amp;$A79-1,$A$5:$A78,"&lt;="&amp;$A79,$B$5:$B78,$B79)&gt;0,MIN(1-'Exercise list'!E$2,IF($A79=$A78,AK78,1))-P79&lt;0),-1,MIN(1,IF($A79=$A78,AK78,1)-P79+$D$2))</f>
        <v>-1</v>
      </c>
      <c r="AL79" s="19">
        <f>IF(OR($J79=1,COUNTIFS($A$5:$A78,"&gt;="&amp;$A79-1,$A$5:$A78,"&lt;="&amp;$A79,$B$5:$B78,$B79)&gt;0,MIN(1-'Exercise list'!F$2,IF($A79=$A78,AL78,1))-Q79&lt;0),-1,MIN(1,IF($A79=$A78,AL78,1)-Q79+$D$2))</f>
        <v>-1</v>
      </c>
      <c r="AM79" s="19">
        <f>IF(OR($J79=1,COUNTIFS($A$5:$A78,"&gt;="&amp;$A79-1,$A$5:$A78,"&lt;="&amp;$A79,$B$5:$B78,$B79)&gt;0,MIN(1-'Exercise list'!G$2,IF($A79=$A78,AM78,1))-R79&lt;0),-1,MIN(1,IF($A79=$A78,AM78,1)-R79+$D$2))</f>
        <v>-1</v>
      </c>
      <c r="AN79" s="19">
        <f>IF(OR($J79=1,COUNTIFS($A$5:$A78,"&gt;="&amp;$A79-1,$A$5:$A78,"&lt;="&amp;$A79,$B$5:$B78,$B79)&gt;0,MIN(1-'Exercise list'!H$2,IF($A79=$A78,AN78,1))-S79&lt;0),-1,MIN(1,IF($A79=$A78,AN78,1)-S79+$D$2))</f>
        <v>-1</v>
      </c>
      <c r="AO79" s="19">
        <f>IF(OR($J79=1,COUNTIFS($A$5:$A78,"&gt;="&amp;$A79-1,$A$5:$A78,"&lt;="&amp;$A79,$B$5:$B78,$B79)&gt;0,MIN(1-'Exercise list'!I$2,IF($A79=$A78,AO78,1))-T79&lt;0),-1,MIN(1,IF($A79=$A78,AO78,1)-T79+$D$2))</f>
        <v>-1</v>
      </c>
      <c r="AP79" s="19">
        <f>IF(OR($J79=1,COUNTIFS($A$5:$A78,"&gt;="&amp;$A79-1,$A$5:$A78,"&lt;="&amp;$A79,$B$5:$B78,$B79)&gt;0,MIN(1-'Exercise list'!J$2,IF($A79=$A78,AP78,1))-U79&lt;0),-1,MIN(1,IF($A79=$A78,AP78,1)-U79+$D$2))</f>
        <v>-1</v>
      </c>
      <c r="AQ79" s="19">
        <f>IF(OR($J79=1,COUNTIFS($A$5:$A78,"&gt;="&amp;$A79-1,$A$5:$A78,"&lt;="&amp;$A79,$B$5:$B78,$B79)&gt;0,MIN(1-'Exercise list'!K$2,IF($A79=$A78,AQ78,1))-V79&lt;0),-1,MIN(1,IF($A79=$A78,AQ78,1)-V79+$D$2))</f>
        <v>-1</v>
      </c>
      <c r="AR79" s="19">
        <f>IF(OR($J79=1,COUNTIFS($A$5:$A78,"&gt;="&amp;$A79-1,$A$5:$A78,"&lt;="&amp;$A79,$B$5:$B78,$B79)&gt;0,MIN(1-'Exercise list'!L$2,IF($A79=$A78,AR78,1))-W79&lt;0),-1,MIN(1,IF($A79=$A78,AR78,1)-W79+$D$2))</f>
        <v>-1</v>
      </c>
      <c r="AS79" s="19">
        <f>IF(OR($J79=1,COUNTIFS($A$5:$A78,"&gt;="&amp;$A79-1,$A$5:$A78,"&lt;="&amp;$A79,$B$5:$B78,$B79)&gt;0,MIN(1-'Exercise list'!M$2,IF($A79=$A78,AS78,1))-X79&lt;0),-1,MIN(1,IF($A79=$A78,AS78,1)-X79+$D$2))</f>
        <v>-1</v>
      </c>
      <c r="AT79" s="19">
        <f>IF(OR($J79=1,COUNTIFS($A$5:$A78,"&gt;="&amp;$A79-1,$A$5:$A78,"&lt;="&amp;$A79,$B$5:$B78,$B79)&gt;0,MIN(1-'Exercise list'!N$2,IF($A79=$A78,AT78,1))-Y79&lt;0),-1,MIN(1,IF($A79=$A78,AT78,1)-Y79+$D$2))</f>
        <v>-1</v>
      </c>
      <c r="AU79" s="19">
        <f>IF(OR($J79=1,COUNTIFS($A$5:$A78,"&gt;="&amp;$A79-1,$A$5:$A78,"&lt;="&amp;$A79,$B$5:$B78,$B79)&gt;0,MIN(1-'Exercise list'!O$2,IF($A79=$A78,AU78,1))-Z79&lt;0),-1,MIN(1,IF($A79=$A78,AU78,1)-Z79+$D$2))</f>
        <v>-1</v>
      </c>
      <c r="AV79" s="19">
        <f>IF(OR($J79=1,COUNTIFS($A$5:$A78,"&gt;="&amp;$A79-1,$A$5:$A78,"&lt;="&amp;$A79,$B$5:$B78,$B79)&gt;0,MIN(1-'Exercise list'!P$2,IF($A79=$A78,AV78,1))-AA79&lt;0),-1,MIN(1,IF($A79=$A78,AV78,1)-AA79+$D$2))</f>
        <v>-1</v>
      </c>
      <c r="AW79" s="19">
        <f>IF(OR($J79=1,COUNTIFS($A$5:$A78,"&gt;="&amp;$A79-1,$A$5:$A78,"&lt;="&amp;$A79,$B$5:$B78,$B79)&gt;0,MIN(1-'Exercise list'!Q$2,IF($A79=$A78,AW78,1))-AB79&lt;0),-1,MIN(1,IF($A79=$A78,AW78,1)-AB79+$D$2))</f>
        <v>-1</v>
      </c>
      <c r="AX79" s="19">
        <f>IF(OR($J79=1,COUNTIFS($A$5:$A78,"&gt;="&amp;$A79-1,$A$5:$A78,"&lt;="&amp;$A79,$B$5:$B78,$B79)&gt;0,MIN(1-'Exercise list'!R$2,IF($A79=$A78,AX78,1))-AC79&lt;0),-1,MIN(1,IF($A79=$A78,AX78,1)-AC79+$D$2))</f>
        <v>-1</v>
      </c>
      <c r="AY79" s="19">
        <f>IF(OR($J79=1,COUNTIFS($A$5:$A78,"&gt;="&amp;$A79-1,$A$5:$A78,"&lt;="&amp;$A79,$B$5:$B78,$B79)&gt;0,MIN(1-'Exercise list'!S$2,IF($A79=$A78,AY78,1))-AD79&lt;0),-1,MIN(1,IF($A79=$A78,AY78,1)-AD79+$D$2))</f>
        <v>-1</v>
      </c>
      <c r="AZ79" s="19">
        <f>IF(OR($J79=1,COUNTIFS($A$5:$A78,"&gt;="&amp;$A79-1,$A$5:$A78,"&lt;="&amp;$A79,$B$5:$B78,$B79)&gt;0,MIN(1-'Exercise list'!T$2,IF($A79=$A78,AZ78,1))-AE79&lt;0),-1,MIN(1,IF($A79=$A78,AZ78,1)-AE79+$D$2))</f>
        <v>-1</v>
      </c>
      <c r="BA79" s="19">
        <f>IF(OR($J79=1,COUNTIFS($A$5:$A78,"&gt;="&amp;$A79-1,$A$5:$A78,"&lt;="&amp;$A79,$B$5:$B78,$B79)&gt;0,MIN(1-'Exercise list'!U$2,IF($A79=$A78,BA78,1))-AF79&lt;0),-1,MIN(1,IF($A79=$A78,BA78,1)-AF79+$D$2))</f>
        <v>-1</v>
      </c>
      <c r="BB79" s="19">
        <f>IF(OR($J79=1,COUNTIFS($A$5:$A78,"&gt;="&amp;$A79-1,$A$5:$A78,"&lt;="&amp;$A79,$B$5:$B78,$B79)&gt;0,MIN(1-'Exercise list'!V$2,IF($A79=$A78,BB78,1))-AG79&lt;0),-1,MIN(1,IF($A79=$A78,BB78,1)-AG79+$D$2))</f>
        <v>-1</v>
      </c>
      <c r="BC79" s="19">
        <f>IF(OR($J79=1,COUNTIFS($A$5:$A78,"&gt;="&amp;$A79-1,$A$5:$A78,"&lt;="&amp;$A79,$B$5:$B78,$B79)&gt;0,MIN(1-'Exercise list'!W$2,IF($A79=$A78,BC78,1))-AH79&lt;0),-1,MIN(1,IF($A79=$A78,BC78,1)-AH79+$D$2))</f>
        <v>-1</v>
      </c>
      <c r="BD79" s="19">
        <f>IF(OR($J79=1,COUNTIFS($A$5:$A78,"&gt;="&amp;$A79-1,$A$5:$A78,"&lt;="&amp;$A79,$B$5:$B78,$B79)&gt;0,MIN(1-'Exercise list'!X$2,IF($A79=$A78,BD78,1))-AI79&lt;0),-1,MIN(1,IF($A79=$A78,BD78,1)-AI79+$D$2))</f>
        <v>-1</v>
      </c>
      <c r="BE79" s="19"/>
      <c r="BF79" s="23">
        <f t="shared" si="76"/>
        <v>0.1907549871996605</v>
      </c>
      <c r="BG79" s="23">
        <f t="shared" si="77"/>
        <v>0.21490696815130517</v>
      </c>
      <c r="BH79" s="23">
        <f t="shared" si="78"/>
        <v>0.14494946987296872</v>
      </c>
      <c r="BI79" s="23">
        <f t="shared" si="79"/>
        <v>0.15519401756138251</v>
      </c>
      <c r="BJ79" s="23">
        <f t="shared" si="80"/>
        <v>0.20434425647880392</v>
      </c>
      <c r="BK79" s="23">
        <f t="shared" si="81"/>
        <v>0.1111402353685554</v>
      </c>
      <c r="BL79" s="23">
        <f t="shared" si="82"/>
        <v>0.16750736198526031</v>
      </c>
      <c r="BM79" s="23">
        <f t="shared" si="83"/>
        <v>1.6628110183316988E-2</v>
      </c>
      <c r="BN79" s="23">
        <f t="shared" si="84"/>
        <v>0.11812070032072693</v>
      </c>
      <c r="BO79" s="23">
        <f t="shared" si="85"/>
        <v>0.22329541158766192</v>
      </c>
      <c r="BP79" s="23">
        <f t="shared" si="86"/>
        <v>0.30994395645525469</v>
      </c>
      <c r="BQ79" s="23">
        <f t="shared" si="87"/>
        <v>3.3697186593340034E-2</v>
      </c>
      <c r="BR79" s="23">
        <f t="shared" si="88"/>
        <v>0.12522887225767662</v>
      </c>
      <c r="BS79" s="23">
        <f t="shared" si="89"/>
        <v>2.0103587133659125E-2</v>
      </c>
      <c r="BT79" s="23">
        <f t="shared" si="90"/>
        <v>0.1819214242450492</v>
      </c>
      <c r="BU79" s="23">
        <f t="shared" si="91"/>
        <v>0.20956919539231356</v>
      </c>
      <c r="BV79" s="23">
        <f t="shared" si="92"/>
        <v>0.24703895460964578</v>
      </c>
      <c r="BW79" s="23">
        <f t="shared" si="93"/>
        <v>9.1586425466767707E-2</v>
      </c>
      <c r="BX79" s="23">
        <f t="shared" si="94"/>
        <v>9.3847894433791906E-2</v>
      </c>
      <c r="BY79" s="23">
        <f t="shared" si="95"/>
        <v>1.8606068970597328E-2</v>
      </c>
      <c r="BZ79" s="19"/>
      <c r="CA79" s="23">
        <f t="shared" si="56"/>
        <v>2.245872274609792E-2</v>
      </c>
      <c r="CB79" s="23">
        <f t="shared" si="57"/>
        <v>0</v>
      </c>
      <c r="CC79" s="23">
        <f t="shared" si="58"/>
        <v>0</v>
      </c>
      <c r="CD79" s="23">
        <f t="shared" si="59"/>
        <v>0</v>
      </c>
      <c r="CE79" s="23">
        <f t="shared" si="60"/>
        <v>0</v>
      </c>
      <c r="CF79" s="23">
        <f t="shared" si="61"/>
        <v>0.20868032955008226</v>
      </c>
      <c r="CG79" s="23">
        <f t="shared" si="62"/>
        <v>0</v>
      </c>
      <c r="CH79" s="23">
        <f t="shared" si="63"/>
        <v>8.9978744789562221E-2</v>
      </c>
      <c r="CI79" s="23">
        <f t="shared" si="64"/>
        <v>9.5093009625031491E-2</v>
      </c>
      <c r="CJ79" s="23">
        <f t="shared" si="65"/>
        <v>0</v>
      </c>
      <c r="CK79" s="23">
        <f t="shared" si="66"/>
        <v>0</v>
      </c>
      <c r="CL79" s="23">
        <f t="shared" si="67"/>
        <v>7.2909668379539175E-2</v>
      </c>
      <c r="CM79" s="23">
        <f t="shared" si="68"/>
        <v>8.7984837688081796E-2</v>
      </c>
      <c r="CN79" s="23">
        <f t="shared" si="69"/>
        <v>8.6503267839220077E-2</v>
      </c>
      <c r="CO79" s="23">
        <f t="shared" si="70"/>
        <v>0</v>
      </c>
      <c r="CP79" s="23">
        <f t="shared" si="71"/>
        <v>0</v>
      </c>
      <c r="CQ79" s="23">
        <f t="shared" si="72"/>
        <v>0</v>
      </c>
      <c r="CR79" s="23">
        <f t="shared" si="73"/>
        <v>1.5020429506111502E-2</v>
      </c>
      <c r="CS79" s="23">
        <f t="shared" si="74"/>
        <v>1.2758960539087302E-2</v>
      </c>
      <c r="CT79" s="23">
        <f t="shared" si="75"/>
        <v>8.8000786002281881E-2</v>
      </c>
      <c r="CU79" s="19"/>
    </row>
    <row r="80" spans="1:100" x14ac:dyDescent="0.25">
      <c r="A80" s="13">
        <v>45072</v>
      </c>
      <c r="B80" s="14">
        <v>8</v>
      </c>
      <c r="C80" s="15" t="str" cm="1">
        <f t="array" ref="C80">IF(B80="","",INDEX('Exercise list'!$C$5:$C$102,B80))</f>
        <v>Barbell deadlifts</v>
      </c>
      <c r="D80" s="12">
        <f t="shared" si="52"/>
        <v>1</v>
      </c>
      <c r="E80" s="32">
        <f t="shared" si="53"/>
        <v>1.1001777057305775</v>
      </c>
      <c r="F80" s="63" cm="1">
        <f t="array" ref="F80">IF(B80="","",0.1+IFERROR(INDEX($F$6:$F79,SUMPRODUCT(MAX(ROW($C$6:$C79)*($C80=$C$6:$C79))-ROW($A$5)))*0.9^($A80-INDEX($A$6:A79,SUMPRODUCT(MAX(ROW($C$6:$C79)*($C80=$C$6:$C79))-ROW($A$5)))),0))</f>
        <v>0.19155706679835821</v>
      </c>
      <c r="G80" s="64">
        <f>INDEX('Exercise list'!$Y$5:$Y$102,MATCH(C80,'Exercise list'!$C$5:$C$102,0))</f>
        <v>3</v>
      </c>
      <c r="H80" s="115">
        <f t="shared" si="54"/>
        <v>7.16715536959419E-2</v>
      </c>
      <c r="I80" s="42">
        <f t="shared" si="55"/>
        <v>1</v>
      </c>
      <c r="J80" s="6" cm="1">
        <f t="array" ref="J80">IF(B80="","",INDEX('Exercise list'!$D$5:$D$102,B80))</f>
        <v>0</v>
      </c>
      <c r="K80" s="12">
        <v>49</v>
      </c>
      <c r="L80" s="74" t="str" cm="1">
        <f t="array" ref="L80">IF(K80="","",INDEX('Exercise list'!$C$5:$C$102,K80))</f>
        <v>Cable face pulls</v>
      </c>
      <c r="M80" s="6">
        <v>17</v>
      </c>
      <c r="N80" s="75" t="str" cm="1">
        <f t="array" ref="N80">IF(M80="","",INDEX('Exercise list'!$C$5:$C$102,M80))</f>
        <v>Romanian deadlifts</v>
      </c>
      <c r="P80">
        <f>IFERROR(INDEX('Exercise list'!$E$5:$X$102,MATCH($C80,'Exercise list'!$C$5:$C$102,0),MATCH(P$5,'Exercise list'!$E$4:$X$4,0)),0)</f>
        <v>0</v>
      </c>
      <c r="Q80">
        <f>IFERROR(INDEX('Exercise list'!$E$5:$X$102,MATCH($C80,'Exercise list'!$C$5:$C$102,0),MATCH(Q$5,'Exercise list'!$E$4:$X$4,0)),0)</f>
        <v>0</v>
      </c>
      <c r="R80">
        <f>IFERROR(INDEX('Exercise list'!$E$5:$X$102,MATCH($C80,'Exercise list'!$C$5:$C$102,0),MATCH(R$5,'Exercise list'!$E$4:$X$4,0)),0)</f>
        <v>0</v>
      </c>
      <c r="S80">
        <f>IFERROR(INDEX('Exercise list'!$E$5:$X$102,MATCH($C80,'Exercise list'!$C$5:$C$102,0),MATCH(S$5,'Exercise list'!$E$4:$X$4,0)),0)</f>
        <v>0</v>
      </c>
      <c r="T80">
        <f>IFERROR(INDEX('Exercise list'!$E$5:$X$102,MATCH($C80,'Exercise list'!$C$5:$C$102,0),MATCH(T$5,'Exercise list'!$E$4:$X$4,0)),0)</f>
        <v>1</v>
      </c>
      <c r="U80">
        <f>IFERROR(INDEX('Exercise list'!$E$5:$X$102,MATCH($C80,'Exercise list'!$C$5:$C$102,0),MATCH(U$5,'Exercise list'!$E$4:$X$4,0)),0)</f>
        <v>0</v>
      </c>
      <c r="V80">
        <f>IFERROR(INDEX('Exercise list'!$E$5:$X$102,MATCH($C80,'Exercise list'!$C$5:$C$102,0),MATCH(V$5,'Exercise list'!$E$4:$X$4,0)),0)</f>
        <v>0</v>
      </c>
      <c r="W80">
        <f>IFERROR(INDEX('Exercise list'!$E$5:$X$102,MATCH($C80,'Exercise list'!$C$5:$C$102,0),MATCH(W$5,'Exercise list'!$E$4:$X$4,0)),0)</f>
        <v>0</v>
      </c>
      <c r="X80">
        <f>IFERROR(INDEX('Exercise list'!$E$5:$X$102,MATCH($C80,'Exercise list'!$C$5:$C$102,0),MATCH(X$5,'Exercise list'!$E$4:$X$4,0)),0)</f>
        <v>0</v>
      </c>
      <c r="Y80">
        <f>IFERROR(INDEX('Exercise list'!$E$5:$X$102,MATCH($C80,'Exercise list'!$C$5:$C$102,0),MATCH(Y$5,'Exercise list'!$E$4:$X$4,0)),0)</f>
        <v>0</v>
      </c>
      <c r="Z80">
        <f>IFERROR(INDEX('Exercise list'!$E$5:$X$102,MATCH($C80,'Exercise list'!$C$5:$C$102,0),MATCH(Z$5,'Exercise list'!$E$4:$X$4,0)),0)</f>
        <v>1</v>
      </c>
      <c r="AA80">
        <f>IFERROR(INDEX('Exercise list'!$E$5:$X$102,MATCH($C80,'Exercise list'!$C$5:$C$102,0),MATCH(AA$5,'Exercise list'!$E$4:$X$4,0)),0)</f>
        <v>0</v>
      </c>
      <c r="AB80">
        <f>IFERROR(INDEX('Exercise list'!$E$5:$X$102,MATCH($C80,'Exercise list'!$C$5:$C$102,0),MATCH(AB$5,'Exercise list'!$E$4:$X$4,0)),0)</f>
        <v>0.5</v>
      </c>
      <c r="AC80">
        <f>IFERROR(INDEX('Exercise list'!$E$5:$X$102,MATCH($C80,'Exercise list'!$C$5:$C$102,0),MATCH(AC$5,'Exercise list'!$E$4:$X$4,0)),0)</f>
        <v>0</v>
      </c>
      <c r="AD80">
        <f>IFERROR(INDEX('Exercise list'!$E$5:$X$102,MATCH($C80,'Exercise list'!$C$5:$C$102,0),MATCH(AD$5,'Exercise list'!$E$4:$X$4,0)),0)</f>
        <v>0.6</v>
      </c>
      <c r="AE80">
        <f>IFERROR(INDEX('Exercise list'!$E$5:$X$102,MATCH($C80,'Exercise list'!$C$5:$C$102,0),MATCH(AE$5,'Exercise list'!$E$4:$X$4,0)),0)</f>
        <v>0.7</v>
      </c>
      <c r="AF80">
        <f>IFERROR(INDEX('Exercise list'!$E$5:$X$102,MATCH($C80,'Exercise list'!$C$5:$C$102,0),MATCH(AF$5,'Exercise list'!$E$4:$X$4,0)),0)</f>
        <v>1</v>
      </c>
      <c r="AG80">
        <f>IFERROR(INDEX('Exercise list'!$E$5:$X$102,MATCH($C80,'Exercise list'!$C$5:$C$102,0),MATCH(AG$5,'Exercise list'!$E$4:$X$4,0)),0)</f>
        <v>0</v>
      </c>
      <c r="AH80">
        <f>IFERROR(INDEX('Exercise list'!$E$5:$X$102,MATCH($C80,'Exercise list'!$C$5:$C$102,0),MATCH(AH$5,'Exercise list'!$E$4:$X$4,0)),0)</f>
        <v>0</v>
      </c>
      <c r="AI80">
        <f>IFERROR(INDEX('Exercise list'!$E$5:$X$102,MATCH($C80,'Exercise list'!$C$5:$C$102,0),MATCH(AI$5,'Exercise list'!$E$4:$X$4,0)),0)</f>
        <v>0</v>
      </c>
      <c r="AK80">
        <f>IF(OR($J80=1,COUNTIFS($A$5:$A79,"&gt;="&amp;$A80-1,$A$5:$A79,"&lt;="&amp;$A80,$B$5:$B79,$B80)&gt;0,MIN(1-'Exercise list'!E$2,IF($A80=$A79,AK79,1))-P80&lt;0),-1,MIN(1,IF($A80=$A79,AK79,1)-P80+$D$2))</f>
        <v>1</v>
      </c>
      <c r="AL80">
        <f>IF(OR($J80=1,COUNTIFS($A$5:$A79,"&gt;="&amp;$A80-1,$A$5:$A79,"&lt;="&amp;$A80,$B$5:$B79,$B80)&gt;0,MIN(1-'Exercise list'!F$2,IF($A80=$A79,AL79,1))-Q80&lt;0),-1,MIN(1,IF($A80=$A79,AL79,1)-Q80+$D$2))</f>
        <v>1</v>
      </c>
      <c r="AM80">
        <f>IF(OR($J80=1,COUNTIFS($A$5:$A79,"&gt;="&amp;$A80-1,$A$5:$A79,"&lt;="&amp;$A80,$B$5:$B79,$B80)&gt;0,MIN(1-'Exercise list'!G$2,IF($A80=$A79,AM79,1))-R80&lt;0),-1,MIN(1,IF($A80=$A79,AM79,1)-R80+$D$2))</f>
        <v>1</v>
      </c>
      <c r="AN80">
        <f>IF(OR($J80=1,COUNTIFS($A$5:$A79,"&gt;="&amp;$A80-1,$A$5:$A79,"&lt;="&amp;$A80,$B$5:$B79,$B80)&gt;0,MIN(1-'Exercise list'!H$2,IF($A80=$A79,AN79,1))-S80&lt;0),-1,MIN(1,IF($A80=$A79,AN79,1)-S80+$D$2))</f>
        <v>1</v>
      </c>
      <c r="AO80">
        <f>IF(OR($J80=1,COUNTIFS($A$5:$A79,"&gt;="&amp;$A80-1,$A$5:$A79,"&lt;="&amp;$A80,$B$5:$B79,$B80)&gt;0,MIN(1-'Exercise list'!I$2,IF($A80=$A79,AO79,1))-T80&lt;0),-1,MIN(1,IF($A80=$A79,AO79,1)-T80+$D$2))</f>
        <v>1</v>
      </c>
      <c r="AP80">
        <f>IF(OR($J80=1,COUNTIFS($A$5:$A79,"&gt;="&amp;$A80-1,$A$5:$A79,"&lt;="&amp;$A80,$B$5:$B79,$B80)&gt;0,MIN(1-'Exercise list'!J$2,IF($A80=$A79,AP79,1))-U80&lt;0),-1,MIN(1,IF($A80=$A79,AP79,1)-U80+$D$2))</f>
        <v>1</v>
      </c>
      <c r="AQ80">
        <f>IF(OR($J80=1,COUNTIFS($A$5:$A79,"&gt;="&amp;$A80-1,$A$5:$A79,"&lt;="&amp;$A80,$B$5:$B79,$B80)&gt;0,MIN(1-'Exercise list'!K$2,IF($A80=$A79,AQ79,1))-V80&lt;0),-1,MIN(1,IF($A80=$A79,AQ79,1)-V80+$D$2))</f>
        <v>1</v>
      </c>
      <c r="AR80">
        <f>IF(OR($J80=1,COUNTIFS($A$5:$A79,"&gt;="&amp;$A80-1,$A$5:$A79,"&lt;="&amp;$A80,$B$5:$B79,$B80)&gt;0,MIN(1-'Exercise list'!L$2,IF($A80=$A79,AR79,1))-W80&lt;0),-1,MIN(1,IF($A80=$A79,AR79,1)-W80+$D$2))</f>
        <v>1</v>
      </c>
      <c r="AS80">
        <f>IF(OR($J80=1,COUNTIFS($A$5:$A79,"&gt;="&amp;$A80-1,$A$5:$A79,"&lt;="&amp;$A80,$B$5:$B79,$B80)&gt;0,MIN(1-'Exercise list'!M$2,IF($A80=$A79,AS79,1))-X80&lt;0),-1,MIN(1,IF($A80=$A79,AS79,1)-X80+$D$2))</f>
        <v>1</v>
      </c>
      <c r="AT80">
        <f>IF(OR($J80=1,COUNTIFS($A$5:$A79,"&gt;="&amp;$A80-1,$A$5:$A79,"&lt;="&amp;$A80,$B$5:$B79,$B80)&gt;0,MIN(1-'Exercise list'!N$2,IF($A80=$A79,AT79,1))-Y80&lt;0),-1,MIN(1,IF($A80=$A79,AT79,1)-Y80+$D$2))</f>
        <v>1</v>
      </c>
      <c r="AU80">
        <f>IF(OR($J80=1,COUNTIFS($A$5:$A79,"&gt;="&amp;$A80-1,$A$5:$A79,"&lt;="&amp;$A80,$B$5:$B79,$B80)&gt;0,MIN(1-'Exercise list'!O$2,IF($A80=$A79,AU79,1))-Z80&lt;0),-1,MIN(1,IF($A80=$A79,AU79,1)-Z80+$D$2))</f>
        <v>1</v>
      </c>
      <c r="AV80">
        <f>IF(OR($J80=1,COUNTIFS($A$5:$A79,"&gt;="&amp;$A80-1,$A$5:$A79,"&lt;="&amp;$A80,$B$5:$B79,$B80)&gt;0,MIN(1-'Exercise list'!P$2,IF($A80=$A79,AV79,1))-AA80&lt;0),-1,MIN(1,IF($A80=$A79,AV79,1)-AA80+$D$2))</f>
        <v>1</v>
      </c>
      <c r="AW80">
        <f>IF(OR($J80=1,COUNTIFS($A$5:$A79,"&gt;="&amp;$A80-1,$A$5:$A79,"&lt;="&amp;$A80,$B$5:$B79,$B80)&gt;0,MIN(1-'Exercise list'!Q$2,IF($A80=$A79,AW79,1))-AB80&lt;0),-1,MIN(1,IF($A80=$A79,AW79,1)-AB80+$D$2))</f>
        <v>1</v>
      </c>
      <c r="AX80">
        <f>IF(OR($J80=1,COUNTIFS($A$5:$A79,"&gt;="&amp;$A80-1,$A$5:$A79,"&lt;="&amp;$A80,$B$5:$B79,$B80)&gt;0,MIN(1-'Exercise list'!R$2,IF($A80=$A79,AX79,1))-AC80&lt;0),-1,MIN(1,IF($A80=$A79,AX79,1)-AC80+$D$2))</f>
        <v>1</v>
      </c>
      <c r="AY80">
        <f>IF(OR($J80=1,COUNTIFS($A$5:$A79,"&gt;="&amp;$A80-1,$A$5:$A79,"&lt;="&amp;$A80,$B$5:$B79,$B80)&gt;0,MIN(1-'Exercise list'!S$2,IF($A80=$A79,AY79,1))-AD80&lt;0),-1,MIN(1,IF($A80=$A79,AY79,1)-AD80+$D$2))</f>
        <v>1</v>
      </c>
      <c r="AZ80">
        <f>IF(OR($J80=1,COUNTIFS($A$5:$A79,"&gt;="&amp;$A80-1,$A$5:$A79,"&lt;="&amp;$A80,$B$5:$B79,$B80)&gt;0,MIN(1-'Exercise list'!T$2,IF($A80=$A79,AZ79,1))-AE80&lt;0),-1,MIN(1,IF($A80=$A79,AZ79,1)-AE80+$D$2))</f>
        <v>1</v>
      </c>
      <c r="BA80">
        <f>IF(OR($J80=1,COUNTIFS($A$5:$A79,"&gt;="&amp;$A80-1,$A$5:$A79,"&lt;="&amp;$A80,$B$5:$B79,$B80)&gt;0,MIN(1-'Exercise list'!U$2,IF($A80=$A79,BA79,1))-AF80&lt;0),-1,MIN(1,IF($A80=$A79,BA79,1)-AF80+$D$2))</f>
        <v>1</v>
      </c>
      <c r="BB80">
        <f>IF(OR($J80=1,COUNTIFS($A$5:$A79,"&gt;="&amp;$A80-1,$A$5:$A79,"&lt;="&amp;$A80,$B$5:$B79,$B80)&gt;0,MIN(1-'Exercise list'!V$2,IF($A80=$A79,BB79,1))-AG80&lt;0),-1,MIN(1,IF($A80=$A79,BB79,1)-AG80+$D$2))</f>
        <v>1</v>
      </c>
      <c r="BC80">
        <f>IF(OR($J80=1,COUNTIFS($A$5:$A79,"&gt;="&amp;$A80-1,$A$5:$A79,"&lt;="&amp;$A80,$B$5:$B79,$B80)&gt;0,MIN(1-'Exercise list'!W$2,IF($A80=$A79,BC79,1))-AH80&lt;0),-1,MIN(1,IF($A80=$A79,BC79,1)-AH80+$D$2))</f>
        <v>1</v>
      </c>
      <c r="BD80">
        <f>IF(OR($J80=1,COUNTIFS($A$5:$A79,"&gt;="&amp;$A80-1,$A$5:$A79,"&lt;="&amp;$A80,$B$5:$B79,$B80)&gt;0,MIN(1-'Exercise list'!X$2,IF($A80=$A79,BD79,1))-AI80&lt;0),-1,MIN(1,IF($A80=$A79,BD79,1)-AI80+$D$2))</f>
        <v>1</v>
      </c>
      <c r="BF80" s="16">
        <f t="shared" si="76"/>
        <v>0.18121723783967747</v>
      </c>
      <c r="BG80" s="16">
        <f t="shared" si="77"/>
        <v>0.20416161974373989</v>
      </c>
      <c r="BH80" s="16">
        <f t="shared" si="78"/>
        <v>0.13770199637932029</v>
      </c>
      <c r="BI80" s="16">
        <f t="shared" si="79"/>
        <v>0.14743431668331339</v>
      </c>
      <c r="BJ80" s="16">
        <f t="shared" si="80"/>
        <v>0.24412704365486371</v>
      </c>
      <c r="BK80" s="16">
        <f t="shared" si="81"/>
        <v>0.10558322360012762</v>
      </c>
      <c r="BL80" s="16">
        <f t="shared" si="82"/>
        <v>0.15913199388599727</v>
      </c>
      <c r="BM80" s="16">
        <f t="shared" si="83"/>
        <v>1.5796704674151139E-2</v>
      </c>
      <c r="BN80" s="16">
        <f t="shared" si="84"/>
        <v>0.11221466530469057</v>
      </c>
      <c r="BO80" s="16">
        <f t="shared" si="85"/>
        <v>0.2121306410082788</v>
      </c>
      <c r="BP80" s="16">
        <f t="shared" si="86"/>
        <v>0.34444675863249191</v>
      </c>
      <c r="BQ80" s="16">
        <f t="shared" si="87"/>
        <v>3.2012327263673028E-2</v>
      </c>
      <c r="BR80" s="16">
        <f t="shared" si="88"/>
        <v>0.14396742864479278</v>
      </c>
      <c r="BS80" s="16">
        <f t="shared" si="89"/>
        <v>1.9098407776976169E-2</v>
      </c>
      <c r="BT80" s="16">
        <f t="shared" si="90"/>
        <v>0.20282535303279672</v>
      </c>
      <c r="BU80" s="16">
        <f t="shared" si="91"/>
        <v>0.23409073562269786</v>
      </c>
      <c r="BV80" s="16">
        <f t="shared" si="92"/>
        <v>0.28468700687916348</v>
      </c>
      <c r="BW80" s="16">
        <f t="shared" si="93"/>
        <v>8.7007104193429316E-2</v>
      </c>
      <c r="BX80" s="16">
        <f t="shared" si="94"/>
        <v>8.9155499712102307E-2</v>
      </c>
      <c r="BY80" s="16">
        <f t="shared" si="95"/>
        <v>1.7675765522067462E-2</v>
      </c>
      <c r="CA80" s="16">
        <f t="shared" si="56"/>
        <v>3.911356438657082E-2</v>
      </c>
      <c r="CB80" s="16">
        <f t="shared" si="57"/>
        <v>1.6169182482508399E-2</v>
      </c>
      <c r="CC80" s="16">
        <f t="shared" si="58"/>
        <v>0</v>
      </c>
      <c r="CD80" s="16">
        <f t="shared" si="59"/>
        <v>0</v>
      </c>
      <c r="CE80" s="16">
        <f t="shared" si="60"/>
        <v>0</v>
      </c>
      <c r="CF80" s="16">
        <f t="shared" si="61"/>
        <v>0.22491297973924484</v>
      </c>
      <c r="CG80" s="16">
        <f t="shared" si="62"/>
        <v>0</v>
      </c>
      <c r="CH80" s="16">
        <f t="shared" si="63"/>
        <v>9.4368696438972999E-2</v>
      </c>
      <c r="CI80" s="16">
        <f t="shared" si="64"/>
        <v>0.10811613692155772</v>
      </c>
      <c r="CJ80" s="16">
        <f t="shared" si="65"/>
        <v>0</v>
      </c>
      <c r="CK80" s="16">
        <f t="shared" si="66"/>
        <v>0</v>
      </c>
      <c r="CL80" s="16">
        <f t="shared" si="67"/>
        <v>7.815307384945111E-2</v>
      </c>
      <c r="CM80" s="16">
        <f t="shared" si="68"/>
        <v>7.6363373581455507E-2</v>
      </c>
      <c r="CN80" s="16">
        <f t="shared" si="69"/>
        <v>9.1066993336147983E-2</v>
      </c>
      <c r="CO80" s="16">
        <f t="shared" si="70"/>
        <v>0</v>
      </c>
      <c r="CP80" s="16">
        <f t="shared" si="71"/>
        <v>0</v>
      </c>
      <c r="CQ80" s="16">
        <f t="shared" si="72"/>
        <v>0</v>
      </c>
      <c r="CR80" s="16">
        <f t="shared" si="73"/>
        <v>2.3158296919694829E-2</v>
      </c>
      <c r="CS80" s="16">
        <f t="shared" si="74"/>
        <v>2.1009901401021838E-2</v>
      </c>
      <c r="CT80" s="16">
        <f t="shared" si="75"/>
        <v>9.248963559105669E-2</v>
      </c>
    </row>
    <row r="81" spans="1:99" x14ac:dyDescent="0.25">
      <c r="A81" s="13">
        <v>45072</v>
      </c>
      <c r="B81" s="14">
        <v>56</v>
      </c>
      <c r="C81" s="15" t="str" cm="1">
        <f t="array" ref="C81">IF(B81="","",INDEX('Exercise list'!$C$5:$C$102,B81))</f>
        <v>Standing cable reverse flyes</v>
      </c>
      <c r="D81" s="12">
        <f t="shared" si="52"/>
        <v>1</v>
      </c>
      <c r="E81" s="32">
        <f t="shared" si="53"/>
        <v>0.66346754796122021</v>
      </c>
      <c r="F81" s="63" cm="1">
        <f t="array" ref="F81">IF(B81="","",0.1+IFERROR(INDEX($F$6:$F80,SUMPRODUCT(MAX(ROW($C$6:$C80)*($C81=$C$6:$C80))-ROW($A$5)))*0.9^($A81-INDEX($A$6:A80,SUMPRODUCT(MAX(ROW($C$6:$C80)*($C81=$C$6:$C80))-ROW($A$5)))),0))</f>
        <v>0.11500946352969993</v>
      </c>
      <c r="G81" s="64">
        <f>INDEX('Exercise list'!$Y$5:$Y$102,MATCH(C81,'Exercise list'!$C$5:$C$102,0))</f>
        <v>1</v>
      </c>
      <c r="H81" s="115">
        <f t="shared" si="54"/>
        <v>7.0551151084499539E-2</v>
      </c>
      <c r="I81" s="6">
        <f t="shared" si="55"/>
        <v>2</v>
      </c>
      <c r="J81" s="6" cm="1">
        <f t="array" ref="J81">IF(B81="","",INDEX('Exercise list'!$D$5:$D$102,B81))</f>
        <v>0</v>
      </c>
      <c r="K81" s="12">
        <v>48</v>
      </c>
      <c r="L81" s="74" t="str" cm="1">
        <f t="array" ref="L81">IF(K81="","",INDEX('Exercise list'!$C$5:$C$102,K81))</f>
        <v>Barbell overhead presses</v>
      </c>
      <c r="M81" s="6">
        <v>49</v>
      </c>
      <c r="N81" s="75" t="str" cm="1">
        <f t="array" ref="N81">IF(M81="","",INDEX('Exercise list'!$C$5:$C$102,M81))</f>
        <v>Cable face pulls</v>
      </c>
      <c r="P81">
        <f>IFERROR(INDEX('Exercise list'!$E$5:$X$102,MATCH($C81,'Exercise list'!$C$5:$C$102,0),MATCH(P$5,'Exercise list'!$E$4:$X$4,0)),0)</f>
        <v>0</v>
      </c>
      <c r="Q81">
        <f>IFERROR(INDEX('Exercise list'!$E$5:$X$102,MATCH($C81,'Exercise list'!$C$5:$C$102,0),MATCH(Q$5,'Exercise list'!$E$4:$X$4,0)),0)</f>
        <v>0</v>
      </c>
      <c r="R81">
        <f>IFERROR(INDEX('Exercise list'!$E$5:$X$102,MATCH($C81,'Exercise list'!$C$5:$C$102,0),MATCH(R$5,'Exercise list'!$E$4:$X$4,0)),0)</f>
        <v>0.5</v>
      </c>
      <c r="S81">
        <f>IFERROR(INDEX('Exercise list'!$E$5:$X$102,MATCH($C81,'Exercise list'!$C$5:$C$102,0),MATCH(S$5,'Exercise list'!$E$4:$X$4,0)),0)</f>
        <v>0.9</v>
      </c>
      <c r="T81">
        <f>IFERROR(INDEX('Exercise list'!$E$5:$X$102,MATCH($C81,'Exercise list'!$C$5:$C$102,0),MATCH(T$5,'Exercise list'!$E$4:$X$4,0)),0)</f>
        <v>0</v>
      </c>
      <c r="U81">
        <f>IFERROR(INDEX('Exercise list'!$E$5:$X$102,MATCH($C81,'Exercise list'!$C$5:$C$102,0),MATCH(U$5,'Exercise list'!$E$4:$X$4,0)),0)</f>
        <v>0</v>
      </c>
      <c r="V81">
        <f>IFERROR(INDEX('Exercise list'!$E$5:$X$102,MATCH($C81,'Exercise list'!$C$5:$C$102,0),MATCH(V$5,'Exercise list'!$E$4:$X$4,0)),0)</f>
        <v>0</v>
      </c>
      <c r="W81">
        <f>IFERROR(INDEX('Exercise list'!$E$5:$X$102,MATCH($C81,'Exercise list'!$C$5:$C$102,0),MATCH(W$5,'Exercise list'!$E$4:$X$4,0)),0)</f>
        <v>1</v>
      </c>
      <c r="X81">
        <f>IFERROR(INDEX('Exercise list'!$E$5:$X$102,MATCH($C81,'Exercise list'!$C$5:$C$102,0),MATCH(X$5,'Exercise list'!$E$4:$X$4,0)),0)</f>
        <v>0</v>
      </c>
      <c r="Y81">
        <f>IFERROR(INDEX('Exercise list'!$E$5:$X$102,MATCH($C81,'Exercise list'!$C$5:$C$102,0),MATCH(Y$5,'Exercise list'!$E$4:$X$4,0)),0)</f>
        <v>0</v>
      </c>
      <c r="Z81">
        <f>IFERROR(INDEX('Exercise list'!$E$5:$X$102,MATCH($C81,'Exercise list'!$C$5:$C$102,0),MATCH(Z$5,'Exercise list'!$E$4:$X$4,0)),0)</f>
        <v>0</v>
      </c>
      <c r="AA81">
        <f>IFERROR(INDEX('Exercise list'!$E$5:$X$102,MATCH($C81,'Exercise list'!$C$5:$C$102,0),MATCH(AA$5,'Exercise list'!$E$4:$X$4,0)),0)</f>
        <v>0</v>
      </c>
      <c r="AB81">
        <f>IFERROR(INDEX('Exercise list'!$E$5:$X$102,MATCH($C81,'Exercise list'!$C$5:$C$102,0),MATCH(AB$5,'Exercise list'!$E$4:$X$4,0)),0)</f>
        <v>0</v>
      </c>
      <c r="AC81">
        <f>IFERROR(INDEX('Exercise list'!$E$5:$X$102,MATCH($C81,'Exercise list'!$C$5:$C$102,0),MATCH(AC$5,'Exercise list'!$E$4:$X$4,0)),0)</f>
        <v>0</v>
      </c>
      <c r="AD81">
        <f>IFERROR(INDEX('Exercise list'!$E$5:$X$102,MATCH($C81,'Exercise list'!$C$5:$C$102,0),MATCH(AD$5,'Exercise list'!$E$4:$X$4,0)),0)</f>
        <v>0</v>
      </c>
      <c r="AE81">
        <f>IFERROR(INDEX('Exercise list'!$E$5:$X$102,MATCH($C81,'Exercise list'!$C$5:$C$102,0),MATCH(AE$5,'Exercise list'!$E$4:$X$4,0)),0)</f>
        <v>0</v>
      </c>
      <c r="AF81">
        <f>IFERROR(INDEX('Exercise list'!$E$5:$X$102,MATCH($C81,'Exercise list'!$C$5:$C$102,0),MATCH(AF$5,'Exercise list'!$E$4:$X$4,0)),0)</f>
        <v>0</v>
      </c>
      <c r="AG81">
        <f>IFERROR(INDEX('Exercise list'!$E$5:$X$102,MATCH($C81,'Exercise list'!$C$5:$C$102,0),MATCH(AG$5,'Exercise list'!$E$4:$X$4,0)),0)</f>
        <v>0</v>
      </c>
      <c r="AH81">
        <f>IFERROR(INDEX('Exercise list'!$E$5:$X$102,MATCH($C81,'Exercise list'!$C$5:$C$102,0),MATCH(AH$5,'Exercise list'!$E$4:$X$4,0)),0)</f>
        <v>0</v>
      </c>
      <c r="AI81">
        <f>IFERROR(INDEX('Exercise list'!$E$5:$X$102,MATCH($C81,'Exercise list'!$C$5:$C$102,0),MATCH(AI$5,'Exercise list'!$E$4:$X$4,0)),0)</f>
        <v>0</v>
      </c>
      <c r="AK81">
        <f>IF(OR($J81=1,COUNTIFS($A$5:$A80,"&gt;="&amp;$A81-1,$A$5:$A80,"&lt;="&amp;$A81,$B$5:$B80,$B81)&gt;0,MIN(1-'Exercise list'!E$2,IF($A81=$A80,AK80,1))-P81&lt;0),-1,MIN(1,IF($A81=$A80,AK80,1)-P81+$D$2))</f>
        <v>1</v>
      </c>
      <c r="AL81">
        <f>IF(OR($J81=1,COUNTIFS($A$5:$A80,"&gt;="&amp;$A81-1,$A$5:$A80,"&lt;="&amp;$A81,$B$5:$B80,$B81)&gt;0,MIN(1-'Exercise list'!F$2,IF($A81=$A80,AL80,1))-Q81&lt;0),-1,MIN(1,IF($A81=$A80,AL80,1)-Q81+$D$2))</f>
        <v>1</v>
      </c>
      <c r="AM81">
        <f>IF(OR($J81=1,COUNTIFS($A$5:$A80,"&gt;="&amp;$A81-1,$A$5:$A80,"&lt;="&amp;$A81,$B$5:$B80,$B81)&gt;0,MIN(1-'Exercise list'!G$2,IF($A81=$A80,AM80,1))-R81&lt;0),-1,MIN(1,IF($A81=$A80,AM80,1)-R81+$D$2))</f>
        <v>1</v>
      </c>
      <c r="AN81">
        <f>IF(OR($J81=1,COUNTIFS($A$5:$A80,"&gt;="&amp;$A81-1,$A$5:$A80,"&lt;="&amp;$A81,$B$5:$B80,$B81)&gt;0,MIN(1-'Exercise list'!H$2,IF($A81=$A80,AN80,1))-S81&lt;0),-1,MIN(1,IF($A81=$A80,AN80,1)-S81+$D$2))</f>
        <v>1</v>
      </c>
      <c r="AO81">
        <f>IF(OR($J81=1,COUNTIFS($A$5:$A80,"&gt;="&amp;$A81-1,$A$5:$A80,"&lt;="&amp;$A81,$B$5:$B80,$B81)&gt;0,MIN(1-'Exercise list'!I$2,IF($A81=$A80,AO80,1))-T81&lt;0),-1,MIN(1,IF($A81=$A80,AO80,1)-T81+$D$2))</f>
        <v>1</v>
      </c>
      <c r="AP81">
        <f>IF(OR($J81=1,COUNTIFS($A$5:$A80,"&gt;="&amp;$A81-1,$A$5:$A80,"&lt;="&amp;$A81,$B$5:$B80,$B81)&gt;0,MIN(1-'Exercise list'!J$2,IF($A81=$A80,AP80,1))-U81&lt;0),-1,MIN(1,IF($A81=$A80,AP80,1)-U81+$D$2))</f>
        <v>1</v>
      </c>
      <c r="AQ81">
        <f>IF(OR($J81=1,COUNTIFS($A$5:$A80,"&gt;="&amp;$A81-1,$A$5:$A80,"&lt;="&amp;$A81,$B$5:$B80,$B81)&gt;0,MIN(1-'Exercise list'!K$2,IF($A81=$A80,AQ80,1))-V81&lt;0),-1,MIN(1,IF($A81=$A80,AQ80,1)-V81+$D$2))</f>
        <v>1</v>
      </c>
      <c r="AR81">
        <f>IF(OR($J81=1,COUNTIFS($A$5:$A80,"&gt;="&amp;$A81-1,$A$5:$A80,"&lt;="&amp;$A81,$B$5:$B80,$B81)&gt;0,MIN(1-'Exercise list'!L$2,IF($A81=$A80,AR80,1))-W81&lt;0),-1,MIN(1,IF($A81=$A80,AR80,1)-W81+$D$2))</f>
        <v>1</v>
      </c>
      <c r="AS81">
        <f>IF(OR($J81=1,COUNTIFS($A$5:$A80,"&gt;="&amp;$A81-1,$A$5:$A80,"&lt;="&amp;$A81,$B$5:$B80,$B81)&gt;0,MIN(1-'Exercise list'!M$2,IF($A81=$A80,AS80,1))-X81&lt;0),-1,MIN(1,IF($A81=$A80,AS80,1)-X81+$D$2))</f>
        <v>1</v>
      </c>
      <c r="AT81">
        <f>IF(OR($J81=1,COUNTIFS($A$5:$A80,"&gt;="&amp;$A81-1,$A$5:$A80,"&lt;="&amp;$A81,$B$5:$B80,$B81)&gt;0,MIN(1-'Exercise list'!N$2,IF($A81=$A80,AT80,1))-Y81&lt;0),-1,MIN(1,IF($A81=$A80,AT80,1)-Y81+$D$2))</f>
        <v>1</v>
      </c>
      <c r="AU81">
        <f>IF(OR($J81=1,COUNTIFS($A$5:$A80,"&gt;="&amp;$A81-1,$A$5:$A80,"&lt;="&amp;$A81,$B$5:$B80,$B81)&gt;0,MIN(1-'Exercise list'!O$2,IF($A81=$A80,AU80,1))-Z81&lt;0),-1,MIN(1,IF($A81=$A80,AU80,1)-Z81+$D$2))</f>
        <v>1</v>
      </c>
      <c r="AV81">
        <f>IF(OR($J81=1,COUNTIFS($A$5:$A80,"&gt;="&amp;$A81-1,$A$5:$A80,"&lt;="&amp;$A81,$B$5:$B80,$B81)&gt;0,MIN(1-'Exercise list'!P$2,IF($A81=$A80,AV80,1))-AA81&lt;0),-1,MIN(1,IF($A81=$A80,AV80,1)-AA81+$D$2))</f>
        <v>1</v>
      </c>
      <c r="AW81">
        <f>IF(OR($J81=1,COUNTIFS($A$5:$A80,"&gt;="&amp;$A81-1,$A$5:$A80,"&lt;="&amp;$A81,$B$5:$B80,$B81)&gt;0,MIN(1-'Exercise list'!Q$2,IF($A81=$A80,AW80,1))-AB81&lt;0),-1,MIN(1,IF($A81=$A80,AW80,1)-AB81+$D$2))</f>
        <v>1</v>
      </c>
      <c r="AX81">
        <f>IF(OR($J81=1,COUNTIFS($A$5:$A80,"&gt;="&amp;$A81-1,$A$5:$A80,"&lt;="&amp;$A81,$B$5:$B80,$B81)&gt;0,MIN(1-'Exercise list'!R$2,IF($A81=$A80,AX80,1))-AC81&lt;0),-1,MIN(1,IF($A81=$A80,AX80,1)-AC81+$D$2))</f>
        <v>1</v>
      </c>
      <c r="AY81">
        <f>IF(OR($J81=1,COUNTIFS($A$5:$A80,"&gt;="&amp;$A81-1,$A$5:$A80,"&lt;="&amp;$A81,$B$5:$B80,$B81)&gt;0,MIN(1-'Exercise list'!S$2,IF($A81=$A80,AY80,1))-AD81&lt;0),-1,MIN(1,IF($A81=$A80,AY80,1)-AD81+$D$2))</f>
        <v>1</v>
      </c>
      <c r="AZ81">
        <f>IF(OR($J81=1,COUNTIFS($A$5:$A80,"&gt;="&amp;$A81-1,$A$5:$A80,"&lt;="&amp;$A81,$B$5:$B80,$B81)&gt;0,MIN(1-'Exercise list'!T$2,IF($A81=$A80,AZ80,1))-AE81&lt;0),-1,MIN(1,IF($A81=$A80,AZ80,1)-AE81+$D$2))</f>
        <v>1</v>
      </c>
      <c r="BA81">
        <f>IF(OR($J81=1,COUNTIFS($A$5:$A80,"&gt;="&amp;$A81-1,$A$5:$A80,"&lt;="&amp;$A81,$B$5:$B80,$B81)&gt;0,MIN(1-'Exercise list'!U$2,IF($A81=$A80,BA80,1))-AF81&lt;0),-1,MIN(1,IF($A81=$A80,BA80,1)-AF81+$D$2))</f>
        <v>1</v>
      </c>
      <c r="BB81">
        <f>IF(OR($J81=1,COUNTIFS($A$5:$A80,"&gt;="&amp;$A81-1,$A$5:$A80,"&lt;="&amp;$A81,$B$5:$B80,$B81)&gt;0,MIN(1-'Exercise list'!V$2,IF($A81=$A80,BB80,1))-AG81&lt;0),-1,MIN(1,IF($A81=$A80,BB80,1)-AG81+$D$2))</f>
        <v>1</v>
      </c>
      <c r="BC81">
        <f>IF(OR($J81=1,COUNTIFS($A$5:$A80,"&gt;="&amp;$A81-1,$A$5:$A80,"&lt;="&amp;$A81,$B$5:$B80,$B81)&gt;0,MIN(1-'Exercise list'!W$2,IF($A81=$A80,BC80,1))-AH81&lt;0),-1,MIN(1,IF($A81=$A80,BC80,1)-AH81+$D$2))</f>
        <v>1</v>
      </c>
      <c r="BD81">
        <f>IF(OR($J81=1,COUNTIFS($A$5:$A80,"&gt;="&amp;$A81-1,$A$5:$A80,"&lt;="&amp;$A81,$B$5:$B80,$B81)&gt;0,MIN(1-'Exercise list'!X$2,IF($A81=$A80,BD80,1))-AI81&lt;0),-1,MIN(1,IF($A81=$A80,BD80,1)-AI81+$D$2))</f>
        <v>1</v>
      </c>
      <c r="BF81" s="16">
        <f t="shared" si="76"/>
        <v>0.17215637594769359</v>
      </c>
      <c r="BG81" s="16">
        <f t="shared" si="77"/>
        <v>0.19395353875655288</v>
      </c>
      <c r="BH81" s="16">
        <f t="shared" si="78"/>
        <v>0.15581689656035427</v>
      </c>
      <c r="BI81" s="16">
        <f t="shared" si="79"/>
        <v>0.18506260084914772</v>
      </c>
      <c r="BJ81" s="16">
        <f t="shared" si="80"/>
        <v>0.23192069147212052</v>
      </c>
      <c r="BK81" s="16">
        <f t="shared" si="81"/>
        <v>0.10030406242012123</v>
      </c>
      <c r="BL81" s="16">
        <f t="shared" si="82"/>
        <v>0.1511753941916974</v>
      </c>
      <c r="BM81" s="16">
        <f t="shared" si="83"/>
        <v>6.5006869440443579E-2</v>
      </c>
      <c r="BN81" s="16">
        <f t="shared" si="84"/>
        <v>0.10660393203945603</v>
      </c>
      <c r="BO81" s="16">
        <f t="shared" si="85"/>
        <v>0.20152410895786485</v>
      </c>
      <c r="BP81" s="16">
        <f t="shared" si="86"/>
        <v>0.32722442070086732</v>
      </c>
      <c r="BQ81" s="16">
        <f t="shared" si="87"/>
        <v>3.0411710900489376E-2</v>
      </c>
      <c r="BR81" s="16">
        <f t="shared" si="88"/>
        <v>0.13676905721255314</v>
      </c>
      <c r="BS81" s="16">
        <f t="shared" si="89"/>
        <v>1.814348738812736E-2</v>
      </c>
      <c r="BT81" s="16">
        <f t="shared" si="90"/>
        <v>0.19268408538115689</v>
      </c>
      <c r="BU81" s="16">
        <f t="shared" si="91"/>
        <v>0.22238619884156297</v>
      </c>
      <c r="BV81" s="16">
        <f t="shared" si="92"/>
        <v>0.27045265653520528</v>
      </c>
      <c r="BW81" s="16">
        <f t="shared" si="93"/>
        <v>8.2656748983757841E-2</v>
      </c>
      <c r="BX81" s="16">
        <f t="shared" si="94"/>
        <v>8.4697724726497184E-2</v>
      </c>
      <c r="BY81" s="16">
        <f t="shared" si="95"/>
        <v>1.6791977245964089E-2</v>
      </c>
      <c r="CA81" s="16">
        <f t="shared" si="56"/>
        <v>4.604677505613114E-2</v>
      </c>
      <c r="CB81" s="16">
        <f t="shared" si="57"/>
        <v>2.4249612247271846E-2</v>
      </c>
      <c r="CC81" s="16">
        <f t="shared" si="58"/>
        <v>0</v>
      </c>
      <c r="CD81" s="16">
        <f t="shared" si="59"/>
        <v>0</v>
      </c>
      <c r="CE81" s="16">
        <f t="shared" si="60"/>
        <v>0</v>
      </c>
      <c r="CF81" s="16">
        <f t="shared" si="61"/>
        <v>0.22700066408561587</v>
      </c>
      <c r="CG81" s="16">
        <f t="shared" si="62"/>
        <v>0</v>
      </c>
      <c r="CH81" s="16">
        <f t="shared" si="63"/>
        <v>4.4094706061468786E-2</v>
      </c>
      <c r="CI81" s="16">
        <f t="shared" si="64"/>
        <v>0.1115992189643687</v>
      </c>
      <c r="CJ81" s="16">
        <f t="shared" si="65"/>
        <v>0</v>
      </c>
      <c r="CK81" s="16">
        <f t="shared" si="66"/>
        <v>0</v>
      </c>
      <c r="CL81" s="16">
        <f t="shared" si="67"/>
        <v>7.8689864601422993E-2</v>
      </c>
      <c r="CM81" s="16">
        <f t="shared" si="68"/>
        <v>8.1434093791271589E-2</v>
      </c>
      <c r="CN81" s="16">
        <f t="shared" si="69"/>
        <v>9.0958088113785002E-2</v>
      </c>
      <c r="CO81" s="16">
        <f t="shared" si="70"/>
        <v>0</v>
      </c>
      <c r="CP81" s="16">
        <f t="shared" si="71"/>
        <v>0</v>
      </c>
      <c r="CQ81" s="16">
        <f t="shared" si="72"/>
        <v>0</v>
      </c>
      <c r="CR81" s="16">
        <f t="shared" si="73"/>
        <v>2.6444826518154524E-2</v>
      </c>
      <c r="CS81" s="16">
        <f t="shared" si="74"/>
        <v>2.4403850775415181E-2</v>
      </c>
      <c r="CT81" s="16">
        <f t="shared" si="75"/>
        <v>9.2309598255948283E-2</v>
      </c>
    </row>
    <row r="82" spans="1:99" x14ac:dyDescent="0.25">
      <c r="A82" s="13">
        <v>45072</v>
      </c>
      <c r="B82" s="14">
        <v>55</v>
      </c>
      <c r="C82" s="15" t="str" cm="1">
        <f t="array" ref="C82">IF(B82="","",INDEX('Exercise list'!$C$5:$C$102,B82))</f>
        <v>Egyptian cable lateral raises</v>
      </c>
      <c r="D82" s="12">
        <f t="shared" si="52"/>
        <v>1</v>
      </c>
      <c r="E82" s="32">
        <f t="shared" si="53"/>
        <v>0.519634517784063</v>
      </c>
      <c r="F82" s="63" cm="1">
        <f t="array" ref="F82">IF(B82="","",0.1+IFERROR(INDEX($F$6:$F81,SUMPRODUCT(MAX(ROW($C$6:$C81)*($C82=$C$6:$C81))-ROW($A$5)))*0.9^($A82-INDEX($A$6:A81,SUMPRODUCT(MAX(ROW($C$6:$C81)*($C82=$C$6:$C81))-ROW($A$5)))),0))</f>
        <v>0.16283915352969996</v>
      </c>
      <c r="G82" s="64">
        <f>INDEX('Exercise list'!$Y$5:$Y$102,MATCH(C82,'Exercise list'!$C$5:$C$102,0))</f>
        <v>1</v>
      </c>
      <c r="H82" s="115">
        <f t="shared" si="54"/>
        <v>6.2626454148162536E-2</v>
      </c>
      <c r="I82" s="6">
        <f t="shared" si="55"/>
        <v>3</v>
      </c>
      <c r="J82" s="6" cm="1">
        <f t="array" ref="J82">IF(B82="","",INDEX('Exercise list'!$D$5:$D$102,B82))</f>
        <v>0</v>
      </c>
      <c r="K82" s="12">
        <v>25</v>
      </c>
      <c r="L82" s="74" t="str" cm="1">
        <f t="array" ref="L82">IF(K82="","",INDEX('Exercise list'!$C$5:$C$102,K82))</f>
        <v>Dumbbell decline bench presses</v>
      </c>
      <c r="M82" s="6">
        <v>23</v>
      </c>
      <c r="N82" s="75" t="str" cm="1">
        <f t="array" ref="N82">IF(M82="","",INDEX('Exercise list'!$C$5:$C$102,M82))</f>
        <v>Barbell bench presses</v>
      </c>
      <c r="P82">
        <f>IFERROR(INDEX('Exercise list'!$E$5:$X$102,MATCH($C82,'Exercise list'!$C$5:$C$102,0),MATCH(P$5,'Exercise list'!$E$4:$X$4,0)),0)</f>
        <v>0</v>
      </c>
      <c r="Q82">
        <f>IFERROR(INDEX('Exercise list'!$E$5:$X$102,MATCH($C82,'Exercise list'!$C$5:$C$102,0),MATCH(Q$5,'Exercise list'!$E$4:$X$4,0)),0)</f>
        <v>0</v>
      </c>
      <c r="R82">
        <f>IFERROR(INDEX('Exercise list'!$E$5:$X$102,MATCH($C82,'Exercise list'!$C$5:$C$102,0),MATCH(R$5,'Exercise list'!$E$4:$X$4,0)),0)</f>
        <v>0</v>
      </c>
      <c r="S82">
        <f>IFERROR(INDEX('Exercise list'!$E$5:$X$102,MATCH($C82,'Exercise list'!$C$5:$C$102,0),MATCH(S$5,'Exercise list'!$E$4:$X$4,0)),0)</f>
        <v>0</v>
      </c>
      <c r="T82">
        <f>IFERROR(INDEX('Exercise list'!$E$5:$X$102,MATCH($C82,'Exercise list'!$C$5:$C$102,0),MATCH(T$5,'Exercise list'!$E$4:$X$4,0)),0)</f>
        <v>0</v>
      </c>
      <c r="U82">
        <f>IFERROR(INDEX('Exercise list'!$E$5:$X$102,MATCH($C82,'Exercise list'!$C$5:$C$102,0),MATCH(U$5,'Exercise list'!$E$4:$X$4,0)),0)</f>
        <v>1</v>
      </c>
      <c r="V82">
        <f>IFERROR(INDEX('Exercise list'!$E$5:$X$102,MATCH($C82,'Exercise list'!$C$5:$C$102,0),MATCH(V$5,'Exercise list'!$E$4:$X$4,0)),0)</f>
        <v>0.5</v>
      </c>
      <c r="W82">
        <f>IFERROR(INDEX('Exercise list'!$E$5:$X$102,MATCH($C82,'Exercise list'!$C$5:$C$102,0),MATCH(W$5,'Exercise list'!$E$4:$X$4,0)),0)</f>
        <v>0</v>
      </c>
      <c r="X82">
        <f>IFERROR(INDEX('Exercise list'!$E$5:$X$102,MATCH($C82,'Exercise list'!$C$5:$C$102,0),MATCH(X$5,'Exercise list'!$E$4:$X$4,0)),0)</f>
        <v>0</v>
      </c>
      <c r="Y82">
        <f>IFERROR(INDEX('Exercise list'!$E$5:$X$102,MATCH($C82,'Exercise list'!$C$5:$C$102,0),MATCH(Y$5,'Exercise list'!$E$4:$X$4,0)),0)</f>
        <v>0</v>
      </c>
      <c r="Z82">
        <f>IFERROR(INDEX('Exercise list'!$E$5:$X$102,MATCH($C82,'Exercise list'!$C$5:$C$102,0),MATCH(Z$5,'Exercise list'!$E$4:$X$4,0)),0)</f>
        <v>0</v>
      </c>
      <c r="AA82">
        <f>IFERROR(INDEX('Exercise list'!$E$5:$X$102,MATCH($C82,'Exercise list'!$C$5:$C$102,0),MATCH(AA$5,'Exercise list'!$E$4:$X$4,0)),0)</f>
        <v>0</v>
      </c>
      <c r="AB82">
        <f>IFERROR(INDEX('Exercise list'!$E$5:$X$102,MATCH($C82,'Exercise list'!$C$5:$C$102,0),MATCH(AB$5,'Exercise list'!$E$4:$X$4,0)),0)</f>
        <v>0</v>
      </c>
      <c r="AC82">
        <f>IFERROR(INDEX('Exercise list'!$E$5:$X$102,MATCH($C82,'Exercise list'!$C$5:$C$102,0),MATCH(AC$5,'Exercise list'!$E$4:$X$4,0)),0)</f>
        <v>0</v>
      </c>
      <c r="AD82">
        <f>IFERROR(INDEX('Exercise list'!$E$5:$X$102,MATCH($C82,'Exercise list'!$C$5:$C$102,0),MATCH(AD$5,'Exercise list'!$E$4:$X$4,0)),0)</f>
        <v>0</v>
      </c>
      <c r="AE82">
        <f>IFERROR(INDEX('Exercise list'!$E$5:$X$102,MATCH($C82,'Exercise list'!$C$5:$C$102,0),MATCH(AE$5,'Exercise list'!$E$4:$X$4,0)),0)</f>
        <v>0</v>
      </c>
      <c r="AF82">
        <f>IFERROR(INDEX('Exercise list'!$E$5:$X$102,MATCH($C82,'Exercise list'!$C$5:$C$102,0),MATCH(AF$5,'Exercise list'!$E$4:$X$4,0)),0)</f>
        <v>0</v>
      </c>
      <c r="AG82">
        <f>IFERROR(INDEX('Exercise list'!$E$5:$X$102,MATCH($C82,'Exercise list'!$C$5:$C$102,0),MATCH(AG$5,'Exercise list'!$E$4:$X$4,0)),0)</f>
        <v>0</v>
      </c>
      <c r="AH82">
        <f>IFERROR(INDEX('Exercise list'!$E$5:$X$102,MATCH($C82,'Exercise list'!$C$5:$C$102,0),MATCH(AH$5,'Exercise list'!$E$4:$X$4,0)),0)</f>
        <v>0</v>
      </c>
      <c r="AI82">
        <f>IFERROR(INDEX('Exercise list'!$E$5:$X$102,MATCH($C82,'Exercise list'!$C$5:$C$102,0),MATCH(AI$5,'Exercise list'!$E$4:$X$4,0)),0)</f>
        <v>0</v>
      </c>
      <c r="AK82">
        <f>IF(OR($J82=1,COUNTIFS($A$5:$A81,"&gt;="&amp;$A82-1,$A$5:$A81,"&lt;="&amp;$A82,$B$5:$B81,$B82)&gt;0,MIN(1-'Exercise list'!E$2,IF($A82=$A81,AK81,1))-P82&lt;0),-1,MIN(1,IF($A82=$A81,AK81,1)-P82+$D$2))</f>
        <v>1</v>
      </c>
      <c r="AL82">
        <f>IF(OR($J82=1,COUNTIFS($A$5:$A81,"&gt;="&amp;$A82-1,$A$5:$A81,"&lt;="&amp;$A82,$B$5:$B81,$B82)&gt;0,MIN(1-'Exercise list'!F$2,IF($A82=$A81,AL81,1))-Q82&lt;0),-1,MIN(1,IF($A82=$A81,AL81,1)-Q82+$D$2))</f>
        <v>1</v>
      </c>
      <c r="AM82">
        <f>IF(OR($J82=1,COUNTIFS($A$5:$A81,"&gt;="&amp;$A82-1,$A$5:$A81,"&lt;="&amp;$A82,$B$5:$B81,$B82)&gt;0,MIN(1-'Exercise list'!G$2,IF($A82=$A81,AM81,1))-R82&lt;0),-1,MIN(1,IF($A82=$A81,AM81,1)-R82+$D$2))</f>
        <v>1</v>
      </c>
      <c r="AN82">
        <f>IF(OR($J82=1,COUNTIFS($A$5:$A81,"&gt;="&amp;$A82-1,$A$5:$A81,"&lt;="&amp;$A82,$B$5:$B81,$B82)&gt;0,MIN(1-'Exercise list'!H$2,IF($A82=$A81,AN81,1))-S82&lt;0),-1,MIN(1,IF($A82=$A81,AN81,1)-S82+$D$2))</f>
        <v>1</v>
      </c>
      <c r="AO82">
        <f>IF(OR($J82=1,COUNTIFS($A$5:$A81,"&gt;="&amp;$A82-1,$A$5:$A81,"&lt;="&amp;$A82,$B$5:$B81,$B82)&gt;0,MIN(1-'Exercise list'!I$2,IF($A82=$A81,AO81,1))-T82&lt;0),-1,MIN(1,IF($A82=$A81,AO81,1)-T82+$D$2))</f>
        <v>1</v>
      </c>
      <c r="AP82">
        <f>IF(OR($J82=1,COUNTIFS($A$5:$A81,"&gt;="&amp;$A82-1,$A$5:$A81,"&lt;="&amp;$A82,$B$5:$B81,$B82)&gt;0,MIN(1-'Exercise list'!J$2,IF($A82=$A81,AP81,1))-U82&lt;0),-1,MIN(1,IF($A82=$A81,AP81,1)-U82+$D$2))</f>
        <v>1</v>
      </c>
      <c r="AQ82">
        <f>IF(OR($J82=1,COUNTIFS($A$5:$A81,"&gt;="&amp;$A82-1,$A$5:$A81,"&lt;="&amp;$A82,$B$5:$B81,$B82)&gt;0,MIN(1-'Exercise list'!K$2,IF($A82=$A81,AQ81,1))-V82&lt;0),-1,MIN(1,IF($A82=$A81,AQ81,1)-V82+$D$2))</f>
        <v>1</v>
      </c>
      <c r="AR82">
        <f>IF(OR($J82=1,COUNTIFS($A$5:$A81,"&gt;="&amp;$A82-1,$A$5:$A81,"&lt;="&amp;$A82,$B$5:$B81,$B82)&gt;0,MIN(1-'Exercise list'!L$2,IF($A82=$A81,AR81,1))-W82&lt;0),-1,MIN(1,IF($A82=$A81,AR81,1)-W82+$D$2))</f>
        <v>1</v>
      </c>
      <c r="AS82">
        <f>IF(OR($J82=1,COUNTIFS($A$5:$A81,"&gt;="&amp;$A82-1,$A$5:$A81,"&lt;="&amp;$A82,$B$5:$B81,$B82)&gt;0,MIN(1-'Exercise list'!M$2,IF($A82=$A81,AS81,1))-X82&lt;0),-1,MIN(1,IF($A82=$A81,AS81,1)-X82+$D$2))</f>
        <v>1</v>
      </c>
      <c r="AT82">
        <f>IF(OR($J82=1,COUNTIFS($A$5:$A81,"&gt;="&amp;$A82-1,$A$5:$A81,"&lt;="&amp;$A82,$B$5:$B81,$B82)&gt;0,MIN(1-'Exercise list'!N$2,IF($A82=$A81,AT81,1))-Y82&lt;0),-1,MIN(1,IF($A82=$A81,AT81,1)-Y82+$D$2))</f>
        <v>1</v>
      </c>
      <c r="AU82">
        <f>IF(OR($J82=1,COUNTIFS($A$5:$A81,"&gt;="&amp;$A82-1,$A$5:$A81,"&lt;="&amp;$A82,$B$5:$B81,$B82)&gt;0,MIN(1-'Exercise list'!O$2,IF($A82=$A81,AU81,1))-Z82&lt;0),-1,MIN(1,IF($A82=$A81,AU81,1)-Z82+$D$2))</f>
        <v>1</v>
      </c>
      <c r="AV82">
        <f>IF(OR($J82=1,COUNTIFS($A$5:$A81,"&gt;="&amp;$A82-1,$A$5:$A81,"&lt;="&amp;$A82,$B$5:$B81,$B82)&gt;0,MIN(1-'Exercise list'!P$2,IF($A82=$A81,AV81,1))-AA82&lt;0),-1,MIN(1,IF($A82=$A81,AV81,1)-AA82+$D$2))</f>
        <v>1</v>
      </c>
      <c r="AW82">
        <f>IF(OR($J82=1,COUNTIFS($A$5:$A81,"&gt;="&amp;$A82-1,$A$5:$A81,"&lt;="&amp;$A82,$B$5:$B81,$B82)&gt;0,MIN(1-'Exercise list'!Q$2,IF($A82=$A81,AW81,1))-AB82&lt;0),-1,MIN(1,IF($A82=$A81,AW81,1)-AB82+$D$2))</f>
        <v>1</v>
      </c>
      <c r="AX82">
        <f>IF(OR($J82=1,COUNTIFS($A$5:$A81,"&gt;="&amp;$A82-1,$A$5:$A81,"&lt;="&amp;$A82,$B$5:$B81,$B82)&gt;0,MIN(1-'Exercise list'!R$2,IF($A82=$A81,AX81,1))-AC82&lt;0),-1,MIN(1,IF($A82=$A81,AX81,1)-AC82+$D$2))</f>
        <v>1</v>
      </c>
      <c r="AY82">
        <f>IF(OR($J82=1,COUNTIFS($A$5:$A81,"&gt;="&amp;$A82-1,$A$5:$A81,"&lt;="&amp;$A82,$B$5:$B81,$B82)&gt;0,MIN(1-'Exercise list'!S$2,IF($A82=$A81,AY81,1))-AD82&lt;0),-1,MIN(1,IF($A82=$A81,AY81,1)-AD82+$D$2))</f>
        <v>1</v>
      </c>
      <c r="AZ82">
        <f>IF(OR($J82=1,COUNTIFS($A$5:$A81,"&gt;="&amp;$A82-1,$A$5:$A81,"&lt;="&amp;$A82,$B$5:$B81,$B82)&gt;0,MIN(1-'Exercise list'!T$2,IF($A82=$A81,AZ81,1))-AE82&lt;0),-1,MIN(1,IF($A82=$A81,AZ81,1)-AE82+$D$2))</f>
        <v>1</v>
      </c>
      <c r="BA82">
        <f>IF(OR($J82=1,COUNTIFS($A$5:$A81,"&gt;="&amp;$A82-1,$A$5:$A81,"&lt;="&amp;$A82,$B$5:$B81,$B82)&gt;0,MIN(1-'Exercise list'!U$2,IF($A82=$A81,BA81,1))-AF82&lt;0),-1,MIN(1,IF($A82=$A81,BA81,1)-AF82+$D$2))</f>
        <v>1</v>
      </c>
      <c r="BB82">
        <f>IF(OR($J82=1,COUNTIFS($A$5:$A81,"&gt;="&amp;$A82-1,$A$5:$A81,"&lt;="&amp;$A82,$B$5:$B81,$B82)&gt;0,MIN(1-'Exercise list'!V$2,IF($A82=$A81,BB81,1))-AG82&lt;0),-1,MIN(1,IF($A82=$A81,BB81,1)-AG82+$D$2))</f>
        <v>1</v>
      </c>
      <c r="BC82">
        <f>IF(OR($J82=1,COUNTIFS($A$5:$A81,"&gt;="&amp;$A82-1,$A$5:$A81,"&lt;="&amp;$A82,$B$5:$B81,$B82)&gt;0,MIN(1-'Exercise list'!W$2,IF($A82=$A81,BC81,1))-AH82&lt;0),-1,MIN(1,IF($A82=$A81,BC81,1)-AH82+$D$2))</f>
        <v>1</v>
      </c>
      <c r="BD82">
        <f>IF(OR($J82=1,COUNTIFS($A$5:$A81,"&gt;="&amp;$A82-1,$A$5:$A81,"&lt;="&amp;$A82,$B$5:$B81,$B82)&gt;0,MIN(1-'Exercise list'!X$2,IF($A82=$A81,BD81,1))-AI82&lt;0),-1,MIN(1,IF($A82=$A81,BD81,1)-AI82+$D$2))</f>
        <v>1</v>
      </c>
      <c r="BF82" s="16">
        <f t="shared" si="76"/>
        <v>0.16354855715030892</v>
      </c>
      <c r="BG82" s="16">
        <f t="shared" si="77"/>
        <v>0.18425586181872522</v>
      </c>
      <c r="BH82" s="16">
        <f t="shared" si="78"/>
        <v>0.14802605173233654</v>
      </c>
      <c r="BI82" s="16">
        <f t="shared" si="79"/>
        <v>0.17580947080669032</v>
      </c>
      <c r="BJ82" s="16">
        <f t="shared" si="80"/>
        <v>0.22032465689851449</v>
      </c>
      <c r="BK82" s="16">
        <f t="shared" si="81"/>
        <v>0.14528885929911517</v>
      </c>
      <c r="BL82" s="16">
        <f t="shared" si="82"/>
        <v>0.16861662448211251</v>
      </c>
      <c r="BM82" s="16">
        <f t="shared" si="83"/>
        <v>6.1756525968421398E-2</v>
      </c>
      <c r="BN82" s="16">
        <f t="shared" si="84"/>
        <v>0.10127373543748323</v>
      </c>
      <c r="BO82" s="16">
        <f t="shared" si="85"/>
        <v>0.1914479035099716</v>
      </c>
      <c r="BP82" s="16">
        <f t="shared" si="86"/>
        <v>0.31086319966582393</v>
      </c>
      <c r="BQ82" s="16">
        <f t="shared" si="87"/>
        <v>2.8891125355464904E-2</v>
      </c>
      <c r="BR82" s="16">
        <f t="shared" si="88"/>
        <v>0.12993060435192547</v>
      </c>
      <c r="BS82" s="16">
        <f t="shared" si="89"/>
        <v>1.723631301872099E-2</v>
      </c>
      <c r="BT82" s="16">
        <f t="shared" si="90"/>
        <v>0.18304988111209902</v>
      </c>
      <c r="BU82" s="16">
        <f t="shared" si="91"/>
        <v>0.21126688889948481</v>
      </c>
      <c r="BV82" s="16">
        <f t="shared" si="92"/>
        <v>0.25693002370844503</v>
      </c>
      <c r="BW82" s="16">
        <f t="shared" si="93"/>
        <v>7.8523911534569946E-2</v>
      </c>
      <c r="BX82" s="16">
        <f t="shared" si="94"/>
        <v>8.0462838490172314E-2</v>
      </c>
      <c r="BY82" s="16">
        <f t="shared" si="95"/>
        <v>1.5952378383665883E-2</v>
      </c>
      <c r="CA82" s="16">
        <f t="shared" si="56"/>
        <v>4.9299991858880121E-2</v>
      </c>
      <c r="CB82" s="16">
        <f t="shared" si="57"/>
        <v>2.8592687190463817E-2</v>
      </c>
      <c r="CC82" s="16">
        <f t="shared" si="58"/>
        <v>0</v>
      </c>
      <c r="CD82" s="16">
        <f t="shared" si="59"/>
        <v>0</v>
      </c>
      <c r="CE82" s="16">
        <f t="shared" si="60"/>
        <v>0</v>
      </c>
      <c r="CF82" s="16">
        <f t="shared" si="61"/>
        <v>0.17398396421466839</v>
      </c>
      <c r="CG82" s="16">
        <f t="shared" si="62"/>
        <v>0</v>
      </c>
      <c r="CH82" s="16">
        <f t="shared" si="63"/>
        <v>4.466774853617312E-2</v>
      </c>
      <c r="CI82" s="16">
        <f t="shared" si="64"/>
        <v>0.1115748135717058</v>
      </c>
      <c r="CJ82" s="16">
        <f t="shared" si="65"/>
        <v>0</v>
      </c>
      <c r="CK82" s="16">
        <f t="shared" si="66"/>
        <v>0</v>
      </c>
      <c r="CL82" s="16">
        <f t="shared" si="67"/>
        <v>7.7533149149129621E-2</v>
      </c>
      <c r="CM82" s="16">
        <f t="shared" si="68"/>
        <v>8.291794465726357E-2</v>
      </c>
      <c r="CN82" s="16">
        <f t="shared" si="69"/>
        <v>8.9187961485873532E-2</v>
      </c>
      <c r="CO82" s="16">
        <f t="shared" si="70"/>
        <v>0</v>
      </c>
      <c r="CP82" s="16">
        <f t="shared" si="71"/>
        <v>0</v>
      </c>
      <c r="CQ82" s="16">
        <f t="shared" si="72"/>
        <v>0</v>
      </c>
      <c r="CR82" s="16">
        <f t="shared" si="73"/>
        <v>2.7900362970024573E-2</v>
      </c>
      <c r="CS82" s="16">
        <f t="shared" si="74"/>
        <v>2.5961436014422204E-2</v>
      </c>
      <c r="CT82" s="16">
        <f t="shared" si="75"/>
        <v>9.0471896120928638E-2</v>
      </c>
    </row>
    <row r="83" spans="1:99" x14ac:dyDescent="0.25">
      <c r="A83" s="13">
        <v>45072</v>
      </c>
      <c r="B83" s="14">
        <v>11</v>
      </c>
      <c r="C83" s="15" t="str" cm="1">
        <f t="array" ref="C83">IF(B83="","",INDEX('Exercise list'!$C$5:$C$102,B83))</f>
        <v>Chin-ups</v>
      </c>
      <c r="D83" s="12">
        <f t="shared" si="52"/>
        <v>1</v>
      </c>
      <c r="E83" s="32">
        <f t="shared" si="53"/>
        <v>1.5119506452364797</v>
      </c>
      <c r="F83" s="63" cm="1">
        <f t="array" ref="F83">IF(B83="","",0.1+IFERROR(INDEX($F$6:$F82,SUMPRODUCT(MAX(ROW($C$6:$C82)*($C83=$C$6:$C82))-ROW($A$5)))*0.9^($A83-INDEX($A$6:A82,SUMPRODUCT(MAX(ROW($C$6:$C82)*($C83=$C$6:$C82))-ROW($A$5)))),0))</f>
        <v>0.14702550946905696</v>
      </c>
      <c r="G83" s="64">
        <f>INDEX('Exercise list'!$Y$5:$Y$102,MATCH(C83,'Exercise list'!$C$5:$C$102,0))</f>
        <v>3</v>
      </c>
      <c r="H83" s="115">
        <f t="shared" si="54"/>
        <v>6.3483274186615216E-2</v>
      </c>
      <c r="I83" s="6">
        <f t="shared" si="55"/>
        <v>4</v>
      </c>
      <c r="J83" s="6" cm="1">
        <f t="array" ref="J83">IF(B83="","",INDEX('Exercise list'!$D$5:$D$102,B83))</f>
        <v>0</v>
      </c>
      <c r="K83" s="12">
        <v>11</v>
      </c>
      <c r="L83" s="74" t="str" cm="1">
        <f t="array" ref="L83">IF(K83="","",INDEX('Exercise list'!$C$5:$C$102,K83))</f>
        <v>Chin-ups</v>
      </c>
      <c r="M83" s="6">
        <v>36</v>
      </c>
      <c r="N83" s="75" t="str" cm="1">
        <f t="array" ref="N83">IF(M83="","",INDEX('Exercise list'!$C$5:$C$102,M83))</f>
        <v>Barbell hip thrusts</v>
      </c>
      <c r="P83">
        <f>IFERROR(INDEX('Exercise list'!$E$5:$X$102,MATCH($C83,'Exercise list'!$C$5:$C$102,0),MATCH(P$5,'Exercise list'!$E$4:$X$4,0)),0)</f>
        <v>0</v>
      </c>
      <c r="Q83">
        <f>IFERROR(INDEX('Exercise list'!$E$5:$X$102,MATCH($C83,'Exercise list'!$C$5:$C$102,0),MATCH(Q$5,'Exercise list'!$E$4:$X$4,0)),0)</f>
        <v>1</v>
      </c>
      <c r="R83">
        <f>IFERROR(INDEX('Exercise list'!$E$5:$X$102,MATCH($C83,'Exercise list'!$C$5:$C$102,0),MATCH(R$5,'Exercise list'!$E$4:$X$4,0)),0)</f>
        <v>0.5</v>
      </c>
      <c r="S83">
        <f>IFERROR(INDEX('Exercise list'!$E$5:$X$102,MATCH($C83,'Exercise list'!$C$5:$C$102,0),MATCH(S$5,'Exercise list'!$E$4:$X$4,0)),0)</f>
        <v>0.5</v>
      </c>
      <c r="T83">
        <f>IFERROR(INDEX('Exercise list'!$E$5:$X$102,MATCH($C83,'Exercise list'!$C$5:$C$102,0),MATCH(T$5,'Exercise list'!$E$4:$X$4,0)),0)</f>
        <v>0</v>
      </c>
      <c r="U83">
        <f>IFERROR(INDEX('Exercise list'!$E$5:$X$102,MATCH($C83,'Exercise list'!$C$5:$C$102,0),MATCH(U$5,'Exercise list'!$E$4:$X$4,0)),0)</f>
        <v>0</v>
      </c>
      <c r="V83">
        <f>IFERROR(INDEX('Exercise list'!$E$5:$X$102,MATCH($C83,'Exercise list'!$C$5:$C$102,0),MATCH(V$5,'Exercise list'!$E$4:$X$4,0)),0)</f>
        <v>0</v>
      </c>
      <c r="W83">
        <f>IFERROR(INDEX('Exercise list'!$E$5:$X$102,MATCH($C83,'Exercise list'!$C$5:$C$102,0),MATCH(W$5,'Exercise list'!$E$4:$X$4,0)),0)</f>
        <v>0</v>
      </c>
      <c r="X83">
        <f>IFERROR(INDEX('Exercise list'!$E$5:$X$102,MATCH($C83,'Exercise list'!$C$5:$C$102,0),MATCH(X$5,'Exercise list'!$E$4:$X$4,0)),0)</f>
        <v>0.8</v>
      </c>
      <c r="Y83">
        <f>IFERROR(INDEX('Exercise list'!$E$5:$X$102,MATCH($C83,'Exercise list'!$C$5:$C$102,0),MATCH(Y$5,'Exercise list'!$E$4:$X$4,0)),0)</f>
        <v>0</v>
      </c>
      <c r="Z83">
        <f>IFERROR(INDEX('Exercise list'!$E$5:$X$102,MATCH($C83,'Exercise list'!$C$5:$C$102,0),MATCH(Z$5,'Exercise list'!$E$4:$X$4,0)),0)</f>
        <v>0.8</v>
      </c>
      <c r="AA83">
        <f>IFERROR(INDEX('Exercise list'!$E$5:$X$102,MATCH($C83,'Exercise list'!$C$5:$C$102,0),MATCH(AA$5,'Exercise list'!$E$4:$X$4,0)),0)</f>
        <v>0</v>
      </c>
      <c r="AB83">
        <f>IFERROR(INDEX('Exercise list'!$E$5:$X$102,MATCH($C83,'Exercise list'!$C$5:$C$102,0),MATCH(AB$5,'Exercise list'!$E$4:$X$4,0)),0)</f>
        <v>0</v>
      </c>
      <c r="AC83">
        <f>IFERROR(INDEX('Exercise list'!$E$5:$X$102,MATCH($C83,'Exercise list'!$C$5:$C$102,0),MATCH(AC$5,'Exercise list'!$E$4:$X$4,0)),0)</f>
        <v>0</v>
      </c>
      <c r="AD83">
        <f>IFERROR(INDEX('Exercise list'!$E$5:$X$102,MATCH($C83,'Exercise list'!$C$5:$C$102,0),MATCH(AD$5,'Exercise list'!$E$4:$X$4,0)),0)</f>
        <v>0</v>
      </c>
      <c r="AE83">
        <f>IFERROR(INDEX('Exercise list'!$E$5:$X$102,MATCH($C83,'Exercise list'!$C$5:$C$102,0),MATCH(AE$5,'Exercise list'!$E$4:$X$4,0)),0)</f>
        <v>0</v>
      </c>
      <c r="AF83">
        <f>IFERROR(INDEX('Exercise list'!$E$5:$X$102,MATCH($C83,'Exercise list'!$C$5:$C$102,0),MATCH(AF$5,'Exercise list'!$E$4:$X$4,0)),0)</f>
        <v>0</v>
      </c>
      <c r="AG83">
        <f>IFERROR(INDEX('Exercise list'!$E$5:$X$102,MATCH($C83,'Exercise list'!$C$5:$C$102,0),MATCH(AG$5,'Exercise list'!$E$4:$X$4,0)),0)</f>
        <v>0</v>
      </c>
      <c r="AH83">
        <f>IFERROR(INDEX('Exercise list'!$E$5:$X$102,MATCH($C83,'Exercise list'!$C$5:$C$102,0),MATCH(AH$5,'Exercise list'!$E$4:$X$4,0)),0)</f>
        <v>0</v>
      </c>
      <c r="AI83">
        <f>IFERROR(INDEX('Exercise list'!$E$5:$X$102,MATCH($C83,'Exercise list'!$C$5:$C$102,0),MATCH(AI$5,'Exercise list'!$E$4:$X$4,0)),0)</f>
        <v>0</v>
      </c>
      <c r="AK83">
        <f>IF(OR($J83=1,COUNTIFS($A$5:$A82,"&gt;="&amp;$A83-1,$A$5:$A82,"&lt;="&amp;$A83,$B$5:$B82,$B83)&gt;0,MIN(1-'Exercise list'!E$2,IF($A83=$A82,AK82,1))-P83&lt;0),-1,MIN(1,IF($A83=$A82,AK82,1)-P83+$D$2))</f>
        <v>1</v>
      </c>
      <c r="AL83">
        <f>IF(OR($J83=1,COUNTIFS($A$5:$A82,"&gt;="&amp;$A83-1,$A$5:$A82,"&lt;="&amp;$A83,$B$5:$B82,$B83)&gt;0,MIN(1-'Exercise list'!F$2,IF($A83=$A82,AL82,1))-Q83&lt;0),-1,MIN(1,IF($A83=$A82,AL82,1)-Q83+$D$2))</f>
        <v>1</v>
      </c>
      <c r="AM83">
        <f>IF(OR($J83=1,COUNTIFS($A$5:$A82,"&gt;="&amp;$A83-1,$A$5:$A82,"&lt;="&amp;$A83,$B$5:$B82,$B83)&gt;0,MIN(1-'Exercise list'!G$2,IF($A83=$A82,AM82,1))-R83&lt;0),-1,MIN(1,IF($A83=$A82,AM82,1)-R83+$D$2))</f>
        <v>1</v>
      </c>
      <c r="AN83">
        <f>IF(OR($J83=1,COUNTIFS($A$5:$A82,"&gt;="&amp;$A83-1,$A$5:$A82,"&lt;="&amp;$A83,$B$5:$B82,$B83)&gt;0,MIN(1-'Exercise list'!H$2,IF($A83=$A82,AN82,1))-S83&lt;0),-1,MIN(1,IF($A83=$A82,AN82,1)-S83+$D$2))</f>
        <v>1</v>
      </c>
      <c r="AO83">
        <f>IF(OR($J83=1,COUNTIFS($A$5:$A82,"&gt;="&amp;$A83-1,$A$5:$A82,"&lt;="&amp;$A83,$B$5:$B82,$B83)&gt;0,MIN(1-'Exercise list'!I$2,IF($A83=$A82,AO82,1))-T83&lt;0),-1,MIN(1,IF($A83=$A82,AO82,1)-T83+$D$2))</f>
        <v>1</v>
      </c>
      <c r="AP83">
        <f>IF(OR($J83=1,COUNTIFS($A$5:$A82,"&gt;="&amp;$A83-1,$A$5:$A82,"&lt;="&amp;$A83,$B$5:$B82,$B83)&gt;0,MIN(1-'Exercise list'!J$2,IF($A83=$A82,AP82,1))-U83&lt;0),-1,MIN(1,IF($A83=$A82,AP82,1)-U83+$D$2))</f>
        <v>1</v>
      </c>
      <c r="AQ83">
        <f>IF(OR($J83=1,COUNTIFS($A$5:$A82,"&gt;="&amp;$A83-1,$A$5:$A82,"&lt;="&amp;$A83,$B$5:$B82,$B83)&gt;0,MIN(1-'Exercise list'!K$2,IF($A83=$A82,AQ82,1))-V83&lt;0),-1,MIN(1,IF($A83=$A82,AQ82,1)-V83+$D$2))</f>
        <v>1</v>
      </c>
      <c r="AR83">
        <f>IF(OR($J83=1,COUNTIFS($A$5:$A82,"&gt;="&amp;$A83-1,$A$5:$A82,"&lt;="&amp;$A83,$B$5:$B82,$B83)&gt;0,MIN(1-'Exercise list'!L$2,IF($A83=$A82,AR82,1))-W83&lt;0),-1,MIN(1,IF($A83=$A82,AR82,1)-W83+$D$2))</f>
        <v>1</v>
      </c>
      <c r="AS83">
        <f>IF(OR($J83=1,COUNTIFS($A$5:$A82,"&gt;="&amp;$A83-1,$A$5:$A82,"&lt;="&amp;$A83,$B$5:$B82,$B83)&gt;0,MIN(1-'Exercise list'!M$2,IF($A83=$A82,AS82,1))-X83&lt;0),-1,MIN(1,IF($A83=$A82,AS82,1)-X83+$D$2))</f>
        <v>1</v>
      </c>
      <c r="AT83">
        <f>IF(OR($J83=1,COUNTIFS($A$5:$A82,"&gt;="&amp;$A83-1,$A$5:$A82,"&lt;="&amp;$A83,$B$5:$B82,$B83)&gt;0,MIN(1-'Exercise list'!N$2,IF($A83=$A82,AT82,1))-Y83&lt;0),-1,MIN(1,IF($A83=$A82,AT82,1)-Y83+$D$2))</f>
        <v>1</v>
      </c>
      <c r="AU83">
        <f>IF(OR($J83=1,COUNTIFS($A$5:$A82,"&gt;="&amp;$A83-1,$A$5:$A82,"&lt;="&amp;$A83,$B$5:$B82,$B83)&gt;0,MIN(1-'Exercise list'!O$2,IF($A83=$A82,AU82,1))-Z83&lt;0),-1,MIN(1,IF($A83=$A82,AU82,1)-Z83+$D$2))</f>
        <v>1</v>
      </c>
      <c r="AV83">
        <f>IF(OR($J83=1,COUNTIFS($A$5:$A82,"&gt;="&amp;$A83-1,$A$5:$A82,"&lt;="&amp;$A83,$B$5:$B82,$B83)&gt;0,MIN(1-'Exercise list'!P$2,IF($A83=$A82,AV82,1))-AA83&lt;0),-1,MIN(1,IF($A83=$A82,AV82,1)-AA83+$D$2))</f>
        <v>1</v>
      </c>
      <c r="AW83">
        <f>IF(OR($J83=1,COUNTIFS($A$5:$A82,"&gt;="&amp;$A83-1,$A$5:$A82,"&lt;="&amp;$A83,$B$5:$B82,$B83)&gt;0,MIN(1-'Exercise list'!Q$2,IF($A83=$A82,AW82,1))-AB83&lt;0),-1,MIN(1,IF($A83=$A82,AW82,1)-AB83+$D$2))</f>
        <v>1</v>
      </c>
      <c r="AX83">
        <f>IF(OR($J83=1,COUNTIFS($A$5:$A82,"&gt;="&amp;$A83-1,$A$5:$A82,"&lt;="&amp;$A83,$B$5:$B82,$B83)&gt;0,MIN(1-'Exercise list'!R$2,IF($A83=$A82,AX82,1))-AC83&lt;0),-1,MIN(1,IF($A83=$A82,AX82,1)-AC83+$D$2))</f>
        <v>1</v>
      </c>
      <c r="AY83">
        <f>IF(OR($J83=1,COUNTIFS($A$5:$A82,"&gt;="&amp;$A83-1,$A$5:$A82,"&lt;="&amp;$A83,$B$5:$B82,$B83)&gt;0,MIN(1-'Exercise list'!S$2,IF($A83=$A82,AY82,1))-AD83&lt;0),-1,MIN(1,IF($A83=$A82,AY82,1)-AD83+$D$2))</f>
        <v>1</v>
      </c>
      <c r="AZ83">
        <f>IF(OR($J83=1,COUNTIFS($A$5:$A82,"&gt;="&amp;$A83-1,$A$5:$A82,"&lt;="&amp;$A83,$B$5:$B82,$B83)&gt;0,MIN(1-'Exercise list'!T$2,IF($A83=$A82,AZ82,1))-AE83&lt;0),-1,MIN(1,IF($A83=$A82,AZ82,1)-AE83+$D$2))</f>
        <v>1</v>
      </c>
      <c r="BA83">
        <f>IF(OR($J83=1,COUNTIFS($A$5:$A82,"&gt;="&amp;$A83-1,$A$5:$A82,"&lt;="&amp;$A83,$B$5:$B82,$B83)&gt;0,MIN(1-'Exercise list'!U$2,IF($A83=$A82,BA82,1))-AF83&lt;0),-1,MIN(1,IF($A83=$A82,BA82,1)-AF83+$D$2))</f>
        <v>1</v>
      </c>
      <c r="BB83">
        <f>IF(OR($J83=1,COUNTIFS($A$5:$A82,"&gt;="&amp;$A83-1,$A$5:$A82,"&lt;="&amp;$A83,$B$5:$B82,$B83)&gt;0,MIN(1-'Exercise list'!V$2,IF($A83=$A82,BB82,1))-AG83&lt;0),-1,MIN(1,IF($A83=$A82,BB82,1)-AG83+$D$2))</f>
        <v>1</v>
      </c>
      <c r="BC83">
        <f>IF(OR($J83=1,COUNTIFS($A$5:$A82,"&gt;="&amp;$A83-1,$A$5:$A82,"&lt;="&amp;$A83,$B$5:$B82,$B83)&gt;0,MIN(1-'Exercise list'!W$2,IF($A83=$A82,BC82,1))-AH83&lt;0),-1,MIN(1,IF($A83=$A82,BC82,1)-AH83+$D$2))</f>
        <v>1</v>
      </c>
      <c r="BD83">
        <f>IF(OR($J83=1,COUNTIFS($A$5:$A82,"&gt;="&amp;$A83-1,$A$5:$A82,"&lt;="&amp;$A83,$B$5:$B82,$B83)&gt;0,MIN(1-'Exercise list'!X$2,IF($A83=$A82,BD82,1))-AI83&lt;0),-1,MIN(1,IF($A83=$A82,BD82,1)-AI83+$D$2))</f>
        <v>1</v>
      </c>
      <c r="BF83" s="16">
        <f t="shared" si="76"/>
        <v>0.15537112929279345</v>
      </c>
      <c r="BG83" s="16">
        <f t="shared" si="77"/>
        <v>0.22504306872778895</v>
      </c>
      <c r="BH83" s="16">
        <f t="shared" si="78"/>
        <v>0.1656247491457197</v>
      </c>
      <c r="BI83" s="16">
        <f t="shared" si="79"/>
        <v>0.1920189972663558</v>
      </c>
      <c r="BJ83" s="16">
        <f t="shared" si="80"/>
        <v>0.20930842405358877</v>
      </c>
      <c r="BK83" s="16">
        <f t="shared" si="81"/>
        <v>0.13802441633415941</v>
      </c>
      <c r="BL83" s="16">
        <f t="shared" si="82"/>
        <v>0.16018579325800689</v>
      </c>
      <c r="BM83" s="16">
        <f t="shared" si="83"/>
        <v>5.8668699670000324E-2</v>
      </c>
      <c r="BN83" s="16">
        <f t="shared" si="84"/>
        <v>0.1362100486656091</v>
      </c>
      <c r="BO83" s="16">
        <f t="shared" si="85"/>
        <v>0.181875508334473</v>
      </c>
      <c r="BP83" s="16">
        <f t="shared" si="86"/>
        <v>0.33532003968253277</v>
      </c>
      <c r="BQ83" s="16">
        <f t="shared" si="87"/>
        <v>2.7446569087691657E-2</v>
      </c>
      <c r="BR83" s="16">
        <f t="shared" si="88"/>
        <v>0.12343407413432919</v>
      </c>
      <c r="BS83" s="16">
        <f t="shared" si="89"/>
        <v>1.637449736778494E-2</v>
      </c>
      <c r="BT83" s="16">
        <f t="shared" si="90"/>
        <v>0.17389738705649407</v>
      </c>
      <c r="BU83" s="16">
        <f t="shared" si="91"/>
        <v>0.20070354445451055</v>
      </c>
      <c r="BV83" s="16">
        <f t="shared" si="92"/>
        <v>0.24408352252302276</v>
      </c>
      <c r="BW83" s="16">
        <f t="shared" si="93"/>
        <v>7.459771595784144E-2</v>
      </c>
      <c r="BX83" s="16">
        <f t="shared" si="94"/>
        <v>7.6439696565663698E-2</v>
      </c>
      <c r="BY83" s="16">
        <f t="shared" si="95"/>
        <v>1.5154759464482588E-2</v>
      </c>
      <c r="CA83" s="16">
        <f t="shared" si="56"/>
        <v>6.0168325599269462E-2</v>
      </c>
      <c r="CB83" s="16">
        <f t="shared" si="57"/>
        <v>0</v>
      </c>
      <c r="CC83" s="16">
        <f t="shared" si="58"/>
        <v>0</v>
      </c>
      <c r="CD83" s="16">
        <f t="shared" si="59"/>
        <v>0</v>
      </c>
      <c r="CE83" s="16">
        <f t="shared" si="60"/>
        <v>0</v>
      </c>
      <c r="CF83" s="16">
        <f t="shared" si="61"/>
        <v>0.18528476600393495</v>
      </c>
      <c r="CG83" s="16">
        <f t="shared" si="62"/>
        <v>0</v>
      </c>
      <c r="CH83" s="16">
        <f t="shared" si="63"/>
        <v>4.9101027776031134E-2</v>
      </c>
      <c r="CI83" s="16">
        <f t="shared" si="64"/>
        <v>7.9329406226453819E-2</v>
      </c>
      <c r="CJ83" s="16">
        <f t="shared" si="65"/>
        <v>0</v>
      </c>
      <c r="CK83" s="16">
        <f t="shared" si="66"/>
        <v>0</v>
      </c>
      <c r="CL83" s="16">
        <f t="shared" si="67"/>
        <v>8.0323158358339808E-2</v>
      </c>
      <c r="CM83" s="16">
        <f t="shared" si="68"/>
        <v>9.2105380757733724E-2</v>
      </c>
      <c r="CN83" s="16">
        <f t="shared" si="69"/>
        <v>9.1395230078246514E-2</v>
      </c>
      <c r="CO83" s="16">
        <f t="shared" si="70"/>
        <v>0</v>
      </c>
      <c r="CP83" s="16">
        <f t="shared" si="71"/>
        <v>0</v>
      </c>
      <c r="CQ83" s="16">
        <f t="shared" si="72"/>
        <v>0</v>
      </c>
      <c r="CR83" s="16">
        <f t="shared" si="73"/>
        <v>3.3172011488190017E-2</v>
      </c>
      <c r="CS83" s="16">
        <f t="shared" si="74"/>
        <v>3.133003088036776E-2</v>
      </c>
      <c r="CT83" s="16">
        <f t="shared" si="75"/>
        <v>9.2614967981548862E-2</v>
      </c>
    </row>
    <row r="84" spans="1:99" x14ac:dyDescent="0.25">
      <c r="A84" s="20">
        <v>45072</v>
      </c>
      <c r="B84" s="21">
        <v>4</v>
      </c>
      <c r="C84" s="22" t="str" cm="1">
        <f t="array" ref="C84">IF(B84="","",INDEX('Exercise list'!$C$5:$C$102,B84))</f>
        <v>Stair climbing machine</v>
      </c>
      <c r="D84" s="17">
        <f t="shared" si="52"/>
        <v>1</v>
      </c>
      <c r="E84" s="33">
        <f t="shared" si="53"/>
        <v>1.8686316515729047</v>
      </c>
      <c r="F84" s="65" cm="1">
        <f t="array" ref="F84">IF(B84="","",0.1+IFERROR(INDEX($F$6:$F83,SUMPRODUCT(MAX(ROW($C$6:$C83)*($C84=$C$6:$C83))-ROW($A$5)))*0.9^($A84-INDEX($A$6:A83,SUMPRODUCT(MAX(ROW($C$6:$C83)*($C84=$C$6:$C83))-ROW($A$5)))),0))</f>
        <v>0.12058911320946492</v>
      </c>
      <c r="G84" s="25">
        <f>INDEX('Exercise list'!$Y$5:$Y$102,MATCH(C84,'Exercise list'!$C$5:$C$102,0))</f>
        <v>3</v>
      </c>
      <c r="H84" s="116">
        <f t="shared" si="54"/>
        <v>6.3483274186615216E-2</v>
      </c>
      <c r="I84" s="18">
        <f t="shared" si="55"/>
        <v>5</v>
      </c>
      <c r="J84" s="18" cm="1">
        <f t="array" ref="J84">IF(B84="","",INDEX('Exercise list'!$D$5:$D$102,B84))</f>
        <v>0</v>
      </c>
      <c r="K84" s="17">
        <v>5</v>
      </c>
      <c r="L84" s="51" t="str" cm="1">
        <f t="array" ref="L84">IF(K84="","",INDEX('Exercise list'!$C$5:$C$102,K84))</f>
        <v>Treadmill running</v>
      </c>
      <c r="M84" s="18">
        <v>2</v>
      </c>
      <c r="N84" s="76" t="str" cm="1">
        <f t="array" ref="N84">IF(M84="","",INDEX('Exercise list'!$C$5:$C$102,M84))</f>
        <v>Lateral elliptical machine</v>
      </c>
      <c r="O84" s="19"/>
      <c r="P84" s="19">
        <f>IFERROR(INDEX('Exercise list'!$E$5:$X$102,MATCH($C84,'Exercise list'!$C$5:$C$102,0),MATCH(P$5,'Exercise list'!$E$4:$X$4,0)),0)</f>
        <v>0</v>
      </c>
      <c r="Q84" s="19">
        <f>IFERROR(INDEX('Exercise list'!$E$5:$X$102,MATCH($C84,'Exercise list'!$C$5:$C$102,0),MATCH(Q$5,'Exercise list'!$E$4:$X$4,0)),0)</f>
        <v>0</v>
      </c>
      <c r="R84" s="19">
        <f>IFERROR(INDEX('Exercise list'!$E$5:$X$102,MATCH($C84,'Exercise list'!$C$5:$C$102,0),MATCH(R$5,'Exercise list'!$E$4:$X$4,0)),0)</f>
        <v>0</v>
      </c>
      <c r="S84" s="19">
        <f>IFERROR(INDEX('Exercise list'!$E$5:$X$102,MATCH($C84,'Exercise list'!$C$5:$C$102,0),MATCH(S$5,'Exercise list'!$E$4:$X$4,0)),0)</f>
        <v>0</v>
      </c>
      <c r="T84" s="19">
        <f>IFERROR(INDEX('Exercise list'!$E$5:$X$102,MATCH($C84,'Exercise list'!$C$5:$C$102,0),MATCH(T$5,'Exercise list'!$E$4:$X$4,0)),0)</f>
        <v>0</v>
      </c>
      <c r="U84" s="19">
        <f>IFERROR(INDEX('Exercise list'!$E$5:$X$102,MATCH($C84,'Exercise list'!$C$5:$C$102,0),MATCH(U$5,'Exercise list'!$E$4:$X$4,0)),0)</f>
        <v>0</v>
      </c>
      <c r="V84" s="19">
        <f>IFERROR(INDEX('Exercise list'!$E$5:$X$102,MATCH($C84,'Exercise list'!$C$5:$C$102,0),MATCH(V$5,'Exercise list'!$E$4:$X$4,0)),0)</f>
        <v>0</v>
      </c>
      <c r="W84" s="19">
        <f>IFERROR(INDEX('Exercise list'!$E$5:$X$102,MATCH($C84,'Exercise list'!$C$5:$C$102,0),MATCH(W$5,'Exercise list'!$E$4:$X$4,0)),0)</f>
        <v>0</v>
      </c>
      <c r="X84" s="19">
        <f>IFERROR(INDEX('Exercise list'!$E$5:$X$102,MATCH($C84,'Exercise list'!$C$5:$C$102,0),MATCH(X$5,'Exercise list'!$E$4:$X$4,0)),0)</f>
        <v>0</v>
      </c>
      <c r="Y84" s="19">
        <f>IFERROR(INDEX('Exercise list'!$E$5:$X$102,MATCH($C84,'Exercise list'!$C$5:$C$102,0),MATCH(Y$5,'Exercise list'!$E$4:$X$4,0)),0)</f>
        <v>0</v>
      </c>
      <c r="Z84" s="19">
        <f>IFERROR(INDEX('Exercise list'!$E$5:$X$102,MATCH($C84,'Exercise list'!$C$5:$C$102,0),MATCH(Z$5,'Exercise list'!$E$4:$X$4,0)),0)</f>
        <v>0</v>
      </c>
      <c r="AA84" s="19">
        <f>IFERROR(INDEX('Exercise list'!$E$5:$X$102,MATCH($C84,'Exercise list'!$C$5:$C$102,0),MATCH(AA$5,'Exercise list'!$E$4:$X$4,0)),0)</f>
        <v>0</v>
      </c>
      <c r="AB84" s="19">
        <f>IFERROR(INDEX('Exercise list'!$E$5:$X$102,MATCH($C84,'Exercise list'!$C$5:$C$102,0),MATCH(AB$5,'Exercise list'!$E$4:$X$4,0)),0)</f>
        <v>0</v>
      </c>
      <c r="AC84" s="19">
        <f>IFERROR(INDEX('Exercise list'!$E$5:$X$102,MATCH($C84,'Exercise list'!$C$5:$C$102,0),MATCH(AC$5,'Exercise list'!$E$4:$X$4,0)),0)</f>
        <v>0</v>
      </c>
      <c r="AD84" s="19">
        <f>IFERROR(INDEX('Exercise list'!$E$5:$X$102,MATCH($C84,'Exercise list'!$C$5:$C$102,0),MATCH(AD$5,'Exercise list'!$E$4:$X$4,0)),0)</f>
        <v>1</v>
      </c>
      <c r="AE84" s="19">
        <f>IFERROR(INDEX('Exercise list'!$E$5:$X$102,MATCH($C84,'Exercise list'!$C$5:$C$102,0),MATCH(AE$5,'Exercise list'!$E$4:$X$4,0)),0)</f>
        <v>0.7</v>
      </c>
      <c r="AF84" s="19">
        <f>IFERROR(INDEX('Exercise list'!$E$5:$X$102,MATCH($C84,'Exercise list'!$C$5:$C$102,0),MATCH(AF$5,'Exercise list'!$E$4:$X$4,0)),0)</f>
        <v>0.7</v>
      </c>
      <c r="AG84" s="19">
        <f>IFERROR(INDEX('Exercise list'!$E$5:$X$102,MATCH($C84,'Exercise list'!$C$5:$C$102,0),MATCH(AG$5,'Exercise list'!$E$4:$X$4,0)),0)</f>
        <v>1</v>
      </c>
      <c r="AH84" s="19">
        <f>IFERROR(INDEX('Exercise list'!$E$5:$X$102,MATCH($C84,'Exercise list'!$C$5:$C$102,0),MATCH(AH$5,'Exercise list'!$E$4:$X$4,0)),0)</f>
        <v>0.5</v>
      </c>
      <c r="AI84" s="19">
        <f>IFERROR(INDEX('Exercise list'!$E$5:$X$102,MATCH($C84,'Exercise list'!$C$5:$C$102,0),MATCH(AI$5,'Exercise list'!$E$4:$X$4,0)),0)</f>
        <v>0</v>
      </c>
      <c r="AJ84" s="19"/>
      <c r="AK84" s="19">
        <f>IF(OR($J84=1,COUNTIFS($A$5:$A83,"&gt;="&amp;$A84-1,$A$5:$A83,"&lt;="&amp;$A84,$B$5:$B83,$B84)&gt;0,MIN(1-'Exercise list'!E$2,IF($A84=$A83,AK83,1))-P84&lt;0),-1,MIN(1,IF($A84=$A83,AK83,1)-P84+$D$2))</f>
        <v>1</v>
      </c>
      <c r="AL84" s="19">
        <f>IF(OR($J84=1,COUNTIFS($A$5:$A83,"&gt;="&amp;$A84-1,$A$5:$A83,"&lt;="&amp;$A84,$B$5:$B83,$B84)&gt;0,MIN(1-'Exercise list'!F$2,IF($A84=$A83,AL83,1))-Q84&lt;0),-1,MIN(1,IF($A84=$A83,AL83,1)-Q84+$D$2))</f>
        <v>1</v>
      </c>
      <c r="AM84" s="19">
        <f>IF(OR($J84=1,COUNTIFS($A$5:$A83,"&gt;="&amp;$A84-1,$A$5:$A83,"&lt;="&amp;$A84,$B$5:$B83,$B84)&gt;0,MIN(1-'Exercise list'!G$2,IF($A84=$A83,AM83,1))-R84&lt;0),-1,MIN(1,IF($A84=$A83,AM83,1)-R84+$D$2))</f>
        <v>1</v>
      </c>
      <c r="AN84" s="19">
        <f>IF(OR($J84=1,COUNTIFS($A$5:$A83,"&gt;="&amp;$A84-1,$A$5:$A83,"&lt;="&amp;$A84,$B$5:$B83,$B84)&gt;0,MIN(1-'Exercise list'!H$2,IF($A84=$A83,AN83,1))-S84&lt;0),-1,MIN(1,IF($A84=$A83,AN83,1)-S84+$D$2))</f>
        <v>1</v>
      </c>
      <c r="AO84" s="19">
        <f>IF(OR($J84=1,COUNTIFS($A$5:$A83,"&gt;="&amp;$A84-1,$A$5:$A83,"&lt;="&amp;$A84,$B$5:$B83,$B84)&gt;0,MIN(1-'Exercise list'!I$2,IF($A84=$A83,AO83,1))-T84&lt;0),-1,MIN(1,IF($A84=$A83,AO83,1)-T84+$D$2))</f>
        <v>1</v>
      </c>
      <c r="AP84" s="19">
        <f>IF(OR($J84=1,COUNTIFS($A$5:$A83,"&gt;="&amp;$A84-1,$A$5:$A83,"&lt;="&amp;$A84,$B$5:$B83,$B84)&gt;0,MIN(1-'Exercise list'!J$2,IF($A84=$A83,AP83,1))-U84&lt;0),-1,MIN(1,IF($A84=$A83,AP83,1)-U84+$D$2))</f>
        <v>1</v>
      </c>
      <c r="AQ84" s="19">
        <f>IF(OR($J84=1,COUNTIFS($A$5:$A83,"&gt;="&amp;$A84-1,$A$5:$A83,"&lt;="&amp;$A84,$B$5:$B83,$B84)&gt;0,MIN(1-'Exercise list'!K$2,IF($A84=$A83,AQ83,1))-V84&lt;0),-1,MIN(1,IF($A84=$A83,AQ83,1)-V84+$D$2))</f>
        <v>1</v>
      </c>
      <c r="AR84" s="19">
        <f>IF(OR($J84=1,COUNTIFS($A$5:$A83,"&gt;="&amp;$A84-1,$A$5:$A83,"&lt;="&amp;$A84,$B$5:$B83,$B84)&gt;0,MIN(1-'Exercise list'!L$2,IF($A84=$A83,AR83,1))-W84&lt;0),-1,MIN(1,IF($A84=$A83,AR83,1)-W84+$D$2))</f>
        <v>1</v>
      </c>
      <c r="AS84" s="19">
        <f>IF(OR($J84=1,COUNTIFS($A$5:$A83,"&gt;="&amp;$A84-1,$A$5:$A83,"&lt;="&amp;$A84,$B$5:$B83,$B84)&gt;0,MIN(1-'Exercise list'!M$2,IF($A84=$A83,AS83,1))-X84&lt;0),-1,MIN(1,IF($A84=$A83,AS83,1)-X84+$D$2))</f>
        <v>1</v>
      </c>
      <c r="AT84" s="19">
        <f>IF(OR($J84=1,COUNTIFS($A$5:$A83,"&gt;="&amp;$A84-1,$A$5:$A83,"&lt;="&amp;$A84,$B$5:$B83,$B84)&gt;0,MIN(1-'Exercise list'!N$2,IF($A84=$A83,AT83,1))-Y84&lt;0),-1,MIN(1,IF($A84=$A83,AT83,1)-Y84+$D$2))</f>
        <v>1</v>
      </c>
      <c r="AU84" s="19">
        <f>IF(OR($J84=1,COUNTIFS($A$5:$A83,"&gt;="&amp;$A84-1,$A$5:$A83,"&lt;="&amp;$A84,$B$5:$B83,$B84)&gt;0,MIN(1-'Exercise list'!O$2,IF($A84=$A83,AU83,1))-Z84&lt;0),-1,MIN(1,IF($A84=$A83,AU83,1)-Z84+$D$2))</f>
        <v>1</v>
      </c>
      <c r="AV84" s="19">
        <f>IF(OR($J84=1,COUNTIFS($A$5:$A83,"&gt;="&amp;$A84-1,$A$5:$A83,"&lt;="&amp;$A84,$B$5:$B83,$B84)&gt;0,MIN(1-'Exercise list'!P$2,IF($A84=$A83,AV83,1))-AA84&lt;0),-1,MIN(1,IF($A84=$A83,AV83,1)-AA84+$D$2))</f>
        <v>1</v>
      </c>
      <c r="AW84" s="19">
        <f>IF(OR($J84=1,COUNTIFS($A$5:$A83,"&gt;="&amp;$A84-1,$A$5:$A83,"&lt;="&amp;$A84,$B$5:$B83,$B84)&gt;0,MIN(1-'Exercise list'!Q$2,IF($A84=$A83,AW83,1))-AB84&lt;0),-1,MIN(1,IF($A84=$A83,AW83,1)-AB84+$D$2))</f>
        <v>1</v>
      </c>
      <c r="AX84" s="19">
        <f>IF(OR($J84=1,COUNTIFS($A$5:$A83,"&gt;="&amp;$A84-1,$A$5:$A83,"&lt;="&amp;$A84,$B$5:$B83,$B84)&gt;0,MIN(1-'Exercise list'!R$2,IF($A84=$A83,AX83,1))-AC84&lt;0),-1,MIN(1,IF($A84=$A83,AX83,1)-AC84+$D$2))</f>
        <v>1</v>
      </c>
      <c r="AY84" s="19">
        <f>IF(OR($J84=1,COUNTIFS($A$5:$A83,"&gt;="&amp;$A84-1,$A$5:$A83,"&lt;="&amp;$A84,$B$5:$B83,$B84)&gt;0,MIN(1-'Exercise list'!S$2,IF($A84=$A83,AY83,1))-AD84&lt;0),-1,MIN(1,IF($A84=$A83,AY83,1)-AD84+$D$2))</f>
        <v>1</v>
      </c>
      <c r="AZ84" s="19">
        <f>IF(OR($J84=1,COUNTIFS($A$5:$A83,"&gt;="&amp;$A84-1,$A$5:$A83,"&lt;="&amp;$A84,$B$5:$B83,$B84)&gt;0,MIN(1-'Exercise list'!T$2,IF($A84=$A83,AZ83,1))-AE84&lt;0),-1,MIN(1,IF($A84=$A83,AZ83,1)-AE84+$D$2))</f>
        <v>1</v>
      </c>
      <c r="BA84" s="19">
        <f>IF(OR($J84=1,COUNTIFS($A$5:$A83,"&gt;="&amp;$A84-1,$A$5:$A83,"&lt;="&amp;$A84,$B$5:$B83,$B84)&gt;0,MIN(1-'Exercise list'!U$2,IF($A84=$A83,BA83,1))-AF84&lt;0),-1,MIN(1,IF($A84=$A83,BA83,1)-AF84+$D$2))</f>
        <v>1</v>
      </c>
      <c r="BB84" s="19">
        <f>IF(OR($J84=1,COUNTIFS($A$5:$A83,"&gt;="&amp;$A84-1,$A$5:$A83,"&lt;="&amp;$A84,$B$5:$B83,$B84)&gt;0,MIN(1-'Exercise list'!V$2,IF($A84=$A83,BB83,1))-AG84&lt;0),-1,MIN(1,IF($A84=$A83,BB83,1)-AG84+$D$2))</f>
        <v>1</v>
      </c>
      <c r="BC84" s="19">
        <f>IF(OR($J84=1,COUNTIFS($A$5:$A83,"&gt;="&amp;$A84-1,$A$5:$A83,"&lt;="&amp;$A84,$B$5:$B83,$B84)&gt;0,MIN(1-'Exercise list'!W$2,IF($A84=$A83,BC83,1))-AH84&lt;0),-1,MIN(1,IF($A84=$A83,BC83,1)-AH84+$D$2))</f>
        <v>1</v>
      </c>
      <c r="BD84" s="19">
        <f>IF(OR($J84=1,COUNTIFS($A$5:$A83,"&gt;="&amp;$A84-1,$A$5:$A83,"&lt;="&amp;$A84,$B$5:$B83,$B84)&gt;0,MIN(1-'Exercise list'!X$2,IF($A84=$A83,BD83,1))-AI84&lt;0),-1,MIN(1,IF($A84=$A83,BD83,1)-AI84+$D$2))</f>
        <v>1</v>
      </c>
      <c r="BE84" s="19"/>
      <c r="BF84" s="23">
        <f t="shared" si="76"/>
        <v>0.15537112929279345</v>
      </c>
      <c r="BG84" s="23">
        <f t="shared" si="77"/>
        <v>0.22504306872778895</v>
      </c>
      <c r="BH84" s="23">
        <f t="shared" si="78"/>
        <v>0.1656247491457197</v>
      </c>
      <c r="BI84" s="23">
        <f t="shared" si="79"/>
        <v>0.1920189972663558</v>
      </c>
      <c r="BJ84" s="23">
        <f t="shared" si="80"/>
        <v>0.20930842405358877</v>
      </c>
      <c r="BK84" s="23">
        <f t="shared" si="81"/>
        <v>0.13802441633415941</v>
      </c>
      <c r="BL84" s="23">
        <f t="shared" si="82"/>
        <v>0.16018579325800689</v>
      </c>
      <c r="BM84" s="23">
        <f t="shared" si="83"/>
        <v>5.8668699670000324E-2</v>
      </c>
      <c r="BN84" s="23">
        <f t="shared" si="84"/>
        <v>0.1362100486656091</v>
      </c>
      <c r="BO84" s="23">
        <f t="shared" si="85"/>
        <v>0.181875508334473</v>
      </c>
      <c r="BP84" s="23">
        <f t="shared" si="86"/>
        <v>0.33532003968253277</v>
      </c>
      <c r="BQ84" s="23">
        <f t="shared" si="87"/>
        <v>2.7446569087691657E-2</v>
      </c>
      <c r="BR84" s="23">
        <f t="shared" si="88"/>
        <v>0.12343407413432919</v>
      </c>
      <c r="BS84" s="23">
        <f t="shared" si="89"/>
        <v>1.637449736778494E-2</v>
      </c>
      <c r="BT84" s="23">
        <f t="shared" si="90"/>
        <v>0.17389738705649407</v>
      </c>
      <c r="BU84" s="23">
        <f t="shared" si="91"/>
        <v>0.20070354445451055</v>
      </c>
      <c r="BV84" s="23">
        <f t="shared" si="92"/>
        <v>0.24408352252302276</v>
      </c>
      <c r="BW84" s="23">
        <f t="shared" si="93"/>
        <v>7.459771595784144E-2</v>
      </c>
      <c r="BX84" s="23">
        <f t="shared" si="94"/>
        <v>7.6439696565663698E-2</v>
      </c>
      <c r="BY84" s="23">
        <f t="shared" si="95"/>
        <v>1.5154759464482588E-2</v>
      </c>
      <c r="BZ84" s="19"/>
      <c r="CA84" s="23">
        <f t="shared" si="56"/>
        <v>6.0168325599269462E-2</v>
      </c>
      <c r="CB84" s="23">
        <f t="shared" si="57"/>
        <v>0</v>
      </c>
      <c r="CC84" s="23">
        <f t="shared" si="58"/>
        <v>0</v>
      </c>
      <c r="CD84" s="23">
        <f t="shared" si="59"/>
        <v>0</v>
      </c>
      <c r="CE84" s="23">
        <f t="shared" si="60"/>
        <v>0</v>
      </c>
      <c r="CF84" s="23">
        <f t="shared" si="61"/>
        <v>0.18528476600393495</v>
      </c>
      <c r="CG84" s="23">
        <f t="shared" si="62"/>
        <v>0</v>
      </c>
      <c r="CH84" s="23">
        <f t="shared" si="63"/>
        <v>4.9101027776031134E-2</v>
      </c>
      <c r="CI84" s="23">
        <f t="shared" si="64"/>
        <v>7.9329406226453819E-2</v>
      </c>
      <c r="CJ84" s="23">
        <f t="shared" si="65"/>
        <v>0</v>
      </c>
      <c r="CK84" s="23">
        <f t="shared" si="66"/>
        <v>0</v>
      </c>
      <c r="CL84" s="23">
        <f t="shared" si="67"/>
        <v>8.0323158358339808E-2</v>
      </c>
      <c r="CM84" s="23">
        <f t="shared" si="68"/>
        <v>9.2105380757733724E-2</v>
      </c>
      <c r="CN84" s="23">
        <f t="shared" si="69"/>
        <v>9.1395230078246514E-2</v>
      </c>
      <c r="CO84" s="23">
        <f t="shared" si="70"/>
        <v>0</v>
      </c>
      <c r="CP84" s="23">
        <f t="shared" si="71"/>
        <v>0</v>
      </c>
      <c r="CQ84" s="23">
        <f t="shared" si="72"/>
        <v>0</v>
      </c>
      <c r="CR84" s="23">
        <f t="shared" si="73"/>
        <v>3.3172011488190017E-2</v>
      </c>
      <c r="CS84" s="23">
        <f t="shared" si="74"/>
        <v>3.133003088036776E-2</v>
      </c>
      <c r="CT84" s="23">
        <f t="shared" si="75"/>
        <v>9.2614967981548862E-2</v>
      </c>
      <c r="CU84" s="19"/>
    </row>
    <row r="85" spans="1:99" x14ac:dyDescent="0.25">
      <c r="A85" s="13">
        <v>45073</v>
      </c>
      <c r="B85" s="14">
        <v>36</v>
      </c>
      <c r="C85" s="15" t="str" cm="1">
        <f t="array" ref="C85">IF(B85="","",INDEX('Exercise list'!$C$5:$C$102,B85))</f>
        <v>Barbell hip thrusts</v>
      </c>
      <c r="D85" s="12">
        <f t="shared" si="52"/>
        <v>1</v>
      </c>
      <c r="E85" s="32">
        <f t="shared" si="53"/>
        <v>0.65223841507679869</v>
      </c>
      <c r="F85" s="63" cm="1">
        <f t="array" ref="F85">IF(B85="","",0.1+IFERROR(INDEX($F$6:$F84,SUMPRODUCT(MAX(ROW($C$6:$C84)*($C85=$C$6:$C84))-ROW($A$5)))*0.9^($A85-INDEX($A$6:A84,SUMPRODUCT(MAX(ROW($C$6:$C84)*($C85=$C$6:$C84))-ROW($A$5)))),0))</f>
        <v>0.11350851717672994</v>
      </c>
      <c r="G85" s="64">
        <f>INDEX('Exercise list'!$Y$5:$Y$102,MATCH(C85,'Exercise list'!$C$5:$C$102,0))</f>
        <v>1</v>
      </c>
      <c r="H85" s="115">
        <f t="shared" si="54"/>
        <v>6.4407292185940546E-2</v>
      </c>
      <c r="I85" s="42">
        <f t="shared" si="55"/>
        <v>1</v>
      </c>
      <c r="J85" s="6" cm="1">
        <f t="array" ref="J85">IF(B85="","",INDEX('Exercise list'!$D$5:$D$102,B85))</f>
        <v>0</v>
      </c>
      <c r="K85" s="12">
        <v>38</v>
      </c>
      <c r="L85" s="74" t="str" cm="1">
        <f t="array" ref="L85">IF(K85="","",INDEX('Exercise list'!$C$5:$C$102,K85))</f>
        <v>Cable hip abductions</v>
      </c>
      <c r="M85" s="6">
        <v>44</v>
      </c>
      <c r="N85" s="75" t="str" cm="1">
        <f t="array" ref="N85">IF(M85="","",INDEX('Exercise list'!$C$5:$C$102,M85))</f>
        <v>Leg presses</v>
      </c>
      <c r="P85">
        <f>IFERROR(INDEX('Exercise list'!$E$5:$X$102,MATCH($C85,'Exercise list'!$C$5:$C$102,0),MATCH(P$5,'Exercise list'!$E$4:$X$4,0)),0)</f>
        <v>0</v>
      </c>
      <c r="Q85">
        <f>IFERROR(INDEX('Exercise list'!$E$5:$X$102,MATCH($C85,'Exercise list'!$C$5:$C$102,0),MATCH(Q$5,'Exercise list'!$E$4:$X$4,0)),0)</f>
        <v>0</v>
      </c>
      <c r="R85">
        <f>IFERROR(INDEX('Exercise list'!$E$5:$X$102,MATCH($C85,'Exercise list'!$C$5:$C$102,0),MATCH(R$5,'Exercise list'!$E$4:$X$4,0)),0)</f>
        <v>0</v>
      </c>
      <c r="S85">
        <f>IFERROR(INDEX('Exercise list'!$E$5:$X$102,MATCH($C85,'Exercise list'!$C$5:$C$102,0),MATCH(S$5,'Exercise list'!$E$4:$X$4,0)),0)</f>
        <v>0</v>
      </c>
      <c r="T85">
        <f>IFERROR(INDEX('Exercise list'!$E$5:$X$102,MATCH($C85,'Exercise list'!$C$5:$C$102,0),MATCH(T$5,'Exercise list'!$E$4:$X$4,0)),0)</f>
        <v>0.5</v>
      </c>
      <c r="U85">
        <f>IFERROR(INDEX('Exercise list'!$E$5:$X$102,MATCH($C85,'Exercise list'!$C$5:$C$102,0),MATCH(U$5,'Exercise list'!$E$4:$X$4,0)),0)</f>
        <v>0</v>
      </c>
      <c r="V85">
        <f>IFERROR(INDEX('Exercise list'!$E$5:$X$102,MATCH($C85,'Exercise list'!$C$5:$C$102,0),MATCH(V$5,'Exercise list'!$E$4:$X$4,0)),0)</f>
        <v>0</v>
      </c>
      <c r="W85">
        <f>IFERROR(INDEX('Exercise list'!$E$5:$X$102,MATCH($C85,'Exercise list'!$C$5:$C$102,0),MATCH(W$5,'Exercise list'!$E$4:$X$4,0)),0)</f>
        <v>0</v>
      </c>
      <c r="X85">
        <f>IFERROR(INDEX('Exercise list'!$E$5:$X$102,MATCH($C85,'Exercise list'!$C$5:$C$102,0),MATCH(X$5,'Exercise list'!$E$4:$X$4,0)),0)</f>
        <v>0</v>
      </c>
      <c r="Y85">
        <f>IFERROR(INDEX('Exercise list'!$E$5:$X$102,MATCH($C85,'Exercise list'!$C$5:$C$102,0),MATCH(Y$5,'Exercise list'!$E$4:$X$4,0)),0)</f>
        <v>0</v>
      </c>
      <c r="Z85">
        <f>IFERROR(INDEX('Exercise list'!$E$5:$X$102,MATCH($C85,'Exercise list'!$C$5:$C$102,0),MATCH(Z$5,'Exercise list'!$E$4:$X$4,0)),0)</f>
        <v>0</v>
      </c>
      <c r="AA85">
        <f>IFERROR(INDEX('Exercise list'!$E$5:$X$102,MATCH($C85,'Exercise list'!$C$5:$C$102,0),MATCH(AA$5,'Exercise list'!$E$4:$X$4,0)),0)</f>
        <v>0</v>
      </c>
      <c r="AB85">
        <f>IFERROR(INDEX('Exercise list'!$E$5:$X$102,MATCH($C85,'Exercise list'!$C$5:$C$102,0),MATCH(AB$5,'Exercise list'!$E$4:$X$4,0)),0)</f>
        <v>0.5</v>
      </c>
      <c r="AC85">
        <f>IFERROR(INDEX('Exercise list'!$E$5:$X$102,MATCH($C85,'Exercise list'!$C$5:$C$102,0),MATCH(AC$5,'Exercise list'!$E$4:$X$4,0)),0)</f>
        <v>0</v>
      </c>
      <c r="AD85">
        <f>IFERROR(INDEX('Exercise list'!$E$5:$X$102,MATCH($C85,'Exercise list'!$C$5:$C$102,0),MATCH(AD$5,'Exercise list'!$E$4:$X$4,0)),0)</f>
        <v>0</v>
      </c>
      <c r="AE85">
        <f>IFERROR(INDEX('Exercise list'!$E$5:$X$102,MATCH($C85,'Exercise list'!$C$5:$C$102,0),MATCH(AE$5,'Exercise list'!$E$4:$X$4,0)),0)</f>
        <v>0.8</v>
      </c>
      <c r="AF85">
        <f>IFERROR(INDEX('Exercise list'!$E$5:$X$102,MATCH($C85,'Exercise list'!$C$5:$C$102,0),MATCH(AF$5,'Exercise list'!$E$4:$X$4,0)),0)</f>
        <v>1</v>
      </c>
      <c r="AG85">
        <f>IFERROR(INDEX('Exercise list'!$E$5:$X$102,MATCH($C85,'Exercise list'!$C$5:$C$102,0),MATCH(AG$5,'Exercise list'!$E$4:$X$4,0)),0)</f>
        <v>0</v>
      </c>
      <c r="AH85">
        <f>IFERROR(INDEX('Exercise list'!$E$5:$X$102,MATCH($C85,'Exercise list'!$C$5:$C$102,0),MATCH(AH$5,'Exercise list'!$E$4:$X$4,0)),0)</f>
        <v>0</v>
      </c>
      <c r="AI85">
        <f>IFERROR(INDEX('Exercise list'!$E$5:$X$102,MATCH($C85,'Exercise list'!$C$5:$C$102,0),MATCH(AI$5,'Exercise list'!$E$4:$X$4,0)),0)</f>
        <v>0</v>
      </c>
      <c r="AK85">
        <f>IF(OR($J85=1,COUNTIFS($A$5:$A84,"&gt;="&amp;$A85-1,$A$5:$A84,"&lt;="&amp;$A85,$B$5:$B84,$B85)&gt;0,MIN(1-'Exercise list'!E$2,IF($A85=$A84,AK84,1))-P85&lt;0),-1,MIN(1,IF($A85=$A84,AK84,1)-P85+$D$2))</f>
        <v>1</v>
      </c>
      <c r="AL85">
        <f>IF(OR($J85=1,COUNTIFS($A$5:$A84,"&gt;="&amp;$A85-1,$A$5:$A84,"&lt;="&amp;$A85,$B$5:$B84,$B85)&gt;0,MIN(1-'Exercise list'!F$2,IF($A85=$A84,AL84,1))-Q85&lt;0),-1,MIN(1,IF($A85=$A84,AL84,1)-Q85+$D$2))</f>
        <v>1</v>
      </c>
      <c r="AM85">
        <f>IF(OR($J85=1,COUNTIFS($A$5:$A84,"&gt;="&amp;$A85-1,$A$5:$A84,"&lt;="&amp;$A85,$B$5:$B84,$B85)&gt;0,MIN(1-'Exercise list'!G$2,IF($A85=$A84,AM84,1))-R85&lt;0),-1,MIN(1,IF($A85=$A84,AM84,1)-R85+$D$2))</f>
        <v>1</v>
      </c>
      <c r="AN85">
        <f>IF(OR($J85=1,COUNTIFS($A$5:$A84,"&gt;="&amp;$A85-1,$A$5:$A84,"&lt;="&amp;$A85,$B$5:$B84,$B85)&gt;0,MIN(1-'Exercise list'!H$2,IF($A85=$A84,AN84,1))-S85&lt;0),-1,MIN(1,IF($A85=$A84,AN84,1)-S85+$D$2))</f>
        <v>1</v>
      </c>
      <c r="AO85">
        <f>IF(OR($J85=1,COUNTIFS($A$5:$A84,"&gt;="&amp;$A85-1,$A$5:$A84,"&lt;="&amp;$A85,$B$5:$B84,$B85)&gt;0,MIN(1-'Exercise list'!I$2,IF($A85=$A84,AO84,1))-T85&lt;0),-1,MIN(1,IF($A85=$A84,AO84,1)-T85+$D$2))</f>
        <v>1</v>
      </c>
      <c r="AP85">
        <f>IF(OR($J85=1,COUNTIFS($A$5:$A84,"&gt;="&amp;$A85-1,$A$5:$A84,"&lt;="&amp;$A85,$B$5:$B84,$B85)&gt;0,MIN(1-'Exercise list'!J$2,IF($A85=$A84,AP84,1))-U85&lt;0),-1,MIN(1,IF($A85=$A84,AP84,1)-U85+$D$2))</f>
        <v>1</v>
      </c>
      <c r="AQ85">
        <f>IF(OR($J85=1,COUNTIFS($A$5:$A84,"&gt;="&amp;$A85-1,$A$5:$A84,"&lt;="&amp;$A85,$B$5:$B84,$B85)&gt;0,MIN(1-'Exercise list'!K$2,IF($A85=$A84,AQ84,1))-V85&lt;0),-1,MIN(1,IF($A85=$A84,AQ84,1)-V85+$D$2))</f>
        <v>1</v>
      </c>
      <c r="AR85">
        <f>IF(OR($J85=1,COUNTIFS($A$5:$A84,"&gt;="&amp;$A85-1,$A$5:$A84,"&lt;="&amp;$A85,$B$5:$B84,$B85)&gt;0,MIN(1-'Exercise list'!L$2,IF($A85=$A84,AR84,1))-W85&lt;0),-1,MIN(1,IF($A85=$A84,AR84,1)-W85+$D$2))</f>
        <v>1</v>
      </c>
      <c r="AS85">
        <f>IF(OR($J85=1,COUNTIFS($A$5:$A84,"&gt;="&amp;$A85-1,$A$5:$A84,"&lt;="&amp;$A85,$B$5:$B84,$B85)&gt;0,MIN(1-'Exercise list'!M$2,IF($A85=$A84,AS84,1))-X85&lt;0),-1,MIN(1,IF($A85=$A84,AS84,1)-X85+$D$2))</f>
        <v>1</v>
      </c>
      <c r="AT85">
        <f>IF(OR($J85=1,COUNTIFS($A$5:$A84,"&gt;="&amp;$A85-1,$A$5:$A84,"&lt;="&amp;$A85,$B$5:$B84,$B85)&gt;0,MIN(1-'Exercise list'!N$2,IF($A85=$A84,AT84,1))-Y85&lt;0),-1,MIN(1,IF($A85=$A84,AT84,1)-Y85+$D$2))</f>
        <v>1</v>
      </c>
      <c r="AU85">
        <f>IF(OR($J85=1,COUNTIFS($A$5:$A84,"&gt;="&amp;$A85-1,$A$5:$A84,"&lt;="&amp;$A85,$B$5:$B84,$B85)&gt;0,MIN(1-'Exercise list'!O$2,IF($A85=$A84,AU84,1))-Z85&lt;0),-1,MIN(1,IF($A85=$A84,AU84,1)-Z85+$D$2))</f>
        <v>1</v>
      </c>
      <c r="AV85">
        <f>IF(OR($J85=1,COUNTIFS($A$5:$A84,"&gt;="&amp;$A85-1,$A$5:$A84,"&lt;="&amp;$A85,$B$5:$B84,$B85)&gt;0,MIN(1-'Exercise list'!P$2,IF($A85=$A84,AV84,1))-AA85&lt;0),-1,MIN(1,IF($A85=$A84,AV84,1)-AA85+$D$2))</f>
        <v>1</v>
      </c>
      <c r="AW85">
        <f>IF(OR($J85=1,COUNTIFS($A$5:$A84,"&gt;="&amp;$A85-1,$A$5:$A84,"&lt;="&amp;$A85,$B$5:$B84,$B85)&gt;0,MIN(1-'Exercise list'!Q$2,IF($A85=$A84,AW84,1))-AB85&lt;0),-1,MIN(1,IF($A85=$A84,AW84,1)-AB85+$D$2))</f>
        <v>1</v>
      </c>
      <c r="AX85">
        <f>IF(OR($J85=1,COUNTIFS($A$5:$A84,"&gt;="&amp;$A85-1,$A$5:$A84,"&lt;="&amp;$A85,$B$5:$B84,$B85)&gt;0,MIN(1-'Exercise list'!R$2,IF($A85=$A84,AX84,1))-AC85&lt;0),-1,MIN(1,IF($A85=$A84,AX84,1)-AC85+$D$2))</f>
        <v>1</v>
      </c>
      <c r="AY85">
        <f>IF(OR($J85=1,COUNTIFS($A$5:$A84,"&gt;="&amp;$A85-1,$A$5:$A84,"&lt;="&amp;$A85,$B$5:$B84,$B85)&gt;0,MIN(1-'Exercise list'!S$2,IF($A85=$A84,AY84,1))-AD85&lt;0),-1,MIN(1,IF($A85=$A84,AY84,1)-AD85+$D$2))</f>
        <v>1</v>
      </c>
      <c r="AZ85">
        <f>IF(OR($J85=1,COUNTIFS($A$5:$A84,"&gt;="&amp;$A85-1,$A$5:$A84,"&lt;="&amp;$A85,$B$5:$B84,$B85)&gt;0,MIN(1-'Exercise list'!T$2,IF($A85=$A84,AZ84,1))-AE85&lt;0),-1,MIN(1,IF($A85=$A84,AZ84,1)-AE85+$D$2))</f>
        <v>1</v>
      </c>
      <c r="BA85">
        <f>IF(OR($J85=1,COUNTIFS($A$5:$A84,"&gt;="&amp;$A85-1,$A$5:$A84,"&lt;="&amp;$A85,$B$5:$B84,$B85)&gt;0,MIN(1-'Exercise list'!U$2,IF($A85=$A84,BA84,1))-AF85&lt;0),-1,MIN(1,IF($A85=$A84,BA84,1)-AF85+$D$2))</f>
        <v>1</v>
      </c>
      <c r="BB85">
        <f>IF(OR($J85=1,COUNTIFS($A$5:$A84,"&gt;="&amp;$A85-1,$A$5:$A84,"&lt;="&amp;$A85,$B$5:$B84,$B85)&gt;0,MIN(1-'Exercise list'!V$2,IF($A85=$A84,BB84,1))-AG85&lt;0),-1,MIN(1,IF($A85=$A84,BB84,1)-AG85+$D$2))</f>
        <v>1</v>
      </c>
      <c r="BC85">
        <f>IF(OR($J85=1,COUNTIFS($A$5:$A84,"&gt;="&amp;$A85-1,$A$5:$A84,"&lt;="&amp;$A85,$B$5:$B84,$B85)&gt;0,MIN(1-'Exercise list'!W$2,IF($A85=$A84,BC84,1))-AH85&lt;0),-1,MIN(1,IF($A85=$A84,BC84,1)-AH85+$D$2))</f>
        <v>1</v>
      </c>
      <c r="BD85">
        <f>IF(OR($J85=1,COUNTIFS($A$5:$A84,"&gt;="&amp;$A85-1,$A$5:$A84,"&lt;="&amp;$A85,$B$5:$B84,$B85)&gt;0,MIN(1-'Exercise list'!X$2,IF($A85=$A84,BD84,1))-AI85&lt;0),-1,MIN(1,IF($A85=$A84,BD84,1)-AI85+$D$2))</f>
        <v>1</v>
      </c>
      <c r="BF85" s="16">
        <f t="shared" si="76"/>
        <v>0.14760257282815378</v>
      </c>
      <c r="BG85" s="16">
        <f t="shared" si="77"/>
        <v>0.21379091529139949</v>
      </c>
      <c r="BH85" s="16">
        <f t="shared" si="78"/>
        <v>0.15734351168843372</v>
      </c>
      <c r="BI85" s="16">
        <f t="shared" si="79"/>
        <v>0.18241804740303799</v>
      </c>
      <c r="BJ85" s="16">
        <f t="shared" si="80"/>
        <v>0.2238430028509093</v>
      </c>
      <c r="BK85" s="16">
        <f t="shared" si="81"/>
        <v>0.13112319551745144</v>
      </c>
      <c r="BL85" s="16">
        <f t="shared" si="82"/>
        <v>0.15217650359510654</v>
      </c>
      <c r="BM85" s="16">
        <f t="shared" si="83"/>
        <v>5.5735264686500308E-2</v>
      </c>
      <c r="BN85" s="16">
        <f t="shared" si="84"/>
        <v>0.12939954623232863</v>
      </c>
      <c r="BO85" s="16">
        <f t="shared" si="85"/>
        <v>0.17278173291774934</v>
      </c>
      <c r="BP85" s="16">
        <f t="shared" si="86"/>
        <v>0.31855403769840612</v>
      </c>
      <c r="BQ85" s="16">
        <f t="shared" si="87"/>
        <v>2.6074240633307072E-2</v>
      </c>
      <c r="BR85" s="16">
        <f t="shared" si="88"/>
        <v>0.14226237042761272</v>
      </c>
      <c r="BS85" s="16">
        <f t="shared" si="89"/>
        <v>1.5555772499395692E-2</v>
      </c>
      <c r="BT85" s="16">
        <f t="shared" si="90"/>
        <v>0.16520251770366937</v>
      </c>
      <c r="BU85" s="16">
        <f t="shared" si="91"/>
        <v>0.23066836723178502</v>
      </c>
      <c r="BV85" s="16">
        <f t="shared" si="92"/>
        <v>0.28187934639687162</v>
      </c>
      <c r="BW85" s="16">
        <f t="shared" si="93"/>
        <v>7.0867830159949366E-2</v>
      </c>
      <c r="BX85" s="16">
        <f t="shared" si="94"/>
        <v>7.2617711737380505E-2</v>
      </c>
      <c r="BY85" s="16">
        <f t="shared" si="95"/>
        <v>1.4397021491258459E-2</v>
      </c>
      <c r="CA85" s="16">
        <f t="shared" si="56"/>
        <v>6.7530279689676342E-2</v>
      </c>
      <c r="CB85" s="16">
        <f t="shared" si="57"/>
        <v>1.3419372264306395E-3</v>
      </c>
      <c r="CC85" s="16">
        <f t="shared" si="58"/>
        <v>0</v>
      </c>
      <c r="CD85" s="16">
        <f t="shared" si="59"/>
        <v>0</v>
      </c>
      <c r="CE85" s="16">
        <f t="shared" si="60"/>
        <v>0</v>
      </c>
      <c r="CF85" s="16">
        <f t="shared" si="61"/>
        <v>0.19157608325929376</v>
      </c>
      <c r="CG85" s="16">
        <f t="shared" si="62"/>
        <v>0</v>
      </c>
      <c r="CH85" s="16">
        <f t="shared" si="63"/>
        <v>5.1831161572414755E-2</v>
      </c>
      <c r="CI85" s="16">
        <f t="shared" si="64"/>
        <v>8.5733306285501493E-2</v>
      </c>
      <c r="CJ85" s="16">
        <f t="shared" si="65"/>
        <v>0</v>
      </c>
      <c r="CK85" s="16">
        <f t="shared" si="66"/>
        <v>0</v>
      </c>
      <c r="CL85" s="16">
        <f t="shared" si="67"/>
        <v>8.1492185625607991E-2</v>
      </c>
      <c r="CM85" s="16">
        <f t="shared" si="68"/>
        <v>7.2870482090217403E-2</v>
      </c>
      <c r="CN85" s="16">
        <f t="shared" si="69"/>
        <v>9.2010653759519376E-2</v>
      </c>
      <c r="CO85" s="16">
        <f t="shared" si="70"/>
        <v>0</v>
      </c>
      <c r="CP85" s="16">
        <f t="shared" si="71"/>
        <v>0</v>
      </c>
      <c r="CQ85" s="16">
        <f t="shared" si="72"/>
        <v>0</v>
      </c>
      <c r="CR85" s="16">
        <f t="shared" si="73"/>
        <v>3.6698596098965697E-2</v>
      </c>
      <c r="CS85" s="16">
        <f t="shared" si="74"/>
        <v>3.4948714521534557E-2</v>
      </c>
      <c r="CT85" s="16">
        <f t="shared" si="75"/>
        <v>9.3169404767656602E-2</v>
      </c>
    </row>
    <row r="86" spans="1:99" x14ac:dyDescent="0.25">
      <c r="A86" s="13">
        <v>45073</v>
      </c>
      <c r="B86" s="14">
        <v>38</v>
      </c>
      <c r="C86" s="15" t="str" cm="1">
        <f t="array" ref="C86">IF(B86="","",INDEX('Exercise list'!$C$5:$C$102,B86))</f>
        <v>Cable hip abductions</v>
      </c>
      <c r="D86" s="12">
        <f t="shared" si="52"/>
        <v>1</v>
      </c>
      <c r="E86" s="32">
        <f t="shared" si="53"/>
        <v>0.79833791707311152</v>
      </c>
      <c r="F86" s="63" cm="1">
        <f t="array" ref="F86">IF(B86="","",0.1+IFERROR(INDEX($F$6:$F85,SUMPRODUCT(MAX(ROW($C$6:$C85)*($C86=$C$6:$C85))-ROW($A$5)))*0.9^($A86-INDEX($A$6:A85,SUMPRODUCT(MAX(ROW($C$6:$C85)*($C86=$C$6:$C85))-ROW($A$5)))),0))</f>
        <v>0.1</v>
      </c>
      <c r="G86" s="64">
        <f>INDEX('Exercise list'!$Y$5:$Y$102,MATCH(C86,'Exercise list'!$C$5:$C$102,0))</f>
        <v>1</v>
      </c>
      <c r="H86" s="115">
        <f t="shared" si="54"/>
        <v>6.0598075499847297E-2</v>
      </c>
      <c r="I86" s="6">
        <f t="shared" si="55"/>
        <v>2</v>
      </c>
      <c r="J86" s="6" cm="1">
        <f t="array" ref="J86">IF(B86="","",INDEX('Exercise list'!$D$5:$D$102,B86))</f>
        <v>0</v>
      </c>
      <c r="K86" s="12">
        <v>48</v>
      </c>
      <c r="L86" s="74" t="str" cm="1">
        <f t="array" ref="L86">IF(K86="","",INDEX('Exercise list'!$C$5:$C$102,K86))</f>
        <v>Barbell overhead presses</v>
      </c>
      <c r="M86" s="6">
        <v>49</v>
      </c>
      <c r="N86" s="75" t="str" cm="1">
        <f t="array" ref="N86">IF(M86="","",INDEX('Exercise list'!$C$5:$C$102,M86))</f>
        <v>Cable face pulls</v>
      </c>
      <c r="P86">
        <f>IFERROR(INDEX('Exercise list'!$E$5:$X$102,MATCH($C86,'Exercise list'!$C$5:$C$102,0),MATCH(P$5,'Exercise list'!$E$4:$X$4,0)),0)</f>
        <v>0</v>
      </c>
      <c r="Q86">
        <f>IFERROR(INDEX('Exercise list'!$E$5:$X$102,MATCH($C86,'Exercise list'!$C$5:$C$102,0),MATCH(Q$5,'Exercise list'!$E$4:$X$4,0)),0)</f>
        <v>0</v>
      </c>
      <c r="R86">
        <f>IFERROR(INDEX('Exercise list'!$E$5:$X$102,MATCH($C86,'Exercise list'!$C$5:$C$102,0),MATCH(R$5,'Exercise list'!$E$4:$X$4,0)),0)</f>
        <v>0</v>
      </c>
      <c r="S86">
        <f>IFERROR(INDEX('Exercise list'!$E$5:$X$102,MATCH($C86,'Exercise list'!$C$5:$C$102,0),MATCH(S$5,'Exercise list'!$E$4:$X$4,0)),0)</f>
        <v>0</v>
      </c>
      <c r="T86">
        <f>IFERROR(INDEX('Exercise list'!$E$5:$X$102,MATCH($C86,'Exercise list'!$C$5:$C$102,0),MATCH(T$5,'Exercise list'!$E$4:$X$4,0)),0)</f>
        <v>0</v>
      </c>
      <c r="U86">
        <f>IFERROR(INDEX('Exercise list'!$E$5:$X$102,MATCH($C86,'Exercise list'!$C$5:$C$102,0),MATCH(U$5,'Exercise list'!$E$4:$X$4,0)),0)</f>
        <v>0</v>
      </c>
      <c r="V86">
        <f>IFERROR(INDEX('Exercise list'!$E$5:$X$102,MATCH($C86,'Exercise list'!$C$5:$C$102,0),MATCH(V$5,'Exercise list'!$E$4:$X$4,0)),0)</f>
        <v>0</v>
      </c>
      <c r="W86">
        <f>IFERROR(INDEX('Exercise list'!$E$5:$X$102,MATCH($C86,'Exercise list'!$C$5:$C$102,0),MATCH(W$5,'Exercise list'!$E$4:$X$4,0)),0)</f>
        <v>0</v>
      </c>
      <c r="X86">
        <f>IFERROR(INDEX('Exercise list'!$E$5:$X$102,MATCH($C86,'Exercise list'!$C$5:$C$102,0),MATCH(X$5,'Exercise list'!$E$4:$X$4,0)),0)</f>
        <v>0</v>
      </c>
      <c r="Y86">
        <f>IFERROR(INDEX('Exercise list'!$E$5:$X$102,MATCH($C86,'Exercise list'!$C$5:$C$102,0),MATCH(Y$5,'Exercise list'!$E$4:$X$4,0)),0)</f>
        <v>0</v>
      </c>
      <c r="Z86">
        <f>IFERROR(INDEX('Exercise list'!$E$5:$X$102,MATCH($C86,'Exercise list'!$C$5:$C$102,0),MATCH(Z$5,'Exercise list'!$E$4:$X$4,0)),0)</f>
        <v>0</v>
      </c>
      <c r="AA86">
        <f>IFERROR(INDEX('Exercise list'!$E$5:$X$102,MATCH($C86,'Exercise list'!$C$5:$C$102,0),MATCH(AA$5,'Exercise list'!$E$4:$X$4,0)),0)</f>
        <v>0</v>
      </c>
      <c r="AB86">
        <f>IFERROR(INDEX('Exercise list'!$E$5:$X$102,MATCH($C86,'Exercise list'!$C$5:$C$102,0),MATCH(AB$5,'Exercise list'!$E$4:$X$4,0)),0)</f>
        <v>0</v>
      </c>
      <c r="AC86">
        <f>IFERROR(INDEX('Exercise list'!$E$5:$X$102,MATCH($C86,'Exercise list'!$C$5:$C$102,0),MATCH(AC$5,'Exercise list'!$E$4:$X$4,0)),0)</f>
        <v>0</v>
      </c>
      <c r="AD86">
        <f>IFERROR(INDEX('Exercise list'!$E$5:$X$102,MATCH($C86,'Exercise list'!$C$5:$C$102,0),MATCH(AD$5,'Exercise list'!$E$4:$X$4,0)),0)</f>
        <v>0</v>
      </c>
      <c r="AE86">
        <f>IFERROR(INDEX('Exercise list'!$E$5:$X$102,MATCH($C86,'Exercise list'!$C$5:$C$102,0),MATCH(AE$5,'Exercise list'!$E$4:$X$4,0)),0)</f>
        <v>0</v>
      </c>
      <c r="AF86">
        <f>IFERROR(INDEX('Exercise list'!$E$5:$X$102,MATCH($C86,'Exercise list'!$C$5:$C$102,0),MATCH(AF$5,'Exercise list'!$E$4:$X$4,0)),0)</f>
        <v>0</v>
      </c>
      <c r="AG86">
        <f>IFERROR(INDEX('Exercise list'!$E$5:$X$102,MATCH($C86,'Exercise list'!$C$5:$C$102,0),MATCH(AG$5,'Exercise list'!$E$4:$X$4,0)),0)</f>
        <v>0</v>
      </c>
      <c r="AH86">
        <f>IFERROR(INDEX('Exercise list'!$E$5:$X$102,MATCH($C86,'Exercise list'!$C$5:$C$102,0),MATCH(AH$5,'Exercise list'!$E$4:$X$4,0)),0)</f>
        <v>0</v>
      </c>
      <c r="AI86">
        <f>IFERROR(INDEX('Exercise list'!$E$5:$X$102,MATCH($C86,'Exercise list'!$C$5:$C$102,0),MATCH(AI$5,'Exercise list'!$E$4:$X$4,0)),0)</f>
        <v>1</v>
      </c>
      <c r="AK86">
        <f>IF(OR($J86=1,COUNTIFS($A$5:$A85,"&gt;="&amp;$A86-1,$A$5:$A85,"&lt;="&amp;$A86,$B$5:$B85,$B86)&gt;0,MIN(1-'Exercise list'!E$2,IF($A86=$A85,AK85,1))-P86&lt;0),-1,MIN(1,IF($A86=$A85,AK85,1)-P86+$D$2))</f>
        <v>1</v>
      </c>
      <c r="AL86">
        <f>IF(OR($J86=1,COUNTIFS($A$5:$A85,"&gt;="&amp;$A86-1,$A$5:$A85,"&lt;="&amp;$A86,$B$5:$B85,$B86)&gt;0,MIN(1-'Exercise list'!F$2,IF($A86=$A85,AL85,1))-Q86&lt;0),-1,MIN(1,IF($A86=$A85,AL85,1)-Q86+$D$2))</f>
        <v>1</v>
      </c>
      <c r="AM86">
        <f>IF(OR($J86=1,COUNTIFS($A$5:$A85,"&gt;="&amp;$A86-1,$A$5:$A85,"&lt;="&amp;$A86,$B$5:$B85,$B86)&gt;0,MIN(1-'Exercise list'!G$2,IF($A86=$A85,AM85,1))-R86&lt;0),-1,MIN(1,IF($A86=$A85,AM85,1)-R86+$D$2))</f>
        <v>1</v>
      </c>
      <c r="AN86">
        <f>IF(OR($J86=1,COUNTIFS($A$5:$A85,"&gt;="&amp;$A86-1,$A$5:$A85,"&lt;="&amp;$A86,$B$5:$B85,$B86)&gt;0,MIN(1-'Exercise list'!H$2,IF($A86=$A85,AN85,1))-S86&lt;0),-1,MIN(1,IF($A86=$A85,AN85,1)-S86+$D$2))</f>
        <v>1</v>
      </c>
      <c r="AO86">
        <f>IF(OR($J86=1,COUNTIFS($A$5:$A85,"&gt;="&amp;$A86-1,$A$5:$A85,"&lt;="&amp;$A86,$B$5:$B85,$B86)&gt;0,MIN(1-'Exercise list'!I$2,IF($A86=$A85,AO85,1))-T86&lt;0),-1,MIN(1,IF($A86=$A85,AO85,1)-T86+$D$2))</f>
        <v>1</v>
      </c>
      <c r="AP86">
        <f>IF(OR($J86=1,COUNTIFS($A$5:$A85,"&gt;="&amp;$A86-1,$A$5:$A85,"&lt;="&amp;$A86,$B$5:$B85,$B86)&gt;0,MIN(1-'Exercise list'!J$2,IF($A86=$A85,AP85,1))-U86&lt;0),-1,MIN(1,IF($A86=$A85,AP85,1)-U86+$D$2))</f>
        <v>1</v>
      </c>
      <c r="AQ86">
        <f>IF(OR($J86=1,COUNTIFS($A$5:$A85,"&gt;="&amp;$A86-1,$A$5:$A85,"&lt;="&amp;$A86,$B$5:$B85,$B86)&gt;0,MIN(1-'Exercise list'!K$2,IF($A86=$A85,AQ85,1))-V86&lt;0),-1,MIN(1,IF($A86=$A85,AQ85,1)-V86+$D$2))</f>
        <v>1</v>
      </c>
      <c r="AR86">
        <f>IF(OR($J86=1,COUNTIFS($A$5:$A85,"&gt;="&amp;$A86-1,$A$5:$A85,"&lt;="&amp;$A86,$B$5:$B85,$B86)&gt;0,MIN(1-'Exercise list'!L$2,IF($A86=$A85,AR85,1))-W86&lt;0),-1,MIN(1,IF($A86=$A85,AR85,1)-W86+$D$2))</f>
        <v>1</v>
      </c>
      <c r="AS86">
        <f>IF(OR($J86=1,COUNTIFS($A$5:$A85,"&gt;="&amp;$A86-1,$A$5:$A85,"&lt;="&amp;$A86,$B$5:$B85,$B86)&gt;0,MIN(1-'Exercise list'!M$2,IF($A86=$A85,AS85,1))-X86&lt;0),-1,MIN(1,IF($A86=$A85,AS85,1)-X86+$D$2))</f>
        <v>1</v>
      </c>
      <c r="AT86">
        <f>IF(OR($J86=1,COUNTIFS($A$5:$A85,"&gt;="&amp;$A86-1,$A$5:$A85,"&lt;="&amp;$A86,$B$5:$B85,$B86)&gt;0,MIN(1-'Exercise list'!N$2,IF($A86=$A85,AT85,1))-Y86&lt;0),-1,MIN(1,IF($A86=$A85,AT85,1)-Y86+$D$2))</f>
        <v>1</v>
      </c>
      <c r="AU86">
        <f>IF(OR($J86=1,COUNTIFS($A$5:$A85,"&gt;="&amp;$A86-1,$A$5:$A85,"&lt;="&amp;$A86,$B$5:$B85,$B86)&gt;0,MIN(1-'Exercise list'!O$2,IF($A86=$A85,AU85,1))-Z86&lt;0),-1,MIN(1,IF($A86=$A85,AU85,1)-Z86+$D$2))</f>
        <v>1</v>
      </c>
      <c r="AV86">
        <f>IF(OR($J86=1,COUNTIFS($A$5:$A85,"&gt;="&amp;$A86-1,$A$5:$A85,"&lt;="&amp;$A86,$B$5:$B85,$B86)&gt;0,MIN(1-'Exercise list'!P$2,IF($A86=$A85,AV85,1))-AA86&lt;0),-1,MIN(1,IF($A86=$A85,AV85,1)-AA86+$D$2))</f>
        <v>1</v>
      </c>
      <c r="AW86">
        <f>IF(OR($J86=1,COUNTIFS($A$5:$A85,"&gt;="&amp;$A86-1,$A$5:$A85,"&lt;="&amp;$A86,$B$5:$B85,$B86)&gt;0,MIN(1-'Exercise list'!Q$2,IF($A86=$A85,AW85,1))-AB86&lt;0),-1,MIN(1,IF($A86=$A85,AW85,1)-AB86+$D$2))</f>
        <v>1</v>
      </c>
      <c r="AX86">
        <f>IF(OR($J86=1,COUNTIFS($A$5:$A85,"&gt;="&amp;$A86-1,$A$5:$A85,"&lt;="&amp;$A86,$B$5:$B85,$B86)&gt;0,MIN(1-'Exercise list'!R$2,IF($A86=$A85,AX85,1))-AC86&lt;0),-1,MIN(1,IF($A86=$A85,AX85,1)-AC86+$D$2))</f>
        <v>1</v>
      </c>
      <c r="AY86">
        <f>IF(OR($J86=1,COUNTIFS($A$5:$A85,"&gt;="&amp;$A86-1,$A$5:$A85,"&lt;="&amp;$A86,$B$5:$B85,$B86)&gt;0,MIN(1-'Exercise list'!S$2,IF($A86=$A85,AY85,1))-AD86&lt;0),-1,MIN(1,IF($A86=$A85,AY85,1)-AD86+$D$2))</f>
        <v>1</v>
      </c>
      <c r="AZ86">
        <f>IF(OR($J86=1,COUNTIFS($A$5:$A85,"&gt;="&amp;$A86-1,$A$5:$A85,"&lt;="&amp;$A86,$B$5:$B85,$B86)&gt;0,MIN(1-'Exercise list'!T$2,IF($A86=$A85,AZ85,1))-AE86&lt;0),-1,MIN(1,IF($A86=$A85,AZ85,1)-AE86+$D$2))</f>
        <v>1</v>
      </c>
      <c r="BA86">
        <f>IF(OR($J86=1,COUNTIFS($A$5:$A85,"&gt;="&amp;$A86-1,$A$5:$A85,"&lt;="&amp;$A86,$B$5:$B85,$B86)&gt;0,MIN(1-'Exercise list'!U$2,IF($A86=$A85,BA85,1))-AF86&lt;0),-1,MIN(1,IF($A86=$A85,BA85,1)-AF86+$D$2))</f>
        <v>1</v>
      </c>
      <c r="BB86">
        <f>IF(OR($J86=1,COUNTIFS($A$5:$A85,"&gt;="&amp;$A86-1,$A$5:$A85,"&lt;="&amp;$A86,$B$5:$B85,$B86)&gt;0,MIN(1-'Exercise list'!V$2,IF($A86=$A85,BB85,1))-AG86&lt;0),-1,MIN(1,IF($A86=$A85,BB85,1)-AG86+$D$2))</f>
        <v>1</v>
      </c>
      <c r="BC86">
        <f>IF(OR($J86=1,COUNTIFS($A$5:$A85,"&gt;="&amp;$A86-1,$A$5:$A85,"&lt;="&amp;$A86,$B$5:$B85,$B86)&gt;0,MIN(1-'Exercise list'!W$2,IF($A86=$A85,BC85,1))-AH86&lt;0),-1,MIN(1,IF($A86=$A85,BC85,1)-AH86+$D$2))</f>
        <v>1</v>
      </c>
      <c r="BD86">
        <f>IF(OR($J86=1,COUNTIFS($A$5:$A85,"&gt;="&amp;$A86-1,$A$5:$A85,"&lt;="&amp;$A86,$B$5:$B85,$B86)&gt;0,MIN(1-'Exercise list'!X$2,IF($A86=$A85,BD85,1))-AI86&lt;0),-1,MIN(1,IF($A86=$A85,BD85,1)-AI86+$D$2))</f>
        <v>1</v>
      </c>
      <c r="BF86" s="16">
        <f t="shared" si="76"/>
        <v>0.14022244418674609</v>
      </c>
      <c r="BG86" s="16">
        <f t="shared" si="77"/>
        <v>0.2031013695268295</v>
      </c>
      <c r="BH86" s="16">
        <f t="shared" si="78"/>
        <v>0.14947633610401204</v>
      </c>
      <c r="BI86" s="16">
        <f t="shared" si="79"/>
        <v>0.1732971450328861</v>
      </c>
      <c r="BJ86" s="16">
        <f t="shared" si="80"/>
        <v>0.21265085270836381</v>
      </c>
      <c r="BK86" s="16">
        <f t="shared" si="81"/>
        <v>0.12456703574157886</v>
      </c>
      <c r="BL86" s="16">
        <f t="shared" si="82"/>
        <v>0.1445676784153512</v>
      </c>
      <c r="BM86" s="16">
        <f t="shared" si="83"/>
        <v>5.2948501452175292E-2</v>
      </c>
      <c r="BN86" s="16">
        <f t="shared" si="84"/>
        <v>0.12292956892071219</v>
      </c>
      <c r="BO86" s="16">
        <f t="shared" si="85"/>
        <v>0.16414264627186187</v>
      </c>
      <c r="BP86" s="16">
        <f t="shared" si="86"/>
        <v>0.3026263358134858</v>
      </c>
      <c r="BQ86" s="16">
        <f t="shared" si="87"/>
        <v>2.4770528601641716E-2</v>
      </c>
      <c r="BR86" s="16">
        <f t="shared" si="88"/>
        <v>0.13514925190623209</v>
      </c>
      <c r="BS86" s="16">
        <f t="shared" si="89"/>
        <v>1.4777983874425906E-2</v>
      </c>
      <c r="BT86" s="16">
        <f t="shared" si="90"/>
        <v>0.15694239181848588</v>
      </c>
      <c r="BU86" s="16">
        <f t="shared" si="91"/>
        <v>0.21913494887019577</v>
      </c>
      <c r="BV86" s="16">
        <f t="shared" si="92"/>
        <v>0.26778537907702804</v>
      </c>
      <c r="BW86" s="16">
        <f t="shared" si="93"/>
        <v>6.7324438651951896E-2</v>
      </c>
      <c r="BX86" s="16">
        <f t="shared" si="94"/>
        <v>6.8986826150511479E-2</v>
      </c>
      <c r="BY86" s="16">
        <f t="shared" si="95"/>
        <v>6.3677170416695544E-2</v>
      </c>
      <c r="CA86" s="16">
        <f t="shared" si="56"/>
        <v>6.7857469408896198E-2</v>
      </c>
      <c r="CB86" s="16">
        <f t="shared" si="57"/>
        <v>4.9785440688127902E-3</v>
      </c>
      <c r="CC86" s="16">
        <f t="shared" si="58"/>
        <v>0</v>
      </c>
      <c r="CD86" s="16">
        <f t="shared" si="59"/>
        <v>0</v>
      </c>
      <c r="CE86" s="16">
        <f t="shared" si="60"/>
        <v>0</v>
      </c>
      <c r="CF86" s="16">
        <f t="shared" si="61"/>
        <v>0.1875528346518846</v>
      </c>
      <c r="CG86" s="16">
        <f t="shared" si="62"/>
        <v>0</v>
      </c>
      <c r="CH86" s="16">
        <f t="shared" si="63"/>
        <v>5.1091455345645853E-2</v>
      </c>
      <c r="CI86" s="16">
        <f t="shared" si="64"/>
        <v>8.5150344674930101E-2</v>
      </c>
      <c r="CJ86" s="16">
        <f t="shared" si="65"/>
        <v>0</v>
      </c>
      <c r="CK86" s="16">
        <f t="shared" si="66"/>
        <v>0</v>
      </c>
      <c r="CL86" s="16">
        <f t="shared" si="67"/>
        <v>7.9269428196179437E-2</v>
      </c>
      <c r="CM86" s="16">
        <f t="shared" si="68"/>
        <v>7.2930661689410203E-2</v>
      </c>
      <c r="CN86" s="16">
        <f t="shared" si="69"/>
        <v>8.9261972923395244E-2</v>
      </c>
      <c r="CO86" s="16">
        <f t="shared" si="70"/>
        <v>0</v>
      </c>
      <c r="CP86" s="16">
        <f t="shared" si="71"/>
        <v>0</v>
      </c>
      <c r="CQ86" s="16">
        <f t="shared" si="72"/>
        <v>0</v>
      </c>
      <c r="CR86" s="16">
        <f t="shared" si="73"/>
        <v>3.671551814586925E-2</v>
      </c>
      <c r="CS86" s="16">
        <f t="shared" si="74"/>
        <v>3.5053130647309666E-2</v>
      </c>
      <c r="CT86" s="16">
        <f t="shared" si="75"/>
        <v>4.0362786381125601E-2</v>
      </c>
    </row>
    <row r="87" spans="1:99" x14ac:dyDescent="0.25">
      <c r="A87" s="13">
        <v>45073</v>
      </c>
      <c r="B87" s="14">
        <v>48</v>
      </c>
      <c r="C87" s="15" t="str" cm="1">
        <f t="array" ref="C87">IF(B87="","",INDEX('Exercise list'!$C$5:$C$102,B87))</f>
        <v>Barbell overhead presses</v>
      </c>
      <c r="D87" s="12">
        <f t="shared" si="52"/>
        <v>1</v>
      </c>
      <c r="E87" s="32">
        <f t="shared" si="53"/>
        <v>2.0296267353360178</v>
      </c>
      <c r="F87" s="63" cm="1">
        <f t="array" ref="F87">IF(B87="","",0.1+IFERROR(INDEX($F$6:$F86,SUMPRODUCT(MAX(ROW($C$6:$C86)*($C87=$C$6:$C86))-ROW($A$5)))*0.9^($A87-INDEX($A$6:A86,SUMPRODUCT(MAX(ROW($C$6:$C86)*($C87=$C$6:$C86))-ROW($A$5)))),0))</f>
        <v>0.11740298080237793</v>
      </c>
      <c r="G87" s="64">
        <f>INDEX('Exercise list'!$Y$5:$Y$102,MATCH(C87,'Exercise list'!$C$5:$C$102,0))</f>
        <v>3</v>
      </c>
      <c r="H87" s="115">
        <f t="shared" si="54"/>
        <v>5.7305371925992402E-2</v>
      </c>
      <c r="I87" s="6">
        <f t="shared" si="55"/>
        <v>3</v>
      </c>
      <c r="J87" s="6" cm="1">
        <f t="array" ref="J87">IF(B87="","",INDEX('Exercise list'!$D$5:$D$102,B87))</f>
        <v>0</v>
      </c>
      <c r="K87" s="12">
        <v>49</v>
      </c>
      <c r="L87" s="74" t="str" cm="1">
        <f t="array" ref="L87">IF(K87="","",INDEX('Exercise list'!$C$5:$C$102,K87))</f>
        <v>Cable face pulls</v>
      </c>
      <c r="M87" s="6">
        <v>23</v>
      </c>
      <c r="N87" s="75" t="str" cm="1">
        <f t="array" ref="N87">IF(M87="","",INDEX('Exercise list'!$C$5:$C$102,M87))</f>
        <v>Barbell bench presses</v>
      </c>
      <c r="P87">
        <f>IFERROR(INDEX('Exercise list'!$E$5:$X$102,MATCH($C87,'Exercise list'!$C$5:$C$102,0),MATCH(P$5,'Exercise list'!$E$4:$X$4,0)),0)</f>
        <v>0</v>
      </c>
      <c r="Q87">
        <f>IFERROR(INDEX('Exercise list'!$E$5:$X$102,MATCH($C87,'Exercise list'!$C$5:$C$102,0),MATCH(Q$5,'Exercise list'!$E$4:$X$4,0)),0)</f>
        <v>0</v>
      </c>
      <c r="R87">
        <f>IFERROR(INDEX('Exercise list'!$E$5:$X$102,MATCH($C87,'Exercise list'!$C$5:$C$102,0),MATCH(R$5,'Exercise list'!$E$4:$X$4,0)),0)</f>
        <v>0</v>
      </c>
      <c r="S87">
        <f>IFERROR(INDEX('Exercise list'!$E$5:$X$102,MATCH($C87,'Exercise list'!$C$5:$C$102,0),MATCH(S$5,'Exercise list'!$E$4:$X$4,0)),0)</f>
        <v>0</v>
      </c>
      <c r="T87">
        <f>IFERROR(INDEX('Exercise list'!$E$5:$X$102,MATCH($C87,'Exercise list'!$C$5:$C$102,0),MATCH(T$5,'Exercise list'!$E$4:$X$4,0)),0)</f>
        <v>0</v>
      </c>
      <c r="U87">
        <f>IFERROR(INDEX('Exercise list'!$E$5:$X$102,MATCH($C87,'Exercise list'!$C$5:$C$102,0),MATCH(U$5,'Exercise list'!$E$4:$X$4,0)),0)</f>
        <v>0.7</v>
      </c>
      <c r="V87">
        <f>IFERROR(INDEX('Exercise list'!$E$5:$X$102,MATCH($C87,'Exercise list'!$C$5:$C$102,0),MATCH(V$5,'Exercise list'!$E$4:$X$4,0)),0)</f>
        <v>0.9</v>
      </c>
      <c r="W87">
        <f>IFERROR(INDEX('Exercise list'!$E$5:$X$102,MATCH($C87,'Exercise list'!$C$5:$C$102,0),MATCH(W$5,'Exercise list'!$E$4:$X$4,0)),0)</f>
        <v>0</v>
      </c>
      <c r="X87">
        <f>IFERROR(INDEX('Exercise list'!$E$5:$X$102,MATCH($C87,'Exercise list'!$C$5:$C$102,0),MATCH(X$5,'Exercise list'!$E$4:$X$4,0)),0)</f>
        <v>0</v>
      </c>
      <c r="Y87">
        <f>IFERROR(INDEX('Exercise list'!$E$5:$X$102,MATCH($C87,'Exercise list'!$C$5:$C$102,0),MATCH(Y$5,'Exercise list'!$E$4:$X$4,0)),0)</f>
        <v>0.7</v>
      </c>
      <c r="Z87">
        <f>IFERROR(INDEX('Exercise list'!$E$5:$X$102,MATCH($C87,'Exercise list'!$C$5:$C$102,0),MATCH(Z$5,'Exercise list'!$E$4:$X$4,0)),0)</f>
        <v>0</v>
      </c>
      <c r="AA87">
        <f>IFERROR(INDEX('Exercise list'!$E$5:$X$102,MATCH($C87,'Exercise list'!$C$5:$C$102,0),MATCH(AA$5,'Exercise list'!$E$4:$X$4,0)),0)</f>
        <v>0</v>
      </c>
      <c r="AB87">
        <f>IFERROR(INDEX('Exercise list'!$E$5:$X$102,MATCH($C87,'Exercise list'!$C$5:$C$102,0),MATCH(AB$5,'Exercise list'!$E$4:$X$4,0)),0)</f>
        <v>0</v>
      </c>
      <c r="AC87">
        <f>IFERROR(INDEX('Exercise list'!$E$5:$X$102,MATCH($C87,'Exercise list'!$C$5:$C$102,0),MATCH(AC$5,'Exercise list'!$E$4:$X$4,0)),0)</f>
        <v>0</v>
      </c>
      <c r="AD87">
        <f>IFERROR(INDEX('Exercise list'!$E$5:$X$102,MATCH($C87,'Exercise list'!$C$5:$C$102,0),MATCH(AD$5,'Exercise list'!$E$4:$X$4,0)),0)</f>
        <v>0</v>
      </c>
      <c r="AE87">
        <f>IFERROR(INDEX('Exercise list'!$E$5:$X$102,MATCH($C87,'Exercise list'!$C$5:$C$102,0),MATCH(AE$5,'Exercise list'!$E$4:$X$4,0)),0)</f>
        <v>0</v>
      </c>
      <c r="AF87">
        <f>IFERROR(INDEX('Exercise list'!$E$5:$X$102,MATCH($C87,'Exercise list'!$C$5:$C$102,0),MATCH(AF$5,'Exercise list'!$E$4:$X$4,0)),0)</f>
        <v>0</v>
      </c>
      <c r="AG87">
        <f>IFERROR(INDEX('Exercise list'!$E$5:$X$102,MATCH($C87,'Exercise list'!$C$5:$C$102,0),MATCH(AG$5,'Exercise list'!$E$4:$X$4,0)),0)</f>
        <v>0</v>
      </c>
      <c r="AH87">
        <f>IFERROR(INDEX('Exercise list'!$E$5:$X$102,MATCH($C87,'Exercise list'!$C$5:$C$102,0),MATCH(AH$5,'Exercise list'!$E$4:$X$4,0)),0)</f>
        <v>0</v>
      </c>
      <c r="AI87">
        <f>IFERROR(INDEX('Exercise list'!$E$5:$X$102,MATCH($C87,'Exercise list'!$C$5:$C$102,0),MATCH(AI$5,'Exercise list'!$E$4:$X$4,0)),0)</f>
        <v>0</v>
      </c>
      <c r="AK87">
        <f>IF(OR($J87=1,COUNTIFS($A$5:$A86,"&gt;="&amp;$A87-1,$A$5:$A86,"&lt;="&amp;$A87,$B$5:$B86,$B87)&gt;0,MIN(1-'Exercise list'!E$2,IF($A87=$A86,AK86,1))-P87&lt;0),-1,MIN(1,IF($A87=$A86,AK86,1)-P87+$D$2))</f>
        <v>1</v>
      </c>
      <c r="AL87">
        <f>IF(OR($J87=1,COUNTIFS($A$5:$A86,"&gt;="&amp;$A87-1,$A$5:$A86,"&lt;="&amp;$A87,$B$5:$B86,$B87)&gt;0,MIN(1-'Exercise list'!F$2,IF($A87=$A86,AL86,1))-Q87&lt;0),-1,MIN(1,IF($A87=$A86,AL86,1)-Q87+$D$2))</f>
        <v>1</v>
      </c>
      <c r="AM87">
        <f>IF(OR($J87=1,COUNTIFS($A$5:$A86,"&gt;="&amp;$A87-1,$A$5:$A86,"&lt;="&amp;$A87,$B$5:$B86,$B87)&gt;0,MIN(1-'Exercise list'!G$2,IF($A87=$A86,AM86,1))-R87&lt;0),-1,MIN(1,IF($A87=$A86,AM86,1)-R87+$D$2))</f>
        <v>1</v>
      </c>
      <c r="AN87">
        <f>IF(OR($J87=1,COUNTIFS($A$5:$A86,"&gt;="&amp;$A87-1,$A$5:$A86,"&lt;="&amp;$A87,$B$5:$B86,$B87)&gt;0,MIN(1-'Exercise list'!H$2,IF($A87=$A86,AN86,1))-S87&lt;0),-1,MIN(1,IF($A87=$A86,AN86,1)-S87+$D$2))</f>
        <v>1</v>
      </c>
      <c r="AO87">
        <f>IF(OR($J87=1,COUNTIFS($A$5:$A86,"&gt;="&amp;$A87-1,$A$5:$A86,"&lt;="&amp;$A87,$B$5:$B86,$B87)&gt;0,MIN(1-'Exercise list'!I$2,IF($A87=$A86,AO86,1))-T87&lt;0),-1,MIN(1,IF($A87=$A86,AO86,1)-T87+$D$2))</f>
        <v>1</v>
      </c>
      <c r="AP87">
        <f>IF(OR($J87=1,COUNTIFS($A$5:$A86,"&gt;="&amp;$A87-1,$A$5:$A86,"&lt;="&amp;$A87,$B$5:$B86,$B87)&gt;0,MIN(1-'Exercise list'!J$2,IF($A87=$A86,AP86,1))-U87&lt;0),-1,MIN(1,IF($A87=$A86,AP86,1)-U87+$D$2))</f>
        <v>1</v>
      </c>
      <c r="AQ87">
        <f>IF(OR($J87=1,COUNTIFS($A$5:$A86,"&gt;="&amp;$A87-1,$A$5:$A86,"&lt;="&amp;$A87,$B$5:$B86,$B87)&gt;0,MIN(1-'Exercise list'!K$2,IF($A87=$A86,AQ86,1))-V87&lt;0),-1,MIN(1,IF($A87=$A86,AQ86,1)-V87+$D$2))</f>
        <v>1</v>
      </c>
      <c r="AR87">
        <f>IF(OR($J87=1,COUNTIFS($A$5:$A86,"&gt;="&amp;$A87-1,$A$5:$A86,"&lt;="&amp;$A87,$B$5:$B86,$B87)&gt;0,MIN(1-'Exercise list'!L$2,IF($A87=$A86,AR86,1))-W87&lt;0),-1,MIN(1,IF($A87=$A86,AR86,1)-W87+$D$2))</f>
        <v>1</v>
      </c>
      <c r="AS87">
        <f>IF(OR($J87=1,COUNTIFS($A$5:$A86,"&gt;="&amp;$A87-1,$A$5:$A86,"&lt;="&amp;$A87,$B$5:$B86,$B87)&gt;0,MIN(1-'Exercise list'!M$2,IF($A87=$A86,AS86,1))-X87&lt;0),-1,MIN(1,IF($A87=$A86,AS86,1)-X87+$D$2))</f>
        <v>1</v>
      </c>
      <c r="AT87">
        <f>IF(OR($J87=1,COUNTIFS($A$5:$A86,"&gt;="&amp;$A87-1,$A$5:$A86,"&lt;="&amp;$A87,$B$5:$B86,$B87)&gt;0,MIN(1-'Exercise list'!N$2,IF($A87=$A86,AT86,1))-Y87&lt;0),-1,MIN(1,IF($A87=$A86,AT86,1)-Y87+$D$2))</f>
        <v>1</v>
      </c>
      <c r="AU87">
        <f>IF(OR($J87=1,COUNTIFS($A$5:$A86,"&gt;="&amp;$A87-1,$A$5:$A86,"&lt;="&amp;$A87,$B$5:$B86,$B87)&gt;0,MIN(1-'Exercise list'!O$2,IF($A87=$A86,AU86,1))-Z87&lt;0),-1,MIN(1,IF($A87=$A86,AU86,1)-Z87+$D$2))</f>
        <v>1</v>
      </c>
      <c r="AV87">
        <f>IF(OR($J87=1,COUNTIFS($A$5:$A86,"&gt;="&amp;$A87-1,$A$5:$A86,"&lt;="&amp;$A87,$B$5:$B86,$B87)&gt;0,MIN(1-'Exercise list'!P$2,IF($A87=$A86,AV86,1))-AA87&lt;0),-1,MIN(1,IF($A87=$A86,AV86,1)-AA87+$D$2))</f>
        <v>1</v>
      </c>
      <c r="AW87">
        <f>IF(OR($J87=1,COUNTIFS($A$5:$A86,"&gt;="&amp;$A87-1,$A$5:$A86,"&lt;="&amp;$A87,$B$5:$B86,$B87)&gt;0,MIN(1-'Exercise list'!Q$2,IF($A87=$A86,AW86,1))-AB87&lt;0),-1,MIN(1,IF($A87=$A86,AW86,1)-AB87+$D$2))</f>
        <v>1</v>
      </c>
      <c r="AX87">
        <f>IF(OR($J87=1,COUNTIFS($A$5:$A86,"&gt;="&amp;$A87-1,$A$5:$A86,"&lt;="&amp;$A87,$B$5:$B86,$B87)&gt;0,MIN(1-'Exercise list'!R$2,IF($A87=$A86,AX86,1))-AC87&lt;0),-1,MIN(1,IF($A87=$A86,AX86,1)-AC87+$D$2))</f>
        <v>1</v>
      </c>
      <c r="AY87">
        <f>IF(OR($J87=1,COUNTIFS($A$5:$A86,"&gt;="&amp;$A87-1,$A$5:$A86,"&lt;="&amp;$A87,$B$5:$B86,$B87)&gt;0,MIN(1-'Exercise list'!S$2,IF($A87=$A86,AY86,1))-AD87&lt;0),-1,MIN(1,IF($A87=$A86,AY86,1)-AD87+$D$2))</f>
        <v>1</v>
      </c>
      <c r="AZ87">
        <f>IF(OR($J87=1,COUNTIFS($A$5:$A86,"&gt;="&amp;$A87-1,$A$5:$A86,"&lt;="&amp;$A87,$B$5:$B86,$B87)&gt;0,MIN(1-'Exercise list'!T$2,IF($A87=$A86,AZ86,1))-AE87&lt;0),-1,MIN(1,IF($A87=$A86,AZ86,1)-AE87+$D$2))</f>
        <v>1</v>
      </c>
      <c r="BA87">
        <f>IF(OR($J87=1,COUNTIFS($A$5:$A86,"&gt;="&amp;$A87-1,$A$5:$A86,"&lt;="&amp;$A87,$B$5:$B86,$B87)&gt;0,MIN(1-'Exercise list'!U$2,IF($A87=$A86,BA86,1))-AF87&lt;0),-1,MIN(1,IF($A87=$A86,BA86,1)-AF87+$D$2))</f>
        <v>1</v>
      </c>
      <c r="BB87">
        <f>IF(OR($J87=1,COUNTIFS($A$5:$A86,"&gt;="&amp;$A87-1,$A$5:$A86,"&lt;="&amp;$A87,$B$5:$B86,$B87)&gt;0,MIN(1-'Exercise list'!V$2,IF($A87=$A86,BB86,1))-AG87&lt;0),-1,MIN(1,IF($A87=$A86,BB86,1)-AG87+$D$2))</f>
        <v>1</v>
      </c>
      <c r="BC87">
        <f>IF(OR($J87=1,COUNTIFS($A$5:$A86,"&gt;="&amp;$A87-1,$A$5:$A86,"&lt;="&amp;$A87,$B$5:$B86,$B87)&gt;0,MIN(1-'Exercise list'!W$2,IF($A87=$A86,BC86,1))-AH87&lt;0),-1,MIN(1,IF($A87=$A86,BC86,1)-AH87+$D$2))</f>
        <v>1</v>
      </c>
      <c r="BD87">
        <f>IF(OR($J87=1,COUNTIFS($A$5:$A86,"&gt;="&amp;$A87-1,$A$5:$A86,"&lt;="&amp;$A87,$B$5:$B86,$B87)&gt;0,MIN(1-'Exercise list'!X$2,IF($A87=$A86,BD86,1))-AI87&lt;0),-1,MIN(1,IF($A87=$A86,BD86,1)-AI87+$D$2))</f>
        <v>1</v>
      </c>
      <c r="BF87" s="16">
        <f t="shared" si="76"/>
        <v>0.13321132197740879</v>
      </c>
      <c r="BG87" s="16">
        <f t="shared" si="77"/>
        <v>0.19294630105048802</v>
      </c>
      <c r="BH87" s="16">
        <f t="shared" si="78"/>
        <v>0.14200251929881144</v>
      </c>
      <c r="BI87" s="16">
        <f t="shared" si="79"/>
        <v>0.16463228778124178</v>
      </c>
      <c r="BJ87" s="16">
        <f t="shared" si="80"/>
        <v>0.2020183100729456</v>
      </c>
      <c r="BK87" s="16">
        <f t="shared" si="81"/>
        <v>0.1533386839544999</v>
      </c>
      <c r="BL87" s="16">
        <f t="shared" si="82"/>
        <v>0.18233929449458364</v>
      </c>
      <c r="BM87" s="16">
        <f t="shared" si="83"/>
        <v>5.0301076379566524E-2</v>
      </c>
      <c r="BN87" s="16">
        <f t="shared" si="84"/>
        <v>0.11678309047467658</v>
      </c>
      <c r="BO87" s="16">
        <f t="shared" si="85"/>
        <v>0.19093551395826877</v>
      </c>
      <c r="BP87" s="16">
        <f t="shared" si="86"/>
        <v>0.28749501902281149</v>
      </c>
      <c r="BQ87" s="16">
        <f t="shared" si="87"/>
        <v>2.3532002171559627E-2</v>
      </c>
      <c r="BR87" s="16">
        <f t="shared" si="88"/>
        <v>0.12839178931092049</v>
      </c>
      <c r="BS87" s="16">
        <f t="shared" si="89"/>
        <v>1.4039084680704611E-2</v>
      </c>
      <c r="BT87" s="16">
        <f t="shared" si="90"/>
        <v>0.14909527222756158</v>
      </c>
      <c r="BU87" s="16">
        <f t="shared" si="91"/>
        <v>0.20817820142668597</v>
      </c>
      <c r="BV87" s="16">
        <f t="shared" si="92"/>
        <v>0.25439611012317664</v>
      </c>
      <c r="BW87" s="16">
        <f t="shared" si="93"/>
        <v>6.3958216719354297E-2</v>
      </c>
      <c r="BX87" s="16">
        <f t="shared" si="94"/>
        <v>6.5537484842985896E-2</v>
      </c>
      <c r="BY87" s="16">
        <f t="shared" si="95"/>
        <v>6.0493311895860762E-2</v>
      </c>
      <c r="CA87" s="16">
        <f t="shared" si="56"/>
        <v>7.2983114456969894E-2</v>
      </c>
      <c r="CB87" s="16">
        <f t="shared" si="57"/>
        <v>1.3248135383890663E-2</v>
      </c>
      <c r="CC87" s="16">
        <f t="shared" si="58"/>
        <v>0</v>
      </c>
      <c r="CD87" s="16">
        <f t="shared" si="59"/>
        <v>0</v>
      </c>
      <c r="CE87" s="16">
        <f t="shared" si="60"/>
        <v>0</v>
      </c>
      <c r="CF87" s="16">
        <f t="shared" si="61"/>
        <v>0.15595297069706815</v>
      </c>
      <c r="CG87" s="16">
        <f t="shared" si="62"/>
        <v>0</v>
      </c>
      <c r="CH87" s="16">
        <f t="shared" si="63"/>
        <v>5.2796141837622816E-2</v>
      </c>
      <c r="CI87" s="16">
        <f t="shared" si="64"/>
        <v>8.9411345959702099E-2</v>
      </c>
      <c r="CJ87" s="16">
        <f t="shared" si="65"/>
        <v>0</v>
      </c>
      <c r="CK87" s="16">
        <f t="shared" si="66"/>
        <v>0</v>
      </c>
      <c r="CL87" s="16">
        <f t="shared" si="67"/>
        <v>7.9565216045629716E-2</v>
      </c>
      <c r="CM87" s="16">
        <f t="shared" si="68"/>
        <v>7.7802647123458191E-2</v>
      </c>
      <c r="CN87" s="16">
        <f t="shared" si="69"/>
        <v>8.9058133536484729E-2</v>
      </c>
      <c r="CO87" s="16">
        <f t="shared" si="70"/>
        <v>0</v>
      </c>
      <c r="CP87" s="16">
        <f t="shared" si="71"/>
        <v>0</v>
      </c>
      <c r="CQ87" s="16">
        <f t="shared" si="72"/>
        <v>0</v>
      </c>
      <c r="CR87" s="16">
        <f t="shared" si="73"/>
        <v>3.9139001497835044E-2</v>
      </c>
      <c r="CS87" s="16">
        <f t="shared" si="74"/>
        <v>3.7559733374203444E-2</v>
      </c>
      <c r="CT87" s="16">
        <f t="shared" si="75"/>
        <v>4.2603906321328579E-2</v>
      </c>
    </row>
    <row r="88" spans="1:99" x14ac:dyDescent="0.25">
      <c r="A88" s="13">
        <v>45073</v>
      </c>
      <c r="B88" s="14">
        <v>44</v>
      </c>
      <c r="C88" s="15" t="str" cm="1">
        <f t="array" ref="C88">IF(B88="","",INDEX('Exercise list'!$C$5:$C$102,B88))</f>
        <v>Leg presses</v>
      </c>
      <c r="D88" s="12">
        <f t="shared" si="52"/>
        <v>1</v>
      </c>
      <c r="E88" s="32">
        <f t="shared" si="53"/>
        <v>1.0279661404283462</v>
      </c>
      <c r="F88" s="63" cm="1">
        <f t="array" ref="F88">IF(B88="","",0.1+IFERROR(INDEX($F$6:$F87,SUMPRODUCT(MAX(ROW($C$6:$C87)*($C88=$C$6:$C87))-ROW($A$5)))*0.9^($A88-INDEX($A$6:A87,SUMPRODUCT(MAX(ROW($C$6:$C87)*($C88=$C$6:$C87))-ROW($A$5)))),0))</f>
        <v>0.13757632374234696</v>
      </c>
      <c r="G88" s="64">
        <f>INDEX('Exercise list'!$Y$5:$Y$102,MATCH(C88,'Exercise list'!$C$5:$C$102,0))</f>
        <v>2</v>
      </c>
      <c r="H88" s="115">
        <f t="shared" si="54"/>
        <v>6.0871410969730567E-2</v>
      </c>
      <c r="I88" s="6">
        <f t="shared" si="55"/>
        <v>4</v>
      </c>
      <c r="J88" s="6" cm="1">
        <f t="array" ref="J88">IF(B88="","",INDEX('Exercise list'!$D$5:$D$102,B88))</f>
        <v>0</v>
      </c>
      <c r="K88" s="12">
        <v>41</v>
      </c>
      <c r="L88" s="74" t="str" cm="1">
        <f t="array" ref="L88">IF(K88="","",INDEX('Exercise list'!$C$5:$C$102,K88))</f>
        <v>Dumbbell walking lunges</v>
      </c>
      <c r="M88" s="6">
        <v>40</v>
      </c>
      <c r="N88" s="75" t="str" cm="1">
        <f t="array" ref="N88">IF(M88="","",INDEX('Exercise list'!$C$5:$C$102,M88))</f>
        <v>Calf presses</v>
      </c>
      <c r="P88">
        <f>IFERROR(INDEX('Exercise list'!$E$5:$X$102,MATCH($C88,'Exercise list'!$C$5:$C$102,0),MATCH(P$5,'Exercise list'!$E$4:$X$4,0)),0)</f>
        <v>0</v>
      </c>
      <c r="Q88">
        <f>IFERROR(INDEX('Exercise list'!$E$5:$X$102,MATCH($C88,'Exercise list'!$C$5:$C$102,0),MATCH(Q$5,'Exercise list'!$E$4:$X$4,0)),0)</f>
        <v>0</v>
      </c>
      <c r="R88">
        <f>IFERROR(INDEX('Exercise list'!$E$5:$X$102,MATCH($C88,'Exercise list'!$C$5:$C$102,0),MATCH(R$5,'Exercise list'!$E$4:$X$4,0)),0)</f>
        <v>0</v>
      </c>
      <c r="S88">
        <f>IFERROR(INDEX('Exercise list'!$E$5:$X$102,MATCH($C88,'Exercise list'!$C$5:$C$102,0),MATCH(S$5,'Exercise list'!$E$4:$X$4,0)),0)</f>
        <v>0</v>
      </c>
      <c r="T88">
        <f>IFERROR(INDEX('Exercise list'!$E$5:$X$102,MATCH($C88,'Exercise list'!$C$5:$C$102,0),MATCH(T$5,'Exercise list'!$E$4:$X$4,0)),0)</f>
        <v>0</v>
      </c>
      <c r="U88">
        <f>IFERROR(INDEX('Exercise list'!$E$5:$X$102,MATCH($C88,'Exercise list'!$C$5:$C$102,0),MATCH(U$5,'Exercise list'!$E$4:$X$4,0)),0)</f>
        <v>0</v>
      </c>
      <c r="V88">
        <f>IFERROR(INDEX('Exercise list'!$E$5:$X$102,MATCH($C88,'Exercise list'!$C$5:$C$102,0),MATCH(V$5,'Exercise list'!$E$4:$X$4,0)),0)</f>
        <v>0</v>
      </c>
      <c r="W88">
        <f>IFERROR(INDEX('Exercise list'!$E$5:$X$102,MATCH($C88,'Exercise list'!$C$5:$C$102,0),MATCH(W$5,'Exercise list'!$E$4:$X$4,0)),0)</f>
        <v>0</v>
      </c>
      <c r="X88">
        <f>IFERROR(INDEX('Exercise list'!$E$5:$X$102,MATCH($C88,'Exercise list'!$C$5:$C$102,0),MATCH(X$5,'Exercise list'!$E$4:$X$4,0)),0)</f>
        <v>0</v>
      </c>
      <c r="Y88">
        <f>IFERROR(INDEX('Exercise list'!$E$5:$X$102,MATCH($C88,'Exercise list'!$C$5:$C$102,0),MATCH(Y$5,'Exercise list'!$E$4:$X$4,0)),0)</f>
        <v>0</v>
      </c>
      <c r="Z88">
        <f>IFERROR(INDEX('Exercise list'!$E$5:$X$102,MATCH($C88,'Exercise list'!$C$5:$C$102,0),MATCH(Z$5,'Exercise list'!$E$4:$X$4,0)),0)</f>
        <v>0</v>
      </c>
      <c r="AA88">
        <f>IFERROR(INDEX('Exercise list'!$E$5:$X$102,MATCH($C88,'Exercise list'!$C$5:$C$102,0),MATCH(AA$5,'Exercise list'!$E$4:$X$4,0)),0)</f>
        <v>0</v>
      </c>
      <c r="AB88">
        <f>IFERROR(INDEX('Exercise list'!$E$5:$X$102,MATCH($C88,'Exercise list'!$C$5:$C$102,0),MATCH(AB$5,'Exercise list'!$E$4:$X$4,0)),0)</f>
        <v>0</v>
      </c>
      <c r="AC88">
        <f>IFERROR(INDEX('Exercise list'!$E$5:$X$102,MATCH($C88,'Exercise list'!$C$5:$C$102,0),MATCH(AC$5,'Exercise list'!$E$4:$X$4,0)),0)</f>
        <v>0</v>
      </c>
      <c r="AD88">
        <f>IFERROR(INDEX('Exercise list'!$E$5:$X$102,MATCH($C88,'Exercise list'!$C$5:$C$102,0),MATCH(AD$5,'Exercise list'!$E$4:$X$4,0)),0)</f>
        <v>0.9</v>
      </c>
      <c r="AE88">
        <f>IFERROR(INDEX('Exercise list'!$E$5:$X$102,MATCH($C88,'Exercise list'!$C$5:$C$102,0),MATCH(AE$5,'Exercise list'!$E$4:$X$4,0)),0)</f>
        <v>0.7</v>
      </c>
      <c r="AF88">
        <f>IFERROR(INDEX('Exercise list'!$E$5:$X$102,MATCH($C88,'Exercise list'!$C$5:$C$102,0),MATCH(AF$5,'Exercise list'!$E$4:$X$4,0)),0)</f>
        <v>0.9</v>
      </c>
      <c r="AG88">
        <f>IFERROR(INDEX('Exercise list'!$E$5:$X$102,MATCH($C88,'Exercise list'!$C$5:$C$102,0),MATCH(AG$5,'Exercise list'!$E$4:$X$4,0)),0)</f>
        <v>0.5</v>
      </c>
      <c r="AH88">
        <f>IFERROR(INDEX('Exercise list'!$E$5:$X$102,MATCH($C88,'Exercise list'!$C$5:$C$102,0),MATCH(AH$5,'Exercise list'!$E$4:$X$4,0)),0)</f>
        <v>0.6</v>
      </c>
      <c r="AI88">
        <f>IFERROR(INDEX('Exercise list'!$E$5:$X$102,MATCH($C88,'Exercise list'!$C$5:$C$102,0),MATCH(AI$5,'Exercise list'!$E$4:$X$4,0)),0)</f>
        <v>0</v>
      </c>
      <c r="AK88">
        <f>IF(OR($J88=1,COUNTIFS($A$5:$A87,"&gt;="&amp;$A88-1,$A$5:$A87,"&lt;="&amp;$A88,$B$5:$B87,$B88)&gt;0,MIN(1-'Exercise list'!E$2,IF($A88=$A87,AK87,1))-P88&lt;0),-1,MIN(1,IF($A88=$A87,AK87,1)-P88+$D$2))</f>
        <v>1</v>
      </c>
      <c r="AL88">
        <f>IF(OR($J88=1,COUNTIFS($A$5:$A87,"&gt;="&amp;$A88-1,$A$5:$A87,"&lt;="&amp;$A88,$B$5:$B87,$B88)&gt;0,MIN(1-'Exercise list'!F$2,IF($A88=$A87,AL87,1))-Q88&lt;0),-1,MIN(1,IF($A88=$A87,AL87,1)-Q88+$D$2))</f>
        <v>1</v>
      </c>
      <c r="AM88">
        <f>IF(OR($J88=1,COUNTIFS($A$5:$A87,"&gt;="&amp;$A88-1,$A$5:$A87,"&lt;="&amp;$A88,$B$5:$B87,$B88)&gt;0,MIN(1-'Exercise list'!G$2,IF($A88=$A87,AM87,1))-R88&lt;0),-1,MIN(1,IF($A88=$A87,AM87,1)-R88+$D$2))</f>
        <v>1</v>
      </c>
      <c r="AN88">
        <f>IF(OR($J88=1,COUNTIFS($A$5:$A87,"&gt;="&amp;$A88-1,$A$5:$A87,"&lt;="&amp;$A88,$B$5:$B87,$B88)&gt;0,MIN(1-'Exercise list'!H$2,IF($A88=$A87,AN87,1))-S88&lt;0),-1,MIN(1,IF($A88=$A87,AN87,1)-S88+$D$2))</f>
        <v>1</v>
      </c>
      <c r="AO88">
        <f>IF(OR($J88=1,COUNTIFS($A$5:$A87,"&gt;="&amp;$A88-1,$A$5:$A87,"&lt;="&amp;$A88,$B$5:$B87,$B88)&gt;0,MIN(1-'Exercise list'!I$2,IF($A88=$A87,AO87,1))-T88&lt;0),-1,MIN(1,IF($A88=$A87,AO87,1)-T88+$D$2))</f>
        <v>1</v>
      </c>
      <c r="AP88">
        <f>IF(OR($J88=1,COUNTIFS($A$5:$A87,"&gt;="&amp;$A88-1,$A$5:$A87,"&lt;="&amp;$A88,$B$5:$B87,$B88)&gt;0,MIN(1-'Exercise list'!J$2,IF($A88=$A87,AP87,1))-U88&lt;0),-1,MIN(1,IF($A88=$A87,AP87,1)-U88+$D$2))</f>
        <v>1</v>
      </c>
      <c r="AQ88">
        <f>IF(OR($J88=1,COUNTIFS($A$5:$A87,"&gt;="&amp;$A88-1,$A$5:$A87,"&lt;="&amp;$A88,$B$5:$B87,$B88)&gt;0,MIN(1-'Exercise list'!K$2,IF($A88=$A87,AQ87,1))-V88&lt;0),-1,MIN(1,IF($A88=$A87,AQ87,1)-V88+$D$2))</f>
        <v>1</v>
      </c>
      <c r="AR88">
        <f>IF(OR($J88=1,COUNTIFS($A$5:$A87,"&gt;="&amp;$A88-1,$A$5:$A87,"&lt;="&amp;$A88,$B$5:$B87,$B88)&gt;0,MIN(1-'Exercise list'!L$2,IF($A88=$A87,AR87,1))-W88&lt;0),-1,MIN(1,IF($A88=$A87,AR87,1)-W88+$D$2))</f>
        <v>1</v>
      </c>
      <c r="AS88">
        <f>IF(OR($J88=1,COUNTIFS($A$5:$A87,"&gt;="&amp;$A88-1,$A$5:$A87,"&lt;="&amp;$A88,$B$5:$B87,$B88)&gt;0,MIN(1-'Exercise list'!M$2,IF($A88=$A87,AS87,1))-X88&lt;0),-1,MIN(1,IF($A88=$A87,AS87,1)-X88+$D$2))</f>
        <v>1</v>
      </c>
      <c r="AT88">
        <f>IF(OR($J88=1,COUNTIFS($A$5:$A87,"&gt;="&amp;$A88-1,$A$5:$A87,"&lt;="&amp;$A88,$B$5:$B87,$B88)&gt;0,MIN(1-'Exercise list'!N$2,IF($A88=$A87,AT87,1))-Y88&lt;0),-1,MIN(1,IF($A88=$A87,AT87,1)-Y88+$D$2))</f>
        <v>1</v>
      </c>
      <c r="AU88">
        <f>IF(OR($J88=1,COUNTIFS($A$5:$A87,"&gt;="&amp;$A88-1,$A$5:$A87,"&lt;="&amp;$A88,$B$5:$B87,$B88)&gt;0,MIN(1-'Exercise list'!O$2,IF($A88=$A87,AU87,1))-Z88&lt;0),-1,MIN(1,IF($A88=$A87,AU87,1)-Z88+$D$2))</f>
        <v>1</v>
      </c>
      <c r="AV88">
        <f>IF(OR($J88=1,COUNTIFS($A$5:$A87,"&gt;="&amp;$A88-1,$A$5:$A87,"&lt;="&amp;$A88,$B$5:$B87,$B88)&gt;0,MIN(1-'Exercise list'!P$2,IF($A88=$A87,AV87,1))-AA88&lt;0),-1,MIN(1,IF($A88=$A87,AV87,1)-AA88+$D$2))</f>
        <v>1</v>
      </c>
      <c r="AW88">
        <f>IF(OR($J88=1,COUNTIFS($A$5:$A87,"&gt;="&amp;$A88-1,$A$5:$A87,"&lt;="&amp;$A88,$B$5:$B87,$B88)&gt;0,MIN(1-'Exercise list'!Q$2,IF($A88=$A87,AW87,1))-AB88&lt;0),-1,MIN(1,IF($A88=$A87,AW87,1)-AB88+$D$2))</f>
        <v>1</v>
      </c>
      <c r="AX88">
        <f>IF(OR($J88=1,COUNTIFS($A$5:$A87,"&gt;="&amp;$A88-1,$A$5:$A87,"&lt;="&amp;$A88,$B$5:$B87,$B88)&gt;0,MIN(1-'Exercise list'!R$2,IF($A88=$A87,AX87,1))-AC88&lt;0),-1,MIN(1,IF($A88=$A87,AX87,1)-AC88+$D$2))</f>
        <v>1</v>
      </c>
      <c r="AY88">
        <f>IF(OR($J88=1,COUNTIFS($A$5:$A87,"&gt;="&amp;$A88-1,$A$5:$A87,"&lt;="&amp;$A88,$B$5:$B87,$B88)&gt;0,MIN(1-'Exercise list'!S$2,IF($A88=$A87,AY87,1))-AD88&lt;0),-1,MIN(1,IF($A88=$A87,AY87,1)-AD88+$D$2))</f>
        <v>1</v>
      </c>
      <c r="AZ88">
        <f>IF(OR($J88=1,COUNTIFS($A$5:$A87,"&gt;="&amp;$A88-1,$A$5:$A87,"&lt;="&amp;$A88,$B$5:$B87,$B88)&gt;0,MIN(1-'Exercise list'!T$2,IF($A88=$A87,AZ87,1))-AE88&lt;0),-1,MIN(1,IF($A88=$A87,AZ87,1)-AE88+$D$2))</f>
        <v>1</v>
      </c>
      <c r="BA88">
        <f>IF(OR($J88=1,COUNTIFS($A$5:$A87,"&gt;="&amp;$A88-1,$A$5:$A87,"&lt;="&amp;$A88,$B$5:$B87,$B88)&gt;0,MIN(1-'Exercise list'!U$2,IF($A88=$A87,BA87,1))-AF88&lt;0),-1,MIN(1,IF($A88=$A87,BA87,1)-AF88+$D$2))</f>
        <v>1</v>
      </c>
      <c r="BB88">
        <f>IF(OR($J88=1,COUNTIFS($A$5:$A87,"&gt;="&amp;$A88-1,$A$5:$A87,"&lt;="&amp;$A88,$B$5:$B87,$B88)&gt;0,MIN(1-'Exercise list'!V$2,IF($A88=$A87,BB87,1))-AG88&lt;0),-1,MIN(1,IF($A88=$A87,BB87,1)-AG88+$D$2))</f>
        <v>1</v>
      </c>
      <c r="BC88">
        <f>IF(OR($J88=1,COUNTIFS($A$5:$A87,"&gt;="&amp;$A88-1,$A$5:$A87,"&lt;="&amp;$A88,$B$5:$B87,$B88)&gt;0,MIN(1-'Exercise list'!W$2,IF($A88=$A87,BC87,1))-AH88&lt;0),-1,MIN(1,IF($A88=$A87,BC87,1)-AH88+$D$2))</f>
        <v>1</v>
      </c>
      <c r="BD88">
        <f>IF(OR($J88=1,COUNTIFS($A$5:$A87,"&gt;="&amp;$A88-1,$A$5:$A87,"&lt;="&amp;$A88,$B$5:$B87,$B88)&gt;0,MIN(1-'Exercise list'!X$2,IF($A88=$A87,BD87,1))-AI88&lt;0),-1,MIN(1,IF($A88=$A87,BD87,1)-AI88+$D$2))</f>
        <v>1</v>
      </c>
      <c r="BF88" s="16">
        <f t="shared" si="76"/>
        <v>0.12655075587853834</v>
      </c>
      <c r="BG88" s="16">
        <f t="shared" si="77"/>
        <v>0.1832989859979636</v>
      </c>
      <c r="BH88" s="16">
        <f t="shared" si="78"/>
        <v>0.13490239333387086</v>
      </c>
      <c r="BI88" s="16">
        <f t="shared" si="79"/>
        <v>0.1564006733921797</v>
      </c>
      <c r="BJ88" s="16">
        <f t="shared" si="80"/>
        <v>0.19191739456929832</v>
      </c>
      <c r="BK88" s="16">
        <f t="shared" si="81"/>
        <v>0.14567174975677491</v>
      </c>
      <c r="BL88" s="16">
        <f t="shared" si="82"/>
        <v>0.17322232976985444</v>
      </c>
      <c r="BM88" s="16">
        <f t="shared" si="83"/>
        <v>4.7786022560588198E-2</v>
      </c>
      <c r="BN88" s="16">
        <f t="shared" si="84"/>
        <v>0.11094393595094275</v>
      </c>
      <c r="BO88" s="16">
        <f t="shared" si="85"/>
        <v>0.18138873826035531</v>
      </c>
      <c r="BP88" s="16">
        <f t="shared" si="86"/>
        <v>0.27312026807167089</v>
      </c>
      <c r="BQ88" s="16">
        <f t="shared" si="87"/>
        <v>2.2355402062981644E-2</v>
      </c>
      <c r="BR88" s="16">
        <f t="shared" si="88"/>
        <v>0.12197219984537445</v>
      </c>
      <c r="BS88" s="16">
        <f t="shared" si="89"/>
        <v>1.3337130446669379E-2</v>
      </c>
      <c r="BT88" s="16">
        <f t="shared" si="90"/>
        <v>0.1866405086161835</v>
      </c>
      <c r="BU88" s="16">
        <f t="shared" si="91"/>
        <v>0.23276929135535165</v>
      </c>
      <c r="BV88" s="16">
        <f t="shared" si="92"/>
        <v>0.28667630461701782</v>
      </c>
      <c r="BW88" s="16">
        <f t="shared" si="93"/>
        <v>8.5760305883386581E-2</v>
      </c>
      <c r="BX88" s="16">
        <f t="shared" si="94"/>
        <v>9.2260610600836596E-2</v>
      </c>
      <c r="BY88" s="16">
        <f t="shared" si="95"/>
        <v>5.7468646301067718E-2</v>
      </c>
      <c r="CA88" s="16">
        <f t="shared" si="56"/>
        <v>8.2667292067454767E-2</v>
      </c>
      <c r="CB88" s="16">
        <f t="shared" si="57"/>
        <v>2.5919061948029509E-2</v>
      </c>
      <c r="CC88" s="16">
        <f t="shared" si="58"/>
        <v>0</v>
      </c>
      <c r="CD88" s="16">
        <f t="shared" si="59"/>
        <v>0</v>
      </c>
      <c r="CE88" s="16">
        <f t="shared" si="60"/>
        <v>0</v>
      </c>
      <c r="CF88" s="16">
        <f t="shared" si="61"/>
        <v>0.16815532216221477</v>
      </c>
      <c r="CG88" s="16">
        <f t="shared" si="62"/>
        <v>0</v>
      </c>
      <c r="CH88" s="16">
        <f t="shared" si="63"/>
        <v>5.6823001412408355E-2</v>
      </c>
      <c r="CI88" s="16">
        <f t="shared" si="64"/>
        <v>9.8274111995050359E-2</v>
      </c>
      <c r="CJ88" s="16">
        <f t="shared" si="65"/>
        <v>0</v>
      </c>
      <c r="CK88" s="16">
        <f t="shared" si="66"/>
        <v>0</v>
      </c>
      <c r="CL88" s="16">
        <f t="shared" si="67"/>
        <v>8.225362191001491E-2</v>
      </c>
      <c r="CM88" s="16">
        <f t="shared" si="68"/>
        <v>8.7245848100618653E-2</v>
      </c>
      <c r="CN88" s="16">
        <f t="shared" si="69"/>
        <v>9.1271893526327169E-2</v>
      </c>
      <c r="CO88" s="16">
        <f t="shared" si="70"/>
        <v>0</v>
      </c>
      <c r="CP88" s="16">
        <f t="shared" si="71"/>
        <v>0</v>
      </c>
      <c r="CQ88" s="16">
        <f t="shared" si="72"/>
        <v>0</v>
      </c>
      <c r="CR88" s="16">
        <f t="shared" si="73"/>
        <v>1.8848718089609973E-2</v>
      </c>
      <c r="CS88" s="16">
        <f t="shared" si="74"/>
        <v>1.2348413372159958E-2</v>
      </c>
      <c r="CT88" s="16">
        <f t="shared" si="75"/>
        <v>4.7140377671928836E-2</v>
      </c>
    </row>
    <row r="89" spans="1:99" x14ac:dyDescent="0.25">
      <c r="A89" s="20">
        <v>45073</v>
      </c>
      <c r="B89" s="21">
        <v>5</v>
      </c>
      <c r="C89" s="22" t="str" cm="1">
        <f t="array" ref="C89">IF(B89="","",INDEX('Exercise list'!$C$5:$C$102,B89))</f>
        <v>Treadmill running</v>
      </c>
      <c r="D89" s="17">
        <f t="shared" si="52"/>
        <v>1</v>
      </c>
      <c r="E89" s="33">
        <f t="shared" si="53"/>
        <v>1.6017352896807246</v>
      </c>
      <c r="F89" s="65" cm="1">
        <f t="array" ref="F89">IF(B89="","",0.1+IFERROR(INDEX($F$6:$F88,SUMPRODUCT(MAX(ROW($C$6:$C88)*($C89=$C$6:$C88))-ROW($A$5)))*0.9^($A89-INDEX($A$6:A88,SUMPRODUCT(MAX(ROW($C$6:$C88)*($C89=$C$6:$C88))-ROW($A$5)))),0))</f>
        <v>0.14068281771030405</v>
      </c>
      <c r="G89" s="25">
        <f>INDEX('Exercise list'!$Y$5:$Y$102,MATCH(C89,'Exercise list'!$C$5:$C$102,0))</f>
        <v>3</v>
      </c>
      <c r="H89" s="116">
        <f t="shared" si="54"/>
        <v>6.0871410969730567E-2</v>
      </c>
      <c r="I89" s="18">
        <f t="shared" si="55"/>
        <v>5</v>
      </c>
      <c r="J89" s="18" cm="1">
        <f t="array" ref="J89">IF(B89="","",INDEX('Exercise list'!$D$5:$D$102,B89))</f>
        <v>0</v>
      </c>
      <c r="K89" s="17">
        <v>2</v>
      </c>
      <c r="L89" s="51" t="str" cm="1">
        <f t="array" ref="L89">IF(K89="","",INDEX('Exercise list'!$C$5:$C$102,K89))</f>
        <v>Lateral elliptical machine</v>
      </c>
      <c r="M89" s="18">
        <v>3</v>
      </c>
      <c r="N89" s="76" t="str" cm="1">
        <f t="array" ref="N89">IF(M89="","",INDEX('Exercise list'!$C$5:$C$102,M89))</f>
        <v>Rowing machine</v>
      </c>
      <c r="O89" s="19"/>
      <c r="P89" s="19">
        <f>IFERROR(INDEX('Exercise list'!$E$5:$X$102,MATCH($C89,'Exercise list'!$C$5:$C$102,0),MATCH(P$5,'Exercise list'!$E$4:$X$4,0)),0)</f>
        <v>0</v>
      </c>
      <c r="Q89" s="19">
        <f>IFERROR(INDEX('Exercise list'!$E$5:$X$102,MATCH($C89,'Exercise list'!$C$5:$C$102,0),MATCH(Q$5,'Exercise list'!$E$4:$X$4,0)),0)</f>
        <v>0</v>
      </c>
      <c r="R89" s="19">
        <f>IFERROR(INDEX('Exercise list'!$E$5:$X$102,MATCH($C89,'Exercise list'!$C$5:$C$102,0),MATCH(R$5,'Exercise list'!$E$4:$X$4,0)),0)</f>
        <v>0</v>
      </c>
      <c r="S89" s="19">
        <f>IFERROR(INDEX('Exercise list'!$E$5:$X$102,MATCH($C89,'Exercise list'!$C$5:$C$102,0),MATCH(S$5,'Exercise list'!$E$4:$X$4,0)),0)</f>
        <v>0</v>
      </c>
      <c r="T89" s="19">
        <f>IFERROR(INDEX('Exercise list'!$E$5:$X$102,MATCH($C89,'Exercise list'!$C$5:$C$102,0),MATCH(T$5,'Exercise list'!$E$4:$X$4,0)),0)</f>
        <v>0</v>
      </c>
      <c r="U89" s="19">
        <f>IFERROR(INDEX('Exercise list'!$E$5:$X$102,MATCH($C89,'Exercise list'!$C$5:$C$102,0),MATCH(U$5,'Exercise list'!$E$4:$X$4,0)),0)</f>
        <v>0</v>
      </c>
      <c r="V89" s="19">
        <f>IFERROR(INDEX('Exercise list'!$E$5:$X$102,MATCH($C89,'Exercise list'!$C$5:$C$102,0),MATCH(V$5,'Exercise list'!$E$4:$X$4,0)),0)</f>
        <v>0</v>
      </c>
      <c r="W89" s="19">
        <f>IFERROR(INDEX('Exercise list'!$E$5:$X$102,MATCH($C89,'Exercise list'!$C$5:$C$102,0),MATCH(W$5,'Exercise list'!$E$4:$X$4,0)),0)</f>
        <v>0</v>
      </c>
      <c r="X89" s="19">
        <f>IFERROR(INDEX('Exercise list'!$E$5:$X$102,MATCH($C89,'Exercise list'!$C$5:$C$102,0),MATCH(X$5,'Exercise list'!$E$4:$X$4,0)),0)</f>
        <v>0</v>
      </c>
      <c r="Y89" s="19">
        <f>IFERROR(INDEX('Exercise list'!$E$5:$X$102,MATCH($C89,'Exercise list'!$C$5:$C$102,0),MATCH(Y$5,'Exercise list'!$E$4:$X$4,0)),0)</f>
        <v>0</v>
      </c>
      <c r="Z89" s="19">
        <f>IFERROR(INDEX('Exercise list'!$E$5:$X$102,MATCH($C89,'Exercise list'!$C$5:$C$102,0),MATCH(Z$5,'Exercise list'!$E$4:$X$4,0)),0)</f>
        <v>0</v>
      </c>
      <c r="AA89" s="19">
        <f>IFERROR(INDEX('Exercise list'!$E$5:$X$102,MATCH($C89,'Exercise list'!$C$5:$C$102,0),MATCH(AA$5,'Exercise list'!$E$4:$X$4,0)),0)</f>
        <v>0</v>
      </c>
      <c r="AB89" s="19">
        <f>IFERROR(INDEX('Exercise list'!$E$5:$X$102,MATCH($C89,'Exercise list'!$C$5:$C$102,0),MATCH(AB$5,'Exercise list'!$E$4:$X$4,0)),0)</f>
        <v>0</v>
      </c>
      <c r="AC89" s="19">
        <f>IFERROR(INDEX('Exercise list'!$E$5:$X$102,MATCH($C89,'Exercise list'!$C$5:$C$102,0),MATCH(AC$5,'Exercise list'!$E$4:$X$4,0)),0)</f>
        <v>0</v>
      </c>
      <c r="AD89" s="19">
        <f>IFERROR(INDEX('Exercise list'!$E$5:$X$102,MATCH($C89,'Exercise list'!$C$5:$C$102,0),MATCH(AD$5,'Exercise list'!$E$4:$X$4,0)),0)</f>
        <v>1</v>
      </c>
      <c r="AE89" s="19">
        <f>IFERROR(INDEX('Exercise list'!$E$5:$X$102,MATCH($C89,'Exercise list'!$C$5:$C$102,0),MATCH(AE$5,'Exercise list'!$E$4:$X$4,0)),0)</f>
        <v>0.7</v>
      </c>
      <c r="AF89" s="19">
        <f>IFERROR(INDEX('Exercise list'!$E$5:$X$102,MATCH($C89,'Exercise list'!$C$5:$C$102,0),MATCH(AF$5,'Exercise list'!$E$4:$X$4,0)),0)</f>
        <v>0.7</v>
      </c>
      <c r="AG89" s="19">
        <f>IFERROR(INDEX('Exercise list'!$E$5:$X$102,MATCH($C89,'Exercise list'!$C$5:$C$102,0),MATCH(AG$5,'Exercise list'!$E$4:$X$4,0)),0)</f>
        <v>1</v>
      </c>
      <c r="AH89" s="19">
        <f>IFERROR(INDEX('Exercise list'!$E$5:$X$102,MATCH($C89,'Exercise list'!$C$5:$C$102,0),MATCH(AH$5,'Exercise list'!$E$4:$X$4,0)),0)</f>
        <v>0</v>
      </c>
      <c r="AI89" s="19">
        <f>IFERROR(INDEX('Exercise list'!$E$5:$X$102,MATCH($C89,'Exercise list'!$C$5:$C$102,0),MATCH(AI$5,'Exercise list'!$E$4:$X$4,0)),0)</f>
        <v>0</v>
      </c>
      <c r="AJ89" s="19"/>
      <c r="AK89" s="19">
        <f>IF(OR($J89=1,COUNTIFS($A$5:$A88,"&gt;="&amp;$A89-1,$A$5:$A88,"&lt;="&amp;$A89,$B$5:$B88,$B89)&gt;0,MIN(1-'Exercise list'!E$2,IF($A89=$A88,AK88,1))-P89&lt;0),-1,MIN(1,IF($A89=$A88,AK88,1)-P89+$D$2))</f>
        <v>1</v>
      </c>
      <c r="AL89" s="19">
        <f>IF(OR($J89=1,COUNTIFS($A$5:$A88,"&gt;="&amp;$A89-1,$A$5:$A88,"&lt;="&amp;$A89,$B$5:$B88,$B89)&gt;0,MIN(1-'Exercise list'!F$2,IF($A89=$A88,AL88,1))-Q89&lt;0),-1,MIN(1,IF($A89=$A88,AL88,1)-Q89+$D$2))</f>
        <v>1</v>
      </c>
      <c r="AM89" s="19">
        <f>IF(OR($J89=1,COUNTIFS($A$5:$A88,"&gt;="&amp;$A89-1,$A$5:$A88,"&lt;="&amp;$A89,$B$5:$B88,$B89)&gt;0,MIN(1-'Exercise list'!G$2,IF($A89=$A88,AM88,1))-R89&lt;0),-1,MIN(1,IF($A89=$A88,AM88,1)-R89+$D$2))</f>
        <v>1</v>
      </c>
      <c r="AN89" s="19">
        <f>IF(OR($J89=1,COUNTIFS($A$5:$A88,"&gt;="&amp;$A89-1,$A$5:$A88,"&lt;="&amp;$A89,$B$5:$B88,$B89)&gt;0,MIN(1-'Exercise list'!H$2,IF($A89=$A88,AN88,1))-S89&lt;0),-1,MIN(1,IF($A89=$A88,AN88,1)-S89+$D$2))</f>
        <v>1</v>
      </c>
      <c r="AO89" s="19">
        <f>IF(OR($J89=1,COUNTIFS($A$5:$A88,"&gt;="&amp;$A89-1,$A$5:$A88,"&lt;="&amp;$A89,$B$5:$B88,$B89)&gt;0,MIN(1-'Exercise list'!I$2,IF($A89=$A88,AO88,1))-T89&lt;0),-1,MIN(1,IF($A89=$A88,AO88,1)-T89+$D$2))</f>
        <v>1</v>
      </c>
      <c r="AP89" s="19">
        <f>IF(OR($J89=1,COUNTIFS($A$5:$A88,"&gt;="&amp;$A89-1,$A$5:$A88,"&lt;="&amp;$A89,$B$5:$B88,$B89)&gt;0,MIN(1-'Exercise list'!J$2,IF($A89=$A88,AP88,1))-U89&lt;0),-1,MIN(1,IF($A89=$A88,AP88,1)-U89+$D$2))</f>
        <v>1</v>
      </c>
      <c r="AQ89" s="19">
        <f>IF(OR($J89=1,COUNTIFS($A$5:$A88,"&gt;="&amp;$A89-1,$A$5:$A88,"&lt;="&amp;$A89,$B$5:$B88,$B89)&gt;0,MIN(1-'Exercise list'!K$2,IF($A89=$A88,AQ88,1))-V89&lt;0),-1,MIN(1,IF($A89=$A88,AQ88,1)-V89+$D$2))</f>
        <v>1</v>
      </c>
      <c r="AR89" s="19">
        <f>IF(OR($J89=1,COUNTIFS($A$5:$A88,"&gt;="&amp;$A89-1,$A$5:$A88,"&lt;="&amp;$A89,$B$5:$B88,$B89)&gt;0,MIN(1-'Exercise list'!L$2,IF($A89=$A88,AR88,1))-W89&lt;0),-1,MIN(1,IF($A89=$A88,AR88,1)-W89+$D$2))</f>
        <v>1</v>
      </c>
      <c r="AS89" s="19">
        <f>IF(OR($J89=1,COUNTIFS($A$5:$A88,"&gt;="&amp;$A89-1,$A$5:$A88,"&lt;="&amp;$A89,$B$5:$B88,$B89)&gt;0,MIN(1-'Exercise list'!M$2,IF($A89=$A88,AS88,1))-X89&lt;0),-1,MIN(1,IF($A89=$A88,AS88,1)-X89+$D$2))</f>
        <v>1</v>
      </c>
      <c r="AT89" s="19">
        <f>IF(OR($J89=1,COUNTIFS($A$5:$A88,"&gt;="&amp;$A89-1,$A$5:$A88,"&lt;="&amp;$A89,$B$5:$B88,$B89)&gt;0,MIN(1-'Exercise list'!N$2,IF($A89=$A88,AT88,1))-Y89&lt;0),-1,MIN(1,IF($A89=$A88,AT88,1)-Y89+$D$2))</f>
        <v>1</v>
      </c>
      <c r="AU89" s="19">
        <f>IF(OR($J89=1,COUNTIFS($A$5:$A88,"&gt;="&amp;$A89-1,$A$5:$A88,"&lt;="&amp;$A89,$B$5:$B88,$B89)&gt;0,MIN(1-'Exercise list'!O$2,IF($A89=$A88,AU88,1))-Z89&lt;0),-1,MIN(1,IF($A89=$A88,AU88,1)-Z89+$D$2))</f>
        <v>1</v>
      </c>
      <c r="AV89" s="19">
        <f>IF(OR($J89=1,COUNTIFS($A$5:$A88,"&gt;="&amp;$A89-1,$A$5:$A88,"&lt;="&amp;$A89,$B$5:$B88,$B89)&gt;0,MIN(1-'Exercise list'!P$2,IF($A89=$A88,AV88,1))-AA89&lt;0),-1,MIN(1,IF($A89=$A88,AV88,1)-AA89+$D$2))</f>
        <v>1</v>
      </c>
      <c r="AW89" s="19">
        <f>IF(OR($J89=1,COUNTIFS($A$5:$A88,"&gt;="&amp;$A89-1,$A$5:$A88,"&lt;="&amp;$A89,$B$5:$B88,$B89)&gt;0,MIN(1-'Exercise list'!Q$2,IF($A89=$A88,AW88,1))-AB89&lt;0),-1,MIN(1,IF($A89=$A88,AW88,1)-AB89+$D$2))</f>
        <v>1</v>
      </c>
      <c r="AX89" s="19">
        <f>IF(OR($J89=1,COUNTIFS($A$5:$A88,"&gt;="&amp;$A89-1,$A$5:$A88,"&lt;="&amp;$A89,$B$5:$B88,$B89)&gt;0,MIN(1-'Exercise list'!R$2,IF($A89=$A88,AX88,1))-AC89&lt;0),-1,MIN(1,IF($A89=$A88,AX88,1)-AC89+$D$2))</f>
        <v>1</v>
      </c>
      <c r="AY89" s="19">
        <f>IF(OR($J89=1,COUNTIFS($A$5:$A88,"&gt;="&amp;$A89-1,$A$5:$A88,"&lt;="&amp;$A89,$B$5:$B88,$B89)&gt;0,MIN(1-'Exercise list'!S$2,IF($A89=$A88,AY88,1))-AD89&lt;0),-1,MIN(1,IF($A89=$A88,AY88,1)-AD89+$D$2))</f>
        <v>1</v>
      </c>
      <c r="AZ89" s="19">
        <f>IF(OR($J89=1,COUNTIFS($A$5:$A88,"&gt;="&amp;$A89-1,$A$5:$A88,"&lt;="&amp;$A89,$B$5:$B88,$B89)&gt;0,MIN(1-'Exercise list'!T$2,IF($A89=$A88,AZ88,1))-AE89&lt;0),-1,MIN(1,IF($A89=$A88,AZ88,1)-AE89+$D$2))</f>
        <v>1</v>
      </c>
      <c r="BA89" s="19">
        <f>IF(OR($J89=1,COUNTIFS($A$5:$A88,"&gt;="&amp;$A89-1,$A$5:$A88,"&lt;="&amp;$A89,$B$5:$B88,$B89)&gt;0,MIN(1-'Exercise list'!U$2,IF($A89=$A88,BA88,1))-AF89&lt;0),-1,MIN(1,IF($A89=$A88,BA88,1)-AF89+$D$2))</f>
        <v>1</v>
      </c>
      <c r="BB89" s="19">
        <f>IF(OR($J89=1,COUNTIFS($A$5:$A88,"&gt;="&amp;$A89-1,$A$5:$A88,"&lt;="&amp;$A89,$B$5:$B88,$B89)&gt;0,MIN(1-'Exercise list'!V$2,IF($A89=$A88,BB88,1))-AG89&lt;0),-1,MIN(1,IF($A89=$A88,BB88,1)-AG89+$D$2))</f>
        <v>1</v>
      </c>
      <c r="BC89" s="19">
        <f>IF(OR($J89=1,COUNTIFS($A$5:$A88,"&gt;="&amp;$A89-1,$A$5:$A88,"&lt;="&amp;$A89,$B$5:$B88,$B89)&gt;0,MIN(1-'Exercise list'!W$2,IF($A89=$A88,BC88,1))-AH89&lt;0),-1,MIN(1,IF($A89=$A88,BC88,1)-AH89+$D$2))</f>
        <v>1</v>
      </c>
      <c r="BD89" s="19">
        <f>IF(OR($J89=1,COUNTIFS($A$5:$A88,"&gt;="&amp;$A89-1,$A$5:$A88,"&lt;="&amp;$A89,$B$5:$B88,$B89)&gt;0,MIN(1-'Exercise list'!X$2,IF($A89=$A88,BD88,1))-AI89&lt;0),-1,MIN(1,IF($A89=$A88,BD88,1)-AI89+$D$2))</f>
        <v>1</v>
      </c>
      <c r="BE89" s="19"/>
      <c r="BF89" s="23">
        <f t="shared" si="76"/>
        <v>0.12655075587853834</v>
      </c>
      <c r="BG89" s="23">
        <f t="shared" si="77"/>
        <v>0.1832989859979636</v>
      </c>
      <c r="BH89" s="23">
        <f t="shared" si="78"/>
        <v>0.13490239333387086</v>
      </c>
      <c r="BI89" s="23">
        <f t="shared" si="79"/>
        <v>0.1564006733921797</v>
      </c>
      <c r="BJ89" s="23">
        <f t="shared" si="80"/>
        <v>0.19191739456929832</v>
      </c>
      <c r="BK89" s="23">
        <f t="shared" si="81"/>
        <v>0.14567174975677491</v>
      </c>
      <c r="BL89" s="23">
        <f t="shared" si="82"/>
        <v>0.17322232976985444</v>
      </c>
      <c r="BM89" s="23">
        <f t="shared" si="83"/>
        <v>4.7786022560588198E-2</v>
      </c>
      <c r="BN89" s="23">
        <f t="shared" si="84"/>
        <v>0.11094393595094275</v>
      </c>
      <c r="BO89" s="23">
        <f t="shared" si="85"/>
        <v>0.18138873826035531</v>
      </c>
      <c r="BP89" s="23">
        <f t="shared" si="86"/>
        <v>0.27312026807167089</v>
      </c>
      <c r="BQ89" s="23">
        <f t="shared" si="87"/>
        <v>2.2355402062981644E-2</v>
      </c>
      <c r="BR89" s="23">
        <f t="shared" si="88"/>
        <v>0.12197219984537445</v>
      </c>
      <c r="BS89" s="23">
        <f t="shared" si="89"/>
        <v>1.3337130446669379E-2</v>
      </c>
      <c r="BT89" s="23">
        <f t="shared" si="90"/>
        <v>0.1866405086161835</v>
      </c>
      <c r="BU89" s="23">
        <f t="shared" si="91"/>
        <v>0.23276929135535165</v>
      </c>
      <c r="BV89" s="23">
        <f t="shared" si="92"/>
        <v>0.28667630461701782</v>
      </c>
      <c r="BW89" s="23">
        <f t="shared" si="93"/>
        <v>8.5760305883386581E-2</v>
      </c>
      <c r="BX89" s="23">
        <f t="shared" si="94"/>
        <v>9.2260610600836596E-2</v>
      </c>
      <c r="BY89" s="23">
        <f t="shared" si="95"/>
        <v>5.7468646301067718E-2</v>
      </c>
      <c r="BZ89" s="19"/>
      <c r="CA89" s="23">
        <f t="shared" si="56"/>
        <v>8.2667292067454767E-2</v>
      </c>
      <c r="CB89" s="23">
        <f t="shared" si="57"/>
        <v>2.5919061948029509E-2</v>
      </c>
      <c r="CC89" s="23">
        <f t="shared" si="58"/>
        <v>0</v>
      </c>
      <c r="CD89" s="23">
        <f t="shared" si="59"/>
        <v>0</v>
      </c>
      <c r="CE89" s="23">
        <f t="shared" si="60"/>
        <v>0</v>
      </c>
      <c r="CF89" s="23">
        <f t="shared" si="61"/>
        <v>0.16815532216221477</v>
      </c>
      <c r="CG89" s="23">
        <f t="shared" si="62"/>
        <v>0</v>
      </c>
      <c r="CH89" s="23">
        <f t="shared" si="63"/>
        <v>5.6823001412408355E-2</v>
      </c>
      <c r="CI89" s="23">
        <f t="shared" si="64"/>
        <v>9.8274111995050359E-2</v>
      </c>
      <c r="CJ89" s="23">
        <f t="shared" si="65"/>
        <v>0</v>
      </c>
      <c r="CK89" s="23">
        <f t="shared" si="66"/>
        <v>0</v>
      </c>
      <c r="CL89" s="23">
        <f t="shared" si="67"/>
        <v>8.225362191001491E-2</v>
      </c>
      <c r="CM89" s="23">
        <f t="shared" si="68"/>
        <v>8.7245848100618653E-2</v>
      </c>
      <c r="CN89" s="23">
        <f t="shared" si="69"/>
        <v>9.1271893526327169E-2</v>
      </c>
      <c r="CO89" s="23">
        <f t="shared" si="70"/>
        <v>0</v>
      </c>
      <c r="CP89" s="23">
        <f t="shared" si="71"/>
        <v>0</v>
      </c>
      <c r="CQ89" s="23">
        <f t="shared" si="72"/>
        <v>0</v>
      </c>
      <c r="CR89" s="23">
        <f t="shared" si="73"/>
        <v>1.8848718089609973E-2</v>
      </c>
      <c r="CS89" s="23">
        <f t="shared" si="74"/>
        <v>1.2348413372159958E-2</v>
      </c>
      <c r="CT89" s="23">
        <f t="shared" si="75"/>
        <v>4.7140377671928836E-2</v>
      </c>
      <c r="CU89" s="19"/>
    </row>
    <row r="90" spans="1:99" x14ac:dyDescent="0.25">
      <c r="A90" s="13">
        <v>45074</v>
      </c>
      <c r="B90" s="14">
        <v>49</v>
      </c>
      <c r="C90" s="15" t="str" cm="1">
        <f t="array" ref="C90">IF(B90="","",INDEX('Exercise list'!$C$5:$C$102,B90))</f>
        <v>Cable face pulls</v>
      </c>
      <c r="D90" s="12">
        <f t="shared" si="52"/>
        <v>1</v>
      </c>
      <c r="E90" s="32">
        <f t="shared" si="53"/>
        <v>0.63819678935795343</v>
      </c>
      <c r="F90" s="63" cm="1">
        <f t="array" ref="F90">IF(B90="","",0.1+IFERROR(INDEX($F$6:$F89,SUMPRODUCT(MAX(ROW($C$6:$C89)*($C90=$C$6:$C89))-ROW($A$5)))*0.9^($A90-INDEX($A$6:A89,SUMPRODUCT(MAX(ROW($C$6:$C89)*($C90=$C$6:$C89))-ROW($A$5)))),0))</f>
        <v>0.11667718169966659</v>
      </c>
      <c r="G90" s="64">
        <f>INDEX('Exercise list'!$Y$5:$Y$102,MATCH(C90,'Exercise list'!$C$5:$C$102,0))</f>
        <v>1</v>
      </c>
      <c r="H90" s="115">
        <f t="shared" si="54"/>
        <v>6.1402120669809886E-2</v>
      </c>
      <c r="I90" s="42">
        <f t="shared" si="55"/>
        <v>1</v>
      </c>
      <c r="J90" s="6" cm="1">
        <f t="array" ref="J90">IF(B90="","",INDEX('Exercise list'!$D$5:$D$102,B90))</f>
        <v>0</v>
      </c>
      <c r="K90" s="12">
        <v>17</v>
      </c>
      <c r="L90" s="74" t="str" cm="1">
        <f t="array" ref="L90">IF(K90="","",INDEX('Exercise list'!$C$5:$C$102,K90))</f>
        <v>Romanian deadlifts</v>
      </c>
      <c r="M90" s="6">
        <v>23</v>
      </c>
      <c r="N90" s="75" t="str" cm="1">
        <f t="array" ref="N90">IF(M90="","",INDEX('Exercise list'!$C$5:$C$102,M90))</f>
        <v>Barbell bench presses</v>
      </c>
      <c r="P90">
        <f>IFERROR(INDEX('Exercise list'!$E$5:$X$102,MATCH($C90,'Exercise list'!$C$5:$C$102,0),MATCH(P$5,'Exercise list'!$E$4:$X$4,0)),0)</f>
        <v>0</v>
      </c>
      <c r="Q90">
        <f>IFERROR(INDEX('Exercise list'!$E$5:$X$102,MATCH($C90,'Exercise list'!$C$5:$C$102,0),MATCH(Q$5,'Exercise list'!$E$4:$X$4,0)),0)</f>
        <v>0</v>
      </c>
      <c r="R90">
        <f>IFERROR(INDEX('Exercise list'!$E$5:$X$102,MATCH($C90,'Exercise list'!$C$5:$C$102,0),MATCH(R$5,'Exercise list'!$E$4:$X$4,0)),0)</f>
        <v>0.5</v>
      </c>
      <c r="S90">
        <f>IFERROR(INDEX('Exercise list'!$E$5:$X$102,MATCH($C90,'Exercise list'!$C$5:$C$102,0),MATCH(S$5,'Exercise list'!$E$4:$X$4,0)),0)</f>
        <v>1</v>
      </c>
      <c r="T90">
        <f>IFERROR(INDEX('Exercise list'!$E$5:$X$102,MATCH($C90,'Exercise list'!$C$5:$C$102,0),MATCH(T$5,'Exercise list'!$E$4:$X$4,0)),0)</f>
        <v>0</v>
      </c>
      <c r="U90">
        <f>IFERROR(INDEX('Exercise list'!$E$5:$X$102,MATCH($C90,'Exercise list'!$C$5:$C$102,0),MATCH(U$5,'Exercise list'!$E$4:$X$4,0)),0)</f>
        <v>0</v>
      </c>
      <c r="V90">
        <f>IFERROR(INDEX('Exercise list'!$E$5:$X$102,MATCH($C90,'Exercise list'!$C$5:$C$102,0),MATCH(V$5,'Exercise list'!$E$4:$X$4,0)),0)</f>
        <v>0</v>
      </c>
      <c r="W90">
        <f>IFERROR(INDEX('Exercise list'!$E$5:$X$102,MATCH($C90,'Exercise list'!$C$5:$C$102,0),MATCH(W$5,'Exercise list'!$E$4:$X$4,0)),0)</f>
        <v>0.7</v>
      </c>
      <c r="X90">
        <f>IFERROR(INDEX('Exercise list'!$E$5:$X$102,MATCH($C90,'Exercise list'!$C$5:$C$102,0),MATCH(X$5,'Exercise list'!$E$4:$X$4,0)),0)</f>
        <v>0</v>
      </c>
      <c r="Y90">
        <f>IFERROR(INDEX('Exercise list'!$E$5:$X$102,MATCH($C90,'Exercise list'!$C$5:$C$102,0),MATCH(Y$5,'Exercise list'!$E$4:$X$4,0)),0)</f>
        <v>0</v>
      </c>
      <c r="Z90">
        <f>IFERROR(INDEX('Exercise list'!$E$5:$X$102,MATCH($C90,'Exercise list'!$C$5:$C$102,0),MATCH(Z$5,'Exercise list'!$E$4:$X$4,0)),0)</f>
        <v>0</v>
      </c>
      <c r="AA90">
        <f>IFERROR(INDEX('Exercise list'!$E$5:$X$102,MATCH($C90,'Exercise list'!$C$5:$C$102,0),MATCH(AA$5,'Exercise list'!$E$4:$X$4,0)),0)</f>
        <v>0</v>
      </c>
      <c r="AB90">
        <f>IFERROR(INDEX('Exercise list'!$E$5:$X$102,MATCH($C90,'Exercise list'!$C$5:$C$102,0),MATCH(AB$5,'Exercise list'!$E$4:$X$4,0)),0)</f>
        <v>0</v>
      </c>
      <c r="AC90">
        <f>IFERROR(INDEX('Exercise list'!$E$5:$X$102,MATCH($C90,'Exercise list'!$C$5:$C$102,0),MATCH(AC$5,'Exercise list'!$E$4:$X$4,0)),0)</f>
        <v>0</v>
      </c>
      <c r="AD90">
        <f>IFERROR(INDEX('Exercise list'!$E$5:$X$102,MATCH($C90,'Exercise list'!$C$5:$C$102,0),MATCH(AD$5,'Exercise list'!$E$4:$X$4,0)),0)</f>
        <v>0</v>
      </c>
      <c r="AE90">
        <f>IFERROR(INDEX('Exercise list'!$E$5:$X$102,MATCH($C90,'Exercise list'!$C$5:$C$102,0),MATCH(AE$5,'Exercise list'!$E$4:$X$4,0)),0)</f>
        <v>0</v>
      </c>
      <c r="AF90">
        <f>IFERROR(INDEX('Exercise list'!$E$5:$X$102,MATCH($C90,'Exercise list'!$C$5:$C$102,0),MATCH(AF$5,'Exercise list'!$E$4:$X$4,0)),0)</f>
        <v>0</v>
      </c>
      <c r="AG90">
        <f>IFERROR(INDEX('Exercise list'!$E$5:$X$102,MATCH($C90,'Exercise list'!$C$5:$C$102,0),MATCH(AG$5,'Exercise list'!$E$4:$X$4,0)),0)</f>
        <v>0</v>
      </c>
      <c r="AH90">
        <f>IFERROR(INDEX('Exercise list'!$E$5:$X$102,MATCH($C90,'Exercise list'!$C$5:$C$102,0),MATCH(AH$5,'Exercise list'!$E$4:$X$4,0)),0)</f>
        <v>0</v>
      </c>
      <c r="AI90">
        <f>IFERROR(INDEX('Exercise list'!$E$5:$X$102,MATCH($C90,'Exercise list'!$C$5:$C$102,0),MATCH(AI$5,'Exercise list'!$E$4:$X$4,0)),0)</f>
        <v>0</v>
      </c>
      <c r="AK90">
        <f>IF(OR($J90=1,COUNTIFS($A$5:$A89,"&gt;="&amp;$A90-1,$A$5:$A89,"&lt;="&amp;$A90,$B$5:$B89,$B90)&gt;0,MIN(1-'Exercise list'!E$2,IF($A90=$A89,AK89,1))-P90&lt;0),-1,MIN(1,IF($A90=$A89,AK89,1)-P90+$D$2))</f>
        <v>1</v>
      </c>
      <c r="AL90">
        <f>IF(OR($J90=1,COUNTIFS($A$5:$A89,"&gt;="&amp;$A90-1,$A$5:$A89,"&lt;="&amp;$A90,$B$5:$B89,$B90)&gt;0,MIN(1-'Exercise list'!F$2,IF($A90=$A89,AL89,1))-Q90&lt;0),-1,MIN(1,IF($A90=$A89,AL89,1)-Q90+$D$2))</f>
        <v>1</v>
      </c>
      <c r="AM90">
        <f>IF(OR($J90=1,COUNTIFS($A$5:$A89,"&gt;="&amp;$A90-1,$A$5:$A89,"&lt;="&amp;$A90,$B$5:$B89,$B90)&gt;0,MIN(1-'Exercise list'!G$2,IF($A90=$A89,AM89,1))-R90&lt;0),-1,MIN(1,IF($A90=$A89,AM89,1)-R90+$D$2))</f>
        <v>1</v>
      </c>
      <c r="AN90">
        <f>IF(OR($J90=1,COUNTIFS($A$5:$A89,"&gt;="&amp;$A90-1,$A$5:$A89,"&lt;="&amp;$A90,$B$5:$B89,$B90)&gt;0,MIN(1-'Exercise list'!H$2,IF($A90=$A89,AN89,1))-S90&lt;0),-1,MIN(1,IF($A90=$A89,AN89,1)-S90+$D$2))</f>
        <v>1</v>
      </c>
      <c r="AO90">
        <f>IF(OR($J90=1,COUNTIFS($A$5:$A89,"&gt;="&amp;$A90-1,$A$5:$A89,"&lt;="&amp;$A90,$B$5:$B89,$B90)&gt;0,MIN(1-'Exercise list'!I$2,IF($A90=$A89,AO89,1))-T90&lt;0),-1,MIN(1,IF($A90=$A89,AO89,1)-T90+$D$2))</f>
        <v>1</v>
      </c>
      <c r="AP90">
        <f>IF(OR($J90=1,COUNTIFS($A$5:$A89,"&gt;="&amp;$A90-1,$A$5:$A89,"&lt;="&amp;$A90,$B$5:$B89,$B90)&gt;0,MIN(1-'Exercise list'!J$2,IF($A90=$A89,AP89,1))-U90&lt;0),-1,MIN(1,IF($A90=$A89,AP89,1)-U90+$D$2))</f>
        <v>1</v>
      </c>
      <c r="AQ90">
        <f>IF(OR($J90=1,COUNTIFS($A$5:$A89,"&gt;="&amp;$A90-1,$A$5:$A89,"&lt;="&amp;$A90,$B$5:$B89,$B90)&gt;0,MIN(1-'Exercise list'!K$2,IF($A90=$A89,AQ89,1))-V90&lt;0),-1,MIN(1,IF($A90=$A89,AQ89,1)-V90+$D$2))</f>
        <v>1</v>
      </c>
      <c r="AR90">
        <f>IF(OR($J90=1,COUNTIFS($A$5:$A89,"&gt;="&amp;$A90-1,$A$5:$A89,"&lt;="&amp;$A90,$B$5:$B89,$B90)&gt;0,MIN(1-'Exercise list'!L$2,IF($A90=$A89,AR89,1))-W90&lt;0),-1,MIN(1,IF($A90=$A89,AR89,1)-W90+$D$2))</f>
        <v>1</v>
      </c>
      <c r="AS90">
        <f>IF(OR($J90=1,COUNTIFS($A$5:$A89,"&gt;="&amp;$A90-1,$A$5:$A89,"&lt;="&amp;$A90,$B$5:$B89,$B90)&gt;0,MIN(1-'Exercise list'!M$2,IF($A90=$A89,AS89,1))-X90&lt;0),-1,MIN(1,IF($A90=$A89,AS89,1)-X90+$D$2))</f>
        <v>1</v>
      </c>
      <c r="AT90">
        <f>IF(OR($J90=1,COUNTIFS($A$5:$A89,"&gt;="&amp;$A90-1,$A$5:$A89,"&lt;="&amp;$A90,$B$5:$B89,$B90)&gt;0,MIN(1-'Exercise list'!N$2,IF($A90=$A89,AT89,1))-Y90&lt;0),-1,MIN(1,IF($A90=$A89,AT89,1)-Y90+$D$2))</f>
        <v>1</v>
      </c>
      <c r="AU90">
        <f>IF(OR($J90=1,COUNTIFS($A$5:$A89,"&gt;="&amp;$A90-1,$A$5:$A89,"&lt;="&amp;$A90,$B$5:$B89,$B90)&gt;0,MIN(1-'Exercise list'!O$2,IF($A90=$A89,AU89,1))-Z90&lt;0),-1,MIN(1,IF($A90=$A89,AU89,1)-Z90+$D$2))</f>
        <v>1</v>
      </c>
      <c r="AV90">
        <f>IF(OR($J90=1,COUNTIFS($A$5:$A89,"&gt;="&amp;$A90-1,$A$5:$A89,"&lt;="&amp;$A90,$B$5:$B89,$B90)&gt;0,MIN(1-'Exercise list'!P$2,IF($A90=$A89,AV89,1))-AA90&lt;0),-1,MIN(1,IF($A90=$A89,AV89,1)-AA90+$D$2))</f>
        <v>1</v>
      </c>
      <c r="AW90">
        <f>IF(OR($J90=1,COUNTIFS($A$5:$A89,"&gt;="&amp;$A90-1,$A$5:$A89,"&lt;="&amp;$A90,$B$5:$B89,$B90)&gt;0,MIN(1-'Exercise list'!Q$2,IF($A90=$A89,AW89,1))-AB90&lt;0),-1,MIN(1,IF($A90=$A89,AW89,1)-AB90+$D$2))</f>
        <v>1</v>
      </c>
      <c r="AX90">
        <f>IF(OR($J90=1,COUNTIFS($A$5:$A89,"&gt;="&amp;$A90-1,$A$5:$A89,"&lt;="&amp;$A90,$B$5:$B89,$B90)&gt;0,MIN(1-'Exercise list'!R$2,IF($A90=$A89,AX89,1))-AC90&lt;0),-1,MIN(1,IF($A90=$A89,AX89,1)-AC90+$D$2))</f>
        <v>1</v>
      </c>
      <c r="AY90">
        <f>IF(OR($J90=1,COUNTIFS($A$5:$A89,"&gt;="&amp;$A90-1,$A$5:$A89,"&lt;="&amp;$A90,$B$5:$B89,$B90)&gt;0,MIN(1-'Exercise list'!S$2,IF($A90=$A89,AY89,1))-AD90&lt;0),-1,MIN(1,IF($A90=$A89,AY89,1)-AD90+$D$2))</f>
        <v>1</v>
      </c>
      <c r="AZ90">
        <f>IF(OR($J90=1,COUNTIFS($A$5:$A89,"&gt;="&amp;$A90-1,$A$5:$A89,"&lt;="&amp;$A90,$B$5:$B89,$B90)&gt;0,MIN(1-'Exercise list'!T$2,IF($A90=$A89,AZ89,1))-AE90&lt;0),-1,MIN(1,IF($A90=$A89,AZ89,1)-AE90+$D$2))</f>
        <v>1</v>
      </c>
      <c r="BA90">
        <f>IF(OR($J90=1,COUNTIFS($A$5:$A89,"&gt;="&amp;$A90-1,$A$5:$A89,"&lt;="&amp;$A90,$B$5:$B89,$B90)&gt;0,MIN(1-'Exercise list'!U$2,IF($A90=$A89,BA89,1))-AF90&lt;0),-1,MIN(1,IF($A90=$A89,BA89,1)-AF90+$D$2))</f>
        <v>1</v>
      </c>
      <c r="BB90">
        <f>IF(OR($J90=1,COUNTIFS($A$5:$A89,"&gt;="&amp;$A90-1,$A$5:$A89,"&lt;="&amp;$A90,$B$5:$B89,$B90)&gt;0,MIN(1-'Exercise list'!V$2,IF($A90=$A89,BB89,1))-AG90&lt;0),-1,MIN(1,IF($A90=$A89,BB89,1)-AG90+$D$2))</f>
        <v>1</v>
      </c>
      <c r="BC90">
        <f>IF(OR($J90=1,COUNTIFS($A$5:$A89,"&gt;="&amp;$A90-1,$A$5:$A89,"&lt;="&amp;$A90,$B$5:$B89,$B90)&gt;0,MIN(1-'Exercise list'!W$2,IF($A90=$A89,BC89,1))-AH90&lt;0),-1,MIN(1,IF($A90=$A89,BC89,1)-AH90+$D$2))</f>
        <v>1</v>
      </c>
      <c r="BD90">
        <f>IF(OR($J90=1,COUNTIFS($A$5:$A89,"&gt;="&amp;$A90-1,$A$5:$A89,"&lt;="&amp;$A90,$B$5:$B89,$B90)&gt;0,MIN(1-'Exercise list'!X$2,IF($A90=$A89,BD89,1))-AI90&lt;0),-1,MIN(1,IF($A90=$A89,BD89,1)-AI90+$D$2))</f>
        <v>1</v>
      </c>
      <c r="BF90" s="16">
        <f t="shared" si="76"/>
        <v>0.12022321808461142</v>
      </c>
      <c r="BG90" s="16">
        <f t="shared" si="77"/>
        <v>0.1741340366980654</v>
      </c>
      <c r="BH90" s="16">
        <f t="shared" si="78"/>
        <v>0.1531572736671773</v>
      </c>
      <c r="BI90" s="16">
        <f t="shared" si="79"/>
        <v>0.19858063972257073</v>
      </c>
      <c r="BJ90" s="16">
        <f t="shared" si="80"/>
        <v>0.18232152484083339</v>
      </c>
      <c r="BK90" s="16">
        <f t="shared" si="81"/>
        <v>0.13838816226893616</v>
      </c>
      <c r="BL90" s="16">
        <f t="shared" si="82"/>
        <v>0.1645612132813617</v>
      </c>
      <c r="BM90" s="16">
        <f t="shared" si="83"/>
        <v>8.0396721432558785E-2</v>
      </c>
      <c r="BN90" s="16">
        <f t="shared" si="84"/>
        <v>0.1053967391533956</v>
      </c>
      <c r="BO90" s="16">
        <f t="shared" si="85"/>
        <v>0.17231930134733753</v>
      </c>
      <c r="BP90" s="16">
        <f t="shared" si="86"/>
        <v>0.25946425466808731</v>
      </c>
      <c r="BQ90" s="16">
        <f t="shared" si="87"/>
        <v>2.1237631959832561E-2</v>
      </c>
      <c r="BR90" s="16">
        <f t="shared" si="88"/>
        <v>0.11587358985310572</v>
      </c>
      <c r="BS90" s="16">
        <f t="shared" si="89"/>
        <v>1.2670273924335909E-2</v>
      </c>
      <c r="BT90" s="16">
        <f t="shared" si="90"/>
        <v>0.17730848318537432</v>
      </c>
      <c r="BU90" s="16">
        <f t="shared" si="91"/>
        <v>0.22113082678758406</v>
      </c>
      <c r="BV90" s="16">
        <f t="shared" si="92"/>
        <v>0.2723424893861669</v>
      </c>
      <c r="BW90" s="16">
        <f t="shared" si="93"/>
        <v>8.1472290589217247E-2</v>
      </c>
      <c r="BX90" s="16">
        <f t="shared" si="94"/>
        <v>8.7647580070794762E-2</v>
      </c>
      <c r="BY90" s="16">
        <f t="shared" si="95"/>
        <v>5.4595213986014329E-2</v>
      </c>
      <c r="CA90" s="16">
        <f t="shared" si="56"/>
        <v>8.6682075612230153E-2</v>
      </c>
      <c r="CB90" s="16">
        <f t="shared" si="57"/>
        <v>3.2771256998776171E-2</v>
      </c>
      <c r="CC90" s="16">
        <f t="shared" si="58"/>
        <v>0</v>
      </c>
      <c r="CD90" s="16">
        <f t="shared" si="59"/>
        <v>0</v>
      </c>
      <c r="CE90" s="16">
        <f t="shared" si="60"/>
        <v>0</v>
      </c>
      <c r="CF90" s="16">
        <f t="shared" si="61"/>
        <v>0.17196977827632623</v>
      </c>
      <c r="CG90" s="16">
        <f t="shared" si="62"/>
        <v>0</v>
      </c>
      <c r="CH90" s="16">
        <f t="shared" si="63"/>
        <v>2.3055925415862003E-2</v>
      </c>
      <c r="CI90" s="16">
        <f t="shared" si="64"/>
        <v>0.10150855454344597</v>
      </c>
      <c r="CJ90" s="16">
        <f t="shared" si="65"/>
        <v>0</v>
      </c>
      <c r="CK90" s="16">
        <f t="shared" si="66"/>
        <v>0</v>
      </c>
      <c r="CL90" s="16">
        <f t="shared" si="67"/>
        <v>8.2215014888588234E-2</v>
      </c>
      <c r="CM90" s="16">
        <f t="shared" si="68"/>
        <v>9.1031703843735851E-2</v>
      </c>
      <c r="CN90" s="16">
        <f t="shared" si="69"/>
        <v>9.0782372924084878E-2</v>
      </c>
      <c r="CO90" s="16">
        <f t="shared" si="70"/>
        <v>0</v>
      </c>
      <c r="CP90" s="16">
        <f t="shared" si="71"/>
        <v>0</v>
      </c>
      <c r="CQ90" s="16">
        <f t="shared" si="72"/>
        <v>0</v>
      </c>
      <c r="CR90" s="16">
        <f t="shared" si="73"/>
        <v>2.198035625920354E-2</v>
      </c>
      <c r="CS90" s="16">
        <f t="shared" si="74"/>
        <v>1.5805066777626026E-2</v>
      </c>
      <c r="CT90" s="16">
        <f t="shared" si="75"/>
        <v>4.8857432862406458E-2</v>
      </c>
    </row>
    <row r="91" spans="1:99" x14ac:dyDescent="0.25">
      <c r="A91" s="13">
        <v>45074</v>
      </c>
      <c r="B91" s="14">
        <v>41</v>
      </c>
      <c r="C91" s="15" t="str" cm="1">
        <f t="array" ref="C91">IF(B91="","",INDEX('Exercise list'!$C$5:$C$102,B91))</f>
        <v>Dumbbell walking lunges</v>
      </c>
      <c r="D91" s="12">
        <f t="shared" si="52"/>
        <v>1</v>
      </c>
      <c r="E91" s="32">
        <f t="shared" si="53"/>
        <v>0.91471369867931795</v>
      </c>
      <c r="F91" s="63" cm="1">
        <f t="array" ref="F91">IF(B91="","",0.1+IFERROR(INDEX($F$6:$F90,SUMPRODUCT(MAX(ROW($C$6:$C90)*($C91=$C$6:$C90))-ROW($A$5)))*0.9^($A91-INDEX($A$6:A90,SUMPRODUCT(MAX(ROW($C$6:$C90)*($C91=$C$6:$C90))-ROW($A$5)))),0))</f>
        <v>0.15071770494497549</v>
      </c>
      <c r="G91" s="64">
        <f>INDEX('Exercise list'!$Y$5:$Y$102,MATCH(C91,'Exercise list'!$C$5:$C$102,0))</f>
        <v>2</v>
      </c>
      <c r="H91" s="115">
        <f t="shared" si="54"/>
        <v>6.6907446984853805E-2</v>
      </c>
      <c r="I91" s="6">
        <f t="shared" si="55"/>
        <v>2</v>
      </c>
      <c r="J91" s="6" cm="1">
        <f t="array" ref="J91">IF(B91="","",INDEX('Exercise list'!$D$5:$D$102,B91))</f>
        <v>0</v>
      </c>
      <c r="K91" s="12">
        <v>17</v>
      </c>
      <c r="L91" s="74" t="str" cm="1">
        <f t="array" ref="L91">IF(K91="","",INDEX('Exercise list'!$C$5:$C$102,K91))</f>
        <v>Romanian deadlifts</v>
      </c>
      <c r="M91" s="6">
        <v>23</v>
      </c>
      <c r="N91" s="75" t="str" cm="1">
        <f t="array" ref="N91">IF(M91="","",INDEX('Exercise list'!$C$5:$C$102,M91))</f>
        <v>Barbell bench presses</v>
      </c>
      <c r="P91">
        <f>IFERROR(INDEX('Exercise list'!$E$5:$X$102,MATCH($C91,'Exercise list'!$C$5:$C$102,0),MATCH(P$5,'Exercise list'!$E$4:$X$4,0)),0)</f>
        <v>0</v>
      </c>
      <c r="Q91">
        <f>IFERROR(INDEX('Exercise list'!$E$5:$X$102,MATCH($C91,'Exercise list'!$C$5:$C$102,0),MATCH(Q$5,'Exercise list'!$E$4:$X$4,0)),0)</f>
        <v>0</v>
      </c>
      <c r="R91">
        <f>IFERROR(INDEX('Exercise list'!$E$5:$X$102,MATCH($C91,'Exercise list'!$C$5:$C$102,0),MATCH(R$5,'Exercise list'!$E$4:$X$4,0)),0)</f>
        <v>0</v>
      </c>
      <c r="S91">
        <f>IFERROR(INDEX('Exercise list'!$E$5:$X$102,MATCH($C91,'Exercise list'!$C$5:$C$102,0),MATCH(S$5,'Exercise list'!$E$4:$X$4,0)),0)</f>
        <v>0</v>
      </c>
      <c r="T91">
        <f>IFERROR(INDEX('Exercise list'!$E$5:$X$102,MATCH($C91,'Exercise list'!$C$5:$C$102,0),MATCH(T$5,'Exercise list'!$E$4:$X$4,0)),0)</f>
        <v>0.5</v>
      </c>
      <c r="U91">
        <f>IFERROR(INDEX('Exercise list'!$E$5:$X$102,MATCH($C91,'Exercise list'!$C$5:$C$102,0),MATCH(U$5,'Exercise list'!$E$4:$X$4,0)),0)</f>
        <v>0</v>
      </c>
      <c r="V91">
        <f>IFERROR(INDEX('Exercise list'!$E$5:$X$102,MATCH($C91,'Exercise list'!$C$5:$C$102,0),MATCH(V$5,'Exercise list'!$E$4:$X$4,0)),0)</f>
        <v>0</v>
      </c>
      <c r="W91">
        <f>IFERROR(INDEX('Exercise list'!$E$5:$X$102,MATCH($C91,'Exercise list'!$C$5:$C$102,0),MATCH(W$5,'Exercise list'!$E$4:$X$4,0)),0)</f>
        <v>0</v>
      </c>
      <c r="X91">
        <f>IFERROR(INDEX('Exercise list'!$E$5:$X$102,MATCH($C91,'Exercise list'!$C$5:$C$102,0),MATCH(X$5,'Exercise list'!$E$4:$X$4,0)),0)</f>
        <v>0</v>
      </c>
      <c r="Y91">
        <f>IFERROR(INDEX('Exercise list'!$E$5:$X$102,MATCH($C91,'Exercise list'!$C$5:$C$102,0),MATCH(Y$5,'Exercise list'!$E$4:$X$4,0)),0)</f>
        <v>0</v>
      </c>
      <c r="Z91">
        <f>IFERROR(INDEX('Exercise list'!$E$5:$X$102,MATCH($C91,'Exercise list'!$C$5:$C$102,0),MATCH(Z$5,'Exercise list'!$E$4:$X$4,0)),0)</f>
        <v>0</v>
      </c>
      <c r="AA91">
        <f>IFERROR(INDEX('Exercise list'!$E$5:$X$102,MATCH($C91,'Exercise list'!$C$5:$C$102,0),MATCH(AA$5,'Exercise list'!$E$4:$X$4,0)),0)</f>
        <v>0</v>
      </c>
      <c r="AB91">
        <f>IFERROR(INDEX('Exercise list'!$E$5:$X$102,MATCH($C91,'Exercise list'!$C$5:$C$102,0),MATCH(AB$5,'Exercise list'!$E$4:$X$4,0)),0)</f>
        <v>0</v>
      </c>
      <c r="AC91">
        <f>IFERROR(INDEX('Exercise list'!$E$5:$X$102,MATCH($C91,'Exercise list'!$C$5:$C$102,0),MATCH(AC$5,'Exercise list'!$E$4:$X$4,0)),0)</f>
        <v>0</v>
      </c>
      <c r="AD91">
        <f>IFERROR(INDEX('Exercise list'!$E$5:$X$102,MATCH($C91,'Exercise list'!$C$5:$C$102,0),MATCH(AD$5,'Exercise list'!$E$4:$X$4,0)),0)</f>
        <v>0.9</v>
      </c>
      <c r="AE91">
        <f>IFERROR(INDEX('Exercise list'!$E$5:$X$102,MATCH($C91,'Exercise list'!$C$5:$C$102,0),MATCH(AE$5,'Exercise list'!$E$4:$X$4,0)),0)</f>
        <v>0.7</v>
      </c>
      <c r="AF91">
        <f>IFERROR(INDEX('Exercise list'!$E$5:$X$102,MATCH($C91,'Exercise list'!$C$5:$C$102,0),MATCH(AF$5,'Exercise list'!$E$4:$X$4,0)),0)</f>
        <v>0.8</v>
      </c>
      <c r="AG91">
        <f>IFERROR(INDEX('Exercise list'!$E$5:$X$102,MATCH($C91,'Exercise list'!$C$5:$C$102,0),MATCH(AG$5,'Exercise list'!$E$4:$X$4,0)),0)</f>
        <v>0.5</v>
      </c>
      <c r="AH91">
        <f>IFERROR(INDEX('Exercise list'!$E$5:$X$102,MATCH($C91,'Exercise list'!$C$5:$C$102,0),MATCH(AH$5,'Exercise list'!$E$4:$X$4,0)),0)</f>
        <v>0.6</v>
      </c>
      <c r="AI91">
        <f>IFERROR(INDEX('Exercise list'!$E$5:$X$102,MATCH($C91,'Exercise list'!$C$5:$C$102,0),MATCH(AI$5,'Exercise list'!$E$4:$X$4,0)),0)</f>
        <v>0.6</v>
      </c>
      <c r="AK91">
        <f>IF(OR($J91=1,COUNTIFS($A$5:$A90,"&gt;="&amp;$A91-1,$A$5:$A90,"&lt;="&amp;$A91,$B$5:$B90,$B91)&gt;0,MIN(1-'Exercise list'!E$2,IF($A91=$A90,AK90,1))-P91&lt;0),-1,MIN(1,IF($A91=$A90,AK90,1)-P91+$D$2))</f>
        <v>1</v>
      </c>
      <c r="AL91">
        <f>IF(OR($J91=1,COUNTIFS($A$5:$A90,"&gt;="&amp;$A91-1,$A$5:$A90,"&lt;="&amp;$A91,$B$5:$B90,$B91)&gt;0,MIN(1-'Exercise list'!F$2,IF($A91=$A90,AL90,1))-Q91&lt;0),-1,MIN(1,IF($A91=$A90,AL90,1)-Q91+$D$2))</f>
        <v>1</v>
      </c>
      <c r="AM91">
        <f>IF(OR($J91=1,COUNTIFS($A$5:$A90,"&gt;="&amp;$A91-1,$A$5:$A90,"&lt;="&amp;$A91,$B$5:$B90,$B91)&gt;0,MIN(1-'Exercise list'!G$2,IF($A91=$A90,AM90,1))-R91&lt;0),-1,MIN(1,IF($A91=$A90,AM90,1)-R91+$D$2))</f>
        <v>1</v>
      </c>
      <c r="AN91">
        <f>IF(OR($J91=1,COUNTIFS($A$5:$A90,"&gt;="&amp;$A91-1,$A$5:$A90,"&lt;="&amp;$A91,$B$5:$B90,$B91)&gt;0,MIN(1-'Exercise list'!H$2,IF($A91=$A90,AN90,1))-S91&lt;0),-1,MIN(1,IF($A91=$A90,AN90,1)-S91+$D$2))</f>
        <v>1</v>
      </c>
      <c r="AO91">
        <f>IF(OR($J91=1,COUNTIFS($A$5:$A90,"&gt;="&amp;$A91-1,$A$5:$A90,"&lt;="&amp;$A91,$B$5:$B90,$B91)&gt;0,MIN(1-'Exercise list'!I$2,IF($A91=$A90,AO90,1))-T91&lt;0),-1,MIN(1,IF($A91=$A90,AO90,1)-T91+$D$2))</f>
        <v>1</v>
      </c>
      <c r="AP91">
        <f>IF(OR($J91=1,COUNTIFS($A$5:$A90,"&gt;="&amp;$A91-1,$A$5:$A90,"&lt;="&amp;$A91,$B$5:$B90,$B91)&gt;0,MIN(1-'Exercise list'!J$2,IF($A91=$A90,AP90,1))-U91&lt;0),-1,MIN(1,IF($A91=$A90,AP90,1)-U91+$D$2))</f>
        <v>1</v>
      </c>
      <c r="AQ91">
        <f>IF(OR($J91=1,COUNTIFS($A$5:$A90,"&gt;="&amp;$A91-1,$A$5:$A90,"&lt;="&amp;$A91,$B$5:$B90,$B91)&gt;0,MIN(1-'Exercise list'!K$2,IF($A91=$A90,AQ90,1))-V91&lt;0),-1,MIN(1,IF($A91=$A90,AQ90,1)-V91+$D$2))</f>
        <v>1</v>
      </c>
      <c r="AR91">
        <f>IF(OR($J91=1,COUNTIFS($A$5:$A90,"&gt;="&amp;$A91-1,$A$5:$A90,"&lt;="&amp;$A91,$B$5:$B90,$B91)&gt;0,MIN(1-'Exercise list'!L$2,IF($A91=$A90,AR90,1))-W91&lt;0),-1,MIN(1,IF($A91=$A90,AR90,1)-W91+$D$2))</f>
        <v>1</v>
      </c>
      <c r="AS91">
        <f>IF(OR($J91=1,COUNTIFS($A$5:$A90,"&gt;="&amp;$A91-1,$A$5:$A90,"&lt;="&amp;$A91,$B$5:$B90,$B91)&gt;0,MIN(1-'Exercise list'!M$2,IF($A91=$A90,AS90,1))-X91&lt;0),-1,MIN(1,IF($A91=$A90,AS90,1)-X91+$D$2))</f>
        <v>1</v>
      </c>
      <c r="AT91">
        <f>IF(OR($J91=1,COUNTIFS($A$5:$A90,"&gt;="&amp;$A91-1,$A$5:$A90,"&lt;="&amp;$A91,$B$5:$B90,$B91)&gt;0,MIN(1-'Exercise list'!N$2,IF($A91=$A90,AT90,1))-Y91&lt;0),-1,MIN(1,IF($A91=$A90,AT90,1)-Y91+$D$2))</f>
        <v>1</v>
      </c>
      <c r="AU91">
        <f>IF(OR($J91=1,COUNTIFS($A$5:$A90,"&gt;="&amp;$A91-1,$A$5:$A90,"&lt;="&amp;$A91,$B$5:$B90,$B91)&gt;0,MIN(1-'Exercise list'!O$2,IF($A91=$A90,AU90,1))-Z91&lt;0),-1,MIN(1,IF($A91=$A90,AU90,1)-Z91+$D$2))</f>
        <v>1</v>
      </c>
      <c r="AV91">
        <f>IF(OR($J91=1,COUNTIFS($A$5:$A90,"&gt;="&amp;$A91-1,$A$5:$A90,"&lt;="&amp;$A91,$B$5:$B90,$B91)&gt;0,MIN(1-'Exercise list'!P$2,IF($A91=$A90,AV90,1))-AA91&lt;0),-1,MIN(1,IF($A91=$A90,AV90,1)-AA91+$D$2))</f>
        <v>1</v>
      </c>
      <c r="AW91">
        <f>IF(OR($J91=1,COUNTIFS($A$5:$A90,"&gt;="&amp;$A91-1,$A$5:$A90,"&lt;="&amp;$A91,$B$5:$B90,$B91)&gt;0,MIN(1-'Exercise list'!Q$2,IF($A91=$A90,AW90,1))-AB91&lt;0),-1,MIN(1,IF($A91=$A90,AW90,1)-AB91+$D$2))</f>
        <v>1</v>
      </c>
      <c r="AX91">
        <f>IF(OR($J91=1,COUNTIFS($A$5:$A90,"&gt;="&amp;$A91-1,$A$5:$A90,"&lt;="&amp;$A91,$B$5:$B90,$B91)&gt;0,MIN(1-'Exercise list'!R$2,IF($A91=$A90,AX90,1))-AC91&lt;0),-1,MIN(1,IF($A91=$A90,AX90,1)-AC91+$D$2))</f>
        <v>1</v>
      </c>
      <c r="AY91">
        <f>IF(OR($J91=1,COUNTIFS($A$5:$A90,"&gt;="&amp;$A91-1,$A$5:$A90,"&lt;="&amp;$A91,$B$5:$B90,$B91)&gt;0,MIN(1-'Exercise list'!S$2,IF($A91=$A90,AY90,1))-AD91&lt;0),-1,MIN(1,IF($A91=$A90,AY90,1)-AD91+$D$2))</f>
        <v>1</v>
      </c>
      <c r="AZ91">
        <f>IF(OR($J91=1,COUNTIFS($A$5:$A90,"&gt;="&amp;$A91-1,$A$5:$A90,"&lt;="&amp;$A91,$B$5:$B90,$B91)&gt;0,MIN(1-'Exercise list'!T$2,IF($A91=$A90,AZ90,1))-AE91&lt;0),-1,MIN(1,IF($A91=$A90,AZ90,1)-AE91+$D$2))</f>
        <v>1</v>
      </c>
      <c r="BA91">
        <f>IF(OR($J91=1,COUNTIFS($A$5:$A90,"&gt;="&amp;$A91-1,$A$5:$A90,"&lt;="&amp;$A91,$B$5:$B90,$B91)&gt;0,MIN(1-'Exercise list'!U$2,IF($A91=$A90,BA90,1))-AF91&lt;0),-1,MIN(1,IF($A91=$A90,BA90,1)-AF91+$D$2))</f>
        <v>1</v>
      </c>
      <c r="BB91">
        <f>IF(OR($J91=1,COUNTIFS($A$5:$A90,"&gt;="&amp;$A91-1,$A$5:$A90,"&lt;="&amp;$A91,$B$5:$B90,$B91)&gt;0,MIN(1-'Exercise list'!V$2,IF($A91=$A90,BB90,1))-AG91&lt;0),-1,MIN(1,IF($A91=$A90,BB90,1)-AG91+$D$2))</f>
        <v>1</v>
      </c>
      <c r="BC91">
        <f>IF(OR($J91=1,COUNTIFS($A$5:$A90,"&gt;="&amp;$A91-1,$A$5:$A90,"&lt;="&amp;$A91,$B$5:$B90,$B91)&gt;0,MIN(1-'Exercise list'!W$2,IF($A91=$A90,BC90,1))-AH91&lt;0),-1,MIN(1,IF($A91=$A90,BC90,1)-AH91+$D$2))</f>
        <v>1</v>
      </c>
      <c r="BD91">
        <f>IF(OR($J91=1,COUNTIFS($A$5:$A90,"&gt;="&amp;$A91-1,$A$5:$A90,"&lt;="&amp;$A91,$B$5:$B90,$B91)&gt;0,MIN(1-'Exercise list'!X$2,IF($A91=$A90,BD90,1))-AI91&lt;0),-1,MIN(1,IF($A91=$A90,BD90,1)-AI91+$D$2))</f>
        <v>1</v>
      </c>
      <c r="BF91" s="16">
        <f t="shared" si="76"/>
        <v>0.11421205718038084</v>
      </c>
      <c r="BG91" s="16">
        <f t="shared" si="77"/>
        <v>0.16542733486316213</v>
      </c>
      <c r="BH91" s="16">
        <f t="shared" si="78"/>
        <v>0.14549940998381841</v>
      </c>
      <c r="BI91" s="16">
        <f t="shared" si="79"/>
        <v>0.18865160773644218</v>
      </c>
      <c r="BJ91" s="16">
        <f t="shared" si="80"/>
        <v>0.19820544859879172</v>
      </c>
      <c r="BK91" s="16">
        <f t="shared" si="81"/>
        <v>0.13146875415548934</v>
      </c>
      <c r="BL91" s="16">
        <f t="shared" si="82"/>
        <v>0.15633315261729361</v>
      </c>
      <c r="BM91" s="16">
        <f t="shared" si="83"/>
        <v>7.6376885360930846E-2</v>
      </c>
      <c r="BN91" s="16">
        <f t="shared" si="84"/>
        <v>0.10012690219572581</v>
      </c>
      <c r="BO91" s="16">
        <f t="shared" si="85"/>
        <v>0.16370333627997063</v>
      </c>
      <c r="BP91" s="16">
        <f t="shared" si="86"/>
        <v>0.24649104193468294</v>
      </c>
      <c r="BQ91" s="16">
        <f t="shared" si="87"/>
        <v>2.0175750361840931E-2</v>
      </c>
      <c r="BR91" s="16">
        <f t="shared" si="88"/>
        <v>0.11007991036045044</v>
      </c>
      <c r="BS91" s="16">
        <f t="shared" si="89"/>
        <v>1.2036760228119113E-2</v>
      </c>
      <c r="BT91" s="16">
        <f t="shared" si="90"/>
        <v>0.21344305902610561</v>
      </c>
      <c r="BU91" s="16">
        <f t="shared" si="91"/>
        <v>0.24507428544820484</v>
      </c>
      <c r="BV91" s="16">
        <f t="shared" si="92"/>
        <v>0.29872536491685853</v>
      </c>
      <c r="BW91" s="16">
        <f t="shared" si="93"/>
        <v>0.10239867605975639</v>
      </c>
      <c r="BX91" s="16">
        <f t="shared" si="94"/>
        <v>0.11326520106725502</v>
      </c>
      <c r="BY91" s="16">
        <f t="shared" si="95"/>
        <v>8.1865453286713602E-2</v>
      </c>
      <c r="CA91" s="16">
        <f t="shared" si="56"/>
        <v>9.9385008868655714E-2</v>
      </c>
      <c r="CB91" s="16">
        <f t="shared" si="57"/>
        <v>4.816973118587442E-2</v>
      </c>
      <c r="CC91" s="16">
        <f t="shared" si="58"/>
        <v>0</v>
      </c>
      <c r="CD91" s="16">
        <f t="shared" si="59"/>
        <v>0</v>
      </c>
      <c r="CE91" s="16">
        <f t="shared" si="60"/>
        <v>0</v>
      </c>
      <c r="CF91" s="16">
        <f t="shared" si="61"/>
        <v>0.18892684491806552</v>
      </c>
      <c r="CG91" s="16">
        <f t="shared" si="62"/>
        <v>0</v>
      </c>
      <c r="CH91" s="16">
        <f t="shared" si="63"/>
        <v>3.0421647663587431E-2</v>
      </c>
      <c r="CI91" s="16">
        <f t="shared" si="64"/>
        <v>0.11347016385331074</v>
      </c>
      <c r="CJ91" s="16">
        <f t="shared" si="65"/>
        <v>0</v>
      </c>
      <c r="CK91" s="16">
        <f t="shared" si="66"/>
        <v>0</v>
      </c>
      <c r="CL91" s="16">
        <f t="shared" si="67"/>
        <v>8.6622782662677339E-2</v>
      </c>
      <c r="CM91" s="16">
        <f t="shared" si="68"/>
        <v>0.10351715568858612</v>
      </c>
      <c r="CN91" s="16">
        <f t="shared" si="69"/>
        <v>9.4761772796399163E-2</v>
      </c>
      <c r="CO91" s="16">
        <f t="shared" si="70"/>
        <v>0</v>
      </c>
      <c r="CP91" s="16">
        <f t="shared" si="71"/>
        <v>0</v>
      </c>
      <c r="CQ91" s="16">
        <f t="shared" si="72"/>
        <v>0</v>
      </c>
      <c r="CR91" s="16">
        <f t="shared" si="73"/>
        <v>4.399856964761889E-3</v>
      </c>
      <c r="CS91" s="16">
        <f t="shared" si="74"/>
        <v>0</v>
      </c>
      <c r="CT91" s="16">
        <f t="shared" si="75"/>
        <v>2.4933079737804675E-2</v>
      </c>
    </row>
    <row r="92" spans="1:99" x14ac:dyDescent="0.25">
      <c r="A92" s="13">
        <v>45074</v>
      </c>
      <c r="B92" s="14">
        <v>23</v>
      </c>
      <c r="C92" s="15" t="str" cm="1">
        <f t="array" ref="C92">IF(B92="","",INDEX('Exercise list'!$C$5:$C$102,B92))</f>
        <v>Barbell bench presses</v>
      </c>
      <c r="D92" s="12">
        <f t="shared" si="52"/>
        <v>-1</v>
      </c>
      <c r="E92" s="32">
        <f t="shared" si="53"/>
        <v>1.4891274644406793</v>
      </c>
      <c r="F92" s="63" cm="1">
        <f t="array" ref="F92">IF(B92="","",0.1+IFERROR(INDEX($F$6:$F91,SUMPRODUCT(MAX(ROW($C$6:$C91)*($C92=$C$6:$C91))-ROW($A$5)))*0.9^($A92-INDEX($A$6:A91,SUMPRODUCT(MAX(ROW($C$6:$C91)*($C92=$C$6:$C91))-ROW($A$5)))),0))</f>
        <v>0.15440473162214016</v>
      </c>
      <c r="G92" s="64">
        <f>INDEX('Exercise list'!$Y$5:$Y$102,MATCH(C92,'Exercise list'!$C$5:$C$102,0))</f>
        <v>3</v>
      </c>
      <c r="H92" s="115">
        <f t="shared" si="54"/>
        <v>6.5571298273208567E-2</v>
      </c>
      <c r="I92" s="6">
        <f t="shared" si="55"/>
        <v>3</v>
      </c>
      <c r="J92" s="6" cm="1">
        <f t="array" ref="J92">IF(B92="","",INDEX('Exercise list'!$D$5:$D$102,B92))</f>
        <v>1</v>
      </c>
      <c r="K92" s="12">
        <v>59</v>
      </c>
      <c r="L92" s="74" t="str" cm="1">
        <f t="array" ref="L92">IF(K92="","",INDEX('Exercise list'!$C$5:$C$102,K92))</f>
        <v>Triceps dips</v>
      </c>
      <c r="M92" s="6">
        <v>52</v>
      </c>
      <c r="N92" s="75" t="str" cm="1">
        <f t="array" ref="N92">IF(M92="","",INDEX('Exercise list'!$C$5:$C$102,M92))</f>
        <v>Dumbbell seated front shoulder presses</v>
      </c>
      <c r="P92">
        <f>IFERROR(INDEX('Exercise list'!$E$5:$X$102,MATCH($C92,'Exercise list'!$C$5:$C$102,0),MATCH(P$5,'Exercise list'!$E$4:$X$4,0)),0)</f>
        <v>1</v>
      </c>
      <c r="Q92">
        <f>IFERROR(INDEX('Exercise list'!$E$5:$X$102,MATCH($C92,'Exercise list'!$C$5:$C$102,0),MATCH(Q$5,'Exercise list'!$E$4:$X$4,0)),0)</f>
        <v>0</v>
      </c>
      <c r="R92">
        <f>IFERROR(INDEX('Exercise list'!$E$5:$X$102,MATCH($C92,'Exercise list'!$C$5:$C$102,0),MATCH(R$5,'Exercise list'!$E$4:$X$4,0)),0)</f>
        <v>0</v>
      </c>
      <c r="S92">
        <f>IFERROR(INDEX('Exercise list'!$E$5:$X$102,MATCH($C92,'Exercise list'!$C$5:$C$102,0),MATCH(S$5,'Exercise list'!$E$4:$X$4,0)),0)</f>
        <v>0</v>
      </c>
      <c r="T92">
        <f>IFERROR(INDEX('Exercise list'!$E$5:$X$102,MATCH($C92,'Exercise list'!$C$5:$C$102,0),MATCH(T$5,'Exercise list'!$E$4:$X$4,0)),0)</f>
        <v>0</v>
      </c>
      <c r="U92">
        <f>IFERROR(INDEX('Exercise list'!$E$5:$X$102,MATCH($C92,'Exercise list'!$C$5:$C$102,0),MATCH(U$5,'Exercise list'!$E$4:$X$4,0)),0)</f>
        <v>0</v>
      </c>
      <c r="V92">
        <f>IFERROR(INDEX('Exercise list'!$E$5:$X$102,MATCH($C92,'Exercise list'!$C$5:$C$102,0),MATCH(V$5,'Exercise list'!$E$4:$X$4,0)),0)</f>
        <v>0.5</v>
      </c>
      <c r="W92">
        <f>IFERROR(INDEX('Exercise list'!$E$5:$X$102,MATCH($C92,'Exercise list'!$C$5:$C$102,0),MATCH(W$5,'Exercise list'!$E$4:$X$4,0)),0)</f>
        <v>0</v>
      </c>
      <c r="X92">
        <f>IFERROR(INDEX('Exercise list'!$E$5:$X$102,MATCH($C92,'Exercise list'!$C$5:$C$102,0),MATCH(X$5,'Exercise list'!$E$4:$X$4,0)),0)</f>
        <v>0</v>
      </c>
      <c r="Y92">
        <f>IFERROR(INDEX('Exercise list'!$E$5:$X$102,MATCH($C92,'Exercise list'!$C$5:$C$102,0),MATCH(Y$5,'Exercise list'!$E$4:$X$4,0)),0)</f>
        <v>0.8</v>
      </c>
      <c r="Z92">
        <f>IFERROR(INDEX('Exercise list'!$E$5:$X$102,MATCH($C92,'Exercise list'!$C$5:$C$102,0),MATCH(Z$5,'Exercise list'!$E$4:$X$4,0)),0)</f>
        <v>0</v>
      </c>
      <c r="AA92">
        <f>IFERROR(INDEX('Exercise list'!$E$5:$X$102,MATCH($C92,'Exercise list'!$C$5:$C$102,0),MATCH(AA$5,'Exercise list'!$E$4:$X$4,0)),0)</f>
        <v>0</v>
      </c>
      <c r="AB92">
        <f>IFERROR(INDEX('Exercise list'!$E$5:$X$102,MATCH($C92,'Exercise list'!$C$5:$C$102,0),MATCH(AB$5,'Exercise list'!$E$4:$X$4,0)),0)</f>
        <v>0</v>
      </c>
      <c r="AC92">
        <f>IFERROR(INDEX('Exercise list'!$E$5:$X$102,MATCH($C92,'Exercise list'!$C$5:$C$102,0),MATCH(AC$5,'Exercise list'!$E$4:$X$4,0)),0)</f>
        <v>0</v>
      </c>
      <c r="AD92">
        <f>IFERROR(INDEX('Exercise list'!$E$5:$X$102,MATCH($C92,'Exercise list'!$C$5:$C$102,0),MATCH(AD$5,'Exercise list'!$E$4:$X$4,0)),0)</f>
        <v>0</v>
      </c>
      <c r="AE92">
        <f>IFERROR(INDEX('Exercise list'!$E$5:$X$102,MATCH($C92,'Exercise list'!$C$5:$C$102,0),MATCH(AE$5,'Exercise list'!$E$4:$X$4,0)),0)</f>
        <v>0</v>
      </c>
      <c r="AF92">
        <f>IFERROR(INDEX('Exercise list'!$E$5:$X$102,MATCH($C92,'Exercise list'!$C$5:$C$102,0),MATCH(AF$5,'Exercise list'!$E$4:$X$4,0)),0)</f>
        <v>0</v>
      </c>
      <c r="AG92">
        <f>IFERROR(INDEX('Exercise list'!$E$5:$X$102,MATCH($C92,'Exercise list'!$C$5:$C$102,0),MATCH(AG$5,'Exercise list'!$E$4:$X$4,0)),0)</f>
        <v>0</v>
      </c>
      <c r="AH92">
        <f>IFERROR(INDEX('Exercise list'!$E$5:$X$102,MATCH($C92,'Exercise list'!$C$5:$C$102,0),MATCH(AH$5,'Exercise list'!$E$4:$X$4,0)),0)</f>
        <v>0</v>
      </c>
      <c r="AI92">
        <f>IFERROR(INDEX('Exercise list'!$E$5:$X$102,MATCH($C92,'Exercise list'!$C$5:$C$102,0),MATCH(AI$5,'Exercise list'!$E$4:$X$4,0)),0)</f>
        <v>0</v>
      </c>
      <c r="AK92">
        <f>IF(OR($J92=1,COUNTIFS($A$5:$A91,"&gt;="&amp;$A92-1,$A$5:$A91,"&lt;="&amp;$A92,$B$5:$B91,$B92)&gt;0,MIN(1-'Exercise list'!E$2,IF($A92=$A91,AK91,1))-P92&lt;0),-1,MIN(1,IF($A92=$A91,AK91,1)-P92+$D$2))</f>
        <v>-1</v>
      </c>
      <c r="AL92">
        <f>IF(OR($J92=1,COUNTIFS($A$5:$A91,"&gt;="&amp;$A92-1,$A$5:$A91,"&lt;="&amp;$A92,$B$5:$B91,$B92)&gt;0,MIN(1-'Exercise list'!F$2,IF($A92=$A91,AL91,1))-Q92&lt;0),-1,MIN(1,IF($A92=$A91,AL91,1)-Q92+$D$2))</f>
        <v>-1</v>
      </c>
      <c r="AM92">
        <f>IF(OR($J92=1,COUNTIFS($A$5:$A91,"&gt;="&amp;$A92-1,$A$5:$A91,"&lt;="&amp;$A92,$B$5:$B91,$B92)&gt;0,MIN(1-'Exercise list'!G$2,IF($A92=$A91,AM91,1))-R92&lt;0),-1,MIN(1,IF($A92=$A91,AM91,1)-R92+$D$2))</f>
        <v>-1</v>
      </c>
      <c r="AN92">
        <f>IF(OR($J92=1,COUNTIFS($A$5:$A91,"&gt;="&amp;$A92-1,$A$5:$A91,"&lt;="&amp;$A92,$B$5:$B91,$B92)&gt;0,MIN(1-'Exercise list'!H$2,IF($A92=$A91,AN91,1))-S92&lt;0),-1,MIN(1,IF($A92=$A91,AN91,1)-S92+$D$2))</f>
        <v>-1</v>
      </c>
      <c r="AO92">
        <f>IF(OR($J92=1,COUNTIFS($A$5:$A91,"&gt;="&amp;$A92-1,$A$5:$A91,"&lt;="&amp;$A92,$B$5:$B91,$B92)&gt;0,MIN(1-'Exercise list'!I$2,IF($A92=$A91,AO91,1))-T92&lt;0),-1,MIN(1,IF($A92=$A91,AO91,1)-T92+$D$2))</f>
        <v>-1</v>
      </c>
      <c r="AP92">
        <f>IF(OR($J92=1,COUNTIFS($A$5:$A91,"&gt;="&amp;$A92-1,$A$5:$A91,"&lt;="&amp;$A92,$B$5:$B91,$B92)&gt;0,MIN(1-'Exercise list'!J$2,IF($A92=$A91,AP91,1))-U92&lt;0),-1,MIN(1,IF($A92=$A91,AP91,1)-U92+$D$2))</f>
        <v>-1</v>
      </c>
      <c r="AQ92">
        <f>IF(OR($J92=1,COUNTIFS($A$5:$A91,"&gt;="&amp;$A92-1,$A$5:$A91,"&lt;="&amp;$A92,$B$5:$B91,$B92)&gt;0,MIN(1-'Exercise list'!K$2,IF($A92=$A91,AQ91,1))-V92&lt;0),-1,MIN(1,IF($A92=$A91,AQ91,1)-V92+$D$2))</f>
        <v>-1</v>
      </c>
      <c r="AR92">
        <f>IF(OR($J92=1,COUNTIFS($A$5:$A91,"&gt;="&amp;$A92-1,$A$5:$A91,"&lt;="&amp;$A92,$B$5:$B91,$B92)&gt;0,MIN(1-'Exercise list'!L$2,IF($A92=$A91,AR91,1))-W92&lt;0),-1,MIN(1,IF($A92=$A91,AR91,1)-W92+$D$2))</f>
        <v>-1</v>
      </c>
      <c r="AS92">
        <f>IF(OR($J92=1,COUNTIFS($A$5:$A91,"&gt;="&amp;$A92-1,$A$5:$A91,"&lt;="&amp;$A92,$B$5:$B91,$B92)&gt;0,MIN(1-'Exercise list'!M$2,IF($A92=$A91,AS91,1))-X92&lt;0),-1,MIN(1,IF($A92=$A91,AS91,1)-X92+$D$2))</f>
        <v>-1</v>
      </c>
      <c r="AT92">
        <f>IF(OR($J92=1,COUNTIFS($A$5:$A91,"&gt;="&amp;$A92-1,$A$5:$A91,"&lt;="&amp;$A92,$B$5:$B91,$B92)&gt;0,MIN(1-'Exercise list'!N$2,IF($A92=$A91,AT91,1))-Y92&lt;0),-1,MIN(1,IF($A92=$A91,AT91,1)-Y92+$D$2))</f>
        <v>-1</v>
      </c>
      <c r="AU92">
        <f>IF(OR($J92=1,COUNTIFS($A$5:$A91,"&gt;="&amp;$A92-1,$A$5:$A91,"&lt;="&amp;$A92,$B$5:$B91,$B92)&gt;0,MIN(1-'Exercise list'!O$2,IF($A92=$A91,AU91,1))-Z92&lt;0),-1,MIN(1,IF($A92=$A91,AU91,1)-Z92+$D$2))</f>
        <v>-1</v>
      </c>
      <c r="AV92">
        <f>IF(OR($J92=1,COUNTIFS($A$5:$A91,"&gt;="&amp;$A92-1,$A$5:$A91,"&lt;="&amp;$A92,$B$5:$B91,$B92)&gt;0,MIN(1-'Exercise list'!P$2,IF($A92=$A91,AV91,1))-AA92&lt;0),-1,MIN(1,IF($A92=$A91,AV91,1)-AA92+$D$2))</f>
        <v>-1</v>
      </c>
      <c r="AW92">
        <f>IF(OR($J92=1,COUNTIFS($A$5:$A91,"&gt;="&amp;$A92-1,$A$5:$A91,"&lt;="&amp;$A92,$B$5:$B91,$B92)&gt;0,MIN(1-'Exercise list'!Q$2,IF($A92=$A91,AW91,1))-AB92&lt;0),-1,MIN(1,IF($A92=$A91,AW91,1)-AB92+$D$2))</f>
        <v>-1</v>
      </c>
      <c r="AX92">
        <f>IF(OR($J92=1,COUNTIFS($A$5:$A91,"&gt;="&amp;$A92-1,$A$5:$A91,"&lt;="&amp;$A92,$B$5:$B91,$B92)&gt;0,MIN(1-'Exercise list'!R$2,IF($A92=$A91,AX91,1))-AC92&lt;0),-1,MIN(1,IF($A92=$A91,AX91,1)-AC92+$D$2))</f>
        <v>-1</v>
      </c>
      <c r="AY92">
        <f>IF(OR($J92=1,COUNTIFS($A$5:$A91,"&gt;="&amp;$A92-1,$A$5:$A91,"&lt;="&amp;$A92,$B$5:$B91,$B92)&gt;0,MIN(1-'Exercise list'!S$2,IF($A92=$A91,AY91,1))-AD92&lt;0),-1,MIN(1,IF($A92=$A91,AY91,1)-AD92+$D$2))</f>
        <v>-1</v>
      </c>
      <c r="AZ92">
        <f>IF(OR($J92=1,COUNTIFS($A$5:$A91,"&gt;="&amp;$A92-1,$A$5:$A91,"&lt;="&amp;$A92,$B$5:$B91,$B92)&gt;0,MIN(1-'Exercise list'!T$2,IF($A92=$A91,AZ91,1))-AE92&lt;0),-1,MIN(1,IF($A92=$A91,AZ91,1)-AE92+$D$2))</f>
        <v>-1</v>
      </c>
      <c r="BA92">
        <f>IF(OR($J92=1,COUNTIFS($A$5:$A91,"&gt;="&amp;$A92-1,$A$5:$A91,"&lt;="&amp;$A92,$B$5:$B91,$B92)&gt;0,MIN(1-'Exercise list'!U$2,IF($A92=$A91,BA91,1))-AF92&lt;0),-1,MIN(1,IF($A92=$A91,BA91,1)-AF92+$D$2))</f>
        <v>-1</v>
      </c>
      <c r="BB92">
        <f>IF(OR($J92=1,COUNTIFS($A$5:$A91,"&gt;="&amp;$A92-1,$A$5:$A91,"&lt;="&amp;$A92,$B$5:$B91,$B92)&gt;0,MIN(1-'Exercise list'!V$2,IF($A92=$A91,BB91,1))-AG92&lt;0),-1,MIN(1,IF($A92=$A91,BB91,1)-AG92+$D$2))</f>
        <v>-1</v>
      </c>
      <c r="BC92">
        <f>IF(OR($J92=1,COUNTIFS($A$5:$A91,"&gt;="&amp;$A92-1,$A$5:$A91,"&lt;="&amp;$A92,$B$5:$B91,$B92)&gt;0,MIN(1-'Exercise list'!W$2,IF($A92=$A91,BC91,1))-AH92&lt;0),-1,MIN(1,IF($A92=$A91,BC91,1)-AH92+$D$2))</f>
        <v>-1</v>
      </c>
      <c r="BD92">
        <f>IF(OR($J92=1,COUNTIFS($A$5:$A91,"&gt;="&amp;$A92-1,$A$5:$A91,"&lt;="&amp;$A92,$B$5:$B91,$B92)&gt;0,MIN(1-'Exercise list'!X$2,IF($A92=$A91,BD91,1))-AI92&lt;0),-1,MIN(1,IF($A92=$A91,BD91,1)-AI92+$D$2))</f>
        <v>-1</v>
      </c>
      <c r="BF92" s="16">
        <f t="shared" si="76"/>
        <v>0.15850145432136181</v>
      </c>
      <c r="BG92" s="16">
        <f t="shared" si="77"/>
        <v>0.15715596812000401</v>
      </c>
      <c r="BH92" s="16">
        <f t="shared" si="78"/>
        <v>0.13822443948462748</v>
      </c>
      <c r="BI92" s="16">
        <f t="shared" si="79"/>
        <v>0.17921902734962006</v>
      </c>
      <c r="BJ92" s="16">
        <f t="shared" si="80"/>
        <v>0.18829517616885214</v>
      </c>
      <c r="BK92" s="16">
        <f t="shared" si="81"/>
        <v>0.12489531644771486</v>
      </c>
      <c r="BL92" s="16">
        <f t="shared" si="82"/>
        <v>0.1735164949864289</v>
      </c>
      <c r="BM92" s="16">
        <f t="shared" si="83"/>
        <v>7.2558041092884301E-2</v>
      </c>
      <c r="BN92" s="16">
        <f t="shared" si="84"/>
        <v>9.5120557085939514E-2</v>
      </c>
      <c r="BO92" s="16">
        <f t="shared" si="85"/>
        <v>0.19551816946597211</v>
      </c>
      <c r="BP92" s="16">
        <f t="shared" si="86"/>
        <v>0.23416648983794877</v>
      </c>
      <c r="BQ92" s="16">
        <f t="shared" si="87"/>
        <v>1.9166962843748882E-2</v>
      </c>
      <c r="BR92" s="16">
        <f t="shared" si="88"/>
        <v>0.10457591484242791</v>
      </c>
      <c r="BS92" s="16">
        <f t="shared" si="89"/>
        <v>1.1434922216713156E-2</v>
      </c>
      <c r="BT92" s="16">
        <f t="shared" si="90"/>
        <v>0.20277090607480031</v>
      </c>
      <c r="BU92" s="16">
        <f t="shared" si="91"/>
        <v>0.23282057117579458</v>
      </c>
      <c r="BV92" s="16">
        <f t="shared" si="92"/>
        <v>0.28378909667101559</v>
      </c>
      <c r="BW92" s="16">
        <f t="shared" si="93"/>
        <v>9.7278742256768566E-2</v>
      </c>
      <c r="BX92" s="16">
        <f t="shared" si="94"/>
        <v>0.10760194101389225</v>
      </c>
      <c r="BY92" s="16">
        <f t="shared" si="95"/>
        <v>7.7772180622377923E-2</v>
      </c>
      <c r="CA92" s="16">
        <f t="shared" si="56"/>
        <v>5.2934276943741421E-2</v>
      </c>
      <c r="CB92" s="16">
        <f t="shared" si="57"/>
        <v>5.4279763145099219E-2</v>
      </c>
      <c r="CC92" s="16">
        <f t="shared" si="58"/>
        <v>0</v>
      </c>
      <c r="CD92" s="16">
        <f t="shared" si="59"/>
        <v>0</v>
      </c>
      <c r="CE92" s="16">
        <f t="shared" si="60"/>
        <v>0</v>
      </c>
      <c r="CF92" s="16">
        <f t="shared" si="61"/>
        <v>0.19225828044994003</v>
      </c>
      <c r="CG92" s="16">
        <f t="shared" si="62"/>
        <v>0</v>
      </c>
      <c r="CH92" s="16">
        <f t="shared" si="63"/>
        <v>3.3159824539667315E-2</v>
      </c>
      <c r="CI92" s="16">
        <f t="shared" si="64"/>
        <v>0.11631517417916372</v>
      </c>
      <c r="CJ92" s="16">
        <f t="shared" si="65"/>
        <v>0</v>
      </c>
      <c r="CK92" s="16">
        <f t="shared" si="66"/>
        <v>0</v>
      </c>
      <c r="CL92" s="16">
        <f t="shared" si="67"/>
        <v>8.655090278880273E-2</v>
      </c>
      <c r="CM92" s="16">
        <f t="shared" si="68"/>
        <v>0.10685981642267532</v>
      </c>
      <c r="CN92" s="16">
        <f t="shared" si="69"/>
        <v>9.4282943415838455E-2</v>
      </c>
      <c r="CO92" s="16">
        <f t="shared" si="70"/>
        <v>0</v>
      </c>
      <c r="CP92" s="16">
        <f t="shared" si="71"/>
        <v>0</v>
      </c>
      <c r="CQ92" s="16">
        <f t="shared" si="72"/>
        <v>0</v>
      </c>
      <c r="CR92" s="16">
        <f t="shared" si="73"/>
        <v>8.4391233757830503E-3</v>
      </c>
      <c r="CS92" s="16">
        <f t="shared" si="74"/>
        <v>0</v>
      </c>
      <c r="CT92" s="16">
        <f t="shared" si="75"/>
        <v>2.7945685010173693E-2</v>
      </c>
    </row>
    <row r="93" spans="1:99" x14ac:dyDescent="0.25">
      <c r="A93" s="13">
        <v>45074</v>
      </c>
      <c r="B93" s="14">
        <v>29</v>
      </c>
      <c r="C93" s="15" t="str" cm="1">
        <f t="array" ref="C93">IF(B93="","",INDEX('Exercise list'!$C$5:$C$102,B93))</f>
        <v>Hanging leg raises</v>
      </c>
      <c r="D93" s="12">
        <f t="shared" si="52"/>
        <v>-1</v>
      </c>
      <c r="E93" s="32">
        <f t="shared" si="53"/>
        <v>1.4074658891486673</v>
      </c>
      <c r="F93" s="63" cm="1">
        <f t="array" ref="F93">IF(B93="","",0.1+IFERROR(INDEX($F$6:$F92,SUMPRODUCT(MAX(ROW($C$6:$C92)*($C93=$C$6:$C92))-ROW($A$5)))*0.9^($A93-INDEX($A$6:A92,SUMPRODUCT(MAX(ROW($C$6:$C92)*($C93=$C$6:$C92))-ROW($A$5)))),0))</f>
        <v>0.11241245620719215</v>
      </c>
      <c r="G93" s="64">
        <f>INDEX('Exercise list'!$Y$5:$Y$102,MATCH(C93,'Exercise list'!$C$5:$C$102,0))</f>
        <v>2</v>
      </c>
      <c r="H93" s="115">
        <f t="shared" si="54"/>
        <v>6.2258981287333981E-2</v>
      </c>
      <c r="I93" s="6">
        <f t="shared" si="55"/>
        <v>4</v>
      </c>
      <c r="J93" s="6" cm="1">
        <f t="array" ref="J93">IF(B93="","",INDEX('Exercise list'!$D$5:$D$102,B93))</f>
        <v>0</v>
      </c>
      <c r="K93" s="12">
        <v>40</v>
      </c>
      <c r="L93" s="74" t="str" cm="1">
        <f t="array" ref="L93">IF(K93="","",INDEX('Exercise list'!$C$5:$C$102,K93))</f>
        <v>Calf presses</v>
      </c>
      <c r="M93" s="6">
        <v>10</v>
      </c>
      <c r="N93" s="75" t="str" cm="1">
        <f t="array" ref="N93">IF(M93="","",INDEX('Exercise list'!$C$5:$C$102,M93))</f>
        <v>Cable seated rows</v>
      </c>
      <c r="P93">
        <f>IFERROR(INDEX('Exercise list'!$E$5:$X$102,MATCH($C93,'Exercise list'!$C$5:$C$102,0),MATCH(P$5,'Exercise list'!$E$4:$X$4,0)),0)</f>
        <v>0</v>
      </c>
      <c r="Q93">
        <f>IFERROR(INDEX('Exercise list'!$E$5:$X$102,MATCH($C93,'Exercise list'!$C$5:$C$102,0),MATCH(Q$5,'Exercise list'!$E$4:$X$4,0)),0)</f>
        <v>0</v>
      </c>
      <c r="R93">
        <f>IFERROR(INDEX('Exercise list'!$E$5:$X$102,MATCH($C93,'Exercise list'!$C$5:$C$102,0),MATCH(R$5,'Exercise list'!$E$4:$X$4,0)),0)</f>
        <v>0</v>
      </c>
      <c r="S93">
        <f>IFERROR(INDEX('Exercise list'!$E$5:$X$102,MATCH($C93,'Exercise list'!$C$5:$C$102,0),MATCH(S$5,'Exercise list'!$E$4:$X$4,0)),0)</f>
        <v>0</v>
      </c>
      <c r="T93">
        <f>IFERROR(INDEX('Exercise list'!$E$5:$X$102,MATCH($C93,'Exercise list'!$C$5:$C$102,0),MATCH(T$5,'Exercise list'!$E$4:$X$4,0)),0)</f>
        <v>0</v>
      </c>
      <c r="U93">
        <f>IFERROR(INDEX('Exercise list'!$E$5:$X$102,MATCH($C93,'Exercise list'!$C$5:$C$102,0),MATCH(U$5,'Exercise list'!$E$4:$X$4,0)),0)</f>
        <v>0</v>
      </c>
      <c r="V93">
        <f>IFERROR(INDEX('Exercise list'!$E$5:$X$102,MATCH($C93,'Exercise list'!$C$5:$C$102,0),MATCH(V$5,'Exercise list'!$E$4:$X$4,0)),0)</f>
        <v>0</v>
      </c>
      <c r="W93">
        <f>IFERROR(INDEX('Exercise list'!$E$5:$X$102,MATCH($C93,'Exercise list'!$C$5:$C$102,0),MATCH(W$5,'Exercise list'!$E$4:$X$4,0)),0)</f>
        <v>0</v>
      </c>
      <c r="X93">
        <f>IFERROR(INDEX('Exercise list'!$E$5:$X$102,MATCH($C93,'Exercise list'!$C$5:$C$102,0),MATCH(X$5,'Exercise list'!$E$4:$X$4,0)),0)</f>
        <v>0</v>
      </c>
      <c r="Y93">
        <f>IFERROR(INDEX('Exercise list'!$E$5:$X$102,MATCH($C93,'Exercise list'!$C$5:$C$102,0),MATCH(Y$5,'Exercise list'!$E$4:$X$4,0)),0)</f>
        <v>0</v>
      </c>
      <c r="Z93">
        <f>IFERROR(INDEX('Exercise list'!$E$5:$X$102,MATCH($C93,'Exercise list'!$C$5:$C$102,0),MATCH(Z$5,'Exercise list'!$E$4:$X$4,0)),0)</f>
        <v>1</v>
      </c>
      <c r="AA93">
        <f>IFERROR(INDEX('Exercise list'!$E$5:$X$102,MATCH($C93,'Exercise list'!$C$5:$C$102,0),MATCH(AA$5,'Exercise list'!$E$4:$X$4,0)),0)</f>
        <v>0.8</v>
      </c>
      <c r="AB93">
        <f>IFERROR(INDEX('Exercise list'!$E$5:$X$102,MATCH($C93,'Exercise list'!$C$5:$C$102,0),MATCH(AB$5,'Exercise list'!$E$4:$X$4,0)),0)</f>
        <v>1</v>
      </c>
      <c r="AC93">
        <f>IFERROR(INDEX('Exercise list'!$E$5:$X$102,MATCH($C93,'Exercise list'!$C$5:$C$102,0),MATCH(AC$5,'Exercise list'!$E$4:$X$4,0)),0)</f>
        <v>0.5</v>
      </c>
      <c r="AD93">
        <f>IFERROR(INDEX('Exercise list'!$E$5:$X$102,MATCH($C93,'Exercise list'!$C$5:$C$102,0),MATCH(AD$5,'Exercise list'!$E$4:$X$4,0)),0)</f>
        <v>0</v>
      </c>
      <c r="AE93">
        <f>IFERROR(INDEX('Exercise list'!$E$5:$X$102,MATCH($C93,'Exercise list'!$C$5:$C$102,0),MATCH(AE$5,'Exercise list'!$E$4:$X$4,0)),0)</f>
        <v>0</v>
      </c>
      <c r="AF93">
        <f>IFERROR(INDEX('Exercise list'!$E$5:$X$102,MATCH($C93,'Exercise list'!$C$5:$C$102,0),MATCH(AF$5,'Exercise list'!$E$4:$X$4,0)),0)</f>
        <v>0</v>
      </c>
      <c r="AG93">
        <f>IFERROR(INDEX('Exercise list'!$E$5:$X$102,MATCH($C93,'Exercise list'!$C$5:$C$102,0),MATCH(AG$5,'Exercise list'!$E$4:$X$4,0)),0)</f>
        <v>0</v>
      </c>
      <c r="AH93">
        <f>IFERROR(INDEX('Exercise list'!$E$5:$X$102,MATCH($C93,'Exercise list'!$C$5:$C$102,0),MATCH(AH$5,'Exercise list'!$E$4:$X$4,0)),0)</f>
        <v>0</v>
      </c>
      <c r="AI93">
        <f>IFERROR(INDEX('Exercise list'!$E$5:$X$102,MATCH($C93,'Exercise list'!$C$5:$C$102,0),MATCH(AI$5,'Exercise list'!$E$4:$X$4,0)),0)</f>
        <v>0</v>
      </c>
      <c r="AK93">
        <f>IF(OR($J93=1,COUNTIFS($A$5:$A92,"&gt;="&amp;$A93-1,$A$5:$A92,"&lt;="&amp;$A93,$B$5:$B92,$B93)&gt;0,MIN(1-'Exercise list'!E$2,IF($A93=$A92,AK92,1))-P93&lt;0),-1,MIN(1,IF($A93=$A92,AK92,1)-P93+$D$2))</f>
        <v>-1</v>
      </c>
      <c r="AL93">
        <f>IF(OR($J93=1,COUNTIFS($A$5:$A92,"&gt;="&amp;$A93-1,$A$5:$A92,"&lt;="&amp;$A93,$B$5:$B92,$B93)&gt;0,MIN(1-'Exercise list'!F$2,IF($A93=$A92,AL92,1))-Q93&lt;0),-1,MIN(1,IF($A93=$A92,AL92,1)-Q93+$D$2))</f>
        <v>-1</v>
      </c>
      <c r="AM93">
        <f>IF(OR($J93=1,COUNTIFS($A$5:$A92,"&gt;="&amp;$A93-1,$A$5:$A92,"&lt;="&amp;$A93,$B$5:$B92,$B93)&gt;0,MIN(1-'Exercise list'!G$2,IF($A93=$A92,AM92,1))-R93&lt;0),-1,MIN(1,IF($A93=$A92,AM92,1)-R93+$D$2))</f>
        <v>-1</v>
      </c>
      <c r="AN93">
        <f>IF(OR($J93=1,COUNTIFS($A$5:$A92,"&gt;="&amp;$A93-1,$A$5:$A92,"&lt;="&amp;$A93,$B$5:$B92,$B93)&gt;0,MIN(1-'Exercise list'!H$2,IF($A93=$A92,AN92,1))-S93&lt;0),-1,MIN(1,IF($A93=$A92,AN92,1)-S93+$D$2))</f>
        <v>-1</v>
      </c>
      <c r="AO93">
        <f>IF(OR($J93=1,COUNTIFS($A$5:$A92,"&gt;="&amp;$A93-1,$A$5:$A92,"&lt;="&amp;$A93,$B$5:$B92,$B93)&gt;0,MIN(1-'Exercise list'!I$2,IF($A93=$A92,AO92,1))-T93&lt;0),-1,MIN(1,IF($A93=$A92,AO92,1)-T93+$D$2))</f>
        <v>-1</v>
      </c>
      <c r="AP93">
        <f>IF(OR($J93=1,COUNTIFS($A$5:$A92,"&gt;="&amp;$A93-1,$A$5:$A92,"&lt;="&amp;$A93,$B$5:$B92,$B93)&gt;0,MIN(1-'Exercise list'!J$2,IF($A93=$A92,AP92,1))-U93&lt;0),-1,MIN(1,IF($A93=$A92,AP92,1)-U93+$D$2))</f>
        <v>-1</v>
      </c>
      <c r="AQ93">
        <f>IF(OR($J93=1,COUNTIFS($A$5:$A92,"&gt;="&amp;$A93-1,$A$5:$A92,"&lt;="&amp;$A93,$B$5:$B92,$B93)&gt;0,MIN(1-'Exercise list'!K$2,IF($A93=$A92,AQ92,1))-V93&lt;0),-1,MIN(1,IF($A93=$A92,AQ92,1)-V93+$D$2))</f>
        <v>-1</v>
      </c>
      <c r="AR93">
        <f>IF(OR($J93=1,COUNTIFS($A$5:$A92,"&gt;="&amp;$A93-1,$A$5:$A92,"&lt;="&amp;$A93,$B$5:$B92,$B93)&gt;0,MIN(1-'Exercise list'!L$2,IF($A93=$A92,AR92,1))-W93&lt;0),-1,MIN(1,IF($A93=$A92,AR92,1)-W93+$D$2))</f>
        <v>-1</v>
      </c>
      <c r="AS93">
        <f>IF(OR($J93=1,COUNTIFS($A$5:$A92,"&gt;="&amp;$A93-1,$A$5:$A92,"&lt;="&amp;$A93,$B$5:$B92,$B93)&gt;0,MIN(1-'Exercise list'!M$2,IF($A93=$A92,AS92,1))-X93&lt;0),-1,MIN(1,IF($A93=$A92,AS92,1)-X93+$D$2))</f>
        <v>-1</v>
      </c>
      <c r="AT93">
        <f>IF(OR($J93=1,COUNTIFS($A$5:$A92,"&gt;="&amp;$A93-1,$A$5:$A92,"&lt;="&amp;$A93,$B$5:$B92,$B93)&gt;0,MIN(1-'Exercise list'!N$2,IF($A93=$A92,AT92,1))-Y93&lt;0),-1,MIN(1,IF($A93=$A92,AT92,1)-Y93+$D$2))</f>
        <v>-1</v>
      </c>
      <c r="AU93">
        <f>IF(OR($J93=1,COUNTIFS($A$5:$A92,"&gt;="&amp;$A93-1,$A$5:$A92,"&lt;="&amp;$A93,$B$5:$B92,$B93)&gt;0,MIN(1-'Exercise list'!O$2,IF($A93=$A92,AU92,1))-Z93&lt;0),-1,MIN(1,IF($A93=$A92,AU92,1)-Z93+$D$2))</f>
        <v>-1</v>
      </c>
      <c r="AV93">
        <f>IF(OR($J93=1,COUNTIFS($A$5:$A92,"&gt;="&amp;$A93-1,$A$5:$A92,"&lt;="&amp;$A93,$B$5:$B92,$B93)&gt;0,MIN(1-'Exercise list'!P$2,IF($A93=$A92,AV92,1))-AA93&lt;0),-1,MIN(1,IF($A93=$A92,AV92,1)-AA93+$D$2))</f>
        <v>-1</v>
      </c>
      <c r="AW93">
        <f>IF(OR($J93=1,COUNTIFS($A$5:$A92,"&gt;="&amp;$A93-1,$A$5:$A92,"&lt;="&amp;$A93,$B$5:$B92,$B93)&gt;0,MIN(1-'Exercise list'!Q$2,IF($A93=$A92,AW92,1))-AB93&lt;0),-1,MIN(1,IF($A93=$A92,AW92,1)-AB93+$D$2))</f>
        <v>-1</v>
      </c>
      <c r="AX93">
        <f>IF(OR($J93=1,COUNTIFS($A$5:$A92,"&gt;="&amp;$A93-1,$A$5:$A92,"&lt;="&amp;$A93,$B$5:$B92,$B93)&gt;0,MIN(1-'Exercise list'!R$2,IF($A93=$A92,AX92,1))-AC93&lt;0),-1,MIN(1,IF($A93=$A92,AX92,1)-AC93+$D$2))</f>
        <v>-1</v>
      </c>
      <c r="AY93">
        <f>IF(OR($J93=1,COUNTIFS($A$5:$A92,"&gt;="&amp;$A93-1,$A$5:$A92,"&lt;="&amp;$A93,$B$5:$B92,$B93)&gt;0,MIN(1-'Exercise list'!S$2,IF($A93=$A92,AY92,1))-AD93&lt;0),-1,MIN(1,IF($A93=$A92,AY92,1)-AD93+$D$2))</f>
        <v>-1</v>
      </c>
      <c r="AZ93">
        <f>IF(OR($J93=1,COUNTIFS($A$5:$A92,"&gt;="&amp;$A93-1,$A$5:$A92,"&lt;="&amp;$A93,$B$5:$B92,$B93)&gt;0,MIN(1-'Exercise list'!T$2,IF($A93=$A92,AZ92,1))-AE93&lt;0),-1,MIN(1,IF($A93=$A92,AZ92,1)-AE93+$D$2))</f>
        <v>-1</v>
      </c>
      <c r="BA93">
        <f>IF(OR($J93=1,COUNTIFS($A$5:$A92,"&gt;="&amp;$A93-1,$A$5:$A92,"&lt;="&amp;$A93,$B$5:$B92,$B93)&gt;0,MIN(1-'Exercise list'!U$2,IF($A93=$A92,BA92,1))-AF93&lt;0),-1,MIN(1,IF($A93=$A92,BA92,1)-AF93+$D$2))</f>
        <v>-1</v>
      </c>
      <c r="BB93">
        <f>IF(OR($J93=1,COUNTIFS($A$5:$A92,"&gt;="&amp;$A93-1,$A$5:$A92,"&lt;="&amp;$A93,$B$5:$B92,$B93)&gt;0,MIN(1-'Exercise list'!V$2,IF($A93=$A92,BB92,1))-AG93&lt;0),-1,MIN(1,IF($A93=$A92,BB92,1)-AG93+$D$2))</f>
        <v>-1</v>
      </c>
      <c r="BC93">
        <f>IF(OR($J93=1,COUNTIFS($A$5:$A92,"&gt;="&amp;$A93-1,$A$5:$A92,"&lt;="&amp;$A93,$B$5:$B92,$B93)&gt;0,MIN(1-'Exercise list'!W$2,IF($A93=$A92,BC92,1))-AH93&lt;0),-1,MIN(1,IF($A93=$A92,BC92,1)-AH93+$D$2))</f>
        <v>-1</v>
      </c>
      <c r="BD93">
        <f>IF(OR($J93=1,COUNTIFS($A$5:$A92,"&gt;="&amp;$A93-1,$A$5:$A92,"&lt;="&amp;$A93,$B$5:$B92,$B93)&gt;0,MIN(1-'Exercise list'!X$2,IF($A93=$A92,BD92,1))-AI93&lt;0),-1,MIN(1,IF($A93=$A92,BD92,1)-AI93+$D$2))</f>
        <v>-1</v>
      </c>
      <c r="BF93" s="16">
        <f t="shared" si="76"/>
        <v>0.15057638160529371</v>
      </c>
      <c r="BG93" s="16">
        <f t="shared" si="77"/>
        <v>0.14929816971400381</v>
      </c>
      <c r="BH93" s="16">
        <f t="shared" si="78"/>
        <v>0.1313132175103961</v>
      </c>
      <c r="BI93" s="16">
        <f t="shared" si="79"/>
        <v>0.17025807598213905</v>
      </c>
      <c r="BJ93" s="16">
        <f t="shared" si="80"/>
        <v>0.17888041736040952</v>
      </c>
      <c r="BK93" s="16">
        <f t="shared" si="81"/>
        <v>0.11865055062532912</v>
      </c>
      <c r="BL93" s="16">
        <f t="shared" si="82"/>
        <v>0.16484067023710744</v>
      </c>
      <c r="BM93" s="16">
        <f t="shared" si="83"/>
        <v>6.8930139038240079E-2</v>
      </c>
      <c r="BN93" s="16">
        <f t="shared" si="84"/>
        <v>9.0364529231642537E-2</v>
      </c>
      <c r="BO93" s="16">
        <f t="shared" si="85"/>
        <v>0.18574226099267349</v>
      </c>
      <c r="BP93" s="16">
        <f t="shared" si="86"/>
        <v>0.27245816534605133</v>
      </c>
      <c r="BQ93" s="16">
        <f t="shared" si="87"/>
        <v>5.8208614701561447E-2</v>
      </c>
      <c r="BR93" s="16">
        <f t="shared" si="88"/>
        <v>0.14934711910030651</v>
      </c>
      <c r="BS93" s="16">
        <f t="shared" si="89"/>
        <v>3.5863176105877498E-2</v>
      </c>
      <c r="BT93" s="16">
        <f t="shared" si="90"/>
        <v>0.19263236077106027</v>
      </c>
      <c r="BU93" s="16">
        <f t="shared" si="91"/>
        <v>0.22117954261700484</v>
      </c>
      <c r="BV93" s="16">
        <f t="shared" si="92"/>
        <v>0.26959964183746482</v>
      </c>
      <c r="BW93" s="16">
        <f t="shared" si="93"/>
        <v>9.2414805143930134E-2</v>
      </c>
      <c r="BX93" s="16">
        <f t="shared" si="94"/>
        <v>0.10222184396319764</v>
      </c>
      <c r="BY93" s="16">
        <f t="shared" si="95"/>
        <v>7.3883571591259023E-2</v>
      </c>
      <c r="CA93" s="16">
        <f t="shared" si="56"/>
        <v>6.2509785318776573E-2</v>
      </c>
      <c r="CB93" s="16">
        <f t="shared" si="57"/>
        <v>6.3787997210066477E-2</v>
      </c>
      <c r="CC93" s="16">
        <f t="shared" si="58"/>
        <v>0</v>
      </c>
      <c r="CD93" s="16">
        <f t="shared" si="59"/>
        <v>0</v>
      </c>
      <c r="CE93" s="16">
        <f t="shared" si="60"/>
        <v>0</v>
      </c>
      <c r="CF93" s="16">
        <f t="shared" si="61"/>
        <v>0.20097869976077634</v>
      </c>
      <c r="CG93" s="16">
        <f t="shared" si="62"/>
        <v>0</v>
      </c>
      <c r="CH93" s="16">
        <f t="shared" si="63"/>
        <v>3.7612944423795064E-2</v>
      </c>
      <c r="CI93" s="16">
        <f t="shared" si="64"/>
        <v>0.12272163769242775</v>
      </c>
      <c r="CJ93" s="16">
        <f t="shared" si="65"/>
        <v>0</v>
      </c>
      <c r="CK93" s="16">
        <f t="shared" si="66"/>
        <v>0</v>
      </c>
      <c r="CL93" s="16">
        <f t="shared" si="67"/>
        <v>4.8334468760473696E-2</v>
      </c>
      <c r="CM93" s="16">
        <f t="shared" si="68"/>
        <v>6.3739047823763773E-2</v>
      </c>
      <c r="CN93" s="16">
        <f t="shared" si="69"/>
        <v>7.0679907356157645E-2</v>
      </c>
      <c r="CO93" s="16">
        <f t="shared" si="70"/>
        <v>0</v>
      </c>
      <c r="CP93" s="16">
        <f t="shared" si="71"/>
        <v>0</v>
      </c>
      <c r="CQ93" s="16">
        <f t="shared" si="72"/>
        <v>0</v>
      </c>
      <c r="CR93" s="16">
        <f t="shared" si="73"/>
        <v>1.4128278318105009E-2</v>
      </c>
      <c r="CS93" s="16">
        <f t="shared" si="74"/>
        <v>4.3212394988375036E-3</v>
      </c>
      <c r="CT93" s="16">
        <f t="shared" si="75"/>
        <v>3.265951187077612E-2</v>
      </c>
    </row>
    <row r="94" spans="1:99" x14ac:dyDescent="0.25">
      <c r="A94" s="20">
        <v>45074</v>
      </c>
      <c r="B94" s="21">
        <v>2</v>
      </c>
      <c r="C94" s="22" t="str" cm="1">
        <f t="array" ref="C94">IF(B94="","",INDEX('Exercise list'!$C$5:$C$102,B94))</f>
        <v>Lateral elliptical machine</v>
      </c>
      <c r="D94" s="17">
        <f t="shared" si="52"/>
        <v>-1</v>
      </c>
      <c r="E94" s="33">
        <f t="shared" si="53"/>
        <v>1.2631993642420631</v>
      </c>
      <c r="F94" s="65" cm="1">
        <f t="array" ref="F94">IF(B94="","",0.1+IFERROR(INDEX($F$6:$F93,SUMPRODUCT(MAX(ROW($C$6:$C93)*($C94=$C$6:$C93))-ROW($A$5)))*0.9^($A94-INDEX($A$6:A93,SUMPRODUCT(MAX(ROW($C$6:$C93)*($C94=$C$6:$C93))-ROW($A$5)))),0))</f>
        <v>0.17838564533597551</v>
      </c>
      <c r="G94" s="25">
        <f>INDEX('Exercise list'!$Y$5:$Y$102,MATCH(C94,'Exercise list'!$C$5:$C$102,0))</f>
        <v>3</v>
      </c>
      <c r="H94" s="116">
        <f t="shared" si="54"/>
        <v>6.2258981287333981E-2</v>
      </c>
      <c r="I94" s="18">
        <f t="shared" si="55"/>
        <v>5</v>
      </c>
      <c r="J94" s="18" cm="1">
        <f t="array" ref="J94">IF(B94="","",INDEX('Exercise list'!$D$5:$D$102,B94))</f>
        <v>0</v>
      </c>
      <c r="K94" s="17">
        <v>3</v>
      </c>
      <c r="L94" s="51" t="str" cm="1">
        <f t="array" ref="L94">IF(K94="","",INDEX('Exercise list'!$C$5:$C$102,K94))</f>
        <v>Rowing machine</v>
      </c>
      <c r="M94" s="18">
        <v>1</v>
      </c>
      <c r="N94" s="76" t="str" cm="1">
        <f t="array" ref="N94">IF(M94="","",INDEX('Exercise list'!$C$5:$C$102,M94))</f>
        <v>Cycling machine</v>
      </c>
      <c r="O94" s="19"/>
      <c r="P94" s="19">
        <f>IFERROR(INDEX('Exercise list'!$E$5:$X$102,MATCH($C94,'Exercise list'!$C$5:$C$102,0),MATCH(P$5,'Exercise list'!$E$4:$X$4,0)),0)</f>
        <v>0</v>
      </c>
      <c r="Q94" s="19">
        <f>IFERROR(INDEX('Exercise list'!$E$5:$X$102,MATCH($C94,'Exercise list'!$C$5:$C$102,0),MATCH(Q$5,'Exercise list'!$E$4:$X$4,0)),0)</f>
        <v>0</v>
      </c>
      <c r="R94" s="19">
        <f>IFERROR(INDEX('Exercise list'!$E$5:$X$102,MATCH($C94,'Exercise list'!$C$5:$C$102,0),MATCH(R$5,'Exercise list'!$E$4:$X$4,0)),0)</f>
        <v>0</v>
      </c>
      <c r="S94" s="19">
        <f>IFERROR(INDEX('Exercise list'!$E$5:$X$102,MATCH($C94,'Exercise list'!$C$5:$C$102,0),MATCH(S$5,'Exercise list'!$E$4:$X$4,0)),0)</f>
        <v>0</v>
      </c>
      <c r="T94" s="19">
        <f>IFERROR(INDEX('Exercise list'!$E$5:$X$102,MATCH($C94,'Exercise list'!$C$5:$C$102,0),MATCH(T$5,'Exercise list'!$E$4:$X$4,0)),0)</f>
        <v>0</v>
      </c>
      <c r="U94" s="19">
        <f>IFERROR(INDEX('Exercise list'!$E$5:$X$102,MATCH($C94,'Exercise list'!$C$5:$C$102,0),MATCH(U$5,'Exercise list'!$E$4:$X$4,0)),0)</f>
        <v>0</v>
      </c>
      <c r="V94" s="19">
        <f>IFERROR(INDEX('Exercise list'!$E$5:$X$102,MATCH($C94,'Exercise list'!$C$5:$C$102,0),MATCH(V$5,'Exercise list'!$E$4:$X$4,0)),0)</f>
        <v>0</v>
      </c>
      <c r="W94" s="19">
        <f>IFERROR(INDEX('Exercise list'!$E$5:$X$102,MATCH($C94,'Exercise list'!$C$5:$C$102,0),MATCH(W$5,'Exercise list'!$E$4:$X$4,0)),0)</f>
        <v>0</v>
      </c>
      <c r="X94" s="19">
        <f>IFERROR(INDEX('Exercise list'!$E$5:$X$102,MATCH($C94,'Exercise list'!$C$5:$C$102,0),MATCH(X$5,'Exercise list'!$E$4:$X$4,0)),0)</f>
        <v>0</v>
      </c>
      <c r="Y94" s="19">
        <f>IFERROR(INDEX('Exercise list'!$E$5:$X$102,MATCH($C94,'Exercise list'!$C$5:$C$102,0),MATCH(Y$5,'Exercise list'!$E$4:$X$4,0)),0)</f>
        <v>0</v>
      </c>
      <c r="Z94" s="19">
        <f>IFERROR(INDEX('Exercise list'!$E$5:$X$102,MATCH($C94,'Exercise list'!$C$5:$C$102,0),MATCH(Z$5,'Exercise list'!$E$4:$X$4,0)),0)</f>
        <v>0</v>
      </c>
      <c r="AA94" s="19">
        <f>IFERROR(INDEX('Exercise list'!$E$5:$X$102,MATCH($C94,'Exercise list'!$C$5:$C$102,0),MATCH(AA$5,'Exercise list'!$E$4:$X$4,0)),0)</f>
        <v>0</v>
      </c>
      <c r="AB94" s="19">
        <f>IFERROR(INDEX('Exercise list'!$E$5:$X$102,MATCH($C94,'Exercise list'!$C$5:$C$102,0),MATCH(AB$5,'Exercise list'!$E$4:$X$4,0)),0)</f>
        <v>0</v>
      </c>
      <c r="AC94" s="19">
        <f>IFERROR(INDEX('Exercise list'!$E$5:$X$102,MATCH($C94,'Exercise list'!$C$5:$C$102,0),MATCH(AC$5,'Exercise list'!$E$4:$X$4,0)),0)</f>
        <v>0</v>
      </c>
      <c r="AD94" s="19">
        <f>IFERROR(INDEX('Exercise list'!$E$5:$X$102,MATCH($C94,'Exercise list'!$C$5:$C$102,0),MATCH(AD$5,'Exercise list'!$E$4:$X$4,0)),0)</f>
        <v>1</v>
      </c>
      <c r="AE94" s="19">
        <f>IFERROR(INDEX('Exercise list'!$E$5:$X$102,MATCH($C94,'Exercise list'!$C$5:$C$102,0),MATCH(AE$5,'Exercise list'!$E$4:$X$4,0)),0)</f>
        <v>0.7</v>
      </c>
      <c r="AF94" s="19">
        <f>IFERROR(INDEX('Exercise list'!$E$5:$X$102,MATCH($C94,'Exercise list'!$C$5:$C$102,0),MATCH(AF$5,'Exercise list'!$E$4:$X$4,0)),0)</f>
        <v>0.8</v>
      </c>
      <c r="AG94" s="19">
        <f>IFERROR(INDEX('Exercise list'!$E$5:$X$102,MATCH($C94,'Exercise list'!$C$5:$C$102,0),MATCH(AG$5,'Exercise list'!$E$4:$X$4,0)),0)</f>
        <v>0.7</v>
      </c>
      <c r="AH94" s="19">
        <f>IFERROR(INDEX('Exercise list'!$E$5:$X$102,MATCH($C94,'Exercise list'!$C$5:$C$102,0),MATCH(AH$5,'Exercise list'!$E$4:$X$4,0)),0)</f>
        <v>0.8</v>
      </c>
      <c r="AI94" s="19">
        <f>IFERROR(INDEX('Exercise list'!$E$5:$X$102,MATCH($C94,'Exercise list'!$C$5:$C$102,0),MATCH(AI$5,'Exercise list'!$E$4:$X$4,0)),0)</f>
        <v>0.8</v>
      </c>
      <c r="AJ94" s="19"/>
      <c r="AK94" s="19">
        <f>IF(OR($J94=1,COUNTIFS($A$5:$A93,"&gt;="&amp;$A94-1,$A$5:$A93,"&lt;="&amp;$A94,$B$5:$B93,$B94)&gt;0,MIN(1-'Exercise list'!E$2,IF($A94=$A93,AK93,1))-P94&lt;0),-1,MIN(1,IF($A94=$A93,AK93,1)-P94+$D$2))</f>
        <v>-1</v>
      </c>
      <c r="AL94" s="19">
        <f>IF(OR($J94=1,COUNTIFS($A$5:$A93,"&gt;="&amp;$A94-1,$A$5:$A93,"&lt;="&amp;$A94,$B$5:$B93,$B94)&gt;0,MIN(1-'Exercise list'!F$2,IF($A94=$A93,AL93,1))-Q94&lt;0),-1,MIN(1,IF($A94=$A93,AL93,1)-Q94+$D$2))</f>
        <v>-1</v>
      </c>
      <c r="AM94" s="19">
        <f>IF(OR($J94=1,COUNTIFS($A$5:$A93,"&gt;="&amp;$A94-1,$A$5:$A93,"&lt;="&amp;$A94,$B$5:$B93,$B94)&gt;0,MIN(1-'Exercise list'!G$2,IF($A94=$A93,AM93,1))-R94&lt;0),-1,MIN(1,IF($A94=$A93,AM93,1)-R94+$D$2))</f>
        <v>-1</v>
      </c>
      <c r="AN94" s="19">
        <f>IF(OR($J94=1,COUNTIFS($A$5:$A93,"&gt;="&amp;$A94-1,$A$5:$A93,"&lt;="&amp;$A94,$B$5:$B93,$B94)&gt;0,MIN(1-'Exercise list'!H$2,IF($A94=$A93,AN93,1))-S94&lt;0),-1,MIN(1,IF($A94=$A93,AN93,1)-S94+$D$2))</f>
        <v>-1</v>
      </c>
      <c r="AO94" s="19">
        <f>IF(OR($J94=1,COUNTIFS($A$5:$A93,"&gt;="&amp;$A94-1,$A$5:$A93,"&lt;="&amp;$A94,$B$5:$B93,$B94)&gt;0,MIN(1-'Exercise list'!I$2,IF($A94=$A93,AO93,1))-T94&lt;0),-1,MIN(1,IF($A94=$A93,AO93,1)-T94+$D$2))</f>
        <v>-1</v>
      </c>
      <c r="AP94" s="19">
        <f>IF(OR($J94=1,COUNTIFS($A$5:$A93,"&gt;="&amp;$A94-1,$A$5:$A93,"&lt;="&amp;$A94,$B$5:$B93,$B94)&gt;0,MIN(1-'Exercise list'!J$2,IF($A94=$A93,AP93,1))-U94&lt;0),-1,MIN(1,IF($A94=$A93,AP93,1)-U94+$D$2))</f>
        <v>-1</v>
      </c>
      <c r="AQ94" s="19">
        <f>IF(OR($J94=1,COUNTIFS($A$5:$A93,"&gt;="&amp;$A94-1,$A$5:$A93,"&lt;="&amp;$A94,$B$5:$B93,$B94)&gt;0,MIN(1-'Exercise list'!K$2,IF($A94=$A93,AQ93,1))-V94&lt;0),-1,MIN(1,IF($A94=$A93,AQ93,1)-V94+$D$2))</f>
        <v>-1</v>
      </c>
      <c r="AR94" s="19">
        <f>IF(OR($J94=1,COUNTIFS($A$5:$A93,"&gt;="&amp;$A94-1,$A$5:$A93,"&lt;="&amp;$A94,$B$5:$B93,$B94)&gt;0,MIN(1-'Exercise list'!L$2,IF($A94=$A93,AR93,1))-W94&lt;0),-1,MIN(1,IF($A94=$A93,AR93,1)-W94+$D$2))</f>
        <v>-1</v>
      </c>
      <c r="AS94" s="19">
        <f>IF(OR($J94=1,COUNTIFS($A$5:$A93,"&gt;="&amp;$A94-1,$A$5:$A93,"&lt;="&amp;$A94,$B$5:$B93,$B94)&gt;0,MIN(1-'Exercise list'!M$2,IF($A94=$A93,AS93,1))-X94&lt;0),-1,MIN(1,IF($A94=$A93,AS93,1)-X94+$D$2))</f>
        <v>-1</v>
      </c>
      <c r="AT94" s="19">
        <f>IF(OR($J94=1,COUNTIFS($A$5:$A93,"&gt;="&amp;$A94-1,$A$5:$A93,"&lt;="&amp;$A94,$B$5:$B93,$B94)&gt;0,MIN(1-'Exercise list'!N$2,IF($A94=$A93,AT93,1))-Y94&lt;0),-1,MIN(1,IF($A94=$A93,AT93,1)-Y94+$D$2))</f>
        <v>-1</v>
      </c>
      <c r="AU94" s="19">
        <f>IF(OR($J94=1,COUNTIFS($A$5:$A93,"&gt;="&amp;$A94-1,$A$5:$A93,"&lt;="&amp;$A94,$B$5:$B93,$B94)&gt;0,MIN(1-'Exercise list'!O$2,IF($A94=$A93,AU93,1))-Z94&lt;0),-1,MIN(1,IF($A94=$A93,AU93,1)-Z94+$D$2))</f>
        <v>-1</v>
      </c>
      <c r="AV94" s="19">
        <f>IF(OR($J94=1,COUNTIFS($A$5:$A93,"&gt;="&amp;$A94-1,$A$5:$A93,"&lt;="&amp;$A94,$B$5:$B93,$B94)&gt;0,MIN(1-'Exercise list'!P$2,IF($A94=$A93,AV93,1))-AA94&lt;0),-1,MIN(1,IF($A94=$A93,AV93,1)-AA94+$D$2))</f>
        <v>-1</v>
      </c>
      <c r="AW94" s="19">
        <f>IF(OR($J94=1,COUNTIFS($A$5:$A93,"&gt;="&amp;$A94-1,$A$5:$A93,"&lt;="&amp;$A94,$B$5:$B93,$B94)&gt;0,MIN(1-'Exercise list'!Q$2,IF($A94=$A93,AW93,1))-AB94&lt;0),-1,MIN(1,IF($A94=$A93,AW93,1)-AB94+$D$2))</f>
        <v>-1</v>
      </c>
      <c r="AX94" s="19">
        <f>IF(OR($J94=1,COUNTIFS($A$5:$A93,"&gt;="&amp;$A94-1,$A$5:$A93,"&lt;="&amp;$A94,$B$5:$B93,$B94)&gt;0,MIN(1-'Exercise list'!R$2,IF($A94=$A93,AX93,1))-AC94&lt;0),-1,MIN(1,IF($A94=$A93,AX93,1)-AC94+$D$2))</f>
        <v>-1</v>
      </c>
      <c r="AY94" s="19">
        <f>IF(OR($J94=1,COUNTIFS($A$5:$A93,"&gt;="&amp;$A94-1,$A$5:$A93,"&lt;="&amp;$A94,$B$5:$B93,$B94)&gt;0,MIN(1-'Exercise list'!S$2,IF($A94=$A93,AY93,1))-AD94&lt;0),-1,MIN(1,IF($A94=$A93,AY93,1)-AD94+$D$2))</f>
        <v>-1</v>
      </c>
      <c r="AZ94" s="19">
        <f>IF(OR($J94=1,COUNTIFS($A$5:$A93,"&gt;="&amp;$A94-1,$A$5:$A93,"&lt;="&amp;$A94,$B$5:$B93,$B94)&gt;0,MIN(1-'Exercise list'!T$2,IF($A94=$A93,AZ93,1))-AE94&lt;0),-1,MIN(1,IF($A94=$A93,AZ93,1)-AE94+$D$2))</f>
        <v>-1</v>
      </c>
      <c r="BA94" s="19">
        <f>IF(OR($J94=1,COUNTIFS($A$5:$A93,"&gt;="&amp;$A94-1,$A$5:$A93,"&lt;="&amp;$A94,$B$5:$B93,$B94)&gt;0,MIN(1-'Exercise list'!U$2,IF($A94=$A93,BA93,1))-AF94&lt;0),-1,MIN(1,IF($A94=$A93,BA93,1)-AF94+$D$2))</f>
        <v>-1</v>
      </c>
      <c r="BB94" s="19">
        <f>IF(OR($J94=1,COUNTIFS($A$5:$A93,"&gt;="&amp;$A94-1,$A$5:$A93,"&lt;="&amp;$A94,$B$5:$B93,$B94)&gt;0,MIN(1-'Exercise list'!V$2,IF($A94=$A93,BB93,1))-AG94&lt;0),-1,MIN(1,IF($A94=$A93,BB93,1)-AG94+$D$2))</f>
        <v>-1</v>
      </c>
      <c r="BC94" s="19">
        <f>IF(OR($J94=1,COUNTIFS($A$5:$A93,"&gt;="&amp;$A94-1,$A$5:$A93,"&lt;="&amp;$A94,$B$5:$B93,$B94)&gt;0,MIN(1-'Exercise list'!W$2,IF($A94=$A93,BC93,1))-AH94&lt;0),-1,MIN(1,IF($A94=$A93,BC93,1)-AH94+$D$2))</f>
        <v>-1</v>
      </c>
      <c r="BD94" s="19">
        <f>IF(OR($J94=1,COUNTIFS($A$5:$A93,"&gt;="&amp;$A94-1,$A$5:$A93,"&lt;="&amp;$A94,$B$5:$B93,$B94)&gt;0,MIN(1-'Exercise list'!X$2,IF($A94=$A93,BD93,1))-AI94&lt;0),-1,MIN(1,IF($A94=$A93,BD93,1)-AI94+$D$2))</f>
        <v>-1</v>
      </c>
      <c r="BE94" s="19"/>
      <c r="BF94" s="23">
        <f>IF($B94&lt;6,BF93,$AN$2*P94+(1-$AN$2)*BF93)</f>
        <v>0.15057638160529371</v>
      </c>
      <c r="BG94" s="23">
        <f t="shared" si="77"/>
        <v>0.14929816971400381</v>
      </c>
      <c r="BH94" s="23">
        <f t="shared" si="78"/>
        <v>0.1313132175103961</v>
      </c>
      <c r="BI94" s="23">
        <f t="shared" si="79"/>
        <v>0.17025807598213905</v>
      </c>
      <c r="BJ94" s="23">
        <f t="shared" si="80"/>
        <v>0.17888041736040952</v>
      </c>
      <c r="BK94" s="23">
        <f t="shared" si="81"/>
        <v>0.11865055062532912</v>
      </c>
      <c r="BL94" s="23">
        <f t="shared" si="82"/>
        <v>0.16484067023710744</v>
      </c>
      <c r="BM94" s="23">
        <f t="shared" si="83"/>
        <v>6.8930139038240079E-2</v>
      </c>
      <c r="BN94" s="23">
        <f t="shared" si="84"/>
        <v>9.0364529231642537E-2</v>
      </c>
      <c r="BO94" s="23">
        <f t="shared" si="85"/>
        <v>0.18574226099267349</v>
      </c>
      <c r="BP94" s="23">
        <f t="shared" si="86"/>
        <v>0.27245816534605133</v>
      </c>
      <c r="BQ94" s="23">
        <f t="shared" si="87"/>
        <v>5.8208614701561447E-2</v>
      </c>
      <c r="BR94" s="23">
        <f t="shared" si="88"/>
        <v>0.14934711910030651</v>
      </c>
      <c r="BS94" s="23">
        <f t="shared" si="89"/>
        <v>3.5863176105877498E-2</v>
      </c>
      <c r="BT94" s="23">
        <f t="shared" si="90"/>
        <v>0.19263236077106027</v>
      </c>
      <c r="BU94" s="23">
        <f t="shared" si="91"/>
        <v>0.22117954261700484</v>
      </c>
      <c r="BV94" s="23">
        <f t="shared" si="92"/>
        <v>0.26959964183746482</v>
      </c>
      <c r="BW94" s="23">
        <f t="shared" si="93"/>
        <v>9.2414805143930134E-2</v>
      </c>
      <c r="BX94" s="23">
        <f t="shared" si="94"/>
        <v>0.10222184396319764</v>
      </c>
      <c r="BY94" s="23">
        <f t="shared" si="95"/>
        <v>7.3883571591259023E-2</v>
      </c>
      <c r="BZ94" s="19"/>
      <c r="CA94" s="23">
        <f t="shared" si="56"/>
        <v>6.2509785318776573E-2</v>
      </c>
      <c r="CB94" s="23">
        <f t="shared" si="57"/>
        <v>6.3787997210066477E-2</v>
      </c>
      <c r="CC94" s="23">
        <f t="shared" si="58"/>
        <v>0</v>
      </c>
      <c r="CD94" s="23">
        <f t="shared" si="59"/>
        <v>0</v>
      </c>
      <c r="CE94" s="23">
        <f t="shared" si="60"/>
        <v>0</v>
      </c>
      <c r="CF94" s="23">
        <f t="shared" si="61"/>
        <v>0.20097869976077634</v>
      </c>
      <c r="CG94" s="23">
        <f t="shared" si="62"/>
        <v>0</v>
      </c>
      <c r="CH94" s="23">
        <f t="shared" si="63"/>
        <v>3.7612944423795064E-2</v>
      </c>
      <c r="CI94" s="23">
        <f t="shared" si="64"/>
        <v>0.12272163769242775</v>
      </c>
      <c r="CJ94" s="23">
        <f t="shared" si="65"/>
        <v>0</v>
      </c>
      <c r="CK94" s="23">
        <f t="shared" si="66"/>
        <v>0</v>
      </c>
      <c r="CL94" s="23">
        <f t="shared" si="67"/>
        <v>4.8334468760473696E-2</v>
      </c>
      <c r="CM94" s="23">
        <f t="shared" si="68"/>
        <v>6.3739047823763773E-2</v>
      </c>
      <c r="CN94" s="23">
        <f t="shared" si="69"/>
        <v>7.0679907356157645E-2</v>
      </c>
      <c r="CO94" s="23">
        <f t="shared" si="70"/>
        <v>0</v>
      </c>
      <c r="CP94" s="23">
        <f t="shared" si="71"/>
        <v>0</v>
      </c>
      <c r="CQ94" s="23">
        <f t="shared" si="72"/>
        <v>0</v>
      </c>
      <c r="CR94" s="23">
        <f t="shared" si="73"/>
        <v>1.4128278318105009E-2</v>
      </c>
      <c r="CS94" s="23">
        <f t="shared" si="74"/>
        <v>4.3212394988375036E-3</v>
      </c>
      <c r="CT94" s="23">
        <f t="shared" si="75"/>
        <v>3.265951187077612E-2</v>
      </c>
      <c r="CU94" s="19"/>
    </row>
    <row r="95" spans="1:99" x14ac:dyDescent="0.25">
      <c r="A95" s="13">
        <v>45076</v>
      </c>
      <c r="B95" s="14">
        <v>37</v>
      </c>
      <c r="C95" s="15" t="str" cm="1">
        <f t="array" ref="C95">IF(B95="","",INDEX('Exercise list'!$C$5:$C$102,B95))</f>
        <v>Barbell low-bar squats</v>
      </c>
      <c r="D95" s="12">
        <f t="shared" si="52"/>
        <v>1</v>
      </c>
      <c r="E95" s="32">
        <f t="shared" si="53"/>
        <v>1.0069180447013535</v>
      </c>
      <c r="F95" s="63" cm="1">
        <f t="array" ref="F95">IF(B95="","",0.1+IFERROR(INDEX($F$6:$F94,SUMPRODUCT(MAX(ROW($C$6:$C94)*($C95=$C$6:$C94))-ROW($A$5)))*0.9^($A95-INDEX($A$6:A94,SUMPRODUCT(MAX(ROW($C$6:$C94)*($C95=$C$6:$C94))-ROW($A$5)))),0))</f>
        <v>0.20721016890887922</v>
      </c>
      <c r="G95" s="64">
        <f>INDEX('Exercise list'!$Y$5:$Y$102,MATCH(C95,'Exercise list'!$C$5:$C$102,0))</f>
        <v>3</v>
      </c>
      <c r="H95" s="115">
        <f t="shared" si="54"/>
        <v>6.7240142318097135E-2</v>
      </c>
      <c r="I95" s="42">
        <f t="shared" si="55"/>
        <v>1</v>
      </c>
      <c r="J95" s="6" cm="1">
        <f t="array" ref="J95">IF(B95="","",INDEX('Exercise list'!$D$5:$D$102,B95))</f>
        <v>0</v>
      </c>
      <c r="K95" s="12">
        <v>40</v>
      </c>
      <c r="L95" s="74" t="str" cm="1">
        <f t="array" ref="L95">IF(K95="","",INDEX('Exercise list'!$C$5:$C$102,K95))</f>
        <v>Calf presses</v>
      </c>
      <c r="M95" s="6">
        <v>10</v>
      </c>
      <c r="N95" s="75" t="str" cm="1">
        <f t="array" ref="N95">IF(M95="","",INDEX('Exercise list'!$C$5:$C$102,M95))</f>
        <v>Cable seated rows</v>
      </c>
      <c r="P95">
        <f>IFERROR(INDEX('Exercise list'!$E$5:$X$102,MATCH($C95,'Exercise list'!$C$5:$C$102,0),MATCH(P$5,'Exercise list'!$E$4:$X$4,0)),0)</f>
        <v>0</v>
      </c>
      <c r="Q95">
        <f>IFERROR(INDEX('Exercise list'!$E$5:$X$102,MATCH($C95,'Exercise list'!$C$5:$C$102,0),MATCH(Q$5,'Exercise list'!$E$4:$X$4,0)),0)</f>
        <v>0</v>
      </c>
      <c r="R95">
        <f>IFERROR(INDEX('Exercise list'!$E$5:$X$102,MATCH($C95,'Exercise list'!$C$5:$C$102,0),MATCH(R$5,'Exercise list'!$E$4:$X$4,0)),0)</f>
        <v>0</v>
      </c>
      <c r="S95">
        <f>IFERROR(INDEX('Exercise list'!$E$5:$X$102,MATCH($C95,'Exercise list'!$C$5:$C$102,0),MATCH(S$5,'Exercise list'!$E$4:$X$4,0)),0)</f>
        <v>0</v>
      </c>
      <c r="T95">
        <f>IFERROR(INDEX('Exercise list'!$E$5:$X$102,MATCH($C95,'Exercise list'!$C$5:$C$102,0),MATCH(T$5,'Exercise list'!$E$4:$X$4,0)),0)</f>
        <v>0.5</v>
      </c>
      <c r="U95">
        <f>IFERROR(INDEX('Exercise list'!$E$5:$X$102,MATCH($C95,'Exercise list'!$C$5:$C$102,0),MATCH(U$5,'Exercise list'!$E$4:$X$4,0)),0)</f>
        <v>0</v>
      </c>
      <c r="V95">
        <f>IFERROR(INDEX('Exercise list'!$E$5:$X$102,MATCH($C95,'Exercise list'!$C$5:$C$102,0),MATCH(V$5,'Exercise list'!$E$4:$X$4,0)),0)</f>
        <v>0</v>
      </c>
      <c r="W95">
        <f>IFERROR(INDEX('Exercise list'!$E$5:$X$102,MATCH($C95,'Exercise list'!$C$5:$C$102,0),MATCH(W$5,'Exercise list'!$E$4:$X$4,0)),0)</f>
        <v>0</v>
      </c>
      <c r="X95">
        <f>IFERROR(INDEX('Exercise list'!$E$5:$X$102,MATCH($C95,'Exercise list'!$C$5:$C$102,0),MATCH(X$5,'Exercise list'!$E$4:$X$4,0)),0)</f>
        <v>0</v>
      </c>
      <c r="Y95">
        <f>IFERROR(INDEX('Exercise list'!$E$5:$X$102,MATCH($C95,'Exercise list'!$C$5:$C$102,0),MATCH(Y$5,'Exercise list'!$E$4:$X$4,0)),0)</f>
        <v>0</v>
      </c>
      <c r="Z95">
        <f>IFERROR(INDEX('Exercise list'!$E$5:$X$102,MATCH($C95,'Exercise list'!$C$5:$C$102,0),MATCH(Z$5,'Exercise list'!$E$4:$X$4,0)),0)</f>
        <v>0</v>
      </c>
      <c r="AA95">
        <f>IFERROR(INDEX('Exercise list'!$E$5:$X$102,MATCH($C95,'Exercise list'!$C$5:$C$102,0),MATCH(AA$5,'Exercise list'!$E$4:$X$4,0)),0)</f>
        <v>0</v>
      </c>
      <c r="AB95">
        <f>IFERROR(INDEX('Exercise list'!$E$5:$X$102,MATCH($C95,'Exercise list'!$C$5:$C$102,0),MATCH(AB$5,'Exercise list'!$E$4:$X$4,0)),0)</f>
        <v>0.5</v>
      </c>
      <c r="AC95">
        <f>IFERROR(INDEX('Exercise list'!$E$5:$X$102,MATCH($C95,'Exercise list'!$C$5:$C$102,0),MATCH(AC$5,'Exercise list'!$E$4:$X$4,0)),0)</f>
        <v>0</v>
      </c>
      <c r="AD95">
        <f>IFERROR(INDEX('Exercise list'!$E$5:$X$102,MATCH($C95,'Exercise list'!$C$5:$C$102,0),MATCH(AD$5,'Exercise list'!$E$4:$X$4,0)),0)</f>
        <v>0.8</v>
      </c>
      <c r="AE95">
        <f>IFERROR(INDEX('Exercise list'!$E$5:$X$102,MATCH($C95,'Exercise list'!$C$5:$C$102,0),MATCH(AE$5,'Exercise list'!$E$4:$X$4,0)),0)</f>
        <v>0.7</v>
      </c>
      <c r="AF95">
        <f>IFERROR(INDEX('Exercise list'!$E$5:$X$102,MATCH($C95,'Exercise list'!$C$5:$C$102,0),MATCH(AF$5,'Exercise list'!$E$4:$X$4,0)),0)</f>
        <v>0.9</v>
      </c>
      <c r="AG95">
        <f>IFERROR(INDEX('Exercise list'!$E$5:$X$102,MATCH($C95,'Exercise list'!$C$5:$C$102,0),MATCH(AG$5,'Exercise list'!$E$4:$X$4,0)),0)</f>
        <v>0.5</v>
      </c>
      <c r="AH95">
        <f>IFERROR(INDEX('Exercise list'!$E$5:$X$102,MATCH($C95,'Exercise list'!$C$5:$C$102,0),MATCH(AH$5,'Exercise list'!$E$4:$X$4,0)),0)</f>
        <v>0.5</v>
      </c>
      <c r="AI95">
        <f>IFERROR(INDEX('Exercise list'!$E$5:$X$102,MATCH($C95,'Exercise list'!$C$5:$C$102,0),MATCH(AI$5,'Exercise list'!$E$4:$X$4,0)),0)</f>
        <v>0</v>
      </c>
      <c r="AK95">
        <f>IF(OR($J95=1,COUNTIFS($A$5:$A94,"&gt;="&amp;$A95-1,$A$5:$A94,"&lt;="&amp;$A95,$B$5:$B94,$B95)&gt;0,MIN(1-'Exercise list'!E$2,IF($A95=$A94,AK94,1))-P95&lt;0),-1,MIN(1,IF($A95=$A94,AK94,1)-P95+$D$2))</f>
        <v>1</v>
      </c>
      <c r="AL95">
        <f>IF(OR($J95=1,COUNTIFS($A$5:$A94,"&gt;="&amp;$A95-1,$A$5:$A94,"&lt;="&amp;$A95,$B$5:$B94,$B95)&gt;0,MIN(1-'Exercise list'!F$2,IF($A95=$A94,AL94,1))-Q95&lt;0),-1,MIN(1,IF($A95=$A94,AL94,1)-Q95+$D$2))</f>
        <v>1</v>
      </c>
      <c r="AM95">
        <f>IF(OR($J95=1,COUNTIFS($A$5:$A94,"&gt;="&amp;$A95-1,$A$5:$A94,"&lt;="&amp;$A95,$B$5:$B94,$B95)&gt;0,MIN(1-'Exercise list'!G$2,IF($A95=$A94,AM94,1))-R95&lt;0),-1,MIN(1,IF($A95=$A94,AM94,1)-R95+$D$2))</f>
        <v>1</v>
      </c>
      <c r="AN95">
        <f>IF(OR($J95=1,COUNTIFS($A$5:$A94,"&gt;="&amp;$A95-1,$A$5:$A94,"&lt;="&amp;$A95,$B$5:$B94,$B95)&gt;0,MIN(1-'Exercise list'!H$2,IF($A95=$A94,AN94,1))-S95&lt;0),-1,MIN(1,IF($A95=$A94,AN94,1)-S95+$D$2))</f>
        <v>1</v>
      </c>
      <c r="AO95">
        <f>IF(OR($J95=1,COUNTIFS($A$5:$A94,"&gt;="&amp;$A95-1,$A$5:$A94,"&lt;="&amp;$A95,$B$5:$B94,$B95)&gt;0,MIN(1-'Exercise list'!I$2,IF($A95=$A94,AO94,1))-T95&lt;0),-1,MIN(1,IF($A95=$A94,AO94,1)-T95+$D$2))</f>
        <v>1</v>
      </c>
      <c r="AP95">
        <f>IF(OR($J95=1,COUNTIFS($A$5:$A94,"&gt;="&amp;$A95-1,$A$5:$A94,"&lt;="&amp;$A95,$B$5:$B94,$B95)&gt;0,MIN(1-'Exercise list'!J$2,IF($A95=$A94,AP94,1))-U95&lt;0),-1,MIN(1,IF($A95=$A94,AP94,1)-U95+$D$2))</f>
        <v>1</v>
      </c>
      <c r="AQ95">
        <f>IF(OR($J95=1,COUNTIFS($A$5:$A94,"&gt;="&amp;$A95-1,$A$5:$A94,"&lt;="&amp;$A95,$B$5:$B94,$B95)&gt;0,MIN(1-'Exercise list'!K$2,IF($A95=$A94,AQ94,1))-V95&lt;0),-1,MIN(1,IF($A95=$A94,AQ94,1)-V95+$D$2))</f>
        <v>1</v>
      </c>
      <c r="AR95">
        <f>IF(OR($J95=1,COUNTIFS($A$5:$A94,"&gt;="&amp;$A95-1,$A$5:$A94,"&lt;="&amp;$A95,$B$5:$B94,$B95)&gt;0,MIN(1-'Exercise list'!L$2,IF($A95=$A94,AR94,1))-W95&lt;0),-1,MIN(1,IF($A95=$A94,AR94,1)-W95+$D$2))</f>
        <v>1</v>
      </c>
      <c r="AS95">
        <f>IF(OR($J95=1,COUNTIFS($A$5:$A94,"&gt;="&amp;$A95-1,$A$5:$A94,"&lt;="&amp;$A95,$B$5:$B94,$B95)&gt;0,MIN(1-'Exercise list'!M$2,IF($A95=$A94,AS94,1))-X95&lt;0),-1,MIN(1,IF($A95=$A94,AS94,1)-X95+$D$2))</f>
        <v>1</v>
      </c>
      <c r="AT95">
        <f>IF(OR($J95=1,COUNTIFS($A$5:$A94,"&gt;="&amp;$A95-1,$A$5:$A94,"&lt;="&amp;$A95,$B$5:$B94,$B95)&gt;0,MIN(1-'Exercise list'!N$2,IF($A95=$A94,AT94,1))-Y95&lt;0),-1,MIN(1,IF($A95=$A94,AT94,1)-Y95+$D$2))</f>
        <v>1</v>
      </c>
      <c r="AU95">
        <f>IF(OR($J95=1,COUNTIFS($A$5:$A94,"&gt;="&amp;$A95-1,$A$5:$A94,"&lt;="&amp;$A95,$B$5:$B94,$B95)&gt;0,MIN(1-'Exercise list'!O$2,IF($A95=$A94,AU94,1))-Z95&lt;0),-1,MIN(1,IF($A95=$A94,AU94,1)-Z95+$D$2))</f>
        <v>1</v>
      </c>
      <c r="AV95">
        <f>IF(OR($J95=1,COUNTIFS($A$5:$A94,"&gt;="&amp;$A95-1,$A$5:$A94,"&lt;="&amp;$A95,$B$5:$B94,$B95)&gt;0,MIN(1-'Exercise list'!P$2,IF($A95=$A94,AV94,1))-AA95&lt;0),-1,MIN(1,IF($A95=$A94,AV94,1)-AA95+$D$2))</f>
        <v>1</v>
      </c>
      <c r="AW95">
        <f>IF(OR($J95=1,COUNTIFS($A$5:$A94,"&gt;="&amp;$A95-1,$A$5:$A94,"&lt;="&amp;$A95,$B$5:$B94,$B95)&gt;0,MIN(1-'Exercise list'!Q$2,IF($A95=$A94,AW94,1))-AB95&lt;0),-1,MIN(1,IF($A95=$A94,AW94,1)-AB95+$D$2))</f>
        <v>1</v>
      </c>
      <c r="AX95">
        <f>IF(OR($J95=1,COUNTIFS($A$5:$A94,"&gt;="&amp;$A95-1,$A$5:$A94,"&lt;="&amp;$A95,$B$5:$B94,$B95)&gt;0,MIN(1-'Exercise list'!R$2,IF($A95=$A94,AX94,1))-AC95&lt;0),-1,MIN(1,IF($A95=$A94,AX94,1)-AC95+$D$2))</f>
        <v>1</v>
      </c>
      <c r="AY95">
        <f>IF(OR($J95=1,COUNTIFS($A$5:$A94,"&gt;="&amp;$A95-1,$A$5:$A94,"&lt;="&amp;$A95,$B$5:$B94,$B95)&gt;0,MIN(1-'Exercise list'!S$2,IF($A95=$A94,AY94,1))-AD95&lt;0),-1,MIN(1,IF($A95=$A94,AY94,1)-AD95+$D$2))</f>
        <v>1</v>
      </c>
      <c r="AZ95">
        <f>IF(OR($J95=1,COUNTIFS($A$5:$A94,"&gt;="&amp;$A95-1,$A$5:$A94,"&lt;="&amp;$A95,$B$5:$B94,$B95)&gt;0,MIN(1-'Exercise list'!T$2,IF($A95=$A94,AZ94,1))-AE95&lt;0),-1,MIN(1,IF($A95=$A94,AZ94,1)-AE95+$D$2))</f>
        <v>1</v>
      </c>
      <c r="BA95">
        <f>IF(OR($J95=1,COUNTIFS($A$5:$A94,"&gt;="&amp;$A95-1,$A$5:$A94,"&lt;="&amp;$A95,$B$5:$B94,$B95)&gt;0,MIN(1-'Exercise list'!U$2,IF($A95=$A94,BA94,1))-AF95&lt;0),-1,MIN(1,IF($A95=$A94,BA94,1)-AF95+$D$2))</f>
        <v>1</v>
      </c>
      <c r="BB95">
        <f>IF(OR($J95=1,COUNTIFS($A$5:$A94,"&gt;="&amp;$A95-1,$A$5:$A94,"&lt;="&amp;$A95,$B$5:$B94,$B95)&gt;0,MIN(1-'Exercise list'!V$2,IF($A95=$A94,BB94,1))-AG95&lt;0),-1,MIN(1,IF($A95=$A94,BB94,1)-AG95+$D$2))</f>
        <v>1</v>
      </c>
      <c r="BC95">
        <f>IF(OR($J95=1,COUNTIFS($A$5:$A94,"&gt;="&amp;$A95-1,$A$5:$A94,"&lt;="&amp;$A95,$B$5:$B94,$B95)&gt;0,MIN(1-'Exercise list'!W$2,IF($A95=$A94,BC94,1))-AH95&lt;0),-1,MIN(1,IF($A95=$A94,BC94,1)-AH95+$D$2))</f>
        <v>1</v>
      </c>
      <c r="BD95">
        <f>IF(OR($J95=1,COUNTIFS($A$5:$A94,"&gt;="&amp;$A95-1,$A$5:$A94,"&lt;="&amp;$A95,$B$5:$B94,$B95)&gt;0,MIN(1-'Exercise list'!X$2,IF($A95=$A94,BD94,1))-AI95&lt;0),-1,MIN(1,IF($A95=$A94,BD94,1)-AI95+$D$2))</f>
        <v>1</v>
      </c>
      <c r="BF95" s="16">
        <f t="shared" ref="BF95:BF98" si="96">IF($B95&lt;6,BF94,$AN$2*P95+(1-$AN$2)*BF94)</f>
        <v>0.14304756252502901</v>
      </c>
      <c r="BG95" s="16">
        <f t="shared" si="77"/>
        <v>0.14183326122830361</v>
      </c>
      <c r="BH95" s="16">
        <f t="shared" si="78"/>
        <v>0.12474755663487629</v>
      </c>
      <c r="BI95" s="16">
        <f t="shared" si="79"/>
        <v>0.16174517218303208</v>
      </c>
      <c r="BJ95" s="16">
        <f t="shared" si="80"/>
        <v>0.19493639649238903</v>
      </c>
      <c r="BK95" s="16">
        <f t="shared" si="81"/>
        <v>0.11271802309406266</v>
      </c>
      <c r="BL95" s="16">
        <f t="shared" si="82"/>
        <v>0.15659863672525207</v>
      </c>
      <c r="BM95" s="16">
        <f t="shared" si="83"/>
        <v>6.548363208632807E-2</v>
      </c>
      <c r="BN95" s="16">
        <f t="shared" si="84"/>
        <v>8.5846302770060404E-2</v>
      </c>
      <c r="BO95" s="16">
        <f t="shared" si="85"/>
        <v>0.17645514794303982</v>
      </c>
      <c r="BP95" s="16">
        <f t="shared" si="86"/>
        <v>0.25883525707874877</v>
      </c>
      <c r="BQ95" s="16">
        <f t="shared" si="87"/>
        <v>5.5298183966483373E-2</v>
      </c>
      <c r="BR95" s="16">
        <f t="shared" si="88"/>
        <v>0.16687976314529118</v>
      </c>
      <c r="BS95" s="16">
        <f t="shared" si="89"/>
        <v>3.4070017300583622E-2</v>
      </c>
      <c r="BT95" s="16">
        <f t="shared" si="90"/>
        <v>0.22300074273250725</v>
      </c>
      <c r="BU95" s="16">
        <f t="shared" si="91"/>
        <v>0.2451205654861546</v>
      </c>
      <c r="BV95" s="16">
        <f t="shared" si="92"/>
        <v>0.30111965974559157</v>
      </c>
      <c r="BW95" s="16">
        <f t="shared" si="93"/>
        <v>0.11279406488673363</v>
      </c>
      <c r="BX95" s="16">
        <f t="shared" si="94"/>
        <v>0.12211075176503774</v>
      </c>
      <c r="BY95" s="16">
        <f t="shared" si="95"/>
        <v>7.0189393011696063E-2</v>
      </c>
      <c r="CA95" s="16">
        <f t="shared" si="56"/>
        <v>7.5680592349134074E-2</v>
      </c>
      <c r="CB95" s="16">
        <f t="shared" si="57"/>
        <v>7.6894893645859469E-2</v>
      </c>
      <c r="CC95" s="16">
        <f t="shared" si="58"/>
        <v>0</v>
      </c>
      <c r="CD95" s="16">
        <f t="shared" si="59"/>
        <v>0</v>
      </c>
      <c r="CE95" s="16">
        <f t="shared" si="60"/>
        <v>0</v>
      </c>
      <c r="CF95" s="16">
        <f t="shared" si="61"/>
        <v>0.21537420921718198</v>
      </c>
      <c r="CG95" s="16">
        <f t="shared" si="62"/>
        <v>0</v>
      </c>
      <c r="CH95" s="16">
        <f t="shared" si="63"/>
        <v>4.3880445350753472E-2</v>
      </c>
      <c r="CI95" s="16">
        <f t="shared" si="64"/>
        <v>0.13288185210410269</v>
      </c>
      <c r="CJ95" s="16">
        <f t="shared" si="65"/>
        <v>0</v>
      </c>
      <c r="CK95" s="16">
        <f t="shared" si="66"/>
        <v>0</v>
      </c>
      <c r="CL95" s="16">
        <f t="shared" si="67"/>
        <v>5.4065893470598168E-2</v>
      </c>
      <c r="CM95" s="16">
        <f t="shared" si="68"/>
        <v>5.1848391728871901E-2</v>
      </c>
      <c r="CN95" s="16">
        <f t="shared" si="69"/>
        <v>7.529406013649792E-2</v>
      </c>
      <c r="CO95" s="16">
        <f t="shared" si="70"/>
        <v>0</v>
      </c>
      <c r="CP95" s="16">
        <f t="shared" si="71"/>
        <v>0</v>
      </c>
      <c r="CQ95" s="16">
        <f t="shared" si="72"/>
        <v>0</v>
      </c>
      <c r="CR95" s="16">
        <f t="shared" si="73"/>
        <v>0</v>
      </c>
      <c r="CS95" s="16">
        <f t="shared" si="74"/>
        <v>0</v>
      </c>
      <c r="CT95" s="16">
        <f t="shared" si="75"/>
        <v>3.9174684425385478E-2</v>
      </c>
    </row>
    <row r="96" spans="1:99" x14ac:dyDescent="0.25">
      <c r="A96" s="13">
        <v>45076</v>
      </c>
      <c r="B96" s="14">
        <v>10</v>
      </c>
      <c r="C96" s="15" t="str" cm="1">
        <f t="array" ref="C96">IF(B96="","",INDEX('Exercise list'!$C$5:$C$102,B96))</f>
        <v>Cable seated rows</v>
      </c>
      <c r="D96" s="12">
        <f t="shared" si="52"/>
        <v>1</v>
      </c>
      <c r="E96" s="32">
        <f t="shared" si="53"/>
        <v>1.0877450817446175</v>
      </c>
      <c r="F96" s="63" cm="1">
        <f t="array" ref="F96">IF(B96="","",0.1+IFERROR(INDEX($F$6:$F95,SUMPRODUCT(MAX(ROW($C$6:$C95)*($C96=$C$6:$C95))-ROW($A$5)))*0.9^($A96-INDEX($A$6:A95,SUMPRODUCT(MAX(ROW($C$6:$C95)*($C96=$C$6:$C95))-ROW($A$5)))),0))</f>
        <v>0.13985638448020399</v>
      </c>
      <c r="G96" s="64">
        <f>INDEX('Exercise list'!$Y$5:$Y$102,MATCH(C96,'Exercise list'!$C$5:$C$102,0))</f>
        <v>2</v>
      </c>
      <c r="H96" s="115">
        <f t="shared" si="54"/>
        <v>6.639872530925793E-2</v>
      </c>
      <c r="I96" s="6">
        <f t="shared" si="55"/>
        <v>2</v>
      </c>
      <c r="J96" s="6" cm="1">
        <f t="array" ref="J96">IF(B96="","",INDEX('Exercise list'!$D$5:$D$102,B96))</f>
        <v>0</v>
      </c>
      <c r="K96" s="12">
        <v>52</v>
      </c>
      <c r="L96" s="74" t="str" cm="1">
        <f t="array" ref="L96">IF(K96="","",INDEX('Exercise list'!$C$5:$C$102,K96))</f>
        <v>Dumbbell seated front shoulder presses</v>
      </c>
      <c r="M96" s="6">
        <v>53</v>
      </c>
      <c r="N96" s="75" t="str" cm="1">
        <f t="array" ref="N96">IF(M96="","",INDEX('Exercise list'!$C$5:$C$102,M96))</f>
        <v>Dumbbell seated side shoulder presses</v>
      </c>
      <c r="P96">
        <f>IFERROR(INDEX('Exercise list'!$E$5:$X$102,MATCH($C96,'Exercise list'!$C$5:$C$102,0),MATCH(P$5,'Exercise list'!$E$4:$X$4,0)),0)</f>
        <v>0</v>
      </c>
      <c r="Q96">
        <f>IFERROR(INDEX('Exercise list'!$E$5:$X$102,MATCH($C96,'Exercise list'!$C$5:$C$102,0),MATCH(Q$5,'Exercise list'!$E$4:$X$4,0)),0)</f>
        <v>1</v>
      </c>
      <c r="R96">
        <f>IFERROR(INDEX('Exercise list'!$E$5:$X$102,MATCH($C96,'Exercise list'!$C$5:$C$102,0),MATCH(R$5,'Exercise list'!$E$4:$X$4,0)),0)</f>
        <v>0.6</v>
      </c>
      <c r="S96">
        <f>IFERROR(INDEX('Exercise list'!$E$5:$X$102,MATCH($C96,'Exercise list'!$C$5:$C$102,0),MATCH(S$5,'Exercise list'!$E$4:$X$4,0)),0)</f>
        <v>0.7</v>
      </c>
      <c r="T96">
        <f>IFERROR(INDEX('Exercise list'!$E$5:$X$102,MATCH($C96,'Exercise list'!$C$5:$C$102,0),MATCH(T$5,'Exercise list'!$E$4:$X$4,0)),0)</f>
        <v>0</v>
      </c>
      <c r="U96">
        <f>IFERROR(INDEX('Exercise list'!$E$5:$X$102,MATCH($C96,'Exercise list'!$C$5:$C$102,0),MATCH(U$5,'Exercise list'!$E$4:$X$4,0)),0)</f>
        <v>0</v>
      </c>
      <c r="V96">
        <f>IFERROR(INDEX('Exercise list'!$E$5:$X$102,MATCH($C96,'Exercise list'!$C$5:$C$102,0),MATCH(V$5,'Exercise list'!$E$4:$X$4,0)),0)</f>
        <v>0</v>
      </c>
      <c r="W96">
        <f>IFERROR(INDEX('Exercise list'!$E$5:$X$102,MATCH($C96,'Exercise list'!$C$5:$C$102,0),MATCH(W$5,'Exercise list'!$E$4:$X$4,0)),0)</f>
        <v>0</v>
      </c>
      <c r="X96">
        <f>IFERROR(INDEX('Exercise list'!$E$5:$X$102,MATCH($C96,'Exercise list'!$C$5:$C$102,0),MATCH(X$5,'Exercise list'!$E$4:$X$4,0)),0)</f>
        <v>0.5</v>
      </c>
      <c r="Y96">
        <f>IFERROR(INDEX('Exercise list'!$E$5:$X$102,MATCH($C96,'Exercise list'!$C$5:$C$102,0),MATCH(Y$5,'Exercise list'!$E$4:$X$4,0)),0)</f>
        <v>0</v>
      </c>
      <c r="Z96">
        <f>IFERROR(INDEX('Exercise list'!$E$5:$X$102,MATCH($C96,'Exercise list'!$C$5:$C$102,0),MATCH(Z$5,'Exercise list'!$E$4:$X$4,0)),0)</f>
        <v>0.5</v>
      </c>
      <c r="AA96">
        <f>IFERROR(INDEX('Exercise list'!$E$5:$X$102,MATCH($C96,'Exercise list'!$C$5:$C$102,0),MATCH(AA$5,'Exercise list'!$E$4:$X$4,0)),0)</f>
        <v>0</v>
      </c>
      <c r="AB96">
        <f>IFERROR(INDEX('Exercise list'!$E$5:$X$102,MATCH($C96,'Exercise list'!$C$5:$C$102,0),MATCH(AB$5,'Exercise list'!$E$4:$X$4,0)),0)</f>
        <v>0</v>
      </c>
      <c r="AC96">
        <f>IFERROR(INDEX('Exercise list'!$E$5:$X$102,MATCH($C96,'Exercise list'!$C$5:$C$102,0),MATCH(AC$5,'Exercise list'!$E$4:$X$4,0)),0)</f>
        <v>0</v>
      </c>
      <c r="AD96">
        <f>IFERROR(INDEX('Exercise list'!$E$5:$X$102,MATCH($C96,'Exercise list'!$C$5:$C$102,0),MATCH(AD$5,'Exercise list'!$E$4:$X$4,0)),0)</f>
        <v>0</v>
      </c>
      <c r="AE96">
        <f>IFERROR(INDEX('Exercise list'!$E$5:$X$102,MATCH($C96,'Exercise list'!$C$5:$C$102,0),MATCH(AE$5,'Exercise list'!$E$4:$X$4,0)),0)</f>
        <v>0</v>
      </c>
      <c r="AF96">
        <f>IFERROR(INDEX('Exercise list'!$E$5:$X$102,MATCH($C96,'Exercise list'!$C$5:$C$102,0),MATCH(AF$5,'Exercise list'!$E$4:$X$4,0)),0)</f>
        <v>0</v>
      </c>
      <c r="AG96">
        <f>IFERROR(INDEX('Exercise list'!$E$5:$X$102,MATCH($C96,'Exercise list'!$C$5:$C$102,0),MATCH(AG$5,'Exercise list'!$E$4:$X$4,0)),0)</f>
        <v>0</v>
      </c>
      <c r="AH96">
        <f>IFERROR(INDEX('Exercise list'!$E$5:$X$102,MATCH($C96,'Exercise list'!$C$5:$C$102,0),MATCH(AH$5,'Exercise list'!$E$4:$X$4,0)),0)</f>
        <v>0</v>
      </c>
      <c r="AI96">
        <f>IFERROR(INDEX('Exercise list'!$E$5:$X$102,MATCH($C96,'Exercise list'!$C$5:$C$102,0),MATCH(AI$5,'Exercise list'!$E$4:$X$4,0)),0)</f>
        <v>0</v>
      </c>
      <c r="AK96">
        <f>IF(OR($J96=1,COUNTIFS($A$5:$A95,"&gt;="&amp;$A96-1,$A$5:$A95,"&lt;="&amp;$A96,$B$5:$B95,$B96)&gt;0,MIN(1-'Exercise list'!E$2,IF($A96=$A95,AK95,1))-P96&lt;0),-1,MIN(1,IF($A96=$A95,AK95,1)-P96+$D$2))</f>
        <v>1</v>
      </c>
      <c r="AL96">
        <f>IF(OR($J96=1,COUNTIFS($A$5:$A95,"&gt;="&amp;$A96-1,$A$5:$A95,"&lt;="&amp;$A96,$B$5:$B95,$B96)&gt;0,MIN(1-'Exercise list'!F$2,IF($A96=$A95,AL95,1))-Q96&lt;0),-1,MIN(1,IF($A96=$A95,AL95,1)-Q96+$D$2))</f>
        <v>1</v>
      </c>
      <c r="AM96">
        <f>IF(OR($J96=1,COUNTIFS($A$5:$A95,"&gt;="&amp;$A96-1,$A$5:$A95,"&lt;="&amp;$A96,$B$5:$B95,$B96)&gt;0,MIN(1-'Exercise list'!G$2,IF($A96=$A95,AM95,1))-R96&lt;0),-1,MIN(1,IF($A96=$A95,AM95,1)-R96+$D$2))</f>
        <v>1</v>
      </c>
      <c r="AN96">
        <f>IF(OR($J96=1,COUNTIFS($A$5:$A95,"&gt;="&amp;$A96-1,$A$5:$A95,"&lt;="&amp;$A96,$B$5:$B95,$B96)&gt;0,MIN(1-'Exercise list'!H$2,IF($A96=$A95,AN95,1))-S96&lt;0),-1,MIN(1,IF($A96=$A95,AN95,1)-S96+$D$2))</f>
        <v>1</v>
      </c>
      <c r="AO96">
        <f>IF(OR($J96=1,COUNTIFS($A$5:$A95,"&gt;="&amp;$A96-1,$A$5:$A95,"&lt;="&amp;$A96,$B$5:$B95,$B96)&gt;0,MIN(1-'Exercise list'!I$2,IF($A96=$A95,AO95,1))-T96&lt;0),-1,MIN(1,IF($A96=$A95,AO95,1)-T96+$D$2))</f>
        <v>1</v>
      </c>
      <c r="AP96">
        <f>IF(OR($J96=1,COUNTIFS($A$5:$A95,"&gt;="&amp;$A96-1,$A$5:$A95,"&lt;="&amp;$A96,$B$5:$B95,$B96)&gt;0,MIN(1-'Exercise list'!J$2,IF($A96=$A95,AP95,1))-U96&lt;0),-1,MIN(1,IF($A96=$A95,AP95,1)-U96+$D$2))</f>
        <v>1</v>
      </c>
      <c r="AQ96">
        <f>IF(OR($J96=1,COUNTIFS($A$5:$A95,"&gt;="&amp;$A96-1,$A$5:$A95,"&lt;="&amp;$A96,$B$5:$B95,$B96)&gt;0,MIN(1-'Exercise list'!K$2,IF($A96=$A95,AQ95,1))-V96&lt;0),-1,MIN(1,IF($A96=$A95,AQ95,1)-V96+$D$2))</f>
        <v>1</v>
      </c>
      <c r="AR96">
        <f>IF(OR($J96=1,COUNTIFS($A$5:$A95,"&gt;="&amp;$A96-1,$A$5:$A95,"&lt;="&amp;$A96,$B$5:$B95,$B96)&gt;0,MIN(1-'Exercise list'!L$2,IF($A96=$A95,AR95,1))-W96&lt;0),-1,MIN(1,IF($A96=$A95,AR95,1)-W96+$D$2))</f>
        <v>1</v>
      </c>
      <c r="AS96">
        <f>IF(OR($J96=1,COUNTIFS($A$5:$A95,"&gt;="&amp;$A96-1,$A$5:$A95,"&lt;="&amp;$A96,$B$5:$B95,$B96)&gt;0,MIN(1-'Exercise list'!M$2,IF($A96=$A95,AS95,1))-X96&lt;0),-1,MIN(1,IF($A96=$A95,AS95,1)-X96+$D$2))</f>
        <v>1</v>
      </c>
      <c r="AT96">
        <f>IF(OR($J96=1,COUNTIFS($A$5:$A95,"&gt;="&amp;$A96-1,$A$5:$A95,"&lt;="&amp;$A96,$B$5:$B95,$B96)&gt;0,MIN(1-'Exercise list'!N$2,IF($A96=$A95,AT95,1))-Y96&lt;0),-1,MIN(1,IF($A96=$A95,AT95,1)-Y96+$D$2))</f>
        <v>1</v>
      </c>
      <c r="AU96">
        <f>IF(OR($J96=1,COUNTIFS($A$5:$A95,"&gt;="&amp;$A96-1,$A$5:$A95,"&lt;="&amp;$A96,$B$5:$B95,$B96)&gt;0,MIN(1-'Exercise list'!O$2,IF($A96=$A95,AU95,1))-Z96&lt;0),-1,MIN(1,IF($A96=$A95,AU95,1)-Z96+$D$2))</f>
        <v>1</v>
      </c>
      <c r="AV96">
        <f>IF(OR($J96=1,COUNTIFS($A$5:$A95,"&gt;="&amp;$A96-1,$A$5:$A95,"&lt;="&amp;$A96,$B$5:$B95,$B96)&gt;0,MIN(1-'Exercise list'!P$2,IF($A96=$A95,AV95,1))-AA96&lt;0),-1,MIN(1,IF($A96=$A95,AV95,1)-AA96+$D$2))</f>
        <v>1</v>
      </c>
      <c r="AW96">
        <f>IF(OR($J96=1,COUNTIFS($A$5:$A95,"&gt;="&amp;$A96-1,$A$5:$A95,"&lt;="&amp;$A96,$B$5:$B95,$B96)&gt;0,MIN(1-'Exercise list'!Q$2,IF($A96=$A95,AW95,1))-AB96&lt;0),-1,MIN(1,IF($A96=$A95,AW95,1)-AB96+$D$2))</f>
        <v>1</v>
      </c>
      <c r="AX96">
        <f>IF(OR($J96=1,COUNTIFS($A$5:$A95,"&gt;="&amp;$A96-1,$A$5:$A95,"&lt;="&amp;$A96,$B$5:$B95,$B96)&gt;0,MIN(1-'Exercise list'!R$2,IF($A96=$A95,AX95,1))-AC96&lt;0),-1,MIN(1,IF($A96=$A95,AX95,1)-AC96+$D$2))</f>
        <v>1</v>
      </c>
      <c r="AY96">
        <f>IF(OR($J96=1,COUNTIFS($A$5:$A95,"&gt;="&amp;$A96-1,$A$5:$A95,"&lt;="&amp;$A96,$B$5:$B95,$B96)&gt;0,MIN(1-'Exercise list'!S$2,IF($A96=$A95,AY95,1))-AD96&lt;0),-1,MIN(1,IF($A96=$A95,AY95,1)-AD96+$D$2))</f>
        <v>1</v>
      </c>
      <c r="AZ96">
        <f>IF(OR($J96=1,COUNTIFS($A$5:$A95,"&gt;="&amp;$A96-1,$A$5:$A95,"&lt;="&amp;$A96,$B$5:$B95,$B96)&gt;0,MIN(1-'Exercise list'!T$2,IF($A96=$A95,AZ95,1))-AE96&lt;0),-1,MIN(1,IF($A96=$A95,AZ95,1)-AE96+$D$2))</f>
        <v>1</v>
      </c>
      <c r="BA96">
        <f>IF(OR($J96=1,COUNTIFS($A$5:$A95,"&gt;="&amp;$A96-1,$A$5:$A95,"&lt;="&amp;$A96,$B$5:$B95,$B96)&gt;0,MIN(1-'Exercise list'!U$2,IF($A96=$A95,BA95,1))-AF96&lt;0),-1,MIN(1,IF($A96=$A95,BA95,1)-AF96+$D$2))</f>
        <v>1</v>
      </c>
      <c r="BB96">
        <f>IF(OR($J96=1,COUNTIFS($A$5:$A95,"&gt;="&amp;$A96-1,$A$5:$A95,"&lt;="&amp;$A96,$B$5:$B95,$B96)&gt;0,MIN(1-'Exercise list'!V$2,IF($A96=$A95,BB95,1))-AG96&lt;0),-1,MIN(1,IF($A96=$A95,BB95,1)-AG96+$D$2))</f>
        <v>1</v>
      </c>
      <c r="BC96">
        <f>IF(OR($J96=1,COUNTIFS($A$5:$A95,"&gt;="&amp;$A96-1,$A$5:$A95,"&lt;="&amp;$A96,$B$5:$B95,$B96)&gt;0,MIN(1-'Exercise list'!W$2,IF($A96=$A95,BC95,1))-AH96&lt;0),-1,MIN(1,IF($A96=$A95,BC95,1)-AH96+$D$2))</f>
        <v>1</v>
      </c>
      <c r="BD96">
        <f>IF(OR($J96=1,COUNTIFS($A$5:$A95,"&gt;="&amp;$A96-1,$A$5:$A95,"&lt;="&amp;$A96,$B$5:$B95,$B96)&gt;0,MIN(1-'Exercise list'!X$2,IF($A96=$A95,BD95,1))-AI96&lt;0),-1,MIN(1,IF($A96=$A95,BD95,1)-AI96+$D$2))</f>
        <v>1</v>
      </c>
      <c r="BF96" s="16">
        <f t="shared" si="96"/>
        <v>0.13589518439877754</v>
      </c>
      <c r="BG96" s="16">
        <f t="shared" si="77"/>
        <v>0.18474159816688845</v>
      </c>
      <c r="BH96" s="16">
        <f t="shared" si="78"/>
        <v>0.14851017880313247</v>
      </c>
      <c r="BI96" s="16">
        <f t="shared" si="79"/>
        <v>0.18865791357388048</v>
      </c>
      <c r="BJ96" s="16">
        <f t="shared" si="80"/>
        <v>0.18518957666776956</v>
      </c>
      <c r="BK96" s="16">
        <f t="shared" si="81"/>
        <v>0.10708212193935952</v>
      </c>
      <c r="BL96" s="16">
        <f t="shared" si="82"/>
        <v>0.14876870488898947</v>
      </c>
      <c r="BM96" s="16">
        <f t="shared" si="83"/>
        <v>6.2209450482011666E-2</v>
      </c>
      <c r="BN96" s="16">
        <f t="shared" si="84"/>
        <v>0.10655398763155738</v>
      </c>
      <c r="BO96" s="16">
        <f t="shared" si="85"/>
        <v>0.16763239054588783</v>
      </c>
      <c r="BP96" s="16">
        <f t="shared" si="86"/>
        <v>0.27089349422481135</v>
      </c>
      <c r="BQ96" s="16">
        <f t="shared" si="87"/>
        <v>5.2533274768159201E-2</v>
      </c>
      <c r="BR96" s="16">
        <f t="shared" si="88"/>
        <v>0.15853577498802662</v>
      </c>
      <c r="BS96" s="16">
        <f t="shared" si="89"/>
        <v>3.2366516435554438E-2</v>
      </c>
      <c r="BT96" s="16">
        <f t="shared" si="90"/>
        <v>0.21185070559588187</v>
      </c>
      <c r="BU96" s="16">
        <f t="shared" si="91"/>
        <v>0.23286453721184686</v>
      </c>
      <c r="BV96" s="16">
        <f t="shared" si="92"/>
        <v>0.28606367675831196</v>
      </c>
      <c r="BW96" s="16">
        <f t="shared" si="93"/>
        <v>0.10715436164239694</v>
      </c>
      <c r="BX96" s="16">
        <f t="shared" si="94"/>
        <v>0.11600521417678586</v>
      </c>
      <c r="BY96" s="16">
        <f t="shared" si="95"/>
        <v>6.6679923361111254E-2</v>
      </c>
      <c r="CA96" s="16">
        <f t="shared" si="56"/>
        <v>8.4118784953899572E-2</v>
      </c>
      <c r="CB96" s="16">
        <f t="shared" si="57"/>
        <v>3.5272371185788659E-2</v>
      </c>
      <c r="CC96" s="16">
        <f t="shared" si="58"/>
        <v>0</v>
      </c>
      <c r="CD96" s="16">
        <f t="shared" si="59"/>
        <v>0</v>
      </c>
      <c r="CE96" s="16">
        <f t="shared" si="60"/>
        <v>0</v>
      </c>
      <c r="CF96" s="16">
        <f t="shared" si="61"/>
        <v>0.2229388320896562</v>
      </c>
      <c r="CG96" s="16">
        <f t="shared" si="62"/>
        <v>0</v>
      </c>
      <c r="CH96" s="16">
        <f t="shared" si="63"/>
        <v>4.7797534194326891E-2</v>
      </c>
      <c r="CI96" s="16">
        <f t="shared" si="64"/>
        <v>0.11345998172111973</v>
      </c>
      <c r="CJ96" s="16">
        <f t="shared" si="65"/>
        <v>0</v>
      </c>
      <c r="CK96" s="16">
        <f t="shared" si="66"/>
        <v>0</v>
      </c>
      <c r="CL96" s="16">
        <f t="shared" si="67"/>
        <v>5.7473709908179356E-2</v>
      </c>
      <c r="CM96" s="16">
        <f t="shared" si="68"/>
        <v>6.147819436465049E-2</v>
      </c>
      <c r="CN96" s="16">
        <f t="shared" si="69"/>
        <v>7.7640468240784119E-2</v>
      </c>
      <c r="CO96" s="16">
        <f t="shared" si="70"/>
        <v>0</v>
      </c>
      <c r="CP96" s="16">
        <f t="shared" si="71"/>
        <v>0</v>
      </c>
      <c r="CQ96" s="16">
        <f t="shared" si="72"/>
        <v>0</v>
      </c>
      <c r="CR96" s="16">
        <f t="shared" si="73"/>
        <v>2.852623033941612E-3</v>
      </c>
      <c r="CS96" s="16">
        <f t="shared" si="74"/>
        <v>0</v>
      </c>
      <c r="CT96" s="16">
        <f t="shared" si="75"/>
        <v>4.3327061315227303E-2</v>
      </c>
    </row>
    <row r="97" spans="1:99" x14ac:dyDescent="0.25">
      <c r="A97" s="13">
        <v>45076</v>
      </c>
      <c r="B97" s="14">
        <v>52</v>
      </c>
      <c r="C97" s="15" t="str" cm="1">
        <f t="array" ref="C97">IF(B97="","",INDEX('Exercise list'!$C$5:$C$102,B97))</f>
        <v>Dumbbell seated front shoulder presses</v>
      </c>
      <c r="D97" s="12">
        <f t="shared" si="52"/>
        <v>-1</v>
      </c>
      <c r="E97" s="32">
        <f t="shared" si="53"/>
        <v>0.5652562952492225</v>
      </c>
      <c r="F97" s="63" cm="1">
        <f t="array" ref="F97">IF(B97="","",0.1+IFERROR(INDEX($F$6:$F96,SUMPRODUCT(MAX(ROW($C$6:$C96)*($C97=$C$6:$C96))-ROW($A$5)))*0.9^($A97-INDEX($A$6:A96,SUMPRODUCT(MAX(ROW($C$6:$C96)*($C97=$C$6:$C96))-ROW($A$5)))),0))</f>
        <v>0.13874204890000003</v>
      </c>
      <c r="G97" s="64">
        <f>INDEX('Exercise list'!$Y$5:$Y$102,MATCH(C97,'Exercise list'!$C$5:$C$102,0))</f>
        <v>1</v>
      </c>
      <c r="H97" s="115">
        <f t="shared" si="54"/>
        <v>6.3594093066106014E-2</v>
      </c>
      <c r="I97" s="6">
        <f t="shared" si="55"/>
        <v>3</v>
      </c>
      <c r="J97" s="6" cm="1">
        <f t="array" ref="J97">IF(B97="","",INDEX('Exercise list'!$D$5:$D$102,B97))</f>
        <v>1</v>
      </c>
      <c r="K97" s="12">
        <v>53</v>
      </c>
      <c r="L97" s="74" t="str" cm="1">
        <f t="array" ref="L97">IF(K97="","",INDEX('Exercise list'!$C$5:$C$102,K97))</f>
        <v>Dumbbell seated side shoulder presses</v>
      </c>
      <c r="M97" s="6">
        <v>59</v>
      </c>
      <c r="N97" s="75" t="str" cm="1">
        <f t="array" ref="N97">IF(M97="","",INDEX('Exercise list'!$C$5:$C$102,M97))</f>
        <v>Triceps dips</v>
      </c>
      <c r="P97">
        <f>IFERROR(INDEX('Exercise list'!$E$5:$X$102,MATCH($C97,'Exercise list'!$C$5:$C$102,0),MATCH(P$5,'Exercise list'!$E$4:$X$4,0)),0)</f>
        <v>0</v>
      </c>
      <c r="Q97">
        <f>IFERROR(INDEX('Exercise list'!$E$5:$X$102,MATCH($C97,'Exercise list'!$C$5:$C$102,0),MATCH(Q$5,'Exercise list'!$E$4:$X$4,0)),0)</f>
        <v>0</v>
      </c>
      <c r="R97">
        <f>IFERROR(INDEX('Exercise list'!$E$5:$X$102,MATCH($C97,'Exercise list'!$C$5:$C$102,0),MATCH(R$5,'Exercise list'!$E$4:$X$4,0)),0)</f>
        <v>0</v>
      </c>
      <c r="S97">
        <f>IFERROR(INDEX('Exercise list'!$E$5:$X$102,MATCH($C97,'Exercise list'!$C$5:$C$102,0),MATCH(S$5,'Exercise list'!$E$4:$X$4,0)),0)</f>
        <v>0</v>
      </c>
      <c r="T97">
        <f>IFERROR(INDEX('Exercise list'!$E$5:$X$102,MATCH($C97,'Exercise list'!$C$5:$C$102,0),MATCH(T$5,'Exercise list'!$E$4:$X$4,0)),0)</f>
        <v>0</v>
      </c>
      <c r="U97">
        <f>IFERROR(INDEX('Exercise list'!$E$5:$X$102,MATCH($C97,'Exercise list'!$C$5:$C$102,0),MATCH(U$5,'Exercise list'!$E$4:$X$4,0)),0)</f>
        <v>0.7</v>
      </c>
      <c r="V97">
        <f>IFERROR(INDEX('Exercise list'!$E$5:$X$102,MATCH($C97,'Exercise list'!$C$5:$C$102,0),MATCH(V$5,'Exercise list'!$E$4:$X$4,0)),0)</f>
        <v>1</v>
      </c>
      <c r="W97">
        <f>IFERROR(INDEX('Exercise list'!$E$5:$X$102,MATCH($C97,'Exercise list'!$C$5:$C$102,0),MATCH(W$5,'Exercise list'!$E$4:$X$4,0)),0)</f>
        <v>0</v>
      </c>
      <c r="X97">
        <f>IFERROR(INDEX('Exercise list'!$E$5:$X$102,MATCH($C97,'Exercise list'!$C$5:$C$102,0),MATCH(X$5,'Exercise list'!$E$4:$X$4,0)),0)</f>
        <v>0</v>
      </c>
      <c r="Y97">
        <f>IFERROR(INDEX('Exercise list'!$E$5:$X$102,MATCH($C97,'Exercise list'!$C$5:$C$102,0),MATCH(Y$5,'Exercise list'!$E$4:$X$4,0)),0)</f>
        <v>0.7</v>
      </c>
      <c r="Z97">
        <f>IFERROR(INDEX('Exercise list'!$E$5:$X$102,MATCH($C97,'Exercise list'!$C$5:$C$102,0),MATCH(Z$5,'Exercise list'!$E$4:$X$4,0)),0)</f>
        <v>0.5</v>
      </c>
      <c r="AA97">
        <f>IFERROR(INDEX('Exercise list'!$E$5:$X$102,MATCH($C97,'Exercise list'!$C$5:$C$102,0),MATCH(AA$5,'Exercise list'!$E$4:$X$4,0)),0)</f>
        <v>0</v>
      </c>
      <c r="AB97">
        <f>IFERROR(INDEX('Exercise list'!$E$5:$X$102,MATCH($C97,'Exercise list'!$C$5:$C$102,0),MATCH(AB$5,'Exercise list'!$E$4:$X$4,0)),0)</f>
        <v>0</v>
      </c>
      <c r="AC97">
        <f>IFERROR(INDEX('Exercise list'!$E$5:$X$102,MATCH($C97,'Exercise list'!$C$5:$C$102,0),MATCH(AC$5,'Exercise list'!$E$4:$X$4,0)),0)</f>
        <v>0</v>
      </c>
      <c r="AD97">
        <f>IFERROR(INDEX('Exercise list'!$E$5:$X$102,MATCH($C97,'Exercise list'!$C$5:$C$102,0),MATCH(AD$5,'Exercise list'!$E$4:$X$4,0)),0)</f>
        <v>0</v>
      </c>
      <c r="AE97">
        <f>IFERROR(INDEX('Exercise list'!$E$5:$X$102,MATCH($C97,'Exercise list'!$C$5:$C$102,0),MATCH(AE$5,'Exercise list'!$E$4:$X$4,0)),0)</f>
        <v>0</v>
      </c>
      <c r="AF97">
        <f>IFERROR(INDEX('Exercise list'!$E$5:$X$102,MATCH($C97,'Exercise list'!$C$5:$C$102,0),MATCH(AF$5,'Exercise list'!$E$4:$X$4,0)),0)</f>
        <v>0</v>
      </c>
      <c r="AG97">
        <f>IFERROR(INDEX('Exercise list'!$E$5:$X$102,MATCH($C97,'Exercise list'!$C$5:$C$102,0),MATCH(AG$5,'Exercise list'!$E$4:$X$4,0)),0)</f>
        <v>0</v>
      </c>
      <c r="AH97">
        <f>IFERROR(INDEX('Exercise list'!$E$5:$X$102,MATCH($C97,'Exercise list'!$C$5:$C$102,0),MATCH(AH$5,'Exercise list'!$E$4:$X$4,0)),0)</f>
        <v>0</v>
      </c>
      <c r="AI97">
        <f>IFERROR(INDEX('Exercise list'!$E$5:$X$102,MATCH($C97,'Exercise list'!$C$5:$C$102,0),MATCH(AI$5,'Exercise list'!$E$4:$X$4,0)),0)</f>
        <v>0</v>
      </c>
      <c r="AK97">
        <f>IF(OR($J97=1,COUNTIFS($A$5:$A96,"&gt;="&amp;$A97-1,$A$5:$A96,"&lt;="&amp;$A97,$B$5:$B96,$B97)&gt;0,MIN(1-'Exercise list'!E$2,IF($A97=$A96,AK96,1))-P97&lt;0),-1,MIN(1,IF($A97=$A96,AK96,1)-P97+$D$2))</f>
        <v>-1</v>
      </c>
      <c r="AL97">
        <f>IF(OR($J97=1,COUNTIFS($A$5:$A96,"&gt;="&amp;$A97-1,$A$5:$A96,"&lt;="&amp;$A97,$B$5:$B96,$B97)&gt;0,MIN(1-'Exercise list'!F$2,IF($A97=$A96,AL96,1))-Q97&lt;0),-1,MIN(1,IF($A97=$A96,AL96,1)-Q97+$D$2))</f>
        <v>-1</v>
      </c>
      <c r="AM97">
        <f>IF(OR($J97=1,COUNTIFS($A$5:$A96,"&gt;="&amp;$A97-1,$A$5:$A96,"&lt;="&amp;$A97,$B$5:$B96,$B97)&gt;0,MIN(1-'Exercise list'!G$2,IF($A97=$A96,AM96,1))-R97&lt;0),-1,MIN(1,IF($A97=$A96,AM96,1)-R97+$D$2))</f>
        <v>-1</v>
      </c>
      <c r="AN97">
        <f>IF(OR($J97=1,COUNTIFS($A$5:$A96,"&gt;="&amp;$A97-1,$A$5:$A96,"&lt;="&amp;$A97,$B$5:$B96,$B97)&gt;0,MIN(1-'Exercise list'!H$2,IF($A97=$A96,AN96,1))-S97&lt;0),-1,MIN(1,IF($A97=$A96,AN96,1)-S97+$D$2))</f>
        <v>-1</v>
      </c>
      <c r="AO97">
        <f>IF(OR($J97=1,COUNTIFS($A$5:$A96,"&gt;="&amp;$A97-1,$A$5:$A96,"&lt;="&amp;$A97,$B$5:$B96,$B97)&gt;0,MIN(1-'Exercise list'!I$2,IF($A97=$A96,AO96,1))-T97&lt;0),-1,MIN(1,IF($A97=$A96,AO96,1)-T97+$D$2))</f>
        <v>-1</v>
      </c>
      <c r="AP97">
        <f>IF(OR($J97=1,COUNTIFS($A$5:$A96,"&gt;="&amp;$A97-1,$A$5:$A96,"&lt;="&amp;$A97,$B$5:$B96,$B97)&gt;0,MIN(1-'Exercise list'!J$2,IF($A97=$A96,AP96,1))-U97&lt;0),-1,MIN(1,IF($A97=$A96,AP96,1)-U97+$D$2))</f>
        <v>-1</v>
      </c>
      <c r="AQ97">
        <f>IF(OR($J97=1,COUNTIFS($A$5:$A96,"&gt;="&amp;$A97-1,$A$5:$A96,"&lt;="&amp;$A97,$B$5:$B96,$B97)&gt;0,MIN(1-'Exercise list'!K$2,IF($A97=$A96,AQ96,1))-V97&lt;0),-1,MIN(1,IF($A97=$A96,AQ96,1)-V97+$D$2))</f>
        <v>-1</v>
      </c>
      <c r="AR97">
        <f>IF(OR($J97=1,COUNTIFS($A$5:$A96,"&gt;="&amp;$A97-1,$A$5:$A96,"&lt;="&amp;$A97,$B$5:$B96,$B97)&gt;0,MIN(1-'Exercise list'!L$2,IF($A97=$A96,AR96,1))-W97&lt;0),-1,MIN(1,IF($A97=$A96,AR96,1)-W97+$D$2))</f>
        <v>-1</v>
      </c>
      <c r="AS97">
        <f>IF(OR($J97=1,COUNTIFS($A$5:$A96,"&gt;="&amp;$A97-1,$A$5:$A96,"&lt;="&amp;$A97,$B$5:$B96,$B97)&gt;0,MIN(1-'Exercise list'!M$2,IF($A97=$A96,AS96,1))-X97&lt;0),-1,MIN(1,IF($A97=$A96,AS96,1)-X97+$D$2))</f>
        <v>-1</v>
      </c>
      <c r="AT97">
        <f>IF(OR($J97=1,COUNTIFS($A$5:$A96,"&gt;="&amp;$A97-1,$A$5:$A96,"&lt;="&amp;$A97,$B$5:$B96,$B97)&gt;0,MIN(1-'Exercise list'!N$2,IF($A97=$A96,AT96,1))-Y97&lt;0),-1,MIN(1,IF($A97=$A96,AT96,1)-Y97+$D$2))</f>
        <v>-1</v>
      </c>
      <c r="AU97">
        <f>IF(OR($J97=1,COUNTIFS($A$5:$A96,"&gt;="&amp;$A97-1,$A$5:$A96,"&lt;="&amp;$A97,$B$5:$B96,$B97)&gt;0,MIN(1-'Exercise list'!O$2,IF($A97=$A96,AU96,1))-Z97&lt;0),-1,MIN(1,IF($A97=$A96,AU96,1)-Z97+$D$2))</f>
        <v>-1</v>
      </c>
      <c r="AV97">
        <f>IF(OR($J97=1,COUNTIFS($A$5:$A96,"&gt;="&amp;$A97-1,$A$5:$A96,"&lt;="&amp;$A97,$B$5:$B96,$B97)&gt;0,MIN(1-'Exercise list'!P$2,IF($A97=$A96,AV96,1))-AA97&lt;0),-1,MIN(1,IF($A97=$A96,AV96,1)-AA97+$D$2))</f>
        <v>-1</v>
      </c>
      <c r="AW97">
        <f>IF(OR($J97=1,COUNTIFS($A$5:$A96,"&gt;="&amp;$A97-1,$A$5:$A96,"&lt;="&amp;$A97,$B$5:$B96,$B97)&gt;0,MIN(1-'Exercise list'!Q$2,IF($A97=$A96,AW96,1))-AB97&lt;0),-1,MIN(1,IF($A97=$A96,AW96,1)-AB97+$D$2))</f>
        <v>-1</v>
      </c>
      <c r="AX97">
        <f>IF(OR($J97=1,COUNTIFS($A$5:$A96,"&gt;="&amp;$A97-1,$A$5:$A96,"&lt;="&amp;$A97,$B$5:$B96,$B97)&gt;0,MIN(1-'Exercise list'!R$2,IF($A97=$A96,AX96,1))-AC97&lt;0),-1,MIN(1,IF($A97=$A96,AX96,1)-AC97+$D$2))</f>
        <v>-1</v>
      </c>
      <c r="AY97">
        <f>IF(OR($J97=1,COUNTIFS($A$5:$A96,"&gt;="&amp;$A97-1,$A$5:$A96,"&lt;="&amp;$A97,$B$5:$B96,$B97)&gt;0,MIN(1-'Exercise list'!S$2,IF($A97=$A96,AY96,1))-AD97&lt;0),-1,MIN(1,IF($A97=$A96,AY96,1)-AD97+$D$2))</f>
        <v>-1</v>
      </c>
      <c r="AZ97">
        <f>IF(OR($J97=1,COUNTIFS($A$5:$A96,"&gt;="&amp;$A97-1,$A$5:$A96,"&lt;="&amp;$A97,$B$5:$B96,$B97)&gt;0,MIN(1-'Exercise list'!T$2,IF($A97=$A96,AZ96,1))-AE97&lt;0),-1,MIN(1,IF($A97=$A96,AZ96,1)-AE97+$D$2))</f>
        <v>-1</v>
      </c>
      <c r="BA97">
        <f>IF(OR($J97=1,COUNTIFS($A$5:$A96,"&gt;="&amp;$A97-1,$A$5:$A96,"&lt;="&amp;$A97,$B$5:$B96,$B97)&gt;0,MIN(1-'Exercise list'!U$2,IF($A97=$A96,BA96,1))-AF97&lt;0),-1,MIN(1,IF($A97=$A96,BA96,1)-AF97+$D$2))</f>
        <v>-1</v>
      </c>
      <c r="BB97">
        <f>IF(OR($J97=1,COUNTIFS($A$5:$A96,"&gt;="&amp;$A97-1,$A$5:$A96,"&lt;="&amp;$A97,$B$5:$B96,$B97)&gt;0,MIN(1-'Exercise list'!V$2,IF($A97=$A96,BB96,1))-AG97&lt;0),-1,MIN(1,IF($A97=$A96,BB96,1)-AG97+$D$2))</f>
        <v>-1</v>
      </c>
      <c r="BC97">
        <f>IF(OR($J97=1,COUNTIFS($A$5:$A96,"&gt;="&amp;$A97-1,$A$5:$A96,"&lt;="&amp;$A97,$B$5:$B96,$B97)&gt;0,MIN(1-'Exercise list'!W$2,IF($A97=$A96,BC96,1))-AH97&lt;0),-1,MIN(1,IF($A97=$A96,BC96,1)-AH97+$D$2))</f>
        <v>-1</v>
      </c>
      <c r="BD97">
        <f>IF(OR($J97=1,COUNTIFS($A$5:$A96,"&gt;="&amp;$A97-1,$A$5:$A96,"&lt;="&amp;$A97,$B$5:$B96,$B97)&gt;0,MIN(1-'Exercise list'!X$2,IF($A97=$A96,BD96,1))-AI97&lt;0),-1,MIN(1,IF($A97=$A96,BD96,1)-AI97+$D$2))</f>
        <v>-1</v>
      </c>
      <c r="BF97" s="16">
        <f t="shared" si="96"/>
        <v>0.12910042517883866</v>
      </c>
      <c r="BG97" s="16">
        <f t="shared" si="77"/>
        <v>0.17550451825854402</v>
      </c>
      <c r="BH97" s="16">
        <f t="shared" si="78"/>
        <v>0.14108466986297585</v>
      </c>
      <c r="BI97" s="16">
        <f t="shared" si="79"/>
        <v>0.17922501789518644</v>
      </c>
      <c r="BJ97" s="16">
        <f t="shared" si="80"/>
        <v>0.17593009783438107</v>
      </c>
      <c r="BK97" s="16">
        <f t="shared" si="81"/>
        <v>0.13672801584239153</v>
      </c>
      <c r="BL97" s="16">
        <f t="shared" si="82"/>
        <v>0.19133026964453997</v>
      </c>
      <c r="BM97" s="16">
        <f t="shared" si="83"/>
        <v>5.9098977957911081E-2</v>
      </c>
      <c r="BN97" s="16">
        <f t="shared" si="84"/>
        <v>0.10122628824997951</v>
      </c>
      <c r="BO97" s="16">
        <f t="shared" si="85"/>
        <v>0.19425077101859342</v>
      </c>
      <c r="BP97" s="16">
        <f t="shared" si="86"/>
        <v>0.28234881951357077</v>
      </c>
      <c r="BQ97" s="16">
        <f t="shared" si="87"/>
        <v>4.990661102975124E-2</v>
      </c>
      <c r="BR97" s="16">
        <f t="shared" si="88"/>
        <v>0.15060898623862529</v>
      </c>
      <c r="BS97" s="16">
        <f t="shared" si="89"/>
        <v>3.0748190613776715E-2</v>
      </c>
      <c r="BT97" s="16">
        <f t="shared" si="90"/>
        <v>0.20125817031608778</v>
      </c>
      <c r="BU97" s="16">
        <f t="shared" si="91"/>
        <v>0.2212213103512545</v>
      </c>
      <c r="BV97" s="16">
        <f t="shared" si="92"/>
        <v>0.27176049292039633</v>
      </c>
      <c r="BW97" s="16">
        <f t="shared" si="93"/>
        <v>0.10179664356027709</v>
      </c>
      <c r="BX97" s="16">
        <f t="shared" si="94"/>
        <v>0.11020495346794656</v>
      </c>
      <c r="BY97" s="16">
        <f t="shared" si="95"/>
        <v>6.3345927193055693E-2</v>
      </c>
      <c r="CA97" s="16">
        <f t="shared" si="56"/>
        <v>9.0653586446945378E-2</v>
      </c>
      <c r="CB97" s="16">
        <f t="shared" si="57"/>
        <v>4.4249493367240017E-2</v>
      </c>
      <c r="CC97" s="16">
        <f t="shared" si="58"/>
        <v>0</v>
      </c>
      <c r="CD97" s="16">
        <f t="shared" si="59"/>
        <v>0</v>
      </c>
      <c r="CE97" s="16">
        <f t="shared" si="60"/>
        <v>0</v>
      </c>
      <c r="CF97" s="16">
        <f t="shared" si="61"/>
        <v>0.19290300159628454</v>
      </c>
      <c r="CG97" s="16">
        <f t="shared" si="62"/>
        <v>0</v>
      </c>
      <c r="CH97" s="16">
        <f t="shared" si="63"/>
        <v>5.0778027854980937E-2</v>
      </c>
      <c r="CI97" s="16">
        <f t="shared" si="64"/>
        <v>0.11852772337580453</v>
      </c>
      <c r="CJ97" s="16">
        <f t="shared" si="65"/>
        <v>0</v>
      </c>
      <c r="CK97" s="16">
        <f t="shared" si="66"/>
        <v>0</v>
      </c>
      <c r="CL97" s="16">
        <f t="shared" si="67"/>
        <v>5.9970394783140778E-2</v>
      </c>
      <c r="CM97" s="16">
        <f t="shared" si="68"/>
        <v>6.9145025387158748E-2</v>
      </c>
      <c r="CN97" s="16">
        <f t="shared" si="69"/>
        <v>7.9128815199115299E-2</v>
      </c>
      <c r="CO97" s="16">
        <f t="shared" si="70"/>
        <v>0</v>
      </c>
      <c r="CP97" s="16">
        <f t="shared" si="71"/>
        <v>0</v>
      </c>
      <c r="CQ97" s="16">
        <f t="shared" si="72"/>
        <v>0</v>
      </c>
      <c r="CR97" s="16">
        <f t="shared" si="73"/>
        <v>8.0803622526149227E-3</v>
      </c>
      <c r="CS97" s="16">
        <f t="shared" si="74"/>
        <v>0</v>
      </c>
      <c r="CT97" s="16">
        <f t="shared" si="75"/>
        <v>4.6531078619836325E-2</v>
      </c>
    </row>
    <row r="98" spans="1:99" x14ac:dyDescent="0.25">
      <c r="A98" s="20">
        <v>45076</v>
      </c>
      <c r="B98" s="21">
        <v>40</v>
      </c>
      <c r="C98" s="22" t="str" cm="1">
        <f t="array" ref="C98">IF(B98="","",INDEX('Exercise list'!$C$5:$C$102,B98))</f>
        <v>Calf presses</v>
      </c>
      <c r="D98" s="17">
        <f t="shared" si="52"/>
        <v>-1</v>
      </c>
      <c r="E98" s="33">
        <f t="shared" si="53"/>
        <v>0.59070680269259856</v>
      </c>
      <c r="F98" s="65" cm="1">
        <f t="array" ref="F98">IF(B98="","",0.1+IFERROR(INDEX($F$6:$F97,SUMPRODUCT(MAX(ROW($C$6:$C97)*($C98=$C$6:$C97))-ROW($A$5)))*0.9^($A98-INDEX($A$6:A97,SUMPRODUCT(MAX(ROW($C$6:$C97)*($C98=$C$6:$C97))-ROW($A$5)))),0))</f>
        <v>0.1293378743441877</v>
      </c>
      <c r="G98" s="25">
        <f>INDEX('Exercise list'!$Y$5:$Y$102,MATCH(C98,'Exercise list'!$C$5:$C$102,0))</f>
        <v>1</v>
      </c>
      <c r="H98" s="116">
        <f t="shared" si="54"/>
        <v>6.2521535314293789E-2</v>
      </c>
      <c r="I98" s="18">
        <f t="shared" si="55"/>
        <v>4</v>
      </c>
      <c r="J98" s="18" cm="1">
        <f t="array" ref="J98">IF(B98="","",INDEX('Exercise list'!$D$5:$D$102,B98))</f>
        <v>0</v>
      </c>
      <c r="K98" s="17">
        <v>39</v>
      </c>
      <c r="L98" s="51" t="str" cm="1">
        <f t="array" ref="L98">IF(K98="","",INDEX('Exercise list'!$C$5:$C$102,K98))</f>
        <v>Cable hip adductions</v>
      </c>
      <c r="M98" s="18">
        <v>38</v>
      </c>
      <c r="N98" s="76" t="str" cm="1">
        <f t="array" ref="N98">IF(M98="","",INDEX('Exercise list'!$C$5:$C$102,M98))</f>
        <v>Cable hip abductions</v>
      </c>
      <c r="O98" s="19"/>
      <c r="P98" s="19">
        <f>IFERROR(INDEX('Exercise list'!$E$5:$X$102,MATCH($C98,'Exercise list'!$C$5:$C$102,0),MATCH(P$5,'Exercise list'!$E$4:$X$4,0)),0)</f>
        <v>0</v>
      </c>
      <c r="Q98" s="19">
        <f>IFERROR(INDEX('Exercise list'!$E$5:$X$102,MATCH($C98,'Exercise list'!$C$5:$C$102,0),MATCH(Q$5,'Exercise list'!$E$4:$X$4,0)),0)</f>
        <v>0</v>
      </c>
      <c r="R98" s="19">
        <f>IFERROR(INDEX('Exercise list'!$E$5:$X$102,MATCH($C98,'Exercise list'!$C$5:$C$102,0),MATCH(R$5,'Exercise list'!$E$4:$X$4,0)),0)</f>
        <v>0</v>
      </c>
      <c r="S98" s="19">
        <f>IFERROR(INDEX('Exercise list'!$E$5:$X$102,MATCH($C98,'Exercise list'!$C$5:$C$102,0),MATCH(S$5,'Exercise list'!$E$4:$X$4,0)),0)</f>
        <v>0</v>
      </c>
      <c r="T98" s="19">
        <f>IFERROR(INDEX('Exercise list'!$E$5:$X$102,MATCH($C98,'Exercise list'!$C$5:$C$102,0),MATCH(T$5,'Exercise list'!$E$4:$X$4,0)),0)</f>
        <v>0</v>
      </c>
      <c r="U98" s="19">
        <f>IFERROR(INDEX('Exercise list'!$E$5:$X$102,MATCH($C98,'Exercise list'!$C$5:$C$102,0),MATCH(U$5,'Exercise list'!$E$4:$X$4,0)),0)</f>
        <v>0</v>
      </c>
      <c r="V98" s="19">
        <f>IFERROR(INDEX('Exercise list'!$E$5:$X$102,MATCH($C98,'Exercise list'!$C$5:$C$102,0),MATCH(V$5,'Exercise list'!$E$4:$X$4,0)),0)</f>
        <v>0</v>
      </c>
      <c r="W98" s="19">
        <f>IFERROR(INDEX('Exercise list'!$E$5:$X$102,MATCH($C98,'Exercise list'!$C$5:$C$102,0),MATCH(W$5,'Exercise list'!$E$4:$X$4,0)),0)</f>
        <v>0</v>
      </c>
      <c r="X98" s="19">
        <f>IFERROR(INDEX('Exercise list'!$E$5:$X$102,MATCH($C98,'Exercise list'!$C$5:$C$102,0),MATCH(X$5,'Exercise list'!$E$4:$X$4,0)),0)</f>
        <v>0</v>
      </c>
      <c r="Y98" s="19">
        <f>IFERROR(INDEX('Exercise list'!$E$5:$X$102,MATCH($C98,'Exercise list'!$C$5:$C$102,0),MATCH(Y$5,'Exercise list'!$E$4:$X$4,0)),0)</f>
        <v>0</v>
      </c>
      <c r="Z98" s="19">
        <f>IFERROR(INDEX('Exercise list'!$E$5:$X$102,MATCH($C98,'Exercise list'!$C$5:$C$102,0),MATCH(Z$5,'Exercise list'!$E$4:$X$4,0)),0)</f>
        <v>0</v>
      </c>
      <c r="AA98" s="19">
        <f>IFERROR(INDEX('Exercise list'!$E$5:$X$102,MATCH($C98,'Exercise list'!$C$5:$C$102,0),MATCH(AA$5,'Exercise list'!$E$4:$X$4,0)),0)</f>
        <v>0</v>
      </c>
      <c r="AB98" s="19">
        <f>IFERROR(INDEX('Exercise list'!$E$5:$X$102,MATCH($C98,'Exercise list'!$C$5:$C$102,0),MATCH(AB$5,'Exercise list'!$E$4:$X$4,0)),0)</f>
        <v>0</v>
      </c>
      <c r="AC98" s="19">
        <f>IFERROR(INDEX('Exercise list'!$E$5:$X$102,MATCH($C98,'Exercise list'!$C$5:$C$102,0),MATCH(AC$5,'Exercise list'!$E$4:$X$4,0)),0)</f>
        <v>0</v>
      </c>
      <c r="AD98" s="19">
        <f>IFERROR(INDEX('Exercise list'!$E$5:$X$102,MATCH($C98,'Exercise list'!$C$5:$C$102,0),MATCH(AD$5,'Exercise list'!$E$4:$X$4,0)),0)</f>
        <v>0</v>
      </c>
      <c r="AE98" s="19">
        <f>IFERROR(INDEX('Exercise list'!$E$5:$X$102,MATCH($C98,'Exercise list'!$C$5:$C$102,0),MATCH(AE$5,'Exercise list'!$E$4:$X$4,0)),0)</f>
        <v>0</v>
      </c>
      <c r="AF98" s="19">
        <f>IFERROR(INDEX('Exercise list'!$E$5:$X$102,MATCH($C98,'Exercise list'!$C$5:$C$102,0),MATCH(AF$5,'Exercise list'!$E$4:$X$4,0)),0)</f>
        <v>0</v>
      </c>
      <c r="AG98" s="19">
        <f>IFERROR(INDEX('Exercise list'!$E$5:$X$102,MATCH($C98,'Exercise list'!$C$5:$C$102,0),MATCH(AG$5,'Exercise list'!$E$4:$X$4,0)),0)</f>
        <v>1</v>
      </c>
      <c r="AH98" s="19">
        <f>IFERROR(INDEX('Exercise list'!$E$5:$X$102,MATCH($C98,'Exercise list'!$C$5:$C$102,0),MATCH(AH$5,'Exercise list'!$E$4:$X$4,0)),0)</f>
        <v>0</v>
      </c>
      <c r="AI98" s="19">
        <f>IFERROR(INDEX('Exercise list'!$E$5:$X$102,MATCH($C98,'Exercise list'!$C$5:$C$102,0),MATCH(AI$5,'Exercise list'!$E$4:$X$4,0)),0)</f>
        <v>0</v>
      </c>
      <c r="AJ98" s="19"/>
      <c r="AK98" s="19">
        <f>IF(OR($J98=1,COUNTIFS($A$5:$A97,"&gt;="&amp;$A98-1,$A$5:$A97,"&lt;="&amp;$A98,$B$5:$B97,$B98)&gt;0,MIN(1-'Exercise list'!E$2,IF($A98=$A97,AK97,1))-P98&lt;0),-1,MIN(1,IF($A98=$A97,AK97,1)-P98+$D$2))</f>
        <v>-1</v>
      </c>
      <c r="AL98" s="19">
        <f>IF(OR($J98=1,COUNTIFS($A$5:$A97,"&gt;="&amp;$A98-1,$A$5:$A97,"&lt;="&amp;$A98,$B$5:$B97,$B98)&gt;0,MIN(1-'Exercise list'!F$2,IF($A98=$A97,AL97,1))-Q98&lt;0),-1,MIN(1,IF($A98=$A97,AL97,1)-Q98+$D$2))</f>
        <v>-1</v>
      </c>
      <c r="AM98" s="19">
        <f>IF(OR($J98=1,COUNTIFS($A$5:$A97,"&gt;="&amp;$A98-1,$A$5:$A97,"&lt;="&amp;$A98,$B$5:$B97,$B98)&gt;0,MIN(1-'Exercise list'!G$2,IF($A98=$A97,AM97,1))-R98&lt;0),-1,MIN(1,IF($A98=$A97,AM97,1)-R98+$D$2))</f>
        <v>-1</v>
      </c>
      <c r="AN98" s="19">
        <f>IF(OR($J98=1,COUNTIFS($A$5:$A97,"&gt;="&amp;$A98-1,$A$5:$A97,"&lt;="&amp;$A98,$B$5:$B97,$B98)&gt;0,MIN(1-'Exercise list'!H$2,IF($A98=$A97,AN97,1))-S98&lt;0),-1,MIN(1,IF($A98=$A97,AN97,1)-S98+$D$2))</f>
        <v>-1</v>
      </c>
      <c r="AO98" s="19">
        <f>IF(OR($J98=1,COUNTIFS($A$5:$A97,"&gt;="&amp;$A98-1,$A$5:$A97,"&lt;="&amp;$A98,$B$5:$B97,$B98)&gt;0,MIN(1-'Exercise list'!I$2,IF($A98=$A97,AO97,1))-T98&lt;0),-1,MIN(1,IF($A98=$A97,AO97,1)-T98+$D$2))</f>
        <v>-1</v>
      </c>
      <c r="AP98" s="19">
        <f>IF(OR($J98=1,COUNTIFS($A$5:$A97,"&gt;="&amp;$A98-1,$A$5:$A97,"&lt;="&amp;$A98,$B$5:$B97,$B98)&gt;0,MIN(1-'Exercise list'!J$2,IF($A98=$A97,AP97,1))-U98&lt;0),-1,MIN(1,IF($A98=$A97,AP97,1)-U98+$D$2))</f>
        <v>-1</v>
      </c>
      <c r="AQ98" s="19">
        <f>IF(OR($J98=1,COUNTIFS($A$5:$A97,"&gt;="&amp;$A98-1,$A$5:$A97,"&lt;="&amp;$A98,$B$5:$B97,$B98)&gt;0,MIN(1-'Exercise list'!K$2,IF($A98=$A97,AQ97,1))-V98&lt;0),-1,MIN(1,IF($A98=$A97,AQ97,1)-V98+$D$2))</f>
        <v>-1</v>
      </c>
      <c r="AR98" s="19">
        <f>IF(OR($J98=1,COUNTIFS($A$5:$A97,"&gt;="&amp;$A98-1,$A$5:$A97,"&lt;="&amp;$A98,$B$5:$B97,$B98)&gt;0,MIN(1-'Exercise list'!L$2,IF($A98=$A97,AR97,1))-W98&lt;0),-1,MIN(1,IF($A98=$A97,AR97,1)-W98+$D$2))</f>
        <v>-1</v>
      </c>
      <c r="AS98" s="19">
        <f>IF(OR($J98=1,COUNTIFS($A$5:$A97,"&gt;="&amp;$A98-1,$A$5:$A97,"&lt;="&amp;$A98,$B$5:$B97,$B98)&gt;0,MIN(1-'Exercise list'!M$2,IF($A98=$A97,AS97,1))-X98&lt;0),-1,MIN(1,IF($A98=$A97,AS97,1)-X98+$D$2))</f>
        <v>-1</v>
      </c>
      <c r="AT98" s="19">
        <f>IF(OR($J98=1,COUNTIFS($A$5:$A97,"&gt;="&amp;$A98-1,$A$5:$A97,"&lt;="&amp;$A98,$B$5:$B97,$B98)&gt;0,MIN(1-'Exercise list'!N$2,IF($A98=$A97,AT97,1))-Y98&lt;0),-1,MIN(1,IF($A98=$A97,AT97,1)-Y98+$D$2))</f>
        <v>-1</v>
      </c>
      <c r="AU98" s="19">
        <f>IF(OR($J98=1,COUNTIFS($A$5:$A97,"&gt;="&amp;$A98-1,$A$5:$A97,"&lt;="&amp;$A98,$B$5:$B97,$B98)&gt;0,MIN(1-'Exercise list'!O$2,IF($A98=$A97,AU97,1))-Z98&lt;0),-1,MIN(1,IF($A98=$A97,AU97,1)-Z98+$D$2))</f>
        <v>-1</v>
      </c>
      <c r="AV98" s="19">
        <f>IF(OR($J98=1,COUNTIFS($A$5:$A97,"&gt;="&amp;$A98-1,$A$5:$A97,"&lt;="&amp;$A98,$B$5:$B97,$B98)&gt;0,MIN(1-'Exercise list'!P$2,IF($A98=$A97,AV97,1))-AA98&lt;0),-1,MIN(1,IF($A98=$A97,AV97,1)-AA98+$D$2))</f>
        <v>-1</v>
      </c>
      <c r="AW98" s="19">
        <f>IF(OR($J98=1,COUNTIFS($A$5:$A97,"&gt;="&amp;$A98-1,$A$5:$A97,"&lt;="&amp;$A98,$B$5:$B97,$B98)&gt;0,MIN(1-'Exercise list'!Q$2,IF($A98=$A97,AW97,1))-AB98&lt;0),-1,MIN(1,IF($A98=$A97,AW97,1)-AB98+$D$2))</f>
        <v>-1</v>
      </c>
      <c r="AX98" s="19">
        <f>IF(OR($J98=1,COUNTIFS($A$5:$A97,"&gt;="&amp;$A98-1,$A$5:$A97,"&lt;="&amp;$A98,$B$5:$B97,$B98)&gt;0,MIN(1-'Exercise list'!R$2,IF($A98=$A97,AX97,1))-AC98&lt;0),-1,MIN(1,IF($A98=$A97,AX97,1)-AC98+$D$2))</f>
        <v>-1</v>
      </c>
      <c r="AY98" s="19">
        <f>IF(OR($J98=1,COUNTIFS($A$5:$A97,"&gt;="&amp;$A98-1,$A$5:$A97,"&lt;="&amp;$A98,$B$5:$B97,$B98)&gt;0,MIN(1-'Exercise list'!S$2,IF($A98=$A97,AY97,1))-AD98&lt;0),-1,MIN(1,IF($A98=$A97,AY97,1)-AD98+$D$2))</f>
        <v>-1</v>
      </c>
      <c r="AZ98" s="19">
        <f>IF(OR($J98=1,COUNTIFS($A$5:$A97,"&gt;="&amp;$A98-1,$A$5:$A97,"&lt;="&amp;$A98,$B$5:$B97,$B98)&gt;0,MIN(1-'Exercise list'!T$2,IF($A98=$A97,AZ97,1))-AE98&lt;0),-1,MIN(1,IF($A98=$A97,AZ97,1)-AE98+$D$2))</f>
        <v>-1</v>
      </c>
      <c r="BA98" s="19">
        <f>IF(OR($J98=1,COUNTIFS($A$5:$A97,"&gt;="&amp;$A98-1,$A$5:$A97,"&lt;="&amp;$A98,$B$5:$B97,$B98)&gt;0,MIN(1-'Exercise list'!U$2,IF($A98=$A97,BA97,1))-AF98&lt;0),-1,MIN(1,IF($A98=$A97,BA97,1)-AF98+$D$2))</f>
        <v>-1</v>
      </c>
      <c r="BB98" s="19">
        <f>IF(OR($J98=1,COUNTIFS($A$5:$A97,"&gt;="&amp;$A98-1,$A$5:$A97,"&lt;="&amp;$A98,$B$5:$B97,$B98)&gt;0,MIN(1-'Exercise list'!V$2,IF($A98=$A97,BB97,1))-AG98&lt;0),-1,MIN(1,IF($A98=$A97,BB97,1)-AG98+$D$2))</f>
        <v>-1</v>
      </c>
      <c r="BC98" s="19">
        <f>IF(OR($J98=1,COUNTIFS($A$5:$A97,"&gt;="&amp;$A98-1,$A$5:$A97,"&lt;="&amp;$A98,$B$5:$B97,$B98)&gt;0,MIN(1-'Exercise list'!W$2,IF($A98=$A97,BC97,1))-AH98&lt;0),-1,MIN(1,IF($A98=$A97,BC97,1)-AH98+$D$2))</f>
        <v>-1</v>
      </c>
      <c r="BD98" s="19">
        <f>IF(OR($J98=1,COUNTIFS($A$5:$A97,"&gt;="&amp;$A98-1,$A$5:$A97,"&lt;="&amp;$A98,$B$5:$B97,$B98)&gt;0,MIN(1-'Exercise list'!X$2,IF($A98=$A97,BD97,1))-AI98&lt;0),-1,MIN(1,IF($A98=$A97,BD97,1)-AI98+$D$2))</f>
        <v>-1</v>
      </c>
      <c r="BE98" s="19"/>
      <c r="BF98" s="23">
        <f t="shared" si="96"/>
        <v>0.12264540391989671</v>
      </c>
      <c r="BG98" s="23">
        <f t="shared" si="77"/>
        <v>0.16672929234561681</v>
      </c>
      <c r="BH98" s="23">
        <f t="shared" si="78"/>
        <v>0.13403043636982706</v>
      </c>
      <c r="BI98" s="23">
        <f t="shared" si="79"/>
        <v>0.17026376700042711</v>
      </c>
      <c r="BJ98" s="23">
        <f t="shared" si="80"/>
        <v>0.167133592942662</v>
      </c>
      <c r="BK98" s="23">
        <f t="shared" si="81"/>
        <v>0.12989161505027194</v>
      </c>
      <c r="BL98" s="23">
        <f t="shared" si="82"/>
        <v>0.18176375616231297</v>
      </c>
      <c r="BM98" s="23">
        <f t="shared" si="83"/>
        <v>5.6144029060015525E-2</v>
      </c>
      <c r="BN98" s="23">
        <f t="shared" si="84"/>
        <v>9.616497383748053E-2</v>
      </c>
      <c r="BO98" s="23">
        <f t="shared" si="85"/>
        <v>0.18453823246766374</v>
      </c>
      <c r="BP98" s="23">
        <f t="shared" si="86"/>
        <v>0.2682313785378922</v>
      </c>
      <c r="BQ98" s="23">
        <f t="shared" si="87"/>
        <v>4.7411280478263679E-2</v>
      </c>
      <c r="BR98" s="23">
        <f t="shared" si="88"/>
        <v>0.14307853692669401</v>
      </c>
      <c r="BS98" s="23">
        <f t="shared" si="89"/>
        <v>2.9210781083087878E-2</v>
      </c>
      <c r="BT98" s="23">
        <f t="shared" si="90"/>
        <v>0.19119526180028337</v>
      </c>
      <c r="BU98" s="23">
        <f t="shared" si="91"/>
        <v>0.21016024483369178</v>
      </c>
      <c r="BV98" s="23">
        <f t="shared" si="92"/>
        <v>0.25817246827437651</v>
      </c>
      <c r="BW98" s="23">
        <f t="shared" si="93"/>
        <v>0.14670681138226324</v>
      </c>
      <c r="BX98" s="23">
        <f t="shared" si="94"/>
        <v>0.10469470579454923</v>
      </c>
      <c r="BY98" s="23">
        <f t="shared" si="95"/>
        <v>6.0178630833402906E-2</v>
      </c>
      <c r="BZ98" s="19"/>
      <c r="CA98" s="23">
        <f t="shared" si="56"/>
        <v>8.9824610828301774E-2</v>
      </c>
      <c r="CB98" s="23">
        <f t="shared" si="57"/>
        <v>4.5740722402581674E-2</v>
      </c>
      <c r="CC98" s="23">
        <f t="shared" si="58"/>
        <v>0</v>
      </c>
      <c r="CD98" s="23">
        <f t="shared" si="59"/>
        <v>0</v>
      </c>
      <c r="CE98" s="23">
        <f t="shared" si="60"/>
        <v>0</v>
      </c>
      <c r="CF98" s="23">
        <f t="shared" si="61"/>
        <v>0.18881340707202579</v>
      </c>
      <c r="CG98" s="23">
        <f t="shared" si="62"/>
        <v>0</v>
      </c>
      <c r="CH98" s="23">
        <f t="shared" si="63"/>
        <v>5.0090978314083719E-2</v>
      </c>
      <c r="CI98" s="23">
        <f t="shared" si="64"/>
        <v>0.11630504091071796</v>
      </c>
      <c r="CJ98" s="23">
        <f t="shared" si="65"/>
        <v>0</v>
      </c>
      <c r="CK98" s="23">
        <f t="shared" si="66"/>
        <v>0</v>
      </c>
      <c r="CL98" s="23">
        <f t="shared" si="67"/>
        <v>5.8823726895835565E-2</v>
      </c>
      <c r="CM98" s="23">
        <f t="shared" si="68"/>
        <v>6.9391477821504483E-2</v>
      </c>
      <c r="CN98" s="23">
        <f t="shared" si="69"/>
        <v>7.7024226291011369E-2</v>
      </c>
      <c r="CO98" s="23">
        <f t="shared" si="70"/>
        <v>0</v>
      </c>
      <c r="CP98" s="23">
        <f t="shared" si="71"/>
        <v>0</v>
      </c>
      <c r="CQ98" s="23">
        <f t="shared" si="72"/>
        <v>0</v>
      </c>
      <c r="CR98" s="23">
        <f t="shared" si="73"/>
        <v>0</v>
      </c>
      <c r="CS98" s="23">
        <f t="shared" si="74"/>
        <v>1.540301579550013E-3</v>
      </c>
      <c r="CT98" s="23">
        <f t="shared" si="75"/>
        <v>4.6056376540696338E-2</v>
      </c>
      <c r="CU98" s="19"/>
    </row>
    <row r="99" spans="1:99" x14ac:dyDescent="0.25">
      <c r="A99" s="13">
        <v>45078</v>
      </c>
      <c r="B99" s="14">
        <v>8</v>
      </c>
      <c r="C99" s="15" t="str" cm="1">
        <f t="array" ref="C99">IF(B99="","",INDEX('Exercise list'!$C$5:$C$102,B99))</f>
        <v>Barbell deadlifts</v>
      </c>
      <c r="D99" s="12">
        <f t="shared" ref="D99:D162" si="97">IF(C99="","",MIN(AK99:BD99))</f>
        <v>1</v>
      </c>
      <c r="E99" s="107">
        <f>IF(C99="","",IFERROR(
(1+9*(F99-$F$3)/($F$4-$F$3))^$F$2*
IF(B99&lt;=5,1,
(1+9*(G99-$G$3)/($G$4-$G$3))^$G$2*
(1+9*(H99-$H$3)/($H$4-$H$3))^$H$2),
0))</f>
        <v>0</v>
      </c>
      <c r="F99" s="63" cm="1">
        <f t="array" ref="F99">IF(B99="","",0.1+IFERROR(INDEX($F$6:$F98,SUMPRODUCT(MAX(ROW($C$6:$C98)*($C99=$C$6:$C98))-ROW($A$5)))*0.9^($A99-INDEX($A$6:A98,SUMPRODUCT(MAX(ROW($C$6:$C98)*($C99=$C$6:$C98))-ROW($A$5)))),0))</f>
        <v>0.20180127913638632</v>
      </c>
      <c r="G99" s="64">
        <f>INDEX('Exercise list'!$Y$5:$Y$102,MATCH(C99,'Exercise list'!$C$5:$C$102,0))</f>
        <v>3</v>
      </c>
      <c r="H99" s="115">
        <f t="shared" ref="H99:H162" si="98">SQRT(SUMPRODUCT(CA99:CT99,CA99:CT99)/20)</f>
        <v>6.8457655004306714E-2</v>
      </c>
      <c r="I99" s="6">
        <f t="shared" ref="I99:I162" si="99">IF(A99&gt;A98,1,IF(A99&gt;A97,2,IF(A99&gt;A96,3,IF(A99&gt;A95,4,5))))</f>
        <v>1</v>
      </c>
      <c r="J99" s="6" cm="1">
        <f t="array" ref="J99">IF(B99="","",INDEX('Exercise list'!$D$5:$D$102,B99))</f>
        <v>0</v>
      </c>
      <c r="K99" s="12">
        <v>7</v>
      </c>
      <c r="L99" s="74" t="str" cm="1">
        <f t="array" ref="L99">IF(K99="","",INDEX('Exercise list'!$C$5:$C$102,K99))</f>
        <v>Barbell bent-over rows</v>
      </c>
      <c r="M99" s="6">
        <v>14</v>
      </c>
      <c r="N99" s="75" t="str" cm="1">
        <f t="array" ref="N99">IF(M99="","",INDEX('Exercise list'!$C$5:$C$102,M99))</f>
        <v>Machine seated rows</v>
      </c>
      <c r="P99">
        <f>IFERROR(INDEX('Exercise list'!$E$5:$X$102,MATCH($C99,'Exercise list'!$C$5:$C$102,0),MATCH(P$5,'Exercise list'!$E$4:$X$4,0)),0)</f>
        <v>0</v>
      </c>
      <c r="Q99">
        <f>IFERROR(INDEX('Exercise list'!$E$5:$X$102,MATCH($C99,'Exercise list'!$C$5:$C$102,0),MATCH(Q$5,'Exercise list'!$E$4:$X$4,0)),0)</f>
        <v>0</v>
      </c>
      <c r="R99">
        <f>IFERROR(INDEX('Exercise list'!$E$5:$X$102,MATCH($C99,'Exercise list'!$C$5:$C$102,0),MATCH(R$5,'Exercise list'!$E$4:$X$4,0)),0)</f>
        <v>0</v>
      </c>
      <c r="S99">
        <f>IFERROR(INDEX('Exercise list'!$E$5:$X$102,MATCH($C99,'Exercise list'!$C$5:$C$102,0),MATCH(S$5,'Exercise list'!$E$4:$X$4,0)),0)</f>
        <v>0</v>
      </c>
      <c r="T99">
        <f>IFERROR(INDEX('Exercise list'!$E$5:$X$102,MATCH($C99,'Exercise list'!$C$5:$C$102,0),MATCH(T$5,'Exercise list'!$E$4:$X$4,0)),0)</f>
        <v>1</v>
      </c>
      <c r="U99">
        <f>IFERROR(INDEX('Exercise list'!$E$5:$X$102,MATCH($C99,'Exercise list'!$C$5:$C$102,0),MATCH(U$5,'Exercise list'!$E$4:$X$4,0)),0)</f>
        <v>0</v>
      </c>
      <c r="V99">
        <f>IFERROR(INDEX('Exercise list'!$E$5:$X$102,MATCH($C99,'Exercise list'!$C$5:$C$102,0),MATCH(V$5,'Exercise list'!$E$4:$X$4,0)),0)</f>
        <v>0</v>
      </c>
      <c r="W99">
        <f>IFERROR(INDEX('Exercise list'!$E$5:$X$102,MATCH($C99,'Exercise list'!$C$5:$C$102,0),MATCH(W$5,'Exercise list'!$E$4:$X$4,0)),0)</f>
        <v>0</v>
      </c>
      <c r="X99">
        <f>IFERROR(INDEX('Exercise list'!$E$5:$X$102,MATCH($C99,'Exercise list'!$C$5:$C$102,0),MATCH(X$5,'Exercise list'!$E$4:$X$4,0)),0)</f>
        <v>0</v>
      </c>
      <c r="Y99">
        <f>IFERROR(INDEX('Exercise list'!$E$5:$X$102,MATCH($C99,'Exercise list'!$C$5:$C$102,0),MATCH(Y$5,'Exercise list'!$E$4:$X$4,0)),0)</f>
        <v>0</v>
      </c>
      <c r="Z99">
        <f>IFERROR(INDEX('Exercise list'!$E$5:$X$102,MATCH($C99,'Exercise list'!$C$5:$C$102,0),MATCH(Z$5,'Exercise list'!$E$4:$X$4,0)),0)</f>
        <v>1</v>
      </c>
      <c r="AA99">
        <f>IFERROR(INDEX('Exercise list'!$E$5:$X$102,MATCH($C99,'Exercise list'!$C$5:$C$102,0),MATCH(AA$5,'Exercise list'!$E$4:$X$4,0)),0)</f>
        <v>0</v>
      </c>
      <c r="AB99">
        <f>IFERROR(INDEX('Exercise list'!$E$5:$X$102,MATCH($C99,'Exercise list'!$C$5:$C$102,0),MATCH(AB$5,'Exercise list'!$E$4:$X$4,0)),0)</f>
        <v>0.5</v>
      </c>
      <c r="AC99">
        <f>IFERROR(INDEX('Exercise list'!$E$5:$X$102,MATCH($C99,'Exercise list'!$C$5:$C$102,0),MATCH(AC$5,'Exercise list'!$E$4:$X$4,0)),0)</f>
        <v>0</v>
      </c>
      <c r="AD99">
        <f>IFERROR(INDEX('Exercise list'!$E$5:$X$102,MATCH($C99,'Exercise list'!$C$5:$C$102,0),MATCH(AD$5,'Exercise list'!$E$4:$X$4,0)),0)</f>
        <v>0.6</v>
      </c>
      <c r="AE99">
        <f>IFERROR(INDEX('Exercise list'!$E$5:$X$102,MATCH($C99,'Exercise list'!$C$5:$C$102,0),MATCH(AE$5,'Exercise list'!$E$4:$X$4,0)),0)</f>
        <v>0.7</v>
      </c>
      <c r="AF99">
        <f>IFERROR(INDEX('Exercise list'!$E$5:$X$102,MATCH($C99,'Exercise list'!$C$5:$C$102,0),MATCH(AF$5,'Exercise list'!$E$4:$X$4,0)),0)</f>
        <v>1</v>
      </c>
      <c r="AG99">
        <f>IFERROR(INDEX('Exercise list'!$E$5:$X$102,MATCH($C99,'Exercise list'!$C$5:$C$102,0),MATCH(AG$5,'Exercise list'!$E$4:$X$4,0)),0)</f>
        <v>0</v>
      </c>
      <c r="AH99">
        <f>IFERROR(INDEX('Exercise list'!$E$5:$X$102,MATCH($C99,'Exercise list'!$C$5:$C$102,0),MATCH(AH$5,'Exercise list'!$E$4:$X$4,0)),0)</f>
        <v>0</v>
      </c>
      <c r="AI99">
        <f>IFERROR(INDEX('Exercise list'!$E$5:$X$102,MATCH($C99,'Exercise list'!$C$5:$C$102,0),MATCH(AI$5,'Exercise list'!$E$4:$X$4,0)),0)</f>
        <v>0</v>
      </c>
      <c r="AK99">
        <f>IF(OR($J99=1,COUNTIFS($A$5:$A98,"&gt;="&amp;$A99-1,$A$5:$A98,"&lt;="&amp;$A99,$B$5:$B98,$B99)&gt;0,MIN(1-'Exercise list'!E$2,IF($A99=$A98,AK98,1))-P99&lt;0),-1,MIN(1,IF($A99=$A98,AK98,1)-P99+$D$2))</f>
        <v>1</v>
      </c>
      <c r="AL99">
        <f>IF(OR($J99=1,COUNTIFS($A$5:$A98,"&gt;="&amp;$A99-1,$A$5:$A98,"&lt;="&amp;$A99,$B$5:$B98,$B99)&gt;0,MIN(1-'Exercise list'!F$2,IF($A99=$A98,AL98,1))-Q99&lt;0),-1,MIN(1,IF($A99=$A98,AL98,1)-Q99+$D$2))</f>
        <v>1</v>
      </c>
      <c r="AM99">
        <f>IF(OR($J99=1,COUNTIFS($A$5:$A98,"&gt;="&amp;$A99-1,$A$5:$A98,"&lt;="&amp;$A99,$B$5:$B98,$B99)&gt;0,MIN(1-'Exercise list'!G$2,IF($A99=$A98,AM98,1))-R99&lt;0),-1,MIN(1,IF($A99=$A98,AM98,1)-R99+$D$2))</f>
        <v>1</v>
      </c>
      <c r="AN99">
        <f>IF(OR($J99=1,COUNTIFS($A$5:$A98,"&gt;="&amp;$A99-1,$A$5:$A98,"&lt;="&amp;$A99,$B$5:$B98,$B99)&gt;0,MIN(1-'Exercise list'!H$2,IF($A99=$A98,AN98,1))-S99&lt;0),-1,MIN(1,IF($A99=$A98,AN98,1)-S99+$D$2))</f>
        <v>1</v>
      </c>
      <c r="AO99">
        <f>IF(OR($J99=1,COUNTIFS($A$5:$A98,"&gt;="&amp;$A99-1,$A$5:$A98,"&lt;="&amp;$A99,$B$5:$B98,$B99)&gt;0,MIN(1-'Exercise list'!I$2,IF($A99=$A98,AO98,1))-T99&lt;0),-1,MIN(1,IF($A99=$A98,AO98,1)-T99+$D$2))</f>
        <v>1</v>
      </c>
      <c r="AP99">
        <f>IF(OR($J99=1,COUNTIFS($A$5:$A98,"&gt;="&amp;$A99-1,$A$5:$A98,"&lt;="&amp;$A99,$B$5:$B98,$B99)&gt;0,MIN(1-'Exercise list'!J$2,IF($A99=$A98,AP98,1))-U99&lt;0),-1,MIN(1,IF($A99=$A98,AP98,1)-U99+$D$2))</f>
        <v>1</v>
      </c>
      <c r="AQ99">
        <f>IF(OR($J99=1,COUNTIFS($A$5:$A98,"&gt;="&amp;$A99-1,$A$5:$A98,"&lt;="&amp;$A99,$B$5:$B98,$B99)&gt;0,MIN(1-'Exercise list'!K$2,IF($A99=$A98,AQ98,1))-V99&lt;0),-1,MIN(1,IF($A99=$A98,AQ98,1)-V99+$D$2))</f>
        <v>1</v>
      </c>
      <c r="AR99">
        <f>IF(OR($J99=1,COUNTIFS($A$5:$A98,"&gt;="&amp;$A99-1,$A$5:$A98,"&lt;="&amp;$A99,$B$5:$B98,$B99)&gt;0,MIN(1-'Exercise list'!L$2,IF($A99=$A98,AR98,1))-W99&lt;0),-1,MIN(1,IF($A99=$A98,AR98,1)-W99+$D$2))</f>
        <v>1</v>
      </c>
      <c r="AS99">
        <f>IF(OR($J99=1,COUNTIFS($A$5:$A98,"&gt;="&amp;$A99-1,$A$5:$A98,"&lt;="&amp;$A99,$B$5:$B98,$B99)&gt;0,MIN(1-'Exercise list'!M$2,IF($A99=$A98,AS98,1))-X99&lt;0),-1,MIN(1,IF($A99=$A98,AS98,1)-X99+$D$2))</f>
        <v>1</v>
      </c>
      <c r="AT99">
        <f>IF(OR($J99=1,COUNTIFS($A$5:$A98,"&gt;="&amp;$A99-1,$A$5:$A98,"&lt;="&amp;$A99,$B$5:$B98,$B99)&gt;0,MIN(1-'Exercise list'!N$2,IF($A99=$A98,AT98,1))-Y99&lt;0),-1,MIN(1,IF($A99=$A98,AT98,1)-Y99+$D$2))</f>
        <v>1</v>
      </c>
      <c r="AU99">
        <f>IF(OR($J99=1,COUNTIFS($A$5:$A98,"&gt;="&amp;$A99-1,$A$5:$A98,"&lt;="&amp;$A99,$B$5:$B98,$B99)&gt;0,MIN(1-'Exercise list'!O$2,IF($A99=$A98,AU98,1))-Z99&lt;0),-1,MIN(1,IF($A99=$A98,AU98,1)-Z99+$D$2))</f>
        <v>1</v>
      </c>
      <c r="AV99">
        <f>IF(OR($J99=1,COUNTIFS($A$5:$A98,"&gt;="&amp;$A99-1,$A$5:$A98,"&lt;="&amp;$A99,$B$5:$B98,$B99)&gt;0,MIN(1-'Exercise list'!P$2,IF($A99=$A98,AV98,1))-AA99&lt;0),-1,MIN(1,IF($A99=$A98,AV98,1)-AA99+$D$2))</f>
        <v>1</v>
      </c>
      <c r="AW99">
        <f>IF(OR($J99=1,COUNTIFS($A$5:$A98,"&gt;="&amp;$A99-1,$A$5:$A98,"&lt;="&amp;$A99,$B$5:$B98,$B99)&gt;0,MIN(1-'Exercise list'!Q$2,IF($A99=$A98,AW98,1))-AB99&lt;0),-1,MIN(1,IF($A99=$A98,AW98,1)-AB99+$D$2))</f>
        <v>1</v>
      </c>
      <c r="AX99">
        <f>IF(OR($J99=1,COUNTIFS($A$5:$A98,"&gt;="&amp;$A99-1,$A$5:$A98,"&lt;="&amp;$A99,$B$5:$B98,$B99)&gt;0,MIN(1-'Exercise list'!R$2,IF($A99=$A98,AX98,1))-AC99&lt;0),-1,MIN(1,IF($A99=$A98,AX98,1)-AC99+$D$2))</f>
        <v>1</v>
      </c>
      <c r="AY99">
        <f>IF(OR($J99=1,COUNTIFS($A$5:$A98,"&gt;="&amp;$A99-1,$A$5:$A98,"&lt;="&amp;$A99,$B$5:$B98,$B99)&gt;0,MIN(1-'Exercise list'!S$2,IF($A99=$A98,AY98,1))-AD99&lt;0),-1,MIN(1,IF($A99=$A98,AY98,1)-AD99+$D$2))</f>
        <v>1</v>
      </c>
      <c r="AZ99">
        <f>IF(OR($J99=1,COUNTIFS($A$5:$A98,"&gt;="&amp;$A99-1,$A$5:$A98,"&lt;="&amp;$A99,$B$5:$B98,$B99)&gt;0,MIN(1-'Exercise list'!T$2,IF($A99=$A98,AZ98,1))-AE99&lt;0),-1,MIN(1,IF($A99=$A98,AZ98,1)-AE99+$D$2))</f>
        <v>1</v>
      </c>
      <c r="BA99">
        <f>IF(OR($J99=1,COUNTIFS($A$5:$A98,"&gt;="&amp;$A99-1,$A$5:$A98,"&lt;="&amp;$A99,$B$5:$B98,$B99)&gt;0,MIN(1-'Exercise list'!U$2,IF($A99=$A98,BA98,1))-AF99&lt;0),-1,MIN(1,IF($A99=$A98,BA98,1)-AF99+$D$2))</f>
        <v>1</v>
      </c>
      <c r="BB99">
        <f>IF(OR($J99=1,COUNTIFS($A$5:$A98,"&gt;="&amp;$A99-1,$A$5:$A98,"&lt;="&amp;$A99,$B$5:$B98,$B99)&gt;0,MIN(1-'Exercise list'!V$2,IF($A99=$A98,BB98,1))-AG99&lt;0),-1,MIN(1,IF($A99=$A98,BB98,1)-AG99+$D$2))</f>
        <v>1</v>
      </c>
      <c r="BC99">
        <f>IF(OR($J99=1,COUNTIFS($A$5:$A98,"&gt;="&amp;$A99-1,$A$5:$A98,"&lt;="&amp;$A99,$B$5:$B98,$B99)&gt;0,MIN(1-'Exercise list'!W$2,IF($A99=$A98,BC98,1))-AH99&lt;0),-1,MIN(1,IF($A99=$A98,BC98,1)-AH99+$D$2))</f>
        <v>1</v>
      </c>
      <c r="BD99">
        <f>IF(OR($J99=1,COUNTIFS($A$5:$A98,"&gt;="&amp;$A99-1,$A$5:$A98,"&lt;="&amp;$A99,$B$5:$B98,$B99)&gt;0,MIN(1-'Exercise list'!X$2,IF($A99=$A98,BD98,1))-AI99&lt;0),-1,MIN(1,IF($A99=$A98,BD98,1)-AI99+$D$2))</f>
        <v>1</v>
      </c>
      <c r="BF99" s="16">
        <f t="shared" ref="BF99:BF162" si="100">IF($B99&lt;6,BF98,$AN$2*P99+(1-$AN$2)*BF98)</f>
        <v>0.11651313372390187</v>
      </c>
      <c r="BG99" s="16">
        <f t="shared" ref="BG99:BG162" si="101">IF($B99&lt;6,BG98,$AN$2*Q99+(1-$AN$2)*BG98)</f>
        <v>0.15839282772833596</v>
      </c>
      <c r="BH99" s="16">
        <f t="shared" ref="BH99:BH162" si="102">IF($B99&lt;6,BH98,$AN$2*R99+(1-$AN$2)*BH98)</f>
        <v>0.12732891455133571</v>
      </c>
      <c r="BI99" s="16">
        <f t="shared" ref="BI99:BI162" si="103">IF($B99&lt;6,BI98,$AN$2*S99+(1-$AN$2)*BI98)</f>
        <v>0.16175057865040576</v>
      </c>
      <c r="BJ99" s="16">
        <f t="shared" ref="BJ99:BJ162" si="104">IF($B99&lt;6,BJ98,$AN$2*T99+(1-$AN$2)*BJ98)</f>
        <v>0.20877691329552889</v>
      </c>
      <c r="BK99" s="16">
        <f t="shared" ref="BK99:BK162" si="105">IF($B99&lt;6,BK98,$AN$2*U99+(1-$AN$2)*BK98)</f>
        <v>0.12339703429775833</v>
      </c>
      <c r="BL99" s="16">
        <f t="shared" ref="BL99:BL162" si="106">IF($B99&lt;6,BL98,$AN$2*V99+(1-$AN$2)*BL98)</f>
        <v>0.17267556835419731</v>
      </c>
      <c r="BM99" s="16">
        <f t="shared" ref="BM99:BM162" si="107">IF($B99&lt;6,BM98,$AN$2*W99+(1-$AN$2)*BM98)</f>
        <v>5.3336827607014747E-2</v>
      </c>
      <c r="BN99" s="16">
        <f t="shared" ref="BN99:BN162" si="108">IF($B99&lt;6,BN98,$AN$2*X99+(1-$AN$2)*BN98)</f>
        <v>9.1356725145606499E-2</v>
      </c>
      <c r="BO99" s="16">
        <f t="shared" ref="BO99:BO162" si="109">IF($B99&lt;6,BO98,$AN$2*Y99+(1-$AN$2)*BO98)</f>
        <v>0.17531132084428055</v>
      </c>
      <c r="BP99" s="16">
        <f t="shared" ref="BP99:BP162" si="110">IF($B99&lt;6,BP98,$AN$2*Z99+(1-$AN$2)*BP98)</f>
        <v>0.30481980961099758</v>
      </c>
      <c r="BQ99" s="16">
        <f t="shared" ref="BQ99:BQ162" si="111">IF($B99&lt;6,BQ98,$AN$2*AA99+(1-$AN$2)*BQ98)</f>
        <v>4.5040716454350489E-2</v>
      </c>
      <c r="BR99" s="16">
        <f t="shared" ref="BR99:BR162" si="112">IF($B99&lt;6,BR98,$AN$2*AB99+(1-$AN$2)*BR98)</f>
        <v>0.1609246100803593</v>
      </c>
      <c r="BS99" s="16">
        <f t="shared" ref="BS99:BS162" si="113">IF($B99&lt;6,BS98,$AN$2*AC99+(1-$AN$2)*BS98)</f>
        <v>2.7750242028933482E-2</v>
      </c>
      <c r="BT99" s="16">
        <f t="shared" ref="BT99:BT162" si="114">IF($B99&lt;6,BT98,$AN$2*AD99+(1-$AN$2)*BT98)</f>
        <v>0.21163549871026918</v>
      </c>
      <c r="BU99" s="16">
        <f t="shared" ref="BU99:BU162" si="115">IF($B99&lt;6,BU98,$AN$2*AE99+(1-$AN$2)*BU98)</f>
        <v>0.23465223259200718</v>
      </c>
      <c r="BV99" s="16">
        <f t="shared" ref="BV99:BV162" si="116">IF($B99&lt;6,BV98,$AN$2*AF99+(1-$AN$2)*BV98)</f>
        <v>0.29526384486065765</v>
      </c>
      <c r="BW99" s="16">
        <f t="shared" ref="BW99:BW162" si="117">IF($B99&lt;6,BW98,$AN$2*AG99+(1-$AN$2)*BW98)</f>
        <v>0.13937147081315007</v>
      </c>
      <c r="BX99" s="16">
        <f t="shared" ref="BX99:BX162" si="118">IF($B99&lt;6,BX98,$AN$2*AH99+(1-$AN$2)*BX98)</f>
        <v>9.9459970504821762E-2</v>
      </c>
      <c r="BY99" s="16">
        <f t="shared" ref="BY99:BY162" si="119">IF($B99&lt;6,BY98,$AN$2*AI99+(1-$AN$2)*BY98)</f>
        <v>5.716969929173276E-2</v>
      </c>
      <c r="CA99" s="16">
        <f t="shared" si="56"/>
        <v>0.10311115806466442</v>
      </c>
      <c r="CB99" s="16">
        <f t="shared" si="57"/>
        <v>6.1231464060230334E-2</v>
      </c>
      <c r="CC99" s="16">
        <f t="shared" si="58"/>
        <v>0</v>
      </c>
      <c r="CD99" s="16">
        <f t="shared" si="59"/>
        <v>0</v>
      </c>
      <c r="CE99" s="16">
        <f t="shared" si="60"/>
        <v>0</v>
      </c>
      <c r="CF99" s="16">
        <f t="shared" si="61"/>
        <v>0.20603940338509114</v>
      </c>
      <c r="CG99" s="16">
        <f t="shared" si="62"/>
        <v>0</v>
      </c>
      <c r="CH99" s="16">
        <f t="shared" si="63"/>
        <v>5.64753182872684E-2</v>
      </c>
      <c r="CI99" s="16">
        <f t="shared" si="64"/>
        <v>0.1282675666429598</v>
      </c>
      <c r="CJ99" s="16">
        <f t="shared" si="65"/>
        <v>0</v>
      </c>
      <c r="CK99" s="16">
        <f t="shared" si="66"/>
        <v>0</v>
      </c>
      <c r="CL99" s="16">
        <f t="shared" si="67"/>
        <v>6.4771429439932665E-2</v>
      </c>
      <c r="CM99" s="16">
        <f t="shared" si="68"/>
        <v>5.8699681708206997E-2</v>
      </c>
      <c r="CN99" s="16">
        <f t="shared" si="69"/>
        <v>8.2061903865349672E-2</v>
      </c>
      <c r="CO99" s="16">
        <f t="shared" si="70"/>
        <v>0</v>
      </c>
      <c r="CP99" s="16">
        <f t="shared" si="71"/>
        <v>0</v>
      </c>
      <c r="CQ99" s="16">
        <f t="shared" si="72"/>
        <v>0</v>
      </c>
      <c r="CR99" s="16">
        <f t="shared" si="73"/>
        <v>0</v>
      </c>
      <c r="CS99" s="16">
        <f t="shared" si="74"/>
        <v>1.0352175389461385E-2</v>
      </c>
      <c r="CT99" s="16">
        <f t="shared" si="75"/>
        <v>5.2642446602550387E-2</v>
      </c>
    </row>
    <row r="100" spans="1:99" x14ac:dyDescent="0.25">
      <c r="A100" s="13">
        <v>45078</v>
      </c>
      <c r="B100" s="14">
        <v>59</v>
      </c>
      <c r="C100" s="15" t="str" cm="1">
        <f t="array" ref="C100">IF(B100="","",INDEX('Exercise list'!$C$5:$C$102,B100))</f>
        <v>Triceps dips</v>
      </c>
      <c r="D100" s="12">
        <f t="shared" si="97"/>
        <v>1</v>
      </c>
      <c r="E100" s="107">
        <f t="shared" ref="E100:E163" si="120">IF(C100="","",IFERROR(
(1+9*(F100-$F$3)/($F$4-$F$3))^$F$2*
IF(B100&lt;=5,1,
(1+9*(G100-$G$3)/($G$4-$G$3))^$G$2*
(1+9*(H100-$H$3)/($H$4-$H$3))^$H$2),
0))</f>
        <v>0</v>
      </c>
      <c r="F100" s="63" cm="1">
        <f t="array" ref="F100">IF(B100="","",0.1+IFERROR(INDEX($F$6:$F99,SUMPRODUCT(MAX(ROW($C$6:$C99)*($C100=$C$6:$C99))-ROW($A$5)))*0.9^($A100-INDEX($A$6:A99,SUMPRODUCT(MAX(ROW($C$6:$C99)*($C100=$C$6:$C99))-ROW($A$5)))),0))</f>
        <v>0.14304672100000002</v>
      </c>
      <c r="G100" s="64">
        <f>INDEX('Exercise list'!$Y$5:$Y$102,MATCH(C100,'Exercise list'!$C$5:$C$102,0))</f>
        <v>2</v>
      </c>
      <c r="H100" s="115">
        <f t="shared" si="98"/>
        <v>6.6576049239407145E-2</v>
      </c>
      <c r="I100" s="6">
        <f t="shared" si="99"/>
        <v>2</v>
      </c>
      <c r="J100" s="6" cm="1">
        <f t="array" ref="J100">IF(B100="","",INDEX('Exercise list'!$D$5:$D$102,B100))</f>
        <v>0</v>
      </c>
      <c r="K100" s="12">
        <v>23</v>
      </c>
      <c r="L100" s="74" t="str" cm="1">
        <f t="array" ref="L100">IF(K100="","",INDEX('Exercise list'!$C$5:$C$102,K100))</f>
        <v>Barbell bench presses</v>
      </c>
      <c r="M100" s="6">
        <v>48</v>
      </c>
      <c r="N100" s="75" t="str" cm="1">
        <f t="array" ref="N100">IF(M100="","",INDEX('Exercise list'!$C$5:$C$102,M100))</f>
        <v>Barbell overhead presses</v>
      </c>
      <c r="P100">
        <f>IFERROR(INDEX('Exercise list'!$E$5:$X$102,MATCH($C100,'Exercise list'!$C$5:$C$102,0),MATCH(P$5,'Exercise list'!$E$4:$X$4,0)),0)</f>
        <v>0.5</v>
      </c>
      <c r="Q100">
        <f>IFERROR(INDEX('Exercise list'!$E$5:$X$102,MATCH($C100,'Exercise list'!$C$5:$C$102,0),MATCH(Q$5,'Exercise list'!$E$4:$X$4,0)),0)</f>
        <v>0</v>
      </c>
      <c r="R100">
        <f>IFERROR(INDEX('Exercise list'!$E$5:$X$102,MATCH($C100,'Exercise list'!$C$5:$C$102,0),MATCH(R$5,'Exercise list'!$E$4:$X$4,0)),0)</f>
        <v>0</v>
      </c>
      <c r="S100">
        <f>IFERROR(INDEX('Exercise list'!$E$5:$X$102,MATCH($C100,'Exercise list'!$C$5:$C$102,0),MATCH(S$5,'Exercise list'!$E$4:$X$4,0)),0)</f>
        <v>0</v>
      </c>
      <c r="T100">
        <f>IFERROR(INDEX('Exercise list'!$E$5:$X$102,MATCH($C100,'Exercise list'!$C$5:$C$102,0),MATCH(T$5,'Exercise list'!$E$4:$X$4,0)),0)</f>
        <v>0</v>
      </c>
      <c r="U100">
        <f>IFERROR(INDEX('Exercise list'!$E$5:$X$102,MATCH($C100,'Exercise list'!$C$5:$C$102,0),MATCH(U$5,'Exercise list'!$E$4:$X$4,0)),0)</f>
        <v>0</v>
      </c>
      <c r="V100">
        <f>IFERROR(INDEX('Exercise list'!$E$5:$X$102,MATCH($C100,'Exercise list'!$C$5:$C$102,0),MATCH(V$5,'Exercise list'!$E$4:$X$4,0)),0)</f>
        <v>0</v>
      </c>
      <c r="W100">
        <f>IFERROR(INDEX('Exercise list'!$E$5:$X$102,MATCH($C100,'Exercise list'!$C$5:$C$102,0),MATCH(W$5,'Exercise list'!$E$4:$X$4,0)),0)</f>
        <v>0</v>
      </c>
      <c r="X100">
        <f>IFERROR(INDEX('Exercise list'!$E$5:$X$102,MATCH($C100,'Exercise list'!$C$5:$C$102,0),MATCH(X$5,'Exercise list'!$E$4:$X$4,0)),0)</f>
        <v>0</v>
      </c>
      <c r="Y100">
        <f>IFERROR(INDEX('Exercise list'!$E$5:$X$102,MATCH($C100,'Exercise list'!$C$5:$C$102,0),MATCH(Y$5,'Exercise list'!$E$4:$X$4,0)),0)</f>
        <v>1</v>
      </c>
      <c r="Z100">
        <f>IFERROR(INDEX('Exercise list'!$E$5:$X$102,MATCH($C100,'Exercise list'!$C$5:$C$102,0),MATCH(Z$5,'Exercise list'!$E$4:$X$4,0)),0)</f>
        <v>0</v>
      </c>
      <c r="AA100">
        <f>IFERROR(INDEX('Exercise list'!$E$5:$X$102,MATCH($C100,'Exercise list'!$C$5:$C$102,0),MATCH(AA$5,'Exercise list'!$E$4:$X$4,0)),0)</f>
        <v>0</v>
      </c>
      <c r="AB100">
        <f>IFERROR(INDEX('Exercise list'!$E$5:$X$102,MATCH($C100,'Exercise list'!$C$5:$C$102,0),MATCH(AB$5,'Exercise list'!$E$4:$X$4,0)),0)</f>
        <v>0</v>
      </c>
      <c r="AC100">
        <f>IFERROR(INDEX('Exercise list'!$E$5:$X$102,MATCH($C100,'Exercise list'!$C$5:$C$102,0),MATCH(AC$5,'Exercise list'!$E$4:$X$4,0)),0)</f>
        <v>0</v>
      </c>
      <c r="AD100">
        <f>IFERROR(INDEX('Exercise list'!$E$5:$X$102,MATCH($C100,'Exercise list'!$C$5:$C$102,0),MATCH(AD$5,'Exercise list'!$E$4:$X$4,0)),0)</f>
        <v>0</v>
      </c>
      <c r="AE100">
        <f>IFERROR(INDEX('Exercise list'!$E$5:$X$102,MATCH($C100,'Exercise list'!$C$5:$C$102,0),MATCH(AE$5,'Exercise list'!$E$4:$X$4,0)),0)</f>
        <v>0</v>
      </c>
      <c r="AF100">
        <f>IFERROR(INDEX('Exercise list'!$E$5:$X$102,MATCH($C100,'Exercise list'!$C$5:$C$102,0),MATCH(AF$5,'Exercise list'!$E$4:$X$4,0)),0)</f>
        <v>0</v>
      </c>
      <c r="AG100">
        <f>IFERROR(INDEX('Exercise list'!$E$5:$X$102,MATCH($C100,'Exercise list'!$C$5:$C$102,0),MATCH(AG$5,'Exercise list'!$E$4:$X$4,0)),0)</f>
        <v>0</v>
      </c>
      <c r="AH100">
        <f>IFERROR(INDEX('Exercise list'!$E$5:$X$102,MATCH($C100,'Exercise list'!$C$5:$C$102,0),MATCH(AH$5,'Exercise list'!$E$4:$X$4,0)),0)</f>
        <v>0</v>
      </c>
      <c r="AI100">
        <f>IFERROR(INDEX('Exercise list'!$E$5:$X$102,MATCH($C100,'Exercise list'!$C$5:$C$102,0),MATCH(AI$5,'Exercise list'!$E$4:$X$4,0)),0)</f>
        <v>0</v>
      </c>
      <c r="AK100">
        <f>IF(OR($J100=1,COUNTIFS($A$5:$A99,"&gt;="&amp;$A100-1,$A$5:$A99,"&lt;="&amp;$A100,$B$5:$B99,$B100)&gt;0,MIN(1-'Exercise list'!E$2,IF($A100=$A99,AK99,1))-P100&lt;0),-1,MIN(1,IF($A100=$A99,AK99,1)-P100+$D$2))</f>
        <v>1</v>
      </c>
      <c r="AL100">
        <f>IF(OR($J100=1,COUNTIFS($A$5:$A99,"&gt;="&amp;$A100-1,$A$5:$A99,"&lt;="&amp;$A100,$B$5:$B99,$B100)&gt;0,MIN(1-'Exercise list'!F$2,IF($A100=$A99,AL99,1))-Q100&lt;0),-1,MIN(1,IF($A100=$A99,AL99,1)-Q100+$D$2))</f>
        <v>1</v>
      </c>
      <c r="AM100">
        <f>IF(OR($J100=1,COUNTIFS($A$5:$A99,"&gt;="&amp;$A100-1,$A$5:$A99,"&lt;="&amp;$A100,$B$5:$B99,$B100)&gt;0,MIN(1-'Exercise list'!G$2,IF($A100=$A99,AM99,1))-R100&lt;0),-1,MIN(1,IF($A100=$A99,AM99,1)-R100+$D$2))</f>
        <v>1</v>
      </c>
      <c r="AN100">
        <f>IF(OR($J100=1,COUNTIFS($A$5:$A99,"&gt;="&amp;$A100-1,$A$5:$A99,"&lt;="&amp;$A100,$B$5:$B99,$B100)&gt;0,MIN(1-'Exercise list'!H$2,IF($A100=$A99,AN99,1))-S100&lt;0),-1,MIN(1,IF($A100=$A99,AN99,1)-S100+$D$2))</f>
        <v>1</v>
      </c>
      <c r="AO100">
        <f>IF(OR($J100=1,COUNTIFS($A$5:$A99,"&gt;="&amp;$A100-1,$A$5:$A99,"&lt;="&amp;$A100,$B$5:$B99,$B100)&gt;0,MIN(1-'Exercise list'!I$2,IF($A100=$A99,AO99,1))-T100&lt;0),-1,MIN(1,IF($A100=$A99,AO99,1)-T100+$D$2))</f>
        <v>1</v>
      </c>
      <c r="AP100">
        <f>IF(OR($J100=1,COUNTIFS($A$5:$A99,"&gt;="&amp;$A100-1,$A$5:$A99,"&lt;="&amp;$A100,$B$5:$B99,$B100)&gt;0,MIN(1-'Exercise list'!J$2,IF($A100=$A99,AP99,1))-U100&lt;0),-1,MIN(1,IF($A100=$A99,AP99,1)-U100+$D$2))</f>
        <v>1</v>
      </c>
      <c r="AQ100">
        <f>IF(OR($J100=1,COUNTIFS($A$5:$A99,"&gt;="&amp;$A100-1,$A$5:$A99,"&lt;="&amp;$A100,$B$5:$B99,$B100)&gt;0,MIN(1-'Exercise list'!K$2,IF($A100=$A99,AQ99,1))-V100&lt;0),-1,MIN(1,IF($A100=$A99,AQ99,1)-V100+$D$2))</f>
        <v>1</v>
      </c>
      <c r="AR100">
        <f>IF(OR($J100=1,COUNTIFS($A$5:$A99,"&gt;="&amp;$A100-1,$A$5:$A99,"&lt;="&amp;$A100,$B$5:$B99,$B100)&gt;0,MIN(1-'Exercise list'!L$2,IF($A100=$A99,AR99,1))-W100&lt;0),-1,MIN(1,IF($A100=$A99,AR99,1)-W100+$D$2))</f>
        <v>1</v>
      </c>
      <c r="AS100">
        <f>IF(OR($J100=1,COUNTIFS($A$5:$A99,"&gt;="&amp;$A100-1,$A$5:$A99,"&lt;="&amp;$A100,$B$5:$B99,$B100)&gt;0,MIN(1-'Exercise list'!M$2,IF($A100=$A99,AS99,1))-X100&lt;0),-1,MIN(1,IF($A100=$A99,AS99,1)-X100+$D$2))</f>
        <v>1</v>
      </c>
      <c r="AT100">
        <f>IF(OR($J100=1,COUNTIFS($A$5:$A99,"&gt;="&amp;$A100-1,$A$5:$A99,"&lt;="&amp;$A100,$B$5:$B99,$B100)&gt;0,MIN(1-'Exercise list'!N$2,IF($A100=$A99,AT99,1))-Y100&lt;0),-1,MIN(1,IF($A100=$A99,AT99,1)-Y100+$D$2))</f>
        <v>1</v>
      </c>
      <c r="AU100">
        <f>IF(OR($J100=1,COUNTIFS($A$5:$A99,"&gt;="&amp;$A100-1,$A$5:$A99,"&lt;="&amp;$A100,$B$5:$B99,$B100)&gt;0,MIN(1-'Exercise list'!O$2,IF($A100=$A99,AU99,1))-Z100&lt;0),-1,MIN(1,IF($A100=$A99,AU99,1)-Z100+$D$2))</f>
        <v>1</v>
      </c>
      <c r="AV100">
        <f>IF(OR($J100=1,COUNTIFS($A$5:$A99,"&gt;="&amp;$A100-1,$A$5:$A99,"&lt;="&amp;$A100,$B$5:$B99,$B100)&gt;0,MIN(1-'Exercise list'!P$2,IF($A100=$A99,AV99,1))-AA100&lt;0),-1,MIN(1,IF($A100=$A99,AV99,1)-AA100+$D$2))</f>
        <v>1</v>
      </c>
      <c r="AW100">
        <f>IF(OR($J100=1,COUNTIFS($A$5:$A99,"&gt;="&amp;$A100-1,$A$5:$A99,"&lt;="&amp;$A100,$B$5:$B99,$B100)&gt;0,MIN(1-'Exercise list'!Q$2,IF($A100=$A99,AW99,1))-AB100&lt;0),-1,MIN(1,IF($A100=$A99,AW99,1)-AB100+$D$2))</f>
        <v>1</v>
      </c>
      <c r="AX100">
        <f>IF(OR($J100=1,COUNTIFS($A$5:$A99,"&gt;="&amp;$A100-1,$A$5:$A99,"&lt;="&amp;$A100,$B$5:$B99,$B100)&gt;0,MIN(1-'Exercise list'!R$2,IF($A100=$A99,AX99,1))-AC100&lt;0),-1,MIN(1,IF($A100=$A99,AX99,1)-AC100+$D$2))</f>
        <v>1</v>
      </c>
      <c r="AY100">
        <f>IF(OR($J100=1,COUNTIFS($A$5:$A99,"&gt;="&amp;$A100-1,$A$5:$A99,"&lt;="&amp;$A100,$B$5:$B99,$B100)&gt;0,MIN(1-'Exercise list'!S$2,IF($A100=$A99,AY99,1))-AD100&lt;0),-1,MIN(1,IF($A100=$A99,AY99,1)-AD100+$D$2))</f>
        <v>1</v>
      </c>
      <c r="AZ100">
        <f>IF(OR($J100=1,COUNTIFS($A$5:$A99,"&gt;="&amp;$A100-1,$A$5:$A99,"&lt;="&amp;$A100,$B$5:$B99,$B100)&gt;0,MIN(1-'Exercise list'!T$2,IF($A100=$A99,AZ99,1))-AE100&lt;0),-1,MIN(1,IF($A100=$A99,AZ99,1)-AE100+$D$2))</f>
        <v>1</v>
      </c>
      <c r="BA100">
        <f>IF(OR($J100=1,COUNTIFS($A$5:$A99,"&gt;="&amp;$A100-1,$A$5:$A99,"&lt;="&amp;$A100,$B$5:$B99,$B100)&gt;0,MIN(1-'Exercise list'!U$2,IF($A100=$A99,BA99,1))-AF100&lt;0),-1,MIN(1,IF($A100=$A99,BA99,1)-AF100+$D$2))</f>
        <v>1</v>
      </c>
      <c r="BB100">
        <f>IF(OR($J100=1,COUNTIFS($A$5:$A99,"&gt;="&amp;$A100-1,$A$5:$A99,"&lt;="&amp;$A100,$B$5:$B99,$B100)&gt;0,MIN(1-'Exercise list'!V$2,IF($A100=$A99,BB99,1))-AG100&lt;0),-1,MIN(1,IF($A100=$A99,BB99,1)-AG100+$D$2))</f>
        <v>1</v>
      </c>
      <c r="BC100">
        <f>IF(OR($J100=1,COUNTIFS($A$5:$A99,"&gt;="&amp;$A100-1,$A$5:$A99,"&lt;="&amp;$A100,$B$5:$B99,$B100)&gt;0,MIN(1-'Exercise list'!W$2,IF($A100=$A99,BC99,1))-AH100&lt;0),-1,MIN(1,IF($A100=$A99,BC99,1)-AH100+$D$2))</f>
        <v>1</v>
      </c>
      <c r="BD100">
        <f>IF(OR($J100=1,COUNTIFS($A$5:$A99,"&gt;="&amp;$A100-1,$A$5:$A99,"&lt;="&amp;$A100,$B$5:$B99,$B100)&gt;0,MIN(1-'Exercise list'!X$2,IF($A100=$A99,BD99,1))-AI100&lt;0),-1,MIN(1,IF($A100=$A99,BD99,1)-AI100+$D$2))</f>
        <v>1</v>
      </c>
      <c r="BF100" s="16">
        <f t="shared" si="100"/>
        <v>0.13568747703770678</v>
      </c>
      <c r="BG100" s="16">
        <f t="shared" si="101"/>
        <v>0.15047318634191917</v>
      </c>
      <c r="BH100" s="16">
        <f t="shared" si="102"/>
        <v>0.12096246882376892</v>
      </c>
      <c r="BI100" s="16">
        <f t="shared" si="103"/>
        <v>0.15366304971788547</v>
      </c>
      <c r="BJ100" s="16">
        <f t="shared" si="104"/>
        <v>0.19833806763075243</v>
      </c>
      <c r="BK100" s="16">
        <f t="shared" si="105"/>
        <v>0.11722718258287042</v>
      </c>
      <c r="BL100" s="16">
        <f t="shared" si="106"/>
        <v>0.16404178993648744</v>
      </c>
      <c r="BM100" s="16">
        <f t="shared" si="107"/>
        <v>5.0669986226664007E-2</v>
      </c>
      <c r="BN100" s="16">
        <f t="shared" si="108"/>
        <v>8.6788888888326171E-2</v>
      </c>
      <c r="BO100" s="16">
        <f t="shared" si="109"/>
        <v>0.2165457548020665</v>
      </c>
      <c r="BP100" s="16">
        <f t="shared" si="110"/>
        <v>0.2895788191304477</v>
      </c>
      <c r="BQ100" s="16">
        <f t="shared" si="111"/>
        <v>4.2788680631632964E-2</v>
      </c>
      <c r="BR100" s="16">
        <f t="shared" si="112"/>
        <v>0.15287837957634132</v>
      </c>
      <c r="BS100" s="16">
        <f t="shared" si="113"/>
        <v>2.6362729927486808E-2</v>
      </c>
      <c r="BT100" s="16">
        <f t="shared" si="114"/>
        <v>0.20105372377475572</v>
      </c>
      <c r="BU100" s="16">
        <f t="shared" si="115"/>
        <v>0.22291962096240681</v>
      </c>
      <c r="BV100" s="16">
        <f t="shared" si="116"/>
        <v>0.28050065261762475</v>
      </c>
      <c r="BW100" s="16">
        <f t="shared" si="117"/>
        <v>0.13240289727249258</v>
      </c>
      <c r="BX100" s="16">
        <f t="shared" si="118"/>
        <v>9.448697197958067E-2</v>
      </c>
      <c r="BY100" s="16">
        <f t="shared" si="119"/>
        <v>5.4311214327146119E-2</v>
      </c>
      <c r="CA100" s="16">
        <f t="shared" si="56"/>
        <v>7.8511155716986775E-2</v>
      </c>
      <c r="CB100" s="16">
        <f t="shared" si="57"/>
        <v>6.3725446412774389E-2</v>
      </c>
      <c r="CC100" s="16">
        <f t="shared" si="58"/>
        <v>0</v>
      </c>
      <c r="CD100" s="16">
        <f t="shared" si="59"/>
        <v>0</v>
      </c>
      <c r="CE100" s="16">
        <f t="shared" si="60"/>
        <v>0</v>
      </c>
      <c r="CF100" s="16">
        <f t="shared" si="61"/>
        <v>0.20407076654916995</v>
      </c>
      <c r="CG100" s="16">
        <f t="shared" si="62"/>
        <v>0</v>
      </c>
      <c r="CH100" s="16">
        <f t="shared" si="63"/>
        <v>5.6429330150682772E-2</v>
      </c>
      <c r="CI100" s="16">
        <f t="shared" si="64"/>
        <v>0.12740974386636739</v>
      </c>
      <c r="CJ100" s="16">
        <f t="shared" si="65"/>
        <v>0</v>
      </c>
      <c r="CK100" s="16">
        <f t="shared" si="66"/>
        <v>0</v>
      </c>
      <c r="CL100" s="16">
        <f t="shared" si="67"/>
        <v>6.4310635745713815E-2</v>
      </c>
      <c r="CM100" s="16">
        <f t="shared" si="68"/>
        <v>6.1320253178352241E-2</v>
      </c>
      <c r="CN100" s="16">
        <f t="shared" si="69"/>
        <v>8.0736586449859968E-2</v>
      </c>
      <c r="CO100" s="16">
        <f t="shared" si="70"/>
        <v>0</v>
      </c>
      <c r="CP100" s="16">
        <f t="shared" si="71"/>
        <v>0</v>
      </c>
      <c r="CQ100" s="16">
        <f t="shared" si="72"/>
        <v>0</v>
      </c>
      <c r="CR100" s="16">
        <f t="shared" si="73"/>
        <v>0</v>
      </c>
      <c r="CS100" s="16">
        <f t="shared" si="74"/>
        <v>1.2612344397766109E-2</v>
      </c>
      <c r="CT100" s="16">
        <f t="shared" si="75"/>
        <v>5.278810205020066E-2</v>
      </c>
    </row>
    <row r="101" spans="1:99" x14ac:dyDescent="0.25">
      <c r="A101" s="13">
        <v>45078</v>
      </c>
      <c r="B101" s="14">
        <v>14</v>
      </c>
      <c r="C101" s="15" t="str" cm="1">
        <f t="array" ref="C101">IF(B101="","",INDEX('Exercise list'!$C$5:$C$102,B101))</f>
        <v>Machine seated rows</v>
      </c>
      <c r="D101" s="12">
        <f t="shared" si="97"/>
        <v>-1</v>
      </c>
      <c r="E101" s="107">
        <f t="shared" si="120"/>
        <v>0</v>
      </c>
      <c r="F101" s="63" cm="1">
        <f t="array" ref="F101">IF(B101="","",0.1+IFERROR(INDEX($F$6:$F100,SUMPRODUCT(MAX(ROW($C$6:$C100)*($C101=$C$6:$C100))-ROW($A$5)))*0.9^($A101-INDEX($A$6:A100,SUMPRODUCT(MAX(ROW($C$6:$C100)*($C101=$C$6:$C100))-ROW($A$5)))),0))</f>
        <v>0.13874204890000003</v>
      </c>
      <c r="G101" s="64">
        <f>INDEX('Exercise list'!$Y$5:$Y$102,MATCH(C101,'Exercise list'!$C$5:$C$102,0))</f>
        <v>2</v>
      </c>
      <c r="H101" s="115">
        <f t="shared" si="98"/>
        <v>6.6409120129561072E-2</v>
      </c>
      <c r="I101" s="6">
        <f t="shared" si="99"/>
        <v>3</v>
      </c>
      <c r="J101" s="6" cm="1">
        <f t="array" ref="J101">IF(B101="","",INDEX('Exercise list'!$D$5:$D$102,B101))</f>
        <v>1</v>
      </c>
      <c r="K101" s="12">
        <v>38</v>
      </c>
      <c r="L101" s="74" t="str" cm="1">
        <f t="array" ref="L101">IF(K101="","",INDEX('Exercise list'!$C$5:$C$102,K101))</f>
        <v>Cable hip abductions</v>
      </c>
      <c r="M101" s="6">
        <v>56</v>
      </c>
      <c r="N101" s="75" t="str" cm="1">
        <f t="array" ref="N101">IF(M101="","",INDEX('Exercise list'!$C$5:$C$102,M101))</f>
        <v>Standing cable reverse flyes</v>
      </c>
      <c r="P101">
        <f>IFERROR(INDEX('Exercise list'!$E$5:$X$102,MATCH($C101,'Exercise list'!$C$5:$C$102,0),MATCH(P$5,'Exercise list'!$E$4:$X$4,0)),0)</f>
        <v>0</v>
      </c>
      <c r="Q101">
        <f>IFERROR(INDEX('Exercise list'!$E$5:$X$102,MATCH($C101,'Exercise list'!$C$5:$C$102,0),MATCH(Q$5,'Exercise list'!$E$4:$X$4,0)),0)</f>
        <v>1</v>
      </c>
      <c r="R101">
        <f>IFERROR(INDEX('Exercise list'!$E$5:$X$102,MATCH($C101,'Exercise list'!$C$5:$C$102,0),MATCH(R$5,'Exercise list'!$E$4:$X$4,0)),0)</f>
        <v>0.6</v>
      </c>
      <c r="S101">
        <f>IFERROR(INDEX('Exercise list'!$E$5:$X$102,MATCH($C101,'Exercise list'!$C$5:$C$102,0),MATCH(S$5,'Exercise list'!$E$4:$X$4,0)),0)</f>
        <v>0.7</v>
      </c>
      <c r="T101">
        <f>IFERROR(INDEX('Exercise list'!$E$5:$X$102,MATCH($C101,'Exercise list'!$C$5:$C$102,0),MATCH(T$5,'Exercise list'!$E$4:$X$4,0)),0)</f>
        <v>0</v>
      </c>
      <c r="U101">
        <f>IFERROR(INDEX('Exercise list'!$E$5:$X$102,MATCH($C101,'Exercise list'!$C$5:$C$102,0),MATCH(U$5,'Exercise list'!$E$4:$X$4,0)),0)</f>
        <v>0</v>
      </c>
      <c r="V101">
        <f>IFERROR(INDEX('Exercise list'!$E$5:$X$102,MATCH($C101,'Exercise list'!$C$5:$C$102,0),MATCH(V$5,'Exercise list'!$E$4:$X$4,0)),0)</f>
        <v>0</v>
      </c>
      <c r="W101">
        <f>IFERROR(INDEX('Exercise list'!$E$5:$X$102,MATCH($C101,'Exercise list'!$C$5:$C$102,0),MATCH(W$5,'Exercise list'!$E$4:$X$4,0)),0)</f>
        <v>0</v>
      </c>
      <c r="X101">
        <f>IFERROR(INDEX('Exercise list'!$E$5:$X$102,MATCH($C101,'Exercise list'!$C$5:$C$102,0),MATCH(X$5,'Exercise list'!$E$4:$X$4,0)),0)</f>
        <v>0.5</v>
      </c>
      <c r="Y101">
        <f>IFERROR(INDEX('Exercise list'!$E$5:$X$102,MATCH($C101,'Exercise list'!$C$5:$C$102,0),MATCH(Y$5,'Exercise list'!$E$4:$X$4,0)),0)</f>
        <v>0</v>
      </c>
      <c r="Z101">
        <f>IFERROR(INDEX('Exercise list'!$E$5:$X$102,MATCH($C101,'Exercise list'!$C$5:$C$102,0),MATCH(Z$5,'Exercise list'!$E$4:$X$4,0)),0)</f>
        <v>0.5</v>
      </c>
      <c r="AA101">
        <f>IFERROR(INDEX('Exercise list'!$E$5:$X$102,MATCH($C101,'Exercise list'!$C$5:$C$102,0),MATCH(AA$5,'Exercise list'!$E$4:$X$4,0)),0)</f>
        <v>0</v>
      </c>
      <c r="AB101">
        <f>IFERROR(INDEX('Exercise list'!$E$5:$X$102,MATCH($C101,'Exercise list'!$C$5:$C$102,0),MATCH(AB$5,'Exercise list'!$E$4:$X$4,0)),0)</f>
        <v>0</v>
      </c>
      <c r="AC101">
        <f>IFERROR(INDEX('Exercise list'!$E$5:$X$102,MATCH($C101,'Exercise list'!$C$5:$C$102,0),MATCH(AC$5,'Exercise list'!$E$4:$X$4,0)),0)</f>
        <v>0</v>
      </c>
      <c r="AD101">
        <f>IFERROR(INDEX('Exercise list'!$E$5:$X$102,MATCH($C101,'Exercise list'!$C$5:$C$102,0),MATCH(AD$5,'Exercise list'!$E$4:$X$4,0)),0)</f>
        <v>0</v>
      </c>
      <c r="AE101">
        <f>IFERROR(INDEX('Exercise list'!$E$5:$X$102,MATCH($C101,'Exercise list'!$C$5:$C$102,0),MATCH(AE$5,'Exercise list'!$E$4:$X$4,0)),0)</f>
        <v>0</v>
      </c>
      <c r="AF101">
        <f>IFERROR(INDEX('Exercise list'!$E$5:$X$102,MATCH($C101,'Exercise list'!$C$5:$C$102,0),MATCH(AF$5,'Exercise list'!$E$4:$X$4,0)),0)</f>
        <v>0</v>
      </c>
      <c r="AG101">
        <f>IFERROR(INDEX('Exercise list'!$E$5:$X$102,MATCH($C101,'Exercise list'!$C$5:$C$102,0),MATCH(AG$5,'Exercise list'!$E$4:$X$4,0)),0)</f>
        <v>0</v>
      </c>
      <c r="AH101">
        <f>IFERROR(INDEX('Exercise list'!$E$5:$X$102,MATCH($C101,'Exercise list'!$C$5:$C$102,0),MATCH(AH$5,'Exercise list'!$E$4:$X$4,0)),0)</f>
        <v>0</v>
      </c>
      <c r="AI101">
        <f>IFERROR(INDEX('Exercise list'!$E$5:$X$102,MATCH($C101,'Exercise list'!$C$5:$C$102,0),MATCH(AI$5,'Exercise list'!$E$4:$X$4,0)),0)</f>
        <v>0</v>
      </c>
      <c r="AK101">
        <f>IF(OR($J101=1,COUNTIFS($A$5:$A100,"&gt;="&amp;$A101-1,$A$5:$A100,"&lt;="&amp;$A101,$B$5:$B100,$B101)&gt;0,MIN(1-'Exercise list'!E$2,IF($A101=$A100,AK100,1))-P101&lt;0),-1,MIN(1,IF($A101=$A100,AK100,1)-P101+$D$2))</f>
        <v>-1</v>
      </c>
      <c r="AL101">
        <f>IF(OR($J101=1,COUNTIFS($A$5:$A100,"&gt;="&amp;$A101-1,$A$5:$A100,"&lt;="&amp;$A101,$B$5:$B100,$B101)&gt;0,MIN(1-'Exercise list'!F$2,IF($A101=$A100,AL100,1))-Q101&lt;0),-1,MIN(1,IF($A101=$A100,AL100,1)-Q101+$D$2))</f>
        <v>-1</v>
      </c>
      <c r="AM101">
        <f>IF(OR($J101=1,COUNTIFS($A$5:$A100,"&gt;="&amp;$A101-1,$A$5:$A100,"&lt;="&amp;$A101,$B$5:$B100,$B101)&gt;0,MIN(1-'Exercise list'!G$2,IF($A101=$A100,AM100,1))-R101&lt;0),-1,MIN(1,IF($A101=$A100,AM100,1)-R101+$D$2))</f>
        <v>-1</v>
      </c>
      <c r="AN101">
        <f>IF(OR($J101=1,COUNTIFS($A$5:$A100,"&gt;="&amp;$A101-1,$A$5:$A100,"&lt;="&amp;$A101,$B$5:$B100,$B101)&gt;0,MIN(1-'Exercise list'!H$2,IF($A101=$A100,AN100,1))-S101&lt;0),-1,MIN(1,IF($A101=$A100,AN100,1)-S101+$D$2))</f>
        <v>-1</v>
      </c>
      <c r="AO101">
        <f>IF(OR($J101=1,COUNTIFS($A$5:$A100,"&gt;="&amp;$A101-1,$A$5:$A100,"&lt;="&amp;$A101,$B$5:$B100,$B101)&gt;0,MIN(1-'Exercise list'!I$2,IF($A101=$A100,AO100,1))-T101&lt;0),-1,MIN(1,IF($A101=$A100,AO100,1)-T101+$D$2))</f>
        <v>-1</v>
      </c>
      <c r="AP101">
        <f>IF(OR($J101=1,COUNTIFS($A$5:$A100,"&gt;="&amp;$A101-1,$A$5:$A100,"&lt;="&amp;$A101,$B$5:$B100,$B101)&gt;0,MIN(1-'Exercise list'!J$2,IF($A101=$A100,AP100,1))-U101&lt;0),-1,MIN(1,IF($A101=$A100,AP100,1)-U101+$D$2))</f>
        <v>-1</v>
      </c>
      <c r="AQ101">
        <f>IF(OR($J101=1,COUNTIFS($A$5:$A100,"&gt;="&amp;$A101-1,$A$5:$A100,"&lt;="&amp;$A101,$B$5:$B100,$B101)&gt;0,MIN(1-'Exercise list'!K$2,IF($A101=$A100,AQ100,1))-V101&lt;0),-1,MIN(1,IF($A101=$A100,AQ100,1)-V101+$D$2))</f>
        <v>-1</v>
      </c>
      <c r="AR101">
        <f>IF(OR($J101=1,COUNTIFS($A$5:$A100,"&gt;="&amp;$A101-1,$A$5:$A100,"&lt;="&amp;$A101,$B$5:$B100,$B101)&gt;0,MIN(1-'Exercise list'!L$2,IF($A101=$A100,AR100,1))-W101&lt;0),-1,MIN(1,IF($A101=$A100,AR100,1)-W101+$D$2))</f>
        <v>-1</v>
      </c>
      <c r="AS101">
        <f>IF(OR($J101=1,COUNTIFS($A$5:$A100,"&gt;="&amp;$A101-1,$A$5:$A100,"&lt;="&amp;$A101,$B$5:$B100,$B101)&gt;0,MIN(1-'Exercise list'!M$2,IF($A101=$A100,AS100,1))-X101&lt;0),-1,MIN(1,IF($A101=$A100,AS100,1)-X101+$D$2))</f>
        <v>-1</v>
      </c>
      <c r="AT101">
        <f>IF(OR($J101=1,COUNTIFS($A$5:$A100,"&gt;="&amp;$A101-1,$A$5:$A100,"&lt;="&amp;$A101,$B$5:$B100,$B101)&gt;0,MIN(1-'Exercise list'!N$2,IF($A101=$A100,AT100,1))-Y101&lt;0),-1,MIN(1,IF($A101=$A100,AT100,1)-Y101+$D$2))</f>
        <v>-1</v>
      </c>
      <c r="AU101">
        <f>IF(OR($J101=1,COUNTIFS($A$5:$A100,"&gt;="&amp;$A101-1,$A$5:$A100,"&lt;="&amp;$A101,$B$5:$B100,$B101)&gt;0,MIN(1-'Exercise list'!O$2,IF($A101=$A100,AU100,1))-Z101&lt;0),-1,MIN(1,IF($A101=$A100,AU100,1)-Z101+$D$2))</f>
        <v>-1</v>
      </c>
      <c r="AV101">
        <f>IF(OR($J101=1,COUNTIFS($A$5:$A100,"&gt;="&amp;$A101-1,$A$5:$A100,"&lt;="&amp;$A101,$B$5:$B100,$B101)&gt;0,MIN(1-'Exercise list'!P$2,IF($A101=$A100,AV100,1))-AA101&lt;0),-1,MIN(1,IF($A101=$A100,AV100,1)-AA101+$D$2))</f>
        <v>-1</v>
      </c>
      <c r="AW101">
        <f>IF(OR($J101=1,COUNTIFS($A$5:$A100,"&gt;="&amp;$A101-1,$A$5:$A100,"&lt;="&amp;$A101,$B$5:$B100,$B101)&gt;0,MIN(1-'Exercise list'!Q$2,IF($A101=$A100,AW100,1))-AB101&lt;0),-1,MIN(1,IF($A101=$A100,AW100,1)-AB101+$D$2))</f>
        <v>-1</v>
      </c>
      <c r="AX101">
        <f>IF(OR($J101=1,COUNTIFS($A$5:$A100,"&gt;="&amp;$A101-1,$A$5:$A100,"&lt;="&amp;$A101,$B$5:$B100,$B101)&gt;0,MIN(1-'Exercise list'!R$2,IF($A101=$A100,AX100,1))-AC101&lt;0),-1,MIN(1,IF($A101=$A100,AX100,1)-AC101+$D$2))</f>
        <v>-1</v>
      </c>
      <c r="AY101">
        <f>IF(OR($J101=1,COUNTIFS($A$5:$A100,"&gt;="&amp;$A101-1,$A$5:$A100,"&lt;="&amp;$A101,$B$5:$B100,$B101)&gt;0,MIN(1-'Exercise list'!S$2,IF($A101=$A100,AY100,1))-AD101&lt;0),-1,MIN(1,IF($A101=$A100,AY100,1)-AD101+$D$2))</f>
        <v>-1</v>
      </c>
      <c r="AZ101">
        <f>IF(OR($J101=1,COUNTIFS($A$5:$A100,"&gt;="&amp;$A101-1,$A$5:$A100,"&lt;="&amp;$A101,$B$5:$B100,$B101)&gt;0,MIN(1-'Exercise list'!T$2,IF($A101=$A100,AZ100,1))-AE101&lt;0),-1,MIN(1,IF($A101=$A100,AZ100,1)-AE101+$D$2))</f>
        <v>-1</v>
      </c>
      <c r="BA101">
        <f>IF(OR($J101=1,COUNTIFS($A$5:$A100,"&gt;="&amp;$A101-1,$A$5:$A100,"&lt;="&amp;$A101,$B$5:$B100,$B101)&gt;0,MIN(1-'Exercise list'!U$2,IF($A101=$A100,BA100,1))-AF101&lt;0),-1,MIN(1,IF($A101=$A100,BA100,1)-AF101+$D$2))</f>
        <v>-1</v>
      </c>
      <c r="BB101">
        <f>IF(OR($J101=1,COUNTIFS($A$5:$A100,"&gt;="&amp;$A101-1,$A$5:$A100,"&lt;="&amp;$A101,$B$5:$B100,$B101)&gt;0,MIN(1-'Exercise list'!V$2,IF($A101=$A100,BB100,1))-AG101&lt;0),-1,MIN(1,IF($A101=$A100,BB100,1)-AG101+$D$2))</f>
        <v>-1</v>
      </c>
      <c r="BC101">
        <f>IF(OR($J101=1,COUNTIFS($A$5:$A100,"&gt;="&amp;$A101-1,$A$5:$A100,"&lt;="&amp;$A101,$B$5:$B100,$B101)&gt;0,MIN(1-'Exercise list'!W$2,IF($A101=$A100,BC100,1))-AH101&lt;0),-1,MIN(1,IF($A101=$A100,BC100,1)-AH101+$D$2))</f>
        <v>-1</v>
      </c>
      <c r="BD101">
        <f>IF(OR($J101=1,COUNTIFS($A$5:$A100,"&gt;="&amp;$A101-1,$A$5:$A100,"&lt;="&amp;$A101,$B$5:$B100,$B101)&gt;0,MIN(1-'Exercise list'!X$2,IF($A101=$A100,BD100,1))-AI101&lt;0),-1,MIN(1,IF($A101=$A100,BD100,1)-AI101+$D$2))</f>
        <v>-1</v>
      </c>
      <c r="BF101" s="16">
        <f t="shared" si="100"/>
        <v>0.12890310318582143</v>
      </c>
      <c r="BG101" s="16">
        <f t="shared" si="101"/>
        <v>0.19294952702482321</v>
      </c>
      <c r="BH101" s="16">
        <f t="shared" si="102"/>
        <v>0.14491434538258047</v>
      </c>
      <c r="BI101" s="16">
        <f t="shared" si="103"/>
        <v>0.1809798972319912</v>
      </c>
      <c r="BJ101" s="16">
        <f t="shared" si="104"/>
        <v>0.18842116424921479</v>
      </c>
      <c r="BK101" s="16">
        <f t="shared" si="105"/>
        <v>0.11136582345372689</v>
      </c>
      <c r="BL101" s="16">
        <f t="shared" si="106"/>
        <v>0.15583970043966305</v>
      </c>
      <c r="BM101" s="16">
        <f t="shared" si="107"/>
        <v>4.8136486915330803E-2</v>
      </c>
      <c r="BN101" s="16">
        <f t="shared" si="108"/>
        <v>0.10744944444390986</v>
      </c>
      <c r="BO101" s="16">
        <f t="shared" si="109"/>
        <v>0.20571846706196317</v>
      </c>
      <c r="BP101" s="16">
        <f t="shared" si="110"/>
        <v>0.30009987817392531</v>
      </c>
      <c r="BQ101" s="16">
        <f t="shared" si="111"/>
        <v>4.0649246600051314E-2</v>
      </c>
      <c r="BR101" s="16">
        <f t="shared" si="112"/>
        <v>0.14523446059752423</v>
      </c>
      <c r="BS101" s="16">
        <f t="shared" si="113"/>
        <v>2.5044593431112466E-2</v>
      </c>
      <c r="BT101" s="16">
        <f t="shared" si="114"/>
        <v>0.19100103758601791</v>
      </c>
      <c r="BU101" s="16">
        <f t="shared" si="115"/>
        <v>0.21177363991428647</v>
      </c>
      <c r="BV101" s="16">
        <f t="shared" si="116"/>
        <v>0.26647561998674352</v>
      </c>
      <c r="BW101" s="16">
        <f t="shared" si="117"/>
        <v>0.12578275240886794</v>
      </c>
      <c r="BX101" s="16">
        <f t="shared" si="118"/>
        <v>8.9762623380601633E-2</v>
      </c>
      <c r="BY101" s="16">
        <f t="shared" si="119"/>
        <v>5.1595653610788814E-2</v>
      </c>
      <c r="CA101" s="16">
        <f t="shared" si="56"/>
        <v>8.6807820153359694E-2</v>
      </c>
      <c r="CB101" s="16">
        <f t="shared" si="57"/>
        <v>2.2761396314357918E-2</v>
      </c>
      <c r="CC101" s="16">
        <f t="shared" si="58"/>
        <v>0</v>
      </c>
      <c r="CD101" s="16">
        <f t="shared" si="59"/>
        <v>0</v>
      </c>
      <c r="CE101" s="16">
        <f t="shared" si="60"/>
        <v>0</v>
      </c>
      <c r="CF101" s="16">
        <f t="shared" si="61"/>
        <v>0.21220056155504483</v>
      </c>
      <c r="CG101" s="16">
        <f t="shared" si="62"/>
        <v>0</v>
      </c>
      <c r="CH101" s="16">
        <f t="shared" si="63"/>
        <v>5.971897475425976E-2</v>
      </c>
      <c r="CI101" s="16">
        <f t="shared" si="64"/>
        <v>0.10826147889527127</v>
      </c>
      <c r="CJ101" s="16">
        <f t="shared" si="65"/>
        <v>0</v>
      </c>
      <c r="CK101" s="16">
        <f t="shared" si="66"/>
        <v>0</v>
      </c>
      <c r="CL101" s="16">
        <f t="shared" si="67"/>
        <v>6.7206215069539249E-2</v>
      </c>
      <c r="CM101" s="16">
        <f t="shared" si="68"/>
        <v>7.0476462741656892E-2</v>
      </c>
      <c r="CN101" s="16">
        <f t="shared" si="69"/>
        <v>8.2810868238478094E-2</v>
      </c>
      <c r="CO101" s="16">
        <f t="shared" si="70"/>
        <v>0</v>
      </c>
      <c r="CP101" s="16">
        <f t="shared" si="71"/>
        <v>0</v>
      </c>
      <c r="CQ101" s="16">
        <f t="shared" si="72"/>
        <v>0</v>
      </c>
      <c r="CR101" s="16">
        <f t="shared" si="73"/>
        <v>0</v>
      </c>
      <c r="CS101" s="16">
        <f t="shared" si="74"/>
        <v>1.809283828898893E-2</v>
      </c>
      <c r="CT101" s="16">
        <f t="shared" si="75"/>
        <v>5.625980805880175E-2</v>
      </c>
    </row>
    <row r="102" spans="1:99" x14ac:dyDescent="0.25">
      <c r="A102" s="13">
        <v>45078</v>
      </c>
      <c r="B102" s="14">
        <v>48</v>
      </c>
      <c r="C102" s="15" t="str" cm="1">
        <f t="array" ref="C102">IF(B102="","",INDEX('Exercise list'!$C$5:$C$102,B102))</f>
        <v>Barbell overhead presses</v>
      </c>
      <c r="D102" s="12">
        <f t="shared" si="97"/>
        <v>-1</v>
      </c>
      <c r="E102" s="107">
        <f t="shared" si="120"/>
        <v>0</v>
      </c>
      <c r="F102" s="63" cm="1">
        <f t="array" ref="F102">IF(B102="","",0.1+IFERROR(INDEX($F$6:$F101,SUMPRODUCT(MAX(ROW($C$6:$C101)*($C102=$C$6:$C101))-ROW($A$5)))*0.9^($A102-INDEX($A$6:A101,SUMPRODUCT(MAX(ROW($C$6:$C101)*($C102=$C$6:$C101))-ROW($A$5)))),0))</f>
        <v>0.16932528613399617</v>
      </c>
      <c r="G102" s="64">
        <f>INDEX('Exercise list'!$Y$5:$Y$102,MATCH(C102,'Exercise list'!$C$5:$C$102,0))</f>
        <v>3</v>
      </c>
      <c r="H102" s="115">
        <f t="shared" si="98"/>
        <v>6.2643485167579699E-2</v>
      </c>
      <c r="I102" s="6">
        <f t="shared" si="99"/>
        <v>4</v>
      </c>
      <c r="J102" s="6" cm="1">
        <f t="array" ref="J102">IF(B102="","",INDEX('Exercise list'!$D$5:$D$102,B102))</f>
        <v>0</v>
      </c>
      <c r="K102" s="12">
        <v>48</v>
      </c>
      <c r="L102" s="74" t="str" cm="1">
        <f t="array" ref="L102">IF(K102="","",INDEX('Exercise list'!$C$5:$C$102,K102))</f>
        <v>Barbell overhead presses</v>
      </c>
      <c r="M102" s="6">
        <v>44</v>
      </c>
      <c r="N102" s="75" t="str" cm="1">
        <f t="array" ref="N102">IF(M102="","",INDEX('Exercise list'!$C$5:$C$102,M102))</f>
        <v>Leg presses</v>
      </c>
      <c r="P102">
        <f>IFERROR(INDEX('Exercise list'!$E$5:$X$102,MATCH($C102,'Exercise list'!$C$5:$C$102,0),MATCH(P$5,'Exercise list'!$E$4:$X$4,0)),0)</f>
        <v>0</v>
      </c>
      <c r="Q102">
        <f>IFERROR(INDEX('Exercise list'!$E$5:$X$102,MATCH($C102,'Exercise list'!$C$5:$C$102,0),MATCH(Q$5,'Exercise list'!$E$4:$X$4,0)),0)</f>
        <v>0</v>
      </c>
      <c r="R102">
        <f>IFERROR(INDEX('Exercise list'!$E$5:$X$102,MATCH($C102,'Exercise list'!$C$5:$C$102,0),MATCH(R$5,'Exercise list'!$E$4:$X$4,0)),0)</f>
        <v>0</v>
      </c>
      <c r="S102">
        <f>IFERROR(INDEX('Exercise list'!$E$5:$X$102,MATCH($C102,'Exercise list'!$C$5:$C$102,0),MATCH(S$5,'Exercise list'!$E$4:$X$4,0)),0)</f>
        <v>0</v>
      </c>
      <c r="T102">
        <f>IFERROR(INDEX('Exercise list'!$E$5:$X$102,MATCH($C102,'Exercise list'!$C$5:$C$102,0),MATCH(T$5,'Exercise list'!$E$4:$X$4,0)),0)</f>
        <v>0</v>
      </c>
      <c r="U102">
        <f>IFERROR(INDEX('Exercise list'!$E$5:$X$102,MATCH($C102,'Exercise list'!$C$5:$C$102,0),MATCH(U$5,'Exercise list'!$E$4:$X$4,0)),0)</f>
        <v>0.7</v>
      </c>
      <c r="V102">
        <f>IFERROR(INDEX('Exercise list'!$E$5:$X$102,MATCH($C102,'Exercise list'!$C$5:$C$102,0),MATCH(V$5,'Exercise list'!$E$4:$X$4,0)),0)</f>
        <v>0.9</v>
      </c>
      <c r="W102">
        <f>IFERROR(INDEX('Exercise list'!$E$5:$X$102,MATCH($C102,'Exercise list'!$C$5:$C$102,0),MATCH(W$5,'Exercise list'!$E$4:$X$4,0)),0)</f>
        <v>0</v>
      </c>
      <c r="X102">
        <f>IFERROR(INDEX('Exercise list'!$E$5:$X$102,MATCH($C102,'Exercise list'!$C$5:$C$102,0),MATCH(X$5,'Exercise list'!$E$4:$X$4,0)),0)</f>
        <v>0</v>
      </c>
      <c r="Y102">
        <f>IFERROR(INDEX('Exercise list'!$E$5:$X$102,MATCH($C102,'Exercise list'!$C$5:$C$102,0),MATCH(Y$5,'Exercise list'!$E$4:$X$4,0)),0)</f>
        <v>0.7</v>
      </c>
      <c r="Z102">
        <f>IFERROR(INDEX('Exercise list'!$E$5:$X$102,MATCH($C102,'Exercise list'!$C$5:$C$102,0),MATCH(Z$5,'Exercise list'!$E$4:$X$4,0)),0)</f>
        <v>0</v>
      </c>
      <c r="AA102">
        <f>IFERROR(INDEX('Exercise list'!$E$5:$X$102,MATCH($C102,'Exercise list'!$C$5:$C$102,0),MATCH(AA$5,'Exercise list'!$E$4:$X$4,0)),0)</f>
        <v>0</v>
      </c>
      <c r="AB102">
        <f>IFERROR(INDEX('Exercise list'!$E$5:$X$102,MATCH($C102,'Exercise list'!$C$5:$C$102,0),MATCH(AB$5,'Exercise list'!$E$4:$X$4,0)),0)</f>
        <v>0</v>
      </c>
      <c r="AC102">
        <f>IFERROR(INDEX('Exercise list'!$E$5:$X$102,MATCH($C102,'Exercise list'!$C$5:$C$102,0),MATCH(AC$5,'Exercise list'!$E$4:$X$4,0)),0)</f>
        <v>0</v>
      </c>
      <c r="AD102">
        <f>IFERROR(INDEX('Exercise list'!$E$5:$X$102,MATCH($C102,'Exercise list'!$C$5:$C$102,0),MATCH(AD$5,'Exercise list'!$E$4:$X$4,0)),0)</f>
        <v>0</v>
      </c>
      <c r="AE102">
        <f>IFERROR(INDEX('Exercise list'!$E$5:$X$102,MATCH($C102,'Exercise list'!$C$5:$C$102,0),MATCH(AE$5,'Exercise list'!$E$4:$X$4,0)),0)</f>
        <v>0</v>
      </c>
      <c r="AF102">
        <f>IFERROR(INDEX('Exercise list'!$E$5:$X$102,MATCH($C102,'Exercise list'!$C$5:$C$102,0),MATCH(AF$5,'Exercise list'!$E$4:$X$4,0)),0)</f>
        <v>0</v>
      </c>
      <c r="AG102">
        <f>IFERROR(INDEX('Exercise list'!$E$5:$X$102,MATCH($C102,'Exercise list'!$C$5:$C$102,0),MATCH(AG$5,'Exercise list'!$E$4:$X$4,0)),0)</f>
        <v>0</v>
      </c>
      <c r="AH102">
        <f>IFERROR(INDEX('Exercise list'!$E$5:$X$102,MATCH($C102,'Exercise list'!$C$5:$C$102,0),MATCH(AH$5,'Exercise list'!$E$4:$X$4,0)),0)</f>
        <v>0</v>
      </c>
      <c r="AI102">
        <f>IFERROR(INDEX('Exercise list'!$E$5:$X$102,MATCH($C102,'Exercise list'!$C$5:$C$102,0),MATCH(AI$5,'Exercise list'!$E$4:$X$4,0)),0)</f>
        <v>0</v>
      </c>
      <c r="AK102">
        <f>IF(OR($J102=1,COUNTIFS($A$5:$A101,"&gt;="&amp;$A102-1,$A$5:$A101,"&lt;="&amp;$A102,$B$5:$B101,$B102)&gt;0,MIN(1-'Exercise list'!E$2,IF($A102=$A101,AK101,1))-P102&lt;0),-1,MIN(1,IF($A102=$A101,AK101,1)-P102+$D$2))</f>
        <v>-1</v>
      </c>
      <c r="AL102">
        <f>IF(OR($J102=1,COUNTIFS($A$5:$A101,"&gt;="&amp;$A102-1,$A$5:$A101,"&lt;="&amp;$A102,$B$5:$B101,$B102)&gt;0,MIN(1-'Exercise list'!F$2,IF($A102=$A101,AL101,1))-Q102&lt;0),-1,MIN(1,IF($A102=$A101,AL101,1)-Q102+$D$2))</f>
        <v>-1</v>
      </c>
      <c r="AM102">
        <f>IF(OR($J102=1,COUNTIFS($A$5:$A101,"&gt;="&amp;$A102-1,$A$5:$A101,"&lt;="&amp;$A102,$B$5:$B101,$B102)&gt;0,MIN(1-'Exercise list'!G$2,IF($A102=$A101,AM101,1))-R102&lt;0),-1,MIN(1,IF($A102=$A101,AM101,1)-R102+$D$2))</f>
        <v>-1</v>
      </c>
      <c r="AN102">
        <f>IF(OR($J102=1,COUNTIFS($A$5:$A101,"&gt;="&amp;$A102-1,$A$5:$A101,"&lt;="&amp;$A102,$B$5:$B101,$B102)&gt;0,MIN(1-'Exercise list'!H$2,IF($A102=$A101,AN101,1))-S102&lt;0),-1,MIN(1,IF($A102=$A101,AN101,1)-S102+$D$2))</f>
        <v>-1</v>
      </c>
      <c r="AO102">
        <f>IF(OR($J102=1,COUNTIFS($A$5:$A101,"&gt;="&amp;$A102-1,$A$5:$A101,"&lt;="&amp;$A102,$B$5:$B101,$B102)&gt;0,MIN(1-'Exercise list'!I$2,IF($A102=$A101,AO101,1))-T102&lt;0),-1,MIN(1,IF($A102=$A101,AO101,1)-T102+$D$2))</f>
        <v>-1</v>
      </c>
      <c r="AP102">
        <f>IF(OR($J102=1,COUNTIFS($A$5:$A101,"&gt;="&amp;$A102-1,$A$5:$A101,"&lt;="&amp;$A102,$B$5:$B101,$B102)&gt;0,MIN(1-'Exercise list'!J$2,IF($A102=$A101,AP101,1))-U102&lt;0),-1,MIN(1,IF($A102=$A101,AP101,1)-U102+$D$2))</f>
        <v>-1</v>
      </c>
      <c r="AQ102">
        <f>IF(OR($J102=1,COUNTIFS($A$5:$A101,"&gt;="&amp;$A102-1,$A$5:$A101,"&lt;="&amp;$A102,$B$5:$B101,$B102)&gt;0,MIN(1-'Exercise list'!K$2,IF($A102=$A101,AQ101,1))-V102&lt;0),-1,MIN(1,IF($A102=$A101,AQ101,1)-V102+$D$2))</f>
        <v>-1</v>
      </c>
      <c r="AR102">
        <f>IF(OR($J102=1,COUNTIFS($A$5:$A101,"&gt;="&amp;$A102-1,$A$5:$A101,"&lt;="&amp;$A102,$B$5:$B101,$B102)&gt;0,MIN(1-'Exercise list'!L$2,IF($A102=$A101,AR101,1))-W102&lt;0),-1,MIN(1,IF($A102=$A101,AR101,1)-W102+$D$2))</f>
        <v>-1</v>
      </c>
      <c r="AS102">
        <f>IF(OR($J102=1,COUNTIFS($A$5:$A101,"&gt;="&amp;$A102-1,$A$5:$A101,"&lt;="&amp;$A102,$B$5:$B101,$B102)&gt;0,MIN(1-'Exercise list'!M$2,IF($A102=$A101,AS101,1))-X102&lt;0),-1,MIN(1,IF($A102=$A101,AS101,1)-X102+$D$2))</f>
        <v>-1</v>
      </c>
      <c r="AT102">
        <f>IF(OR($J102=1,COUNTIFS($A$5:$A101,"&gt;="&amp;$A102-1,$A$5:$A101,"&lt;="&amp;$A102,$B$5:$B101,$B102)&gt;0,MIN(1-'Exercise list'!N$2,IF($A102=$A101,AT101,1))-Y102&lt;0),-1,MIN(1,IF($A102=$A101,AT101,1)-Y102+$D$2))</f>
        <v>-1</v>
      </c>
      <c r="AU102">
        <f>IF(OR($J102=1,COUNTIFS($A$5:$A101,"&gt;="&amp;$A102-1,$A$5:$A101,"&lt;="&amp;$A102,$B$5:$B101,$B102)&gt;0,MIN(1-'Exercise list'!O$2,IF($A102=$A101,AU101,1))-Z102&lt;0),-1,MIN(1,IF($A102=$A101,AU101,1)-Z102+$D$2))</f>
        <v>-1</v>
      </c>
      <c r="AV102">
        <f>IF(OR($J102=1,COUNTIFS($A$5:$A101,"&gt;="&amp;$A102-1,$A$5:$A101,"&lt;="&amp;$A102,$B$5:$B101,$B102)&gt;0,MIN(1-'Exercise list'!P$2,IF($A102=$A101,AV101,1))-AA102&lt;0),-1,MIN(1,IF($A102=$A101,AV101,1)-AA102+$D$2))</f>
        <v>-1</v>
      </c>
      <c r="AW102">
        <f>IF(OR($J102=1,COUNTIFS($A$5:$A101,"&gt;="&amp;$A102-1,$A$5:$A101,"&lt;="&amp;$A102,$B$5:$B101,$B102)&gt;0,MIN(1-'Exercise list'!Q$2,IF($A102=$A101,AW101,1))-AB102&lt;0),-1,MIN(1,IF($A102=$A101,AW101,1)-AB102+$D$2))</f>
        <v>-1</v>
      </c>
      <c r="AX102">
        <f>IF(OR($J102=1,COUNTIFS($A$5:$A101,"&gt;="&amp;$A102-1,$A$5:$A101,"&lt;="&amp;$A102,$B$5:$B101,$B102)&gt;0,MIN(1-'Exercise list'!R$2,IF($A102=$A101,AX101,1))-AC102&lt;0),-1,MIN(1,IF($A102=$A101,AX101,1)-AC102+$D$2))</f>
        <v>-1</v>
      </c>
      <c r="AY102">
        <f>IF(OR($J102=1,COUNTIFS($A$5:$A101,"&gt;="&amp;$A102-1,$A$5:$A101,"&lt;="&amp;$A102,$B$5:$B101,$B102)&gt;0,MIN(1-'Exercise list'!S$2,IF($A102=$A101,AY101,1))-AD102&lt;0),-1,MIN(1,IF($A102=$A101,AY101,1)-AD102+$D$2))</f>
        <v>-1</v>
      </c>
      <c r="AZ102">
        <f>IF(OR($J102=1,COUNTIFS($A$5:$A101,"&gt;="&amp;$A102-1,$A$5:$A101,"&lt;="&amp;$A102,$B$5:$B101,$B102)&gt;0,MIN(1-'Exercise list'!T$2,IF($A102=$A101,AZ101,1))-AE102&lt;0),-1,MIN(1,IF($A102=$A101,AZ101,1)-AE102+$D$2))</f>
        <v>-1</v>
      </c>
      <c r="BA102">
        <f>IF(OR($J102=1,COUNTIFS($A$5:$A101,"&gt;="&amp;$A102-1,$A$5:$A101,"&lt;="&amp;$A102,$B$5:$B101,$B102)&gt;0,MIN(1-'Exercise list'!U$2,IF($A102=$A101,BA101,1))-AF102&lt;0),-1,MIN(1,IF($A102=$A101,BA101,1)-AF102+$D$2))</f>
        <v>-1</v>
      </c>
      <c r="BB102">
        <f>IF(OR($J102=1,COUNTIFS($A$5:$A101,"&gt;="&amp;$A102-1,$A$5:$A101,"&lt;="&amp;$A102,$B$5:$B101,$B102)&gt;0,MIN(1-'Exercise list'!V$2,IF($A102=$A101,BB101,1))-AG102&lt;0),-1,MIN(1,IF($A102=$A101,BB101,1)-AG102+$D$2))</f>
        <v>-1</v>
      </c>
      <c r="BC102">
        <f>IF(OR($J102=1,COUNTIFS($A$5:$A101,"&gt;="&amp;$A102-1,$A$5:$A101,"&lt;="&amp;$A102,$B$5:$B101,$B102)&gt;0,MIN(1-'Exercise list'!W$2,IF($A102=$A101,BC101,1))-AH102&lt;0),-1,MIN(1,IF($A102=$A101,BC101,1)-AH102+$D$2))</f>
        <v>-1</v>
      </c>
      <c r="BD102">
        <f>IF(OR($J102=1,COUNTIFS($A$5:$A101,"&gt;="&amp;$A102-1,$A$5:$A101,"&lt;="&amp;$A102,$B$5:$B101,$B102)&gt;0,MIN(1-'Exercise list'!X$2,IF($A102=$A101,BD101,1))-AI102&lt;0),-1,MIN(1,IF($A102=$A101,BD101,1)-AI102+$D$2))</f>
        <v>-1</v>
      </c>
      <c r="BF102" s="16">
        <f t="shared" si="100"/>
        <v>0.12245794802653036</v>
      </c>
      <c r="BG102" s="16">
        <f t="shared" si="101"/>
        <v>0.18330205067358205</v>
      </c>
      <c r="BH102" s="16">
        <f t="shared" si="102"/>
        <v>0.13766862811345143</v>
      </c>
      <c r="BI102" s="16">
        <f t="shared" si="103"/>
        <v>0.17193090237039163</v>
      </c>
      <c r="BJ102" s="16">
        <f t="shared" si="104"/>
        <v>0.17900010603675404</v>
      </c>
      <c r="BK102" s="16">
        <f t="shared" si="105"/>
        <v>0.14079753228104053</v>
      </c>
      <c r="BL102" s="16">
        <f t="shared" si="106"/>
        <v>0.1930477154176799</v>
      </c>
      <c r="BM102" s="16">
        <f t="shared" si="107"/>
        <v>4.5729662569564261E-2</v>
      </c>
      <c r="BN102" s="16">
        <f t="shared" si="108"/>
        <v>0.10207697222171436</v>
      </c>
      <c r="BO102" s="16">
        <f t="shared" si="109"/>
        <v>0.23043254370886501</v>
      </c>
      <c r="BP102" s="16">
        <f t="shared" si="110"/>
        <v>0.28509488426522905</v>
      </c>
      <c r="BQ102" s="16">
        <f t="shared" si="111"/>
        <v>3.8616784270048748E-2</v>
      </c>
      <c r="BR102" s="16">
        <f t="shared" si="112"/>
        <v>0.13797273756764802</v>
      </c>
      <c r="BS102" s="16">
        <f t="shared" si="113"/>
        <v>2.3792363759556841E-2</v>
      </c>
      <c r="BT102" s="16">
        <f t="shared" si="114"/>
        <v>0.181450985706717</v>
      </c>
      <c r="BU102" s="16">
        <f t="shared" si="115"/>
        <v>0.20118495791857213</v>
      </c>
      <c r="BV102" s="16">
        <f t="shared" si="116"/>
        <v>0.25315183898740634</v>
      </c>
      <c r="BW102" s="16">
        <f t="shared" si="117"/>
        <v>0.11949361478842453</v>
      </c>
      <c r="BX102" s="16">
        <f t="shared" si="118"/>
        <v>8.5274492211571545E-2</v>
      </c>
      <c r="BY102" s="16">
        <f t="shared" si="119"/>
        <v>4.9015870930249374E-2</v>
      </c>
      <c r="CA102" s="16">
        <f t="shared" si="56"/>
        <v>9.0985947664210157E-2</v>
      </c>
      <c r="CB102" s="16">
        <f t="shared" si="57"/>
        <v>3.014184501715847E-2</v>
      </c>
      <c r="CC102" s="16">
        <f t="shared" si="58"/>
        <v>0</v>
      </c>
      <c r="CD102" s="16">
        <f t="shared" si="59"/>
        <v>0</v>
      </c>
      <c r="CE102" s="16">
        <f t="shared" si="60"/>
        <v>0</v>
      </c>
      <c r="CF102" s="16">
        <f t="shared" si="61"/>
        <v>0.1793683112550703</v>
      </c>
      <c r="CG102" s="16">
        <f t="shared" si="62"/>
        <v>0</v>
      </c>
      <c r="CH102" s="16">
        <f t="shared" si="63"/>
        <v>6.0992285275805996E-2</v>
      </c>
      <c r="CI102" s="16">
        <f t="shared" si="64"/>
        <v>0.11136692346902616</v>
      </c>
      <c r="CJ102" s="16">
        <f t="shared" si="65"/>
        <v>0</v>
      </c>
      <c r="CK102" s="16">
        <f t="shared" si="66"/>
        <v>0</v>
      </c>
      <c r="CL102" s="16">
        <f t="shared" si="67"/>
        <v>6.8105163575321509E-2</v>
      </c>
      <c r="CM102" s="16">
        <f t="shared" si="68"/>
        <v>7.5471158123092491E-2</v>
      </c>
      <c r="CN102" s="16">
        <f t="shared" si="69"/>
        <v>8.2929584085813413E-2</v>
      </c>
      <c r="CO102" s="16">
        <f t="shared" si="70"/>
        <v>0</v>
      </c>
      <c r="CP102" s="16">
        <f t="shared" si="71"/>
        <v>0</v>
      </c>
      <c r="CQ102" s="16">
        <f t="shared" si="72"/>
        <v>0</v>
      </c>
      <c r="CR102" s="16">
        <f t="shared" si="73"/>
        <v>0</v>
      </c>
      <c r="CS102" s="16">
        <f t="shared" si="74"/>
        <v>2.1447455633798712E-2</v>
      </c>
      <c r="CT102" s="16">
        <f t="shared" si="75"/>
        <v>5.7706076915120884E-2</v>
      </c>
    </row>
    <row r="103" spans="1:99" x14ac:dyDescent="0.25">
      <c r="A103" s="20">
        <v>45078</v>
      </c>
      <c r="B103" s="21">
        <v>3</v>
      </c>
      <c r="C103" s="22" t="str" cm="1">
        <f t="array" ref="C103">IF(B103="","",INDEX('Exercise list'!$C$5:$C$102,B103))</f>
        <v>Rowing machine</v>
      </c>
      <c r="D103" s="17">
        <f t="shared" si="97"/>
        <v>-1</v>
      </c>
      <c r="E103" s="108">
        <f t="shared" si="120"/>
        <v>12.04257245061806</v>
      </c>
      <c r="F103" s="65" cm="1">
        <f t="array" ref="F103">IF(B103="","",0.1+IFERROR(INDEX($F$6:$F102,SUMPRODUCT(MAX(ROW($C$6:$C102)*($C103=$C$6:$C102))-ROW($A$5)))*0.9^($A103-INDEX($A$6:A102,SUMPRODUCT(MAX(ROW($C$6:$C102)*($C103=$C$6:$C102))-ROW($A$5)))),0))</f>
        <v>0.15895994207256153</v>
      </c>
      <c r="G103" s="25">
        <f>INDEX('Exercise list'!$Y$5:$Y$102,MATCH(C103,'Exercise list'!$C$5:$C$102,0))</f>
        <v>3</v>
      </c>
      <c r="H103" s="116">
        <f t="shared" si="98"/>
        <v>6.2643485167579699E-2</v>
      </c>
      <c r="I103" s="18">
        <f t="shared" si="99"/>
        <v>5</v>
      </c>
      <c r="J103" s="18" cm="1">
        <f t="array" ref="J103">IF(B103="","",INDEX('Exercise list'!$D$5:$D$102,B103))</f>
        <v>0</v>
      </c>
      <c r="K103" s="17">
        <v>1</v>
      </c>
      <c r="L103" s="51" t="str" cm="1">
        <f t="array" ref="L103">IF(K103="","",INDEX('Exercise list'!$C$5:$C$102,K103))</f>
        <v>Cycling machine</v>
      </c>
      <c r="M103" s="18">
        <v>4</v>
      </c>
      <c r="N103" s="76" t="str" cm="1">
        <f t="array" ref="N103">IF(M103="","",INDEX('Exercise list'!$C$5:$C$102,M103))</f>
        <v>Stair climbing machine</v>
      </c>
      <c r="O103" s="19"/>
      <c r="P103" s="19">
        <f>IFERROR(INDEX('Exercise list'!$E$5:$X$102,MATCH($C103,'Exercise list'!$C$5:$C$102,0),MATCH(P$5,'Exercise list'!$E$4:$X$4,0)),0)</f>
        <v>0</v>
      </c>
      <c r="Q103" s="19">
        <f>IFERROR(INDEX('Exercise list'!$E$5:$X$102,MATCH($C103,'Exercise list'!$C$5:$C$102,0),MATCH(Q$5,'Exercise list'!$E$4:$X$4,0)),0)</f>
        <v>1</v>
      </c>
      <c r="R103" s="19">
        <f>IFERROR(INDEX('Exercise list'!$E$5:$X$102,MATCH($C103,'Exercise list'!$C$5:$C$102,0),MATCH(R$5,'Exercise list'!$E$4:$X$4,0)),0)</f>
        <v>0.7</v>
      </c>
      <c r="S103" s="19">
        <f>IFERROR(INDEX('Exercise list'!$E$5:$X$102,MATCH($C103,'Exercise list'!$C$5:$C$102,0),MATCH(S$5,'Exercise list'!$E$4:$X$4,0)),0)</f>
        <v>0.7</v>
      </c>
      <c r="T103" s="19">
        <f>IFERROR(INDEX('Exercise list'!$E$5:$X$102,MATCH($C103,'Exercise list'!$C$5:$C$102,0),MATCH(T$5,'Exercise list'!$E$4:$X$4,0)),0)</f>
        <v>0.7</v>
      </c>
      <c r="U103" s="19">
        <f>IFERROR(INDEX('Exercise list'!$E$5:$X$102,MATCH($C103,'Exercise list'!$C$5:$C$102,0),MATCH(U$5,'Exercise list'!$E$4:$X$4,0)),0)</f>
        <v>0</v>
      </c>
      <c r="V103" s="19">
        <f>IFERROR(INDEX('Exercise list'!$E$5:$X$102,MATCH($C103,'Exercise list'!$C$5:$C$102,0),MATCH(V$5,'Exercise list'!$E$4:$X$4,0)),0)</f>
        <v>0</v>
      </c>
      <c r="W103" s="19">
        <f>IFERROR(INDEX('Exercise list'!$E$5:$X$102,MATCH($C103,'Exercise list'!$C$5:$C$102,0),MATCH(W$5,'Exercise list'!$E$4:$X$4,0)),0)</f>
        <v>0</v>
      </c>
      <c r="X103" s="19">
        <f>IFERROR(INDEX('Exercise list'!$E$5:$X$102,MATCH($C103,'Exercise list'!$C$5:$C$102,0),MATCH(X$5,'Exercise list'!$E$4:$X$4,0)),0)</f>
        <v>0.5</v>
      </c>
      <c r="Y103" s="19">
        <f>IFERROR(INDEX('Exercise list'!$E$5:$X$102,MATCH($C103,'Exercise list'!$C$5:$C$102,0),MATCH(Y$5,'Exercise list'!$E$4:$X$4,0)),0)</f>
        <v>0</v>
      </c>
      <c r="Z103" s="19">
        <f>IFERROR(INDEX('Exercise list'!$E$5:$X$102,MATCH($C103,'Exercise list'!$C$5:$C$102,0),MATCH(Z$5,'Exercise list'!$E$4:$X$4,0)),0)</f>
        <v>0.7</v>
      </c>
      <c r="AA103" s="19">
        <f>IFERROR(INDEX('Exercise list'!$E$5:$X$102,MATCH($C103,'Exercise list'!$C$5:$C$102,0),MATCH(AA$5,'Exercise list'!$E$4:$X$4,0)),0)</f>
        <v>0</v>
      </c>
      <c r="AB103" s="19">
        <f>IFERROR(INDEX('Exercise list'!$E$5:$X$102,MATCH($C103,'Exercise list'!$C$5:$C$102,0),MATCH(AB$5,'Exercise list'!$E$4:$X$4,0)),0)</f>
        <v>0.5</v>
      </c>
      <c r="AC103" s="19">
        <f>IFERROR(INDEX('Exercise list'!$E$5:$X$102,MATCH($C103,'Exercise list'!$C$5:$C$102,0),MATCH(AC$5,'Exercise list'!$E$4:$X$4,0)),0)</f>
        <v>0</v>
      </c>
      <c r="AD103" s="19">
        <f>IFERROR(INDEX('Exercise list'!$E$5:$X$102,MATCH($C103,'Exercise list'!$C$5:$C$102,0),MATCH(AD$5,'Exercise list'!$E$4:$X$4,0)),0)</f>
        <v>0.7</v>
      </c>
      <c r="AE103" s="19">
        <f>IFERROR(INDEX('Exercise list'!$E$5:$X$102,MATCH($C103,'Exercise list'!$C$5:$C$102,0),MATCH(AE$5,'Exercise list'!$E$4:$X$4,0)),0)</f>
        <v>0.7</v>
      </c>
      <c r="AF103" s="19">
        <f>IFERROR(INDEX('Exercise list'!$E$5:$X$102,MATCH($C103,'Exercise list'!$C$5:$C$102,0),MATCH(AF$5,'Exercise list'!$E$4:$X$4,0)),0)</f>
        <v>0.9</v>
      </c>
      <c r="AG103" s="19">
        <f>IFERROR(INDEX('Exercise list'!$E$5:$X$102,MATCH($C103,'Exercise list'!$C$5:$C$102,0),MATCH(AG$5,'Exercise list'!$E$4:$X$4,0)),0)</f>
        <v>0</v>
      </c>
      <c r="AH103" s="19">
        <f>IFERROR(INDEX('Exercise list'!$E$5:$X$102,MATCH($C103,'Exercise list'!$C$5:$C$102,0),MATCH(AH$5,'Exercise list'!$E$4:$X$4,0)),0)</f>
        <v>0</v>
      </c>
      <c r="AI103" s="19">
        <f>IFERROR(INDEX('Exercise list'!$E$5:$X$102,MATCH($C103,'Exercise list'!$C$5:$C$102,0),MATCH(AI$5,'Exercise list'!$E$4:$X$4,0)),0)</f>
        <v>0</v>
      </c>
      <c r="AJ103" s="19"/>
      <c r="AK103" s="19">
        <f>IF(OR($J103=1,COUNTIFS($A$5:$A102,"&gt;="&amp;$A103-1,$A$5:$A102,"&lt;="&amp;$A103,$B$5:$B102,$B103)&gt;0,MIN(1-'Exercise list'!E$2,IF($A103=$A102,AK102,1))-P103&lt;0),-1,MIN(1,IF($A103=$A102,AK102,1)-P103+$D$2))</f>
        <v>-1</v>
      </c>
      <c r="AL103" s="19">
        <f>IF(OR($J103=1,COUNTIFS($A$5:$A102,"&gt;="&amp;$A103-1,$A$5:$A102,"&lt;="&amp;$A103,$B$5:$B102,$B103)&gt;0,MIN(1-'Exercise list'!F$2,IF($A103=$A102,AL102,1))-Q103&lt;0),-1,MIN(1,IF($A103=$A102,AL102,1)-Q103+$D$2))</f>
        <v>-1</v>
      </c>
      <c r="AM103" s="19">
        <f>IF(OR($J103=1,COUNTIFS($A$5:$A102,"&gt;="&amp;$A103-1,$A$5:$A102,"&lt;="&amp;$A103,$B$5:$B102,$B103)&gt;0,MIN(1-'Exercise list'!G$2,IF($A103=$A102,AM102,1))-R103&lt;0),-1,MIN(1,IF($A103=$A102,AM102,1)-R103+$D$2))</f>
        <v>-1</v>
      </c>
      <c r="AN103" s="19">
        <f>IF(OR($J103=1,COUNTIFS($A$5:$A102,"&gt;="&amp;$A103-1,$A$5:$A102,"&lt;="&amp;$A103,$B$5:$B102,$B103)&gt;0,MIN(1-'Exercise list'!H$2,IF($A103=$A102,AN102,1))-S103&lt;0),-1,MIN(1,IF($A103=$A102,AN102,1)-S103+$D$2))</f>
        <v>-1</v>
      </c>
      <c r="AO103" s="19">
        <f>IF(OR($J103=1,COUNTIFS($A$5:$A102,"&gt;="&amp;$A103-1,$A$5:$A102,"&lt;="&amp;$A103,$B$5:$B102,$B103)&gt;0,MIN(1-'Exercise list'!I$2,IF($A103=$A102,AO102,1))-T103&lt;0),-1,MIN(1,IF($A103=$A102,AO102,1)-T103+$D$2))</f>
        <v>-1</v>
      </c>
      <c r="AP103" s="19">
        <f>IF(OR($J103=1,COUNTIFS($A$5:$A102,"&gt;="&amp;$A103-1,$A$5:$A102,"&lt;="&amp;$A103,$B$5:$B102,$B103)&gt;0,MIN(1-'Exercise list'!J$2,IF($A103=$A102,AP102,1))-U103&lt;0),-1,MIN(1,IF($A103=$A102,AP102,1)-U103+$D$2))</f>
        <v>-1</v>
      </c>
      <c r="AQ103" s="19">
        <f>IF(OR($J103=1,COUNTIFS($A$5:$A102,"&gt;="&amp;$A103-1,$A$5:$A102,"&lt;="&amp;$A103,$B$5:$B102,$B103)&gt;0,MIN(1-'Exercise list'!K$2,IF($A103=$A102,AQ102,1))-V103&lt;0),-1,MIN(1,IF($A103=$A102,AQ102,1)-V103+$D$2))</f>
        <v>-1</v>
      </c>
      <c r="AR103" s="19">
        <f>IF(OR($J103=1,COUNTIFS($A$5:$A102,"&gt;="&amp;$A103-1,$A$5:$A102,"&lt;="&amp;$A103,$B$5:$B102,$B103)&gt;0,MIN(1-'Exercise list'!L$2,IF($A103=$A102,AR102,1))-W103&lt;0),-1,MIN(1,IF($A103=$A102,AR102,1)-W103+$D$2))</f>
        <v>-1</v>
      </c>
      <c r="AS103" s="19">
        <f>IF(OR($J103=1,COUNTIFS($A$5:$A102,"&gt;="&amp;$A103-1,$A$5:$A102,"&lt;="&amp;$A103,$B$5:$B102,$B103)&gt;0,MIN(1-'Exercise list'!M$2,IF($A103=$A102,AS102,1))-X103&lt;0),-1,MIN(1,IF($A103=$A102,AS102,1)-X103+$D$2))</f>
        <v>-1</v>
      </c>
      <c r="AT103" s="19">
        <f>IF(OR($J103=1,COUNTIFS($A$5:$A102,"&gt;="&amp;$A103-1,$A$5:$A102,"&lt;="&amp;$A103,$B$5:$B102,$B103)&gt;0,MIN(1-'Exercise list'!N$2,IF($A103=$A102,AT102,1))-Y103&lt;0),-1,MIN(1,IF($A103=$A102,AT102,1)-Y103+$D$2))</f>
        <v>-1</v>
      </c>
      <c r="AU103" s="19">
        <f>IF(OR($J103=1,COUNTIFS($A$5:$A102,"&gt;="&amp;$A103-1,$A$5:$A102,"&lt;="&amp;$A103,$B$5:$B102,$B103)&gt;0,MIN(1-'Exercise list'!O$2,IF($A103=$A102,AU102,1))-Z103&lt;0),-1,MIN(1,IF($A103=$A102,AU102,1)-Z103+$D$2))</f>
        <v>-1</v>
      </c>
      <c r="AV103" s="19">
        <f>IF(OR($J103=1,COUNTIFS($A$5:$A102,"&gt;="&amp;$A103-1,$A$5:$A102,"&lt;="&amp;$A103,$B$5:$B102,$B103)&gt;0,MIN(1-'Exercise list'!P$2,IF($A103=$A102,AV102,1))-AA103&lt;0),-1,MIN(1,IF($A103=$A102,AV102,1)-AA103+$D$2))</f>
        <v>-1</v>
      </c>
      <c r="AW103" s="19">
        <f>IF(OR($J103=1,COUNTIFS($A$5:$A102,"&gt;="&amp;$A103-1,$A$5:$A102,"&lt;="&amp;$A103,$B$5:$B102,$B103)&gt;0,MIN(1-'Exercise list'!Q$2,IF($A103=$A102,AW102,1))-AB103&lt;0),-1,MIN(1,IF($A103=$A102,AW102,1)-AB103+$D$2))</f>
        <v>-1</v>
      </c>
      <c r="AX103" s="19">
        <f>IF(OR($J103=1,COUNTIFS($A$5:$A102,"&gt;="&amp;$A103-1,$A$5:$A102,"&lt;="&amp;$A103,$B$5:$B102,$B103)&gt;0,MIN(1-'Exercise list'!R$2,IF($A103=$A102,AX102,1))-AC103&lt;0),-1,MIN(1,IF($A103=$A102,AX102,1)-AC103+$D$2))</f>
        <v>-1</v>
      </c>
      <c r="AY103" s="19">
        <f>IF(OR($J103=1,COUNTIFS($A$5:$A102,"&gt;="&amp;$A103-1,$A$5:$A102,"&lt;="&amp;$A103,$B$5:$B102,$B103)&gt;0,MIN(1-'Exercise list'!S$2,IF($A103=$A102,AY102,1))-AD103&lt;0),-1,MIN(1,IF($A103=$A102,AY102,1)-AD103+$D$2))</f>
        <v>-1</v>
      </c>
      <c r="AZ103" s="19">
        <f>IF(OR($J103=1,COUNTIFS($A$5:$A102,"&gt;="&amp;$A103-1,$A$5:$A102,"&lt;="&amp;$A103,$B$5:$B102,$B103)&gt;0,MIN(1-'Exercise list'!T$2,IF($A103=$A102,AZ102,1))-AE103&lt;0),-1,MIN(1,IF($A103=$A102,AZ102,1)-AE103+$D$2))</f>
        <v>-1</v>
      </c>
      <c r="BA103" s="19">
        <f>IF(OR($J103=1,COUNTIFS($A$5:$A102,"&gt;="&amp;$A103-1,$A$5:$A102,"&lt;="&amp;$A103,$B$5:$B102,$B103)&gt;0,MIN(1-'Exercise list'!U$2,IF($A103=$A102,BA102,1))-AF103&lt;0),-1,MIN(1,IF($A103=$A102,BA102,1)-AF103+$D$2))</f>
        <v>-1</v>
      </c>
      <c r="BB103" s="19">
        <f>IF(OR($J103=1,COUNTIFS($A$5:$A102,"&gt;="&amp;$A103-1,$A$5:$A102,"&lt;="&amp;$A103,$B$5:$B102,$B103)&gt;0,MIN(1-'Exercise list'!V$2,IF($A103=$A102,BB102,1))-AG103&lt;0),-1,MIN(1,IF($A103=$A102,BB102,1)-AG103+$D$2))</f>
        <v>-1</v>
      </c>
      <c r="BC103" s="19">
        <f>IF(OR($J103=1,COUNTIFS($A$5:$A102,"&gt;="&amp;$A103-1,$A$5:$A102,"&lt;="&amp;$A103,$B$5:$B102,$B103)&gt;0,MIN(1-'Exercise list'!W$2,IF($A103=$A102,BC102,1))-AH103&lt;0),-1,MIN(1,IF($A103=$A102,BC102,1)-AH103+$D$2))</f>
        <v>-1</v>
      </c>
      <c r="BD103" s="19">
        <f>IF(OR($J103=1,COUNTIFS($A$5:$A102,"&gt;="&amp;$A103-1,$A$5:$A102,"&lt;="&amp;$A103,$B$5:$B102,$B103)&gt;0,MIN(1-'Exercise list'!X$2,IF($A103=$A102,BD102,1))-AI103&lt;0),-1,MIN(1,IF($A103=$A102,BD102,1)-AI103+$D$2))</f>
        <v>-1</v>
      </c>
      <c r="BE103" s="19"/>
      <c r="BF103" s="23">
        <f t="shared" si="100"/>
        <v>0.12245794802653036</v>
      </c>
      <c r="BG103" s="23">
        <f t="shared" si="101"/>
        <v>0.18330205067358205</v>
      </c>
      <c r="BH103" s="23">
        <f t="shared" si="102"/>
        <v>0.13766862811345143</v>
      </c>
      <c r="BI103" s="23">
        <f t="shared" si="103"/>
        <v>0.17193090237039163</v>
      </c>
      <c r="BJ103" s="23">
        <f t="shared" si="104"/>
        <v>0.17900010603675404</v>
      </c>
      <c r="BK103" s="23">
        <f t="shared" si="105"/>
        <v>0.14079753228104053</v>
      </c>
      <c r="BL103" s="23">
        <f t="shared" si="106"/>
        <v>0.1930477154176799</v>
      </c>
      <c r="BM103" s="23">
        <f t="shared" si="107"/>
        <v>4.5729662569564261E-2</v>
      </c>
      <c r="BN103" s="23">
        <f t="shared" si="108"/>
        <v>0.10207697222171436</v>
      </c>
      <c r="BO103" s="23">
        <f t="shared" si="109"/>
        <v>0.23043254370886501</v>
      </c>
      <c r="BP103" s="23">
        <f t="shared" si="110"/>
        <v>0.28509488426522905</v>
      </c>
      <c r="BQ103" s="23">
        <f t="shared" si="111"/>
        <v>3.8616784270048748E-2</v>
      </c>
      <c r="BR103" s="23">
        <f t="shared" si="112"/>
        <v>0.13797273756764802</v>
      </c>
      <c r="BS103" s="23">
        <f t="shared" si="113"/>
        <v>2.3792363759556841E-2</v>
      </c>
      <c r="BT103" s="23">
        <f t="shared" si="114"/>
        <v>0.181450985706717</v>
      </c>
      <c r="BU103" s="23">
        <f t="shared" si="115"/>
        <v>0.20118495791857213</v>
      </c>
      <c r="BV103" s="23">
        <f t="shared" si="116"/>
        <v>0.25315183898740634</v>
      </c>
      <c r="BW103" s="23">
        <f t="shared" si="117"/>
        <v>0.11949361478842453</v>
      </c>
      <c r="BX103" s="23">
        <f t="shared" si="118"/>
        <v>8.5274492211571545E-2</v>
      </c>
      <c r="BY103" s="23">
        <f t="shared" si="119"/>
        <v>4.9015870930249374E-2</v>
      </c>
      <c r="BZ103" s="19"/>
      <c r="CA103" s="23">
        <f t="shared" si="56"/>
        <v>9.0985947664210157E-2</v>
      </c>
      <c r="CB103" s="23">
        <f t="shared" si="57"/>
        <v>3.014184501715847E-2</v>
      </c>
      <c r="CC103" s="23">
        <f t="shared" si="58"/>
        <v>0</v>
      </c>
      <c r="CD103" s="23">
        <f t="shared" si="59"/>
        <v>0</v>
      </c>
      <c r="CE103" s="23">
        <f t="shared" si="60"/>
        <v>0</v>
      </c>
      <c r="CF103" s="23">
        <f t="shared" si="61"/>
        <v>0.1793683112550703</v>
      </c>
      <c r="CG103" s="23">
        <f t="shared" si="62"/>
        <v>0</v>
      </c>
      <c r="CH103" s="23">
        <f t="shared" si="63"/>
        <v>6.0992285275805996E-2</v>
      </c>
      <c r="CI103" s="23">
        <f t="shared" si="64"/>
        <v>0.11136692346902616</v>
      </c>
      <c r="CJ103" s="23">
        <f t="shared" si="65"/>
        <v>0</v>
      </c>
      <c r="CK103" s="23">
        <f t="shared" si="66"/>
        <v>0</v>
      </c>
      <c r="CL103" s="23">
        <f t="shared" si="67"/>
        <v>6.8105163575321509E-2</v>
      </c>
      <c r="CM103" s="23">
        <f t="shared" si="68"/>
        <v>7.5471158123092491E-2</v>
      </c>
      <c r="CN103" s="23">
        <f t="shared" si="69"/>
        <v>8.2929584085813413E-2</v>
      </c>
      <c r="CO103" s="23">
        <f t="shared" si="70"/>
        <v>0</v>
      </c>
      <c r="CP103" s="23">
        <f t="shared" si="71"/>
        <v>0</v>
      </c>
      <c r="CQ103" s="23">
        <f t="shared" si="72"/>
        <v>0</v>
      </c>
      <c r="CR103" s="23">
        <f t="shared" si="73"/>
        <v>0</v>
      </c>
      <c r="CS103" s="23">
        <f t="shared" si="74"/>
        <v>2.1447455633798712E-2</v>
      </c>
      <c r="CT103" s="23">
        <f t="shared" si="75"/>
        <v>5.7706076915120884E-2</v>
      </c>
      <c r="CU103" s="19"/>
    </row>
    <row r="104" spans="1:99" x14ac:dyDescent="0.25">
      <c r="A104" s="13">
        <v>45079</v>
      </c>
      <c r="B104" s="14">
        <v>11</v>
      </c>
      <c r="C104" s="15" t="str" cm="1">
        <f t="array" ref="C104">IF(B104="","",INDEX('Exercise list'!$C$5:$C$102,B104))</f>
        <v>Chin-ups</v>
      </c>
      <c r="D104" s="12">
        <f t="shared" si="97"/>
        <v>1</v>
      </c>
      <c r="E104" s="107">
        <f t="shared" si="120"/>
        <v>0</v>
      </c>
      <c r="F104" s="63" cm="1">
        <f t="array" ref="F104">IF(B104="","",0.1+IFERROR(INDEX($F$6:$F103,SUMPRODUCT(MAX(ROW($C$6:$C103)*($C104=$C$6:$C103))-ROW($A$5)))*0.9^($A104-INDEX($A$6:A103,SUMPRODUCT(MAX(ROW($C$6:$C103)*($C104=$C$6:$C103))-ROW($A$5)))),0))</f>
        <v>0.17032184539997061</v>
      </c>
      <c r="G104" s="64">
        <f>INDEX('Exercise list'!$Y$5:$Y$102,MATCH(C104,'Exercise list'!$C$5:$C$102,0))</f>
        <v>3</v>
      </c>
      <c r="H104" s="115">
        <f t="shared" si="98"/>
        <v>6.3552918065797992E-2</v>
      </c>
      <c r="I104" s="42">
        <f t="shared" si="99"/>
        <v>1</v>
      </c>
      <c r="J104" s="6" cm="1">
        <f t="array" ref="J104">IF(B104="","",INDEX('Exercise list'!$D$5:$D$102,B104))</f>
        <v>0</v>
      </c>
      <c r="K104" s="12">
        <v>23</v>
      </c>
      <c r="L104" s="74" t="str" cm="1">
        <f t="array" ref="L104">IF(K104="","",INDEX('Exercise list'!$C$5:$C$102,K104))</f>
        <v>Barbell bench presses</v>
      </c>
      <c r="M104" s="6">
        <v>10</v>
      </c>
      <c r="N104" s="75" t="str" cm="1">
        <f t="array" ref="N104">IF(M104="","",INDEX('Exercise list'!$C$5:$C$102,M104))</f>
        <v>Cable seated rows</v>
      </c>
      <c r="P104">
        <f>IFERROR(INDEX('Exercise list'!$E$5:$X$102,MATCH($C104,'Exercise list'!$C$5:$C$102,0),MATCH(P$5,'Exercise list'!$E$4:$X$4,0)),0)</f>
        <v>0</v>
      </c>
      <c r="Q104">
        <f>IFERROR(INDEX('Exercise list'!$E$5:$X$102,MATCH($C104,'Exercise list'!$C$5:$C$102,0),MATCH(Q$5,'Exercise list'!$E$4:$X$4,0)),0)</f>
        <v>1</v>
      </c>
      <c r="R104">
        <f>IFERROR(INDEX('Exercise list'!$E$5:$X$102,MATCH($C104,'Exercise list'!$C$5:$C$102,0),MATCH(R$5,'Exercise list'!$E$4:$X$4,0)),0)</f>
        <v>0.5</v>
      </c>
      <c r="S104">
        <f>IFERROR(INDEX('Exercise list'!$E$5:$X$102,MATCH($C104,'Exercise list'!$C$5:$C$102,0),MATCH(S$5,'Exercise list'!$E$4:$X$4,0)),0)</f>
        <v>0.5</v>
      </c>
      <c r="T104">
        <f>IFERROR(INDEX('Exercise list'!$E$5:$X$102,MATCH($C104,'Exercise list'!$C$5:$C$102,0),MATCH(T$5,'Exercise list'!$E$4:$X$4,0)),0)</f>
        <v>0</v>
      </c>
      <c r="U104">
        <f>IFERROR(INDEX('Exercise list'!$E$5:$X$102,MATCH($C104,'Exercise list'!$C$5:$C$102,0),MATCH(U$5,'Exercise list'!$E$4:$X$4,0)),0)</f>
        <v>0</v>
      </c>
      <c r="V104">
        <f>IFERROR(INDEX('Exercise list'!$E$5:$X$102,MATCH($C104,'Exercise list'!$C$5:$C$102,0),MATCH(V$5,'Exercise list'!$E$4:$X$4,0)),0)</f>
        <v>0</v>
      </c>
      <c r="W104">
        <f>IFERROR(INDEX('Exercise list'!$E$5:$X$102,MATCH($C104,'Exercise list'!$C$5:$C$102,0),MATCH(W$5,'Exercise list'!$E$4:$X$4,0)),0)</f>
        <v>0</v>
      </c>
      <c r="X104">
        <f>IFERROR(INDEX('Exercise list'!$E$5:$X$102,MATCH($C104,'Exercise list'!$C$5:$C$102,0),MATCH(X$5,'Exercise list'!$E$4:$X$4,0)),0)</f>
        <v>0.8</v>
      </c>
      <c r="Y104">
        <f>IFERROR(INDEX('Exercise list'!$E$5:$X$102,MATCH($C104,'Exercise list'!$C$5:$C$102,0),MATCH(Y$5,'Exercise list'!$E$4:$X$4,0)),0)</f>
        <v>0</v>
      </c>
      <c r="Z104">
        <f>IFERROR(INDEX('Exercise list'!$E$5:$X$102,MATCH($C104,'Exercise list'!$C$5:$C$102,0),MATCH(Z$5,'Exercise list'!$E$4:$X$4,0)),0)</f>
        <v>0.8</v>
      </c>
      <c r="AA104">
        <f>IFERROR(INDEX('Exercise list'!$E$5:$X$102,MATCH($C104,'Exercise list'!$C$5:$C$102,0),MATCH(AA$5,'Exercise list'!$E$4:$X$4,0)),0)</f>
        <v>0</v>
      </c>
      <c r="AB104">
        <f>IFERROR(INDEX('Exercise list'!$E$5:$X$102,MATCH($C104,'Exercise list'!$C$5:$C$102,0),MATCH(AB$5,'Exercise list'!$E$4:$X$4,0)),0)</f>
        <v>0</v>
      </c>
      <c r="AC104">
        <f>IFERROR(INDEX('Exercise list'!$E$5:$X$102,MATCH($C104,'Exercise list'!$C$5:$C$102,0),MATCH(AC$5,'Exercise list'!$E$4:$X$4,0)),0)</f>
        <v>0</v>
      </c>
      <c r="AD104">
        <f>IFERROR(INDEX('Exercise list'!$E$5:$X$102,MATCH($C104,'Exercise list'!$C$5:$C$102,0),MATCH(AD$5,'Exercise list'!$E$4:$X$4,0)),0)</f>
        <v>0</v>
      </c>
      <c r="AE104">
        <f>IFERROR(INDEX('Exercise list'!$E$5:$X$102,MATCH($C104,'Exercise list'!$C$5:$C$102,0),MATCH(AE$5,'Exercise list'!$E$4:$X$4,0)),0)</f>
        <v>0</v>
      </c>
      <c r="AF104">
        <f>IFERROR(INDEX('Exercise list'!$E$5:$X$102,MATCH($C104,'Exercise list'!$C$5:$C$102,0),MATCH(AF$5,'Exercise list'!$E$4:$X$4,0)),0)</f>
        <v>0</v>
      </c>
      <c r="AG104">
        <f>IFERROR(INDEX('Exercise list'!$E$5:$X$102,MATCH($C104,'Exercise list'!$C$5:$C$102,0),MATCH(AG$5,'Exercise list'!$E$4:$X$4,0)),0)</f>
        <v>0</v>
      </c>
      <c r="AH104">
        <f>IFERROR(INDEX('Exercise list'!$E$5:$X$102,MATCH($C104,'Exercise list'!$C$5:$C$102,0),MATCH(AH$5,'Exercise list'!$E$4:$X$4,0)),0)</f>
        <v>0</v>
      </c>
      <c r="AI104">
        <f>IFERROR(INDEX('Exercise list'!$E$5:$X$102,MATCH($C104,'Exercise list'!$C$5:$C$102,0),MATCH(AI$5,'Exercise list'!$E$4:$X$4,0)),0)</f>
        <v>0</v>
      </c>
      <c r="AK104">
        <f>IF(OR($J104=1,COUNTIFS($A$5:$A103,"&gt;="&amp;$A104-1,$A$5:$A103,"&lt;="&amp;$A104,$B$5:$B103,$B104)&gt;0,MIN(1-'Exercise list'!E$2,IF($A104=$A103,AK103,1))-P104&lt;0),-1,MIN(1,IF($A104=$A103,AK103,1)-P104+$D$2))</f>
        <v>1</v>
      </c>
      <c r="AL104">
        <f>IF(OR($J104=1,COUNTIFS($A$5:$A103,"&gt;="&amp;$A104-1,$A$5:$A103,"&lt;="&amp;$A104,$B$5:$B103,$B104)&gt;0,MIN(1-'Exercise list'!F$2,IF($A104=$A103,AL103,1))-Q104&lt;0),-1,MIN(1,IF($A104=$A103,AL103,1)-Q104+$D$2))</f>
        <v>1</v>
      </c>
      <c r="AM104">
        <f>IF(OR($J104=1,COUNTIFS($A$5:$A103,"&gt;="&amp;$A104-1,$A$5:$A103,"&lt;="&amp;$A104,$B$5:$B103,$B104)&gt;0,MIN(1-'Exercise list'!G$2,IF($A104=$A103,AM103,1))-R104&lt;0),-1,MIN(1,IF($A104=$A103,AM103,1)-R104+$D$2))</f>
        <v>1</v>
      </c>
      <c r="AN104">
        <f>IF(OR($J104=1,COUNTIFS($A$5:$A103,"&gt;="&amp;$A104-1,$A$5:$A103,"&lt;="&amp;$A104,$B$5:$B103,$B104)&gt;0,MIN(1-'Exercise list'!H$2,IF($A104=$A103,AN103,1))-S104&lt;0),-1,MIN(1,IF($A104=$A103,AN103,1)-S104+$D$2))</f>
        <v>1</v>
      </c>
      <c r="AO104">
        <f>IF(OR($J104=1,COUNTIFS($A$5:$A103,"&gt;="&amp;$A104-1,$A$5:$A103,"&lt;="&amp;$A104,$B$5:$B103,$B104)&gt;0,MIN(1-'Exercise list'!I$2,IF($A104=$A103,AO103,1))-T104&lt;0),-1,MIN(1,IF($A104=$A103,AO103,1)-T104+$D$2))</f>
        <v>1</v>
      </c>
      <c r="AP104">
        <f>IF(OR($J104=1,COUNTIFS($A$5:$A103,"&gt;="&amp;$A104-1,$A$5:$A103,"&lt;="&amp;$A104,$B$5:$B103,$B104)&gt;0,MIN(1-'Exercise list'!J$2,IF($A104=$A103,AP103,1))-U104&lt;0),-1,MIN(1,IF($A104=$A103,AP103,1)-U104+$D$2))</f>
        <v>1</v>
      </c>
      <c r="AQ104">
        <f>IF(OR($J104=1,COUNTIFS($A$5:$A103,"&gt;="&amp;$A104-1,$A$5:$A103,"&lt;="&amp;$A104,$B$5:$B103,$B104)&gt;0,MIN(1-'Exercise list'!K$2,IF($A104=$A103,AQ103,1))-V104&lt;0),-1,MIN(1,IF($A104=$A103,AQ103,1)-V104+$D$2))</f>
        <v>1</v>
      </c>
      <c r="AR104">
        <f>IF(OR($J104=1,COUNTIFS($A$5:$A103,"&gt;="&amp;$A104-1,$A$5:$A103,"&lt;="&amp;$A104,$B$5:$B103,$B104)&gt;0,MIN(1-'Exercise list'!L$2,IF($A104=$A103,AR103,1))-W104&lt;0),-1,MIN(1,IF($A104=$A103,AR103,1)-W104+$D$2))</f>
        <v>1</v>
      </c>
      <c r="AS104">
        <f>IF(OR($J104=1,COUNTIFS($A$5:$A103,"&gt;="&amp;$A104-1,$A$5:$A103,"&lt;="&amp;$A104,$B$5:$B103,$B104)&gt;0,MIN(1-'Exercise list'!M$2,IF($A104=$A103,AS103,1))-X104&lt;0),-1,MIN(1,IF($A104=$A103,AS103,1)-X104+$D$2))</f>
        <v>1</v>
      </c>
      <c r="AT104">
        <f>IF(OR($J104=1,COUNTIFS($A$5:$A103,"&gt;="&amp;$A104-1,$A$5:$A103,"&lt;="&amp;$A104,$B$5:$B103,$B104)&gt;0,MIN(1-'Exercise list'!N$2,IF($A104=$A103,AT103,1))-Y104&lt;0),-1,MIN(1,IF($A104=$A103,AT103,1)-Y104+$D$2))</f>
        <v>1</v>
      </c>
      <c r="AU104">
        <f>IF(OR($J104=1,COUNTIFS($A$5:$A103,"&gt;="&amp;$A104-1,$A$5:$A103,"&lt;="&amp;$A104,$B$5:$B103,$B104)&gt;0,MIN(1-'Exercise list'!O$2,IF($A104=$A103,AU103,1))-Z104&lt;0),-1,MIN(1,IF($A104=$A103,AU103,1)-Z104+$D$2))</f>
        <v>1</v>
      </c>
      <c r="AV104">
        <f>IF(OR($J104=1,COUNTIFS($A$5:$A103,"&gt;="&amp;$A104-1,$A$5:$A103,"&lt;="&amp;$A104,$B$5:$B103,$B104)&gt;0,MIN(1-'Exercise list'!P$2,IF($A104=$A103,AV103,1))-AA104&lt;0),-1,MIN(1,IF($A104=$A103,AV103,1)-AA104+$D$2))</f>
        <v>1</v>
      </c>
      <c r="AW104">
        <f>IF(OR($J104=1,COUNTIFS($A$5:$A103,"&gt;="&amp;$A104-1,$A$5:$A103,"&lt;="&amp;$A104,$B$5:$B103,$B104)&gt;0,MIN(1-'Exercise list'!Q$2,IF($A104=$A103,AW103,1))-AB104&lt;0),-1,MIN(1,IF($A104=$A103,AW103,1)-AB104+$D$2))</f>
        <v>1</v>
      </c>
      <c r="AX104">
        <f>IF(OR($J104=1,COUNTIFS($A$5:$A103,"&gt;="&amp;$A104-1,$A$5:$A103,"&lt;="&amp;$A104,$B$5:$B103,$B104)&gt;0,MIN(1-'Exercise list'!R$2,IF($A104=$A103,AX103,1))-AC104&lt;0),-1,MIN(1,IF($A104=$A103,AX103,1)-AC104+$D$2))</f>
        <v>1</v>
      </c>
      <c r="AY104">
        <f>IF(OR($J104=1,COUNTIFS($A$5:$A103,"&gt;="&amp;$A104-1,$A$5:$A103,"&lt;="&amp;$A104,$B$5:$B103,$B104)&gt;0,MIN(1-'Exercise list'!S$2,IF($A104=$A103,AY103,1))-AD104&lt;0),-1,MIN(1,IF($A104=$A103,AY103,1)-AD104+$D$2))</f>
        <v>1</v>
      </c>
      <c r="AZ104">
        <f>IF(OR($J104=1,COUNTIFS($A$5:$A103,"&gt;="&amp;$A104-1,$A$5:$A103,"&lt;="&amp;$A104,$B$5:$B103,$B104)&gt;0,MIN(1-'Exercise list'!T$2,IF($A104=$A103,AZ103,1))-AE104&lt;0),-1,MIN(1,IF($A104=$A103,AZ103,1)-AE104+$D$2))</f>
        <v>1</v>
      </c>
      <c r="BA104">
        <f>IF(OR($J104=1,COUNTIFS($A$5:$A103,"&gt;="&amp;$A104-1,$A$5:$A103,"&lt;="&amp;$A104,$B$5:$B103,$B104)&gt;0,MIN(1-'Exercise list'!U$2,IF($A104=$A103,BA103,1))-AF104&lt;0),-1,MIN(1,IF($A104=$A103,BA103,1)-AF104+$D$2))</f>
        <v>1</v>
      </c>
      <c r="BB104">
        <f>IF(OR($J104=1,COUNTIFS($A$5:$A103,"&gt;="&amp;$A104-1,$A$5:$A103,"&lt;="&amp;$A104,$B$5:$B103,$B104)&gt;0,MIN(1-'Exercise list'!V$2,IF($A104=$A103,BB103,1))-AG104&lt;0),-1,MIN(1,IF($A104=$A103,BB103,1)-AG104+$D$2))</f>
        <v>1</v>
      </c>
      <c r="BC104">
        <f>IF(OR($J104=1,COUNTIFS($A$5:$A103,"&gt;="&amp;$A104-1,$A$5:$A103,"&lt;="&amp;$A104,$B$5:$B103,$B104)&gt;0,MIN(1-'Exercise list'!W$2,IF($A104=$A103,BC103,1))-AH104&lt;0),-1,MIN(1,IF($A104=$A103,BC103,1)-AH104+$D$2))</f>
        <v>1</v>
      </c>
      <c r="BD104">
        <f>IF(OR($J104=1,COUNTIFS($A$5:$A103,"&gt;="&amp;$A104-1,$A$5:$A103,"&lt;="&amp;$A104,$B$5:$B103,$B104)&gt;0,MIN(1-'Exercise list'!X$2,IF($A104=$A103,BD103,1))-AI104&lt;0),-1,MIN(1,IF($A104=$A103,BD103,1)-AI104+$D$2))</f>
        <v>1</v>
      </c>
      <c r="BF104" s="16">
        <f t="shared" si="100"/>
        <v>0.11633505062520383</v>
      </c>
      <c r="BG104" s="16">
        <f t="shared" si="101"/>
        <v>0.22413694813990293</v>
      </c>
      <c r="BH104" s="16">
        <f t="shared" si="102"/>
        <v>0.15578519670777885</v>
      </c>
      <c r="BI104" s="16">
        <f t="shared" si="103"/>
        <v>0.18833435725187203</v>
      </c>
      <c r="BJ104" s="16">
        <f t="shared" si="104"/>
        <v>0.17005010073491633</v>
      </c>
      <c r="BK104" s="16">
        <f t="shared" si="105"/>
        <v>0.1337576556669885</v>
      </c>
      <c r="BL104" s="16">
        <f t="shared" si="106"/>
        <v>0.18339532964679589</v>
      </c>
      <c r="BM104" s="16">
        <f t="shared" si="107"/>
        <v>4.3443179441086048E-2</v>
      </c>
      <c r="BN104" s="16">
        <f t="shared" si="108"/>
        <v>0.13697312361062863</v>
      </c>
      <c r="BO104" s="16">
        <f t="shared" si="109"/>
        <v>0.21891091652342176</v>
      </c>
      <c r="BP104" s="16">
        <f t="shared" si="110"/>
        <v>0.31084014005196758</v>
      </c>
      <c r="BQ104" s="16">
        <f t="shared" si="111"/>
        <v>3.6685945056546307E-2</v>
      </c>
      <c r="BR104" s="16">
        <f t="shared" si="112"/>
        <v>0.13107410068926562</v>
      </c>
      <c r="BS104" s="16">
        <f t="shared" si="113"/>
        <v>2.2602745571579E-2</v>
      </c>
      <c r="BT104" s="16">
        <f t="shared" si="114"/>
        <v>0.17237843642138115</v>
      </c>
      <c r="BU104" s="16">
        <f t="shared" si="115"/>
        <v>0.19112571002264353</v>
      </c>
      <c r="BV104" s="16">
        <f t="shared" si="116"/>
        <v>0.24049424703803601</v>
      </c>
      <c r="BW104" s="16">
        <f t="shared" si="117"/>
        <v>0.1135189340490033</v>
      </c>
      <c r="BX104" s="16">
        <f t="shared" si="118"/>
        <v>8.1010767600992961E-2</v>
      </c>
      <c r="BY104" s="16">
        <f t="shared" si="119"/>
        <v>4.65650773837369E-2</v>
      </c>
      <c r="CA104" s="16">
        <f t="shared" si="56"/>
        <v>9.9769983614333008E-2</v>
      </c>
      <c r="CB104" s="16">
        <f t="shared" si="57"/>
        <v>0</v>
      </c>
      <c r="CC104" s="16">
        <f t="shared" si="58"/>
        <v>0</v>
      </c>
      <c r="CD104" s="16">
        <f t="shared" si="59"/>
        <v>0</v>
      </c>
      <c r="CE104" s="16">
        <f t="shared" si="60"/>
        <v>0</v>
      </c>
      <c r="CF104" s="16">
        <f t="shared" si="61"/>
        <v>0.19039989569231675</v>
      </c>
      <c r="CG104" s="16">
        <f t="shared" si="62"/>
        <v>0</v>
      </c>
      <c r="CH104" s="16">
        <f t="shared" si="63"/>
        <v>6.4609337678682377E-2</v>
      </c>
      <c r="CI104" s="16">
        <f t="shared" si="64"/>
        <v>7.9131910628908203E-2</v>
      </c>
      <c r="CJ104" s="16">
        <f t="shared" si="65"/>
        <v>0</v>
      </c>
      <c r="CK104" s="16">
        <f t="shared" si="66"/>
        <v>0</v>
      </c>
      <c r="CL104" s="16">
        <f t="shared" si="67"/>
        <v>7.1366572063222111E-2</v>
      </c>
      <c r="CM104" s="16">
        <f t="shared" si="68"/>
        <v>8.503093355027122E-2</v>
      </c>
      <c r="CN104" s="16">
        <f t="shared" si="69"/>
        <v>8.5449771548189418E-2</v>
      </c>
      <c r="CO104" s="16">
        <f t="shared" si="70"/>
        <v>0</v>
      </c>
      <c r="CP104" s="16">
        <f t="shared" si="71"/>
        <v>0</v>
      </c>
      <c r="CQ104" s="16">
        <f t="shared" si="72"/>
        <v>0</v>
      </c>
      <c r="CR104" s="16">
        <f t="shared" si="73"/>
        <v>0</v>
      </c>
      <c r="CS104" s="16">
        <f t="shared" si="74"/>
        <v>2.7041749518775457E-2</v>
      </c>
      <c r="CT104" s="16">
        <f t="shared" si="75"/>
        <v>6.1487439736031518E-2</v>
      </c>
    </row>
    <row r="105" spans="1:99" x14ac:dyDescent="0.25">
      <c r="A105" s="13">
        <v>45079</v>
      </c>
      <c r="B105" s="14">
        <v>23</v>
      </c>
      <c r="C105" s="15" t="str" cm="1">
        <f t="array" ref="C105">IF(B105="","",INDEX('Exercise list'!$C$5:$C$102,B105))</f>
        <v>Barbell bench presses</v>
      </c>
      <c r="D105" s="12">
        <f t="shared" si="97"/>
        <v>-1</v>
      </c>
      <c r="E105" s="107">
        <f t="shared" si="120"/>
        <v>0</v>
      </c>
      <c r="F105" s="63" cm="1">
        <f t="array" ref="F105">IF(B105="","",0.1+IFERROR(INDEX($F$6:$F104,SUMPRODUCT(MAX(ROW($C$6:$C104)*($C105=$C$6:$C104))-ROW($A$5)))*0.9^($A105-INDEX($A$6:A104,SUMPRODUCT(MAX(ROW($C$6:$C104)*($C105=$C$6:$C104))-ROW($A$5)))),0))</f>
        <v>0.19117444997555758</v>
      </c>
      <c r="G105" s="64">
        <f>INDEX('Exercise list'!$Y$5:$Y$102,MATCH(C105,'Exercise list'!$C$5:$C$102,0))</f>
        <v>3</v>
      </c>
      <c r="H105" s="115">
        <f t="shared" si="98"/>
        <v>6.2027638373601625E-2</v>
      </c>
      <c r="I105" s="6">
        <f t="shared" si="99"/>
        <v>2</v>
      </c>
      <c r="J105" s="6" cm="1">
        <f t="array" ref="J105">IF(B105="","",INDEX('Exercise list'!$D$5:$D$102,B105))</f>
        <v>1</v>
      </c>
      <c r="K105" s="12">
        <v>36</v>
      </c>
      <c r="L105" s="74" t="str" cm="1">
        <f t="array" ref="L105">IF(K105="","",INDEX('Exercise list'!$C$5:$C$102,K105))</f>
        <v>Barbell hip thrusts</v>
      </c>
      <c r="M105" s="6">
        <v>38</v>
      </c>
      <c r="N105" s="75" t="str" cm="1">
        <f t="array" ref="N105">IF(M105="","",INDEX('Exercise list'!$C$5:$C$102,M105))</f>
        <v>Cable hip abductions</v>
      </c>
      <c r="P105">
        <f>IFERROR(INDEX('Exercise list'!$E$5:$X$102,MATCH($C105,'Exercise list'!$C$5:$C$102,0),MATCH(P$5,'Exercise list'!$E$4:$X$4,0)),0)</f>
        <v>1</v>
      </c>
      <c r="Q105">
        <f>IFERROR(INDEX('Exercise list'!$E$5:$X$102,MATCH($C105,'Exercise list'!$C$5:$C$102,0),MATCH(Q$5,'Exercise list'!$E$4:$X$4,0)),0)</f>
        <v>0</v>
      </c>
      <c r="R105">
        <f>IFERROR(INDEX('Exercise list'!$E$5:$X$102,MATCH($C105,'Exercise list'!$C$5:$C$102,0),MATCH(R$5,'Exercise list'!$E$4:$X$4,0)),0)</f>
        <v>0</v>
      </c>
      <c r="S105">
        <f>IFERROR(INDEX('Exercise list'!$E$5:$X$102,MATCH($C105,'Exercise list'!$C$5:$C$102,0),MATCH(S$5,'Exercise list'!$E$4:$X$4,0)),0)</f>
        <v>0</v>
      </c>
      <c r="T105">
        <f>IFERROR(INDEX('Exercise list'!$E$5:$X$102,MATCH($C105,'Exercise list'!$C$5:$C$102,0),MATCH(T$5,'Exercise list'!$E$4:$X$4,0)),0)</f>
        <v>0</v>
      </c>
      <c r="U105">
        <f>IFERROR(INDEX('Exercise list'!$E$5:$X$102,MATCH($C105,'Exercise list'!$C$5:$C$102,0),MATCH(U$5,'Exercise list'!$E$4:$X$4,0)),0)</f>
        <v>0</v>
      </c>
      <c r="V105">
        <f>IFERROR(INDEX('Exercise list'!$E$5:$X$102,MATCH($C105,'Exercise list'!$C$5:$C$102,0),MATCH(V$5,'Exercise list'!$E$4:$X$4,0)),0)</f>
        <v>0.5</v>
      </c>
      <c r="W105">
        <f>IFERROR(INDEX('Exercise list'!$E$5:$X$102,MATCH($C105,'Exercise list'!$C$5:$C$102,0),MATCH(W$5,'Exercise list'!$E$4:$X$4,0)),0)</f>
        <v>0</v>
      </c>
      <c r="X105">
        <f>IFERROR(INDEX('Exercise list'!$E$5:$X$102,MATCH($C105,'Exercise list'!$C$5:$C$102,0),MATCH(X$5,'Exercise list'!$E$4:$X$4,0)),0)</f>
        <v>0</v>
      </c>
      <c r="Y105">
        <f>IFERROR(INDEX('Exercise list'!$E$5:$X$102,MATCH($C105,'Exercise list'!$C$5:$C$102,0),MATCH(Y$5,'Exercise list'!$E$4:$X$4,0)),0)</f>
        <v>0.8</v>
      </c>
      <c r="Z105">
        <f>IFERROR(INDEX('Exercise list'!$E$5:$X$102,MATCH($C105,'Exercise list'!$C$5:$C$102,0),MATCH(Z$5,'Exercise list'!$E$4:$X$4,0)),0)</f>
        <v>0</v>
      </c>
      <c r="AA105">
        <f>IFERROR(INDEX('Exercise list'!$E$5:$X$102,MATCH($C105,'Exercise list'!$C$5:$C$102,0),MATCH(AA$5,'Exercise list'!$E$4:$X$4,0)),0)</f>
        <v>0</v>
      </c>
      <c r="AB105">
        <f>IFERROR(INDEX('Exercise list'!$E$5:$X$102,MATCH($C105,'Exercise list'!$C$5:$C$102,0),MATCH(AB$5,'Exercise list'!$E$4:$X$4,0)),0)</f>
        <v>0</v>
      </c>
      <c r="AC105">
        <f>IFERROR(INDEX('Exercise list'!$E$5:$X$102,MATCH($C105,'Exercise list'!$C$5:$C$102,0),MATCH(AC$5,'Exercise list'!$E$4:$X$4,0)),0)</f>
        <v>0</v>
      </c>
      <c r="AD105">
        <f>IFERROR(INDEX('Exercise list'!$E$5:$X$102,MATCH($C105,'Exercise list'!$C$5:$C$102,0),MATCH(AD$5,'Exercise list'!$E$4:$X$4,0)),0)</f>
        <v>0</v>
      </c>
      <c r="AE105">
        <f>IFERROR(INDEX('Exercise list'!$E$5:$X$102,MATCH($C105,'Exercise list'!$C$5:$C$102,0),MATCH(AE$5,'Exercise list'!$E$4:$X$4,0)),0)</f>
        <v>0</v>
      </c>
      <c r="AF105">
        <f>IFERROR(INDEX('Exercise list'!$E$5:$X$102,MATCH($C105,'Exercise list'!$C$5:$C$102,0),MATCH(AF$5,'Exercise list'!$E$4:$X$4,0)),0)</f>
        <v>0</v>
      </c>
      <c r="AG105">
        <f>IFERROR(INDEX('Exercise list'!$E$5:$X$102,MATCH($C105,'Exercise list'!$C$5:$C$102,0),MATCH(AG$5,'Exercise list'!$E$4:$X$4,0)),0)</f>
        <v>0</v>
      </c>
      <c r="AH105">
        <f>IFERROR(INDEX('Exercise list'!$E$5:$X$102,MATCH($C105,'Exercise list'!$C$5:$C$102,0),MATCH(AH$5,'Exercise list'!$E$4:$X$4,0)),0)</f>
        <v>0</v>
      </c>
      <c r="AI105">
        <f>IFERROR(INDEX('Exercise list'!$E$5:$X$102,MATCH($C105,'Exercise list'!$C$5:$C$102,0),MATCH(AI$5,'Exercise list'!$E$4:$X$4,0)),0)</f>
        <v>0</v>
      </c>
      <c r="AK105">
        <f>IF(OR($J105=1,COUNTIFS($A$5:$A104,"&gt;="&amp;$A105-1,$A$5:$A104,"&lt;="&amp;$A105,$B$5:$B104,$B105)&gt;0,MIN(1-'Exercise list'!E$2,IF($A105=$A104,AK104,1))-P105&lt;0),-1,MIN(1,IF($A105=$A104,AK104,1)-P105+$D$2))</f>
        <v>-1</v>
      </c>
      <c r="AL105">
        <f>IF(OR($J105=1,COUNTIFS($A$5:$A104,"&gt;="&amp;$A105-1,$A$5:$A104,"&lt;="&amp;$A105,$B$5:$B104,$B105)&gt;0,MIN(1-'Exercise list'!F$2,IF($A105=$A104,AL104,1))-Q105&lt;0),-1,MIN(1,IF($A105=$A104,AL104,1)-Q105+$D$2))</f>
        <v>-1</v>
      </c>
      <c r="AM105">
        <f>IF(OR($J105=1,COUNTIFS($A$5:$A104,"&gt;="&amp;$A105-1,$A$5:$A104,"&lt;="&amp;$A105,$B$5:$B104,$B105)&gt;0,MIN(1-'Exercise list'!G$2,IF($A105=$A104,AM104,1))-R105&lt;0),-1,MIN(1,IF($A105=$A104,AM104,1)-R105+$D$2))</f>
        <v>-1</v>
      </c>
      <c r="AN105">
        <f>IF(OR($J105=1,COUNTIFS($A$5:$A104,"&gt;="&amp;$A105-1,$A$5:$A104,"&lt;="&amp;$A105,$B$5:$B104,$B105)&gt;0,MIN(1-'Exercise list'!H$2,IF($A105=$A104,AN104,1))-S105&lt;0),-1,MIN(1,IF($A105=$A104,AN104,1)-S105+$D$2))</f>
        <v>-1</v>
      </c>
      <c r="AO105">
        <f>IF(OR($J105=1,COUNTIFS($A$5:$A104,"&gt;="&amp;$A105-1,$A$5:$A104,"&lt;="&amp;$A105,$B$5:$B104,$B105)&gt;0,MIN(1-'Exercise list'!I$2,IF($A105=$A104,AO104,1))-T105&lt;0),-1,MIN(1,IF($A105=$A104,AO104,1)-T105+$D$2))</f>
        <v>-1</v>
      </c>
      <c r="AP105">
        <f>IF(OR($J105=1,COUNTIFS($A$5:$A104,"&gt;="&amp;$A105-1,$A$5:$A104,"&lt;="&amp;$A105,$B$5:$B104,$B105)&gt;0,MIN(1-'Exercise list'!J$2,IF($A105=$A104,AP104,1))-U105&lt;0),-1,MIN(1,IF($A105=$A104,AP104,1)-U105+$D$2))</f>
        <v>-1</v>
      </c>
      <c r="AQ105">
        <f>IF(OR($J105=1,COUNTIFS($A$5:$A104,"&gt;="&amp;$A105-1,$A$5:$A104,"&lt;="&amp;$A105,$B$5:$B104,$B105)&gt;0,MIN(1-'Exercise list'!K$2,IF($A105=$A104,AQ104,1))-V105&lt;0),-1,MIN(1,IF($A105=$A104,AQ104,1)-V105+$D$2))</f>
        <v>-1</v>
      </c>
      <c r="AR105">
        <f>IF(OR($J105=1,COUNTIFS($A$5:$A104,"&gt;="&amp;$A105-1,$A$5:$A104,"&lt;="&amp;$A105,$B$5:$B104,$B105)&gt;0,MIN(1-'Exercise list'!L$2,IF($A105=$A104,AR104,1))-W105&lt;0),-1,MIN(1,IF($A105=$A104,AR104,1)-W105+$D$2))</f>
        <v>-1</v>
      </c>
      <c r="AS105">
        <f>IF(OR($J105=1,COUNTIFS($A$5:$A104,"&gt;="&amp;$A105-1,$A$5:$A104,"&lt;="&amp;$A105,$B$5:$B104,$B105)&gt;0,MIN(1-'Exercise list'!M$2,IF($A105=$A104,AS104,1))-X105&lt;0),-1,MIN(1,IF($A105=$A104,AS104,1)-X105+$D$2))</f>
        <v>-1</v>
      </c>
      <c r="AT105">
        <f>IF(OR($J105=1,COUNTIFS($A$5:$A104,"&gt;="&amp;$A105-1,$A$5:$A104,"&lt;="&amp;$A105,$B$5:$B104,$B105)&gt;0,MIN(1-'Exercise list'!N$2,IF($A105=$A104,AT104,1))-Y105&lt;0),-1,MIN(1,IF($A105=$A104,AT104,1)-Y105+$D$2))</f>
        <v>-1</v>
      </c>
      <c r="AU105">
        <f>IF(OR($J105=1,COUNTIFS($A$5:$A104,"&gt;="&amp;$A105-1,$A$5:$A104,"&lt;="&amp;$A105,$B$5:$B104,$B105)&gt;0,MIN(1-'Exercise list'!O$2,IF($A105=$A104,AU104,1))-Z105&lt;0),-1,MIN(1,IF($A105=$A104,AU104,1)-Z105+$D$2))</f>
        <v>-1</v>
      </c>
      <c r="AV105">
        <f>IF(OR($J105=1,COUNTIFS($A$5:$A104,"&gt;="&amp;$A105-1,$A$5:$A104,"&lt;="&amp;$A105,$B$5:$B104,$B105)&gt;0,MIN(1-'Exercise list'!P$2,IF($A105=$A104,AV104,1))-AA105&lt;0),-1,MIN(1,IF($A105=$A104,AV104,1)-AA105+$D$2))</f>
        <v>-1</v>
      </c>
      <c r="AW105">
        <f>IF(OR($J105=1,COUNTIFS($A$5:$A104,"&gt;="&amp;$A105-1,$A$5:$A104,"&lt;="&amp;$A105,$B$5:$B104,$B105)&gt;0,MIN(1-'Exercise list'!Q$2,IF($A105=$A104,AW104,1))-AB105&lt;0),-1,MIN(1,IF($A105=$A104,AW104,1)-AB105+$D$2))</f>
        <v>-1</v>
      </c>
      <c r="AX105">
        <f>IF(OR($J105=1,COUNTIFS($A$5:$A104,"&gt;="&amp;$A105-1,$A$5:$A104,"&lt;="&amp;$A105,$B$5:$B104,$B105)&gt;0,MIN(1-'Exercise list'!R$2,IF($A105=$A104,AX104,1))-AC105&lt;0),-1,MIN(1,IF($A105=$A104,AX104,1)-AC105+$D$2))</f>
        <v>-1</v>
      </c>
      <c r="AY105">
        <f>IF(OR($J105=1,COUNTIFS($A$5:$A104,"&gt;="&amp;$A105-1,$A$5:$A104,"&lt;="&amp;$A105,$B$5:$B104,$B105)&gt;0,MIN(1-'Exercise list'!S$2,IF($A105=$A104,AY104,1))-AD105&lt;0),-1,MIN(1,IF($A105=$A104,AY104,1)-AD105+$D$2))</f>
        <v>-1</v>
      </c>
      <c r="AZ105">
        <f>IF(OR($J105=1,COUNTIFS($A$5:$A104,"&gt;="&amp;$A105-1,$A$5:$A104,"&lt;="&amp;$A105,$B$5:$B104,$B105)&gt;0,MIN(1-'Exercise list'!T$2,IF($A105=$A104,AZ104,1))-AE105&lt;0),-1,MIN(1,IF($A105=$A104,AZ104,1)-AE105+$D$2))</f>
        <v>-1</v>
      </c>
      <c r="BA105">
        <f>IF(OR($J105=1,COUNTIFS($A$5:$A104,"&gt;="&amp;$A105-1,$A$5:$A104,"&lt;="&amp;$A105,$B$5:$B104,$B105)&gt;0,MIN(1-'Exercise list'!U$2,IF($A105=$A104,BA104,1))-AF105&lt;0),-1,MIN(1,IF($A105=$A104,BA104,1)-AF105+$D$2))</f>
        <v>-1</v>
      </c>
      <c r="BB105">
        <f>IF(OR($J105=1,COUNTIFS($A$5:$A104,"&gt;="&amp;$A105-1,$A$5:$A104,"&lt;="&amp;$A105,$B$5:$B104,$B105)&gt;0,MIN(1-'Exercise list'!V$2,IF($A105=$A104,BB104,1))-AG105&lt;0),-1,MIN(1,IF($A105=$A104,BB104,1)-AG105+$D$2))</f>
        <v>-1</v>
      </c>
      <c r="BC105">
        <f>IF(OR($J105=1,COUNTIFS($A$5:$A104,"&gt;="&amp;$A105-1,$A$5:$A104,"&lt;="&amp;$A105,$B$5:$B104,$B105)&gt;0,MIN(1-'Exercise list'!W$2,IF($A105=$A104,BC104,1))-AH105&lt;0),-1,MIN(1,IF($A105=$A104,BC104,1)-AH105+$D$2))</f>
        <v>-1</v>
      </c>
      <c r="BD105">
        <f>IF(OR($J105=1,COUNTIFS($A$5:$A104,"&gt;="&amp;$A105-1,$A$5:$A104,"&lt;="&amp;$A105,$B$5:$B104,$B105)&gt;0,MIN(1-'Exercise list'!X$2,IF($A105=$A104,BD104,1))-AI105&lt;0),-1,MIN(1,IF($A105=$A104,BD104,1)-AI105+$D$2))</f>
        <v>-1</v>
      </c>
      <c r="BF105" s="16">
        <f t="shared" si="100"/>
        <v>0.16051829809394363</v>
      </c>
      <c r="BG105" s="16">
        <f t="shared" si="101"/>
        <v>0.21293010073290777</v>
      </c>
      <c r="BH105" s="16">
        <f t="shared" si="102"/>
        <v>0.1479959368723899</v>
      </c>
      <c r="BI105" s="16">
        <f t="shared" si="103"/>
        <v>0.17891763938927843</v>
      </c>
      <c r="BJ105" s="16">
        <f t="shared" si="104"/>
        <v>0.16154759569817051</v>
      </c>
      <c r="BK105" s="16">
        <f t="shared" si="105"/>
        <v>0.12706977288363908</v>
      </c>
      <c r="BL105" s="16">
        <f t="shared" si="106"/>
        <v>0.19922556316445608</v>
      </c>
      <c r="BM105" s="16">
        <f t="shared" si="107"/>
        <v>4.1271020469031743E-2</v>
      </c>
      <c r="BN105" s="16">
        <f t="shared" si="108"/>
        <v>0.1301244674300972</v>
      </c>
      <c r="BO105" s="16">
        <f t="shared" si="109"/>
        <v>0.24796537069725066</v>
      </c>
      <c r="BP105" s="16">
        <f t="shared" si="110"/>
        <v>0.29529813304936919</v>
      </c>
      <c r="BQ105" s="16">
        <f t="shared" si="111"/>
        <v>3.4851647803718987E-2</v>
      </c>
      <c r="BR105" s="16">
        <f t="shared" si="112"/>
        <v>0.12452039565480233</v>
      </c>
      <c r="BS105" s="16">
        <f t="shared" si="113"/>
        <v>2.1472608293000049E-2</v>
      </c>
      <c r="BT105" s="16">
        <f t="shared" si="114"/>
        <v>0.16375951460031207</v>
      </c>
      <c r="BU105" s="16">
        <f t="shared" si="115"/>
        <v>0.18156942452151134</v>
      </c>
      <c r="BV105" s="16">
        <f t="shared" si="116"/>
        <v>0.22846953468613421</v>
      </c>
      <c r="BW105" s="16">
        <f t="shared" si="117"/>
        <v>0.10784298734655313</v>
      </c>
      <c r="BX105" s="16">
        <f t="shared" si="118"/>
        <v>7.696022922094331E-2</v>
      </c>
      <c r="BY105" s="16">
        <f t="shared" si="119"/>
        <v>4.423682351455005E-2</v>
      </c>
      <c r="CA105" s="16">
        <f t="shared" si="56"/>
        <v>5.3300002952134856E-2</v>
      </c>
      <c r="CB105" s="16">
        <f t="shared" si="57"/>
        <v>8.8820031317071724E-4</v>
      </c>
      <c r="CC105" s="16">
        <f t="shared" si="58"/>
        <v>0</v>
      </c>
      <c r="CD105" s="16">
        <f t="shared" si="59"/>
        <v>0</v>
      </c>
      <c r="CE105" s="16">
        <f t="shared" si="60"/>
        <v>0</v>
      </c>
      <c r="CF105" s="16">
        <f t="shared" si="61"/>
        <v>0.19365767868547867</v>
      </c>
      <c r="CG105" s="16">
        <f t="shared" si="62"/>
        <v>0</v>
      </c>
      <c r="CH105" s="16">
        <f t="shared" si="63"/>
        <v>6.563813005400751E-2</v>
      </c>
      <c r="CI105" s="16">
        <f t="shared" si="64"/>
        <v>8.3693833615981289E-2</v>
      </c>
      <c r="CJ105" s="16">
        <f t="shared" si="65"/>
        <v>0</v>
      </c>
      <c r="CK105" s="16">
        <f t="shared" si="66"/>
        <v>0</v>
      </c>
      <c r="CL105" s="16">
        <f t="shared" si="67"/>
        <v>7.2057502719320266E-2</v>
      </c>
      <c r="CM105" s="16">
        <f t="shared" si="68"/>
        <v>8.9297905391276161E-2</v>
      </c>
      <c r="CN105" s="16">
        <f t="shared" si="69"/>
        <v>8.54365422300392E-2</v>
      </c>
      <c r="CO105" s="16">
        <f t="shared" si="70"/>
        <v>0</v>
      </c>
      <c r="CP105" s="16">
        <f t="shared" si="71"/>
        <v>0</v>
      </c>
      <c r="CQ105" s="16">
        <f t="shared" si="72"/>
        <v>0</v>
      </c>
      <c r="CR105" s="16">
        <f t="shared" si="73"/>
        <v>0</v>
      </c>
      <c r="CS105" s="16">
        <f t="shared" si="74"/>
        <v>2.9948921302095935E-2</v>
      </c>
      <c r="CT105" s="16">
        <f t="shared" si="75"/>
        <v>6.2672327008489195E-2</v>
      </c>
    </row>
    <row r="106" spans="1:99" x14ac:dyDescent="0.25">
      <c r="A106" s="13">
        <v>45079</v>
      </c>
      <c r="B106" s="14">
        <v>44</v>
      </c>
      <c r="C106" s="15" t="str" cm="1">
        <f t="array" ref="C106">IF(B106="","",INDEX('Exercise list'!$C$5:$C$102,B106))</f>
        <v>Leg presses</v>
      </c>
      <c r="D106" s="12">
        <f t="shared" si="97"/>
        <v>-1</v>
      </c>
      <c r="E106" s="107">
        <f t="shared" si="120"/>
        <v>0</v>
      </c>
      <c r="F106" s="63" cm="1">
        <f t="array" ref="F106">IF(B106="","",0.1+IFERROR(INDEX($F$6:$F105,SUMPRODUCT(MAX(ROW($C$6:$C105)*($C106=$C$6:$C105))-ROW($A$5)))*0.9^($A106-INDEX($A$6:A105,SUMPRODUCT(MAX(ROW($C$6:$C105)*($C106=$C$6:$C105))-ROW($A$5)))),0))</f>
        <v>0.17311369906595664</v>
      </c>
      <c r="G106" s="64">
        <f>INDEX('Exercise list'!$Y$5:$Y$102,MATCH(C106,'Exercise list'!$C$5:$C$102,0))</f>
        <v>2</v>
      </c>
      <c r="H106" s="115">
        <f t="shared" si="98"/>
        <v>6.5835430875479509E-2</v>
      </c>
      <c r="I106" s="6">
        <f t="shared" si="99"/>
        <v>3</v>
      </c>
      <c r="J106" s="6" cm="1">
        <f t="array" ref="J106">IF(B106="","",INDEX('Exercise list'!$D$5:$D$102,B106))</f>
        <v>0</v>
      </c>
      <c r="K106" s="12">
        <v>38</v>
      </c>
      <c r="L106" s="74" t="str" cm="1">
        <f t="array" ref="L106">IF(K106="","",INDEX('Exercise list'!$C$5:$C$102,K106))</f>
        <v>Cable hip abductions</v>
      </c>
      <c r="M106" s="6">
        <v>44</v>
      </c>
      <c r="N106" s="75" t="str" cm="1">
        <f t="array" ref="N106">IF(M106="","",INDEX('Exercise list'!$C$5:$C$102,M106))</f>
        <v>Leg presses</v>
      </c>
      <c r="P106">
        <f>IFERROR(INDEX('Exercise list'!$E$5:$X$102,MATCH($C106,'Exercise list'!$C$5:$C$102,0),MATCH(P$5,'Exercise list'!$E$4:$X$4,0)),0)</f>
        <v>0</v>
      </c>
      <c r="Q106">
        <f>IFERROR(INDEX('Exercise list'!$E$5:$X$102,MATCH($C106,'Exercise list'!$C$5:$C$102,0),MATCH(Q$5,'Exercise list'!$E$4:$X$4,0)),0)</f>
        <v>0</v>
      </c>
      <c r="R106">
        <f>IFERROR(INDEX('Exercise list'!$E$5:$X$102,MATCH($C106,'Exercise list'!$C$5:$C$102,0),MATCH(R$5,'Exercise list'!$E$4:$X$4,0)),0)</f>
        <v>0</v>
      </c>
      <c r="S106">
        <f>IFERROR(INDEX('Exercise list'!$E$5:$X$102,MATCH($C106,'Exercise list'!$C$5:$C$102,0),MATCH(S$5,'Exercise list'!$E$4:$X$4,0)),0)</f>
        <v>0</v>
      </c>
      <c r="T106">
        <f>IFERROR(INDEX('Exercise list'!$E$5:$X$102,MATCH($C106,'Exercise list'!$C$5:$C$102,0),MATCH(T$5,'Exercise list'!$E$4:$X$4,0)),0)</f>
        <v>0</v>
      </c>
      <c r="U106">
        <f>IFERROR(INDEX('Exercise list'!$E$5:$X$102,MATCH($C106,'Exercise list'!$C$5:$C$102,0),MATCH(U$5,'Exercise list'!$E$4:$X$4,0)),0)</f>
        <v>0</v>
      </c>
      <c r="V106">
        <f>IFERROR(INDEX('Exercise list'!$E$5:$X$102,MATCH($C106,'Exercise list'!$C$5:$C$102,0),MATCH(V$5,'Exercise list'!$E$4:$X$4,0)),0)</f>
        <v>0</v>
      </c>
      <c r="W106">
        <f>IFERROR(INDEX('Exercise list'!$E$5:$X$102,MATCH($C106,'Exercise list'!$C$5:$C$102,0),MATCH(W$5,'Exercise list'!$E$4:$X$4,0)),0)</f>
        <v>0</v>
      </c>
      <c r="X106">
        <f>IFERROR(INDEX('Exercise list'!$E$5:$X$102,MATCH($C106,'Exercise list'!$C$5:$C$102,0),MATCH(X$5,'Exercise list'!$E$4:$X$4,0)),0)</f>
        <v>0</v>
      </c>
      <c r="Y106">
        <f>IFERROR(INDEX('Exercise list'!$E$5:$X$102,MATCH($C106,'Exercise list'!$C$5:$C$102,0),MATCH(Y$5,'Exercise list'!$E$4:$X$4,0)),0)</f>
        <v>0</v>
      </c>
      <c r="Z106">
        <f>IFERROR(INDEX('Exercise list'!$E$5:$X$102,MATCH($C106,'Exercise list'!$C$5:$C$102,0),MATCH(Z$5,'Exercise list'!$E$4:$X$4,0)),0)</f>
        <v>0</v>
      </c>
      <c r="AA106">
        <f>IFERROR(INDEX('Exercise list'!$E$5:$X$102,MATCH($C106,'Exercise list'!$C$5:$C$102,0),MATCH(AA$5,'Exercise list'!$E$4:$X$4,0)),0)</f>
        <v>0</v>
      </c>
      <c r="AB106">
        <f>IFERROR(INDEX('Exercise list'!$E$5:$X$102,MATCH($C106,'Exercise list'!$C$5:$C$102,0),MATCH(AB$5,'Exercise list'!$E$4:$X$4,0)),0)</f>
        <v>0</v>
      </c>
      <c r="AC106">
        <f>IFERROR(INDEX('Exercise list'!$E$5:$X$102,MATCH($C106,'Exercise list'!$C$5:$C$102,0),MATCH(AC$5,'Exercise list'!$E$4:$X$4,0)),0)</f>
        <v>0</v>
      </c>
      <c r="AD106">
        <f>IFERROR(INDEX('Exercise list'!$E$5:$X$102,MATCH($C106,'Exercise list'!$C$5:$C$102,0),MATCH(AD$5,'Exercise list'!$E$4:$X$4,0)),0)</f>
        <v>0.9</v>
      </c>
      <c r="AE106">
        <f>IFERROR(INDEX('Exercise list'!$E$5:$X$102,MATCH($C106,'Exercise list'!$C$5:$C$102,0),MATCH(AE$5,'Exercise list'!$E$4:$X$4,0)),0)</f>
        <v>0.7</v>
      </c>
      <c r="AF106">
        <f>IFERROR(INDEX('Exercise list'!$E$5:$X$102,MATCH($C106,'Exercise list'!$C$5:$C$102,0),MATCH(AF$5,'Exercise list'!$E$4:$X$4,0)),0)</f>
        <v>0.9</v>
      </c>
      <c r="AG106">
        <f>IFERROR(INDEX('Exercise list'!$E$5:$X$102,MATCH($C106,'Exercise list'!$C$5:$C$102,0),MATCH(AG$5,'Exercise list'!$E$4:$X$4,0)),0)</f>
        <v>0.5</v>
      </c>
      <c r="AH106">
        <f>IFERROR(INDEX('Exercise list'!$E$5:$X$102,MATCH($C106,'Exercise list'!$C$5:$C$102,0),MATCH(AH$5,'Exercise list'!$E$4:$X$4,0)),0)</f>
        <v>0.6</v>
      </c>
      <c r="AI106">
        <f>IFERROR(INDEX('Exercise list'!$E$5:$X$102,MATCH($C106,'Exercise list'!$C$5:$C$102,0),MATCH(AI$5,'Exercise list'!$E$4:$X$4,0)),0)</f>
        <v>0</v>
      </c>
      <c r="AK106">
        <f>IF(OR($J106=1,COUNTIFS($A$5:$A105,"&gt;="&amp;$A106-1,$A$5:$A105,"&lt;="&amp;$A106,$B$5:$B105,$B106)&gt;0,MIN(1-'Exercise list'!E$2,IF($A106=$A105,AK105,1))-P106&lt;0),-1,MIN(1,IF($A106=$A105,AK105,1)-P106+$D$2))</f>
        <v>-1</v>
      </c>
      <c r="AL106">
        <f>IF(OR($J106=1,COUNTIFS($A$5:$A105,"&gt;="&amp;$A106-1,$A$5:$A105,"&lt;="&amp;$A106,$B$5:$B105,$B106)&gt;0,MIN(1-'Exercise list'!F$2,IF($A106=$A105,AL105,1))-Q106&lt;0),-1,MIN(1,IF($A106=$A105,AL105,1)-Q106+$D$2))</f>
        <v>-1</v>
      </c>
      <c r="AM106">
        <f>IF(OR($J106=1,COUNTIFS($A$5:$A105,"&gt;="&amp;$A106-1,$A$5:$A105,"&lt;="&amp;$A106,$B$5:$B105,$B106)&gt;0,MIN(1-'Exercise list'!G$2,IF($A106=$A105,AM105,1))-R106&lt;0),-1,MIN(1,IF($A106=$A105,AM105,1)-R106+$D$2))</f>
        <v>-1</v>
      </c>
      <c r="AN106">
        <f>IF(OR($J106=1,COUNTIFS($A$5:$A105,"&gt;="&amp;$A106-1,$A$5:$A105,"&lt;="&amp;$A106,$B$5:$B105,$B106)&gt;0,MIN(1-'Exercise list'!H$2,IF($A106=$A105,AN105,1))-S106&lt;0),-1,MIN(1,IF($A106=$A105,AN105,1)-S106+$D$2))</f>
        <v>-1</v>
      </c>
      <c r="AO106">
        <f>IF(OR($J106=1,COUNTIFS($A$5:$A105,"&gt;="&amp;$A106-1,$A$5:$A105,"&lt;="&amp;$A106,$B$5:$B105,$B106)&gt;0,MIN(1-'Exercise list'!I$2,IF($A106=$A105,AO105,1))-T106&lt;0),-1,MIN(1,IF($A106=$A105,AO105,1)-T106+$D$2))</f>
        <v>-1</v>
      </c>
      <c r="AP106">
        <f>IF(OR($J106=1,COUNTIFS($A$5:$A105,"&gt;="&amp;$A106-1,$A$5:$A105,"&lt;="&amp;$A106,$B$5:$B105,$B106)&gt;0,MIN(1-'Exercise list'!J$2,IF($A106=$A105,AP105,1))-U106&lt;0),-1,MIN(1,IF($A106=$A105,AP105,1)-U106+$D$2))</f>
        <v>-1</v>
      </c>
      <c r="AQ106">
        <f>IF(OR($J106=1,COUNTIFS($A$5:$A105,"&gt;="&amp;$A106-1,$A$5:$A105,"&lt;="&amp;$A106,$B$5:$B105,$B106)&gt;0,MIN(1-'Exercise list'!K$2,IF($A106=$A105,AQ105,1))-V106&lt;0),-1,MIN(1,IF($A106=$A105,AQ105,1)-V106+$D$2))</f>
        <v>-1</v>
      </c>
      <c r="AR106">
        <f>IF(OR($J106=1,COUNTIFS($A$5:$A105,"&gt;="&amp;$A106-1,$A$5:$A105,"&lt;="&amp;$A106,$B$5:$B105,$B106)&gt;0,MIN(1-'Exercise list'!L$2,IF($A106=$A105,AR105,1))-W106&lt;0),-1,MIN(1,IF($A106=$A105,AR105,1)-W106+$D$2))</f>
        <v>-1</v>
      </c>
      <c r="AS106">
        <f>IF(OR($J106=1,COUNTIFS($A$5:$A105,"&gt;="&amp;$A106-1,$A$5:$A105,"&lt;="&amp;$A106,$B$5:$B105,$B106)&gt;0,MIN(1-'Exercise list'!M$2,IF($A106=$A105,AS105,1))-X106&lt;0),-1,MIN(1,IF($A106=$A105,AS105,1)-X106+$D$2))</f>
        <v>-1</v>
      </c>
      <c r="AT106">
        <f>IF(OR($J106=1,COUNTIFS($A$5:$A105,"&gt;="&amp;$A106-1,$A$5:$A105,"&lt;="&amp;$A106,$B$5:$B105,$B106)&gt;0,MIN(1-'Exercise list'!N$2,IF($A106=$A105,AT105,1))-Y106&lt;0),-1,MIN(1,IF($A106=$A105,AT105,1)-Y106+$D$2))</f>
        <v>-1</v>
      </c>
      <c r="AU106">
        <f>IF(OR($J106=1,COUNTIFS($A$5:$A105,"&gt;="&amp;$A106-1,$A$5:$A105,"&lt;="&amp;$A106,$B$5:$B105,$B106)&gt;0,MIN(1-'Exercise list'!O$2,IF($A106=$A105,AU105,1))-Z106&lt;0),-1,MIN(1,IF($A106=$A105,AU105,1)-Z106+$D$2))</f>
        <v>-1</v>
      </c>
      <c r="AV106">
        <f>IF(OR($J106=1,COUNTIFS($A$5:$A105,"&gt;="&amp;$A106-1,$A$5:$A105,"&lt;="&amp;$A106,$B$5:$B105,$B106)&gt;0,MIN(1-'Exercise list'!P$2,IF($A106=$A105,AV105,1))-AA106&lt;0),-1,MIN(1,IF($A106=$A105,AV105,1)-AA106+$D$2))</f>
        <v>-1</v>
      </c>
      <c r="AW106">
        <f>IF(OR($J106=1,COUNTIFS($A$5:$A105,"&gt;="&amp;$A106-1,$A$5:$A105,"&lt;="&amp;$A106,$B$5:$B105,$B106)&gt;0,MIN(1-'Exercise list'!Q$2,IF($A106=$A105,AW105,1))-AB106&lt;0),-1,MIN(1,IF($A106=$A105,AW105,1)-AB106+$D$2))</f>
        <v>-1</v>
      </c>
      <c r="AX106">
        <f>IF(OR($J106=1,COUNTIFS($A$5:$A105,"&gt;="&amp;$A106-1,$A$5:$A105,"&lt;="&amp;$A106,$B$5:$B105,$B106)&gt;0,MIN(1-'Exercise list'!R$2,IF($A106=$A105,AX105,1))-AC106&lt;0),-1,MIN(1,IF($A106=$A105,AX105,1)-AC106+$D$2))</f>
        <v>-1</v>
      </c>
      <c r="AY106">
        <f>IF(OR($J106=1,COUNTIFS($A$5:$A105,"&gt;="&amp;$A106-1,$A$5:$A105,"&lt;="&amp;$A106,$B$5:$B105,$B106)&gt;0,MIN(1-'Exercise list'!S$2,IF($A106=$A105,AY105,1))-AD106&lt;0),-1,MIN(1,IF($A106=$A105,AY105,1)-AD106+$D$2))</f>
        <v>-1</v>
      </c>
      <c r="AZ106">
        <f>IF(OR($J106=1,COUNTIFS($A$5:$A105,"&gt;="&amp;$A106-1,$A$5:$A105,"&lt;="&amp;$A106,$B$5:$B105,$B106)&gt;0,MIN(1-'Exercise list'!T$2,IF($A106=$A105,AZ105,1))-AE106&lt;0),-1,MIN(1,IF($A106=$A105,AZ105,1)-AE106+$D$2))</f>
        <v>-1</v>
      </c>
      <c r="BA106">
        <f>IF(OR($J106=1,COUNTIFS($A$5:$A105,"&gt;="&amp;$A106-1,$A$5:$A105,"&lt;="&amp;$A106,$B$5:$B105,$B106)&gt;0,MIN(1-'Exercise list'!U$2,IF($A106=$A105,BA105,1))-AF106&lt;0),-1,MIN(1,IF($A106=$A105,BA105,1)-AF106+$D$2))</f>
        <v>-1</v>
      </c>
      <c r="BB106">
        <f>IF(OR($J106=1,COUNTIFS($A$5:$A105,"&gt;="&amp;$A106-1,$A$5:$A105,"&lt;="&amp;$A106,$B$5:$B105,$B106)&gt;0,MIN(1-'Exercise list'!V$2,IF($A106=$A105,BB105,1))-AG106&lt;0),-1,MIN(1,IF($A106=$A105,BB105,1)-AG106+$D$2))</f>
        <v>-1</v>
      </c>
      <c r="BC106">
        <f>IF(OR($J106=1,COUNTIFS($A$5:$A105,"&gt;="&amp;$A106-1,$A$5:$A105,"&lt;="&amp;$A106,$B$5:$B105,$B106)&gt;0,MIN(1-'Exercise list'!W$2,IF($A106=$A105,BC105,1))-AH106&lt;0),-1,MIN(1,IF($A106=$A105,BC105,1)-AH106+$D$2))</f>
        <v>-1</v>
      </c>
      <c r="BD106">
        <f>IF(OR($J106=1,COUNTIFS($A$5:$A105,"&gt;="&amp;$A106-1,$A$5:$A105,"&lt;="&amp;$A106,$B$5:$B105,$B106)&gt;0,MIN(1-'Exercise list'!X$2,IF($A106=$A105,BD105,1))-AI106&lt;0),-1,MIN(1,IF($A106=$A105,BD105,1)-AI106+$D$2))</f>
        <v>-1</v>
      </c>
      <c r="BF106" s="16">
        <f t="shared" si="100"/>
        <v>0.15249238318924643</v>
      </c>
      <c r="BG106" s="16">
        <f t="shared" si="101"/>
        <v>0.20228359569626236</v>
      </c>
      <c r="BH106" s="16">
        <f t="shared" si="102"/>
        <v>0.14059614002877041</v>
      </c>
      <c r="BI106" s="16">
        <f t="shared" si="103"/>
        <v>0.16997175741981449</v>
      </c>
      <c r="BJ106" s="16">
        <f t="shared" si="104"/>
        <v>0.15347021591326199</v>
      </c>
      <c r="BK106" s="16">
        <f t="shared" si="105"/>
        <v>0.12071628423945711</v>
      </c>
      <c r="BL106" s="16">
        <f t="shared" si="106"/>
        <v>0.18926428500623327</v>
      </c>
      <c r="BM106" s="16">
        <f t="shared" si="107"/>
        <v>3.9207469445580151E-2</v>
      </c>
      <c r="BN106" s="16">
        <f t="shared" si="108"/>
        <v>0.12361824405859234</v>
      </c>
      <c r="BO106" s="16">
        <f t="shared" si="109"/>
        <v>0.23556710216238813</v>
      </c>
      <c r="BP106" s="16">
        <f t="shared" si="110"/>
        <v>0.2805332263969007</v>
      </c>
      <c r="BQ106" s="16">
        <f t="shared" si="111"/>
        <v>3.3109065413533034E-2</v>
      </c>
      <c r="BR106" s="16">
        <f t="shared" si="112"/>
        <v>0.11829437587206221</v>
      </c>
      <c r="BS106" s="16">
        <f t="shared" si="113"/>
        <v>2.0398977878350044E-2</v>
      </c>
      <c r="BT106" s="16">
        <f t="shared" si="114"/>
        <v>0.20057153887029647</v>
      </c>
      <c r="BU106" s="16">
        <f t="shared" si="115"/>
        <v>0.20749095329543576</v>
      </c>
      <c r="BV106" s="16">
        <f t="shared" si="116"/>
        <v>0.2620460579518275</v>
      </c>
      <c r="BW106" s="16">
        <f t="shared" si="117"/>
        <v>0.12745083797922546</v>
      </c>
      <c r="BX106" s="16">
        <f t="shared" si="118"/>
        <v>0.10311221775989614</v>
      </c>
      <c r="BY106" s="16">
        <f t="shared" si="119"/>
        <v>4.2024982338822549E-2</v>
      </c>
      <c r="CA106" s="16">
        <f t="shared" si="56"/>
        <v>6.3968336137861515E-2</v>
      </c>
      <c r="CB106" s="16">
        <f t="shared" si="57"/>
        <v>1.4177123630845584E-2</v>
      </c>
      <c r="CC106" s="16">
        <f t="shared" si="58"/>
        <v>0</v>
      </c>
      <c r="CD106" s="16">
        <f t="shared" si="59"/>
        <v>0</v>
      </c>
      <c r="CE106" s="16">
        <f t="shared" si="60"/>
        <v>0</v>
      </c>
      <c r="CF106" s="16">
        <f t="shared" si="61"/>
        <v>0.20397479475120484</v>
      </c>
      <c r="CG106" s="16">
        <f t="shared" si="62"/>
        <v>0</v>
      </c>
      <c r="CH106" s="16">
        <f t="shared" si="63"/>
        <v>6.9022890217973823E-2</v>
      </c>
      <c r="CI106" s="16">
        <f t="shared" si="64"/>
        <v>9.2842475268515606E-2</v>
      </c>
      <c r="CJ106" s="16">
        <f t="shared" si="65"/>
        <v>0</v>
      </c>
      <c r="CK106" s="16">
        <f t="shared" si="66"/>
        <v>0</v>
      </c>
      <c r="CL106" s="16">
        <f t="shared" si="67"/>
        <v>7.512129425002094E-2</v>
      </c>
      <c r="CM106" s="16">
        <f t="shared" si="68"/>
        <v>9.816634345504574E-2</v>
      </c>
      <c r="CN106" s="16">
        <f t="shared" si="69"/>
        <v>8.783138178520393E-2</v>
      </c>
      <c r="CO106" s="16">
        <f t="shared" si="70"/>
        <v>0</v>
      </c>
      <c r="CP106" s="16">
        <f t="shared" si="71"/>
        <v>0</v>
      </c>
      <c r="CQ106" s="16">
        <f t="shared" si="72"/>
        <v>0</v>
      </c>
      <c r="CR106" s="16">
        <f t="shared" si="73"/>
        <v>0</v>
      </c>
      <c r="CS106" s="16">
        <f t="shared" si="74"/>
        <v>5.1181419036578357E-3</v>
      </c>
      <c r="CT106" s="16">
        <f t="shared" si="75"/>
        <v>6.6205377324731418E-2</v>
      </c>
    </row>
    <row r="107" spans="1:99" x14ac:dyDescent="0.25">
      <c r="A107" s="13">
        <v>45079</v>
      </c>
      <c r="B107" s="14">
        <v>55</v>
      </c>
      <c r="C107" s="15" t="str" cm="1">
        <f t="array" ref="C107">IF(B107="","",INDEX('Exercise list'!$C$5:$C$102,B107))</f>
        <v>Egyptian cable lateral raises</v>
      </c>
      <c r="D107" s="12">
        <f t="shared" si="97"/>
        <v>-1</v>
      </c>
      <c r="E107" s="107">
        <f t="shared" si="120"/>
        <v>0</v>
      </c>
      <c r="F107" s="63" cm="1">
        <f t="array" ref="F107">IF(B107="","",0.1+IFERROR(INDEX($F$6:$F106,SUMPRODUCT(MAX(ROW($C$6:$C106)*($C107=$C$6:$C106))-ROW($A$5)))*0.9^($A107-INDEX($A$6:A106,SUMPRODUCT(MAX(ROW($C$6:$C106)*($C107=$C$6:$C106))-ROW($A$5)))),0))</f>
        <v>0.17788546233187957</v>
      </c>
      <c r="G107" s="64">
        <f>INDEX('Exercise list'!$Y$5:$Y$102,MATCH(C107,'Exercise list'!$C$5:$C$102,0))</f>
        <v>1</v>
      </c>
      <c r="H107" s="115">
        <f t="shared" si="98"/>
        <v>5.8491943089925676E-2</v>
      </c>
      <c r="I107" s="6">
        <f t="shared" si="99"/>
        <v>4</v>
      </c>
      <c r="J107" s="6" cm="1">
        <f t="array" ref="J107">IF(B107="","",INDEX('Exercise list'!$D$5:$D$102,B107))</f>
        <v>0</v>
      </c>
      <c r="K107" s="12">
        <v>26</v>
      </c>
      <c r="L107" s="74" t="str" cm="1">
        <f t="array" ref="L107">IF(K107="","",INDEX('Exercise list'!$C$5:$C$102,K107))</f>
        <v>Dumbbell incline bench presses</v>
      </c>
      <c r="M107" s="6">
        <v>55</v>
      </c>
      <c r="N107" s="75" t="str" cm="1">
        <f t="array" ref="N107">IF(M107="","",INDEX('Exercise list'!$C$5:$C$102,M107))</f>
        <v>Egyptian cable lateral raises</v>
      </c>
      <c r="P107">
        <f>IFERROR(INDEX('Exercise list'!$E$5:$X$102,MATCH($C107,'Exercise list'!$C$5:$C$102,0),MATCH(P$5,'Exercise list'!$E$4:$X$4,0)),0)</f>
        <v>0</v>
      </c>
      <c r="Q107">
        <f>IFERROR(INDEX('Exercise list'!$E$5:$X$102,MATCH($C107,'Exercise list'!$C$5:$C$102,0),MATCH(Q$5,'Exercise list'!$E$4:$X$4,0)),0)</f>
        <v>0</v>
      </c>
      <c r="R107">
        <f>IFERROR(INDEX('Exercise list'!$E$5:$X$102,MATCH($C107,'Exercise list'!$C$5:$C$102,0),MATCH(R$5,'Exercise list'!$E$4:$X$4,0)),0)</f>
        <v>0</v>
      </c>
      <c r="S107">
        <f>IFERROR(INDEX('Exercise list'!$E$5:$X$102,MATCH($C107,'Exercise list'!$C$5:$C$102,0),MATCH(S$5,'Exercise list'!$E$4:$X$4,0)),0)</f>
        <v>0</v>
      </c>
      <c r="T107">
        <f>IFERROR(INDEX('Exercise list'!$E$5:$X$102,MATCH($C107,'Exercise list'!$C$5:$C$102,0),MATCH(T$5,'Exercise list'!$E$4:$X$4,0)),0)</f>
        <v>0</v>
      </c>
      <c r="U107">
        <f>IFERROR(INDEX('Exercise list'!$E$5:$X$102,MATCH($C107,'Exercise list'!$C$5:$C$102,0),MATCH(U$5,'Exercise list'!$E$4:$X$4,0)),0)</f>
        <v>1</v>
      </c>
      <c r="V107">
        <f>IFERROR(INDEX('Exercise list'!$E$5:$X$102,MATCH($C107,'Exercise list'!$C$5:$C$102,0),MATCH(V$5,'Exercise list'!$E$4:$X$4,0)),0)</f>
        <v>0.5</v>
      </c>
      <c r="W107">
        <f>IFERROR(INDEX('Exercise list'!$E$5:$X$102,MATCH($C107,'Exercise list'!$C$5:$C$102,0),MATCH(W$5,'Exercise list'!$E$4:$X$4,0)),0)</f>
        <v>0</v>
      </c>
      <c r="X107">
        <f>IFERROR(INDEX('Exercise list'!$E$5:$X$102,MATCH($C107,'Exercise list'!$C$5:$C$102,0),MATCH(X$5,'Exercise list'!$E$4:$X$4,0)),0)</f>
        <v>0</v>
      </c>
      <c r="Y107">
        <f>IFERROR(INDEX('Exercise list'!$E$5:$X$102,MATCH($C107,'Exercise list'!$C$5:$C$102,0),MATCH(Y$5,'Exercise list'!$E$4:$X$4,0)),0)</f>
        <v>0</v>
      </c>
      <c r="Z107">
        <f>IFERROR(INDEX('Exercise list'!$E$5:$X$102,MATCH($C107,'Exercise list'!$C$5:$C$102,0),MATCH(Z$5,'Exercise list'!$E$4:$X$4,0)),0)</f>
        <v>0</v>
      </c>
      <c r="AA107">
        <f>IFERROR(INDEX('Exercise list'!$E$5:$X$102,MATCH($C107,'Exercise list'!$C$5:$C$102,0),MATCH(AA$5,'Exercise list'!$E$4:$X$4,0)),0)</f>
        <v>0</v>
      </c>
      <c r="AB107">
        <f>IFERROR(INDEX('Exercise list'!$E$5:$X$102,MATCH($C107,'Exercise list'!$C$5:$C$102,0),MATCH(AB$5,'Exercise list'!$E$4:$X$4,0)),0)</f>
        <v>0</v>
      </c>
      <c r="AC107">
        <f>IFERROR(INDEX('Exercise list'!$E$5:$X$102,MATCH($C107,'Exercise list'!$C$5:$C$102,0),MATCH(AC$5,'Exercise list'!$E$4:$X$4,0)),0)</f>
        <v>0</v>
      </c>
      <c r="AD107">
        <f>IFERROR(INDEX('Exercise list'!$E$5:$X$102,MATCH($C107,'Exercise list'!$C$5:$C$102,0),MATCH(AD$5,'Exercise list'!$E$4:$X$4,0)),0)</f>
        <v>0</v>
      </c>
      <c r="AE107">
        <f>IFERROR(INDEX('Exercise list'!$E$5:$X$102,MATCH($C107,'Exercise list'!$C$5:$C$102,0),MATCH(AE$5,'Exercise list'!$E$4:$X$4,0)),0)</f>
        <v>0</v>
      </c>
      <c r="AF107">
        <f>IFERROR(INDEX('Exercise list'!$E$5:$X$102,MATCH($C107,'Exercise list'!$C$5:$C$102,0),MATCH(AF$5,'Exercise list'!$E$4:$X$4,0)),0)</f>
        <v>0</v>
      </c>
      <c r="AG107">
        <f>IFERROR(INDEX('Exercise list'!$E$5:$X$102,MATCH($C107,'Exercise list'!$C$5:$C$102,0),MATCH(AG$5,'Exercise list'!$E$4:$X$4,0)),0)</f>
        <v>0</v>
      </c>
      <c r="AH107">
        <f>IFERROR(INDEX('Exercise list'!$E$5:$X$102,MATCH($C107,'Exercise list'!$C$5:$C$102,0),MATCH(AH$5,'Exercise list'!$E$4:$X$4,0)),0)</f>
        <v>0</v>
      </c>
      <c r="AI107">
        <f>IFERROR(INDEX('Exercise list'!$E$5:$X$102,MATCH($C107,'Exercise list'!$C$5:$C$102,0),MATCH(AI$5,'Exercise list'!$E$4:$X$4,0)),0)</f>
        <v>0</v>
      </c>
      <c r="AK107">
        <f>IF(OR($J107=1,COUNTIFS($A$5:$A106,"&gt;="&amp;$A107-1,$A$5:$A106,"&lt;="&amp;$A107,$B$5:$B106,$B107)&gt;0,MIN(1-'Exercise list'!E$2,IF($A107=$A106,AK106,1))-P107&lt;0),-1,MIN(1,IF($A107=$A106,AK106,1)-P107+$D$2))</f>
        <v>-1</v>
      </c>
      <c r="AL107">
        <f>IF(OR($J107=1,COUNTIFS($A$5:$A106,"&gt;="&amp;$A107-1,$A$5:$A106,"&lt;="&amp;$A107,$B$5:$B106,$B107)&gt;0,MIN(1-'Exercise list'!F$2,IF($A107=$A106,AL106,1))-Q107&lt;0),-1,MIN(1,IF($A107=$A106,AL106,1)-Q107+$D$2))</f>
        <v>-1</v>
      </c>
      <c r="AM107">
        <f>IF(OR($J107=1,COUNTIFS($A$5:$A106,"&gt;="&amp;$A107-1,$A$5:$A106,"&lt;="&amp;$A107,$B$5:$B106,$B107)&gt;0,MIN(1-'Exercise list'!G$2,IF($A107=$A106,AM106,1))-R107&lt;0),-1,MIN(1,IF($A107=$A106,AM106,1)-R107+$D$2))</f>
        <v>-1</v>
      </c>
      <c r="AN107">
        <f>IF(OR($J107=1,COUNTIFS($A$5:$A106,"&gt;="&amp;$A107-1,$A$5:$A106,"&lt;="&amp;$A107,$B$5:$B106,$B107)&gt;0,MIN(1-'Exercise list'!H$2,IF($A107=$A106,AN106,1))-S107&lt;0),-1,MIN(1,IF($A107=$A106,AN106,1)-S107+$D$2))</f>
        <v>-1</v>
      </c>
      <c r="AO107">
        <f>IF(OR($J107=1,COUNTIFS($A$5:$A106,"&gt;="&amp;$A107-1,$A$5:$A106,"&lt;="&amp;$A107,$B$5:$B106,$B107)&gt;0,MIN(1-'Exercise list'!I$2,IF($A107=$A106,AO106,1))-T107&lt;0),-1,MIN(1,IF($A107=$A106,AO106,1)-T107+$D$2))</f>
        <v>-1</v>
      </c>
      <c r="AP107">
        <f>IF(OR($J107=1,COUNTIFS($A$5:$A106,"&gt;="&amp;$A107-1,$A$5:$A106,"&lt;="&amp;$A107,$B$5:$B106,$B107)&gt;0,MIN(1-'Exercise list'!J$2,IF($A107=$A106,AP106,1))-U107&lt;0),-1,MIN(1,IF($A107=$A106,AP106,1)-U107+$D$2))</f>
        <v>-1</v>
      </c>
      <c r="AQ107">
        <f>IF(OR($J107=1,COUNTIFS($A$5:$A106,"&gt;="&amp;$A107-1,$A$5:$A106,"&lt;="&amp;$A107,$B$5:$B106,$B107)&gt;0,MIN(1-'Exercise list'!K$2,IF($A107=$A106,AQ106,1))-V107&lt;0),-1,MIN(1,IF($A107=$A106,AQ106,1)-V107+$D$2))</f>
        <v>-1</v>
      </c>
      <c r="AR107">
        <f>IF(OR($J107=1,COUNTIFS($A$5:$A106,"&gt;="&amp;$A107-1,$A$5:$A106,"&lt;="&amp;$A107,$B$5:$B106,$B107)&gt;0,MIN(1-'Exercise list'!L$2,IF($A107=$A106,AR106,1))-W107&lt;0),-1,MIN(1,IF($A107=$A106,AR106,1)-W107+$D$2))</f>
        <v>-1</v>
      </c>
      <c r="AS107">
        <f>IF(OR($J107=1,COUNTIFS($A$5:$A106,"&gt;="&amp;$A107-1,$A$5:$A106,"&lt;="&amp;$A107,$B$5:$B106,$B107)&gt;0,MIN(1-'Exercise list'!M$2,IF($A107=$A106,AS106,1))-X107&lt;0),-1,MIN(1,IF($A107=$A106,AS106,1)-X107+$D$2))</f>
        <v>-1</v>
      </c>
      <c r="AT107">
        <f>IF(OR($J107=1,COUNTIFS($A$5:$A106,"&gt;="&amp;$A107-1,$A$5:$A106,"&lt;="&amp;$A107,$B$5:$B106,$B107)&gt;0,MIN(1-'Exercise list'!N$2,IF($A107=$A106,AT106,1))-Y107&lt;0),-1,MIN(1,IF($A107=$A106,AT106,1)-Y107+$D$2))</f>
        <v>-1</v>
      </c>
      <c r="AU107">
        <f>IF(OR($J107=1,COUNTIFS($A$5:$A106,"&gt;="&amp;$A107-1,$A$5:$A106,"&lt;="&amp;$A107,$B$5:$B106,$B107)&gt;0,MIN(1-'Exercise list'!O$2,IF($A107=$A106,AU106,1))-Z107&lt;0),-1,MIN(1,IF($A107=$A106,AU106,1)-Z107+$D$2))</f>
        <v>-1</v>
      </c>
      <c r="AV107">
        <f>IF(OR($J107=1,COUNTIFS($A$5:$A106,"&gt;="&amp;$A107-1,$A$5:$A106,"&lt;="&amp;$A107,$B$5:$B106,$B107)&gt;0,MIN(1-'Exercise list'!P$2,IF($A107=$A106,AV106,1))-AA107&lt;0),-1,MIN(1,IF($A107=$A106,AV106,1)-AA107+$D$2))</f>
        <v>-1</v>
      </c>
      <c r="AW107">
        <f>IF(OR($J107=1,COUNTIFS($A$5:$A106,"&gt;="&amp;$A107-1,$A$5:$A106,"&lt;="&amp;$A107,$B$5:$B106,$B107)&gt;0,MIN(1-'Exercise list'!Q$2,IF($A107=$A106,AW106,1))-AB107&lt;0),-1,MIN(1,IF($A107=$A106,AW106,1)-AB107+$D$2))</f>
        <v>-1</v>
      </c>
      <c r="AX107">
        <f>IF(OR($J107=1,COUNTIFS($A$5:$A106,"&gt;="&amp;$A107-1,$A$5:$A106,"&lt;="&amp;$A107,$B$5:$B106,$B107)&gt;0,MIN(1-'Exercise list'!R$2,IF($A107=$A106,AX106,1))-AC107&lt;0),-1,MIN(1,IF($A107=$A106,AX106,1)-AC107+$D$2))</f>
        <v>-1</v>
      </c>
      <c r="AY107">
        <f>IF(OR($J107=1,COUNTIFS($A$5:$A106,"&gt;="&amp;$A107-1,$A$5:$A106,"&lt;="&amp;$A107,$B$5:$B106,$B107)&gt;0,MIN(1-'Exercise list'!S$2,IF($A107=$A106,AY106,1))-AD107&lt;0),-1,MIN(1,IF($A107=$A106,AY106,1)-AD107+$D$2))</f>
        <v>-1</v>
      </c>
      <c r="AZ107">
        <f>IF(OR($J107=1,COUNTIFS($A$5:$A106,"&gt;="&amp;$A107-1,$A$5:$A106,"&lt;="&amp;$A107,$B$5:$B106,$B107)&gt;0,MIN(1-'Exercise list'!T$2,IF($A107=$A106,AZ106,1))-AE107&lt;0),-1,MIN(1,IF($A107=$A106,AZ106,1)-AE107+$D$2))</f>
        <v>-1</v>
      </c>
      <c r="BA107">
        <f>IF(OR($J107=1,COUNTIFS($A$5:$A106,"&gt;="&amp;$A107-1,$A$5:$A106,"&lt;="&amp;$A107,$B$5:$B106,$B107)&gt;0,MIN(1-'Exercise list'!U$2,IF($A107=$A106,BA106,1))-AF107&lt;0),-1,MIN(1,IF($A107=$A106,BA106,1)-AF107+$D$2))</f>
        <v>-1</v>
      </c>
      <c r="BB107">
        <f>IF(OR($J107=1,COUNTIFS($A$5:$A106,"&gt;="&amp;$A107-1,$A$5:$A106,"&lt;="&amp;$A107,$B$5:$B106,$B107)&gt;0,MIN(1-'Exercise list'!V$2,IF($A107=$A106,BB106,1))-AG107&lt;0),-1,MIN(1,IF($A107=$A106,BB106,1)-AG107+$D$2))</f>
        <v>-1</v>
      </c>
      <c r="BC107">
        <f>IF(OR($J107=1,COUNTIFS($A$5:$A106,"&gt;="&amp;$A107-1,$A$5:$A106,"&lt;="&amp;$A107,$B$5:$B106,$B107)&gt;0,MIN(1-'Exercise list'!W$2,IF($A107=$A106,BC106,1))-AH107&lt;0),-1,MIN(1,IF($A107=$A106,BC106,1)-AH107+$D$2))</f>
        <v>-1</v>
      </c>
      <c r="BD107">
        <f>IF(OR($J107=1,COUNTIFS($A$5:$A106,"&gt;="&amp;$A107-1,$A$5:$A106,"&lt;="&amp;$A107,$B$5:$B106,$B107)&gt;0,MIN(1-'Exercise list'!X$2,IF($A107=$A106,BD106,1))-AI107&lt;0),-1,MIN(1,IF($A107=$A106,BD106,1)-AI107+$D$2))</f>
        <v>-1</v>
      </c>
      <c r="BF107" s="16">
        <f t="shared" si="100"/>
        <v>0.1448677640297841</v>
      </c>
      <c r="BG107" s="16">
        <f t="shared" si="101"/>
        <v>0.19216941591144923</v>
      </c>
      <c r="BH107" s="16">
        <f t="shared" si="102"/>
        <v>0.1335663330273319</v>
      </c>
      <c r="BI107" s="16">
        <f t="shared" si="103"/>
        <v>0.16147316954882376</v>
      </c>
      <c r="BJ107" s="16">
        <f t="shared" si="104"/>
        <v>0.14579670511759887</v>
      </c>
      <c r="BK107" s="16">
        <f t="shared" si="105"/>
        <v>0.16468047002748426</v>
      </c>
      <c r="BL107" s="16">
        <f t="shared" si="106"/>
        <v>0.20480107075592158</v>
      </c>
      <c r="BM107" s="16">
        <f t="shared" si="107"/>
        <v>3.7247095973301142E-2</v>
      </c>
      <c r="BN107" s="16">
        <f t="shared" si="108"/>
        <v>0.11743733185566271</v>
      </c>
      <c r="BO107" s="16">
        <f t="shared" si="109"/>
        <v>0.22378874705426871</v>
      </c>
      <c r="BP107" s="16">
        <f t="shared" si="110"/>
        <v>0.26650656507705567</v>
      </c>
      <c r="BQ107" s="16">
        <f t="shared" si="111"/>
        <v>3.1453612142856378E-2</v>
      </c>
      <c r="BR107" s="16">
        <f t="shared" si="112"/>
        <v>0.11237965707845909</v>
      </c>
      <c r="BS107" s="16">
        <f t="shared" si="113"/>
        <v>1.9379028984432542E-2</v>
      </c>
      <c r="BT107" s="16">
        <f t="shared" si="114"/>
        <v>0.19054296192678163</v>
      </c>
      <c r="BU107" s="16">
        <f t="shared" si="115"/>
        <v>0.19711640563066396</v>
      </c>
      <c r="BV107" s="16">
        <f t="shared" si="116"/>
        <v>0.2489437550542361</v>
      </c>
      <c r="BW107" s="16">
        <f t="shared" si="117"/>
        <v>0.12107829608026419</v>
      </c>
      <c r="BX107" s="16">
        <f t="shared" si="118"/>
        <v>9.7956606871901331E-2</v>
      </c>
      <c r="BY107" s="16">
        <f t="shared" si="119"/>
        <v>3.9923733221881419E-2</v>
      </c>
      <c r="CA107" s="16">
        <f t="shared" si="56"/>
        <v>6.6325474886523961E-2</v>
      </c>
      <c r="CB107" s="16">
        <f t="shared" si="57"/>
        <v>1.9023823004858831E-2</v>
      </c>
      <c r="CC107" s="16">
        <f t="shared" si="58"/>
        <v>0</v>
      </c>
      <c r="CD107" s="16">
        <f t="shared" si="59"/>
        <v>0</v>
      </c>
      <c r="CE107" s="16">
        <f t="shared" si="60"/>
        <v>0</v>
      </c>
      <c r="CF107" s="16">
        <f t="shared" si="61"/>
        <v>0.15210938834697785</v>
      </c>
      <c r="CG107" s="16">
        <f t="shared" si="62"/>
        <v>0</v>
      </c>
      <c r="CH107" s="16">
        <f t="shared" si="63"/>
        <v>6.8349523484852889E-2</v>
      </c>
      <c r="CI107" s="16">
        <f t="shared" si="64"/>
        <v>9.3755907060645349E-2</v>
      </c>
      <c r="CJ107" s="16">
        <f t="shared" si="65"/>
        <v>0</v>
      </c>
      <c r="CK107" s="16">
        <f t="shared" si="66"/>
        <v>0</v>
      </c>
      <c r="CL107" s="16">
        <f t="shared" si="67"/>
        <v>7.414300731529766E-2</v>
      </c>
      <c r="CM107" s="16">
        <f t="shared" si="68"/>
        <v>9.8813581837848968E-2</v>
      </c>
      <c r="CN107" s="16">
        <f t="shared" si="69"/>
        <v>8.6217590473721489E-2</v>
      </c>
      <c r="CO107" s="16">
        <f t="shared" si="70"/>
        <v>0</v>
      </c>
      <c r="CP107" s="16">
        <f t="shared" si="71"/>
        <v>0</v>
      </c>
      <c r="CQ107" s="16">
        <f t="shared" si="72"/>
        <v>0</v>
      </c>
      <c r="CR107" s="16">
        <f t="shared" si="73"/>
        <v>0</v>
      </c>
      <c r="CS107" s="16">
        <f t="shared" si="74"/>
        <v>7.6400125862527007E-3</v>
      </c>
      <c r="CT107" s="16">
        <f t="shared" si="75"/>
        <v>6.5672886236272612E-2</v>
      </c>
    </row>
    <row r="108" spans="1:99" x14ac:dyDescent="0.25">
      <c r="A108" s="20">
        <v>45079</v>
      </c>
      <c r="B108" s="21">
        <v>5</v>
      </c>
      <c r="C108" s="22" t="str" cm="1">
        <f t="array" ref="C108">IF(B108="","",INDEX('Exercise list'!$C$5:$C$102,B108))</f>
        <v>Treadmill running</v>
      </c>
      <c r="D108" s="17">
        <f t="shared" si="97"/>
        <v>-1</v>
      </c>
      <c r="E108" s="108">
        <f t="shared" si="120"/>
        <v>9.4132719074864291</v>
      </c>
      <c r="F108" s="65" cm="1">
        <f t="array" ref="F108">IF(B108="","",0.1+IFERROR(INDEX($F$6:$F107,SUMPRODUCT(MAX(ROW($C$6:$C107)*($C108=$C$6:$C107))-ROW($A$5)))*0.9^($A108-INDEX($A$6:A107,SUMPRODUCT(MAX(ROW($C$6:$C107)*($C108=$C$6:$C107))-ROW($A$5)))),0))</f>
        <v>0.17476461732678172</v>
      </c>
      <c r="G108" s="25">
        <f>INDEX('Exercise list'!$Y$5:$Y$102,MATCH(C108,'Exercise list'!$C$5:$C$102,0))</f>
        <v>3</v>
      </c>
      <c r="H108" s="116">
        <f t="shared" si="98"/>
        <v>5.8491943089925676E-2</v>
      </c>
      <c r="I108" s="18">
        <f t="shared" si="99"/>
        <v>5</v>
      </c>
      <c r="J108" s="18" cm="1">
        <f t="array" ref="J108">IF(B108="","",INDEX('Exercise list'!$D$5:$D$102,B108))</f>
        <v>0</v>
      </c>
      <c r="K108" s="17">
        <v>4</v>
      </c>
      <c r="L108" s="51" t="str" cm="1">
        <f t="array" ref="L108">IF(K108="","",INDEX('Exercise list'!$C$5:$C$102,K108))</f>
        <v>Stair climbing machine</v>
      </c>
      <c r="M108" s="18">
        <v>5</v>
      </c>
      <c r="N108" s="76" t="str" cm="1">
        <f t="array" ref="N108">IF(M108="","",INDEX('Exercise list'!$C$5:$C$102,M108))</f>
        <v>Treadmill running</v>
      </c>
      <c r="O108" s="19"/>
      <c r="P108" s="19">
        <f>IFERROR(INDEX('Exercise list'!$E$5:$X$102,MATCH($C108,'Exercise list'!$C$5:$C$102,0),MATCH(P$5,'Exercise list'!$E$4:$X$4,0)),0)</f>
        <v>0</v>
      </c>
      <c r="Q108" s="19">
        <f>IFERROR(INDEX('Exercise list'!$E$5:$X$102,MATCH($C108,'Exercise list'!$C$5:$C$102,0),MATCH(Q$5,'Exercise list'!$E$4:$X$4,0)),0)</f>
        <v>0</v>
      </c>
      <c r="R108" s="19">
        <f>IFERROR(INDEX('Exercise list'!$E$5:$X$102,MATCH($C108,'Exercise list'!$C$5:$C$102,0),MATCH(R$5,'Exercise list'!$E$4:$X$4,0)),0)</f>
        <v>0</v>
      </c>
      <c r="S108" s="19">
        <f>IFERROR(INDEX('Exercise list'!$E$5:$X$102,MATCH($C108,'Exercise list'!$C$5:$C$102,0),MATCH(S$5,'Exercise list'!$E$4:$X$4,0)),0)</f>
        <v>0</v>
      </c>
      <c r="T108" s="19">
        <f>IFERROR(INDEX('Exercise list'!$E$5:$X$102,MATCH($C108,'Exercise list'!$C$5:$C$102,0),MATCH(T$5,'Exercise list'!$E$4:$X$4,0)),0)</f>
        <v>0</v>
      </c>
      <c r="U108" s="19">
        <f>IFERROR(INDEX('Exercise list'!$E$5:$X$102,MATCH($C108,'Exercise list'!$C$5:$C$102,0),MATCH(U$5,'Exercise list'!$E$4:$X$4,0)),0)</f>
        <v>0</v>
      </c>
      <c r="V108" s="19">
        <f>IFERROR(INDEX('Exercise list'!$E$5:$X$102,MATCH($C108,'Exercise list'!$C$5:$C$102,0),MATCH(V$5,'Exercise list'!$E$4:$X$4,0)),0)</f>
        <v>0</v>
      </c>
      <c r="W108" s="19">
        <f>IFERROR(INDEX('Exercise list'!$E$5:$X$102,MATCH($C108,'Exercise list'!$C$5:$C$102,0),MATCH(W$5,'Exercise list'!$E$4:$X$4,0)),0)</f>
        <v>0</v>
      </c>
      <c r="X108" s="19">
        <f>IFERROR(INDEX('Exercise list'!$E$5:$X$102,MATCH($C108,'Exercise list'!$C$5:$C$102,0),MATCH(X$5,'Exercise list'!$E$4:$X$4,0)),0)</f>
        <v>0</v>
      </c>
      <c r="Y108" s="19">
        <f>IFERROR(INDEX('Exercise list'!$E$5:$X$102,MATCH($C108,'Exercise list'!$C$5:$C$102,0),MATCH(Y$5,'Exercise list'!$E$4:$X$4,0)),0)</f>
        <v>0</v>
      </c>
      <c r="Z108" s="19">
        <f>IFERROR(INDEX('Exercise list'!$E$5:$X$102,MATCH($C108,'Exercise list'!$C$5:$C$102,0),MATCH(Z$5,'Exercise list'!$E$4:$X$4,0)),0)</f>
        <v>0</v>
      </c>
      <c r="AA108" s="19">
        <f>IFERROR(INDEX('Exercise list'!$E$5:$X$102,MATCH($C108,'Exercise list'!$C$5:$C$102,0),MATCH(AA$5,'Exercise list'!$E$4:$X$4,0)),0)</f>
        <v>0</v>
      </c>
      <c r="AB108" s="19">
        <f>IFERROR(INDEX('Exercise list'!$E$5:$X$102,MATCH($C108,'Exercise list'!$C$5:$C$102,0),MATCH(AB$5,'Exercise list'!$E$4:$X$4,0)),0)</f>
        <v>0</v>
      </c>
      <c r="AC108" s="19">
        <f>IFERROR(INDEX('Exercise list'!$E$5:$X$102,MATCH($C108,'Exercise list'!$C$5:$C$102,0),MATCH(AC$5,'Exercise list'!$E$4:$X$4,0)),0)</f>
        <v>0</v>
      </c>
      <c r="AD108" s="19">
        <f>IFERROR(INDEX('Exercise list'!$E$5:$X$102,MATCH($C108,'Exercise list'!$C$5:$C$102,0),MATCH(AD$5,'Exercise list'!$E$4:$X$4,0)),0)</f>
        <v>1</v>
      </c>
      <c r="AE108" s="19">
        <f>IFERROR(INDEX('Exercise list'!$E$5:$X$102,MATCH($C108,'Exercise list'!$C$5:$C$102,0),MATCH(AE$5,'Exercise list'!$E$4:$X$4,0)),0)</f>
        <v>0.7</v>
      </c>
      <c r="AF108" s="19">
        <f>IFERROR(INDEX('Exercise list'!$E$5:$X$102,MATCH($C108,'Exercise list'!$C$5:$C$102,0),MATCH(AF$5,'Exercise list'!$E$4:$X$4,0)),0)</f>
        <v>0.7</v>
      </c>
      <c r="AG108" s="19">
        <f>IFERROR(INDEX('Exercise list'!$E$5:$X$102,MATCH($C108,'Exercise list'!$C$5:$C$102,0),MATCH(AG$5,'Exercise list'!$E$4:$X$4,0)),0)</f>
        <v>1</v>
      </c>
      <c r="AH108" s="19">
        <f>IFERROR(INDEX('Exercise list'!$E$5:$X$102,MATCH($C108,'Exercise list'!$C$5:$C$102,0),MATCH(AH$5,'Exercise list'!$E$4:$X$4,0)),0)</f>
        <v>0</v>
      </c>
      <c r="AI108" s="19">
        <f>IFERROR(INDEX('Exercise list'!$E$5:$X$102,MATCH($C108,'Exercise list'!$C$5:$C$102,0),MATCH(AI$5,'Exercise list'!$E$4:$X$4,0)),0)</f>
        <v>0</v>
      </c>
      <c r="AJ108" s="19"/>
      <c r="AK108" s="19">
        <f>IF(OR($J108=1,COUNTIFS($A$5:$A107,"&gt;="&amp;$A108-1,$A$5:$A107,"&lt;="&amp;$A108,$B$5:$B107,$B108)&gt;0,MIN(1-'Exercise list'!E$2,IF($A108=$A107,AK107,1))-P108&lt;0),-1,MIN(1,IF($A108=$A107,AK107,1)-P108+$D$2))</f>
        <v>-1</v>
      </c>
      <c r="AL108" s="19">
        <f>IF(OR($J108=1,COUNTIFS($A$5:$A107,"&gt;="&amp;$A108-1,$A$5:$A107,"&lt;="&amp;$A108,$B$5:$B107,$B108)&gt;0,MIN(1-'Exercise list'!F$2,IF($A108=$A107,AL107,1))-Q108&lt;0),-1,MIN(1,IF($A108=$A107,AL107,1)-Q108+$D$2))</f>
        <v>-1</v>
      </c>
      <c r="AM108" s="19">
        <f>IF(OR($J108=1,COUNTIFS($A$5:$A107,"&gt;="&amp;$A108-1,$A$5:$A107,"&lt;="&amp;$A108,$B$5:$B107,$B108)&gt;0,MIN(1-'Exercise list'!G$2,IF($A108=$A107,AM107,1))-R108&lt;0),-1,MIN(1,IF($A108=$A107,AM107,1)-R108+$D$2))</f>
        <v>-1</v>
      </c>
      <c r="AN108" s="19">
        <f>IF(OR($J108=1,COUNTIFS($A$5:$A107,"&gt;="&amp;$A108-1,$A$5:$A107,"&lt;="&amp;$A108,$B$5:$B107,$B108)&gt;0,MIN(1-'Exercise list'!H$2,IF($A108=$A107,AN107,1))-S108&lt;0),-1,MIN(1,IF($A108=$A107,AN107,1)-S108+$D$2))</f>
        <v>-1</v>
      </c>
      <c r="AO108" s="19">
        <f>IF(OR($J108=1,COUNTIFS($A$5:$A107,"&gt;="&amp;$A108-1,$A$5:$A107,"&lt;="&amp;$A108,$B$5:$B107,$B108)&gt;0,MIN(1-'Exercise list'!I$2,IF($A108=$A107,AO107,1))-T108&lt;0),-1,MIN(1,IF($A108=$A107,AO107,1)-T108+$D$2))</f>
        <v>-1</v>
      </c>
      <c r="AP108" s="19">
        <f>IF(OR($J108=1,COUNTIFS($A$5:$A107,"&gt;="&amp;$A108-1,$A$5:$A107,"&lt;="&amp;$A108,$B$5:$B107,$B108)&gt;0,MIN(1-'Exercise list'!J$2,IF($A108=$A107,AP107,1))-U108&lt;0),-1,MIN(1,IF($A108=$A107,AP107,1)-U108+$D$2))</f>
        <v>-1</v>
      </c>
      <c r="AQ108" s="19">
        <f>IF(OR($J108=1,COUNTIFS($A$5:$A107,"&gt;="&amp;$A108-1,$A$5:$A107,"&lt;="&amp;$A108,$B$5:$B107,$B108)&gt;0,MIN(1-'Exercise list'!K$2,IF($A108=$A107,AQ107,1))-V108&lt;0),-1,MIN(1,IF($A108=$A107,AQ107,1)-V108+$D$2))</f>
        <v>-1</v>
      </c>
      <c r="AR108" s="19">
        <f>IF(OR($J108=1,COUNTIFS($A$5:$A107,"&gt;="&amp;$A108-1,$A$5:$A107,"&lt;="&amp;$A108,$B$5:$B107,$B108)&gt;0,MIN(1-'Exercise list'!L$2,IF($A108=$A107,AR107,1))-W108&lt;0),-1,MIN(1,IF($A108=$A107,AR107,1)-W108+$D$2))</f>
        <v>-1</v>
      </c>
      <c r="AS108" s="19">
        <f>IF(OR($J108=1,COUNTIFS($A$5:$A107,"&gt;="&amp;$A108-1,$A$5:$A107,"&lt;="&amp;$A108,$B$5:$B107,$B108)&gt;0,MIN(1-'Exercise list'!M$2,IF($A108=$A107,AS107,1))-X108&lt;0),-1,MIN(1,IF($A108=$A107,AS107,1)-X108+$D$2))</f>
        <v>-1</v>
      </c>
      <c r="AT108" s="19">
        <f>IF(OR($J108=1,COUNTIFS($A$5:$A107,"&gt;="&amp;$A108-1,$A$5:$A107,"&lt;="&amp;$A108,$B$5:$B107,$B108)&gt;0,MIN(1-'Exercise list'!N$2,IF($A108=$A107,AT107,1))-Y108&lt;0),-1,MIN(1,IF($A108=$A107,AT107,1)-Y108+$D$2))</f>
        <v>-1</v>
      </c>
      <c r="AU108" s="19">
        <f>IF(OR($J108=1,COUNTIFS($A$5:$A107,"&gt;="&amp;$A108-1,$A$5:$A107,"&lt;="&amp;$A108,$B$5:$B107,$B108)&gt;0,MIN(1-'Exercise list'!O$2,IF($A108=$A107,AU107,1))-Z108&lt;0),-1,MIN(1,IF($A108=$A107,AU107,1)-Z108+$D$2))</f>
        <v>-1</v>
      </c>
      <c r="AV108" s="19">
        <f>IF(OR($J108=1,COUNTIFS($A$5:$A107,"&gt;="&amp;$A108-1,$A$5:$A107,"&lt;="&amp;$A108,$B$5:$B107,$B108)&gt;0,MIN(1-'Exercise list'!P$2,IF($A108=$A107,AV107,1))-AA108&lt;0),-1,MIN(1,IF($A108=$A107,AV107,1)-AA108+$D$2))</f>
        <v>-1</v>
      </c>
      <c r="AW108" s="19">
        <f>IF(OR($J108=1,COUNTIFS($A$5:$A107,"&gt;="&amp;$A108-1,$A$5:$A107,"&lt;="&amp;$A108,$B$5:$B107,$B108)&gt;0,MIN(1-'Exercise list'!Q$2,IF($A108=$A107,AW107,1))-AB108&lt;0),-1,MIN(1,IF($A108=$A107,AW107,1)-AB108+$D$2))</f>
        <v>-1</v>
      </c>
      <c r="AX108" s="19">
        <f>IF(OR($J108=1,COUNTIFS($A$5:$A107,"&gt;="&amp;$A108-1,$A$5:$A107,"&lt;="&amp;$A108,$B$5:$B107,$B108)&gt;0,MIN(1-'Exercise list'!R$2,IF($A108=$A107,AX107,1))-AC108&lt;0),-1,MIN(1,IF($A108=$A107,AX107,1)-AC108+$D$2))</f>
        <v>-1</v>
      </c>
      <c r="AY108" s="19">
        <f>IF(OR($J108=1,COUNTIFS($A$5:$A107,"&gt;="&amp;$A108-1,$A$5:$A107,"&lt;="&amp;$A108,$B$5:$B107,$B108)&gt;0,MIN(1-'Exercise list'!S$2,IF($A108=$A107,AY107,1))-AD108&lt;0),-1,MIN(1,IF($A108=$A107,AY107,1)-AD108+$D$2))</f>
        <v>-1</v>
      </c>
      <c r="AZ108" s="19">
        <f>IF(OR($J108=1,COUNTIFS($A$5:$A107,"&gt;="&amp;$A108-1,$A$5:$A107,"&lt;="&amp;$A108,$B$5:$B107,$B108)&gt;0,MIN(1-'Exercise list'!T$2,IF($A108=$A107,AZ107,1))-AE108&lt;0),-1,MIN(1,IF($A108=$A107,AZ107,1)-AE108+$D$2))</f>
        <v>-1</v>
      </c>
      <c r="BA108" s="19">
        <f>IF(OR($J108=1,COUNTIFS($A$5:$A107,"&gt;="&amp;$A108-1,$A$5:$A107,"&lt;="&amp;$A108,$B$5:$B107,$B108)&gt;0,MIN(1-'Exercise list'!U$2,IF($A108=$A107,BA107,1))-AF108&lt;0),-1,MIN(1,IF($A108=$A107,BA107,1)-AF108+$D$2))</f>
        <v>-1</v>
      </c>
      <c r="BB108" s="19">
        <f>IF(OR($J108=1,COUNTIFS($A$5:$A107,"&gt;="&amp;$A108-1,$A$5:$A107,"&lt;="&amp;$A108,$B$5:$B107,$B108)&gt;0,MIN(1-'Exercise list'!V$2,IF($A108=$A107,BB107,1))-AG108&lt;0),-1,MIN(1,IF($A108=$A107,BB107,1)-AG108+$D$2))</f>
        <v>-1</v>
      </c>
      <c r="BC108" s="19">
        <f>IF(OR($J108=1,COUNTIFS($A$5:$A107,"&gt;="&amp;$A108-1,$A$5:$A107,"&lt;="&amp;$A108,$B$5:$B107,$B108)&gt;0,MIN(1-'Exercise list'!W$2,IF($A108=$A107,BC107,1))-AH108&lt;0),-1,MIN(1,IF($A108=$A107,BC107,1)-AH108+$D$2))</f>
        <v>-1</v>
      </c>
      <c r="BD108" s="19">
        <f>IF(OR($J108=1,COUNTIFS($A$5:$A107,"&gt;="&amp;$A108-1,$A$5:$A107,"&lt;="&amp;$A108,$B$5:$B107,$B108)&gt;0,MIN(1-'Exercise list'!X$2,IF($A108=$A107,BD107,1))-AI108&lt;0),-1,MIN(1,IF($A108=$A107,BD107,1)-AI108+$D$2))</f>
        <v>-1</v>
      </c>
      <c r="BE108" s="19"/>
      <c r="BF108" s="23">
        <f t="shared" si="100"/>
        <v>0.1448677640297841</v>
      </c>
      <c r="BG108" s="23">
        <f t="shared" si="101"/>
        <v>0.19216941591144923</v>
      </c>
      <c r="BH108" s="23">
        <f t="shared" si="102"/>
        <v>0.1335663330273319</v>
      </c>
      <c r="BI108" s="23">
        <f t="shared" si="103"/>
        <v>0.16147316954882376</v>
      </c>
      <c r="BJ108" s="23">
        <f t="shared" si="104"/>
        <v>0.14579670511759887</v>
      </c>
      <c r="BK108" s="23">
        <f t="shared" si="105"/>
        <v>0.16468047002748426</v>
      </c>
      <c r="BL108" s="23">
        <f t="shared" si="106"/>
        <v>0.20480107075592158</v>
      </c>
      <c r="BM108" s="23">
        <f t="shared" si="107"/>
        <v>3.7247095973301142E-2</v>
      </c>
      <c r="BN108" s="23">
        <f t="shared" si="108"/>
        <v>0.11743733185566271</v>
      </c>
      <c r="BO108" s="23">
        <f t="shared" si="109"/>
        <v>0.22378874705426871</v>
      </c>
      <c r="BP108" s="23">
        <f t="shared" si="110"/>
        <v>0.26650656507705567</v>
      </c>
      <c r="BQ108" s="23">
        <f t="shared" si="111"/>
        <v>3.1453612142856378E-2</v>
      </c>
      <c r="BR108" s="23">
        <f t="shared" si="112"/>
        <v>0.11237965707845909</v>
      </c>
      <c r="BS108" s="23">
        <f t="shared" si="113"/>
        <v>1.9379028984432542E-2</v>
      </c>
      <c r="BT108" s="23">
        <f t="shared" si="114"/>
        <v>0.19054296192678163</v>
      </c>
      <c r="BU108" s="23">
        <f t="shared" si="115"/>
        <v>0.19711640563066396</v>
      </c>
      <c r="BV108" s="23">
        <f t="shared" si="116"/>
        <v>0.2489437550542361</v>
      </c>
      <c r="BW108" s="23">
        <f t="shared" si="117"/>
        <v>0.12107829608026419</v>
      </c>
      <c r="BX108" s="23">
        <f t="shared" si="118"/>
        <v>9.7956606871901331E-2</v>
      </c>
      <c r="BY108" s="23">
        <f t="shared" si="119"/>
        <v>3.9923733221881419E-2</v>
      </c>
      <c r="BZ108" s="19"/>
      <c r="CA108" s="23">
        <f t="shared" si="56"/>
        <v>6.6325474886523961E-2</v>
      </c>
      <c r="CB108" s="23">
        <f t="shared" si="57"/>
        <v>1.9023823004858831E-2</v>
      </c>
      <c r="CC108" s="23">
        <f t="shared" si="58"/>
        <v>0</v>
      </c>
      <c r="CD108" s="23">
        <f t="shared" si="59"/>
        <v>0</v>
      </c>
      <c r="CE108" s="23">
        <f t="shared" si="60"/>
        <v>0</v>
      </c>
      <c r="CF108" s="23">
        <f t="shared" si="61"/>
        <v>0.15210938834697785</v>
      </c>
      <c r="CG108" s="23">
        <f t="shared" si="62"/>
        <v>0</v>
      </c>
      <c r="CH108" s="23">
        <f t="shared" si="63"/>
        <v>6.8349523484852889E-2</v>
      </c>
      <c r="CI108" s="23">
        <f t="shared" si="64"/>
        <v>9.3755907060645349E-2</v>
      </c>
      <c r="CJ108" s="23">
        <f t="shared" si="65"/>
        <v>0</v>
      </c>
      <c r="CK108" s="23">
        <f t="shared" si="66"/>
        <v>0</v>
      </c>
      <c r="CL108" s="23">
        <f t="shared" si="67"/>
        <v>7.414300731529766E-2</v>
      </c>
      <c r="CM108" s="23">
        <f t="shared" si="68"/>
        <v>9.8813581837848968E-2</v>
      </c>
      <c r="CN108" s="23">
        <f t="shared" si="69"/>
        <v>8.6217590473721489E-2</v>
      </c>
      <c r="CO108" s="23">
        <f t="shared" si="70"/>
        <v>0</v>
      </c>
      <c r="CP108" s="23">
        <f t="shared" si="71"/>
        <v>0</v>
      </c>
      <c r="CQ108" s="23">
        <f t="shared" si="72"/>
        <v>0</v>
      </c>
      <c r="CR108" s="23">
        <f t="shared" si="73"/>
        <v>0</v>
      </c>
      <c r="CS108" s="23">
        <f t="shared" si="74"/>
        <v>7.6400125862527007E-3</v>
      </c>
      <c r="CT108" s="23">
        <f t="shared" si="75"/>
        <v>6.5672886236272612E-2</v>
      </c>
      <c r="CU108" s="19"/>
    </row>
    <row r="109" spans="1:99" x14ac:dyDescent="0.25">
      <c r="A109" s="13">
        <v>45080</v>
      </c>
      <c r="B109" s="14">
        <v>37</v>
      </c>
      <c r="C109" s="15" t="str" cm="1">
        <f t="array" ref="C109">IF(B109="","",INDEX('Exercise list'!$C$5:$C$102,B109))</f>
        <v>Barbell low-bar squats</v>
      </c>
      <c r="D109" s="12">
        <f t="shared" si="97"/>
        <v>1</v>
      </c>
      <c r="E109" s="107">
        <f t="shared" si="120"/>
        <v>0</v>
      </c>
      <c r="F109" s="63" cm="1">
        <f t="array" ref="F109">IF(B109="","",0.1+IFERROR(INDEX($F$6:$F108,SUMPRODUCT(MAX(ROW($C$6:$C108)*($C109=$C$6:$C108))-ROW($A$5)))*0.9^($A109-INDEX($A$6:A108,SUMPRODUCT(MAX(ROW($C$6:$C108)*($C109=$C$6:$C108))-ROW($A$5)))),0))</f>
        <v>0.23595059182111569</v>
      </c>
      <c r="G109" s="64">
        <f>INDEX('Exercise list'!$Y$5:$Y$102,MATCH(C109,'Exercise list'!$C$5:$C$102,0))</f>
        <v>3</v>
      </c>
      <c r="H109" s="115">
        <f t="shared" si="98"/>
        <v>6.2837547471011376E-2</v>
      </c>
      <c r="I109" s="42">
        <f t="shared" si="99"/>
        <v>1</v>
      </c>
      <c r="J109" s="6" cm="1">
        <f t="array" ref="J109">IF(B109="","",INDEX('Exercise list'!$D$5:$D$102,B109))</f>
        <v>0</v>
      </c>
      <c r="K109" s="12">
        <v>31</v>
      </c>
      <c r="L109" s="74" t="str" cm="1">
        <f t="array" ref="L109">IF(K109="","",INDEX('Exercise list'!$C$5:$C$102,K109))</f>
        <v>Weighted decline crunches</v>
      </c>
      <c r="M109" s="6">
        <v>7</v>
      </c>
      <c r="N109" s="75" t="str" cm="1">
        <f t="array" ref="N109">IF(M109="","",INDEX('Exercise list'!$C$5:$C$102,M109))</f>
        <v>Barbell bent-over rows</v>
      </c>
      <c r="P109">
        <f>IFERROR(INDEX('Exercise list'!$E$5:$X$102,MATCH($C109,'Exercise list'!$C$5:$C$102,0),MATCH(P$5,'Exercise list'!$E$4:$X$4,0)),0)</f>
        <v>0</v>
      </c>
      <c r="Q109">
        <f>IFERROR(INDEX('Exercise list'!$E$5:$X$102,MATCH($C109,'Exercise list'!$C$5:$C$102,0),MATCH(Q$5,'Exercise list'!$E$4:$X$4,0)),0)</f>
        <v>0</v>
      </c>
      <c r="R109">
        <f>IFERROR(INDEX('Exercise list'!$E$5:$X$102,MATCH($C109,'Exercise list'!$C$5:$C$102,0),MATCH(R$5,'Exercise list'!$E$4:$X$4,0)),0)</f>
        <v>0</v>
      </c>
      <c r="S109">
        <f>IFERROR(INDEX('Exercise list'!$E$5:$X$102,MATCH($C109,'Exercise list'!$C$5:$C$102,0),MATCH(S$5,'Exercise list'!$E$4:$X$4,0)),0)</f>
        <v>0</v>
      </c>
      <c r="T109">
        <f>IFERROR(INDEX('Exercise list'!$E$5:$X$102,MATCH($C109,'Exercise list'!$C$5:$C$102,0),MATCH(T$5,'Exercise list'!$E$4:$X$4,0)),0)</f>
        <v>0.5</v>
      </c>
      <c r="U109">
        <f>IFERROR(INDEX('Exercise list'!$E$5:$X$102,MATCH($C109,'Exercise list'!$C$5:$C$102,0),MATCH(U$5,'Exercise list'!$E$4:$X$4,0)),0)</f>
        <v>0</v>
      </c>
      <c r="V109">
        <f>IFERROR(INDEX('Exercise list'!$E$5:$X$102,MATCH($C109,'Exercise list'!$C$5:$C$102,0),MATCH(V$5,'Exercise list'!$E$4:$X$4,0)),0)</f>
        <v>0</v>
      </c>
      <c r="W109">
        <f>IFERROR(INDEX('Exercise list'!$E$5:$X$102,MATCH($C109,'Exercise list'!$C$5:$C$102,0),MATCH(W$5,'Exercise list'!$E$4:$X$4,0)),0)</f>
        <v>0</v>
      </c>
      <c r="X109">
        <f>IFERROR(INDEX('Exercise list'!$E$5:$X$102,MATCH($C109,'Exercise list'!$C$5:$C$102,0),MATCH(X$5,'Exercise list'!$E$4:$X$4,0)),0)</f>
        <v>0</v>
      </c>
      <c r="Y109">
        <f>IFERROR(INDEX('Exercise list'!$E$5:$X$102,MATCH($C109,'Exercise list'!$C$5:$C$102,0),MATCH(Y$5,'Exercise list'!$E$4:$X$4,0)),0)</f>
        <v>0</v>
      </c>
      <c r="Z109">
        <f>IFERROR(INDEX('Exercise list'!$E$5:$X$102,MATCH($C109,'Exercise list'!$C$5:$C$102,0),MATCH(Z$5,'Exercise list'!$E$4:$X$4,0)),0)</f>
        <v>0</v>
      </c>
      <c r="AA109">
        <f>IFERROR(INDEX('Exercise list'!$E$5:$X$102,MATCH($C109,'Exercise list'!$C$5:$C$102,0),MATCH(AA$5,'Exercise list'!$E$4:$X$4,0)),0)</f>
        <v>0</v>
      </c>
      <c r="AB109">
        <f>IFERROR(INDEX('Exercise list'!$E$5:$X$102,MATCH($C109,'Exercise list'!$C$5:$C$102,0),MATCH(AB$5,'Exercise list'!$E$4:$X$4,0)),0)</f>
        <v>0.5</v>
      </c>
      <c r="AC109">
        <f>IFERROR(INDEX('Exercise list'!$E$5:$X$102,MATCH($C109,'Exercise list'!$C$5:$C$102,0),MATCH(AC$5,'Exercise list'!$E$4:$X$4,0)),0)</f>
        <v>0</v>
      </c>
      <c r="AD109">
        <f>IFERROR(INDEX('Exercise list'!$E$5:$X$102,MATCH($C109,'Exercise list'!$C$5:$C$102,0),MATCH(AD$5,'Exercise list'!$E$4:$X$4,0)),0)</f>
        <v>0.8</v>
      </c>
      <c r="AE109">
        <f>IFERROR(INDEX('Exercise list'!$E$5:$X$102,MATCH($C109,'Exercise list'!$C$5:$C$102,0),MATCH(AE$5,'Exercise list'!$E$4:$X$4,0)),0)</f>
        <v>0.7</v>
      </c>
      <c r="AF109">
        <f>IFERROR(INDEX('Exercise list'!$E$5:$X$102,MATCH($C109,'Exercise list'!$C$5:$C$102,0),MATCH(AF$5,'Exercise list'!$E$4:$X$4,0)),0)</f>
        <v>0.9</v>
      </c>
      <c r="AG109">
        <f>IFERROR(INDEX('Exercise list'!$E$5:$X$102,MATCH($C109,'Exercise list'!$C$5:$C$102,0),MATCH(AG$5,'Exercise list'!$E$4:$X$4,0)),0)</f>
        <v>0.5</v>
      </c>
      <c r="AH109">
        <f>IFERROR(INDEX('Exercise list'!$E$5:$X$102,MATCH($C109,'Exercise list'!$C$5:$C$102,0),MATCH(AH$5,'Exercise list'!$E$4:$X$4,0)),0)</f>
        <v>0.5</v>
      </c>
      <c r="AI109">
        <f>IFERROR(INDEX('Exercise list'!$E$5:$X$102,MATCH($C109,'Exercise list'!$C$5:$C$102,0),MATCH(AI$5,'Exercise list'!$E$4:$X$4,0)),0)</f>
        <v>0</v>
      </c>
      <c r="AK109">
        <f>IF(OR($J109=1,COUNTIFS($A$5:$A108,"&gt;="&amp;$A109-1,$A$5:$A108,"&lt;="&amp;$A109,$B$5:$B108,$B109)&gt;0,MIN(1-'Exercise list'!E$2,IF($A109=$A108,AK108,1))-P109&lt;0),-1,MIN(1,IF($A109=$A108,AK108,1)-P109+$D$2))</f>
        <v>1</v>
      </c>
      <c r="AL109">
        <f>IF(OR($J109=1,COUNTIFS($A$5:$A108,"&gt;="&amp;$A109-1,$A$5:$A108,"&lt;="&amp;$A109,$B$5:$B108,$B109)&gt;0,MIN(1-'Exercise list'!F$2,IF($A109=$A108,AL108,1))-Q109&lt;0),-1,MIN(1,IF($A109=$A108,AL108,1)-Q109+$D$2))</f>
        <v>1</v>
      </c>
      <c r="AM109">
        <f>IF(OR($J109=1,COUNTIFS($A$5:$A108,"&gt;="&amp;$A109-1,$A$5:$A108,"&lt;="&amp;$A109,$B$5:$B108,$B109)&gt;0,MIN(1-'Exercise list'!G$2,IF($A109=$A108,AM108,1))-R109&lt;0),-1,MIN(1,IF($A109=$A108,AM108,1)-R109+$D$2))</f>
        <v>1</v>
      </c>
      <c r="AN109">
        <f>IF(OR($J109=1,COUNTIFS($A$5:$A108,"&gt;="&amp;$A109-1,$A$5:$A108,"&lt;="&amp;$A109,$B$5:$B108,$B109)&gt;0,MIN(1-'Exercise list'!H$2,IF($A109=$A108,AN108,1))-S109&lt;0),-1,MIN(1,IF($A109=$A108,AN108,1)-S109+$D$2))</f>
        <v>1</v>
      </c>
      <c r="AO109">
        <f>IF(OR($J109=1,COUNTIFS($A$5:$A108,"&gt;="&amp;$A109-1,$A$5:$A108,"&lt;="&amp;$A109,$B$5:$B108,$B109)&gt;0,MIN(1-'Exercise list'!I$2,IF($A109=$A108,AO108,1))-T109&lt;0),-1,MIN(1,IF($A109=$A108,AO108,1)-T109+$D$2))</f>
        <v>1</v>
      </c>
      <c r="AP109">
        <f>IF(OR($J109=1,COUNTIFS($A$5:$A108,"&gt;="&amp;$A109-1,$A$5:$A108,"&lt;="&amp;$A109,$B$5:$B108,$B109)&gt;0,MIN(1-'Exercise list'!J$2,IF($A109=$A108,AP108,1))-U109&lt;0),-1,MIN(1,IF($A109=$A108,AP108,1)-U109+$D$2))</f>
        <v>1</v>
      </c>
      <c r="AQ109">
        <f>IF(OR($J109=1,COUNTIFS($A$5:$A108,"&gt;="&amp;$A109-1,$A$5:$A108,"&lt;="&amp;$A109,$B$5:$B108,$B109)&gt;0,MIN(1-'Exercise list'!K$2,IF($A109=$A108,AQ108,1))-V109&lt;0),-1,MIN(1,IF($A109=$A108,AQ108,1)-V109+$D$2))</f>
        <v>1</v>
      </c>
      <c r="AR109">
        <f>IF(OR($J109=1,COUNTIFS($A$5:$A108,"&gt;="&amp;$A109-1,$A$5:$A108,"&lt;="&amp;$A109,$B$5:$B108,$B109)&gt;0,MIN(1-'Exercise list'!L$2,IF($A109=$A108,AR108,1))-W109&lt;0),-1,MIN(1,IF($A109=$A108,AR108,1)-W109+$D$2))</f>
        <v>1</v>
      </c>
      <c r="AS109">
        <f>IF(OR($J109=1,COUNTIFS($A$5:$A108,"&gt;="&amp;$A109-1,$A$5:$A108,"&lt;="&amp;$A109,$B$5:$B108,$B109)&gt;0,MIN(1-'Exercise list'!M$2,IF($A109=$A108,AS108,1))-X109&lt;0),-1,MIN(1,IF($A109=$A108,AS108,1)-X109+$D$2))</f>
        <v>1</v>
      </c>
      <c r="AT109">
        <f>IF(OR($J109=1,COUNTIFS($A$5:$A108,"&gt;="&amp;$A109-1,$A$5:$A108,"&lt;="&amp;$A109,$B$5:$B108,$B109)&gt;0,MIN(1-'Exercise list'!N$2,IF($A109=$A108,AT108,1))-Y109&lt;0),-1,MIN(1,IF($A109=$A108,AT108,1)-Y109+$D$2))</f>
        <v>1</v>
      </c>
      <c r="AU109">
        <f>IF(OR($J109=1,COUNTIFS($A$5:$A108,"&gt;="&amp;$A109-1,$A$5:$A108,"&lt;="&amp;$A109,$B$5:$B108,$B109)&gt;0,MIN(1-'Exercise list'!O$2,IF($A109=$A108,AU108,1))-Z109&lt;0),-1,MIN(1,IF($A109=$A108,AU108,1)-Z109+$D$2))</f>
        <v>1</v>
      </c>
      <c r="AV109">
        <f>IF(OR($J109=1,COUNTIFS($A$5:$A108,"&gt;="&amp;$A109-1,$A$5:$A108,"&lt;="&amp;$A109,$B$5:$B108,$B109)&gt;0,MIN(1-'Exercise list'!P$2,IF($A109=$A108,AV108,1))-AA109&lt;0),-1,MIN(1,IF($A109=$A108,AV108,1)-AA109+$D$2))</f>
        <v>1</v>
      </c>
      <c r="AW109">
        <f>IF(OR($J109=1,COUNTIFS($A$5:$A108,"&gt;="&amp;$A109-1,$A$5:$A108,"&lt;="&amp;$A109,$B$5:$B108,$B109)&gt;0,MIN(1-'Exercise list'!Q$2,IF($A109=$A108,AW108,1))-AB109&lt;0),-1,MIN(1,IF($A109=$A108,AW108,1)-AB109+$D$2))</f>
        <v>1</v>
      </c>
      <c r="AX109">
        <f>IF(OR($J109=1,COUNTIFS($A$5:$A108,"&gt;="&amp;$A109-1,$A$5:$A108,"&lt;="&amp;$A109,$B$5:$B108,$B109)&gt;0,MIN(1-'Exercise list'!R$2,IF($A109=$A108,AX108,1))-AC109&lt;0),-1,MIN(1,IF($A109=$A108,AX108,1)-AC109+$D$2))</f>
        <v>1</v>
      </c>
      <c r="AY109">
        <f>IF(OR($J109=1,COUNTIFS($A$5:$A108,"&gt;="&amp;$A109-1,$A$5:$A108,"&lt;="&amp;$A109,$B$5:$B108,$B109)&gt;0,MIN(1-'Exercise list'!S$2,IF($A109=$A108,AY108,1))-AD109&lt;0),-1,MIN(1,IF($A109=$A108,AY108,1)-AD109+$D$2))</f>
        <v>1</v>
      </c>
      <c r="AZ109">
        <f>IF(OR($J109=1,COUNTIFS($A$5:$A108,"&gt;="&amp;$A109-1,$A$5:$A108,"&lt;="&amp;$A109,$B$5:$B108,$B109)&gt;0,MIN(1-'Exercise list'!T$2,IF($A109=$A108,AZ108,1))-AE109&lt;0),-1,MIN(1,IF($A109=$A108,AZ108,1)-AE109+$D$2))</f>
        <v>1</v>
      </c>
      <c r="BA109">
        <f>IF(OR($J109=1,COUNTIFS($A$5:$A108,"&gt;="&amp;$A109-1,$A$5:$A108,"&lt;="&amp;$A109,$B$5:$B108,$B109)&gt;0,MIN(1-'Exercise list'!U$2,IF($A109=$A108,BA108,1))-AF109&lt;0),-1,MIN(1,IF($A109=$A108,BA108,1)-AF109+$D$2))</f>
        <v>1</v>
      </c>
      <c r="BB109">
        <f>IF(OR($J109=1,COUNTIFS($A$5:$A108,"&gt;="&amp;$A109-1,$A$5:$A108,"&lt;="&amp;$A109,$B$5:$B108,$B109)&gt;0,MIN(1-'Exercise list'!V$2,IF($A109=$A108,BB108,1))-AG109&lt;0),-1,MIN(1,IF($A109=$A108,BB108,1)-AG109+$D$2))</f>
        <v>1</v>
      </c>
      <c r="BC109">
        <f>IF(OR($J109=1,COUNTIFS($A$5:$A108,"&gt;="&amp;$A109-1,$A$5:$A108,"&lt;="&amp;$A109,$B$5:$B108,$B109)&gt;0,MIN(1-'Exercise list'!W$2,IF($A109=$A108,BC108,1))-AH109&lt;0),-1,MIN(1,IF($A109=$A108,BC108,1)-AH109+$D$2))</f>
        <v>1</v>
      </c>
      <c r="BD109">
        <f>IF(OR($J109=1,COUNTIFS($A$5:$A108,"&gt;="&amp;$A109-1,$A$5:$A108,"&lt;="&amp;$A109,$B$5:$B108,$B109)&gt;0,MIN(1-'Exercise list'!X$2,IF($A109=$A108,BD108,1))-AI109&lt;0),-1,MIN(1,IF($A109=$A108,BD108,1)-AI109+$D$2))</f>
        <v>1</v>
      </c>
      <c r="BF109" s="16">
        <f t="shared" si="100"/>
        <v>0.1376243758282949</v>
      </c>
      <c r="BG109" s="16">
        <f t="shared" si="101"/>
        <v>0.18256094511587675</v>
      </c>
      <c r="BH109" s="16">
        <f t="shared" si="102"/>
        <v>0.12688801637596531</v>
      </c>
      <c r="BI109" s="16">
        <f t="shared" si="103"/>
        <v>0.15339951107138255</v>
      </c>
      <c r="BJ109" s="16">
        <f t="shared" si="104"/>
        <v>0.16350686986171892</v>
      </c>
      <c r="BK109" s="16">
        <f t="shared" si="105"/>
        <v>0.15644644652611003</v>
      </c>
      <c r="BL109" s="16">
        <f t="shared" si="106"/>
        <v>0.19456101721812549</v>
      </c>
      <c r="BM109" s="16">
        <f t="shared" si="107"/>
        <v>3.5384741174636081E-2</v>
      </c>
      <c r="BN109" s="16">
        <f t="shared" si="108"/>
        <v>0.11156546526287957</v>
      </c>
      <c r="BO109" s="16">
        <f t="shared" si="109"/>
        <v>0.21259930970155527</v>
      </c>
      <c r="BP109" s="16">
        <f t="shared" si="110"/>
        <v>0.25318123682320287</v>
      </c>
      <c r="BQ109" s="16">
        <f t="shared" si="111"/>
        <v>2.9880931535713556E-2</v>
      </c>
      <c r="BR109" s="16">
        <f t="shared" si="112"/>
        <v>0.13176067422453613</v>
      </c>
      <c r="BS109" s="16">
        <f t="shared" si="113"/>
        <v>1.8410077535210914E-2</v>
      </c>
      <c r="BT109" s="16">
        <f t="shared" si="114"/>
        <v>0.22101581383044255</v>
      </c>
      <c r="BU109" s="16">
        <f t="shared" si="115"/>
        <v>0.22226058534913076</v>
      </c>
      <c r="BV109" s="16">
        <f t="shared" si="116"/>
        <v>0.28149656730152428</v>
      </c>
      <c r="BW109" s="16">
        <f t="shared" si="117"/>
        <v>0.14002438127625097</v>
      </c>
      <c r="BX109" s="16">
        <f t="shared" si="118"/>
        <v>0.11805877652830626</v>
      </c>
      <c r="BY109" s="16">
        <f t="shared" si="119"/>
        <v>3.7927546560787347E-2</v>
      </c>
      <c r="CA109" s="16">
        <f t="shared" si="56"/>
        <v>7.9305497438494049E-2</v>
      </c>
      <c r="CB109" s="16">
        <f t="shared" si="57"/>
        <v>3.4368928150912192E-2</v>
      </c>
      <c r="CC109" s="16">
        <f t="shared" si="58"/>
        <v>0</v>
      </c>
      <c r="CD109" s="16">
        <f t="shared" si="59"/>
        <v>0</v>
      </c>
      <c r="CE109" s="16">
        <f t="shared" si="60"/>
        <v>0</v>
      </c>
      <c r="CF109" s="16">
        <f t="shared" si="61"/>
        <v>0.1689483633740734</v>
      </c>
      <c r="CG109" s="16">
        <f t="shared" si="62"/>
        <v>0</v>
      </c>
      <c r="CH109" s="16">
        <f t="shared" si="63"/>
        <v>7.3080195458758393E-2</v>
      </c>
      <c r="CI109" s="16">
        <f t="shared" si="64"/>
        <v>0.10536440800390938</v>
      </c>
      <c r="CJ109" s="16">
        <f t="shared" si="65"/>
        <v>0</v>
      </c>
      <c r="CK109" s="16">
        <f t="shared" si="66"/>
        <v>0</v>
      </c>
      <c r="CL109" s="16">
        <f t="shared" si="67"/>
        <v>7.8584005097680917E-2</v>
      </c>
      <c r="CM109" s="16">
        <f t="shared" si="68"/>
        <v>8.5169199042252813E-2</v>
      </c>
      <c r="CN109" s="16">
        <f t="shared" si="69"/>
        <v>9.0054859098183559E-2</v>
      </c>
      <c r="CO109" s="16">
        <f t="shared" si="70"/>
        <v>0</v>
      </c>
      <c r="CP109" s="16">
        <f t="shared" si="71"/>
        <v>0</v>
      </c>
      <c r="CQ109" s="16">
        <f t="shared" si="72"/>
        <v>0</v>
      </c>
      <c r="CR109" s="16">
        <f t="shared" si="73"/>
        <v>0</v>
      </c>
      <c r="CS109" s="16">
        <f t="shared" si="74"/>
        <v>0</v>
      </c>
      <c r="CT109" s="16">
        <f t="shared" si="75"/>
        <v>7.053739007260712E-2</v>
      </c>
    </row>
    <row r="110" spans="1:99" x14ac:dyDescent="0.25">
      <c r="A110" s="13">
        <v>45080</v>
      </c>
      <c r="B110" s="14">
        <v>31</v>
      </c>
      <c r="C110" s="15" t="str" cm="1">
        <f t="array" ref="C110">IF(B110="","",INDEX('Exercise list'!$C$5:$C$102,B110))</f>
        <v>Weighted decline crunches</v>
      </c>
      <c r="D110" s="12">
        <f t="shared" si="97"/>
        <v>1</v>
      </c>
      <c r="E110" s="107">
        <f t="shared" si="120"/>
        <v>0</v>
      </c>
      <c r="F110" s="63" cm="1">
        <f t="array" ref="F110">IF(B110="","",0.1+IFERROR(INDEX($F$6:$F109,SUMPRODUCT(MAX(ROW($C$6:$C109)*($C110=$C$6:$C109))-ROW($A$5)))*0.9^($A110-INDEX($A$6:A109,SUMPRODUCT(MAX(ROW($C$6:$C109)*($C110=$C$6:$C109))-ROW($A$5)))),0))</f>
        <v>0.1224921553999706</v>
      </c>
      <c r="G110" s="64">
        <f>INDEX('Exercise list'!$Y$5:$Y$102,MATCH(C110,'Exercise list'!$C$5:$C$102,0))</f>
        <v>2</v>
      </c>
      <c r="H110" s="115">
        <f t="shared" si="98"/>
        <v>5.9156772490070494E-2</v>
      </c>
      <c r="I110" s="6">
        <f t="shared" si="99"/>
        <v>2</v>
      </c>
      <c r="J110" s="6" cm="1">
        <f t="array" ref="J110">IF(B110="","",INDEX('Exercise list'!$D$5:$D$102,B110))</f>
        <v>0</v>
      </c>
      <c r="K110" s="12">
        <v>7</v>
      </c>
      <c r="L110" s="74" t="str" cm="1">
        <f t="array" ref="L110">IF(K110="","",INDEX('Exercise list'!$C$5:$C$102,K110))</f>
        <v>Barbell bent-over rows</v>
      </c>
      <c r="M110" s="6">
        <v>26</v>
      </c>
      <c r="N110" s="75" t="str" cm="1">
        <f t="array" ref="N110">IF(M110="","",INDEX('Exercise list'!$C$5:$C$102,M110))</f>
        <v>Dumbbell incline bench presses</v>
      </c>
      <c r="P110">
        <f>IFERROR(INDEX('Exercise list'!$E$5:$X$102,MATCH($C110,'Exercise list'!$C$5:$C$102,0),MATCH(P$5,'Exercise list'!$E$4:$X$4,0)),0)</f>
        <v>0</v>
      </c>
      <c r="Q110">
        <f>IFERROR(INDEX('Exercise list'!$E$5:$X$102,MATCH($C110,'Exercise list'!$C$5:$C$102,0),MATCH(Q$5,'Exercise list'!$E$4:$X$4,0)),0)</f>
        <v>0</v>
      </c>
      <c r="R110">
        <f>IFERROR(INDEX('Exercise list'!$E$5:$X$102,MATCH($C110,'Exercise list'!$C$5:$C$102,0),MATCH(R$5,'Exercise list'!$E$4:$X$4,0)),0)</f>
        <v>0</v>
      </c>
      <c r="S110">
        <f>IFERROR(INDEX('Exercise list'!$E$5:$X$102,MATCH($C110,'Exercise list'!$C$5:$C$102,0),MATCH(S$5,'Exercise list'!$E$4:$X$4,0)),0)</f>
        <v>0</v>
      </c>
      <c r="T110">
        <f>IFERROR(INDEX('Exercise list'!$E$5:$X$102,MATCH($C110,'Exercise list'!$C$5:$C$102,0),MATCH(T$5,'Exercise list'!$E$4:$X$4,0)),0)</f>
        <v>0</v>
      </c>
      <c r="U110">
        <f>IFERROR(INDEX('Exercise list'!$E$5:$X$102,MATCH($C110,'Exercise list'!$C$5:$C$102,0),MATCH(U$5,'Exercise list'!$E$4:$X$4,0)),0)</f>
        <v>0</v>
      </c>
      <c r="V110">
        <f>IFERROR(INDEX('Exercise list'!$E$5:$X$102,MATCH($C110,'Exercise list'!$C$5:$C$102,0),MATCH(V$5,'Exercise list'!$E$4:$X$4,0)),0)</f>
        <v>0</v>
      </c>
      <c r="W110">
        <f>IFERROR(INDEX('Exercise list'!$E$5:$X$102,MATCH($C110,'Exercise list'!$C$5:$C$102,0),MATCH(W$5,'Exercise list'!$E$4:$X$4,0)),0)</f>
        <v>0</v>
      </c>
      <c r="X110">
        <f>IFERROR(INDEX('Exercise list'!$E$5:$X$102,MATCH($C110,'Exercise list'!$C$5:$C$102,0),MATCH(X$5,'Exercise list'!$E$4:$X$4,0)),0)</f>
        <v>0</v>
      </c>
      <c r="Y110">
        <f>IFERROR(INDEX('Exercise list'!$E$5:$X$102,MATCH($C110,'Exercise list'!$C$5:$C$102,0),MATCH(Y$5,'Exercise list'!$E$4:$X$4,0)),0)</f>
        <v>0</v>
      </c>
      <c r="Z110">
        <f>IFERROR(INDEX('Exercise list'!$E$5:$X$102,MATCH($C110,'Exercise list'!$C$5:$C$102,0),MATCH(Z$5,'Exercise list'!$E$4:$X$4,0)),0)</f>
        <v>0</v>
      </c>
      <c r="AA110">
        <f>IFERROR(INDEX('Exercise list'!$E$5:$X$102,MATCH($C110,'Exercise list'!$C$5:$C$102,0),MATCH(AA$5,'Exercise list'!$E$4:$X$4,0)),0)</f>
        <v>1</v>
      </c>
      <c r="AB110">
        <f>IFERROR(INDEX('Exercise list'!$E$5:$X$102,MATCH($C110,'Exercise list'!$C$5:$C$102,0),MATCH(AB$5,'Exercise list'!$E$4:$X$4,0)),0)</f>
        <v>0.6</v>
      </c>
      <c r="AC110">
        <f>IFERROR(INDEX('Exercise list'!$E$5:$X$102,MATCH($C110,'Exercise list'!$C$5:$C$102,0),MATCH(AC$5,'Exercise list'!$E$4:$X$4,0)),0)</f>
        <v>0</v>
      </c>
      <c r="AD110">
        <f>IFERROR(INDEX('Exercise list'!$E$5:$X$102,MATCH($C110,'Exercise list'!$C$5:$C$102,0),MATCH(AD$5,'Exercise list'!$E$4:$X$4,0)),0)</f>
        <v>0</v>
      </c>
      <c r="AE110">
        <f>IFERROR(INDEX('Exercise list'!$E$5:$X$102,MATCH($C110,'Exercise list'!$C$5:$C$102,0),MATCH(AE$5,'Exercise list'!$E$4:$X$4,0)),0)</f>
        <v>0</v>
      </c>
      <c r="AF110">
        <f>IFERROR(INDEX('Exercise list'!$E$5:$X$102,MATCH($C110,'Exercise list'!$C$5:$C$102,0),MATCH(AF$5,'Exercise list'!$E$4:$X$4,0)),0)</f>
        <v>0</v>
      </c>
      <c r="AG110">
        <f>IFERROR(INDEX('Exercise list'!$E$5:$X$102,MATCH($C110,'Exercise list'!$C$5:$C$102,0),MATCH(AG$5,'Exercise list'!$E$4:$X$4,0)),0)</f>
        <v>0</v>
      </c>
      <c r="AH110">
        <f>IFERROR(INDEX('Exercise list'!$E$5:$X$102,MATCH($C110,'Exercise list'!$C$5:$C$102,0),MATCH(AH$5,'Exercise list'!$E$4:$X$4,0)),0)</f>
        <v>0</v>
      </c>
      <c r="AI110">
        <f>IFERROR(INDEX('Exercise list'!$E$5:$X$102,MATCH($C110,'Exercise list'!$C$5:$C$102,0),MATCH(AI$5,'Exercise list'!$E$4:$X$4,0)),0)</f>
        <v>0</v>
      </c>
      <c r="AK110">
        <f>IF(OR($J110=1,COUNTIFS($A$5:$A109,"&gt;="&amp;$A110-1,$A$5:$A109,"&lt;="&amp;$A110,$B$5:$B109,$B110)&gt;0,MIN(1-'Exercise list'!E$2,IF($A110=$A109,AK109,1))-P110&lt;0),-1,MIN(1,IF($A110=$A109,AK109,1)-P110+$D$2))</f>
        <v>1</v>
      </c>
      <c r="AL110">
        <f>IF(OR($J110=1,COUNTIFS($A$5:$A109,"&gt;="&amp;$A110-1,$A$5:$A109,"&lt;="&amp;$A110,$B$5:$B109,$B110)&gt;0,MIN(1-'Exercise list'!F$2,IF($A110=$A109,AL109,1))-Q110&lt;0),-1,MIN(1,IF($A110=$A109,AL109,1)-Q110+$D$2))</f>
        <v>1</v>
      </c>
      <c r="AM110">
        <f>IF(OR($J110=1,COUNTIFS($A$5:$A109,"&gt;="&amp;$A110-1,$A$5:$A109,"&lt;="&amp;$A110,$B$5:$B109,$B110)&gt;0,MIN(1-'Exercise list'!G$2,IF($A110=$A109,AM109,1))-R110&lt;0),-1,MIN(1,IF($A110=$A109,AM109,1)-R110+$D$2))</f>
        <v>1</v>
      </c>
      <c r="AN110">
        <f>IF(OR($J110=1,COUNTIFS($A$5:$A109,"&gt;="&amp;$A110-1,$A$5:$A109,"&lt;="&amp;$A110,$B$5:$B109,$B110)&gt;0,MIN(1-'Exercise list'!H$2,IF($A110=$A109,AN109,1))-S110&lt;0),-1,MIN(1,IF($A110=$A109,AN109,1)-S110+$D$2))</f>
        <v>1</v>
      </c>
      <c r="AO110">
        <f>IF(OR($J110=1,COUNTIFS($A$5:$A109,"&gt;="&amp;$A110-1,$A$5:$A109,"&lt;="&amp;$A110,$B$5:$B109,$B110)&gt;0,MIN(1-'Exercise list'!I$2,IF($A110=$A109,AO109,1))-T110&lt;0),-1,MIN(1,IF($A110=$A109,AO109,1)-T110+$D$2))</f>
        <v>1</v>
      </c>
      <c r="AP110">
        <f>IF(OR($J110=1,COUNTIFS($A$5:$A109,"&gt;="&amp;$A110-1,$A$5:$A109,"&lt;="&amp;$A110,$B$5:$B109,$B110)&gt;0,MIN(1-'Exercise list'!J$2,IF($A110=$A109,AP109,1))-U110&lt;0),-1,MIN(1,IF($A110=$A109,AP109,1)-U110+$D$2))</f>
        <v>1</v>
      </c>
      <c r="AQ110">
        <f>IF(OR($J110=1,COUNTIFS($A$5:$A109,"&gt;="&amp;$A110-1,$A$5:$A109,"&lt;="&amp;$A110,$B$5:$B109,$B110)&gt;0,MIN(1-'Exercise list'!K$2,IF($A110=$A109,AQ109,1))-V110&lt;0),-1,MIN(1,IF($A110=$A109,AQ109,1)-V110+$D$2))</f>
        <v>1</v>
      </c>
      <c r="AR110">
        <f>IF(OR($J110=1,COUNTIFS($A$5:$A109,"&gt;="&amp;$A110-1,$A$5:$A109,"&lt;="&amp;$A110,$B$5:$B109,$B110)&gt;0,MIN(1-'Exercise list'!L$2,IF($A110=$A109,AR109,1))-W110&lt;0),-1,MIN(1,IF($A110=$A109,AR109,1)-W110+$D$2))</f>
        <v>1</v>
      </c>
      <c r="AS110">
        <f>IF(OR($J110=1,COUNTIFS($A$5:$A109,"&gt;="&amp;$A110-1,$A$5:$A109,"&lt;="&amp;$A110,$B$5:$B109,$B110)&gt;0,MIN(1-'Exercise list'!M$2,IF($A110=$A109,AS109,1))-X110&lt;0),-1,MIN(1,IF($A110=$A109,AS109,1)-X110+$D$2))</f>
        <v>1</v>
      </c>
      <c r="AT110">
        <f>IF(OR($J110=1,COUNTIFS($A$5:$A109,"&gt;="&amp;$A110-1,$A$5:$A109,"&lt;="&amp;$A110,$B$5:$B109,$B110)&gt;0,MIN(1-'Exercise list'!N$2,IF($A110=$A109,AT109,1))-Y110&lt;0),-1,MIN(1,IF($A110=$A109,AT109,1)-Y110+$D$2))</f>
        <v>1</v>
      </c>
      <c r="AU110">
        <f>IF(OR($J110=1,COUNTIFS($A$5:$A109,"&gt;="&amp;$A110-1,$A$5:$A109,"&lt;="&amp;$A110,$B$5:$B109,$B110)&gt;0,MIN(1-'Exercise list'!O$2,IF($A110=$A109,AU109,1))-Z110&lt;0),-1,MIN(1,IF($A110=$A109,AU109,1)-Z110+$D$2))</f>
        <v>1</v>
      </c>
      <c r="AV110">
        <f>IF(OR($J110=1,COUNTIFS($A$5:$A109,"&gt;="&amp;$A110-1,$A$5:$A109,"&lt;="&amp;$A110,$B$5:$B109,$B110)&gt;0,MIN(1-'Exercise list'!P$2,IF($A110=$A109,AV109,1))-AA110&lt;0),-1,MIN(1,IF($A110=$A109,AV109,1)-AA110+$D$2))</f>
        <v>1</v>
      </c>
      <c r="AW110">
        <f>IF(OR($J110=1,COUNTIFS($A$5:$A109,"&gt;="&amp;$A110-1,$A$5:$A109,"&lt;="&amp;$A110,$B$5:$B109,$B110)&gt;0,MIN(1-'Exercise list'!Q$2,IF($A110=$A109,AW109,1))-AB110&lt;0),-1,MIN(1,IF($A110=$A109,AW109,1)-AB110+$D$2))</f>
        <v>1</v>
      </c>
      <c r="AX110">
        <f>IF(OR($J110=1,COUNTIFS($A$5:$A109,"&gt;="&amp;$A110-1,$A$5:$A109,"&lt;="&amp;$A110,$B$5:$B109,$B110)&gt;0,MIN(1-'Exercise list'!R$2,IF($A110=$A109,AX109,1))-AC110&lt;0),-1,MIN(1,IF($A110=$A109,AX109,1)-AC110+$D$2))</f>
        <v>1</v>
      </c>
      <c r="AY110">
        <f>IF(OR($J110=1,COUNTIFS($A$5:$A109,"&gt;="&amp;$A110-1,$A$5:$A109,"&lt;="&amp;$A110,$B$5:$B109,$B110)&gt;0,MIN(1-'Exercise list'!S$2,IF($A110=$A109,AY109,1))-AD110&lt;0),-1,MIN(1,IF($A110=$A109,AY109,1)-AD110+$D$2))</f>
        <v>1</v>
      </c>
      <c r="AZ110">
        <f>IF(OR($J110=1,COUNTIFS($A$5:$A109,"&gt;="&amp;$A110-1,$A$5:$A109,"&lt;="&amp;$A110,$B$5:$B109,$B110)&gt;0,MIN(1-'Exercise list'!T$2,IF($A110=$A109,AZ109,1))-AE110&lt;0),-1,MIN(1,IF($A110=$A109,AZ109,1)-AE110+$D$2))</f>
        <v>1</v>
      </c>
      <c r="BA110">
        <f>IF(OR($J110=1,COUNTIFS($A$5:$A109,"&gt;="&amp;$A110-1,$A$5:$A109,"&lt;="&amp;$A110,$B$5:$B109,$B110)&gt;0,MIN(1-'Exercise list'!U$2,IF($A110=$A109,BA109,1))-AF110&lt;0),-1,MIN(1,IF($A110=$A109,BA109,1)-AF110+$D$2))</f>
        <v>1</v>
      </c>
      <c r="BB110">
        <f>IF(OR($J110=1,COUNTIFS($A$5:$A109,"&gt;="&amp;$A110-1,$A$5:$A109,"&lt;="&amp;$A110,$B$5:$B109,$B110)&gt;0,MIN(1-'Exercise list'!V$2,IF($A110=$A109,BB109,1))-AG110&lt;0),-1,MIN(1,IF($A110=$A109,BB109,1)-AG110+$D$2))</f>
        <v>1</v>
      </c>
      <c r="BC110">
        <f>IF(OR($J110=1,COUNTIFS($A$5:$A109,"&gt;="&amp;$A110-1,$A$5:$A109,"&lt;="&amp;$A110,$B$5:$B109,$B110)&gt;0,MIN(1-'Exercise list'!W$2,IF($A110=$A109,BC109,1))-AH110&lt;0),-1,MIN(1,IF($A110=$A109,BC109,1)-AH110+$D$2))</f>
        <v>1</v>
      </c>
      <c r="BD110">
        <f>IF(OR($J110=1,COUNTIFS($A$5:$A109,"&gt;="&amp;$A110-1,$A$5:$A109,"&lt;="&amp;$A110,$B$5:$B109,$B110)&gt;0,MIN(1-'Exercise list'!X$2,IF($A110=$A109,BD109,1))-AI110&lt;0),-1,MIN(1,IF($A110=$A109,BD109,1)-AI110+$D$2))</f>
        <v>1</v>
      </c>
      <c r="BF110" s="16">
        <f t="shared" si="100"/>
        <v>0.13074315703688014</v>
      </c>
      <c r="BG110" s="16">
        <f t="shared" si="101"/>
        <v>0.1734328978600829</v>
      </c>
      <c r="BH110" s="16">
        <f t="shared" si="102"/>
        <v>0.12054361555716704</v>
      </c>
      <c r="BI110" s="16">
        <f t="shared" si="103"/>
        <v>0.14572953551781342</v>
      </c>
      <c r="BJ110" s="16">
        <f t="shared" si="104"/>
        <v>0.15533152636863296</v>
      </c>
      <c r="BK110" s="16">
        <f t="shared" si="105"/>
        <v>0.14862412419980453</v>
      </c>
      <c r="BL110" s="16">
        <f t="shared" si="106"/>
        <v>0.18483296635721921</v>
      </c>
      <c r="BM110" s="16">
        <f t="shared" si="107"/>
        <v>3.3615504115904277E-2</v>
      </c>
      <c r="BN110" s="16">
        <f t="shared" si="108"/>
        <v>0.10598719199973558</v>
      </c>
      <c r="BO110" s="16">
        <f t="shared" si="109"/>
        <v>0.2019693442164775</v>
      </c>
      <c r="BP110" s="16">
        <f t="shared" si="110"/>
        <v>0.2405221749820427</v>
      </c>
      <c r="BQ110" s="16">
        <f t="shared" si="111"/>
        <v>7.8386884958927872E-2</v>
      </c>
      <c r="BR110" s="16">
        <f t="shared" si="112"/>
        <v>0.15517264051330931</v>
      </c>
      <c r="BS110" s="16">
        <f t="shared" si="113"/>
        <v>1.7489573658450368E-2</v>
      </c>
      <c r="BT110" s="16">
        <f t="shared" si="114"/>
        <v>0.2099650231389204</v>
      </c>
      <c r="BU110" s="16">
        <f t="shared" si="115"/>
        <v>0.21114755608167421</v>
      </c>
      <c r="BV110" s="16">
        <f t="shared" si="116"/>
        <v>0.26742173893644805</v>
      </c>
      <c r="BW110" s="16">
        <f t="shared" si="117"/>
        <v>0.13302316221243843</v>
      </c>
      <c r="BX110" s="16">
        <f t="shared" si="118"/>
        <v>0.11215583770189094</v>
      </c>
      <c r="BY110" s="16">
        <f t="shared" si="119"/>
        <v>3.6031169232747975E-2</v>
      </c>
      <c r="CA110" s="16">
        <f t="shared" si="56"/>
        <v>8.1266148492495305E-2</v>
      </c>
      <c r="CB110" s="16">
        <f t="shared" si="57"/>
        <v>3.8576407669292545E-2</v>
      </c>
      <c r="CC110" s="16">
        <f t="shared" si="58"/>
        <v>0</v>
      </c>
      <c r="CD110" s="16">
        <f t="shared" si="59"/>
        <v>0</v>
      </c>
      <c r="CE110" s="16">
        <f t="shared" si="60"/>
        <v>0</v>
      </c>
      <c r="CF110" s="16">
        <f t="shared" si="61"/>
        <v>0.16938983409425867</v>
      </c>
      <c r="CG110" s="16">
        <f t="shared" si="62"/>
        <v>0</v>
      </c>
      <c r="CH110" s="16">
        <f t="shared" si="63"/>
        <v>7.2389148648783444E-2</v>
      </c>
      <c r="CI110" s="16">
        <f t="shared" si="64"/>
        <v>0.10602211352963986</v>
      </c>
      <c r="CJ110" s="16">
        <f t="shared" si="65"/>
        <v>0</v>
      </c>
      <c r="CK110" s="16">
        <f t="shared" si="66"/>
        <v>0</v>
      </c>
      <c r="CL110" s="16">
        <f t="shared" si="67"/>
        <v>2.7617767805759849E-2</v>
      </c>
      <c r="CM110" s="16">
        <f t="shared" si="68"/>
        <v>5.6836665016066129E-2</v>
      </c>
      <c r="CN110" s="16">
        <f t="shared" si="69"/>
        <v>8.8515079106237349E-2</v>
      </c>
      <c r="CO110" s="16">
        <f t="shared" si="70"/>
        <v>0</v>
      </c>
      <c r="CP110" s="16">
        <f t="shared" si="71"/>
        <v>0</v>
      </c>
      <c r="CQ110" s="16">
        <f t="shared" si="72"/>
        <v>0</v>
      </c>
      <c r="CR110" s="16">
        <f t="shared" si="73"/>
        <v>0</v>
      </c>
      <c r="CS110" s="16">
        <f t="shared" si="74"/>
        <v>0</v>
      </c>
      <c r="CT110" s="16">
        <f t="shared" si="75"/>
        <v>6.9973483531939745E-2</v>
      </c>
    </row>
    <row r="111" spans="1:99" x14ac:dyDescent="0.25">
      <c r="A111" s="13">
        <v>45080</v>
      </c>
      <c r="B111" s="14">
        <v>7</v>
      </c>
      <c r="C111" s="15" t="str" cm="1">
        <f t="array" ref="C111">IF(B111="","",INDEX('Exercise list'!$C$5:$C$102,B111))</f>
        <v>Barbell bent-over rows</v>
      </c>
      <c r="D111" s="12">
        <f t="shared" si="97"/>
        <v>-1</v>
      </c>
      <c r="E111" s="107">
        <f t="shared" si="120"/>
        <v>0</v>
      </c>
      <c r="F111" s="63" cm="1">
        <f t="array" ref="F111">IF(B111="","",0.1+IFERROR(INDEX($F$6:$F110,SUMPRODUCT(MAX(ROW($C$6:$C110)*($C111=$C$6:$C110))-ROW($A$5)))*0.9^($A111-INDEX($A$6:A110,SUMPRODUCT(MAX(ROW($C$6:$C110)*($C111=$C$6:$C110))-ROW($A$5)))),0))</f>
        <v>0.14139152798711643</v>
      </c>
      <c r="G111" s="64">
        <f>INDEX('Exercise list'!$Y$5:$Y$102,MATCH(C111,'Exercise list'!$C$5:$C$102,0))</f>
        <v>3</v>
      </c>
      <c r="H111" s="115">
        <f t="shared" si="98"/>
        <v>6.1927507037766845E-2</v>
      </c>
      <c r="I111" s="6">
        <f t="shared" si="99"/>
        <v>3</v>
      </c>
      <c r="J111" s="6" cm="1">
        <f t="array" ref="J111">IF(B111="","",INDEX('Exercise list'!$D$5:$D$102,B111))</f>
        <v>1</v>
      </c>
      <c r="K111" s="12">
        <v>16</v>
      </c>
      <c r="L111" s="74" t="str" cm="1">
        <f t="array" ref="L111">IF(K111="","",INDEX('Exercise list'!$C$5:$C$102,K111))</f>
        <v>Pull-ups</v>
      </c>
      <c r="M111" s="6">
        <v>41</v>
      </c>
      <c r="N111" s="75" t="str" cm="1">
        <f t="array" ref="N111">IF(M111="","",INDEX('Exercise list'!$C$5:$C$102,M111))</f>
        <v>Dumbbell walking lunges</v>
      </c>
      <c r="P111">
        <f>IFERROR(INDEX('Exercise list'!$E$5:$X$102,MATCH($C111,'Exercise list'!$C$5:$C$102,0),MATCH(P$5,'Exercise list'!$E$4:$X$4,0)),0)</f>
        <v>0</v>
      </c>
      <c r="Q111">
        <f>IFERROR(INDEX('Exercise list'!$E$5:$X$102,MATCH($C111,'Exercise list'!$C$5:$C$102,0),MATCH(Q$5,'Exercise list'!$E$4:$X$4,0)),0)</f>
        <v>1</v>
      </c>
      <c r="R111">
        <f>IFERROR(INDEX('Exercise list'!$E$5:$X$102,MATCH($C111,'Exercise list'!$C$5:$C$102,0),MATCH(R$5,'Exercise list'!$E$4:$X$4,0)),0)</f>
        <v>0.7</v>
      </c>
      <c r="S111">
        <f>IFERROR(INDEX('Exercise list'!$E$5:$X$102,MATCH($C111,'Exercise list'!$C$5:$C$102,0),MATCH(S$5,'Exercise list'!$E$4:$X$4,0)),0)</f>
        <v>0.7</v>
      </c>
      <c r="T111">
        <f>IFERROR(INDEX('Exercise list'!$E$5:$X$102,MATCH($C111,'Exercise list'!$C$5:$C$102,0),MATCH(T$5,'Exercise list'!$E$4:$X$4,0)),0)</f>
        <v>0.8</v>
      </c>
      <c r="U111">
        <f>IFERROR(INDEX('Exercise list'!$E$5:$X$102,MATCH($C111,'Exercise list'!$C$5:$C$102,0),MATCH(U$5,'Exercise list'!$E$4:$X$4,0)),0)</f>
        <v>0</v>
      </c>
      <c r="V111">
        <f>IFERROR(INDEX('Exercise list'!$E$5:$X$102,MATCH($C111,'Exercise list'!$C$5:$C$102,0),MATCH(V$5,'Exercise list'!$E$4:$X$4,0)),0)</f>
        <v>0</v>
      </c>
      <c r="W111">
        <f>IFERROR(INDEX('Exercise list'!$E$5:$X$102,MATCH($C111,'Exercise list'!$C$5:$C$102,0),MATCH(W$5,'Exercise list'!$E$4:$X$4,0)),0)</f>
        <v>0</v>
      </c>
      <c r="X111">
        <f>IFERROR(INDEX('Exercise list'!$E$5:$X$102,MATCH($C111,'Exercise list'!$C$5:$C$102,0),MATCH(X$5,'Exercise list'!$E$4:$X$4,0)),0)</f>
        <v>0.5</v>
      </c>
      <c r="Y111">
        <f>IFERROR(INDEX('Exercise list'!$E$5:$X$102,MATCH($C111,'Exercise list'!$C$5:$C$102,0),MATCH(Y$5,'Exercise list'!$E$4:$X$4,0)),0)</f>
        <v>0</v>
      </c>
      <c r="Z111">
        <f>IFERROR(INDEX('Exercise list'!$E$5:$X$102,MATCH($C111,'Exercise list'!$C$5:$C$102,0),MATCH(Z$5,'Exercise list'!$E$4:$X$4,0)),0)</f>
        <v>0.5</v>
      </c>
      <c r="AA111">
        <f>IFERROR(INDEX('Exercise list'!$E$5:$X$102,MATCH($C111,'Exercise list'!$C$5:$C$102,0),MATCH(AA$5,'Exercise list'!$E$4:$X$4,0)),0)</f>
        <v>0</v>
      </c>
      <c r="AB111">
        <f>IFERROR(INDEX('Exercise list'!$E$5:$X$102,MATCH($C111,'Exercise list'!$C$5:$C$102,0),MATCH(AB$5,'Exercise list'!$E$4:$X$4,0)),0)</f>
        <v>0</v>
      </c>
      <c r="AC111">
        <f>IFERROR(INDEX('Exercise list'!$E$5:$X$102,MATCH($C111,'Exercise list'!$C$5:$C$102,0),MATCH(AC$5,'Exercise list'!$E$4:$X$4,0)),0)</f>
        <v>0</v>
      </c>
      <c r="AD111">
        <f>IFERROR(INDEX('Exercise list'!$E$5:$X$102,MATCH($C111,'Exercise list'!$C$5:$C$102,0),MATCH(AD$5,'Exercise list'!$E$4:$X$4,0)),0)</f>
        <v>0</v>
      </c>
      <c r="AE111">
        <f>IFERROR(INDEX('Exercise list'!$E$5:$X$102,MATCH($C111,'Exercise list'!$C$5:$C$102,0),MATCH(AE$5,'Exercise list'!$E$4:$X$4,0)),0)</f>
        <v>0</v>
      </c>
      <c r="AF111">
        <f>IFERROR(INDEX('Exercise list'!$E$5:$X$102,MATCH($C111,'Exercise list'!$C$5:$C$102,0),MATCH(AF$5,'Exercise list'!$E$4:$X$4,0)),0)</f>
        <v>0</v>
      </c>
      <c r="AG111">
        <f>IFERROR(INDEX('Exercise list'!$E$5:$X$102,MATCH($C111,'Exercise list'!$C$5:$C$102,0),MATCH(AG$5,'Exercise list'!$E$4:$X$4,0)),0)</f>
        <v>0</v>
      </c>
      <c r="AH111">
        <f>IFERROR(INDEX('Exercise list'!$E$5:$X$102,MATCH($C111,'Exercise list'!$C$5:$C$102,0),MATCH(AH$5,'Exercise list'!$E$4:$X$4,0)),0)</f>
        <v>0</v>
      </c>
      <c r="AI111">
        <f>IFERROR(INDEX('Exercise list'!$E$5:$X$102,MATCH($C111,'Exercise list'!$C$5:$C$102,0),MATCH(AI$5,'Exercise list'!$E$4:$X$4,0)),0)</f>
        <v>0</v>
      </c>
      <c r="AK111">
        <f>IF(OR($J111=1,COUNTIFS($A$5:$A110,"&gt;="&amp;$A111-1,$A$5:$A110,"&lt;="&amp;$A111,$B$5:$B110,$B111)&gt;0,MIN(1-'Exercise list'!E$2,IF($A111=$A110,AK110,1))-P111&lt;0),-1,MIN(1,IF($A111=$A110,AK110,1)-P111+$D$2))</f>
        <v>-1</v>
      </c>
      <c r="AL111">
        <f>IF(OR($J111=1,COUNTIFS($A$5:$A110,"&gt;="&amp;$A111-1,$A$5:$A110,"&lt;="&amp;$A111,$B$5:$B110,$B111)&gt;0,MIN(1-'Exercise list'!F$2,IF($A111=$A110,AL110,1))-Q111&lt;0),-1,MIN(1,IF($A111=$A110,AL110,1)-Q111+$D$2))</f>
        <v>-1</v>
      </c>
      <c r="AM111">
        <f>IF(OR($J111=1,COUNTIFS($A$5:$A110,"&gt;="&amp;$A111-1,$A$5:$A110,"&lt;="&amp;$A111,$B$5:$B110,$B111)&gt;0,MIN(1-'Exercise list'!G$2,IF($A111=$A110,AM110,1))-R111&lt;0),-1,MIN(1,IF($A111=$A110,AM110,1)-R111+$D$2))</f>
        <v>-1</v>
      </c>
      <c r="AN111">
        <f>IF(OR($J111=1,COUNTIFS($A$5:$A110,"&gt;="&amp;$A111-1,$A$5:$A110,"&lt;="&amp;$A111,$B$5:$B110,$B111)&gt;0,MIN(1-'Exercise list'!H$2,IF($A111=$A110,AN110,1))-S111&lt;0),-1,MIN(1,IF($A111=$A110,AN110,1)-S111+$D$2))</f>
        <v>-1</v>
      </c>
      <c r="AO111">
        <f>IF(OR($J111=1,COUNTIFS($A$5:$A110,"&gt;="&amp;$A111-1,$A$5:$A110,"&lt;="&amp;$A111,$B$5:$B110,$B111)&gt;0,MIN(1-'Exercise list'!I$2,IF($A111=$A110,AO110,1))-T111&lt;0),-1,MIN(1,IF($A111=$A110,AO110,1)-T111+$D$2))</f>
        <v>-1</v>
      </c>
      <c r="AP111">
        <f>IF(OR($J111=1,COUNTIFS($A$5:$A110,"&gt;="&amp;$A111-1,$A$5:$A110,"&lt;="&amp;$A111,$B$5:$B110,$B111)&gt;0,MIN(1-'Exercise list'!J$2,IF($A111=$A110,AP110,1))-U111&lt;0),-1,MIN(1,IF($A111=$A110,AP110,1)-U111+$D$2))</f>
        <v>-1</v>
      </c>
      <c r="AQ111">
        <f>IF(OR($J111=1,COUNTIFS($A$5:$A110,"&gt;="&amp;$A111-1,$A$5:$A110,"&lt;="&amp;$A111,$B$5:$B110,$B111)&gt;0,MIN(1-'Exercise list'!K$2,IF($A111=$A110,AQ110,1))-V111&lt;0),-1,MIN(1,IF($A111=$A110,AQ110,1)-V111+$D$2))</f>
        <v>-1</v>
      </c>
      <c r="AR111">
        <f>IF(OR($J111=1,COUNTIFS($A$5:$A110,"&gt;="&amp;$A111-1,$A$5:$A110,"&lt;="&amp;$A111,$B$5:$B110,$B111)&gt;0,MIN(1-'Exercise list'!L$2,IF($A111=$A110,AR110,1))-W111&lt;0),-1,MIN(1,IF($A111=$A110,AR110,1)-W111+$D$2))</f>
        <v>-1</v>
      </c>
      <c r="AS111">
        <f>IF(OR($J111=1,COUNTIFS($A$5:$A110,"&gt;="&amp;$A111-1,$A$5:$A110,"&lt;="&amp;$A111,$B$5:$B110,$B111)&gt;0,MIN(1-'Exercise list'!M$2,IF($A111=$A110,AS110,1))-X111&lt;0),-1,MIN(1,IF($A111=$A110,AS110,1)-X111+$D$2))</f>
        <v>-1</v>
      </c>
      <c r="AT111">
        <f>IF(OR($J111=1,COUNTIFS($A$5:$A110,"&gt;="&amp;$A111-1,$A$5:$A110,"&lt;="&amp;$A111,$B$5:$B110,$B111)&gt;0,MIN(1-'Exercise list'!N$2,IF($A111=$A110,AT110,1))-Y111&lt;0),-1,MIN(1,IF($A111=$A110,AT110,1)-Y111+$D$2))</f>
        <v>-1</v>
      </c>
      <c r="AU111">
        <f>IF(OR($J111=1,COUNTIFS($A$5:$A110,"&gt;="&amp;$A111-1,$A$5:$A110,"&lt;="&amp;$A111,$B$5:$B110,$B111)&gt;0,MIN(1-'Exercise list'!O$2,IF($A111=$A110,AU110,1))-Z111&lt;0),-1,MIN(1,IF($A111=$A110,AU110,1)-Z111+$D$2))</f>
        <v>-1</v>
      </c>
      <c r="AV111">
        <f>IF(OR($J111=1,COUNTIFS($A$5:$A110,"&gt;="&amp;$A111-1,$A$5:$A110,"&lt;="&amp;$A111,$B$5:$B110,$B111)&gt;0,MIN(1-'Exercise list'!P$2,IF($A111=$A110,AV110,1))-AA111&lt;0),-1,MIN(1,IF($A111=$A110,AV110,1)-AA111+$D$2))</f>
        <v>-1</v>
      </c>
      <c r="AW111">
        <f>IF(OR($J111=1,COUNTIFS($A$5:$A110,"&gt;="&amp;$A111-1,$A$5:$A110,"&lt;="&amp;$A111,$B$5:$B110,$B111)&gt;0,MIN(1-'Exercise list'!Q$2,IF($A111=$A110,AW110,1))-AB111&lt;0),-1,MIN(1,IF($A111=$A110,AW110,1)-AB111+$D$2))</f>
        <v>-1</v>
      </c>
      <c r="AX111">
        <f>IF(OR($J111=1,COUNTIFS($A$5:$A110,"&gt;="&amp;$A111-1,$A$5:$A110,"&lt;="&amp;$A111,$B$5:$B110,$B111)&gt;0,MIN(1-'Exercise list'!R$2,IF($A111=$A110,AX110,1))-AC111&lt;0),-1,MIN(1,IF($A111=$A110,AX110,1)-AC111+$D$2))</f>
        <v>-1</v>
      </c>
      <c r="AY111">
        <f>IF(OR($J111=1,COUNTIFS($A$5:$A110,"&gt;="&amp;$A111-1,$A$5:$A110,"&lt;="&amp;$A111,$B$5:$B110,$B111)&gt;0,MIN(1-'Exercise list'!S$2,IF($A111=$A110,AY110,1))-AD111&lt;0),-1,MIN(1,IF($A111=$A110,AY110,1)-AD111+$D$2))</f>
        <v>-1</v>
      </c>
      <c r="AZ111">
        <f>IF(OR($J111=1,COUNTIFS($A$5:$A110,"&gt;="&amp;$A111-1,$A$5:$A110,"&lt;="&amp;$A111,$B$5:$B110,$B111)&gt;0,MIN(1-'Exercise list'!T$2,IF($A111=$A110,AZ110,1))-AE111&lt;0),-1,MIN(1,IF($A111=$A110,AZ110,1)-AE111+$D$2))</f>
        <v>-1</v>
      </c>
      <c r="BA111">
        <f>IF(OR($J111=1,COUNTIFS($A$5:$A110,"&gt;="&amp;$A111-1,$A$5:$A110,"&lt;="&amp;$A111,$B$5:$B110,$B111)&gt;0,MIN(1-'Exercise list'!U$2,IF($A111=$A110,BA110,1))-AF111&lt;0),-1,MIN(1,IF($A111=$A110,BA110,1)-AF111+$D$2))</f>
        <v>-1</v>
      </c>
      <c r="BB111">
        <f>IF(OR($J111=1,COUNTIFS($A$5:$A110,"&gt;="&amp;$A111-1,$A$5:$A110,"&lt;="&amp;$A111,$B$5:$B110,$B111)&gt;0,MIN(1-'Exercise list'!V$2,IF($A111=$A110,BB110,1))-AG111&lt;0),-1,MIN(1,IF($A111=$A110,BB110,1)-AG111+$D$2))</f>
        <v>-1</v>
      </c>
      <c r="BC111">
        <f>IF(OR($J111=1,COUNTIFS($A$5:$A110,"&gt;="&amp;$A111-1,$A$5:$A110,"&lt;="&amp;$A111,$B$5:$B110,$B111)&gt;0,MIN(1-'Exercise list'!W$2,IF($A111=$A110,BC110,1))-AH111&lt;0),-1,MIN(1,IF($A111=$A110,BC110,1)-AH111+$D$2))</f>
        <v>-1</v>
      </c>
      <c r="BD111">
        <f>IF(OR($J111=1,COUNTIFS($A$5:$A110,"&gt;="&amp;$A111-1,$A$5:$A110,"&lt;="&amp;$A111,$B$5:$B110,$B111)&gt;0,MIN(1-'Exercise list'!X$2,IF($A111=$A110,BD110,1))-AI111&lt;0),-1,MIN(1,IF($A111=$A110,BD110,1)-AI111+$D$2))</f>
        <v>-1</v>
      </c>
      <c r="BF111" s="16">
        <f t="shared" si="100"/>
        <v>0.12420599918503612</v>
      </c>
      <c r="BG111" s="16">
        <f t="shared" si="101"/>
        <v>0.21476125296707876</v>
      </c>
      <c r="BH111" s="16">
        <f t="shared" si="102"/>
        <v>0.14951643477930868</v>
      </c>
      <c r="BI111" s="16">
        <f t="shared" si="103"/>
        <v>0.17344305874192276</v>
      </c>
      <c r="BJ111" s="16">
        <f t="shared" si="104"/>
        <v>0.1875649500502013</v>
      </c>
      <c r="BK111" s="16">
        <f t="shared" si="105"/>
        <v>0.14119291798981429</v>
      </c>
      <c r="BL111" s="16">
        <f t="shared" si="106"/>
        <v>0.17559131803935824</v>
      </c>
      <c r="BM111" s="16">
        <f t="shared" si="107"/>
        <v>3.193472891010906E-2</v>
      </c>
      <c r="BN111" s="16">
        <f t="shared" si="108"/>
        <v>0.12568783239974879</v>
      </c>
      <c r="BO111" s="16">
        <f t="shared" si="109"/>
        <v>0.19187087700565361</v>
      </c>
      <c r="BP111" s="16">
        <f t="shared" si="110"/>
        <v>0.25349606623294058</v>
      </c>
      <c r="BQ111" s="16">
        <f t="shared" si="111"/>
        <v>7.4467540710981481E-2</v>
      </c>
      <c r="BR111" s="16">
        <f t="shared" si="112"/>
        <v>0.14741400848764383</v>
      </c>
      <c r="BS111" s="16">
        <f t="shared" si="113"/>
        <v>1.661509497552785E-2</v>
      </c>
      <c r="BT111" s="16">
        <f t="shared" si="114"/>
        <v>0.19946677198197438</v>
      </c>
      <c r="BU111" s="16">
        <f t="shared" si="115"/>
        <v>0.20059017827759049</v>
      </c>
      <c r="BV111" s="16">
        <f t="shared" si="116"/>
        <v>0.25405065198962562</v>
      </c>
      <c r="BW111" s="16">
        <f t="shared" si="117"/>
        <v>0.12637200410181651</v>
      </c>
      <c r="BX111" s="16">
        <f t="shared" si="118"/>
        <v>0.10654804581679639</v>
      </c>
      <c r="BY111" s="16">
        <f t="shared" si="119"/>
        <v>3.4229610771110572E-2</v>
      </c>
      <c r="CA111" s="16">
        <f t="shared" si="56"/>
        <v>9.2758396623426068E-2</v>
      </c>
      <c r="CB111" s="16">
        <f t="shared" si="57"/>
        <v>2.2031428413834264E-3</v>
      </c>
      <c r="CC111" s="16">
        <f t="shared" si="58"/>
        <v>0</v>
      </c>
      <c r="CD111" s="16">
        <f t="shared" si="59"/>
        <v>0</v>
      </c>
      <c r="CE111" s="16">
        <f t="shared" si="60"/>
        <v>0</v>
      </c>
      <c r="CF111" s="16">
        <f t="shared" si="61"/>
        <v>0.18425367572287901</v>
      </c>
      <c r="CG111" s="16">
        <f t="shared" si="62"/>
        <v>0</v>
      </c>
      <c r="CH111" s="16">
        <f t="shared" si="63"/>
        <v>7.6547468994122042E-2</v>
      </c>
      <c r="CI111" s="16">
        <f t="shared" si="64"/>
        <v>9.1276563408713401E-2</v>
      </c>
      <c r="CJ111" s="16">
        <f t="shared" si="65"/>
        <v>0</v>
      </c>
      <c r="CK111" s="16">
        <f t="shared" si="66"/>
        <v>0</v>
      </c>
      <c r="CL111" s="16">
        <f t="shared" si="67"/>
        <v>3.4014657193249614E-2</v>
      </c>
      <c r="CM111" s="16">
        <f t="shared" si="68"/>
        <v>6.9550387320818363E-2</v>
      </c>
      <c r="CN111" s="16">
        <f t="shared" si="69"/>
        <v>9.1867102928703245E-2</v>
      </c>
      <c r="CO111" s="16">
        <f t="shared" si="70"/>
        <v>0</v>
      </c>
      <c r="CP111" s="16">
        <f t="shared" si="71"/>
        <v>0</v>
      </c>
      <c r="CQ111" s="16">
        <f t="shared" si="72"/>
        <v>0</v>
      </c>
      <c r="CR111" s="16">
        <f t="shared" si="73"/>
        <v>0</v>
      </c>
      <c r="CS111" s="16">
        <f t="shared" si="74"/>
        <v>1.9341520874347068E-3</v>
      </c>
      <c r="CT111" s="16">
        <f t="shared" si="75"/>
        <v>7.4252587133120523E-2</v>
      </c>
    </row>
    <row r="112" spans="1:99" x14ac:dyDescent="0.25">
      <c r="A112" s="13">
        <v>45080</v>
      </c>
      <c r="B112" s="14">
        <v>26</v>
      </c>
      <c r="C112" s="15" t="str" cm="1">
        <f t="array" ref="C112">IF(B112="","",INDEX('Exercise list'!$C$5:$C$102,B112))</f>
        <v>Dumbbell incline bench presses</v>
      </c>
      <c r="D112" s="12">
        <f t="shared" si="97"/>
        <v>-1</v>
      </c>
      <c r="E112" s="107">
        <f t="shared" si="120"/>
        <v>0</v>
      </c>
      <c r="F112" s="63" cm="1">
        <f t="array" ref="F112">IF(B112="","",0.1+IFERROR(INDEX($F$6:$F111,SUMPRODUCT(MAX(ROW($C$6:$C111)*($C112=$C$6:$C111))-ROW($A$5)))*0.9^($A112-INDEX($A$6:A111,SUMPRODUCT(MAX(ROW($C$6:$C111)*($C112=$C$6:$C111))-ROW($A$5)))),0))</f>
        <v>0.13856003948591855</v>
      </c>
      <c r="G112" s="64">
        <f>INDEX('Exercise list'!$Y$5:$Y$102,MATCH(C112,'Exercise list'!$C$5:$C$102,0))</f>
        <v>2</v>
      </c>
      <c r="H112" s="115">
        <f t="shared" si="98"/>
        <v>6.2242057525986889E-2</v>
      </c>
      <c r="I112" s="6">
        <f t="shared" si="99"/>
        <v>4</v>
      </c>
      <c r="J112" s="6" cm="1">
        <f t="array" ref="J112">IF(B112="","",INDEX('Exercise list'!$D$5:$D$102,B112))</f>
        <v>0</v>
      </c>
      <c r="K112" s="12">
        <v>26</v>
      </c>
      <c r="L112" s="74" t="str" cm="1">
        <f t="array" ref="L112">IF(K112="","",INDEX('Exercise list'!$C$5:$C$102,K112))</f>
        <v>Dumbbell incline bench presses</v>
      </c>
      <c r="M112" s="6">
        <v>28</v>
      </c>
      <c r="N112" s="75" t="str" cm="1">
        <f t="array" ref="N112">IF(M112="","",INDEX('Exercise list'!$C$5:$C$102,M112))</f>
        <v>Cable standing oblique twists</v>
      </c>
      <c r="P112">
        <f>IFERROR(INDEX('Exercise list'!$E$5:$X$102,MATCH($C112,'Exercise list'!$C$5:$C$102,0),MATCH(P$5,'Exercise list'!$E$4:$X$4,0)),0)</f>
        <v>0.8</v>
      </c>
      <c r="Q112">
        <f>IFERROR(INDEX('Exercise list'!$E$5:$X$102,MATCH($C112,'Exercise list'!$C$5:$C$102,0),MATCH(Q$5,'Exercise list'!$E$4:$X$4,0)),0)</f>
        <v>0</v>
      </c>
      <c r="R112">
        <f>IFERROR(INDEX('Exercise list'!$E$5:$X$102,MATCH($C112,'Exercise list'!$C$5:$C$102,0),MATCH(R$5,'Exercise list'!$E$4:$X$4,0)),0)</f>
        <v>0</v>
      </c>
      <c r="S112">
        <f>IFERROR(INDEX('Exercise list'!$E$5:$X$102,MATCH($C112,'Exercise list'!$C$5:$C$102,0),MATCH(S$5,'Exercise list'!$E$4:$X$4,0)),0)</f>
        <v>0</v>
      </c>
      <c r="T112">
        <f>IFERROR(INDEX('Exercise list'!$E$5:$X$102,MATCH($C112,'Exercise list'!$C$5:$C$102,0),MATCH(T$5,'Exercise list'!$E$4:$X$4,0)),0)</f>
        <v>0</v>
      </c>
      <c r="U112">
        <f>IFERROR(INDEX('Exercise list'!$E$5:$X$102,MATCH($C112,'Exercise list'!$C$5:$C$102,0),MATCH(U$5,'Exercise list'!$E$4:$X$4,0)),0)</f>
        <v>0</v>
      </c>
      <c r="V112">
        <f>IFERROR(INDEX('Exercise list'!$E$5:$X$102,MATCH($C112,'Exercise list'!$C$5:$C$102,0),MATCH(V$5,'Exercise list'!$E$4:$X$4,0)),0)</f>
        <v>0.8</v>
      </c>
      <c r="W112">
        <f>IFERROR(INDEX('Exercise list'!$E$5:$X$102,MATCH($C112,'Exercise list'!$C$5:$C$102,0),MATCH(W$5,'Exercise list'!$E$4:$X$4,0)),0)</f>
        <v>0</v>
      </c>
      <c r="X112">
        <f>IFERROR(INDEX('Exercise list'!$E$5:$X$102,MATCH($C112,'Exercise list'!$C$5:$C$102,0),MATCH(X$5,'Exercise list'!$E$4:$X$4,0)),0)</f>
        <v>0</v>
      </c>
      <c r="Y112">
        <f>IFERROR(INDEX('Exercise list'!$E$5:$X$102,MATCH($C112,'Exercise list'!$C$5:$C$102,0),MATCH(Y$5,'Exercise list'!$E$4:$X$4,0)),0)</f>
        <v>0.8</v>
      </c>
      <c r="Z112">
        <f>IFERROR(INDEX('Exercise list'!$E$5:$X$102,MATCH($C112,'Exercise list'!$C$5:$C$102,0),MATCH(Z$5,'Exercise list'!$E$4:$X$4,0)),0)</f>
        <v>0.5</v>
      </c>
      <c r="AA112">
        <f>IFERROR(INDEX('Exercise list'!$E$5:$X$102,MATCH($C112,'Exercise list'!$C$5:$C$102,0),MATCH(AA$5,'Exercise list'!$E$4:$X$4,0)),0)</f>
        <v>0</v>
      </c>
      <c r="AB112">
        <f>IFERROR(INDEX('Exercise list'!$E$5:$X$102,MATCH($C112,'Exercise list'!$C$5:$C$102,0),MATCH(AB$5,'Exercise list'!$E$4:$X$4,0)),0)</f>
        <v>0</v>
      </c>
      <c r="AC112">
        <f>IFERROR(INDEX('Exercise list'!$E$5:$X$102,MATCH($C112,'Exercise list'!$C$5:$C$102,0),MATCH(AC$5,'Exercise list'!$E$4:$X$4,0)),0)</f>
        <v>0</v>
      </c>
      <c r="AD112">
        <f>IFERROR(INDEX('Exercise list'!$E$5:$X$102,MATCH($C112,'Exercise list'!$C$5:$C$102,0),MATCH(AD$5,'Exercise list'!$E$4:$X$4,0)),0)</f>
        <v>0</v>
      </c>
      <c r="AE112">
        <f>IFERROR(INDEX('Exercise list'!$E$5:$X$102,MATCH($C112,'Exercise list'!$C$5:$C$102,0),MATCH(AE$5,'Exercise list'!$E$4:$X$4,0)),0)</f>
        <v>0</v>
      </c>
      <c r="AF112">
        <f>IFERROR(INDEX('Exercise list'!$E$5:$X$102,MATCH($C112,'Exercise list'!$C$5:$C$102,0),MATCH(AF$5,'Exercise list'!$E$4:$X$4,0)),0)</f>
        <v>0</v>
      </c>
      <c r="AG112">
        <f>IFERROR(INDEX('Exercise list'!$E$5:$X$102,MATCH($C112,'Exercise list'!$C$5:$C$102,0),MATCH(AG$5,'Exercise list'!$E$4:$X$4,0)),0)</f>
        <v>0</v>
      </c>
      <c r="AH112">
        <f>IFERROR(INDEX('Exercise list'!$E$5:$X$102,MATCH($C112,'Exercise list'!$C$5:$C$102,0),MATCH(AH$5,'Exercise list'!$E$4:$X$4,0)),0)</f>
        <v>0</v>
      </c>
      <c r="AI112">
        <f>IFERROR(INDEX('Exercise list'!$E$5:$X$102,MATCH($C112,'Exercise list'!$C$5:$C$102,0),MATCH(AI$5,'Exercise list'!$E$4:$X$4,0)),0)</f>
        <v>0</v>
      </c>
      <c r="AK112">
        <f>IF(OR($J112=1,COUNTIFS($A$5:$A111,"&gt;="&amp;$A112-1,$A$5:$A111,"&lt;="&amp;$A112,$B$5:$B111,$B112)&gt;0,MIN(1-'Exercise list'!E$2,IF($A112=$A111,AK111,1))-P112&lt;0),-1,MIN(1,IF($A112=$A111,AK111,1)-P112+$D$2))</f>
        <v>-1</v>
      </c>
      <c r="AL112">
        <f>IF(OR($J112=1,COUNTIFS($A$5:$A111,"&gt;="&amp;$A112-1,$A$5:$A111,"&lt;="&amp;$A112,$B$5:$B111,$B112)&gt;0,MIN(1-'Exercise list'!F$2,IF($A112=$A111,AL111,1))-Q112&lt;0),-1,MIN(1,IF($A112=$A111,AL111,1)-Q112+$D$2))</f>
        <v>-1</v>
      </c>
      <c r="AM112">
        <f>IF(OR($J112=1,COUNTIFS($A$5:$A111,"&gt;="&amp;$A112-1,$A$5:$A111,"&lt;="&amp;$A112,$B$5:$B111,$B112)&gt;0,MIN(1-'Exercise list'!G$2,IF($A112=$A111,AM111,1))-R112&lt;0),-1,MIN(1,IF($A112=$A111,AM111,1)-R112+$D$2))</f>
        <v>-1</v>
      </c>
      <c r="AN112">
        <f>IF(OR($J112=1,COUNTIFS($A$5:$A111,"&gt;="&amp;$A112-1,$A$5:$A111,"&lt;="&amp;$A112,$B$5:$B111,$B112)&gt;0,MIN(1-'Exercise list'!H$2,IF($A112=$A111,AN111,1))-S112&lt;0),-1,MIN(1,IF($A112=$A111,AN111,1)-S112+$D$2))</f>
        <v>-1</v>
      </c>
      <c r="AO112">
        <f>IF(OR($J112=1,COUNTIFS($A$5:$A111,"&gt;="&amp;$A112-1,$A$5:$A111,"&lt;="&amp;$A112,$B$5:$B111,$B112)&gt;0,MIN(1-'Exercise list'!I$2,IF($A112=$A111,AO111,1))-T112&lt;0),-1,MIN(1,IF($A112=$A111,AO111,1)-T112+$D$2))</f>
        <v>-1</v>
      </c>
      <c r="AP112">
        <f>IF(OR($J112=1,COUNTIFS($A$5:$A111,"&gt;="&amp;$A112-1,$A$5:$A111,"&lt;="&amp;$A112,$B$5:$B111,$B112)&gt;0,MIN(1-'Exercise list'!J$2,IF($A112=$A111,AP111,1))-U112&lt;0),-1,MIN(1,IF($A112=$A111,AP111,1)-U112+$D$2))</f>
        <v>-1</v>
      </c>
      <c r="AQ112">
        <f>IF(OR($J112=1,COUNTIFS($A$5:$A111,"&gt;="&amp;$A112-1,$A$5:$A111,"&lt;="&amp;$A112,$B$5:$B111,$B112)&gt;0,MIN(1-'Exercise list'!K$2,IF($A112=$A111,AQ111,1))-V112&lt;0),-1,MIN(1,IF($A112=$A111,AQ111,1)-V112+$D$2))</f>
        <v>-1</v>
      </c>
      <c r="AR112">
        <f>IF(OR($J112=1,COUNTIFS($A$5:$A111,"&gt;="&amp;$A112-1,$A$5:$A111,"&lt;="&amp;$A112,$B$5:$B111,$B112)&gt;0,MIN(1-'Exercise list'!L$2,IF($A112=$A111,AR111,1))-W112&lt;0),-1,MIN(1,IF($A112=$A111,AR111,1)-W112+$D$2))</f>
        <v>-1</v>
      </c>
      <c r="AS112">
        <f>IF(OR($J112=1,COUNTIFS($A$5:$A111,"&gt;="&amp;$A112-1,$A$5:$A111,"&lt;="&amp;$A112,$B$5:$B111,$B112)&gt;0,MIN(1-'Exercise list'!M$2,IF($A112=$A111,AS111,1))-X112&lt;0),-1,MIN(1,IF($A112=$A111,AS111,1)-X112+$D$2))</f>
        <v>-1</v>
      </c>
      <c r="AT112">
        <f>IF(OR($J112=1,COUNTIFS($A$5:$A111,"&gt;="&amp;$A112-1,$A$5:$A111,"&lt;="&amp;$A112,$B$5:$B111,$B112)&gt;0,MIN(1-'Exercise list'!N$2,IF($A112=$A111,AT111,1))-Y112&lt;0),-1,MIN(1,IF($A112=$A111,AT111,1)-Y112+$D$2))</f>
        <v>-1</v>
      </c>
      <c r="AU112">
        <f>IF(OR($J112=1,COUNTIFS($A$5:$A111,"&gt;="&amp;$A112-1,$A$5:$A111,"&lt;="&amp;$A112,$B$5:$B111,$B112)&gt;0,MIN(1-'Exercise list'!O$2,IF($A112=$A111,AU111,1))-Z112&lt;0),-1,MIN(1,IF($A112=$A111,AU111,1)-Z112+$D$2))</f>
        <v>-1</v>
      </c>
      <c r="AV112">
        <f>IF(OR($J112=1,COUNTIFS($A$5:$A111,"&gt;="&amp;$A112-1,$A$5:$A111,"&lt;="&amp;$A112,$B$5:$B111,$B112)&gt;0,MIN(1-'Exercise list'!P$2,IF($A112=$A111,AV111,1))-AA112&lt;0),-1,MIN(1,IF($A112=$A111,AV111,1)-AA112+$D$2))</f>
        <v>-1</v>
      </c>
      <c r="AW112">
        <f>IF(OR($J112=1,COUNTIFS($A$5:$A111,"&gt;="&amp;$A112-1,$A$5:$A111,"&lt;="&amp;$A112,$B$5:$B111,$B112)&gt;0,MIN(1-'Exercise list'!Q$2,IF($A112=$A111,AW111,1))-AB112&lt;0),-1,MIN(1,IF($A112=$A111,AW111,1)-AB112+$D$2))</f>
        <v>-1</v>
      </c>
      <c r="AX112">
        <f>IF(OR($J112=1,COUNTIFS($A$5:$A111,"&gt;="&amp;$A112-1,$A$5:$A111,"&lt;="&amp;$A112,$B$5:$B111,$B112)&gt;0,MIN(1-'Exercise list'!R$2,IF($A112=$A111,AX111,1))-AC112&lt;0),-1,MIN(1,IF($A112=$A111,AX111,1)-AC112+$D$2))</f>
        <v>-1</v>
      </c>
      <c r="AY112">
        <f>IF(OR($J112=1,COUNTIFS($A$5:$A111,"&gt;="&amp;$A112-1,$A$5:$A111,"&lt;="&amp;$A112,$B$5:$B111,$B112)&gt;0,MIN(1-'Exercise list'!S$2,IF($A112=$A111,AY111,1))-AD112&lt;0),-1,MIN(1,IF($A112=$A111,AY111,1)-AD112+$D$2))</f>
        <v>-1</v>
      </c>
      <c r="AZ112">
        <f>IF(OR($J112=1,COUNTIFS($A$5:$A111,"&gt;="&amp;$A112-1,$A$5:$A111,"&lt;="&amp;$A112,$B$5:$B111,$B112)&gt;0,MIN(1-'Exercise list'!T$2,IF($A112=$A111,AZ111,1))-AE112&lt;0),-1,MIN(1,IF($A112=$A111,AZ111,1)-AE112+$D$2))</f>
        <v>-1</v>
      </c>
      <c r="BA112">
        <f>IF(OR($J112=1,COUNTIFS($A$5:$A111,"&gt;="&amp;$A112-1,$A$5:$A111,"&lt;="&amp;$A112,$B$5:$B111,$B112)&gt;0,MIN(1-'Exercise list'!U$2,IF($A112=$A111,BA111,1))-AF112&lt;0),-1,MIN(1,IF($A112=$A111,BA111,1)-AF112+$D$2))</f>
        <v>-1</v>
      </c>
      <c r="BB112">
        <f>IF(OR($J112=1,COUNTIFS($A$5:$A111,"&gt;="&amp;$A112-1,$A$5:$A111,"&lt;="&amp;$A112,$B$5:$B111,$B112)&gt;0,MIN(1-'Exercise list'!V$2,IF($A112=$A111,BB111,1))-AG112&lt;0),-1,MIN(1,IF($A112=$A111,BB111,1)-AG112+$D$2))</f>
        <v>-1</v>
      </c>
      <c r="BC112">
        <f>IF(OR($J112=1,COUNTIFS($A$5:$A111,"&gt;="&amp;$A112-1,$A$5:$A111,"&lt;="&amp;$A112,$B$5:$B111,$B112)&gt;0,MIN(1-'Exercise list'!W$2,IF($A112=$A111,BC111,1))-AH112&lt;0),-1,MIN(1,IF($A112=$A111,BC111,1)-AH112+$D$2))</f>
        <v>-1</v>
      </c>
      <c r="BD112">
        <f>IF(OR($J112=1,COUNTIFS($A$5:$A111,"&gt;="&amp;$A112-1,$A$5:$A111,"&lt;="&amp;$A112,$B$5:$B111,$B112)&gt;0,MIN(1-'Exercise list'!X$2,IF($A112=$A111,BD111,1))-AI112&lt;0),-1,MIN(1,IF($A112=$A111,BD111,1)-AI112+$D$2))</f>
        <v>-1</v>
      </c>
      <c r="BF112" s="16">
        <f t="shared" si="100"/>
        <v>0.15799569922578433</v>
      </c>
      <c r="BG112" s="16">
        <f t="shared" si="101"/>
        <v>0.20402319031872482</v>
      </c>
      <c r="BH112" s="16">
        <f t="shared" si="102"/>
        <v>0.14204061304034324</v>
      </c>
      <c r="BI112" s="16">
        <f t="shared" si="103"/>
        <v>0.16477090580482662</v>
      </c>
      <c r="BJ112" s="16">
        <f t="shared" si="104"/>
        <v>0.17818670254769123</v>
      </c>
      <c r="BK112" s="16">
        <f t="shared" si="105"/>
        <v>0.13413327209032358</v>
      </c>
      <c r="BL112" s="16">
        <f t="shared" si="106"/>
        <v>0.20681175213739034</v>
      </c>
      <c r="BM112" s="16">
        <f t="shared" si="107"/>
        <v>3.0337992464603607E-2</v>
      </c>
      <c r="BN112" s="16">
        <f t="shared" si="108"/>
        <v>0.11940344077976134</v>
      </c>
      <c r="BO112" s="16">
        <f t="shared" si="109"/>
        <v>0.22227733315537093</v>
      </c>
      <c r="BP112" s="16">
        <f t="shared" si="110"/>
        <v>0.26582126292129354</v>
      </c>
      <c r="BQ112" s="16">
        <f t="shared" si="111"/>
        <v>7.0744163675432403E-2</v>
      </c>
      <c r="BR112" s="16">
        <f t="shared" si="112"/>
        <v>0.14004330806326162</v>
      </c>
      <c r="BS112" s="16">
        <f t="shared" si="113"/>
        <v>1.5784340226751455E-2</v>
      </c>
      <c r="BT112" s="16">
        <f t="shared" si="114"/>
        <v>0.18949343338287564</v>
      </c>
      <c r="BU112" s="16">
        <f t="shared" si="115"/>
        <v>0.19056066936371097</v>
      </c>
      <c r="BV112" s="16">
        <f t="shared" si="116"/>
        <v>0.24134811939014433</v>
      </c>
      <c r="BW112" s="16">
        <f t="shared" si="117"/>
        <v>0.12005340389672568</v>
      </c>
      <c r="BX112" s="16">
        <f t="shared" si="118"/>
        <v>0.10122064352595657</v>
      </c>
      <c r="BY112" s="16">
        <f t="shared" si="119"/>
        <v>3.2518130232555044E-2</v>
      </c>
      <c r="CA112" s="16">
        <f t="shared" si="56"/>
        <v>5.8861217532995502E-2</v>
      </c>
      <c r="CB112" s="16">
        <f t="shared" si="57"/>
        <v>1.283372644005501E-2</v>
      </c>
      <c r="CC112" s="16">
        <f t="shared" si="58"/>
        <v>0</v>
      </c>
      <c r="CD112" s="16">
        <f t="shared" si="59"/>
        <v>0</v>
      </c>
      <c r="CE112" s="16">
        <f t="shared" si="60"/>
        <v>0</v>
      </c>
      <c r="CF112" s="16">
        <f t="shared" si="61"/>
        <v>0.19115210304784622</v>
      </c>
      <c r="CG112" s="16">
        <f t="shared" si="62"/>
        <v>0</v>
      </c>
      <c r="CH112" s="16">
        <f t="shared" si="63"/>
        <v>7.80904659147863E-2</v>
      </c>
      <c r="CI112" s="16">
        <f t="shared" si="64"/>
        <v>9.7453475979018489E-2</v>
      </c>
      <c r="CJ112" s="16">
        <f t="shared" si="65"/>
        <v>0</v>
      </c>
      <c r="CK112" s="16">
        <f t="shared" si="66"/>
        <v>0</v>
      </c>
      <c r="CL112" s="16">
        <f t="shared" si="67"/>
        <v>3.768429470395751E-2</v>
      </c>
      <c r="CM112" s="16">
        <f t="shared" si="68"/>
        <v>7.6813608695518204E-2</v>
      </c>
      <c r="CN112" s="16">
        <f t="shared" si="69"/>
        <v>9.2644118152638455E-2</v>
      </c>
      <c r="CO112" s="16">
        <f t="shared" si="70"/>
        <v>0</v>
      </c>
      <c r="CP112" s="16">
        <f t="shared" si="71"/>
        <v>0</v>
      </c>
      <c r="CQ112" s="16">
        <f t="shared" si="72"/>
        <v>0</v>
      </c>
      <c r="CR112" s="16">
        <f t="shared" si="73"/>
        <v>0</v>
      </c>
      <c r="CS112" s="16">
        <f t="shared" si="74"/>
        <v>7.2078148534333447E-3</v>
      </c>
      <c r="CT112" s="16">
        <f t="shared" si="75"/>
        <v>7.5910328146834877E-2</v>
      </c>
    </row>
    <row r="113" spans="1:99" x14ac:dyDescent="0.25">
      <c r="A113" s="20">
        <v>45080</v>
      </c>
      <c r="B113" s="21">
        <v>1</v>
      </c>
      <c r="C113" s="22" t="str" cm="1">
        <f t="array" ref="C113">IF(B113="","",INDEX('Exercise list'!$C$5:$C$102,B113))</f>
        <v>Cycling machine</v>
      </c>
      <c r="D113" s="17">
        <f t="shared" si="97"/>
        <v>-1</v>
      </c>
      <c r="E113" s="108">
        <f t="shared" si="120"/>
        <v>13.888884181399321</v>
      </c>
      <c r="F113" s="65" cm="1">
        <f t="array" ref="F113">IF(B113="","",0.1+IFERROR(INDEX($F$6:$F112,SUMPRODUCT(MAX(ROW($C$6:$C112)*($C113=$C$6:$C112))-ROW($A$5)))*0.9^($A113-INDEX($A$6:A112,SUMPRODUCT(MAX(ROW($C$6:$C112)*($C113=$C$6:$C112))-ROW($A$5)))),0))</f>
        <v>0.14786179758722257</v>
      </c>
      <c r="G113" s="25">
        <f>INDEX('Exercise list'!$Y$5:$Y$102,MATCH(C113,'Exercise list'!$C$5:$C$102,0))</f>
        <v>3</v>
      </c>
      <c r="H113" s="116">
        <f t="shared" si="98"/>
        <v>6.2242057525986889E-2</v>
      </c>
      <c r="I113" s="18">
        <f t="shared" si="99"/>
        <v>5</v>
      </c>
      <c r="J113" s="18" cm="1">
        <f t="array" ref="J113">IF(B113="","",INDEX('Exercise list'!$D$5:$D$102,B113))</f>
        <v>0</v>
      </c>
      <c r="K113" s="17">
        <v>4</v>
      </c>
      <c r="L113" s="51" t="str" cm="1">
        <f t="array" ref="L113">IF(K113="","",INDEX('Exercise list'!$C$5:$C$102,K113))</f>
        <v>Stair climbing machine</v>
      </c>
      <c r="M113" s="18">
        <v>2</v>
      </c>
      <c r="N113" s="76" t="str" cm="1">
        <f t="array" ref="N113">IF(M113="","",INDEX('Exercise list'!$C$5:$C$102,M113))</f>
        <v>Lateral elliptical machine</v>
      </c>
      <c r="O113" s="19"/>
      <c r="P113" s="19">
        <f>IFERROR(INDEX('Exercise list'!$E$5:$X$102,MATCH($C113,'Exercise list'!$C$5:$C$102,0),MATCH(P$5,'Exercise list'!$E$4:$X$4,0)),0)</f>
        <v>0</v>
      </c>
      <c r="Q113" s="19">
        <f>IFERROR(INDEX('Exercise list'!$E$5:$X$102,MATCH($C113,'Exercise list'!$C$5:$C$102,0),MATCH(Q$5,'Exercise list'!$E$4:$X$4,0)),0)</f>
        <v>0</v>
      </c>
      <c r="R113" s="19">
        <f>IFERROR(INDEX('Exercise list'!$E$5:$X$102,MATCH($C113,'Exercise list'!$C$5:$C$102,0),MATCH(R$5,'Exercise list'!$E$4:$X$4,0)),0)</f>
        <v>0</v>
      </c>
      <c r="S113" s="19">
        <f>IFERROR(INDEX('Exercise list'!$E$5:$X$102,MATCH($C113,'Exercise list'!$C$5:$C$102,0),MATCH(S$5,'Exercise list'!$E$4:$X$4,0)),0)</f>
        <v>0</v>
      </c>
      <c r="T113" s="19">
        <f>IFERROR(INDEX('Exercise list'!$E$5:$X$102,MATCH($C113,'Exercise list'!$C$5:$C$102,0),MATCH(T$5,'Exercise list'!$E$4:$X$4,0)),0)</f>
        <v>0</v>
      </c>
      <c r="U113" s="19">
        <f>IFERROR(INDEX('Exercise list'!$E$5:$X$102,MATCH($C113,'Exercise list'!$C$5:$C$102,0),MATCH(U$5,'Exercise list'!$E$4:$X$4,0)),0)</f>
        <v>0</v>
      </c>
      <c r="V113" s="19">
        <f>IFERROR(INDEX('Exercise list'!$E$5:$X$102,MATCH($C113,'Exercise list'!$C$5:$C$102,0),MATCH(V$5,'Exercise list'!$E$4:$X$4,0)),0)</f>
        <v>0</v>
      </c>
      <c r="W113" s="19">
        <f>IFERROR(INDEX('Exercise list'!$E$5:$X$102,MATCH($C113,'Exercise list'!$C$5:$C$102,0),MATCH(W$5,'Exercise list'!$E$4:$X$4,0)),0)</f>
        <v>0</v>
      </c>
      <c r="X113" s="19">
        <f>IFERROR(INDEX('Exercise list'!$E$5:$X$102,MATCH($C113,'Exercise list'!$C$5:$C$102,0),MATCH(X$5,'Exercise list'!$E$4:$X$4,0)),0)</f>
        <v>0</v>
      </c>
      <c r="Y113" s="19">
        <f>IFERROR(INDEX('Exercise list'!$E$5:$X$102,MATCH($C113,'Exercise list'!$C$5:$C$102,0),MATCH(Y$5,'Exercise list'!$E$4:$X$4,0)),0)</f>
        <v>0</v>
      </c>
      <c r="Z113" s="19">
        <f>IFERROR(INDEX('Exercise list'!$E$5:$X$102,MATCH($C113,'Exercise list'!$C$5:$C$102,0),MATCH(Z$5,'Exercise list'!$E$4:$X$4,0)),0)</f>
        <v>0</v>
      </c>
      <c r="AA113" s="19">
        <f>IFERROR(INDEX('Exercise list'!$E$5:$X$102,MATCH($C113,'Exercise list'!$C$5:$C$102,0),MATCH(AA$5,'Exercise list'!$E$4:$X$4,0)),0)</f>
        <v>0</v>
      </c>
      <c r="AB113" s="19">
        <f>IFERROR(INDEX('Exercise list'!$E$5:$X$102,MATCH($C113,'Exercise list'!$C$5:$C$102,0),MATCH(AB$5,'Exercise list'!$E$4:$X$4,0)),0)</f>
        <v>0</v>
      </c>
      <c r="AC113" s="19">
        <f>IFERROR(INDEX('Exercise list'!$E$5:$X$102,MATCH($C113,'Exercise list'!$C$5:$C$102,0),MATCH(AC$5,'Exercise list'!$E$4:$X$4,0)),0)</f>
        <v>0</v>
      </c>
      <c r="AD113" s="19">
        <f>IFERROR(INDEX('Exercise list'!$E$5:$X$102,MATCH($C113,'Exercise list'!$C$5:$C$102,0),MATCH(AD$5,'Exercise list'!$E$4:$X$4,0)),0)</f>
        <v>1</v>
      </c>
      <c r="AE113" s="19">
        <f>IFERROR(INDEX('Exercise list'!$E$5:$X$102,MATCH($C113,'Exercise list'!$C$5:$C$102,0),MATCH(AE$5,'Exercise list'!$E$4:$X$4,0)),0)</f>
        <v>0.8</v>
      </c>
      <c r="AF113" s="19">
        <f>IFERROR(INDEX('Exercise list'!$E$5:$X$102,MATCH($C113,'Exercise list'!$C$5:$C$102,0),MATCH(AF$5,'Exercise list'!$E$4:$X$4,0)),0)</f>
        <v>0.7</v>
      </c>
      <c r="AG113" s="19">
        <f>IFERROR(INDEX('Exercise list'!$E$5:$X$102,MATCH($C113,'Exercise list'!$C$5:$C$102,0),MATCH(AG$5,'Exercise list'!$E$4:$X$4,0)),0)</f>
        <v>1</v>
      </c>
      <c r="AH113" s="19">
        <f>IFERROR(INDEX('Exercise list'!$E$5:$X$102,MATCH($C113,'Exercise list'!$C$5:$C$102,0),MATCH(AH$5,'Exercise list'!$E$4:$X$4,0)),0)</f>
        <v>0</v>
      </c>
      <c r="AI113" s="19">
        <f>IFERROR(INDEX('Exercise list'!$E$5:$X$102,MATCH($C113,'Exercise list'!$C$5:$C$102,0),MATCH(AI$5,'Exercise list'!$E$4:$X$4,0)),0)</f>
        <v>0</v>
      </c>
      <c r="AJ113" s="19"/>
      <c r="AK113" s="19">
        <f>IF(OR($J113=1,COUNTIFS($A$5:$A112,"&gt;="&amp;$A113-1,$A$5:$A112,"&lt;="&amp;$A113,$B$5:$B112,$B113)&gt;0,MIN(1-'Exercise list'!E$2,IF($A113=$A112,AK112,1))-P113&lt;0),-1,MIN(1,IF($A113=$A112,AK112,1)-P113+$D$2))</f>
        <v>-1</v>
      </c>
      <c r="AL113" s="19">
        <f>IF(OR($J113=1,COUNTIFS($A$5:$A112,"&gt;="&amp;$A113-1,$A$5:$A112,"&lt;="&amp;$A113,$B$5:$B112,$B113)&gt;0,MIN(1-'Exercise list'!F$2,IF($A113=$A112,AL112,1))-Q113&lt;0),-1,MIN(1,IF($A113=$A112,AL112,1)-Q113+$D$2))</f>
        <v>-1</v>
      </c>
      <c r="AM113" s="19">
        <f>IF(OR($J113=1,COUNTIFS($A$5:$A112,"&gt;="&amp;$A113-1,$A$5:$A112,"&lt;="&amp;$A113,$B$5:$B112,$B113)&gt;0,MIN(1-'Exercise list'!G$2,IF($A113=$A112,AM112,1))-R113&lt;0),-1,MIN(1,IF($A113=$A112,AM112,1)-R113+$D$2))</f>
        <v>-1</v>
      </c>
      <c r="AN113" s="19">
        <f>IF(OR($J113=1,COUNTIFS($A$5:$A112,"&gt;="&amp;$A113-1,$A$5:$A112,"&lt;="&amp;$A113,$B$5:$B112,$B113)&gt;0,MIN(1-'Exercise list'!H$2,IF($A113=$A112,AN112,1))-S113&lt;0),-1,MIN(1,IF($A113=$A112,AN112,1)-S113+$D$2))</f>
        <v>-1</v>
      </c>
      <c r="AO113" s="19">
        <f>IF(OR($J113=1,COUNTIFS($A$5:$A112,"&gt;="&amp;$A113-1,$A$5:$A112,"&lt;="&amp;$A113,$B$5:$B112,$B113)&gt;0,MIN(1-'Exercise list'!I$2,IF($A113=$A112,AO112,1))-T113&lt;0),-1,MIN(1,IF($A113=$A112,AO112,1)-T113+$D$2))</f>
        <v>-1</v>
      </c>
      <c r="AP113" s="19">
        <f>IF(OR($J113=1,COUNTIFS($A$5:$A112,"&gt;="&amp;$A113-1,$A$5:$A112,"&lt;="&amp;$A113,$B$5:$B112,$B113)&gt;0,MIN(1-'Exercise list'!J$2,IF($A113=$A112,AP112,1))-U113&lt;0),-1,MIN(1,IF($A113=$A112,AP112,1)-U113+$D$2))</f>
        <v>-1</v>
      </c>
      <c r="AQ113" s="19">
        <f>IF(OR($J113=1,COUNTIFS($A$5:$A112,"&gt;="&amp;$A113-1,$A$5:$A112,"&lt;="&amp;$A113,$B$5:$B112,$B113)&gt;0,MIN(1-'Exercise list'!K$2,IF($A113=$A112,AQ112,1))-V113&lt;0),-1,MIN(1,IF($A113=$A112,AQ112,1)-V113+$D$2))</f>
        <v>-1</v>
      </c>
      <c r="AR113" s="19">
        <f>IF(OR($J113=1,COUNTIFS($A$5:$A112,"&gt;="&amp;$A113-1,$A$5:$A112,"&lt;="&amp;$A113,$B$5:$B112,$B113)&gt;0,MIN(1-'Exercise list'!L$2,IF($A113=$A112,AR112,1))-W113&lt;0),-1,MIN(1,IF($A113=$A112,AR112,1)-W113+$D$2))</f>
        <v>-1</v>
      </c>
      <c r="AS113" s="19">
        <f>IF(OR($J113=1,COUNTIFS($A$5:$A112,"&gt;="&amp;$A113-1,$A$5:$A112,"&lt;="&amp;$A113,$B$5:$B112,$B113)&gt;0,MIN(1-'Exercise list'!M$2,IF($A113=$A112,AS112,1))-X113&lt;0),-1,MIN(1,IF($A113=$A112,AS112,1)-X113+$D$2))</f>
        <v>-1</v>
      </c>
      <c r="AT113" s="19">
        <f>IF(OR($J113=1,COUNTIFS($A$5:$A112,"&gt;="&amp;$A113-1,$A$5:$A112,"&lt;="&amp;$A113,$B$5:$B112,$B113)&gt;0,MIN(1-'Exercise list'!N$2,IF($A113=$A112,AT112,1))-Y113&lt;0),-1,MIN(1,IF($A113=$A112,AT112,1)-Y113+$D$2))</f>
        <v>-1</v>
      </c>
      <c r="AU113" s="19">
        <f>IF(OR($J113=1,COUNTIFS($A$5:$A112,"&gt;="&amp;$A113-1,$A$5:$A112,"&lt;="&amp;$A113,$B$5:$B112,$B113)&gt;0,MIN(1-'Exercise list'!O$2,IF($A113=$A112,AU112,1))-Z113&lt;0),-1,MIN(1,IF($A113=$A112,AU112,1)-Z113+$D$2))</f>
        <v>-1</v>
      </c>
      <c r="AV113" s="19">
        <f>IF(OR($J113=1,COUNTIFS($A$5:$A112,"&gt;="&amp;$A113-1,$A$5:$A112,"&lt;="&amp;$A113,$B$5:$B112,$B113)&gt;0,MIN(1-'Exercise list'!P$2,IF($A113=$A112,AV112,1))-AA113&lt;0),-1,MIN(1,IF($A113=$A112,AV112,1)-AA113+$D$2))</f>
        <v>-1</v>
      </c>
      <c r="AW113" s="19">
        <f>IF(OR($J113=1,COUNTIFS($A$5:$A112,"&gt;="&amp;$A113-1,$A$5:$A112,"&lt;="&amp;$A113,$B$5:$B112,$B113)&gt;0,MIN(1-'Exercise list'!Q$2,IF($A113=$A112,AW112,1))-AB113&lt;0),-1,MIN(1,IF($A113=$A112,AW112,1)-AB113+$D$2))</f>
        <v>-1</v>
      </c>
      <c r="AX113" s="19">
        <f>IF(OR($J113=1,COUNTIFS($A$5:$A112,"&gt;="&amp;$A113-1,$A$5:$A112,"&lt;="&amp;$A113,$B$5:$B112,$B113)&gt;0,MIN(1-'Exercise list'!R$2,IF($A113=$A112,AX112,1))-AC113&lt;0),-1,MIN(1,IF($A113=$A112,AX112,1)-AC113+$D$2))</f>
        <v>-1</v>
      </c>
      <c r="AY113" s="19">
        <f>IF(OR($J113=1,COUNTIFS($A$5:$A112,"&gt;="&amp;$A113-1,$A$5:$A112,"&lt;="&amp;$A113,$B$5:$B112,$B113)&gt;0,MIN(1-'Exercise list'!S$2,IF($A113=$A112,AY112,1))-AD113&lt;0),-1,MIN(1,IF($A113=$A112,AY112,1)-AD113+$D$2))</f>
        <v>-1</v>
      </c>
      <c r="AZ113" s="19">
        <f>IF(OR($J113=1,COUNTIFS($A$5:$A112,"&gt;="&amp;$A113-1,$A$5:$A112,"&lt;="&amp;$A113,$B$5:$B112,$B113)&gt;0,MIN(1-'Exercise list'!T$2,IF($A113=$A112,AZ112,1))-AE113&lt;0),-1,MIN(1,IF($A113=$A112,AZ112,1)-AE113+$D$2))</f>
        <v>-1</v>
      </c>
      <c r="BA113" s="19">
        <f>IF(OR($J113=1,COUNTIFS($A$5:$A112,"&gt;="&amp;$A113-1,$A$5:$A112,"&lt;="&amp;$A113,$B$5:$B112,$B113)&gt;0,MIN(1-'Exercise list'!U$2,IF($A113=$A112,BA112,1))-AF113&lt;0),-1,MIN(1,IF($A113=$A112,BA112,1)-AF113+$D$2))</f>
        <v>-1</v>
      </c>
      <c r="BB113" s="19">
        <f>IF(OR($J113=1,COUNTIFS($A$5:$A112,"&gt;="&amp;$A113-1,$A$5:$A112,"&lt;="&amp;$A113,$B$5:$B112,$B113)&gt;0,MIN(1-'Exercise list'!V$2,IF($A113=$A112,BB112,1))-AG113&lt;0),-1,MIN(1,IF($A113=$A112,BB112,1)-AG113+$D$2))</f>
        <v>-1</v>
      </c>
      <c r="BC113" s="19">
        <f>IF(OR($J113=1,COUNTIFS($A$5:$A112,"&gt;="&amp;$A113-1,$A$5:$A112,"&lt;="&amp;$A113,$B$5:$B112,$B113)&gt;0,MIN(1-'Exercise list'!W$2,IF($A113=$A112,BC112,1))-AH113&lt;0),-1,MIN(1,IF($A113=$A112,BC112,1)-AH113+$D$2))</f>
        <v>-1</v>
      </c>
      <c r="BD113" s="19">
        <f>IF(OR($J113=1,COUNTIFS($A$5:$A112,"&gt;="&amp;$A113-1,$A$5:$A112,"&lt;="&amp;$A113,$B$5:$B112,$B113)&gt;0,MIN(1-'Exercise list'!X$2,IF($A113=$A112,BD112,1))-AI113&lt;0),-1,MIN(1,IF($A113=$A112,BD112,1)-AI113+$D$2))</f>
        <v>-1</v>
      </c>
      <c r="BE113" s="19"/>
      <c r="BF113" s="23">
        <f t="shared" si="100"/>
        <v>0.15799569922578433</v>
      </c>
      <c r="BG113" s="23">
        <f t="shared" si="101"/>
        <v>0.20402319031872482</v>
      </c>
      <c r="BH113" s="23">
        <f t="shared" si="102"/>
        <v>0.14204061304034324</v>
      </c>
      <c r="BI113" s="23">
        <f t="shared" si="103"/>
        <v>0.16477090580482662</v>
      </c>
      <c r="BJ113" s="23">
        <f t="shared" si="104"/>
        <v>0.17818670254769123</v>
      </c>
      <c r="BK113" s="23">
        <f t="shared" si="105"/>
        <v>0.13413327209032358</v>
      </c>
      <c r="BL113" s="23">
        <f t="shared" si="106"/>
        <v>0.20681175213739034</v>
      </c>
      <c r="BM113" s="23">
        <f t="shared" si="107"/>
        <v>3.0337992464603607E-2</v>
      </c>
      <c r="BN113" s="23">
        <f t="shared" si="108"/>
        <v>0.11940344077976134</v>
      </c>
      <c r="BO113" s="23">
        <f t="shared" si="109"/>
        <v>0.22227733315537093</v>
      </c>
      <c r="BP113" s="23">
        <f t="shared" si="110"/>
        <v>0.26582126292129354</v>
      </c>
      <c r="BQ113" s="23">
        <f t="shared" si="111"/>
        <v>7.0744163675432403E-2</v>
      </c>
      <c r="BR113" s="23">
        <f t="shared" si="112"/>
        <v>0.14004330806326162</v>
      </c>
      <c r="BS113" s="23">
        <f t="shared" si="113"/>
        <v>1.5784340226751455E-2</v>
      </c>
      <c r="BT113" s="23">
        <f t="shared" si="114"/>
        <v>0.18949343338287564</v>
      </c>
      <c r="BU113" s="23">
        <f t="shared" si="115"/>
        <v>0.19056066936371097</v>
      </c>
      <c r="BV113" s="23">
        <f t="shared" si="116"/>
        <v>0.24134811939014433</v>
      </c>
      <c r="BW113" s="23">
        <f t="shared" si="117"/>
        <v>0.12005340389672568</v>
      </c>
      <c r="BX113" s="23">
        <f t="shared" si="118"/>
        <v>0.10122064352595657</v>
      </c>
      <c r="BY113" s="23">
        <f t="shared" si="119"/>
        <v>3.2518130232555044E-2</v>
      </c>
      <c r="BZ113" s="19"/>
      <c r="CA113" s="23">
        <f t="shared" si="56"/>
        <v>5.8861217532995502E-2</v>
      </c>
      <c r="CB113" s="23">
        <f t="shared" si="57"/>
        <v>1.283372644005501E-2</v>
      </c>
      <c r="CC113" s="23">
        <f t="shared" si="58"/>
        <v>0</v>
      </c>
      <c r="CD113" s="23">
        <f t="shared" si="59"/>
        <v>0</v>
      </c>
      <c r="CE113" s="23">
        <f t="shared" si="60"/>
        <v>0</v>
      </c>
      <c r="CF113" s="23">
        <f t="shared" si="61"/>
        <v>0.19115210304784622</v>
      </c>
      <c r="CG113" s="23">
        <f t="shared" si="62"/>
        <v>0</v>
      </c>
      <c r="CH113" s="23">
        <f t="shared" si="63"/>
        <v>7.80904659147863E-2</v>
      </c>
      <c r="CI113" s="23">
        <f t="shared" si="64"/>
        <v>9.7453475979018489E-2</v>
      </c>
      <c r="CJ113" s="23">
        <f t="shared" si="65"/>
        <v>0</v>
      </c>
      <c r="CK113" s="23">
        <f t="shared" si="66"/>
        <v>0</v>
      </c>
      <c r="CL113" s="23">
        <f t="shared" si="67"/>
        <v>3.768429470395751E-2</v>
      </c>
      <c r="CM113" s="23">
        <f t="shared" si="68"/>
        <v>7.6813608695518204E-2</v>
      </c>
      <c r="CN113" s="23">
        <f t="shared" si="69"/>
        <v>9.2644118152638455E-2</v>
      </c>
      <c r="CO113" s="23">
        <f t="shared" si="70"/>
        <v>0</v>
      </c>
      <c r="CP113" s="23">
        <f t="shared" si="71"/>
        <v>0</v>
      </c>
      <c r="CQ113" s="23">
        <f t="shared" si="72"/>
        <v>0</v>
      </c>
      <c r="CR113" s="23">
        <f t="shared" si="73"/>
        <v>0</v>
      </c>
      <c r="CS113" s="23">
        <f t="shared" si="74"/>
        <v>7.2078148534333447E-3</v>
      </c>
      <c r="CT113" s="23">
        <f t="shared" si="75"/>
        <v>7.5910328146834877E-2</v>
      </c>
      <c r="CU113" s="19"/>
    </row>
    <row r="114" spans="1:99" x14ac:dyDescent="0.25">
      <c r="A114" s="13">
        <v>45082</v>
      </c>
      <c r="B114" s="14">
        <v>29</v>
      </c>
      <c r="C114" s="15" t="str" cm="1">
        <f t="array" ref="C114">IF(B114="","",INDEX('Exercise list'!$C$5:$C$102,B114))</f>
        <v>Hanging leg raises</v>
      </c>
      <c r="D114" s="12">
        <f t="shared" si="97"/>
        <v>1</v>
      </c>
      <c r="E114" s="107">
        <f t="shared" si="120"/>
        <v>0</v>
      </c>
      <c r="F114" s="63" cm="1">
        <f t="array" ref="F114">IF(B114="","",0.1+IFERROR(INDEX($F$6:$F113,SUMPRODUCT(MAX(ROW($C$6:$C113)*($C114=$C$6:$C113))-ROW($A$5)))*0.9^($A114-INDEX($A$6:A113,SUMPRODUCT(MAX(ROW($C$6:$C113)*($C114=$C$6:$C113))-ROW($A$5)))),0))</f>
        <v>0.14838987639275719</v>
      </c>
      <c r="G114" s="64">
        <f>INDEX('Exercise list'!$Y$5:$Y$102,MATCH(C114,'Exercise list'!$C$5:$C$102,0))</f>
        <v>2</v>
      </c>
      <c r="H114" s="115">
        <f t="shared" si="98"/>
        <v>6.1216483959988112E-2</v>
      </c>
      <c r="I114" s="42">
        <f t="shared" si="99"/>
        <v>1</v>
      </c>
      <c r="J114" s="6" cm="1">
        <f t="array" ref="J114">IF(B114="","",INDEX('Exercise list'!$D$5:$D$102,B114))</f>
        <v>0</v>
      </c>
      <c r="K114" s="12">
        <v>48</v>
      </c>
      <c r="L114" s="74" t="str" cm="1">
        <f t="array" ref="L114">IF(K114="","",INDEX('Exercise list'!$C$5:$C$102,K114))</f>
        <v>Barbell overhead presses</v>
      </c>
      <c r="M114" s="6">
        <v>11</v>
      </c>
      <c r="N114" s="75" t="str" cm="1">
        <f t="array" ref="N114">IF(M114="","",INDEX('Exercise list'!$C$5:$C$102,M114))</f>
        <v>Chin-ups</v>
      </c>
      <c r="P114">
        <f>IFERROR(INDEX('Exercise list'!$E$5:$X$102,MATCH($C114,'Exercise list'!$C$5:$C$102,0),MATCH(P$5,'Exercise list'!$E$4:$X$4,0)),0)</f>
        <v>0</v>
      </c>
      <c r="Q114">
        <f>IFERROR(INDEX('Exercise list'!$E$5:$X$102,MATCH($C114,'Exercise list'!$C$5:$C$102,0),MATCH(Q$5,'Exercise list'!$E$4:$X$4,0)),0)</f>
        <v>0</v>
      </c>
      <c r="R114">
        <f>IFERROR(INDEX('Exercise list'!$E$5:$X$102,MATCH($C114,'Exercise list'!$C$5:$C$102,0),MATCH(R$5,'Exercise list'!$E$4:$X$4,0)),0)</f>
        <v>0</v>
      </c>
      <c r="S114">
        <f>IFERROR(INDEX('Exercise list'!$E$5:$X$102,MATCH($C114,'Exercise list'!$C$5:$C$102,0),MATCH(S$5,'Exercise list'!$E$4:$X$4,0)),0)</f>
        <v>0</v>
      </c>
      <c r="T114">
        <f>IFERROR(INDEX('Exercise list'!$E$5:$X$102,MATCH($C114,'Exercise list'!$C$5:$C$102,0),MATCH(T$5,'Exercise list'!$E$4:$X$4,0)),0)</f>
        <v>0</v>
      </c>
      <c r="U114">
        <f>IFERROR(INDEX('Exercise list'!$E$5:$X$102,MATCH($C114,'Exercise list'!$C$5:$C$102,0),MATCH(U$5,'Exercise list'!$E$4:$X$4,0)),0)</f>
        <v>0</v>
      </c>
      <c r="V114">
        <f>IFERROR(INDEX('Exercise list'!$E$5:$X$102,MATCH($C114,'Exercise list'!$C$5:$C$102,0),MATCH(V$5,'Exercise list'!$E$4:$X$4,0)),0)</f>
        <v>0</v>
      </c>
      <c r="W114">
        <f>IFERROR(INDEX('Exercise list'!$E$5:$X$102,MATCH($C114,'Exercise list'!$C$5:$C$102,0),MATCH(W$5,'Exercise list'!$E$4:$X$4,0)),0)</f>
        <v>0</v>
      </c>
      <c r="X114">
        <f>IFERROR(INDEX('Exercise list'!$E$5:$X$102,MATCH($C114,'Exercise list'!$C$5:$C$102,0),MATCH(X$5,'Exercise list'!$E$4:$X$4,0)),0)</f>
        <v>0</v>
      </c>
      <c r="Y114">
        <f>IFERROR(INDEX('Exercise list'!$E$5:$X$102,MATCH($C114,'Exercise list'!$C$5:$C$102,0),MATCH(Y$5,'Exercise list'!$E$4:$X$4,0)),0)</f>
        <v>0</v>
      </c>
      <c r="Z114">
        <f>IFERROR(INDEX('Exercise list'!$E$5:$X$102,MATCH($C114,'Exercise list'!$C$5:$C$102,0),MATCH(Z$5,'Exercise list'!$E$4:$X$4,0)),0)</f>
        <v>1</v>
      </c>
      <c r="AA114">
        <f>IFERROR(INDEX('Exercise list'!$E$5:$X$102,MATCH($C114,'Exercise list'!$C$5:$C$102,0),MATCH(AA$5,'Exercise list'!$E$4:$X$4,0)),0)</f>
        <v>0.8</v>
      </c>
      <c r="AB114">
        <f>IFERROR(INDEX('Exercise list'!$E$5:$X$102,MATCH($C114,'Exercise list'!$C$5:$C$102,0),MATCH(AB$5,'Exercise list'!$E$4:$X$4,0)),0)</f>
        <v>1</v>
      </c>
      <c r="AC114">
        <f>IFERROR(INDEX('Exercise list'!$E$5:$X$102,MATCH($C114,'Exercise list'!$C$5:$C$102,0),MATCH(AC$5,'Exercise list'!$E$4:$X$4,0)),0)</f>
        <v>0.5</v>
      </c>
      <c r="AD114">
        <f>IFERROR(INDEX('Exercise list'!$E$5:$X$102,MATCH($C114,'Exercise list'!$C$5:$C$102,0),MATCH(AD$5,'Exercise list'!$E$4:$X$4,0)),0)</f>
        <v>0</v>
      </c>
      <c r="AE114">
        <f>IFERROR(INDEX('Exercise list'!$E$5:$X$102,MATCH($C114,'Exercise list'!$C$5:$C$102,0),MATCH(AE$5,'Exercise list'!$E$4:$X$4,0)),0)</f>
        <v>0</v>
      </c>
      <c r="AF114">
        <f>IFERROR(INDEX('Exercise list'!$E$5:$X$102,MATCH($C114,'Exercise list'!$C$5:$C$102,0),MATCH(AF$5,'Exercise list'!$E$4:$X$4,0)),0)</f>
        <v>0</v>
      </c>
      <c r="AG114">
        <f>IFERROR(INDEX('Exercise list'!$E$5:$X$102,MATCH($C114,'Exercise list'!$C$5:$C$102,0),MATCH(AG$5,'Exercise list'!$E$4:$X$4,0)),0)</f>
        <v>0</v>
      </c>
      <c r="AH114">
        <f>IFERROR(INDEX('Exercise list'!$E$5:$X$102,MATCH($C114,'Exercise list'!$C$5:$C$102,0),MATCH(AH$5,'Exercise list'!$E$4:$X$4,0)),0)</f>
        <v>0</v>
      </c>
      <c r="AI114">
        <f>IFERROR(INDEX('Exercise list'!$E$5:$X$102,MATCH($C114,'Exercise list'!$C$5:$C$102,0),MATCH(AI$5,'Exercise list'!$E$4:$X$4,0)),0)</f>
        <v>0</v>
      </c>
      <c r="AK114">
        <f>IF(OR($J114=1,COUNTIFS($A$5:$A113,"&gt;="&amp;$A114-1,$A$5:$A113,"&lt;="&amp;$A114,$B$5:$B113,$B114)&gt;0,MIN(1-'Exercise list'!E$2,IF($A114=$A113,AK113,1))-P114&lt;0),-1,MIN(1,IF($A114=$A113,AK113,1)-P114+$D$2))</f>
        <v>1</v>
      </c>
      <c r="AL114">
        <f>IF(OR($J114=1,COUNTIFS($A$5:$A113,"&gt;="&amp;$A114-1,$A$5:$A113,"&lt;="&amp;$A114,$B$5:$B113,$B114)&gt;0,MIN(1-'Exercise list'!F$2,IF($A114=$A113,AL113,1))-Q114&lt;0),-1,MIN(1,IF($A114=$A113,AL113,1)-Q114+$D$2))</f>
        <v>1</v>
      </c>
      <c r="AM114">
        <f>IF(OR($J114=1,COUNTIFS($A$5:$A113,"&gt;="&amp;$A114-1,$A$5:$A113,"&lt;="&amp;$A114,$B$5:$B113,$B114)&gt;0,MIN(1-'Exercise list'!G$2,IF($A114=$A113,AM113,1))-R114&lt;0),-1,MIN(1,IF($A114=$A113,AM113,1)-R114+$D$2))</f>
        <v>1</v>
      </c>
      <c r="AN114">
        <f>IF(OR($J114=1,COUNTIFS($A$5:$A113,"&gt;="&amp;$A114-1,$A$5:$A113,"&lt;="&amp;$A114,$B$5:$B113,$B114)&gt;0,MIN(1-'Exercise list'!H$2,IF($A114=$A113,AN113,1))-S114&lt;0),-1,MIN(1,IF($A114=$A113,AN113,1)-S114+$D$2))</f>
        <v>1</v>
      </c>
      <c r="AO114">
        <f>IF(OR($J114=1,COUNTIFS($A$5:$A113,"&gt;="&amp;$A114-1,$A$5:$A113,"&lt;="&amp;$A114,$B$5:$B113,$B114)&gt;0,MIN(1-'Exercise list'!I$2,IF($A114=$A113,AO113,1))-T114&lt;0),-1,MIN(1,IF($A114=$A113,AO113,1)-T114+$D$2))</f>
        <v>1</v>
      </c>
      <c r="AP114">
        <f>IF(OR($J114=1,COUNTIFS($A$5:$A113,"&gt;="&amp;$A114-1,$A$5:$A113,"&lt;="&amp;$A114,$B$5:$B113,$B114)&gt;0,MIN(1-'Exercise list'!J$2,IF($A114=$A113,AP113,1))-U114&lt;0),-1,MIN(1,IF($A114=$A113,AP113,1)-U114+$D$2))</f>
        <v>1</v>
      </c>
      <c r="AQ114">
        <f>IF(OR($J114=1,COUNTIFS($A$5:$A113,"&gt;="&amp;$A114-1,$A$5:$A113,"&lt;="&amp;$A114,$B$5:$B113,$B114)&gt;0,MIN(1-'Exercise list'!K$2,IF($A114=$A113,AQ113,1))-V114&lt;0),-1,MIN(1,IF($A114=$A113,AQ113,1)-V114+$D$2))</f>
        <v>1</v>
      </c>
      <c r="AR114">
        <f>IF(OR($J114=1,COUNTIFS($A$5:$A113,"&gt;="&amp;$A114-1,$A$5:$A113,"&lt;="&amp;$A114,$B$5:$B113,$B114)&gt;0,MIN(1-'Exercise list'!L$2,IF($A114=$A113,AR113,1))-W114&lt;0),-1,MIN(1,IF($A114=$A113,AR113,1)-W114+$D$2))</f>
        <v>1</v>
      </c>
      <c r="AS114">
        <f>IF(OR($J114=1,COUNTIFS($A$5:$A113,"&gt;="&amp;$A114-1,$A$5:$A113,"&lt;="&amp;$A114,$B$5:$B113,$B114)&gt;0,MIN(1-'Exercise list'!M$2,IF($A114=$A113,AS113,1))-X114&lt;0),-1,MIN(1,IF($A114=$A113,AS113,1)-X114+$D$2))</f>
        <v>1</v>
      </c>
      <c r="AT114">
        <f>IF(OR($J114=1,COUNTIFS($A$5:$A113,"&gt;="&amp;$A114-1,$A$5:$A113,"&lt;="&amp;$A114,$B$5:$B113,$B114)&gt;0,MIN(1-'Exercise list'!N$2,IF($A114=$A113,AT113,1))-Y114&lt;0),-1,MIN(1,IF($A114=$A113,AT113,1)-Y114+$D$2))</f>
        <v>1</v>
      </c>
      <c r="AU114">
        <f>IF(OR($J114=1,COUNTIFS($A$5:$A113,"&gt;="&amp;$A114-1,$A$5:$A113,"&lt;="&amp;$A114,$B$5:$B113,$B114)&gt;0,MIN(1-'Exercise list'!O$2,IF($A114=$A113,AU113,1))-Z114&lt;0),-1,MIN(1,IF($A114=$A113,AU113,1)-Z114+$D$2))</f>
        <v>1</v>
      </c>
      <c r="AV114">
        <f>IF(OR($J114=1,COUNTIFS($A$5:$A113,"&gt;="&amp;$A114-1,$A$5:$A113,"&lt;="&amp;$A114,$B$5:$B113,$B114)&gt;0,MIN(1-'Exercise list'!P$2,IF($A114=$A113,AV113,1))-AA114&lt;0),-1,MIN(1,IF($A114=$A113,AV113,1)-AA114+$D$2))</f>
        <v>1</v>
      </c>
      <c r="AW114">
        <f>IF(OR($J114=1,COUNTIFS($A$5:$A113,"&gt;="&amp;$A114-1,$A$5:$A113,"&lt;="&amp;$A114,$B$5:$B113,$B114)&gt;0,MIN(1-'Exercise list'!Q$2,IF($A114=$A113,AW113,1))-AB114&lt;0),-1,MIN(1,IF($A114=$A113,AW113,1)-AB114+$D$2))</f>
        <v>1</v>
      </c>
      <c r="AX114">
        <f>IF(OR($J114=1,COUNTIFS($A$5:$A113,"&gt;="&amp;$A114-1,$A$5:$A113,"&lt;="&amp;$A114,$B$5:$B113,$B114)&gt;0,MIN(1-'Exercise list'!R$2,IF($A114=$A113,AX113,1))-AC114&lt;0),-1,MIN(1,IF($A114=$A113,AX113,1)-AC114+$D$2))</f>
        <v>1</v>
      </c>
      <c r="AY114">
        <f>IF(OR($J114=1,COUNTIFS($A$5:$A113,"&gt;="&amp;$A114-1,$A$5:$A113,"&lt;="&amp;$A114,$B$5:$B113,$B114)&gt;0,MIN(1-'Exercise list'!S$2,IF($A114=$A113,AY113,1))-AD114&lt;0),-1,MIN(1,IF($A114=$A113,AY113,1)-AD114+$D$2))</f>
        <v>1</v>
      </c>
      <c r="AZ114">
        <f>IF(OR($J114=1,COUNTIFS($A$5:$A113,"&gt;="&amp;$A114-1,$A$5:$A113,"&lt;="&amp;$A114,$B$5:$B113,$B114)&gt;0,MIN(1-'Exercise list'!T$2,IF($A114=$A113,AZ113,1))-AE114&lt;0),-1,MIN(1,IF($A114=$A113,AZ113,1)-AE114+$D$2))</f>
        <v>1</v>
      </c>
      <c r="BA114">
        <f>IF(OR($J114=1,COUNTIFS($A$5:$A113,"&gt;="&amp;$A114-1,$A$5:$A113,"&lt;="&amp;$A114,$B$5:$B113,$B114)&gt;0,MIN(1-'Exercise list'!U$2,IF($A114=$A113,BA113,1))-AF114&lt;0),-1,MIN(1,IF($A114=$A113,BA113,1)-AF114+$D$2))</f>
        <v>1</v>
      </c>
      <c r="BB114">
        <f>IF(OR($J114=1,COUNTIFS($A$5:$A113,"&gt;="&amp;$A114-1,$A$5:$A113,"&lt;="&amp;$A114,$B$5:$B113,$B114)&gt;0,MIN(1-'Exercise list'!V$2,IF($A114=$A113,BB113,1))-AG114&lt;0),-1,MIN(1,IF($A114=$A113,BB113,1)-AG114+$D$2))</f>
        <v>1</v>
      </c>
      <c r="BC114">
        <f>IF(OR($J114=1,COUNTIFS($A$5:$A113,"&gt;="&amp;$A114-1,$A$5:$A113,"&lt;="&amp;$A114,$B$5:$B113,$B114)&gt;0,MIN(1-'Exercise list'!W$2,IF($A114=$A113,BC113,1))-AH114&lt;0),-1,MIN(1,IF($A114=$A113,BC113,1)-AH114+$D$2))</f>
        <v>1</v>
      </c>
      <c r="BD114">
        <f>IF(OR($J114=1,COUNTIFS($A$5:$A113,"&gt;="&amp;$A114-1,$A$5:$A113,"&lt;="&amp;$A114,$B$5:$B113,$B114)&gt;0,MIN(1-'Exercise list'!X$2,IF($A114=$A113,BD113,1))-AI114&lt;0),-1,MIN(1,IF($A114=$A113,BD113,1)-AI114+$D$2))</f>
        <v>1</v>
      </c>
      <c r="BF114" s="16">
        <f t="shared" si="100"/>
        <v>0.15009591426449509</v>
      </c>
      <c r="BG114" s="16">
        <f t="shared" si="101"/>
        <v>0.19382203080278856</v>
      </c>
      <c r="BH114" s="16">
        <f t="shared" si="102"/>
        <v>0.13493858238832607</v>
      </c>
      <c r="BI114" s="16">
        <f t="shared" si="103"/>
        <v>0.15653236051458527</v>
      </c>
      <c r="BJ114" s="16">
        <f t="shared" si="104"/>
        <v>0.16927736742030666</v>
      </c>
      <c r="BK114" s="16">
        <f t="shared" si="105"/>
        <v>0.12742660848580739</v>
      </c>
      <c r="BL114" s="16">
        <f t="shared" si="106"/>
        <v>0.1964711645305208</v>
      </c>
      <c r="BM114" s="16">
        <f t="shared" si="107"/>
        <v>2.8821092841373425E-2</v>
      </c>
      <c r="BN114" s="16">
        <f t="shared" si="108"/>
        <v>0.11343326874077327</v>
      </c>
      <c r="BO114" s="16">
        <f t="shared" si="109"/>
        <v>0.21116346649760237</v>
      </c>
      <c r="BP114" s="16">
        <f t="shared" si="110"/>
        <v>0.30253019977522883</v>
      </c>
      <c r="BQ114" s="16">
        <f t="shared" si="111"/>
        <v>0.10720695549166079</v>
      </c>
      <c r="BR114" s="16">
        <f t="shared" si="112"/>
        <v>0.18304114266009852</v>
      </c>
      <c r="BS114" s="16">
        <f t="shared" si="113"/>
        <v>3.9995123215413882E-2</v>
      </c>
      <c r="BT114" s="16">
        <f t="shared" si="114"/>
        <v>0.18001876171373185</v>
      </c>
      <c r="BU114" s="16">
        <f t="shared" si="115"/>
        <v>0.1810326358955254</v>
      </c>
      <c r="BV114" s="16">
        <f t="shared" si="116"/>
        <v>0.22928071342063711</v>
      </c>
      <c r="BW114" s="16">
        <f t="shared" si="117"/>
        <v>0.1140507337018894</v>
      </c>
      <c r="BX114" s="16">
        <f t="shared" si="118"/>
        <v>9.6159611349658738E-2</v>
      </c>
      <c r="BY114" s="16">
        <f t="shared" si="119"/>
        <v>3.089222372092729E-2</v>
      </c>
      <c r="CA114" s="16">
        <f t="shared" si="56"/>
        <v>6.8140378878567914E-2</v>
      </c>
      <c r="CB114" s="16">
        <f t="shared" si="57"/>
        <v>2.441426234027444E-2</v>
      </c>
      <c r="CC114" s="16">
        <f t="shared" si="58"/>
        <v>0</v>
      </c>
      <c r="CD114" s="16">
        <f t="shared" si="59"/>
        <v>0</v>
      </c>
      <c r="CE114" s="16">
        <f t="shared" si="60"/>
        <v>0</v>
      </c>
      <c r="CF114" s="16">
        <f t="shared" si="61"/>
        <v>0.19992783122878716</v>
      </c>
      <c r="CG114" s="16">
        <f t="shared" si="62"/>
        <v>0</v>
      </c>
      <c r="CH114" s="16">
        <f t="shared" si="63"/>
        <v>8.029705373015808E-2</v>
      </c>
      <c r="CI114" s="16">
        <f t="shared" si="64"/>
        <v>0.10480302440228974</v>
      </c>
      <c r="CJ114" s="16">
        <f t="shared" si="65"/>
        <v>0</v>
      </c>
      <c r="CK114" s="16">
        <f t="shared" si="66"/>
        <v>0</v>
      </c>
      <c r="CL114" s="16">
        <f t="shared" si="67"/>
        <v>1.9111910798707138E-3</v>
      </c>
      <c r="CM114" s="16">
        <f t="shared" si="68"/>
        <v>3.5195150482964482E-2</v>
      </c>
      <c r="CN114" s="16">
        <f t="shared" si="69"/>
        <v>6.9123023356117613E-2</v>
      </c>
      <c r="CO114" s="16">
        <f t="shared" si="70"/>
        <v>0</v>
      </c>
      <c r="CP114" s="16">
        <f t="shared" si="71"/>
        <v>0</v>
      </c>
      <c r="CQ114" s="16">
        <f t="shared" si="72"/>
        <v>0</v>
      </c>
      <c r="CR114" s="16">
        <f t="shared" si="73"/>
        <v>0</v>
      </c>
      <c r="CS114" s="16">
        <f t="shared" si="74"/>
        <v>1.2958535221872763E-2</v>
      </c>
      <c r="CT114" s="16">
        <f t="shared" si="75"/>
        <v>7.8225922850604215E-2</v>
      </c>
    </row>
    <row r="115" spans="1:99" x14ac:dyDescent="0.25">
      <c r="A115" s="13">
        <v>45082</v>
      </c>
      <c r="B115" s="14">
        <v>23</v>
      </c>
      <c r="C115" s="15" t="str" cm="1">
        <f t="array" ref="C115">IF(B115="","",INDEX('Exercise list'!$C$5:$C$102,B115))</f>
        <v>Barbell bench presses</v>
      </c>
      <c r="D115" s="12">
        <f t="shared" si="97"/>
        <v>-1</v>
      </c>
      <c r="E115" s="107">
        <f t="shared" si="120"/>
        <v>0</v>
      </c>
      <c r="F115" s="63" cm="1">
        <f t="array" ref="F115">IF(B115="","",0.1+IFERROR(INDEX($F$6:$F114,SUMPRODUCT(MAX(ROW($C$6:$C114)*($C115=$C$6:$C114))-ROW($A$5)))*0.9^($A115-INDEX($A$6:A114,SUMPRODUCT(MAX(ROW($C$6:$C114)*($C115=$C$6:$C114))-ROW($A$5)))),0))</f>
        <v>0.23936617403218149</v>
      </c>
      <c r="G115" s="64">
        <f>INDEX('Exercise list'!$Y$5:$Y$102,MATCH(C115,'Exercise list'!$C$5:$C$102,0))</f>
        <v>3</v>
      </c>
      <c r="H115" s="115">
        <f t="shared" si="98"/>
        <v>6.0803355543402486E-2</v>
      </c>
      <c r="I115" s="6">
        <f t="shared" si="99"/>
        <v>2</v>
      </c>
      <c r="J115" s="6" cm="1">
        <f t="array" ref="J115">IF(B115="","",INDEX('Exercise list'!$D$5:$D$102,B115))</f>
        <v>1</v>
      </c>
      <c r="K115" s="12">
        <v>23</v>
      </c>
      <c r="L115" s="74" t="str" cm="1">
        <f t="array" ref="L115">IF(K115="","",INDEX('Exercise list'!$C$5:$C$102,K115))</f>
        <v>Barbell bench presses</v>
      </c>
      <c r="M115" s="6">
        <v>41</v>
      </c>
      <c r="N115" s="75" t="str" cm="1">
        <f t="array" ref="N115">IF(M115="","",INDEX('Exercise list'!$C$5:$C$102,M115))</f>
        <v>Dumbbell walking lunges</v>
      </c>
      <c r="P115">
        <f>IFERROR(INDEX('Exercise list'!$E$5:$X$102,MATCH($C115,'Exercise list'!$C$5:$C$102,0),MATCH(P$5,'Exercise list'!$E$4:$X$4,0)),0)</f>
        <v>1</v>
      </c>
      <c r="Q115">
        <f>IFERROR(INDEX('Exercise list'!$E$5:$X$102,MATCH($C115,'Exercise list'!$C$5:$C$102,0),MATCH(Q$5,'Exercise list'!$E$4:$X$4,0)),0)</f>
        <v>0</v>
      </c>
      <c r="R115">
        <f>IFERROR(INDEX('Exercise list'!$E$5:$X$102,MATCH($C115,'Exercise list'!$C$5:$C$102,0),MATCH(R$5,'Exercise list'!$E$4:$X$4,0)),0)</f>
        <v>0</v>
      </c>
      <c r="S115">
        <f>IFERROR(INDEX('Exercise list'!$E$5:$X$102,MATCH($C115,'Exercise list'!$C$5:$C$102,0),MATCH(S$5,'Exercise list'!$E$4:$X$4,0)),0)</f>
        <v>0</v>
      </c>
      <c r="T115">
        <f>IFERROR(INDEX('Exercise list'!$E$5:$X$102,MATCH($C115,'Exercise list'!$C$5:$C$102,0),MATCH(T$5,'Exercise list'!$E$4:$X$4,0)),0)</f>
        <v>0</v>
      </c>
      <c r="U115">
        <f>IFERROR(INDEX('Exercise list'!$E$5:$X$102,MATCH($C115,'Exercise list'!$C$5:$C$102,0),MATCH(U$5,'Exercise list'!$E$4:$X$4,0)),0)</f>
        <v>0</v>
      </c>
      <c r="V115">
        <f>IFERROR(INDEX('Exercise list'!$E$5:$X$102,MATCH($C115,'Exercise list'!$C$5:$C$102,0),MATCH(V$5,'Exercise list'!$E$4:$X$4,0)),0)</f>
        <v>0.5</v>
      </c>
      <c r="W115">
        <f>IFERROR(INDEX('Exercise list'!$E$5:$X$102,MATCH($C115,'Exercise list'!$C$5:$C$102,0),MATCH(W$5,'Exercise list'!$E$4:$X$4,0)),0)</f>
        <v>0</v>
      </c>
      <c r="X115">
        <f>IFERROR(INDEX('Exercise list'!$E$5:$X$102,MATCH($C115,'Exercise list'!$C$5:$C$102,0),MATCH(X$5,'Exercise list'!$E$4:$X$4,0)),0)</f>
        <v>0</v>
      </c>
      <c r="Y115">
        <f>IFERROR(INDEX('Exercise list'!$E$5:$X$102,MATCH($C115,'Exercise list'!$C$5:$C$102,0),MATCH(Y$5,'Exercise list'!$E$4:$X$4,0)),0)</f>
        <v>0.8</v>
      </c>
      <c r="Z115">
        <f>IFERROR(INDEX('Exercise list'!$E$5:$X$102,MATCH($C115,'Exercise list'!$C$5:$C$102,0),MATCH(Z$5,'Exercise list'!$E$4:$X$4,0)),0)</f>
        <v>0</v>
      </c>
      <c r="AA115">
        <f>IFERROR(INDEX('Exercise list'!$E$5:$X$102,MATCH($C115,'Exercise list'!$C$5:$C$102,0),MATCH(AA$5,'Exercise list'!$E$4:$X$4,0)),0)</f>
        <v>0</v>
      </c>
      <c r="AB115">
        <f>IFERROR(INDEX('Exercise list'!$E$5:$X$102,MATCH($C115,'Exercise list'!$C$5:$C$102,0),MATCH(AB$5,'Exercise list'!$E$4:$X$4,0)),0)</f>
        <v>0</v>
      </c>
      <c r="AC115">
        <f>IFERROR(INDEX('Exercise list'!$E$5:$X$102,MATCH($C115,'Exercise list'!$C$5:$C$102,0),MATCH(AC$5,'Exercise list'!$E$4:$X$4,0)),0)</f>
        <v>0</v>
      </c>
      <c r="AD115">
        <f>IFERROR(INDEX('Exercise list'!$E$5:$X$102,MATCH($C115,'Exercise list'!$C$5:$C$102,0),MATCH(AD$5,'Exercise list'!$E$4:$X$4,0)),0)</f>
        <v>0</v>
      </c>
      <c r="AE115">
        <f>IFERROR(INDEX('Exercise list'!$E$5:$X$102,MATCH($C115,'Exercise list'!$C$5:$C$102,0),MATCH(AE$5,'Exercise list'!$E$4:$X$4,0)),0)</f>
        <v>0</v>
      </c>
      <c r="AF115">
        <f>IFERROR(INDEX('Exercise list'!$E$5:$X$102,MATCH($C115,'Exercise list'!$C$5:$C$102,0),MATCH(AF$5,'Exercise list'!$E$4:$X$4,0)),0)</f>
        <v>0</v>
      </c>
      <c r="AG115">
        <f>IFERROR(INDEX('Exercise list'!$E$5:$X$102,MATCH($C115,'Exercise list'!$C$5:$C$102,0),MATCH(AG$5,'Exercise list'!$E$4:$X$4,0)),0)</f>
        <v>0</v>
      </c>
      <c r="AH115">
        <f>IFERROR(INDEX('Exercise list'!$E$5:$X$102,MATCH($C115,'Exercise list'!$C$5:$C$102,0),MATCH(AH$5,'Exercise list'!$E$4:$X$4,0)),0)</f>
        <v>0</v>
      </c>
      <c r="AI115">
        <f>IFERROR(INDEX('Exercise list'!$E$5:$X$102,MATCH($C115,'Exercise list'!$C$5:$C$102,0),MATCH(AI$5,'Exercise list'!$E$4:$X$4,0)),0)</f>
        <v>0</v>
      </c>
      <c r="AK115">
        <f>IF(OR($J115=1,COUNTIFS($A$5:$A114,"&gt;="&amp;$A115-1,$A$5:$A114,"&lt;="&amp;$A115,$B$5:$B114,$B115)&gt;0,MIN(1-'Exercise list'!E$2,IF($A115=$A114,AK114,1))-P115&lt;0),-1,MIN(1,IF($A115=$A114,AK114,1)-P115+$D$2))</f>
        <v>-1</v>
      </c>
      <c r="AL115">
        <f>IF(OR($J115=1,COUNTIFS($A$5:$A114,"&gt;="&amp;$A115-1,$A$5:$A114,"&lt;="&amp;$A115,$B$5:$B114,$B115)&gt;0,MIN(1-'Exercise list'!F$2,IF($A115=$A114,AL114,1))-Q115&lt;0),-1,MIN(1,IF($A115=$A114,AL114,1)-Q115+$D$2))</f>
        <v>-1</v>
      </c>
      <c r="AM115">
        <f>IF(OR($J115=1,COUNTIFS($A$5:$A114,"&gt;="&amp;$A115-1,$A$5:$A114,"&lt;="&amp;$A115,$B$5:$B114,$B115)&gt;0,MIN(1-'Exercise list'!G$2,IF($A115=$A114,AM114,1))-R115&lt;0),-1,MIN(1,IF($A115=$A114,AM114,1)-R115+$D$2))</f>
        <v>-1</v>
      </c>
      <c r="AN115">
        <f>IF(OR($J115=1,COUNTIFS($A$5:$A114,"&gt;="&amp;$A115-1,$A$5:$A114,"&lt;="&amp;$A115,$B$5:$B114,$B115)&gt;0,MIN(1-'Exercise list'!H$2,IF($A115=$A114,AN114,1))-S115&lt;0),-1,MIN(1,IF($A115=$A114,AN114,1)-S115+$D$2))</f>
        <v>-1</v>
      </c>
      <c r="AO115">
        <f>IF(OR($J115=1,COUNTIFS($A$5:$A114,"&gt;="&amp;$A115-1,$A$5:$A114,"&lt;="&amp;$A115,$B$5:$B114,$B115)&gt;0,MIN(1-'Exercise list'!I$2,IF($A115=$A114,AO114,1))-T115&lt;0),-1,MIN(1,IF($A115=$A114,AO114,1)-T115+$D$2))</f>
        <v>-1</v>
      </c>
      <c r="AP115">
        <f>IF(OR($J115=1,COUNTIFS($A$5:$A114,"&gt;="&amp;$A115-1,$A$5:$A114,"&lt;="&amp;$A115,$B$5:$B114,$B115)&gt;0,MIN(1-'Exercise list'!J$2,IF($A115=$A114,AP114,1))-U115&lt;0),-1,MIN(1,IF($A115=$A114,AP114,1)-U115+$D$2))</f>
        <v>-1</v>
      </c>
      <c r="AQ115">
        <f>IF(OR($J115=1,COUNTIFS($A$5:$A114,"&gt;="&amp;$A115-1,$A$5:$A114,"&lt;="&amp;$A115,$B$5:$B114,$B115)&gt;0,MIN(1-'Exercise list'!K$2,IF($A115=$A114,AQ114,1))-V115&lt;0),-1,MIN(1,IF($A115=$A114,AQ114,1)-V115+$D$2))</f>
        <v>-1</v>
      </c>
      <c r="AR115">
        <f>IF(OR($J115=1,COUNTIFS($A$5:$A114,"&gt;="&amp;$A115-1,$A$5:$A114,"&lt;="&amp;$A115,$B$5:$B114,$B115)&gt;0,MIN(1-'Exercise list'!L$2,IF($A115=$A114,AR114,1))-W115&lt;0),-1,MIN(1,IF($A115=$A114,AR114,1)-W115+$D$2))</f>
        <v>-1</v>
      </c>
      <c r="AS115">
        <f>IF(OR($J115=1,COUNTIFS($A$5:$A114,"&gt;="&amp;$A115-1,$A$5:$A114,"&lt;="&amp;$A115,$B$5:$B114,$B115)&gt;0,MIN(1-'Exercise list'!M$2,IF($A115=$A114,AS114,1))-X115&lt;0),-1,MIN(1,IF($A115=$A114,AS114,1)-X115+$D$2))</f>
        <v>-1</v>
      </c>
      <c r="AT115">
        <f>IF(OR($J115=1,COUNTIFS($A$5:$A114,"&gt;="&amp;$A115-1,$A$5:$A114,"&lt;="&amp;$A115,$B$5:$B114,$B115)&gt;0,MIN(1-'Exercise list'!N$2,IF($A115=$A114,AT114,1))-Y115&lt;0),-1,MIN(1,IF($A115=$A114,AT114,1)-Y115+$D$2))</f>
        <v>-1</v>
      </c>
      <c r="AU115">
        <f>IF(OR($J115=1,COUNTIFS($A$5:$A114,"&gt;="&amp;$A115-1,$A$5:$A114,"&lt;="&amp;$A115,$B$5:$B114,$B115)&gt;0,MIN(1-'Exercise list'!O$2,IF($A115=$A114,AU114,1))-Z115&lt;0),-1,MIN(1,IF($A115=$A114,AU114,1)-Z115+$D$2))</f>
        <v>-1</v>
      </c>
      <c r="AV115">
        <f>IF(OR($J115=1,COUNTIFS($A$5:$A114,"&gt;="&amp;$A115-1,$A$5:$A114,"&lt;="&amp;$A115,$B$5:$B114,$B115)&gt;0,MIN(1-'Exercise list'!P$2,IF($A115=$A114,AV114,1))-AA115&lt;0),-1,MIN(1,IF($A115=$A114,AV114,1)-AA115+$D$2))</f>
        <v>-1</v>
      </c>
      <c r="AW115">
        <f>IF(OR($J115=1,COUNTIFS($A$5:$A114,"&gt;="&amp;$A115-1,$A$5:$A114,"&lt;="&amp;$A115,$B$5:$B114,$B115)&gt;0,MIN(1-'Exercise list'!Q$2,IF($A115=$A114,AW114,1))-AB115&lt;0),-1,MIN(1,IF($A115=$A114,AW114,1)-AB115+$D$2))</f>
        <v>-1</v>
      </c>
      <c r="AX115">
        <f>IF(OR($J115=1,COUNTIFS($A$5:$A114,"&gt;="&amp;$A115-1,$A$5:$A114,"&lt;="&amp;$A115,$B$5:$B114,$B115)&gt;0,MIN(1-'Exercise list'!R$2,IF($A115=$A114,AX114,1))-AC115&lt;0),-1,MIN(1,IF($A115=$A114,AX114,1)-AC115+$D$2))</f>
        <v>-1</v>
      </c>
      <c r="AY115">
        <f>IF(OR($J115=1,COUNTIFS($A$5:$A114,"&gt;="&amp;$A115-1,$A$5:$A114,"&lt;="&amp;$A115,$B$5:$B114,$B115)&gt;0,MIN(1-'Exercise list'!S$2,IF($A115=$A114,AY114,1))-AD115&lt;0),-1,MIN(1,IF($A115=$A114,AY114,1)-AD115+$D$2))</f>
        <v>-1</v>
      </c>
      <c r="AZ115">
        <f>IF(OR($J115=1,COUNTIFS($A$5:$A114,"&gt;="&amp;$A115-1,$A$5:$A114,"&lt;="&amp;$A115,$B$5:$B114,$B115)&gt;0,MIN(1-'Exercise list'!T$2,IF($A115=$A114,AZ114,1))-AE115&lt;0),-1,MIN(1,IF($A115=$A114,AZ114,1)-AE115+$D$2))</f>
        <v>-1</v>
      </c>
      <c r="BA115">
        <f>IF(OR($J115=1,COUNTIFS($A$5:$A114,"&gt;="&amp;$A115-1,$A$5:$A114,"&lt;="&amp;$A115,$B$5:$B114,$B115)&gt;0,MIN(1-'Exercise list'!U$2,IF($A115=$A114,BA114,1))-AF115&lt;0),-1,MIN(1,IF($A115=$A114,BA114,1)-AF115+$D$2))</f>
        <v>-1</v>
      </c>
      <c r="BB115">
        <f>IF(OR($J115=1,COUNTIFS($A$5:$A114,"&gt;="&amp;$A115-1,$A$5:$A114,"&lt;="&amp;$A115,$B$5:$B114,$B115)&gt;0,MIN(1-'Exercise list'!V$2,IF($A115=$A114,BB114,1))-AG115&lt;0),-1,MIN(1,IF($A115=$A114,BB114,1)-AG115+$D$2))</f>
        <v>-1</v>
      </c>
      <c r="BC115">
        <f>IF(OR($J115=1,COUNTIFS($A$5:$A114,"&gt;="&amp;$A115-1,$A$5:$A114,"&lt;="&amp;$A115,$B$5:$B114,$B115)&gt;0,MIN(1-'Exercise list'!W$2,IF($A115=$A114,BC114,1))-AH115&lt;0),-1,MIN(1,IF($A115=$A114,BC114,1)-AH115+$D$2))</f>
        <v>-1</v>
      </c>
      <c r="BD115">
        <f>IF(OR($J115=1,COUNTIFS($A$5:$A114,"&gt;="&amp;$A115-1,$A$5:$A114,"&lt;="&amp;$A115,$B$5:$B114,$B115)&gt;0,MIN(1-'Exercise list'!X$2,IF($A115=$A114,BD114,1))-AI115&lt;0),-1,MIN(1,IF($A115=$A114,BD114,1)-AI115+$D$2))</f>
        <v>-1</v>
      </c>
      <c r="BF115" s="16">
        <f t="shared" si="100"/>
        <v>0.19259111855127031</v>
      </c>
      <c r="BG115" s="16">
        <f t="shared" si="101"/>
        <v>0.18413092926264912</v>
      </c>
      <c r="BH115" s="16">
        <f t="shared" si="102"/>
        <v>0.12819165326890974</v>
      </c>
      <c r="BI115" s="16">
        <f t="shared" si="103"/>
        <v>0.14870574248885601</v>
      </c>
      <c r="BJ115" s="16">
        <f t="shared" si="104"/>
        <v>0.16081349904929132</v>
      </c>
      <c r="BK115" s="16">
        <f t="shared" si="105"/>
        <v>0.12105527806151702</v>
      </c>
      <c r="BL115" s="16">
        <f t="shared" si="106"/>
        <v>0.21164760630399473</v>
      </c>
      <c r="BM115" s="16">
        <f t="shared" si="107"/>
        <v>2.7380038199304752E-2</v>
      </c>
      <c r="BN115" s="16">
        <f t="shared" si="108"/>
        <v>0.1077616053037346</v>
      </c>
      <c r="BO115" s="16">
        <f t="shared" si="109"/>
        <v>0.24060529317272225</v>
      </c>
      <c r="BP115" s="16">
        <f t="shared" si="110"/>
        <v>0.28740368978646735</v>
      </c>
      <c r="BQ115" s="16">
        <f t="shared" si="111"/>
        <v>0.10184660771707775</v>
      </c>
      <c r="BR115" s="16">
        <f t="shared" si="112"/>
        <v>0.17388908552709359</v>
      </c>
      <c r="BS115" s="16">
        <f t="shared" si="113"/>
        <v>3.7995367054643188E-2</v>
      </c>
      <c r="BT115" s="16">
        <f t="shared" si="114"/>
        <v>0.17101782362804524</v>
      </c>
      <c r="BU115" s="16">
        <f t="shared" si="115"/>
        <v>0.17198100410074912</v>
      </c>
      <c r="BV115" s="16">
        <f t="shared" si="116"/>
        <v>0.21781667774960525</v>
      </c>
      <c r="BW115" s="16">
        <f t="shared" si="117"/>
        <v>0.10834819701679492</v>
      </c>
      <c r="BX115" s="16">
        <f t="shared" si="118"/>
        <v>9.1351630782175799E-2</v>
      </c>
      <c r="BY115" s="16">
        <f t="shared" si="119"/>
        <v>2.9347612534880923E-2</v>
      </c>
      <c r="CA115" s="16">
        <f t="shared" si="56"/>
        <v>2.3251878453158126E-2</v>
      </c>
      <c r="CB115" s="16">
        <f t="shared" si="57"/>
        <v>3.1712067741779315E-2</v>
      </c>
      <c r="CC115" s="16">
        <f t="shared" si="58"/>
        <v>0</v>
      </c>
      <c r="CD115" s="16">
        <f t="shared" si="59"/>
        <v>0</v>
      </c>
      <c r="CE115" s="16">
        <f t="shared" si="60"/>
        <v>0</v>
      </c>
      <c r="CF115" s="16">
        <f t="shared" si="61"/>
        <v>0.20270921744512566</v>
      </c>
      <c r="CG115" s="16">
        <f t="shared" si="62"/>
        <v>0</v>
      </c>
      <c r="CH115" s="16">
        <f t="shared" si="63"/>
        <v>8.0541460302909471E-2</v>
      </c>
      <c r="CI115" s="16">
        <f t="shared" si="64"/>
        <v>0.10808139170069384</v>
      </c>
      <c r="CJ115" s="16">
        <f t="shared" si="65"/>
        <v>0</v>
      </c>
      <c r="CK115" s="16">
        <f t="shared" si="66"/>
        <v>0</v>
      </c>
      <c r="CL115" s="16">
        <f t="shared" si="67"/>
        <v>6.0748907851364692E-3</v>
      </c>
      <c r="CM115" s="16">
        <f t="shared" si="68"/>
        <v>4.1953911477334849E-2</v>
      </c>
      <c r="CN115" s="16">
        <f t="shared" si="69"/>
        <v>6.9926131447571038E-2</v>
      </c>
      <c r="CO115" s="16">
        <f t="shared" si="70"/>
        <v>0</v>
      </c>
      <c r="CP115" s="16">
        <f t="shared" si="71"/>
        <v>0</v>
      </c>
      <c r="CQ115" s="16">
        <f t="shared" si="72"/>
        <v>0</v>
      </c>
      <c r="CR115" s="16">
        <f t="shared" si="73"/>
        <v>0</v>
      </c>
      <c r="CS115" s="16">
        <f t="shared" si="74"/>
        <v>1.656986772003842E-2</v>
      </c>
      <c r="CT115" s="16">
        <f t="shared" si="75"/>
        <v>7.8573885967333293E-2</v>
      </c>
    </row>
    <row r="116" spans="1:99" x14ac:dyDescent="0.25">
      <c r="A116" s="13">
        <v>45082</v>
      </c>
      <c r="B116" s="14">
        <v>11</v>
      </c>
      <c r="C116" s="15" t="str" cm="1">
        <f t="array" ref="C116">IF(B116="","",INDEX('Exercise list'!$C$5:$C$102,B116))</f>
        <v>Chin-ups</v>
      </c>
      <c r="D116" s="12">
        <f t="shared" si="97"/>
        <v>-1</v>
      </c>
      <c r="E116" s="107">
        <f t="shared" si="120"/>
        <v>0</v>
      </c>
      <c r="F116" s="63" cm="1">
        <f t="array" ref="F116">IF(B116="","",0.1+IFERROR(INDEX($F$6:$F115,SUMPRODUCT(MAX(ROW($C$6:$C115)*($C116=$C$6:$C115))-ROW($A$5)))*0.9^($A116-INDEX($A$6:A115,SUMPRODUCT(MAX(ROW($C$6:$C115)*($C116=$C$6:$C115))-ROW($A$5)))),0))</f>
        <v>0.2241646252965786</v>
      </c>
      <c r="G116" s="64">
        <f>INDEX('Exercise list'!$Y$5:$Y$102,MATCH(C116,'Exercise list'!$C$5:$C$102,0))</f>
        <v>3</v>
      </c>
      <c r="H116" s="115">
        <f t="shared" si="98"/>
        <v>6.1135191066321058E-2</v>
      </c>
      <c r="I116" s="6">
        <f t="shared" si="99"/>
        <v>3</v>
      </c>
      <c r="J116" s="6" cm="1">
        <f t="array" ref="J116">IF(B116="","",INDEX('Exercise list'!$D$5:$D$102,B116))</f>
        <v>0</v>
      </c>
      <c r="K116" s="12">
        <v>41</v>
      </c>
      <c r="L116" s="74" t="str" cm="1">
        <f t="array" ref="L116">IF(K116="","",INDEX('Exercise list'!$C$5:$C$102,K116))</f>
        <v>Dumbbell walking lunges</v>
      </c>
      <c r="M116" s="6">
        <v>10</v>
      </c>
      <c r="N116" s="75" t="str" cm="1">
        <f t="array" ref="N116">IF(M116="","",INDEX('Exercise list'!$C$5:$C$102,M116))</f>
        <v>Cable seated rows</v>
      </c>
      <c r="P116">
        <f>IFERROR(INDEX('Exercise list'!$E$5:$X$102,MATCH($C116,'Exercise list'!$C$5:$C$102,0),MATCH(P$5,'Exercise list'!$E$4:$X$4,0)),0)</f>
        <v>0</v>
      </c>
      <c r="Q116">
        <f>IFERROR(INDEX('Exercise list'!$E$5:$X$102,MATCH($C116,'Exercise list'!$C$5:$C$102,0),MATCH(Q$5,'Exercise list'!$E$4:$X$4,0)),0)</f>
        <v>1</v>
      </c>
      <c r="R116">
        <f>IFERROR(INDEX('Exercise list'!$E$5:$X$102,MATCH($C116,'Exercise list'!$C$5:$C$102,0),MATCH(R$5,'Exercise list'!$E$4:$X$4,0)),0)</f>
        <v>0.5</v>
      </c>
      <c r="S116">
        <f>IFERROR(INDEX('Exercise list'!$E$5:$X$102,MATCH($C116,'Exercise list'!$C$5:$C$102,0),MATCH(S$5,'Exercise list'!$E$4:$X$4,0)),0)</f>
        <v>0.5</v>
      </c>
      <c r="T116">
        <f>IFERROR(INDEX('Exercise list'!$E$5:$X$102,MATCH($C116,'Exercise list'!$C$5:$C$102,0),MATCH(T$5,'Exercise list'!$E$4:$X$4,0)),0)</f>
        <v>0</v>
      </c>
      <c r="U116">
        <f>IFERROR(INDEX('Exercise list'!$E$5:$X$102,MATCH($C116,'Exercise list'!$C$5:$C$102,0),MATCH(U$5,'Exercise list'!$E$4:$X$4,0)),0)</f>
        <v>0</v>
      </c>
      <c r="V116">
        <f>IFERROR(INDEX('Exercise list'!$E$5:$X$102,MATCH($C116,'Exercise list'!$C$5:$C$102,0),MATCH(V$5,'Exercise list'!$E$4:$X$4,0)),0)</f>
        <v>0</v>
      </c>
      <c r="W116">
        <f>IFERROR(INDEX('Exercise list'!$E$5:$X$102,MATCH($C116,'Exercise list'!$C$5:$C$102,0),MATCH(W$5,'Exercise list'!$E$4:$X$4,0)),0)</f>
        <v>0</v>
      </c>
      <c r="X116">
        <f>IFERROR(INDEX('Exercise list'!$E$5:$X$102,MATCH($C116,'Exercise list'!$C$5:$C$102,0),MATCH(X$5,'Exercise list'!$E$4:$X$4,0)),0)</f>
        <v>0.8</v>
      </c>
      <c r="Y116">
        <f>IFERROR(INDEX('Exercise list'!$E$5:$X$102,MATCH($C116,'Exercise list'!$C$5:$C$102,0),MATCH(Y$5,'Exercise list'!$E$4:$X$4,0)),0)</f>
        <v>0</v>
      </c>
      <c r="Z116">
        <f>IFERROR(INDEX('Exercise list'!$E$5:$X$102,MATCH($C116,'Exercise list'!$C$5:$C$102,0),MATCH(Z$5,'Exercise list'!$E$4:$X$4,0)),0)</f>
        <v>0.8</v>
      </c>
      <c r="AA116">
        <f>IFERROR(INDEX('Exercise list'!$E$5:$X$102,MATCH($C116,'Exercise list'!$C$5:$C$102,0),MATCH(AA$5,'Exercise list'!$E$4:$X$4,0)),0)</f>
        <v>0</v>
      </c>
      <c r="AB116">
        <f>IFERROR(INDEX('Exercise list'!$E$5:$X$102,MATCH($C116,'Exercise list'!$C$5:$C$102,0),MATCH(AB$5,'Exercise list'!$E$4:$X$4,0)),0)</f>
        <v>0</v>
      </c>
      <c r="AC116">
        <f>IFERROR(INDEX('Exercise list'!$E$5:$X$102,MATCH($C116,'Exercise list'!$C$5:$C$102,0),MATCH(AC$5,'Exercise list'!$E$4:$X$4,0)),0)</f>
        <v>0</v>
      </c>
      <c r="AD116">
        <f>IFERROR(INDEX('Exercise list'!$E$5:$X$102,MATCH($C116,'Exercise list'!$C$5:$C$102,0),MATCH(AD$5,'Exercise list'!$E$4:$X$4,0)),0)</f>
        <v>0</v>
      </c>
      <c r="AE116">
        <f>IFERROR(INDEX('Exercise list'!$E$5:$X$102,MATCH($C116,'Exercise list'!$C$5:$C$102,0),MATCH(AE$5,'Exercise list'!$E$4:$X$4,0)),0)</f>
        <v>0</v>
      </c>
      <c r="AF116">
        <f>IFERROR(INDEX('Exercise list'!$E$5:$X$102,MATCH($C116,'Exercise list'!$C$5:$C$102,0),MATCH(AF$5,'Exercise list'!$E$4:$X$4,0)),0)</f>
        <v>0</v>
      </c>
      <c r="AG116">
        <f>IFERROR(INDEX('Exercise list'!$E$5:$X$102,MATCH($C116,'Exercise list'!$C$5:$C$102,0),MATCH(AG$5,'Exercise list'!$E$4:$X$4,0)),0)</f>
        <v>0</v>
      </c>
      <c r="AH116">
        <f>IFERROR(INDEX('Exercise list'!$E$5:$X$102,MATCH($C116,'Exercise list'!$C$5:$C$102,0),MATCH(AH$5,'Exercise list'!$E$4:$X$4,0)),0)</f>
        <v>0</v>
      </c>
      <c r="AI116">
        <f>IFERROR(INDEX('Exercise list'!$E$5:$X$102,MATCH($C116,'Exercise list'!$C$5:$C$102,0),MATCH(AI$5,'Exercise list'!$E$4:$X$4,0)),0)</f>
        <v>0</v>
      </c>
      <c r="AK116">
        <f>IF(OR($J116=1,COUNTIFS($A$5:$A115,"&gt;="&amp;$A116-1,$A$5:$A115,"&lt;="&amp;$A116,$B$5:$B115,$B116)&gt;0,MIN(1-'Exercise list'!E$2,IF($A116=$A115,AK115,1))-P116&lt;0),-1,MIN(1,IF($A116=$A115,AK115,1)-P116+$D$2))</f>
        <v>-1</v>
      </c>
      <c r="AL116">
        <f>IF(OR($J116=1,COUNTIFS($A$5:$A115,"&gt;="&amp;$A116-1,$A$5:$A115,"&lt;="&amp;$A116,$B$5:$B115,$B116)&gt;0,MIN(1-'Exercise list'!F$2,IF($A116=$A115,AL115,1))-Q116&lt;0),-1,MIN(1,IF($A116=$A115,AL115,1)-Q116+$D$2))</f>
        <v>-1</v>
      </c>
      <c r="AM116">
        <f>IF(OR($J116=1,COUNTIFS($A$5:$A115,"&gt;="&amp;$A116-1,$A$5:$A115,"&lt;="&amp;$A116,$B$5:$B115,$B116)&gt;0,MIN(1-'Exercise list'!G$2,IF($A116=$A115,AM115,1))-R116&lt;0),-1,MIN(1,IF($A116=$A115,AM115,1)-R116+$D$2))</f>
        <v>-1</v>
      </c>
      <c r="AN116">
        <f>IF(OR($J116=1,COUNTIFS($A$5:$A115,"&gt;="&amp;$A116-1,$A$5:$A115,"&lt;="&amp;$A116,$B$5:$B115,$B116)&gt;0,MIN(1-'Exercise list'!H$2,IF($A116=$A115,AN115,1))-S116&lt;0),-1,MIN(1,IF($A116=$A115,AN115,1)-S116+$D$2))</f>
        <v>-1</v>
      </c>
      <c r="AO116">
        <f>IF(OR($J116=1,COUNTIFS($A$5:$A115,"&gt;="&amp;$A116-1,$A$5:$A115,"&lt;="&amp;$A116,$B$5:$B115,$B116)&gt;0,MIN(1-'Exercise list'!I$2,IF($A116=$A115,AO115,1))-T116&lt;0),-1,MIN(1,IF($A116=$A115,AO115,1)-T116+$D$2))</f>
        <v>-1</v>
      </c>
      <c r="AP116">
        <f>IF(OR($J116=1,COUNTIFS($A$5:$A115,"&gt;="&amp;$A116-1,$A$5:$A115,"&lt;="&amp;$A116,$B$5:$B115,$B116)&gt;0,MIN(1-'Exercise list'!J$2,IF($A116=$A115,AP115,1))-U116&lt;0),-1,MIN(1,IF($A116=$A115,AP115,1)-U116+$D$2))</f>
        <v>-1</v>
      </c>
      <c r="AQ116">
        <f>IF(OR($J116=1,COUNTIFS($A$5:$A115,"&gt;="&amp;$A116-1,$A$5:$A115,"&lt;="&amp;$A116,$B$5:$B115,$B116)&gt;0,MIN(1-'Exercise list'!K$2,IF($A116=$A115,AQ115,1))-V116&lt;0),-1,MIN(1,IF($A116=$A115,AQ115,1)-V116+$D$2))</f>
        <v>-1</v>
      </c>
      <c r="AR116">
        <f>IF(OR($J116=1,COUNTIFS($A$5:$A115,"&gt;="&amp;$A116-1,$A$5:$A115,"&lt;="&amp;$A116,$B$5:$B115,$B116)&gt;0,MIN(1-'Exercise list'!L$2,IF($A116=$A115,AR115,1))-W116&lt;0),-1,MIN(1,IF($A116=$A115,AR115,1)-W116+$D$2))</f>
        <v>-1</v>
      </c>
      <c r="AS116">
        <f>IF(OR($J116=1,COUNTIFS($A$5:$A115,"&gt;="&amp;$A116-1,$A$5:$A115,"&lt;="&amp;$A116,$B$5:$B115,$B116)&gt;0,MIN(1-'Exercise list'!M$2,IF($A116=$A115,AS115,1))-X116&lt;0),-1,MIN(1,IF($A116=$A115,AS115,1)-X116+$D$2))</f>
        <v>-1</v>
      </c>
      <c r="AT116">
        <f>IF(OR($J116=1,COUNTIFS($A$5:$A115,"&gt;="&amp;$A116-1,$A$5:$A115,"&lt;="&amp;$A116,$B$5:$B115,$B116)&gt;0,MIN(1-'Exercise list'!N$2,IF($A116=$A115,AT115,1))-Y116&lt;0),-1,MIN(1,IF($A116=$A115,AT115,1)-Y116+$D$2))</f>
        <v>-1</v>
      </c>
      <c r="AU116">
        <f>IF(OR($J116=1,COUNTIFS($A$5:$A115,"&gt;="&amp;$A116-1,$A$5:$A115,"&lt;="&amp;$A116,$B$5:$B115,$B116)&gt;0,MIN(1-'Exercise list'!O$2,IF($A116=$A115,AU115,1))-Z116&lt;0),-1,MIN(1,IF($A116=$A115,AU115,1)-Z116+$D$2))</f>
        <v>-1</v>
      </c>
      <c r="AV116">
        <f>IF(OR($J116=1,COUNTIFS($A$5:$A115,"&gt;="&amp;$A116-1,$A$5:$A115,"&lt;="&amp;$A116,$B$5:$B115,$B116)&gt;0,MIN(1-'Exercise list'!P$2,IF($A116=$A115,AV115,1))-AA116&lt;0),-1,MIN(1,IF($A116=$A115,AV115,1)-AA116+$D$2))</f>
        <v>-1</v>
      </c>
      <c r="AW116">
        <f>IF(OR($J116=1,COUNTIFS($A$5:$A115,"&gt;="&amp;$A116-1,$A$5:$A115,"&lt;="&amp;$A116,$B$5:$B115,$B116)&gt;0,MIN(1-'Exercise list'!Q$2,IF($A116=$A115,AW115,1))-AB116&lt;0),-1,MIN(1,IF($A116=$A115,AW115,1)-AB116+$D$2))</f>
        <v>-1</v>
      </c>
      <c r="AX116">
        <f>IF(OR($J116=1,COUNTIFS($A$5:$A115,"&gt;="&amp;$A116-1,$A$5:$A115,"&lt;="&amp;$A116,$B$5:$B115,$B116)&gt;0,MIN(1-'Exercise list'!R$2,IF($A116=$A115,AX115,1))-AC116&lt;0),-1,MIN(1,IF($A116=$A115,AX115,1)-AC116+$D$2))</f>
        <v>-1</v>
      </c>
      <c r="AY116">
        <f>IF(OR($J116=1,COUNTIFS($A$5:$A115,"&gt;="&amp;$A116-1,$A$5:$A115,"&lt;="&amp;$A116,$B$5:$B115,$B116)&gt;0,MIN(1-'Exercise list'!S$2,IF($A116=$A115,AY115,1))-AD116&lt;0),-1,MIN(1,IF($A116=$A115,AY115,1)-AD116+$D$2))</f>
        <v>-1</v>
      </c>
      <c r="AZ116">
        <f>IF(OR($J116=1,COUNTIFS($A$5:$A115,"&gt;="&amp;$A116-1,$A$5:$A115,"&lt;="&amp;$A116,$B$5:$B115,$B116)&gt;0,MIN(1-'Exercise list'!T$2,IF($A116=$A115,AZ115,1))-AE116&lt;0),-1,MIN(1,IF($A116=$A115,AZ115,1)-AE116+$D$2))</f>
        <v>-1</v>
      </c>
      <c r="BA116">
        <f>IF(OR($J116=1,COUNTIFS($A$5:$A115,"&gt;="&amp;$A116-1,$A$5:$A115,"&lt;="&amp;$A116,$B$5:$B115,$B116)&gt;0,MIN(1-'Exercise list'!U$2,IF($A116=$A115,BA115,1))-AF116&lt;0),-1,MIN(1,IF($A116=$A115,BA115,1)-AF116+$D$2))</f>
        <v>-1</v>
      </c>
      <c r="BB116">
        <f>IF(OR($J116=1,COUNTIFS($A$5:$A115,"&gt;="&amp;$A116-1,$A$5:$A115,"&lt;="&amp;$A116,$B$5:$B115,$B116)&gt;0,MIN(1-'Exercise list'!V$2,IF($A116=$A115,BB115,1))-AG116&lt;0),-1,MIN(1,IF($A116=$A115,BB115,1)-AG116+$D$2))</f>
        <v>-1</v>
      </c>
      <c r="BC116">
        <f>IF(OR($J116=1,COUNTIFS($A$5:$A115,"&gt;="&amp;$A116-1,$A$5:$A115,"&lt;="&amp;$A116,$B$5:$B115,$B116)&gt;0,MIN(1-'Exercise list'!W$2,IF($A116=$A115,BC115,1))-AH116&lt;0),-1,MIN(1,IF($A116=$A115,BC115,1)-AH116+$D$2))</f>
        <v>-1</v>
      </c>
      <c r="BD116">
        <f>IF(OR($J116=1,COUNTIFS($A$5:$A115,"&gt;="&amp;$A116-1,$A$5:$A115,"&lt;="&amp;$A116,$B$5:$B115,$B116)&gt;0,MIN(1-'Exercise list'!X$2,IF($A116=$A115,BD115,1))-AI116&lt;0),-1,MIN(1,IF($A116=$A115,BD115,1)-AI116+$D$2))</f>
        <v>-1</v>
      </c>
      <c r="BF116" s="16">
        <f t="shared" si="100"/>
        <v>0.18296156262370677</v>
      </c>
      <c r="BG116" s="16">
        <f t="shared" si="101"/>
        <v>0.22492438279951665</v>
      </c>
      <c r="BH116" s="16">
        <f t="shared" si="102"/>
        <v>0.14678207060546425</v>
      </c>
      <c r="BI116" s="16">
        <f t="shared" si="103"/>
        <v>0.16627045536441321</v>
      </c>
      <c r="BJ116" s="16">
        <f t="shared" si="104"/>
        <v>0.15277282409682674</v>
      </c>
      <c r="BK116" s="16">
        <f t="shared" si="105"/>
        <v>0.11500251415844116</v>
      </c>
      <c r="BL116" s="16">
        <f t="shared" si="106"/>
        <v>0.20106522598879498</v>
      </c>
      <c r="BM116" s="16">
        <f t="shared" si="107"/>
        <v>2.6011036289339512E-2</v>
      </c>
      <c r="BN116" s="16">
        <f t="shared" si="108"/>
        <v>0.14237352503854789</v>
      </c>
      <c r="BO116" s="16">
        <f t="shared" si="109"/>
        <v>0.22857502851408612</v>
      </c>
      <c r="BP116" s="16">
        <f t="shared" si="110"/>
        <v>0.31303350529714402</v>
      </c>
      <c r="BQ116" s="16">
        <f t="shared" si="111"/>
        <v>9.6754277331223854E-2</v>
      </c>
      <c r="BR116" s="16">
        <f t="shared" si="112"/>
        <v>0.16519463125073891</v>
      </c>
      <c r="BS116" s="16">
        <f t="shared" si="113"/>
        <v>3.6095598701911029E-2</v>
      </c>
      <c r="BT116" s="16">
        <f t="shared" si="114"/>
        <v>0.16246693244664298</v>
      </c>
      <c r="BU116" s="16">
        <f t="shared" si="115"/>
        <v>0.16338195389571167</v>
      </c>
      <c r="BV116" s="16">
        <f t="shared" si="116"/>
        <v>0.20692584386212498</v>
      </c>
      <c r="BW116" s="16">
        <f t="shared" si="117"/>
        <v>0.10293078716595518</v>
      </c>
      <c r="BX116" s="16">
        <f t="shared" si="118"/>
        <v>8.6784049243066999E-2</v>
      </c>
      <c r="BY116" s="16">
        <f t="shared" si="119"/>
        <v>2.7880231908136877E-2</v>
      </c>
      <c r="CA116" s="16">
        <f t="shared" si="56"/>
        <v>3.542261786383355E-2</v>
      </c>
      <c r="CB116" s="16">
        <f t="shared" si="57"/>
        <v>0</v>
      </c>
      <c r="CC116" s="16">
        <f t="shared" si="58"/>
        <v>0</v>
      </c>
      <c r="CD116" s="16">
        <f t="shared" si="59"/>
        <v>0</v>
      </c>
      <c r="CE116" s="16">
        <f t="shared" si="60"/>
        <v>0</v>
      </c>
      <c r="CF116" s="16">
        <f t="shared" si="61"/>
        <v>0.21257375657286937</v>
      </c>
      <c r="CG116" s="16">
        <f t="shared" si="62"/>
        <v>0</v>
      </c>
      <c r="CH116" s="16">
        <f t="shared" si="63"/>
        <v>8.318105395443065E-2</v>
      </c>
      <c r="CI116" s="16">
        <f t="shared" si="64"/>
        <v>7.6010655448992437E-2</v>
      </c>
      <c r="CJ116" s="16">
        <f t="shared" si="65"/>
        <v>0</v>
      </c>
      <c r="CK116" s="16">
        <f t="shared" si="66"/>
        <v>0</v>
      </c>
      <c r="CL116" s="16">
        <f t="shared" si="67"/>
        <v>1.2437812912546309E-2</v>
      </c>
      <c r="CM116" s="16">
        <f t="shared" si="68"/>
        <v>5.3189549236801414E-2</v>
      </c>
      <c r="CN116" s="16">
        <f t="shared" si="69"/>
        <v>7.3096491541859127E-2</v>
      </c>
      <c r="CO116" s="16">
        <f t="shared" si="70"/>
        <v>0</v>
      </c>
      <c r="CP116" s="16">
        <f t="shared" si="71"/>
        <v>0</v>
      </c>
      <c r="CQ116" s="16">
        <f t="shared" si="72"/>
        <v>1.1458336625415344E-2</v>
      </c>
      <c r="CR116" s="16">
        <f t="shared" si="73"/>
        <v>6.2613030778149864E-3</v>
      </c>
      <c r="CS116" s="16">
        <f t="shared" si="74"/>
        <v>2.2408041000703163E-2</v>
      </c>
      <c r="CT116" s="16">
        <f t="shared" si="75"/>
        <v>8.1311858335633286E-2</v>
      </c>
    </row>
    <row r="117" spans="1:99" x14ac:dyDescent="0.25">
      <c r="A117" s="13">
        <v>45082</v>
      </c>
      <c r="B117" s="14">
        <v>41</v>
      </c>
      <c r="C117" s="15" t="str" cm="1">
        <f t="array" ref="C117">IF(B117="","",INDEX('Exercise list'!$C$5:$C$102,B117))</f>
        <v>Dumbbell walking lunges</v>
      </c>
      <c r="D117" s="12">
        <f t="shared" si="97"/>
        <v>-1</v>
      </c>
      <c r="E117" s="107">
        <f t="shared" si="120"/>
        <v>0</v>
      </c>
      <c r="F117" s="63" cm="1">
        <f t="array" ref="F117">IF(B117="","",0.1+IFERROR(INDEX($F$6:$F116,SUMPRODUCT(MAX(ROW($C$6:$C116)*($C117=$C$6:$C116))-ROW($A$5)))*0.9^($A117-INDEX($A$6:A116,SUMPRODUCT(MAX(ROW($C$6:$C116)*($C117=$C$6:$C116))-ROW($A$5)))),0))</f>
        <v>0.16487902994526682</v>
      </c>
      <c r="G117" s="64">
        <f>INDEX('Exercise list'!$Y$5:$Y$102,MATCH(C117,'Exercise list'!$C$5:$C$102,0))</f>
        <v>2</v>
      </c>
      <c r="H117" s="115">
        <f t="shared" si="98"/>
        <v>6.4899044516425225E-2</v>
      </c>
      <c r="I117" s="6">
        <f t="shared" si="99"/>
        <v>4</v>
      </c>
      <c r="J117" s="6" cm="1">
        <f t="array" ref="J117">IF(B117="","",INDEX('Exercise list'!$D$5:$D$102,B117))</f>
        <v>0</v>
      </c>
      <c r="K117" s="12">
        <v>23</v>
      </c>
      <c r="L117" s="74" t="str" cm="1">
        <f t="array" ref="L117">IF(K117="","",INDEX('Exercise list'!$C$5:$C$102,K117))</f>
        <v>Barbell bench presses</v>
      </c>
      <c r="M117" s="6">
        <v>38</v>
      </c>
      <c r="N117" s="75" t="str" cm="1">
        <f t="array" ref="N117">IF(M117="","",INDEX('Exercise list'!$C$5:$C$102,M117))</f>
        <v>Cable hip abductions</v>
      </c>
      <c r="P117">
        <f>IFERROR(INDEX('Exercise list'!$E$5:$X$102,MATCH($C117,'Exercise list'!$C$5:$C$102,0),MATCH(P$5,'Exercise list'!$E$4:$X$4,0)),0)</f>
        <v>0</v>
      </c>
      <c r="Q117">
        <f>IFERROR(INDEX('Exercise list'!$E$5:$X$102,MATCH($C117,'Exercise list'!$C$5:$C$102,0),MATCH(Q$5,'Exercise list'!$E$4:$X$4,0)),0)</f>
        <v>0</v>
      </c>
      <c r="R117">
        <f>IFERROR(INDEX('Exercise list'!$E$5:$X$102,MATCH($C117,'Exercise list'!$C$5:$C$102,0),MATCH(R$5,'Exercise list'!$E$4:$X$4,0)),0)</f>
        <v>0</v>
      </c>
      <c r="S117">
        <f>IFERROR(INDEX('Exercise list'!$E$5:$X$102,MATCH($C117,'Exercise list'!$C$5:$C$102,0),MATCH(S$5,'Exercise list'!$E$4:$X$4,0)),0)</f>
        <v>0</v>
      </c>
      <c r="T117">
        <f>IFERROR(INDEX('Exercise list'!$E$5:$X$102,MATCH($C117,'Exercise list'!$C$5:$C$102,0),MATCH(T$5,'Exercise list'!$E$4:$X$4,0)),0)</f>
        <v>0.5</v>
      </c>
      <c r="U117">
        <f>IFERROR(INDEX('Exercise list'!$E$5:$X$102,MATCH($C117,'Exercise list'!$C$5:$C$102,0),MATCH(U$5,'Exercise list'!$E$4:$X$4,0)),0)</f>
        <v>0</v>
      </c>
      <c r="V117">
        <f>IFERROR(INDEX('Exercise list'!$E$5:$X$102,MATCH($C117,'Exercise list'!$C$5:$C$102,0),MATCH(V$5,'Exercise list'!$E$4:$X$4,0)),0)</f>
        <v>0</v>
      </c>
      <c r="W117">
        <f>IFERROR(INDEX('Exercise list'!$E$5:$X$102,MATCH($C117,'Exercise list'!$C$5:$C$102,0),MATCH(W$5,'Exercise list'!$E$4:$X$4,0)),0)</f>
        <v>0</v>
      </c>
      <c r="X117">
        <f>IFERROR(INDEX('Exercise list'!$E$5:$X$102,MATCH($C117,'Exercise list'!$C$5:$C$102,0),MATCH(X$5,'Exercise list'!$E$4:$X$4,0)),0)</f>
        <v>0</v>
      </c>
      <c r="Y117">
        <f>IFERROR(INDEX('Exercise list'!$E$5:$X$102,MATCH($C117,'Exercise list'!$C$5:$C$102,0),MATCH(Y$5,'Exercise list'!$E$4:$X$4,0)),0)</f>
        <v>0</v>
      </c>
      <c r="Z117">
        <f>IFERROR(INDEX('Exercise list'!$E$5:$X$102,MATCH($C117,'Exercise list'!$C$5:$C$102,0),MATCH(Z$5,'Exercise list'!$E$4:$X$4,0)),0)</f>
        <v>0</v>
      </c>
      <c r="AA117">
        <f>IFERROR(INDEX('Exercise list'!$E$5:$X$102,MATCH($C117,'Exercise list'!$C$5:$C$102,0),MATCH(AA$5,'Exercise list'!$E$4:$X$4,0)),0)</f>
        <v>0</v>
      </c>
      <c r="AB117">
        <f>IFERROR(INDEX('Exercise list'!$E$5:$X$102,MATCH($C117,'Exercise list'!$C$5:$C$102,0),MATCH(AB$5,'Exercise list'!$E$4:$X$4,0)),0)</f>
        <v>0</v>
      </c>
      <c r="AC117">
        <f>IFERROR(INDEX('Exercise list'!$E$5:$X$102,MATCH($C117,'Exercise list'!$C$5:$C$102,0),MATCH(AC$5,'Exercise list'!$E$4:$X$4,0)),0)</f>
        <v>0</v>
      </c>
      <c r="AD117">
        <f>IFERROR(INDEX('Exercise list'!$E$5:$X$102,MATCH($C117,'Exercise list'!$C$5:$C$102,0),MATCH(AD$5,'Exercise list'!$E$4:$X$4,0)),0)</f>
        <v>0.9</v>
      </c>
      <c r="AE117">
        <f>IFERROR(INDEX('Exercise list'!$E$5:$X$102,MATCH($C117,'Exercise list'!$C$5:$C$102,0),MATCH(AE$5,'Exercise list'!$E$4:$X$4,0)),0)</f>
        <v>0.7</v>
      </c>
      <c r="AF117">
        <f>IFERROR(INDEX('Exercise list'!$E$5:$X$102,MATCH($C117,'Exercise list'!$C$5:$C$102,0),MATCH(AF$5,'Exercise list'!$E$4:$X$4,0)),0)</f>
        <v>0.8</v>
      </c>
      <c r="AG117">
        <f>IFERROR(INDEX('Exercise list'!$E$5:$X$102,MATCH($C117,'Exercise list'!$C$5:$C$102,0),MATCH(AG$5,'Exercise list'!$E$4:$X$4,0)),0)</f>
        <v>0.5</v>
      </c>
      <c r="AH117">
        <f>IFERROR(INDEX('Exercise list'!$E$5:$X$102,MATCH($C117,'Exercise list'!$C$5:$C$102,0),MATCH(AH$5,'Exercise list'!$E$4:$X$4,0)),0)</f>
        <v>0.6</v>
      </c>
      <c r="AI117">
        <f>IFERROR(INDEX('Exercise list'!$E$5:$X$102,MATCH($C117,'Exercise list'!$C$5:$C$102,0),MATCH(AI$5,'Exercise list'!$E$4:$X$4,0)),0)</f>
        <v>0.6</v>
      </c>
      <c r="AK117">
        <f>IF(OR($J117=1,COUNTIFS($A$5:$A116,"&gt;="&amp;$A117-1,$A$5:$A116,"&lt;="&amp;$A117,$B$5:$B116,$B117)&gt;0,MIN(1-'Exercise list'!E$2,IF($A117=$A116,AK116,1))-P117&lt;0),-1,MIN(1,IF($A117=$A116,AK116,1)-P117+$D$2))</f>
        <v>-1</v>
      </c>
      <c r="AL117">
        <f>IF(OR($J117=1,COUNTIFS($A$5:$A116,"&gt;="&amp;$A117-1,$A$5:$A116,"&lt;="&amp;$A117,$B$5:$B116,$B117)&gt;0,MIN(1-'Exercise list'!F$2,IF($A117=$A116,AL116,1))-Q117&lt;0),-1,MIN(1,IF($A117=$A116,AL116,1)-Q117+$D$2))</f>
        <v>-1</v>
      </c>
      <c r="AM117">
        <f>IF(OR($J117=1,COUNTIFS($A$5:$A116,"&gt;="&amp;$A117-1,$A$5:$A116,"&lt;="&amp;$A117,$B$5:$B116,$B117)&gt;0,MIN(1-'Exercise list'!G$2,IF($A117=$A116,AM116,1))-R117&lt;0),-1,MIN(1,IF($A117=$A116,AM116,1)-R117+$D$2))</f>
        <v>-1</v>
      </c>
      <c r="AN117">
        <f>IF(OR($J117=1,COUNTIFS($A$5:$A116,"&gt;="&amp;$A117-1,$A$5:$A116,"&lt;="&amp;$A117,$B$5:$B116,$B117)&gt;0,MIN(1-'Exercise list'!H$2,IF($A117=$A116,AN116,1))-S117&lt;0),-1,MIN(1,IF($A117=$A116,AN116,1)-S117+$D$2))</f>
        <v>-1</v>
      </c>
      <c r="AO117">
        <f>IF(OR($J117=1,COUNTIFS($A$5:$A116,"&gt;="&amp;$A117-1,$A$5:$A116,"&lt;="&amp;$A117,$B$5:$B116,$B117)&gt;0,MIN(1-'Exercise list'!I$2,IF($A117=$A116,AO116,1))-T117&lt;0),-1,MIN(1,IF($A117=$A116,AO116,1)-T117+$D$2))</f>
        <v>-1</v>
      </c>
      <c r="AP117">
        <f>IF(OR($J117=1,COUNTIFS($A$5:$A116,"&gt;="&amp;$A117-1,$A$5:$A116,"&lt;="&amp;$A117,$B$5:$B116,$B117)&gt;0,MIN(1-'Exercise list'!J$2,IF($A117=$A116,AP116,1))-U117&lt;0),-1,MIN(1,IF($A117=$A116,AP116,1)-U117+$D$2))</f>
        <v>-1</v>
      </c>
      <c r="AQ117">
        <f>IF(OR($J117=1,COUNTIFS($A$5:$A116,"&gt;="&amp;$A117-1,$A$5:$A116,"&lt;="&amp;$A117,$B$5:$B116,$B117)&gt;0,MIN(1-'Exercise list'!K$2,IF($A117=$A116,AQ116,1))-V117&lt;0),-1,MIN(1,IF($A117=$A116,AQ116,1)-V117+$D$2))</f>
        <v>-1</v>
      </c>
      <c r="AR117">
        <f>IF(OR($J117=1,COUNTIFS($A$5:$A116,"&gt;="&amp;$A117-1,$A$5:$A116,"&lt;="&amp;$A117,$B$5:$B116,$B117)&gt;0,MIN(1-'Exercise list'!L$2,IF($A117=$A116,AR116,1))-W117&lt;0),-1,MIN(1,IF($A117=$A116,AR116,1)-W117+$D$2))</f>
        <v>-1</v>
      </c>
      <c r="AS117">
        <f>IF(OR($J117=1,COUNTIFS($A$5:$A116,"&gt;="&amp;$A117-1,$A$5:$A116,"&lt;="&amp;$A117,$B$5:$B116,$B117)&gt;0,MIN(1-'Exercise list'!M$2,IF($A117=$A116,AS116,1))-X117&lt;0),-1,MIN(1,IF($A117=$A116,AS116,1)-X117+$D$2))</f>
        <v>-1</v>
      </c>
      <c r="AT117">
        <f>IF(OR($J117=1,COUNTIFS($A$5:$A116,"&gt;="&amp;$A117-1,$A$5:$A116,"&lt;="&amp;$A117,$B$5:$B116,$B117)&gt;0,MIN(1-'Exercise list'!N$2,IF($A117=$A116,AT116,1))-Y117&lt;0),-1,MIN(1,IF($A117=$A116,AT116,1)-Y117+$D$2))</f>
        <v>-1</v>
      </c>
      <c r="AU117">
        <f>IF(OR($J117=1,COUNTIFS($A$5:$A116,"&gt;="&amp;$A117-1,$A$5:$A116,"&lt;="&amp;$A117,$B$5:$B116,$B117)&gt;0,MIN(1-'Exercise list'!O$2,IF($A117=$A116,AU116,1))-Z117&lt;0),-1,MIN(1,IF($A117=$A116,AU116,1)-Z117+$D$2))</f>
        <v>-1</v>
      </c>
      <c r="AV117">
        <f>IF(OR($J117=1,COUNTIFS($A$5:$A116,"&gt;="&amp;$A117-1,$A$5:$A116,"&lt;="&amp;$A117,$B$5:$B116,$B117)&gt;0,MIN(1-'Exercise list'!P$2,IF($A117=$A116,AV116,1))-AA117&lt;0),-1,MIN(1,IF($A117=$A116,AV116,1)-AA117+$D$2))</f>
        <v>-1</v>
      </c>
      <c r="AW117">
        <f>IF(OR($J117=1,COUNTIFS($A$5:$A116,"&gt;="&amp;$A117-1,$A$5:$A116,"&lt;="&amp;$A117,$B$5:$B116,$B117)&gt;0,MIN(1-'Exercise list'!Q$2,IF($A117=$A116,AW116,1))-AB117&lt;0),-1,MIN(1,IF($A117=$A116,AW116,1)-AB117+$D$2))</f>
        <v>-1</v>
      </c>
      <c r="AX117">
        <f>IF(OR($J117=1,COUNTIFS($A$5:$A116,"&gt;="&amp;$A117-1,$A$5:$A116,"&lt;="&amp;$A117,$B$5:$B116,$B117)&gt;0,MIN(1-'Exercise list'!R$2,IF($A117=$A116,AX116,1))-AC117&lt;0),-1,MIN(1,IF($A117=$A116,AX116,1)-AC117+$D$2))</f>
        <v>-1</v>
      </c>
      <c r="AY117">
        <f>IF(OR($J117=1,COUNTIFS($A$5:$A116,"&gt;="&amp;$A117-1,$A$5:$A116,"&lt;="&amp;$A117,$B$5:$B116,$B117)&gt;0,MIN(1-'Exercise list'!S$2,IF($A117=$A116,AY116,1))-AD117&lt;0),-1,MIN(1,IF($A117=$A116,AY116,1)-AD117+$D$2))</f>
        <v>-1</v>
      </c>
      <c r="AZ117">
        <f>IF(OR($J117=1,COUNTIFS($A$5:$A116,"&gt;="&amp;$A117-1,$A$5:$A116,"&lt;="&amp;$A117,$B$5:$B116,$B117)&gt;0,MIN(1-'Exercise list'!T$2,IF($A117=$A116,AZ116,1))-AE117&lt;0),-1,MIN(1,IF($A117=$A116,AZ116,1)-AE117+$D$2))</f>
        <v>-1</v>
      </c>
      <c r="BA117">
        <f>IF(OR($J117=1,COUNTIFS($A$5:$A116,"&gt;="&amp;$A117-1,$A$5:$A116,"&lt;="&amp;$A117,$B$5:$B116,$B117)&gt;0,MIN(1-'Exercise list'!U$2,IF($A117=$A116,BA116,1))-AF117&lt;0),-1,MIN(1,IF($A117=$A116,BA116,1)-AF117+$D$2))</f>
        <v>-1</v>
      </c>
      <c r="BB117">
        <f>IF(OR($J117=1,COUNTIFS($A$5:$A116,"&gt;="&amp;$A117-1,$A$5:$A116,"&lt;="&amp;$A117,$B$5:$B116,$B117)&gt;0,MIN(1-'Exercise list'!V$2,IF($A117=$A116,BB116,1))-AG117&lt;0),-1,MIN(1,IF($A117=$A116,BB116,1)-AG117+$D$2))</f>
        <v>-1</v>
      </c>
      <c r="BC117">
        <f>IF(OR($J117=1,COUNTIFS($A$5:$A116,"&gt;="&amp;$A117-1,$A$5:$A116,"&lt;="&amp;$A117,$B$5:$B116,$B117)&gt;0,MIN(1-'Exercise list'!W$2,IF($A117=$A116,BC116,1))-AH117&lt;0),-1,MIN(1,IF($A117=$A116,BC116,1)-AH117+$D$2))</f>
        <v>-1</v>
      </c>
      <c r="BD117">
        <f>IF(OR($J117=1,COUNTIFS($A$5:$A116,"&gt;="&amp;$A117-1,$A$5:$A116,"&lt;="&amp;$A117,$B$5:$B116,$B117)&gt;0,MIN(1-'Exercise list'!X$2,IF($A117=$A116,BD116,1))-AI117&lt;0),-1,MIN(1,IF($A117=$A116,BD116,1)-AI117+$D$2))</f>
        <v>-1</v>
      </c>
      <c r="BF117" s="16">
        <f t="shared" si="100"/>
        <v>0.17381348449252143</v>
      </c>
      <c r="BG117" s="16">
        <f t="shared" si="101"/>
        <v>0.21367816365954082</v>
      </c>
      <c r="BH117" s="16">
        <f t="shared" si="102"/>
        <v>0.13944296707519102</v>
      </c>
      <c r="BI117" s="16">
        <f t="shared" si="103"/>
        <v>0.15795693259619253</v>
      </c>
      <c r="BJ117" s="16">
        <f t="shared" si="104"/>
        <v>0.1701341828919854</v>
      </c>
      <c r="BK117" s="16">
        <f t="shared" si="105"/>
        <v>0.1092523884505191</v>
      </c>
      <c r="BL117" s="16">
        <f t="shared" si="106"/>
        <v>0.19101196468935522</v>
      </c>
      <c r="BM117" s="16">
        <f t="shared" si="107"/>
        <v>2.4710484474872535E-2</v>
      </c>
      <c r="BN117" s="16">
        <f t="shared" si="108"/>
        <v>0.13525484878662047</v>
      </c>
      <c r="BO117" s="16">
        <f t="shared" si="109"/>
        <v>0.2171462770883818</v>
      </c>
      <c r="BP117" s="16">
        <f t="shared" si="110"/>
        <v>0.2973818300322868</v>
      </c>
      <c r="BQ117" s="16">
        <f t="shared" si="111"/>
        <v>9.1916563464662662E-2</v>
      </c>
      <c r="BR117" s="16">
        <f t="shared" si="112"/>
        <v>0.15693489968820196</v>
      </c>
      <c r="BS117" s="16">
        <f t="shared" si="113"/>
        <v>3.4290818766815473E-2</v>
      </c>
      <c r="BT117" s="16">
        <f t="shared" si="114"/>
        <v>0.19934358582431083</v>
      </c>
      <c r="BU117" s="16">
        <f t="shared" si="115"/>
        <v>0.19021285620092607</v>
      </c>
      <c r="BV117" s="16">
        <f t="shared" si="116"/>
        <v>0.23657955166901873</v>
      </c>
      <c r="BW117" s="16">
        <f t="shared" si="117"/>
        <v>0.12278424780765743</v>
      </c>
      <c r="BX117" s="16">
        <f t="shared" si="118"/>
        <v>0.11244484678091364</v>
      </c>
      <c r="BY117" s="16">
        <f t="shared" si="119"/>
        <v>5.6486220312730026E-2</v>
      </c>
      <c r="CA117" s="16">
        <f t="shared" si="56"/>
        <v>5.068852400767887E-2</v>
      </c>
      <c r="CB117" s="16">
        <f t="shared" si="57"/>
        <v>1.0823844840659486E-2</v>
      </c>
      <c r="CC117" s="16">
        <f t="shared" si="58"/>
        <v>0</v>
      </c>
      <c r="CD117" s="16">
        <f t="shared" si="59"/>
        <v>0</v>
      </c>
      <c r="CE117" s="16">
        <f t="shared" si="60"/>
        <v>0</v>
      </c>
      <c r="CF117" s="16">
        <f t="shared" si="61"/>
        <v>0.22750062429978141</v>
      </c>
      <c r="CG117" s="16">
        <f t="shared" si="62"/>
        <v>0</v>
      </c>
      <c r="CH117" s="16">
        <f t="shared" si="63"/>
        <v>8.7540519775227615E-2</v>
      </c>
      <c r="CI117" s="16">
        <f t="shared" si="64"/>
        <v>8.9247159713579827E-2</v>
      </c>
      <c r="CJ117" s="16">
        <f t="shared" si="65"/>
        <v>0</v>
      </c>
      <c r="CK117" s="16">
        <f t="shared" si="66"/>
        <v>0</v>
      </c>
      <c r="CL117" s="16">
        <f t="shared" si="67"/>
        <v>2.0334440785437488E-2</v>
      </c>
      <c r="CM117" s="16">
        <f t="shared" si="68"/>
        <v>6.7567108811998344E-2</v>
      </c>
      <c r="CN117" s="16">
        <f t="shared" si="69"/>
        <v>7.7960185483284677E-2</v>
      </c>
      <c r="CO117" s="16">
        <f t="shared" si="70"/>
        <v>0</v>
      </c>
      <c r="CP117" s="16">
        <f t="shared" si="71"/>
        <v>0</v>
      </c>
      <c r="CQ117" s="16">
        <f t="shared" si="72"/>
        <v>0</v>
      </c>
      <c r="CR117" s="16">
        <f t="shared" si="73"/>
        <v>0</v>
      </c>
      <c r="CS117" s="16">
        <f t="shared" si="74"/>
        <v>0</v>
      </c>
      <c r="CT117" s="16">
        <f t="shared" si="75"/>
        <v>5.5764783937370124E-2</v>
      </c>
    </row>
    <row r="118" spans="1:99" x14ac:dyDescent="0.25">
      <c r="A118" s="20">
        <v>45082</v>
      </c>
      <c r="B118" s="21">
        <v>4</v>
      </c>
      <c r="C118" s="22" t="str" cm="1">
        <f t="array" ref="C118">IF(B118="","",INDEX('Exercise list'!$C$5:$C$102,B118))</f>
        <v>Stair climbing machine</v>
      </c>
      <c r="D118" s="17">
        <f t="shared" si="97"/>
        <v>-1</v>
      </c>
      <c r="E118" s="108">
        <f t="shared" si="120"/>
        <v>14.856275998224087</v>
      </c>
      <c r="F118" s="65" cm="1">
        <f t="array" ref="F118">IF(B118="","",0.1+IFERROR(INDEX($F$6:$F117,SUMPRODUCT(MAX(ROW($C$6:$C117)*($C118=$C$6:$C117))-ROW($A$5)))*0.9^($A118-INDEX($A$6:A117,SUMPRODUCT(MAX(ROW($C$6:$C117)*($C118=$C$6:$C117))-ROW($A$5)))),0))</f>
        <v>0.14204682388691856</v>
      </c>
      <c r="G118" s="25">
        <f>INDEX('Exercise list'!$Y$5:$Y$102,MATCH(C118,'Exercise list'!$C$5:$C$102,0))</f>
        <v>3</v>
      </c>
      <c r="H118" s="116">
        <f t="shared" si="98"/>
        <v>6.4899044516425225E-2</v>
      </c>
      <c r="I118" s="18">
        <f t="shared" si="99"/>
        <v>5</v>
      </c>
      <c r="J118" s="18" cm="1">
        <f t="array" ref="J118">IF(B118="","",INDEX('Exercise list'!$D$5:$D$102,B118))</f>
        <v>0</v>
      </c>
      <c r="K118" s="17">
        <v>2</v>
      </c>
      <c r="L118" s="51" t="str" cm="1">
        <f t="array" ref="L118">IF(K118="","",INDEX('Exercise list'!$C$5:$C$102,K118))</f>
        <v>Lateral elliptical machine</v>
      </c>
      <c r="M118" s="18">
        <v>3</v>
      </c>
      <c r="N118" s="76" t="str" cm="1">
        <f t="array" ref="N118">IF(M118="","",INDEX('Exercise list'!$C$5:$C$102,M118))</f>
        <v>Rowing machine</v>
      </c>
      <c r="O118" s="19"/>
      <c r="P118" s="19">
        <f>IFERROR(INDEX('Exercise list'!$E$5:$X$102,MATCH($C118,'Exercise list'!$C$5:$C$102,0),MATCH(P$5,'Exercise list'!$E$4:$X$4,0)),0)</f>
        <v>0</v>
      </c>
      <c r="Q118" s="19">
        <f>IFERROR(INDEX('Exercise list'!$E$5:$X$102,MATCH($C118,'Exercise list'!$C$5:$C$102,0),MATCH(Q$5,'Exercise list'!$E$4:$X$4,0)),0)</f>
        <v>0</v>
      </c>
      <c r="R118" s="19">
        <f>IFERROR(INDEX('Exercise list'!$E$5:$X$102,MATCH($C118,'Exercise list'!$C$5:$C$102,0),MATCH(R$5,'Exercise list'!$E$4:$X$4,0)),0)</f>
        <v>0</v>
      </c>
      <c r="S118" s="19">
        <f>IFERROR(INDEX('Exercise list'!$E$5:$X$102,MATCH($C118,'Exercise list'!$C$5:$C$102,0),MATCH(S$5,'Exercise list'!$E$4:$X$4,0)),0)</f>
        <v>0</v>
      </c>
      <c r="T118" s="19">
        <f>IFERROR(INDEX('Exercise list'!$E$5:$X$102,MATCH($C118,'Exercise list'!$C$5:$C$102,0),MATCH(T$5,'Exercise list'!$E$4:$X$4,0)),0)</f>
        <v>0</v>
      </c>
      <c r="U118" s="19">
        <f>IFERROR(INDEX('Exercise list'!$E$5:$X$102,MATCH($C118,'Exercise list'!$C$5:$C$102,0),MATCH(U$5,'Exercise list'!$E$4:$X$4,0)),0)</f>
        <v>0</v>
      </c>
      <c r="V118" s="19">
        <f>IFERROR(INDEX('Exercise list'!$E$5:$X$102,MATCH($C118,'Exercise list'!$C$5:$C$102,0),MATCH(V$5,'Exercise list'!$E$4:$X$4,0)),0)</f>
        <v>0</v>
      </c>
      <c r="W118" s="19">
        <f>IFERROR(INDEX('Exercise list'!$E$5:$X$102,MATCH($C118,'Exercise list'!$C$5:$C$102,0),MATCH(W$5,'Exercise list'!$E$4:$X$4,0)),0)</f>
        <v>0</v>
      </c>
      <c r="X118" s="19">
        <f>IFERROR(INDEX('Exercise list'!$E$5:$X$102,MATCH($C118,'Exercise list'!$C$5:$C$102,0),MATCH(X$5,'Exercise list'!$E$4:$X$4,0)),0)</f>
        <v>0</v>
      </c>
      <c r="Y118" s="19">
        <f>IFERROR(INDEX('Exercise list'!$E$5:$X$102,MATCH($C118,'Exercise list'!$C$5:$C$102,0),MATCH(Y$5,'Exercise list'!$E$4:$X$4,0)),0)</f>
        <v>0</v>
      </c>
      <c r="Z118" s="19">
        <f>IFERROR(INDEX('Exercise list'!$E$5:$X$102,MATCH($C118,'Exercise list'!$C$5:$C$102,0),MATCH(Z$5,'Exercise list'!$E$4:$X$4,0)),0)</f>
        <v>0</v>
      </c>
      <c r="AA118" s="19">
        <f>IFERROR(INDEX('Exercise list'!$E$5:$X$102,MATCH($C118,'Exercise list'!$C$5:$C$102,0),MATCH(AA$5,'Exercise list'!$E$4:$X$4,0)),0)</f>
        <v>0</v>
      </c>
      <c r="AB118" s="19">
        <f>IFERROR(INDEX('Exercise list'!$E$5:$X$102,MATCH($C118,'Exercise list'!$C$5:$C$102,0),MATCH(AB$5,'Exercise list'!$E$4:$X$4,0)),0)</f>
        <v>0</v>
      </c>
      <c r="AC118" s="19">
        <f>IFERROR(INDEX('Exercise list'!$E$5:$X$102,MATCH($C118,'Exercise list'!$C$5:$C$102,0),MATCH(AC$5,'Exercise list'!$E$4:$X$4,0)),0)</f>
        <v>0</v>
      </c>
      <c r="AD118" s="19">
        <f>IFERROR(INDEX('Exercise list'!$E$5:$X$102,MATCH($C118,'Exercise list'!$C$5:$C$102,0),MATCH(AD$5,'Exercise list'!$E$4:$X$4,0)),0)</f>
        <v>1</v>
      </c>
      <c r="AE118" s="19">
        <f>IFERROR(INDEX('Exercise list'!$E$5:$X$102,MATCH($C118,'Exercise list'!$C$5:$C$102,0),MATCH(AE$5,'Exercise list'!$E$4:$X$4,0)),0)</f>
        <v>0.7</v>
      </c>
      <c r="AF118" s="19">
        <f>IFERROR(INDEX('Exercise list'!$E$5:$X$102,MATCH($C118,'Exercise list'!$C$5:$C$102,0),MATCH(AF$5,'Exercise list'!$E$4:$X$4,0)),0)</f>
        <v>0.7</v>
      </c>
      <c r="AG118" s="19">
        <f>IFERROR(INDEX('Exercise list'!$E$5:$X$102,MATCH($C118,'Exercise list'!$C$5:$C$102,0),MATCH(AG$5,'Exercise list'!$E$4:$X$4,0)),0)</f>
        <v>1</v>
      </c>
      <c r="AH118" s="19">
        <f>IFERROR(INDEX('Exercise list'!$E$5:$X$102,MATCH($C118,'Exercise list'!$C$5:$C$102,0),MATCH(AH$5,'Exercise list'!$E$4:$X$4,0)),0)</f>
        <v>0.5</v>
      </c>
      <c r="AI118" s="19">
        <f>IFERROR(INDEX('Exercise list'!$E$5:$X$102,MATCH($C118,'Exercise list'!$C$5:$C$102,0),MATCH(AI$5,'Exercise list'!$E$4:$X$4,0)),0)</f>
        <v>0</v>
      </c>
      <c r="AJ118" s="19"/>
      <c r="AK118" s="19">
        <f>IF(OR($J118=1,COUNTIFS($A$5:$A117,"&gt;="&amp;$A118-1,$A$5:$A117,"&lt;="&amp;$A118,$B$5:$B117,$B118)&gt;0,MIN(1-'Exercise list'!E$2,IF($A118=$A117,AK117,1))-P118&lt;0),-1,MIN(1,IF($A118=$A117,AK117,1)-P118+$D$2))</f>
        <v>-1</v>
      </c>
      <c r="AL118" s="19">
        <f>IF(OR($J118=1,COUNTIFS($A$5:$A117,"&gt;="&amp;$A118-1,$A$5:$A117,"&lt;="&amp;$A118,$B$5:$B117,$B118)&gt;0,MIN(1-'Exercise list'!F$2,IF($A118=$A117,AL117,1))-Q118&lt;0),-1,MIN(1,IF($A118=$A117,AL117,1)-Q118+$D$2))</f>
        <v>-1</v>
      </c>
      <c r="AM118" s="19">
        <f>IF(OR($J118=1,COUNTIFS($A$5:$A117,"&gt;="&amp;$A118-1,$A$5:$A117,"&lt;="&amp;$A118,$B$5:$B117,$B118)&gt;0,MIN(1-'Exercise list'!G$2,IF($A118=$A117,AM117,1))-R118&lt;0),-1,MIN(1,IF($A118=$A117,AM117,1)-R118+$D$2))</f>
        <v>-1</v>
      </c>
      <c r="AN118" s="19">
        <f>IF(OR($J118=1,COUNTIFS($A$5:$A117,"&gt;="&amp;$A118-1,$A$5:$A117,"&lt;="&amp;$A118,$B$5:$B117,$B118)&gt;0,MIN(1-'Exercise list'!H$2,IF($A118=$A117,AN117,1))-S118&lt;0),-1,MIN(1,IF($A118=$A117,AN117,1)-S118+$D$2))</f>
        <v>-1</v>
      </c>
      <c r="AO118" s="19">
        <f>IF(OR($J118=1,COUNTIFS($A$5:$A117,"&gt;="&amp;$A118-1,$A$5:$A117,"&lt;="&amp;$A118,$B$5:$B117,$B118)&gt;0,MIN(1-'Exercise list'!I$2,IF($A118=$A117,AO117,1))-T118&lt;0),-1,MIN(1,IF($A118=$A117,AO117,1)-T118+$D$2))</f>
        <v>-1</v>
      </c>
      <c r="AP118" s="19">
        <f>IF(OR($J118=1,COUNTIFS($A$5:$A117,"&gt;="&amp;$A118-1,$A$5:$A117,"&lt;="&amp;$A118,$B$5:$B117,$B118)&gt;0,MIN(1-'Exercise list'!J$2,IF($A118=$A117,AP117,1))-U118&lt;0),-1,MIN(1,IF($A118=$A117,AP117,1)-U118+$D$2))</f>
        <v>-1</v>
      </c>
      <c r="AQ118" s="19">
        <f>IF(OR($J118=1,COUNTIFS($A$5:$A117,"&gt;="&amp;$A118-1,$A$5:$A117,"&lt;="&amp;$A118,$B$5:$B117,$B118)&gt;0,MIN(1-'Exercise list'!K$2,IF($A118=$A117,AQ117,1))-V118&lt;0),-1,MIN(1,IF($A118=$A117,AQ117,1)-V118+$D$2))</f>
        <v>-1</v>
      </c>
      <c r="AR118" s="19">
        <f>IF(OR($J118=1,COUNTIFS($A$5:$A117,"&gt;="&amp;$A118-1,$A$5:$A117,"&lt;="&amp;$A118,$B$5:$B117,$B118)&gt;0,MIN(1-'Exercise list'!L$2,IF($A118=$A117,AR117,1))-W118&lt;0),-1,MIN(1,IF($A118=$A117,AR117,1)-W118+$D$2))</f>
        <v>-1</v>
      </c>
      <c r="AS118" s="19">
        <f>IF(OR($J118=1,COUNTIFS($A$5:$A117,"&gt;="&amp;$A118-1,$A$5:$A117,"&lt;="&amp;$A118,$B$5:$B117,$B118)&gt;0,MIN(1-'Exercise list'!M$2,IF($A118=$A117,AS117,1))-X118&lt;0),-1,MIN(1,IF($A118=$A117,AS117,1)-X118+$D$2))</f>
        <v>-1</v>
      </c>
      <c r="AT118" s="19">
        <f>IF(OR($J118=1,COUNTIFS($A$5:$A117,"&gt;="&amp;$A118-1,$A$5:$A117,"&lt;="&amp;$A118,$B$5:$B117,$B118)&gt;0,MIN(1-'Exercise list'!N$2,IF($A118=$A117,AT117,1))-Y118&lt;0),-1,MIN(1,IF($A118=$A117,AT117,1)-Y118+$D$2))</f>
        <v>-1</v>
      </c>
      <c r="AU118" s="19">
        <f>IF(OR($J118=1,COUNTIFS($A$5:$A117,"&gt;="&amp;$A118-1,$A$5:$A117,"&lt;="&amp;$A118,$B$5:$B117,$B118)&gt;0,MIN(1-'Exercise list'!O$2,IF($A118=$A117,AU117,1))-Z118&lt;0),-1,MIN(1,IF($A118=$A117,AU117,1)-Z118+$D$2))</f>
        <v>-1</v>
      </c>
      <c r="AV118" s="19">
        <f>IF(OR($J118=1,COUNTIFS($A$5:$A117,"&gt;="&amp;$A118-1,$A$5:$A117,"&lt;="&amp;$A118,$B$5:$B117,$B118)&gt;0,MIN(1-'Exercise list'!P$2,IF($A118=$A117,AV117,1))-AA118&lt;0),-1,MIN(1,IF($A118=$A117,AV117,1)-AA118+$D$2))</f>
        <v>-1</v>
      </c>
      <c r="AW118" s="19">
        <f>IF(OR($J118=1,COUNTIFS($A$5:$A117,"&gt;="&amp;$A118-1,$A$5:$A117,"&lt;="&amp;$A118,$B$5:$B117,$B118)&gt;0,MIN(1-'Exercise list'!Q$2,IF($A118=$A117,AW117,1))-AB118&lt;0),-1,MIN(1,IF($A118=$A117,AW117,1)-AB118+$D$2))</f>
        <v>-1</v>
      </c>
      <c r="AX118" s="19">
        <f>IF(OR($J118=1,COUNTIFS($A$5:$A117,"&gt;="&amp;$A118-1,$A$5:$A117,"&lt;="&amp;$A118,$B$5:$B117,$B118)&gt;0,MIN(1-'Exercise list'!R$2,IF($A118=$A117,AX117,1))-AC118&lt;0),-1,MIN(1,IF($A118=$A117,AX117,1)-AC118+$D$2))</f>
        <v>-1</v>
      </c>
      <c r="AY118" s="19">
        <f>IF(OR($J118=1,COUNTIFS($A$5:$A117,"&gt;="&amp;$A118-1,$A$5:$A117,"&lt;="&amp;$A118,$B$5:$B117,$B118)&gt;0,MIN(1-'Exercise list'!S$2,IF($A118=$A117,AY117,1))-AD118&lt;0),-1,MIN(1,IF($A118=$A117,AY117,1)-AD118+$D$2))</f>
        <v>-1</v>
      </c>
      <c r="AZ118" s="19">
        <f>IF(OR($J118=1,COUNTIFS($A$5:$A117,"&gt;="&amp;$A118-1,$A$5:$A117,"&lt;="&amp;$A118,$B$5:$B117,$B118)&gt;0,MIN(1-'Exercise list'!T$2,IF($A118=$A117,AZ117,1))-AE118&lt;0),-1,MIN(1,IF($A118=$A117,AZ117,1)-AE118+$D$2))</f>
        <v>-1</v>
      </c>
      <c r="BA118" s="19">
        <f>IF(OR($J118=1,COUNTIFS($A$5:$A117,"&gt;="&amp;$A118-1,$A$5:$A117,"&lt;="&amp;$A118,$B$5:$B117,$B118)&gt;0,MIN(1-'Exercise list'!U$2,IF($A118=$A117,BA117,1))-AF118&lt;0),-1,MIN(1,IF($A118=$A117,BA117,1)-AF118+$D$2))</f>
        <v>-1</v>
      </c>
      <c r="BB118" s="19">
        <f>IF(OR($J118=1,COUNTIFS($A$5:$A117,"&gt;="&amp;$A118-1,$A$5:$A117,"&lt;="&amp;$A118,$B$5:$B117,$B118)&gt;0,MIN(1-'Exercise list'!V$2,IF($A118=$A117,BB117,1))-AG118&lt;0),-1,MIN(1,IF($A118=$A117,BB117,1)-AG118+$D$2))</f>
        <v>-1</v>
      </c>
      <c r="BC118" s="19">
        <f>IF(OR($J118=1,COUNTIFS($A$5:$A117,"&gt;="&amp;$A118-1,$A$5:$A117,"&lt;="&amp;$A118,$B$5:$B117,$B118)&gt;0,MIN(1-'Exercise list'!W$2,IF($A118=$A117,BC117,1))-AH118&lt;0),-1,MIN(1,IF($A118=$A117,BC117,1)-AH118+$D$2))</f>
        <v>-1</v>
      </c>
      <c r="BD118" s="19">
        <f>IF(OR($J118=1,COUNTIFS($A$5:$A117,"&gt;="&amp;$A118-1,$A$5:$A117,"&lt;="&amp;$A118,$B$5:$B117,$B118)&gt;0,MIN(1-'Exercise list'!X$2,IF($A118=$A117,BD117,1))-AI118&lt;0),-1,MIN(1,IF($A118=$A117,BD117,1)-AI118+$D$2))</f>
        <v>-1</v>
      </c>
      <c r="BE118" s="19"/>
      <c r="BF118" s="23">
        <f t="shared" si="100"/>
        <v>0.17381348449252143</v>
      </c>
      <c r="BG118" s="23">
        <f t="shared" si="101"/>
        <v>0.21367816365954082</v>
      </c>
      <c r="BH118" s="23">
        <f t="shared" si="102"/>
        <v>0.13944296707519102</v>
      </c>
      <c r="BI118" s="23">
        <f t="shared" si="103"/>
        <v>0.15795693259619253</v>
      </c>
      <c r="BJ118" s="23">
        <f t="shared" si="104"/>
        <v>0.1701341828919854</v>
      </c>
      <c r="BK118" s="23">
        <f t="shared" si="105"/>
        <v>0.1092523884505191</v>
      </c>
      <c r="BL118" s="23">
        <f t="shared" si="106"/>
        <v>0.19101196468935522</v>
      </c>
      <c r="BM118" s="23">
        <f t="shared" si="107"/>
        <v>2.4710484474872535E-2</v>
      </c>
      <c r="BN118" s="23">
        <f t="shared" si="108"/>
        <v>0.13525484878662047</v>
      </c>
      <c r="BO118" s="23">
        <f t="shared" si="109"/>
        <v>0.2171462770883818</v>
      </c>
      <c r="BP118" s="23">
        <f t="shared" si="110"/>
        <v>0.2973818300322868</v>
      </c>
      <c r="BQ118" s="23">
        <f t="shared" si="111"/>
        <v>9.1916563464662662E-2</v>
      </c>
      <c r="BR118" s="23">
        <f t="shared" si="112"/>
        <v>0.15693489968820196</v>
      </c>
      <c r="BS118" s="23">
        <f t="shared" si="113"/>
        <v>3.4290818766815473E-2</v>
      </c>
      <c r="BT118" s="23">
        <f t="shared" si="114"/>
        <v>0.19934358582431083</v>
      </c>
      <c r="BU118" s="23">
        <f t="shared" si="115"/>
        <v>0.19021285620092607</v>
      </c>
      <c r="BV118" s="23">
        <f t="shared" si="116"/>
        <v>0.23657955166901873</v>
      </c>
      <c r="BW118" s="23">
        <f t="shared" si="117"/>
        <v>0.12278424780765743</v>
      </c>
      <c r="BX118" s="23">
        <f t="shared" si="118"/>
        <v>0.11244484678091364</v>
      </c>
      <c r="BY118" s="23">
        <f t="shared" si="119"/>
        <v>5.6486220312730026E-2</v>
      </c>
      <c r="BZ118" s="19"/>
      <c r="CA118" s="23">
        <f t="shared" si="56"/>
        <v>5.068852400767887E-2</v>
      </c>
      <c r="CB118" s="23">
        <f t="shared" si="57"/>
        <v>1.0823844840659486E-2</v>
      </c>
      <c r="CC118" s="23">
        <f t="shared" si="58"/>
        <v>0</v>
      </c>
      <c r="CD118" s="23">
        <f t="shared" si="59"/>
        <v>0</v>
      </c>
      <c r="CE118" s="23">
        <f t="shared" si="60"/>
        <v>0</v>
      </c>
      <c r="CF118" s="23">
        <f t="shared" si="61"/>
        <v>0.22750062429978141</v>
      </c>
      <c r="CG118" s="23">
        <f t="shared" si="62"/>
        <v>0</v>
      </c>
      <c r="CH118" s="23">
        <f t="shared" si="63"/>
        <v>8.7540519775227615E-2</v>
      </c>
      <c r="CI118" s="23">
        <f t="shared" si="64"/>
        <v>8.9247159713579827E-2</v>
      </c>
      <c r="CJ118" s="23">
        <f t="shared" si="65"/>
        <v>0</v>
      </c>
      <c r="CK118" s="23">
        <f t="shared" si="66"/>
        <v>0</v>
      </c>
      <c r="CL118" s="23">
        <f t="shared" si="67"/>
        <v>2.0334440785437488E-2</v>
      </c>
      <c r="CM118" s="23">
        <f t="shared" si="68"/>
        <v>6.7567108811998344E-2</v>
      </c>
      <c r="CN118" s="23">
        <f t="shared" si="69"/>
        <v>7.7960185483284677E-2</v>
      </c>
      <c r="CO118" s="23">
        <f t="shared" si="70"/>
        <v>0</v>
      </c>
      <c r="CP118" s="23">
        <f t="shared" si="71"/>
        <v>0</v>
      </c>
      <c r="CQ118" s="23">
        <f t="shared" si="72"/>
        <v>0</v>
      </c>
      <c r="CR118" s="23">
        <f t="shared" si="73"/>
        <v>0</v>
      </c>
      <c r="CS118" s="23">
        <f t="shared" si="74"/>
        <v>0</v>
      </c>
      <c r="CT118" s="23">
        <f t="shared" si="75"/>
        <v>5.5764783937370124E-2</v>
      </c>
      <c r="CU118" s="19"/>
    </row>
    <row r="119" spans="1:99" x14ac:dyDescent="0.25">
      <c r="A119" s="13">
        <v>45083</v>
      </c>
      <c r="B119" s="14">
        <v>16</v>
      </c>
      <c r="C119" s="15" t="str" cm="1">
        <f t="array" ref="C119">IF(B119="","",INDEX('Exercise list'!$C$5:$C$102,B119))</f>
        <v>Pull-ups</v>
      </c>
      <c r="D119" s="12">
        <f t="shared" si="97"/>
        <v>1</v>
      </c>
      <c r="E119" s="107">
        <f t="shared" si="120"/>
        <v>0</v>
      </c>
      <c r="F119" s="63" cm="1">
        <f t="array" ref="F119">IF(B119="","",0.1+IFERROR(INDEX($F$6:$F118,SUMPRODUCT(MAX(ROW($C$6:$C118)*($C119=$C$6:$C118))-ROW($A$5)))*0.9^($A119-INDEX($A$6:A118,SUMPRODUCT(MAX(ROW($C$6:$C118)*($C119=$C$6:$C118))-ROW($A$5)))),0))</f>
        <v>0.11500946352969993</v>
      </c>
      <c r="G119" s="64">
        <f>INDEX('Exercise list'!$Y$5:$Y$102,MATCH(C119,'Exercise list'!$C$5:$C$102,0))</f>
        <v>3</v>
      </c>
      <c r="H119" s="115">
        <f t="shared" si="98"/>
        <v>6.739966184596341E-2</v>
      </c>
      <c r="I119" s="42">
        <f t="shared" si="99"/>
        <v>1</v>
      </c>
      <c r="J119" s="6" cm="1">
        <f t="array" ref="J119">IF(B119="","",INDEX('Exercise list'!$D$5:$D$102,B119))</f>
        <v>0</v>
      </c>
      <c r="K119" s="12">
        <v>48</v>
      </c>
      <c r="L119" s="74" t="str" cm="1">
        <f t="array" ref="L119">IF(K119="","",INDEX('Exercise list'!$C$5:$C$102,K119))</f>
        <v>Barbell overhead presses</v>
      </c>
      <c r="M119" s="6">
        <v>31</v>
      </c>
      <c r="N119" s="75" t="str" cm="1">
        <f t="array" ref="N119">IF(M119="","",INDEX('Exercise list'!$C$5:$C$102,M119))</f>
        <v>Weighted decline crunches</v>
      </c>
      <c r="P119">
        <f>IFERROR(INDEX('Exercise list'!$E$5:$X$102,MATCH($C119,'Exercise list'!$C$5:$C$102,0),MATCH(P$5,'Exercise list'!$E$4:$X$4,0)),0)</f>
        <v>0</v>
      </c>
      <c r="Q119">
        <f>IFERROR(INDEX('Exercise list'!$E$5:$X$102,MATCH($C119,'Exercise list'!$C$5:$C$102,0),MATCH(Q$5,'Exercise list'!$E$4:$X$4,0)),0)</f>
        <v>1</v>
      </c>
      <c r="R119">
        <f>IFERROR(INDEX('Exercise list'!$E$5:$X$102,MATCH($C119,'Exercise list'!$C$5:$C$102,0),MATCH(R$5,'Exercise list'!$E$4:$X$4,0)),0)</f>
        <v>0.5</v>
      </c>
      <c r="S119">
        <f>IFERROR(INDEX('Exercise list'!$E$5:$X$102,MATCH($C119,'Exercise list'!$C$5:$C$102,0),MATCH(S$5,'Exercise list'!$E$4:$X$4,0)),0)</f>
        <v>0.5</v>
      </c>
      <c r="T119">
        <f>IFERROR(INDEX('Exercise list'!$E$5:$X$102,MATCH($C119,'Exercise list'!$C$5:$C$102,0),MATCH(T$5,'Exercise list'!$E$4:$X$4,0)),0)</f>
        <v>0</v>
      </c>
      <c r="U119">
        <f>IFERROR(INDEX('Exercise list'!$E$5:$X$102,MATCH($C119,'Exercise list'!$C$5:$C$102,0),MATCH(U$5,'Exercise list'!$E$4:$X$4,0)),0)</f>
        <v>0</v>
      </c>
      <c r="V119">
        <f>IFERROR(INDEX('Exercise list'!$E$5:$X$102,MATCH($C119,'Exercise list'!$C$5:$C$102,0),MATCH(V$5,'Exercise list'!$E$4:$X$4,0)),0)</f>
        <v>0</v>
      </c>
      <c r="W119">
        <f>IFERROR(INDEX('Exercise list'!$E$5:$X$102,MATCH($C119,'Exercise list'!$C$5:$C$102,0),MATCH(W$5,'Exercise list'!$E$4:$X$4,0)),0)</f>
        <v>0</v>
      </c>
      <c r="X119">
        <f>IFERROR(INDEX('Exercise list'!$E$5:$X$102,MATCH($C119,'Exercise list'!$C$5:$C$102,0),MATCH(X$5,'Exercise list'!$E$4:$X$4,0)),0)</f>
        <v>0</v>
      </c>
      <c r="Y119">
        <f>IFERROR(INDEX('Exercise list'!$E$5:$X$102,MATCH($C119,'Exercise list'!$C$5:$C$102,0),MATCH(Y$5,'Exercise list'!$E$4:$X$4,0)),0)</f>
        <v>0</v>
      </c>
      <c r="Z119">
        <f>IFERROR(INDEX('Exercise list'!$E$5:$X$102,MATCH($C119,'Exercise list'!$C$5:$C$102,0),MATCH(Z$5,'Exercise list'!$E$4:$X$4,0)),0)</f>
        <v>1</v>
      </c>
      <c r="AA119">
        <f>IFERROR(INDEX('Exercise list'!$E$5:$X$102,MATCH($C119,'Exercise list'!$C$5:$C$102,0),MATCH(AA$5,'Exercise list'!$E$4:$X$4,0)),0)</f>
        <v>0</v>
      </c>
      <c r="AB119">
        <f>IFERROR(INDEX('Exercise list'!$E$5:$X$102,MATCH($C119,'Exercise list'!$C$5:$C$102,0),MATCH(AB$5,'Exercise list'!$E$4:$X$4,0)),0)</f>
        <v>0</v>
      </c>
      <c r="AC119">
        <f>IFERROR(INDEX('Exercise list'!$E$5:$X$102,MATCH($C119,'Exercise list'!$C$5:$C$102,0),MATCH(AC$5,'Exercise list'!$E$4:$X$4,0)),0)</f>
        <v>0</v>
      </c>
      <c r="AD119">
        <f>IFERROR(INDEX('Exercise list'!$E$5:$X$102,MATCH($C119,'Exercise list'!$C$5:$C$102,0),MATCH(AD$5,'Exercise list'!$E$4:$X$4,0)),0)</f>
        <v>0</v>
      </c>
      <c r="AE119">
        <f>IFERROR(INDEX('Exercise list'!$E$5:$X$102,MATCH($C119,'Exercise list'!$C$5:$C$102,0),MATCH(AE$5,'Exercise list'!$E$4:$X$4,0)),0)</f>
        <v>0</v>
      </c>
      <c r="AF119">
        <f>IFERROR(INDEX('Exercise list'!$E$5:$X$102,MATCH($C119,'Exercise list'!$C$5:$C$102,0),MATCH(AF$5,'Exercise list'!$E$4:$X$4,0)),0)</f>
        <v>0</v>
      </c>
      <c r="AG119">
        <f>IFERROR(INDEX('Exercise list'!$E$5:$X$102,MATCH($C119,'Exercise list'!$C$5:$C$102,0),MATCH(AG$5,'Exercise list'!$E$4:$X$4,0)),0)</f>
        <v>0</v>
      </c>
      <c r="AH119">
        <f>IFERROR(INDEX('Exercise list'!$E$5:$X$102,MATCH($C119,'Exercise list'!$C$5:$C$102,0),MATCH(AH$5,'Exercise list'!$E$4:$X$4,0)),0)</f>
        <v>0</v>
      </c>
      <c r="AI119">
        <f>IFERROR(INDEX('Exercise list'!$E$5:$X$102,MATCH($C119,'Exercise list'!$C$5:$C$102,0),MATCH(AI$5,'Exercise list'!$E$4:$X$4,0)),0)</f>
        <v>0</v>
      </c>
      <c r="AK119">
        <f>IF(OR($J119=1,COUNTIFS($A$5:$A118,"&gt;="&amp;$A119-1,$A$5:$A118,"&lt;="&amp;$A119,$B$5:$B118,$B119)&gt;0,MIN(1-'Exercise list'!E$2,IF($A119=$A118,AK118,1))-P119&lt;0),-1,MIN(1,IF($A119=$A118,AK118,1)-P119+$D$2))</f>
        <v>1</v>
      </c>
      <c r="AL119">
        <f>IF(OR($J119=1,COUNTIFS($A$5:$A118,"&gt;="&amp;$A119-1,$A$5:$A118,"&lt;="&amp;$A119,$B$5:$B118,$B119)&gt;0,MIN(1-'Exercise list'!F$2,IF($A119=$A118,AL118,1))-Q119&lt;0),-1,MIN(1,IF($A119=$A118,AL118,1)-Q119+$D$2))</f>
        <v>1</v>
      </c>
      <c r="AM119">
        <f>IF(OR($J119=1,COUNTIFS($A$5:$A118,"&gt;="&amp;$A119-1,$A$5:$A118,"&lt;="&amp;$A119,$B$5:$B118,$B119)&gt;0,MIN(1-'Exercise list'!G$2,IF($A119=$A118,AM118,1))-R119&lt;0),-1,MIN(1,IF($A119=$A118,AM118,1)-R119+$D$2))</f>
        <v>1</v>
      </c>
      <c r="AN119">
        <f>IF(OR($J119=1,COUNTIFS($A$5:$A118,"&gt;="&amp;$A119-1,$A$5:$A118,"&lt;="&amp;$A119,$B$5:$B118,$B119)&gt;0,MIN(1-'Exercise list'!H$2,IF($A119=$A118,AN118,1))-S119&lt;0),-1,MIN(1,IF($A119=$A118,AN118,1)-S119+$D$2))</f>
        <v>1</v>
      </c>
      <c r="AO119">
        <f>IF(OR($J119=1,COUNTIFS($A$5:$A118,"&gt;="&amp;$A119-1,$A$5:$A118,"&lt;="&amp;$A119,$B$5:$B118,$B119)&gt;0,MIN(1-'Exercise list'!I$2,IF($A119=$A118,AO118,1))-T119&lt;0),-1,MIN(1,IF($A119=$A118,AO118,1)-T119+$D$2))</f>
        <v>1</v>
      </c>
      <c r="AP119">
        <f>IF(OR($J119=1,COUNTIFS($A$5:$A118,"&gt;="&amp;$A119-1,$A$5:$A118,"&lt;="&amp;$A119,$B$5:$B118,$B119)&gt;0,MIN(1-'Exercise list'!J$2,IF($A119=$A118,AP118,1))-U119&lt;0),-1,MIN(1,IF($A119=$A118,AP118,1)-U119+$D$2))</f>
        <v>1</v>
      </c>
      <c r="AQ119">
        <f>IF(OR($J119=1,COUNTIFS($A$5:$A118,"&gt;="&amp;$A119-1,$A$5:$A118,"&lt;="&amp;$A119,$B$5:$B118,$B119)&gt;0,MIN(1-'Exercise list'!K$2,IF($A119=$A118,AQ118,1))-V119&lt;0),-1,MIN(1,IF($A119=$A118,AQ118,1)-V119+$D$2))</f>
        <v>1</v>
      </c>
      <c r="AR119">
        <f>IF(OR($J119=1,COUNTIFS($A$5:$A118,"&gt;="&amp;$A119-1,$A$5:$A118,"&lt;="&amp;$A119,$B$5:$B118,$B119)&gt;0,MIN(1-'Exercise list'!L$2,IF($A119=$A118,AR118,1))-W119&lt;0),-1,MIN(1,IF($A119=$A118,AR118,1)-W119+$D$2))</f>
        <v>1</v>
      </c>
      <c r="AS119">
        <f>IF(OR($J119=1,COUNTIFS($A$5:$A118,"&gt;="&amp;$A119-1,$A$5:$A118,"&lt;="&amp;$A119,$B$5:$B118,$B119)&gt;0,MIN(1-'Exercise list'!M$2,IF($A119=$A118,AS118,1))-X119&lt;0),-1,MIN(1,IF($A119=$A118,AS118,1)-X119+$D$2))</f>
        <v>1</v>
      </c>
      <c r="AT119">
        <f>IF(OR($J119=1,COUNTIFS($A$5:$A118,"&gt;="&amp;$A119-1,$A$5:$A118,"&lt;="&amp;$A119,$B$5:$B118,$B119)&gt;0,MIN(1-'Exercise list'!N$2,IF($A119=$A118,AT118,1))-Y119&lt;0),-1,MIN(1,IF($A119=$A118,AT118,1)-Y119+$D$2))</f>
        <v>1</v>
      </c>
      <c r="AU119">
        <f>IF(OR($J119=1,COUNTIFS($A$5:$A118,"&gt;="&amp;$A119-1,$A$5:$A118,"&lt;="&amp;$A119,$B$5:$B118,$B119)&gt;0,MIN(1-'Exercise list'!O$2,IF($A119=$A118,AU118,1))-Z119&lt;0),-1,MIN(1,IF($A119=$A118,AU118,1)-Z119+$D$2))</f>
        <v>1</v>
      </c>
      <c r="AV119">
        <f>IF(OR($J119=1,COUNTIFS($A$5:$A118,"&gt;="&amp;$A119-1,$A$5:$A118,"&lt;="&amp;$A119,$B$5:$B118,$B119)&gt;0,MIN(1-'Exercise list'!P$2,IF($A119=$A118,AV118,1))-AA119&lt;0),-1,MIN(1,IF($A119=$A118,AV118,1)-AA119+$D$2))</f>
        <v>1</v>
      </c>
      <c r="AW119">
        <f>IF(OR($J119=1,COUNTIFS($A$5:$A118,"&gt;="&amp;$A119-1,$A$5:$A118,"&lt;="&amp;$A119,$B$5:$B118,$B119)&gt;0,MIN(1-'Exercise list'!Q$2,IF($A119=$A118,AW118,1))-AB119&lt;0),-1,MIN(1,IF($A119=$A118,AW118,1)-AB119+$D$2))</f>
        <v>1</v>
      </c>
      <c r="AX119">
        <f>IF(OR($J119=1,COUNTIFS($A$5:$A118,"&gt;="&amp;$A119-1,$A$5:$A118,"&lt;="&amp;$A119,$B$5:$B118,$B119)&gt;0,MIN(1-'Exercise list'!R$2,IF($A119=$A118,AX118,1))-AC119&lt;0),-1,MIN(1,IF($A119=$A118,AX118,1)-AC119+$D$2))</f>
        <v>1</v>
      </c>
      <c r="AY119">
        <f>IF(OR($J119=1,COUNTIFS($A$5:$A118,"&gt;="&amp;$A119-1,$A$5:$A118,"&lt;="&amp;$A119,$B$5:$B118,$B119)&gt;0,MIN(1-'Exercise list'!S$2,IF($A119=$A118,AY118,1))-AD119&lt;0),-1,MIN(1,IF($A119=$A118,AY118,1)-AD119+$D$2))</f>
        <v>1</v>
      </c>
      <c r="AZ119">
        <f>IF(OR($J119=1,COUNTIFS($A$5:$A118,"&gt;="&amp;$A119-1,$A$5:$A118,"&lt;="&amp;$A119,$B$5:$B118,$B119)&gt;0,MIN(1-'Exercise list'!T$2,IF($A119=$A118,AZ118,1))-AE119&lt;0),-1,MIN(1,IF($A119=$A118,AZ118,1)-AE119+$D$2))</f>
        <v>1</v>
      </c>
      <c r="BA119">
        <f>IF(OR($J119=1,COUNTIFS($A$5:$A118,"&gt;="&amp;$A119-1,$A$5:$A118,"&lt;="&amp;$A119,$B$5:$B118,$B119)&gt;0,MIN(1-'Exercise list'!U$2,IF($A119=$A118,BA118,1))-AF119&lt;0),-1,MIN(1,IF($A119=$A118,BA118,1)-AF119+$D$2))</f>
        <v>1</v>
      </c>
      <c r="BB119">
        <f>IF(OR($J119=1,COUNTIFS($A$5:$A118,"&gt;="&amp;$A119-1,$A$5:$A118,"&lt;="&amp;$A119,$B$5:$B118,$B119)&gt;0,MIN(1-'Exercise list'!V$2,IF($A119=$A118,BB118,1))-AG119&lt;0),-1,MIN(1,IF($A119=$A118,BB118,1)-AG119+$D$2))</f>
        <v>1</v>
      </c>
      <c r="BC119">
        <f>IF(OR($J119=1,COUNTIFS($A$5:$A118,"&gt;="&amp;$A119-1,$A$5:$A118,"&lt;="&amp;$A119,$B$5:$B118,$B119)&gt;0,MIN(1-'Exercise list'!W$2,IF($A119=$A118,BC118,1))-AH119&lt;0),-1,MIN(1,IF($A119=$A118,BC118,1)-AH119+$D$2))</f>
        <v>1</v>
      </c>
      <c r="BD119">
        <f>IF(OR($J119=1,COUNTIFS($A$5:$A118,"&gt;="&amp;$A119-1,$A$5:$A118,"&lt;="&amp;$A119,$B$5:$B118,$B119)&gt;0,MIN(1-'Exercise list'!X$2,IF($A119=$A118,BD118,1))-AI119&lt;0),-1,MIN(1,IF($A119=$A118,BD118,1)-AI119+$D$2))</f>
        <v>1</v>
      </c>
      <c r="BF119" s="16">
        <f t="shared" si="100"/>
        <v>0.16512281026789535</v>
      </c>
      <c r="BG119" s="16">
        <f t="shared" si="101"/>
        <v>0.25299425547656379</v>
      </c>
      <c r="BH119" s="16">
        <f t="shared" si="102"/>
        <v>0.15747081872143145</v>
      </c>
      <c r="BI119" s="16">
        <f t="shared" si="103"/>
        <v>0.17505908596638289</v>
      </c>
      <c r="BJ119" s="16">
        <f t="shared" si="104"/>
        <v>0.16162747374738612</v>
      </c>
      <c r="BK119" s="16">
        <f t="shared" si="105"/>
        <v>0.10378976902799314</v>
      </c>
      <c r="BL119" s="16">
        <f t="shared" si="106"/>
        <v>0.18146136645488745</v>
      </c>
      <c r="BM119" s="16">
        <f t="shared" si="107"/>
        <v>2.3474960251128905E-2</v>
      </c>
      <c r="BN119" s="16">
        <f t="shared" si="108"/>
        <v>0.12849210634728944</v>
      </c>
      <c r="BO119" s="16">
        <f t="shared" si="109"/>
        <v>0.2062889632339627</v>
      </c>
      <c r="BP119" s="16">
        <f t="shared" si="110"/>
        <v>0.33251273853067242</v>
      </c>
      <c r="BQ119" s="16">
        <f t="shared" si="111"/>
        <v>8.732073529142953E-2</v>
      </c>
      <c r="BR119" s="16">
        <f t="shared" si="112"/>
        <v>0.14908815470379186</v>
      </c>
      <c r="BS119" s="16">
        <f t="shared" si="113"/>
        <v>3.2576277828474699E-2</v>
      </c>
      <c r="BT119" s="16">
        <f t="shared" si="114"/>
        <v>0.18937640653309529</v>
      </c>
      <c r="BU119" s="16">
        <f t="shared" si="115"/>
        <v>0.18070221339087975</v>
      </c>
      <c r="BV119" s="16">
        <f t="shared" si="116"/>
        <v>0.22475057408556778</v>
      </c>
      <c r="BW119" s="16">
        <f t="shared" si="117"/>
        <v>0.11664503541727456</v>
      </c>
      <c r="BX119" s="16">
        <f t="shared" si="118"/>
        <v>0.10682260444186795</v>
      </c>
      <c r="BY119" s="16">
        <f t="shared" si="119"/>
        <v>5.3661909297093524E-2</v>
      </c>
      <c r="CA119" s="16">
        <f t="shared" si="56"/>
        <v>5.9265208918406032E-2</v>
      </c>
      <c r="CB119" s="16">
        <f t="shared" si="57"/>
        <v>0</v>
      </c>
      <c r="CC119" s="16">
        <f t="shared" si="58"/>
        <v>0</v>
      </c>
      <c r="CD119" s="16">
        <f t="shared" si="59"/>
        <v>0</v>
      </c>
      <c r="CE119" s="16">
        <f t="shared" si="60"/>
        <v>0</v>
      </c>
      <c r="CF119" s="16">
        <f t="shared" si="61"/>
        <v>0.23279225975145895</v>
      </c>
      <c r="CG119" s="16">
        <f t="shared" si="62"/>
        <v>0</v>
      </c>
      <c r="CH119" s="16">
        <f t="shared" si="63"/>
        <v>8.8719049342021794E-2</v>
      </c>
      <c r="CI119" s="16">
        <f t="shared" si="64"/>
        <v>9.5895912839011943E-2</v>
      </c>
      <c r="CJ119" s="16">
        <f t="shared" si="65"/>
        <v>0</v>
      </c>
      <c r="CK119" s="16">
        <f t="shared" si="66"/>
        <v>0</v>
      </c>
      <c r="CL119" s="16">
        <f t="shared" si="67"/>
        <v>2.4873274301721163E-2</v>
      </c>
      <c r="CM119" s="16">
        <f t="shared" si="68"/>
        <v>7.5299864482509526E-2</v>
      </c>
      <c r="CN119" s="16">
        <f t="shared" si="69"/>
        <v>7.9617731764675986E-2</v>
      </c>
      <c r="CO119" s="16">
        <f t="shared" si="70"/>
        <v>0</v>
      </c>
      <c r="CP119" s="16">
        <f t="shared" si="71"/>
        <v>0</v>
      </c>
      <c r="CQ119" s="16">
        <f t="shared" si="72"/>
        <v>0</v>
      </c>
      <c r="CR119" s="16">
        <f t="shared" si="73"/>
        <v>0</v>
      </c>
      <c r="CS119" s="16">
        <f t="shared" si="74"/>
        <v>5.371405151282746E-3</v>
      </c>
      <c r="CT119" s="16">
        <f t="shared" si="75"/>
        <v>5.8532100296057168E-2</v>
      </c>
    </row>
    <row r="120" spans="1:99" x14ac:dyDescent="0.25">
      <c r="A120" s="13">
        <v>45083</v>
      </c>
      <c r="B120" s="14">
        <v>55</v>
      </c>
      <c r="C120" s="15" t="str" cm="1">
        <f t="array" ref="C120">IF(B120="","",INDEX('Exercise list'!$C$5:$C$102,B120))</f>
        <v>Egyptian cable lateral raises</v>
      </c>
      <c r="D120" s="12">
        <f t="shared" si="97"/>
        <v>1</v>
      </c>
      <c r="E120" s="107">
        <f t="shared" si="120"/>
        <v>0</v>
      </c>
      <c r="F120" s="63" cm="1">
        <f t="array" ref="F120">IF(B120="","",0.1+IFERROR(INDEX($F$6:$F119,SUMPRODUCT(MAX(ROW($C$6:$C119)*($C120=$C$6:$C119))-ROW($A$5)))*0.9^($A120-INDEX($A$6:A119,SUMPRODUCT(MAX(ROW($C$6:$C119)*($C120=$C$6:$C119))-ROW($A$5)))),0))</f>
        <v>0.21671065183594623</v>
      </c>
      <c r="G120" s="64">
        <f>INDEX('Exercise list'!$Y$5:$Y$102,MATCH(C120,'Exercise list'!$C$5:$C$102,0))</f>
        <v>1</v>
      </c>
      <c r="H120" s="115">
        <f t="shared" si="98"/>
        <v>5.884330029279148E-2</v>
      </c>
      <c r="I120" s="6">
        <f t="shared" si="99"/>
        <v>2</v>
      </c>
      <c r="J120" s="6" cm="1">
        <f t="array" ref="J120">IF(B120="","",INDEX('Exercise list'!$D$5:$D$102,B120))</f>
        <v>0</v>
      </c>
      <c r="K120" s="12">
        <v>48</v>
      </c>
      <c r="L120" s="74" t="str" cm="1">
        <f t="array" ref="L120">IF(K120="","",INDEX('Exercise list'!$C$5:$C$102,K120))</f>
        <v>Barbell overhead presses</v>
      </c>
      <c r="M120" s="6">
        <v>31</v>
      </c>
      <c r="N120" s="75" t="str" cm="1">
        <f t="array" ref="N120">IF(M120="","",INDEX('Exercise list'!$C$5:$C$102,M120))</f>
        <v>Weighted decline crunches</v>
      </c>
      <c r="P120">
        <f>IFERROR(INDEX('Exercise list'!$E$5:$X$102,MATCH($C120,'Exercise list'!$C$5:$C$102,0),MATCH(P$5,'Exercise list'!$E$4:$X$4,0)),0)</f>
        <v>0</v>
      </c>
      <c r="Q120">
        <f>IFERROR(INDEX('Exercise list'!$E$5:$X$102,MATCH($C120,'Exercise list'!$C$5:$C$102,0),MATCH(Q$5,'Exercise list'!$E$4:$X$4,0)),0)</f>
        <v>0</v>
      </c>
      <c r="R120">
        <f>IFERROR(INDEX('Exercise list'!$E$5:$X$102,MATCH($C120,'Exercise list'!$C$5:$C$102,0),MATCH(R$5,'Exercise list'!$E$4:$X$4,0)),0)</f>
        <v>0</v>
      </c>
      <c r="S120">
        <f>IFERROR(INDEX('Exercise list'!$E$5:$X$102,MATCH($C120,'Exercise list'!$C$5:$C$102,0),MATCH(S$5,'Exercise list'!$E$4:$X$4,0)),0)</f>
        <v>0</v>
      </c>
      <c r="T120">
        <f>IFERROR(INDEX('Exercise list'!$E$5:$X$102,MATCH($C120,'Exercise list'!$C$5:$C$102,0),MATCH(T$5,'Exercise list'!$E$4:$X$4,0)),0)</f>
        <v>0</v>
      </c>
      <c r="U120">
        <f>IFERROR(INDEX('Exercise list'!$E$5:$X$102,MATCH($C120,'Exercise list'!$C$5:$C$102,0),MATCH(U$5,'Exercise list'!$E$4:$X$4,0)),0)</f>
        <v>1</v>
      </c>
      <c r="V120">
        <f>IFERROR(INDEX('Exercise list'!$E$5:$X$102,MATCH($C120,'Exercise list'!$C$5:$C$102,0),MATCH(V$5,'Exercise list'!$E$4:$X$4,0)),0)</f>
        <v>0.5</v>
      </c>
      <c r="W120">
        <f>IFERROR(INDEX('Exercise list'!$E$5:$X$102,MATCH($C120,'Exercise list'!$C$5:$C$102,0),MATCH(W$5,'Exercise list'!$E$4:$X$4,0)),0)</f>
        <v>0</v>
      </c>
      <c r="X120">
        <f>IFERROR(INDEX('Exercise list'!$E$5:$X$102,MATCH($C120,'Exercise list'!$C$5:$C$102,0),MATCH(X$5,'Exercise list'!$E$4:$X$4,0)),0)</f>
        <v>0</v>
      </c>
      <c r="Y120">
        <f>IFERROR(INDEX('Exercise list'!$E$5:$X$102,MATCH($C120,'Exercise list'!$C$5:$C$102,0),MATCH(Y$5,'Exercise list'!$E$4:$X$4,0)),0)</f>
        <v>0</v>
      </c>
      <c r="Z120">
        <f>IFERROR(INDEX('Exercise list'!$E$5:$X$102,MATCH($C120,'Exercise list'!$C$5:$C$102,0),MATCH(Z$5,'Exercise list'!$E$4:$X$4,0)),0)</f>
        <v>0</v>
      </c>
      <c r="AA120">
        <f>IFERROR(INDEX('Exercise list'!$E$5:$X$102,MATCH($C120,'Exercise list'!$C$5:$C$102,0),MATCH(AA$5,'Exercise list'!$E$4:$X$4,0)),0)</f>
        <v>0</v>
      </c>
      <c r="AB120">
        <f>IFERROR(INDEX('Exercise list'!$E$5:$X$102,MATCH($C120,'Exercise list'!$C$5:$C$102,0),MATCH(AB$5,'Exercise list'!$E$4:$X$4,0)),0)</f>
        <v>0</v>
      </c>
      <c r="AC120">
        <f>IFERROR(INDEX('Exercise list'!$E$5:$X$102,MATCH($C120,'Exercise list'!$C$5:$C$102,0),MATCH(AC$5,'Exercise list'!$E$4:$X$4,0)),0)</f>
        <v>0</v>
      </c>
      <c r="AD120">
        <f>IFERROR(INDEX('Exercise list'!$E$5:$X$102,MATCH($C120,'Exercise list'!$C$5:$C$102,0),MATCH(AD$5,'Exercise list'!$E$4:$X$4,0)),0)</f>
        <v>0</v>
      </c>
      <c r="AE120">
        <f>IFERROR(INDEX('Exercise list'!$E$5:$X$102,MATCH($C120,'Exercise list'!$C$5:$C$102,0),MATCH(AE$5,'Exercise list'!$E$4:$X$4,0)),0)</f>
        <v>0</v>
      </c>
      <c r="AF120">
        <f>IFERROR(INDEX('Exercise list'!$E$5:$X$102,MATCH($C120,'Exercise list'!$C$5:$C$102,0),MATCH(AF$5,'Exercise list'!$E$4:$X$4,0)),0)</f>
        <v>0</v>
      </c>
      <c r="AG120">
        <f>IFERROR(INDEX('Exercise list'!$E$5:$X$102,MATCH($C120,'Exercise list'!$C$5:$C$102,0),MATCH(AG$5,'Exercise list'!$E$4:$X$4,0)),0)</f>
        <v>0</v>
      </c>
      <c r="AH120">
        <f>IFERROR(INDEX('Exercise list'!$E$5:$X$102,MATCH($C120,'Exercise list'!$C$5:$C$102,0),MATCH(AH$5,'Exercise list'!$E$4:$X$4,0)),0)</f>
        <v>0</v>
      </c>
      <c r="AI120">
        <f>IFERROR(INDEX('Exercise list'!$E$5:$X$102,MATCH($C120,'Exercise list'!$C$5:$C$102,0),MATCH(AI$5,'Exercise list'!$E$4:$X$4,0)),0)</f>
        <v>0</v>
      </c>
      <c r="AK120">
        <f>IF(OR($J120=1,COUNTIFS($A$5:$A119,"&gt;="&amp;$A120-1,$A$5:$A119,"&lt;="&amp;$A120,$B$5:$B119,$B120)&gt;0,MIN(1-'Exercise list'!E$2,IF($A120=$A119,AK119,1))-P120&lt;0),-1,MIN(1,IF($A120=$A119,AK119,1)-P120+$D$2))</f>
        <v>1</v>
      </c>
      <c r="AL120">
        <f>IF(OR($J120=1,COUNTIFS($A$5:$A119,"&gt;="&amp;$A120-1,$A$5:$A119,"&lt;="&amp;$A120,$B$5:$B119,$B120)&gt;0,MIN(1-'Exercise list'!F$2,IF($A120=$A119,AL119,1))-Q120&lt;0),-1,MIN(1,IF($A120=$A119,AL119,1)-Q120+$D$2))</f>
        <v>1</v>
      </c>
      <c r="AM120">
        <f>IF(OR($J120=1,COUNTIFS($A$5:$A119,"&gt;="&amp;$A120-1,$A$5:$A119,"&lt;="&amp;$A120,$B$5:$B119,$B120)&gt;0,MIN(1-'Exercise list'!G$2,IF($A120=$A119,AM119,1))-R120&lt;0),-1,MIN(1,IF($A120=$A119,AM119,1)-R120+$D$2))</f>
        <v>1</v>
      </c>
      <c r="AN120">
        <f>IF(OR($J120=1,COUNTIFS($A$5:$A119,"&gt;="&amp;$A120-1,$A$5:$A119,"&lt;="&amp;$A120,$B$5:$B119,$B120)&gt;0,MIN(1-'Exercise list'!H$2,IF($A120=$A119,AN119,1))-S120&lt;0),-1,MIN(1,IF($A120=$A119,AN119,1)-S120+$D$2))</f>
        <v>1</v>
      </c>
      <c r="AO120">
        <f>IF(OR($J120=1,COUNTIFS($A$5:$A119,"&gt;="&amp;$A120-1,$A$5:$A119,"&lt;="&amp;$A120,$B$5:$B119,$B120)&gt;0,MIN(1-'Exercise list'!I$2,IF($A120=$A119,AO119,1))-T120&lt;0),-1,MIN(1,IF($A120=$A119,AO119,1)-T120+$D$2))</f>
        <v>1</v>
      </c>
      <c r="AP120">
        <f>IF(OR($J120=1,COUNTIFS($A$5:$A119,"&gt;="&amp;$A120-1,$A$5:$A119,"&lt;="&amp;$A120,$B$5:$B119,$B120)&gt;0,MIN(1-'Exercise list'!J$2,IF($A120=$A119,AP119,1))-U120&lt;0),-1,MIN(1,IF($A120=$A119,AP119,1)-U120+$D$2))</f>
        <v>1</v>
      </c>
      <c r="AQ120">
        <f>IF(OR($J120=1,COUNTIFS($A$5:$A119,"&gt;="&amp;$A120-1,$A$5:$A119,"&lt;="&amp;$A120,$B$5:$B119,$B120)&gt;0,MIN(1-'Exercise list'!K$2,IF($A120=$A119,AQ119,1))-V120&lt;0),-1,MIN(1,IF($A120=$A119,AQ119,1)-V120+$D$2))</f>
        <v>1</v>
      </c>
      <c r="AR120">
        <f>IF(OR($J120=1,COUNTIFS($A$5:$A119,"&gt;="&amp;$A120-1,$A$5:$A119,"&lt;="&amp;$A120,$B$5:$B119,$B120)&gt;0,MIN(1-'Exercise list'!L$2,IF($A120=$A119,AR119,1))-W120&lt;0),-1,MIN(1,IF($A120=$A119,AR119,1)-W120+$D$2))</f>
        <v>1</v>
      </c>
      <c r="AS120">
        <f>IF(OR($J120=1,COUNTIFS($A$5:$A119,"&gt;="&amp;$A120-1,$A$5:$A119,"&lt;="&amp;$A120,$B$5:$B119,$B120)&gt;0,MIN(1-'Exercise list'!M$2,IF($A120=$A119,AS119,1))-X120&lt;0),-1,MIN(1,IF($A120=$A119,AS119,1)-X120+$D$2))</f>
        <v>1</v>
      </c>
      <c r="AT120">
        <f>IF(OR($J120=1,COUNTIFS($A$5:$A119,"&gt;="&amp;$A120-1,$A$5:$A119,"&lt;="&amp;$A120,$B$5:$B119,$B120)&gt;0,MIN(1-'Exercise list'!N$2,IF($A120=$A119,AT119,1))-Y120&lt;0),-1,MIN(1,IF($A120=$A119,AT119,1)-Y120+$D$2))</f>
        <v>1</v>
      </c>
      <c r="AU120">
        <f>IF(OR($J120=1,COUNTIFS($A$5:$A119,"&gt;="&amp;$A120-1,$A$5:$A119,"&lt;="&amp;$A120,$B$5:$B119,$B120)&gt;0,MIN(1-'Exercise list'!O$2,IF($A120=$A119,AU119,1))-Z120&lt;0),-1,MIN(1,IF($A120=$A119,AU119,1)-Z120+$D$2))</f>
        <v>1</v>
      </c>
      <c r="AV120">
        <f>IF(OR($J120=1,COUNTIFS($A$5:$A119,"&gt;="&amp;$A120-1,$A$5:$A119,"&lt;="&amp;$A120,$B$5:$B119,$B120)&gt;0,MIN(1-'Exercise list'!P$2,IF($A120=$A119,AV119,1))-AA120&lt;0),-1,MIN(1,IF($A120=$A119,AV119,1)-AA120+$D$2))</f>
        <v>1</v>
      </c>
      <c r="AW120">
        <f>IF(OR($J120=1,COUNTIFS($A$5:$A119,"&gt;="&amp;$A120-1,$A$5:$A119,"&lt;="&amp;$A120,$B$5:$B119,$B120)&gt;0,MIN(1-'Exercise list'!Q$2,IF($A120=$A119,AW119,1))-AB120&lt;0),-1,MIN(1,IF($A120=$A119,AW119,1)-AB120+$D$2))</f>
        <v>1</v>
      </c>
      <c r="AX120">
        <f>IF(OR($J120=1,COUNTIFS($A$5:$A119,"&gt;="&amp;$A120-1,$A$5:$A119,"&lt;="&amp;$A120,$B$5:$B119,$B120)&gt;0,MIN(1-'Exercise list'!R$2,IF($A120=$A119,AX119,1))-AC120&lt;0),-1,MIN(1,IF($A120=$A119,AX119,1)-AC120+$D$2))</f>
        <v>1</v>
      </c>
      <c r="AY120">
        <f>IF(OR($J120=1,COUNTIFS($A$5:$A119,"&gt;="&amp;$A120-1,$A$5:$A119,"&lt;="&amp;$A120,$B$5:$B119,$B120)&gt;0,MIN(1-'Exercise list'!S$2,IF($A120=$A119,AY119,1))-AD120&lt;0),-1,MIN(1,IF($A120=$A119,AY119,1)-AD120+$D$2))</f>
        <v>1</v>
      </c>
      <c r="AZ120">
        <f>IF(OR($J120=1,COUNTIFS($A$5:$A119,"&gt;="&amp;$A120-1,$A$5:$A119,"&lt;="&amp;$A120,$B$5:$B119,$B120)&gt;0,MIN(1-'Exercise list'!T$2,IF($A120=$A119,AZ119,1))-AE120&lt;0),-1,MIN(1,IF($A120=$A119,AZ119,1)-AE120+$D$2))</f>
        <v>1</v>
      </c>
      <c r="BA120">
        <f>IF(OR($J120=1,COUNTIFS($A$5:$A119,"&gt;="&amp;$A120-1,$A$5:$A119,"&lt;="&amp;$A120,$B$5:$B119,$B120)&gt;0,MIN(1-'Exercise list'!U$2,IF($A120=$A119,BA119,1))-AF120&lt;0),-1,MIN(1,IF($A120=$A119,BA119,1)-AF120+$D$2))</f>
        <v>1</v>
      </c>
      <c r="BB120">
        <f>IF(OR($J120=1,COUNTIFS($A$5:$A119,"&gt;="&amp;$A120-1,$A$5:$A119,"&lt;="&amp;$A120,$B$5:$B119,$B120)&gt;0,MIN(1-'Exercise list'!V$2,IF($A120=$A119,BB119,1))-AG120&lt;0),-1,MIN(1,IF($A120=$A119,BB119,1)-AG120+$D$2))</f>
        <v>1</v>
      </c>
      <c r="BC120">
        <f>IF(OR($J120=1,COUNTIFS($A$5:$A119,"&gt;="&amp;$A120-1,$A$5:$A119,"&lt;="&amp;$A120,$B$5:$B119,$B120)&gt;0,MIN(1-'Exercise list'!W$2,IF($A120=$A119,BC119,1))-AH120&lt;0),-1,MIN(1,IF($A120=$A119,BC119,1)-AH120+$D$2))</f>
        <v>1</v>
      </c>
      <c r="BD120">
        <f>IF(OR($J120=1,COUNTIFS($A$5:$A119,"&gt;="&amp;$A120-1,$A$5:$A119,"&lt;="&amp;$A120,$B$5:$B119,$B120)&gt;0,MIN(1-'Exercise list'!X$2,IF($A120=$A119,BD119,1))-AI120&lt;0),-1,MIN(1,IF($A120=$A119,BD119,1)-AI120+$D$2))</f>
        <v>1</v>
      </c>
      <c r="BF120" s="16">
        <f t="shared" si="100"/>
        <v>0.15686666975450059</v>
      </c>
      <c r="BG120" s="16">
        <f t="shared" si="101"/>
        <v>0.24034454270273559</v>
      </c>
      <c r="BH120" s="16">
        <f t="shared" si="102"/>
        <v>0.14959727778535986</v>
      </c>
      <c r="BI120" s="16">
        <f t="shared" si="103"/>
        <v>0.16630613166806374</v>
      </c>
      <c r="BJ120" s="16">
        <f t="shared" si="104"/>
        <v>0.15354610006001682</v>
      </c>
      <c r="BK120" s="16">
        <f t="shared" si="105"/>
        <v>0.14860028057659347</v>
      </c>
      <c r="BL120" s="16">
        <f t="shared" si="106"/>
        <v>0.19738829813214306</v>
      </c>
      <c r="BM120" s="16">
        <f t="shared" si="107"/>
        <v>2.2301212238572458E-2</v>
      </c>
      <c r="BN120" s="16">
        <f t="shared" si="108"/>
        <v>0.12206750102992496</v>
      </c>
      <c r="BO120" s="16">
        <f t="shared" si="109"/>
        <v>0.19597451507226457</v>
      </c>
      <c r="BP120" s="16">
        <f t="shared" si="110"/>
        <v>0.3158871016041388</v>
      </c>
      <c r="BQ120" s="16">
        <f t="shared" si="111"/>
        <v>8.2954698526858051E-2</v>
      </c>
      <c r="BR120" s="16">
        <f t="shared" si="112"/>
        <v>0.14163374696860226</v>
      </c>
      <c r="BS120" s="16">
        <f t="shared" si="113"/>
        <v>3.0947463937050963E-2</v>
      </c>
      <c r="BT120" s="16">
        <f t="shared" si="114"/>
        <v>0.17990758620644051</v>
      </c>
      <c r="BU120" s="16">
        <f t="shared" si="115"/>
        <v>0.17166710272133576</v>
      </c>
      <c r="BV120" s="16">
        <f t="shared" si="116"/>
        <v>0.21351304538128937</v>
      </c>
      <c r="BW120" s="16">
        <f t="shared" si="117"/>
        <v>0.11081278364641083</v>
      </c>
      <c r="BX120" s="16">
        <f t="shared" si="118"/>
        <v>0.10148147421977455</v>
      </c>
      <c r="BY120" s="16">
        <f t="shared" si="119"/>
        <v>5.0978813832238845E-2</v>
      </c>
      <c r="CA120" s="16">
        <f t="shared" si="56"/>
        <v>6.1857504028041271E-2</v>
      </c>
      <c r="CB120" s="16">
        <f t="shared" si="57"/>
        <v>0</v>
      </c>
      <c r="CC120" s="16">
        <f t="shared" si="58"/>
        <v>0</v>
      </c>
      <c r="CD120" s="16">
        <f t="shared" si="59"/>
        <v>0</v>
      </c>
      <c r="CE120" s="16">
        <f t="shared" si="60"/>
        <v>0</v>
      </c>
      <c r="CF120" s="16">
        <f t="shared" si="61"/>
        <v>0.17948598009721933</v>
      </c>
      <c r="CG120" s="16">
        <f t="shared" si="62"/>
        <v>0</v>
      </c>
      <c r="CH120" s="16">
        <f t="shared" si="63"/>
        <v>8.7060874652698475E-2</v>
      </c>
      <c r="CI120" s="16">
        <f t="shared" si="64"/>
        <v>9.6656672752616898E-2</v>
      </c>
      <c r="CJ120" s="16">
        <f t="shared" si="65"/>
        <v>0</v>
      </c>
      <c r="CK120" s="16">
        <f t="shared" si="66"/>
        <v>0</v>
      </c>
      <c r="CL120" s="16">
        <f t="shared" si="67"/>
        <v>2.6407388364412879E-2</v>
      </c>
      <c r="CM120" s="16">
        <f t="shared" si="68"/>
        <v>7.70904268139396E-2</v>
      </c>
      <c r="CN120" s="16">
        <f t="shared" si="69"/>
        <v>7.841462295421997E-2</v>
      </c>
      <c r="CO120" s="16">
        <f t="shared" si="70"/>
        <v>0</v>
      </c>
      <c r="CP120" s="16">
        <f t="shared" si="71"/>
        <v>0</v>
      </c>
      <c r="CQ120" s="16">
        <f t="shared" si="72"/>
        <v>5.211128401252485E-3</v>
      </c>
      <c r="CR120" s="16">
        <f t="shared" si="73"/>
        <v>0</v>
      </c>
      <c r="CS120" s="16">
        <f t="shared" si="74"/>
        <v>7.8806126714963814E-3</v>
      </c>
      <c r="CT120" s="16">
        <f t="shared" si="75"/>
        <v>5.8383273059032084E-2</v>
      </c>
    </row>
    <row r="121" spans="1:99" x14ac:dyDescent="0.25">
      <c r="A121" s="13">
        <v>45083</v>
      </c>
      <c r="B121" s="14">
        <v>59</v>
      </c>
      <c r="C121" s="15" t="str" cm="1">
        <f t="array" ref="C121">IF(B121="","",INDEX('Exercise list'!$C$5:$C$102,B121))</f>
        <v>Triceps dips</v>
      </c>
      <c r="D121" s="12">
        <f t="shared" si="97"/>
        <v>1</v>
      </c>
      <c r="E121" s="107">
        <f t="shared" si="120"/>
        <v>0</v>
      </c>
      <c r="F121" s="63" cm="1">
        <f t="array" ref="F121">IF(B121="","",0.1+IFERROR(INDEX($F$6:$F120,SUMPRODUCT(MAX(ROW($C$6:$C120)*($C121=$C$6:$C120))-ROW($A$5)))*0.9^($A121-INDEX($A$6:A120,SUMPRODUCT(MAX(ROW($C$6:$C120)*($C121=$C$6:$C120))-ROW($A$5)))),0))</f>
        <v>0.18446765828329004</v>
      </c>
      <c r="G121" s="64">
        <f>INDEX('Exercise list'!$Y$5:$Y$102,MATCH(C121,'Exercise list'!$C$5:$C$102,0))</f>
        <v>2</v>
      </c>
      <c r="H121" s="115">
        <f t="shared" si="98"/>
        <v>5.7830535264261428E-2</v>
      </c>
      <c r="I121" s="6">
        <f t="shared" si="99"/>
        <v>3</v>
      </c>
      <c r="J121" s="6" cm="1">
        <f t="array" ref="J121">IF(B121="","",INDEX('Exercise list'!$D$5:$D$102,B121))</f>
        <v>0</v>
      </c>
      <c r="K121" s="12">
        <v>31</v>
      </c>
      <c r="L121" s="74" t="str" cm="1">
        <f t="array" ref="L121">IF(K121="","",INDEX('Exercise list'!$C$5:$C$102,K121))</f>
        <v>Weighted decline crunches</v>
      </c>
      <c r="M121" s="6">
        <v>26</v>
      </c>
      <c r="N121" s="75" t="str" cm="1">
        <f t="array" ref="N121">IF(M121="","",INDEX('Exercise list'!$C$5:$C$102,M121))</f>
        <v>Dumbbell incline bench presses</v>
      </c>
      <c r="P121">
        <f>IFERROR(INDEX('Exercise list'!$E$5:$X$102,MATCH($C121,'Exercise list'!$C$5:$C$102,0),MATCH(P$5,'Exercise list'!$E$4:$X$4,0)),0)</f>
        <v>0.5</v>
      </c>
      <c r="Q121">
        <f>IFERROR(INDEX('Exercise list'!$E$5:$X$102,MATCH($C121,'Exercise list'!$C$5:$C$102,0),MATCH(Q$5,'Exercise list'!$E$4:$X$4,0)),0)</f>
        <v>0</v>
      </c>
      <c r="R121">
        <f>IFERROR(INDEX('Exercise list'!$E$5:$X$102,MATCH($C121,'Exercise list'!$C$5:$C$102,0),MATCH(R$5,'Exercise list'!$E$4:$X$4,0)),0)</f>
        <v>0</v>
      </c>
      <c r="S121">
        <f>IFERROR(INDEX('Exercise list'!$E$5:$X$102,MATCH($C121,'Exercise list'!$C$5:$C$102,0),MATCH(S$5,'Exercise list'!$E$4:$X$4,0)),0)</f>
        <v>0</v>
      </c>
      <c r="T121">
        <f>IFERROR(INDEX('Exercise list'!$E$5:$X$102,MATCH($C121,'Exercise list'!$C$5:$C$102,0),MATCH(T$5,'Exercise list'!$E$4:$X$4,0)),0)</f>
        <v>0</v>
      </c>
      <c r="U121">
        <f>IFERROR(INDEX('Exercise list'!$E$5:$X$102,MATCH($C121,'Exercise list'!$C$5:$C$102,0),MATCH(U$5,'Exercise list'!$E$4:$X$4,0)),0)</f>
        <v>0</v>
      </c>
      <c r="V121">
        <f>IFERROR(INDEX('Exercise list'!$E$5:$X$102,MATCH($C121,'Exercise list'!$C$5:$C$102,0),MATCH(V$5,'Exercise list'!$E$4:$X$4,0)),0)</f>
        <v>0</v>
      </c>
      <c r="W121">
        <f>IFERROR(INDEX('Exercise list'!$E$5:$X$102,MATCH($C121,'Exercise list'!$C$5:$C$102,0),MATCH(W$5,'Exercise list'!$E$4:$X$4,0)),0)</f>
        <v>0</v>
      </c>
      <c r="X121">
        <f>IFERROR(INDEX('Exercise list'!$E$5:$X$102,MATCH($C121,'Exercise list'!$C$5:$C$102,0),MATCH(X$5,'Exercise list'!$E$4:$X$4,0)),0)</f>
        <v>0</v>
      </c>
      <c r="Y121">
        <f>IFERROR(INDEX('Exercise list'!$E$5:$X$102,MATCH($C121,'Exercise list'!$C$5:$C$102,0),MATCH(Y$5,'Exercise list'!$E$4:$X$4,0)),0)</f>
        <v>1</v>
      </c>
      <c r="Z121">
        <f>IFERROR(INDEX('Exercise list'!$E$5:$X$102,MATCH($C121,'Exercise list'!$C$5:$C$102,0),MATCH(Z$5,'Exercise list'!$E$4:$X$4,0)),0)</f>
        <v>0</v>
      </c>
      <c r="AA121">
        <f>IFERROR(INDEX('Exercise list'!$E$5:$X$102,MATCH($C121,'Exercise list'!$C$5:$C$102,0),MATCH(AA$5,'Exercise list'!$E$4:$X$4,0)),0)</f>
        <v>0</v>
      </c>
      <c r="AB121">
        <f>IFERROR(INDEX('Exercise list'!$E$5:$X$102,MATCH($C121,'Exercise list'!$C$5:$C$102,0),MATCH(AB$5,'Exercise list'!$E$4:$X$4,0)),0)</f>
        <v>0</v>
      </c>
      <c r="AC121">
        <f>IFERROR(INDEX('Exercise list'!$E$5:$X$102,MATCH($C121,'Exercise list'!$C$5:$C$102,0),MATCH(AC$5,'Exercise list'!$E$4:$X$4,0)),0)</f>
        <v>0</v>
      </c>
      <c r="AD121">
        <f>IFERROR(INDEX('Exercise list'!$E$5:$X$102,MATCH($C121,'Exercise list'!$C$5:$C$102,0),MATCH(AD$5,'Exercise list'!$E$4:$X$4,0)),0)</f>
        <v>0</v>
      </c>
      <c r="AE121">
        <f>IFERROR(INDEX('Exercise list'!$E$5:$X$102,MATCH($C121,'Exercise list'!$C$5:$C$102,0),MATCH(AE$5,'Exercise list'!$E$4:$X$4,0)),0)</f>
        <v>0</v>
      </c>
      <c r="AF121">
        <f>IFERROR(INDEX('Exercise list'!$E$5:$X$102,MATCH($C121,'Exercise list'!$C$5:$C$102,0),MATCH(AF$5,'Exercise list'!$E$4:$X$4,0)),0)</f>
        <v>0</v>
      </c>
      <c r="AG121">
        <f>IFERROR(INDEX('Exercise list'!$E$5:$X$102,MATCH($C121,'Exercise list'!$C$5:$C$102,0),MATCH(AG$5,'Exercise list'!$E$4:$X$4,0)),0)</f>
        <v>0</v>
      </c>
      <c r="AH121">
        <f>IFERROR(INDEX('Exercise list'!$E$5:$X$102,MATCH($C121,'Exercise list'!$C$5:$C$102,0),MATCH(AH$5,'Exercise list'!$E$4:$X$4,0)),0)</f>
        <v>0</v>
      </c>
      <c r="AI121">
        <f>IFERROR(INDEX('Exercise list'!$E$5:$X$102,MATCH($C121,'Exercise list'!$C$5:$C$102,0),MATCH(AI$5,'Exercise list'!$E$4:$X$4,0)),0)</f>
        <v>0</v>
      </c>
      <c r="AK121">
        <f>IF(OR($J121=1,COUNTIFS($A$5:$A120,"&gt;="&amp;$A121-1,$A$5:$A120,"&lt;="&amp;$A121,$B$5:$B120,$B121)&gt;0,MIN(1-'Exercise list'!E$2,IF($A121=$A120,AK120,1))-P121&lt;0),-1,MIN(1,IF($A121=$A120,AK120,1)-P121+$D$2))</f>
        <v>1</v>
      </c>
      <c r="AL121">
        <f>IF(OR($J121=1,COUNTIFS($A$5:$A120,"&gt;="&amp;$A121-1,$A$5:$A120,"&lt;="&amp;$A121,$B$5:$B120,$B121)&gt;0,MIN(1-'Exercise list'!F$2,IF($A121=$A120,AL120,1))-Q121&lt;0),-1,MIN(1,IF($A121=$A120,AL120,1)-Q121+$D$2))</f>
        <v>1</v>
      </c>
      <c r="AM121">
        <f>IF(OR($J121=1,COUNTIFS($A$5:$A120,"&gt;="&amp;$A121-1,$A$5:$A120,"&lt;="&amp;$A121,$B$5:$B120,$B121)&gt;0,MIN(1-'Exercise list'!G$2,IF($A121=$A120,AM120,1))-R121&lt;0),-1,MIN(1,IF($A121=$A120,AM120,1)-R121+$D$2))</f>
        <v>1</v>
      </c>
      <c r="AN121">
        <f>IF(OR($J121=1,COUNTIFS($A$5:$A120,"&gt;="&amp;$A121-1,$A$5:$A120,"&lt;="&amp;$A121,$B$5:$B120,$B121)&gt;0,MIN(1-'Exercise list'!H$2,IF($A121=$A120,AN120,1))-S121&lt;0),-1,MIN(1,IF($A121=$A120,AN120,1)-S121+$D$2))</f>
        <v>1</v>
      </c>
      <c r="AO121">
        <f>IF(OR($J121=1,COUNTIFS($A$5:$A120,"&gt;="&amp;$A121-1,$A$5:$A120,"&lt;="&amp;$A121,$B$5:$B120,$B121)&gt;0,MIN(1-'Exercise list'!I$2,IF($A121=$A120,AO120,1))-T121&lt;0),-1,MIN(1,IF($A121=$A120,AO120,1)-T121+$D$2))</f>
        <v>1</v>
      </c>
      <c r="AP121">
        <f>IF(OR($J121=1,COUNTIFS($A$5:$A120,"&gt;="&amp;$A121-1,$A$5:$A120,"&lt;="&amp;$A121,$B$5:$B120,$B121)&gt;0,MIN(1-'Exercise list'!J$2,IF($A121=$A120,AP120,1))-U121&lt;0),-1,MIN(1,IF($A121=$A120,AP120,1)-U121+$D$2))</f>
        <v>1</v>
      </c>
      <c r="AQ121">
        <f>IF(OR($J121=1,COUNTIFS($A$5:$A120,"&gt;="&amp;$A121-1,$A$5:$A120,"&lt;="&amp;$A121,$B$5:$B120,$B121)&gt;0,MIN(1-'Exercise list'!K$2,IF($A121=$A120,AQ120,1))-V121&lt;0),-1,MIN(1,IF($A121=$A120,AQ120,1)-V121+$D$2))</f>
        <v>1</v>
      </c>
      <c r="AR121">
        <f>IF(OR($J121=1,COUNTIFS($A$5:$A120,"&gt;="&amp;$A121-1,$A$5:$A120,"&lt;="&amp;$A121,$B$5:$B120,$B121)&gt;0,MIN(1-'Exercise list'!L$2,IF($A121=$A120,AR120,1))-W121&lt;0),-1,MIN(1,IF($A121=$A120,AR120,1)-W121+$D$2))</f>
        <v>1</v>
      </c>
      <c r="AS121">
        <f>IF(OR($J121=1,COUNTIFS($A$5:$A120,"&gt;="&amp;$A121-1,$A$5:$A120,"&lt;="&amp;$A121,$B$5:$B120,$B121)&gt;0,MIN(1-'Exercise list'!M$2,IF($A121=$A120,AS120,1))-X121&lt;0),-1,MIN(1,IF($A121=$A120,AS120,1)-X121+$D$2))</f>
        <v>1</v>
      </c>
      <c r="AT121">
        <f>IF(OR($J121=1,COUNTIFS($A$5:$A120,"&gt;="&amp;$A121-1,$A$5:$A120,"&lt;="&amp;$A121,$B$5:$B120,$B121)&gt;0,MIN(1-'Exercise list'!N$2,IF($A121=$A120,AT120,1))-Y121&lt;0),-1,MIN(1,IF($A121=$A120,AT120,1)-Y121+$D$2))</f>
        <v>1</v>
      </c>
      <c r="AU121">
        <f>IF(OR($J121=1,COUNTIFS($A$5:$A120,"&gt;="&amp;$A121-1,$A$5:$A120,"&lt;="&amp;$A121,$B$5:$B120,$B121)&gt;0,MIN(1-'Exercise list'!O$2,IF($A121=$A120,AU120,1))-Z121&lt;0),-1,MIN(1,IF($A121=$A120,AU120,1)-Z121+$D$2))</f>
        <v>1</v>
      </c>
      <c r="AV121">
        <f>IF(OR($J121=1,COUNTIFS($A$5:$A120,"&gt;="&amp;$A121-1,$A$5:$A120,"&lt;="&amp;$A121,$B$5:$B120,$B121)&gt;0,MIN(1-'Exercise list'!P$2,IF($A121=$A120,AV120,1))-AA121&lt;0),-1,MIN(1,IF($A121=$A120,AV120,1)-AA121+$D$2))</f>
        <v>1</v>
      </c>
      <c r="AW121">
        <f>IF(OR($J121=1,COUNTIFS($A$5:$A120,"&gt;="&amp;$A121-1,$A$5:$A120,"&lt;="&amp;$A121,$B$5:$B120,$B121)&gt;0,MIN(1-'Exercise list'!Q$2,IF($A121=$A120,AW120,1))-AB121&lt;0),-1,MIN(1,IF($A121=$A120,AW120,1)-AB121+$D$2))</f>
        <v>1</v>
      </c>
      <c r="AX121">
        <f>IF(OR($J121=1,COUNTIFS($A$5:$A120,"&gt;="&amp;$A121-1,$A$5:$A120,"&lt;="&amp;$A121,$B$5:$B120,$B121)&gt;0,MIN(1-'Exercise list'!R$2,IF($A121=$A120,AX120,1))-AC121&lt;0),-1,MIN(1,IF($A121=$A120,AX120,1)-AC121+$D$2))</f>
        <v>1</v>
      </c>
      <c r="AY121">
        <f>IF(OR($J121=1,COUNTIFS($A$5:$A120,"&gt;="&amp;$A121-1,$A$5:$A120,"&lt;="&amp;$A121,$B$5:$B120,$B121)&gt;0,MIN(1-'Exercise list'!S$2,IF($A121=$A120,AY120,1))-AD121&lt;0),-1,MIN(1,IF($A121=$A120,AY120,1)-AD121+$D$2))</f>
        <v>1</v>
      </c>
      <c r="AZ121">
        <f>IF(OR($J121=1,COUNTIFS($A$5:$A120,"&gt;="&amp;$A121-1,$A$5:$A120,"&lt;="&amp;$A121,$B$5:$B120,$B121)&gt;0,MIN(1-'Exercise list'!T$2,IF($A121=$A120,AZ120,1))-AE121&lt;0),-1,MIN(1,IF($A121=$A120,AZ120,1)-AE121+$D$2))</f>
        <v>1</v>
      </c>
      <c r="BA121">
        <f>IF(OR($J121=1,COUNTIFS($A$5:$A120,"&gt;="&amp;$A121-1,$A$5:$A120,"&lt;="&amp;$A121,$B$5:$B120,$B121)&gt;0,MIN(1-'Exercise list'!U$2,IF($A121=$A120,BA120,1))-AF121&lt;0),-1,MIN(1,IF($A121=$A120,BA120,1)-AF121+$D$2))</f>
        <v>1</v>
      </c>
      <c r="BB121">
        <f>IF(OR($J121=1,COUNTIFS($A$5:$A120,"&gt;="&amp;$A121-1,$A$5:$A120,"&lt;="&amp;$A121,$B$5:$B120,$B121)&gt;0,MIN(1-'Exercise list'!V$2,IF($A121=$A120,BB120,1))-AG121&lt;0),-1,MIN(1,IF($A121=$A120,BB120,1)-AG121+$D$2))</f>
        <v>1</v>
      </c>
      <c r="BC121">
        <f>IF(OR($J121=1,COUNTIFS($A$5:$A120,"&gt;="&amp;$A121-1,$A$5:$A120,"&lt;="&amp;$A121,$B$5:$B120,$B121)&gt;0,MIN(1-'Exercise list'!W$2,IF($A121=$A120,BC120,1))-AH121&lt;0),-1,MIN(1,IF($A121=$A120,BC120,1)-AH121+$D$2))</f>
        <v>1</v>
      </c>
      <c r="BD121">
        <f>IF(OR($J121=1,COUNTIFS($A$5:$A120,"&gt;="&amp;$A121-1,$A$5:$A120,"&lt;="&amp;$A121,$B$5:$B120,$B121)&gt;0,MIN(1-'Exercise list'!X$2,IF($A121=$A120,BD120,1))-AI121&lt;0),-1,MIN(1,IF($A121=$A120,BD120,1)-AI121+$D$2))</f>
        <v>1</v>
      </c>
      <c r="BF121" s="16">
        <f t="shared" si="100"/>
        <v>0.17402333626677555</v>
      </c>
      <c r="BG121" s="16">
        <f t="shared" si="101"/>
        <v>0.2283273155675988</v>
      </c>
      <c r="BH121" s="16">
        <f t="shared" si="102"/>
        <v>0.14211741389609187</v>
      </c>
      <c r="BI121" s="16">
        <f t="shared" si="103"/>
        <v>0.15799082508466056</v>
      </c>
      <c r="BJ121" s="16">
        <f t="shared" si="104"/>
        <v>0.14586879505701597</v>
      </c>
      <c r="BK121" s="16">
        <f t="shared" si="105"/>
        <v>0.1411702665477638</v>
      </c>
      <c r="BL121" s="16">
        <f t="shared" si="106"/>
        <v>0.18751888322553589</v>
      </c>
      <c r="BM121" s="16">
        <f t="shared" si="107"/>
        <v>2.1186151626643834E-2</v>
      </c>
      <c r="BN121" s="16">
        <f t="shared" si="108"/>
        <v>0.1159641259784287</v>
      </c>
      <c r="BO121" s="16">
        <f t="shared" si="109"/>
        <v>0.23617578931865135</v>
      </c>
      <c r="BP121" s="16">
        <f t="shared" si="110"/>
        <v>0.30009274652393186</v>
      </c>
      <c r="BQ121" s="16">
        <f t="shared" si="111"/>
        <v>7.8806963600515145E-2</v>
      </c>
      <c r="BR121" s="16">
        <f t="shared" si="112"/>
        <v>0.13455205962017214</v>
      </c>
      <c r="BS121" s="16">
        <f t="shared" si="113"/>
        <v>2.9400090740198413E-2</v>
      </c>
      <c r="BT121" s="16">
        <f t="shared" si="114"/>
        <v>0.17091220689611847</v>
      </c>
      <c r="BU121" s="16">
        <f t="shared" si="115"/>
        <v>0.16308374758526897</v>
      </c>
      <c r="BV121" s="16">
        <f t="shared" si="116"/>
        <v>0.2028373931122249</v>
      </c>
      <c r="BW121" s="16">
        <f t="shared" si="117"/>
        <v>0.10527214446409028</v>
      </c>
      <c r="BX121" s="16">
        <f t="shared" si="118"/>
        <v>9.6407400508785809E-2</v>
      </c>
      <c r="BY121" s="16">
        <f t="shared" si="119"/>
        <v>4.8429873140626897E-2</v>
      </c>
      <c r="CA121" s="16">
        <f t="shared" si="56"/>
        <v>3.9320184382194812E-2</v>
      </c>
      <c r="CB121" s="16">
        <f t="shared" si="57"/>
        <v>0</v>
      </c>
      <c r="CC121" s="16">
        <f t="shared" si="58"/>
        <v>0</v>
      </c>
      <c r="CD121" s="16">
        <f t="shared" si="59"/>
        <v>0</v>
      </c>
      <c r="CE121" s="16">
        <f t="shared" si="60"/>
        <v>0</v>
      </c>
      <c r="CF121" s="16">
        <f t="shared" si="61"/>
        <v>0.17884501442569176</v>
      </c>
      <c r="CG121" s="16">
        <f t="shared" si="62"/>
        <v>0</v>
      </c>
      <c r="CH121" s="16">
        <f t="shared" si="63"/>
        <v>8.5485608697841345E-2</v>
      </c>
      <c r="CI121" s="16">
        <f t="shared" si="64"/>
        <v>9.7379394670541658E-2</v>
      </c>
      <c r="CJ121" s="16">
        <f t="shared" si="65"/>
        <v>0</v>
      </c>
      <c r="CK121" s="16">
        <f t="shared" si="66"/>
        <v>0</v>
      </c>
      <c r="CL121" s="16">
        <f t="shared" si="67"/>
        <v>2.7864796723970034E-2</v>
      </c>
      <c r="CM121" s="16">
        <f t="shared" si="68"/>
        <v>7.8791461028798221E-2</v>
      </c>
      <c r="CN121" s="16">
        <f t="shared" si="69"/>
        <v>7.7271669584286773E-2</v>
      </c>
      <c r="CO121" s="16">
        <f t="shared" si="70"/>
        <v>0</v>
      </c>
      <c r="CP121" s="16">
        <f t="shared" si="71"/>
        <v>0</v>
      </c>
      <c r="CQ121" s="16">
        <f t="shared" si="72"/>
        <v>1.0506127536745458E-2</v>
      </c>
      <c r="CR121" s="16">
        <f t="shared" si="73"/>
        <v>1.399615860394901E-3</v>
      </c>
      <c r="CS121" s="16">
        <f t="shared" si="74"/>
        <v>1.026435981569937E-2</v>
      </c>
      <c r="CT121" s="16">
        <f t="shared" si="75"/>
        <v>5.8241887183858282E-2</v>
      </c>
    </row>
    <row r="122" spans="1:99" x14ac:dyDescent="0.25">
      <c r="A122" s="13">
        <v>45083</v>
      </c>
      <c r="B122" s="14">
        <v>14</v>
      </c>
      <c r="C122" s="15" t="str" cm="1">
        <f t="array" ref="C122">IF(B122="","",INDEX('Exercise list'!$C$5:$C$102,B122))</f>
        <v>Machine seated rows</v>
      </c>
      <c r="D122" s="12">
        <f t="shared" si="97"/>
        <v>-1</v>
      </c>
      <c r="E122" s="107">
        <f t="shared" si="120"/>
        <v>0</v>
      </c>
      <c r="F122" s="63" cm="1">
        <f t="array" ref="F122">IF(B122="","",0.1+IFERROR(INDEX($F$6:$F121,SUMPRODUCT(MAX(ROW($C$6:$C121)*($C122=$C$6:$C121))-ROW($A$5)))*0.9^($A122-INDEX($A$6:A121,SUMPRODUCT(MAX(ROW($C$6:$C121)*($C122=$C$6:$C121))-ROW($A$5)))),0))</f>
        <v>0.18192579245496104</v>
      </c>
      <c r="G122" s="64">
        <f>INDEX('Exercise list'!$Y$5:$Y$102,MATCH(C122,'Exercise list'!$C$5:$C$102,0))</f>
        <v>2</v>
      </c>
      <c r="H122" s="115">
        <f t="shared" si="98"/>
        <v>5.9755719424008688E-2</v>
      </c>
      <c r="I122" s="6">
        <f t="shared" si="99"/>
        <v>4</v>
      </c>
      <c r="J122" s="6" cm="1">
        <f t="array" ref="J122">IF(B122="","",INDEX('Exercise list'!$D$5:$D$102,B122))</f>
        <v>1</v>
      </c>
      <c r="K122" s="12">
        <v>31</v>
      </c>
      <c r="L122" s="74" t="str" cm="1">
        <f t="array" ref="L122">IF(K122="","",INDEX('Exercise list'!$C$5:$C$102,K122))</f>
        <v>Weighted decline crunches</v>
      </c>
      <c r="M122" s="6">
        <v>10</v>
      </c>
      <c r="N122" s="75" t="str" cm="1">
        <f t="array" ref="N122">IF(M122="","",INDEX('Exercise list'!$C$5:$C$102,M122))</f>
        <v>Cable seated rows</v>
      </c>
      <c r="P122">
        <f>IFERROR(INDEX('Exercise list'!$E$5:$X$102,MATCH($C122,'Exercise list'!$C$5:$C$102,0),MATCH(P$5,'Exercise list'!$E$4:$X$4,0)),0)</f>
        <v>0</v>
      </c>
      <c r="Q122">
        <f>IFERROR(INDEX('Exercise list'!$E$5:$X$102,MATCH($C122,'Exercise list'!$C$5:$C$102,0),MATCH(Q$5,'Exercise list'!$E$4:$X$4,0)),0)</f>
        <v>1</v>
      </c>
      <c r="R122">
        <f>IFERROR(INDEX('Exercise list'!$E$5:$X$102,MATCH($C122,'Exercise list'!$C$5:$C$102,0),MATCH(R$5,'Exercise list'!$E$4:$X$4,0)),0)</f>
        <v>0.6</v>
      </c>
      <c r="S122">
        <f>IFERROR(INDEX('Exercise list'!$E$5:$X$102,MATCH($C122,'Exercise list'!$C$5:$C$102,0),MATCH(S$5,'Exercise list'!$E$4:$X$4,0)),0)</f>
        <v>0.7</v>
      </c>
      <c r="T122">
        <f>IFERROR(INDEX('Exercise list'!$E$5:$X$102,MATCH($C122,'Exercise list'!$C$5:$C$102,0),MATCH(T$5,'Exercise list'!$E$4:$X$4,0)),0)</f>
        <v>0</v>
      </c>
      <c r="U122">
        <f>IFERROR(INDEX('Exercise list'!$E$5:$X$102,MATCH($C122,'Exercise list'!$C$5:$C$102,0),MATCH(U$5,'Exercise list'!$E$4:$X$4,0)),0)</f>
        <v>0</v>
      </c>
      <c r="V122">
        <f>IFERROR(INDEX('Exercise list'!$E$5:$X$102,MATCH($C122,'Exercise list'!$C$5:$C$102,0),MATCH(V$5,'Exercise list'!$E$4:$X$4,0)),0)</f>
        <v>0</v>
      </c>
      <c r="W122">
        <f>IFERROR(INDEX('Exercise list'!$E$5:$X$102,MATCH($C122,'Exercise list'!$C$5:$C$102,0),MATCH(W$5,'Exercise list'!$E$4:$X$4,0)),0)</f>
        <v>0</v>
      </c>
      <c r="X122">
        <f>IFERROR(INDEX('Exercise list'!$E$5:$X$102,MATCH($C122,'Exercise list'!$C$5:$C$102,0),MATCH(X$5,'Exercise list'!$E$4:$X$4,0)),0)</f>
        <v>0.5</v>
      </c>
      <c r="Y122">
        <f>IFERROR(INDEX('Exercise list'!$E$5:$X$102,MATCH($C122,'Exercise list'!$C$5:$C$102,0),MATCH(Y$5,'Exercise list'!$E$4:$X$4,0)),0)</f>
        <v>0</v>
      </c>
      <c r="Z122">
        <f>IFERROR(INDEX('Exercise list'!$E$5:$X$102,MATCH($C122,'Exercise list'!$C$5:$C$102,0),MATCH(Z$5,'Exercise list'!$E$4:$X$4,0)),0)</f>
        <v>0.5</v>
      </c>
      <c r="AA122">
        <f>IFERROR(INDEX('Exercise list'!$E$5:$X$102,MATCH($C122,'Exercise list'!$C$5:$C$102,0),MATCH(AA$5,'Exercise list'!$E$4:$X$4,0)),0)</f>
        <v>0</v>
      </c>
      <c r="AB122">
        <f>IFERROR(INDEX('Exercise list'!$E$5:$X$102,MATCH($C122,'Exercise list'!$C$5:$C$102,0),MATCH(AB$5,'Exercise list'!$E$4:$X$4,0)),0)</f>
        <v>0</v>
      </c>
      <c r="AC122">
        <f>IFERROR(INDEX('Exercise list'!$E$5:$X$102,MATCH($C122,'Exercise list'!$C$5:$C$102,0),MATCH(AC$5,'Exercise list'!$E$4:$X$4,0)),0)</f>
        <v>0</v>
      </c>
      <c r="AD122">
        <f>IFERROR(INDEX('Exercise list'!$E$5:$X$102,MATCH($C122,'Exercise list'!$C$5:$C$102,0),MATCH(AD$5,'Exercise list'!$E$4:$X$4,0)),0)</f>
        <v>0</v>
      </c>
      <c r="AE122">
        <f>IFERROR(INDEX('Exercise list'!$E$5:$X$102,MATCH($C122,'Exercise list'!$C$5:$C$102,0),MATCH(AE$5,'Exercise list'!$E$4:$X$4,0)),0)</f>
        <v>0</v>
      </c>
      <c r="AF122">
        <f>IFERROR(INDEX('Exercise list'!$E$5:$X$102,MATCH($C122,'Exercise list'!$C$5:$C$102,0),MATCH(AF$5,'Exercise list'!$E$4:$X$4,0)),0)</f>
        <v>0</v>
      </c>
      <c r="AG122">
        <f>IFERROR(INDEX('Exercise list'!$E$5:$X$102,MATCH($C122,'Exercise list'!$C$5:$C$102,0),MATCH(AG$5,'Exercise list'!$E$4:$X$4,0)),0)</f>
        <v>0</v>
      </c>
      <c r="AH122">
        <f>IFERROR(INDEX('Exercise list'!$E$5:$X$102,MATCH($C122,'Exercise list'!$C$5:$C$102,0),MATCH(AH$5,'Exercise list'!$E$4:$X$4,0)),0)</f>
        <v>0</v>
      </c>
      <c r="AI122">
        <f>IFERROR(INDEX('Exercise list'!$E$5:$X$102,MATCH($C122,'Exercise list'!$C$5:$C$102,0),MATCH(AI$5,'Exercise list'!$E$4:$X$4,0)),0)</f>
        <v>0</v>
      </c>
      <c r="AK122">
        <f>IF(OR($J122=1,COUNTIFS($A$5:$A121,"&gt;="&amp;$A122-1,$A$5:$A121,"&lt;="&amp;$A122,$B$5:$B121,$B122)&gt;0,MIN(1-'Exercise list'!E$2,IF($A122=$A121,AK121,1))-P122&lt;0),-1,MIN(1,IF($A122=$A121,AK121,1)-P122+$D$2))</f>
        <v>-1</v>
      </c>
      <c r="AL122">
        <f>IF(OR($J122=1,COUNTIFS($A$5:$A121,"&gt;="&amp;$A122-1,$A$5:$A121,"&lt;="&amp;$A122,$B$5:$B121,$B122)&gt;0,MIN(1-'Exercise list'!F$2,IF($A122=$A121,AL121,1))-Q122&lt;0),-1,MIN(1,IF($A122=$A121,AL121,1)-Q122+$D$2))</f>
        <v>-1</v>
      </c>
      <c r="AM122">
        <f>IF(OR($J122=1,COUNTIFS($A$5:$A121,"&gt;="&amp;$A122-1,$A$5:$A121,"&lt;="&amp;$A122,$B$5:$B121,$B122)&gt;0,MIN(1-'Exercise list'!G$2,IF($A122=$A121,AM121,1))-R122&lt;0),-1,MIN(1,IF($A122=$A121,AM121,1)-R122+$D$2))</f>
        <v>-1</v>
      </c>
      <c r="AN122">
        <f>IF(OR($J122=1,COUNTIFS($A$5:$A121,"&gt;="&amp;$A122-1,$A$5:$A121,"&lt;="&amp;$A122,$B$5:$B121,$B122)&gt;0,MIN(1-'Exercise list'!H$2,IF($A122=$A121,AN121,1))-S122&lt;0),-1,MIN(1,IF($A122=$A121,AN121,1)-S122+$D$2))</f>
        <v>-1</v>
      </c>
      <c r="AO122">
        <f>IF(OR($J122=1,COUNTIFS($A$5:$A121,"&gt;="&amp;$A122-1,$A$5:$A121,"&lt;="&amp;$A122,$B$5:$B121,$B122)&gt;0,MIN(1-'Exercise list'!I$2,IF($A122=$A121,AO121,1))-T122&lt;0),-1,MIN(1,IF($A122=$A121,AO121,1)-T122+$D$2))</f>
        <v>-1</v>
      </c>
      <c r="AP122">
        <f>IF(OR($J122=1,COUNTIFS($A$5:$A121,"&gt;="&amp;$A122-1,$A$5:$A121,"&lt;="&amp;$A122,$B$5:$B121,$B122)&gt;0,MIN(1-'Exercise list'!J$2,IF($A122=$A121,AP121,1))-U122&lt;0),-1,MIN(1,IF($A122=$A121,AP121,1)-U122+$D$2))</f>
        <v>-1</v>
      </c>
      <c r="AQ122">
        <f>IF(OR($J122=1,COUNTIFS($A$5:$A121,"&gt;="&amp;$A122-1,$A$5:$A121,"&lt;="&amp;$A122,$B$5:$B121,$B122)&gt;0,MIN(1-'Exercise list'!K$2,IF($A122=$A121,AQ121,1))-V122&lt;0),-1,MIN(1,IF($A122=$A121,AQ121,1)-V122+$D$2))</f>
        <v>-1</v>
      </c>
      <c r="AR122">
        <f>IF(OR($J122=1,COUNTIFS($A$5:$A121,"&gt;="&amp;$A122-1,$A$5:$A121,"&lt;="&amp;$A122,$B$5:$B121,$B122)&gt;0,MIN(1-'Exercise list'!L$2,IF($A122=$A121,AR121,1))-W122&lt;0),-1,MIN(1,IF($A122=$A121,AR121,1)-W122+$D$2))</f>
        <v>-1</v>
      </c>
      <c r="AS122">
        <f>IF(OR($J122=1,COUNTIFS($A$5:$A121,"&gt;="&amp;$A122-1,$A$5:$A121,"&lt;="&amp;$A122,$B$5:$B121,$B122)&gt;0,MIN(1-'Exercise list'!M$2,IF($A122=$A121,AS121,1))-X122&lt;0),-1,MIN(1,IF($A122=$A121,AS121,1)-X122+$D$2))</f>
        <v>-1</v>
      </c>
      <c r="AT122">
        <f>IF(OR($J122=1,COUNTIFS($A$5:$A121,"&gt;="&amp;$A122-1,$A$5:$A121,"&lt;="&amp;$A122,$B$5:$B121,$B122)&gt;0,MIN(1-'Exercise list'!N$2,IF($A122=$A121,AT121,1))-Y122&lt;0),-1,MIN(1,IF($A122=$A121,AT121,1)-Y122+$D$2))</f>
        <v>-1</v>
      </c>
      <c r="AU122">
        <f>IF(OR($J122=1,COUNTIFS($A$5:$A121,"&gt;="&amp;$A122-1,$A$5:$A121,"&lt;="&amp;$A122,$B$5:$B121,$B122)&gt;0,MIN(1-'Exercise list'!O$2,IF($A122=$A121,AU121,1))-Z122&lt;0),-1,MIN(1,IF($A122=$A121,AU121,1)-Z122+$D$2))</f>
        <v>-1</v>
      </c>
      <c r="AV122">
        <f>IF(OR($J122=1,COUNTIFS($A$5:$A121,"&gt;="&amp;$A122-1,$A$5:$A121,"&lt;="&amp;$A122,$B$5:$B121,$B122)&gt;0,MIN(1-'Exercise list'!P$2,IF($A122=$A121,AV121,1))-AA122&lt;0),-1,MIN(1,IF($A122=$A121,AV121,1)-AA122+$D$2))</f>
        <v>-1</v>
      </c>
      <c r="AW122">
        <f>IF(OR($J122=1,COUNTIFS($A$5:$A121,"&gt;="&amp;$A122-1,$A$5:$A121,"&lt;="&amp;$A122,$B$5:$B121,$B122)&gt;0,MIN(1-'Exercise list'!Q$2,IF($A122=$A121,AW121,1))-AB122&lt;0),-1,MIN(1,IF($A122=$A121,AW121,1)-AB122+$D$2))</f>
        <v>-1</v>
      </c>
      <c r="AX122">
        <f>IF(OR($J122=1,COUNTIFS($A$5:$A121,"&gt;="&amp;$A122-1,$A$5:$A121,"&lt;="&amp;$A122,$B$5:$B121,$B122)&gt;0,MIN(1-'Exercise list'!R$2,IF($A122=$A121,AX121,1))-AC122&lt;0),-1,MIN(1,IF($A122=$A121,AX121,1)-AC122+$D$2))</f>
        <v>-1</v>
      </c>
      <c r="AY122">
        <f>IF(OR($J122=1,COUNTIFS($A$5:$A121,"&gt;="&amp;$A122-1,$A$5:$A121,"&lt;="&amp;$A122,$B$5:$B121,$B122)&gt;0,MIN(1-'Exercise list'!S$2,IF($A122=$A121,AY121,1))-AD122&lt;0),-1,MIN(1,IF($A122=$A121,AY121,1)-AD122+$D$2))</f>
        <v>-1</v>
      </c>
      <c r="AZ122">
        <f>IF(OR($J122=1,COUNTIFS($A$5:$A121,"&gt;="&amp;$A122-1,$A$5:$A121,"&lt;="&amp;$A122,$B$5:$B121,$B122)&gt;0,MIN(1-'Exercise list'!T$2,IF($A122=$A121,AZ121,1))-AE122&lt;0),-1,MIN(1,IF($A122=$A121,AZ121,1)-AE122+$D$2))</f>
        <v>-1</v>
      </c>
      <c r="BA122">
        <f>IF(OR($J122=1,COUNTIFS($A$5:$A121,"&gt;="&amp;$A122-1,$A$5:$A121,"&lt;="&amp;$A122,$B$5:$B121,$B122)&gt;0,MIN(1-'Exercise list'!U$2,IF($A122=$A121,BA121,1))-AF122&lt;0),-1,MIN(1,IF($A122=$A121,BA121,1)-AF122+$D$2))</f>
        <v>-1</v>
      </c>
      <c r="BB122">
        <f>IF(OR($J122=1,COUNTIFS($A$5:$A121,"&gt;="&amp;$A122-1,$A$5:$A121,"&lt;="&amp;$A122,$B$5:$B121,$B122)&gt;0,MIN(1-'Exercise list'!V$2,IF($A122=$A121,BB121,1))-AG122&lt;0),-1,MIN(1,IF($A122=$A121,BB121,1)-AG122+$D$2))</f>
        <v>-1</v>
      </c>
      <c r="BC122">
        <f>IF(OR($J122=1,COUNTIFS($A$5:$A121,"&gt;="&amp;$A122-1,$A$5:$A121,"&lt;="&amp;$A122,$B$5:$B121,$B122)&gt;0,MIN(1-'Exercise list'!W$2,IF($A122=$A121,BC121,1))-AH122&lt;0),-1,MIN(1,IF($A122=$A121,BC121,1)-AH122+$D$2))</f>
        <v>-1</v>
      </c>
      <c r="BD122">
        <f>IF(OR($J122=1,COUNTIFS($A$5:$A121,"&gt;="&amp;$A122-1,$A$5:$A121,"&lt;="&amp;$A122,$B$5:$B121,$B122)&gt;0,MIN(1-'Exercise list'!X$2,IF($A122=$A121,BD121,1))-AI122&lt;0),-1,MIN(1,IF($A122=$A121,BD121,1)-AI122+$D$2))</f>
        <v>-1</v>
      </c>
      <c r="BF122" s="16">
        <f t="shared" si="100"/>
        <v>0.16532216945343675</v>
      </c>
      <c r="BG122" s="16">
        <f t="shared" si="101"/>
        <v>0.26691094978921887</v>
      </c>
      <c r="BH122" s="16">
        <f t="shared" si="102"/>
        <v>0.16501154320128728</v>
      </c>
      <c r="BI122" s="16">
        <f t="shared" si="103"/>
        <v>0.18509128383042753</v>
      </c>
      <c r="BJ122" s="16">
        <f t="shared" si="104"/>
        <v>0.13857535530416518</v>
      </c>
      <c r="BK122" s="16">
        <f t="shared" si="105"/>
        <v>0.13411175322037561</v>
      </c>
      <c r="BL122" s="16">
        <f t="shared" si="106"/>
        <v>0.1781429390642591</v>
      </c>
      <c r="BM122" s="16">
        <f t="shared" si="107"/>
        <v>2.0126844045311641E-2</v>
      </c>
      <c r="BN122" s="16">
        <f t="shared" si="108"/>
        <v>0.13516591967950725</v>
      </c>
      <c r="BO122" s="16">
        <f t="shared" si="109"/>
        <v>0.22436699985271877</v>
      </c>
      <c r="BP122" s="16">
        <f t="shared" si="110"/>
        <v>0.31008810919773527</v>
      </c>
      <c r="BQ122" s="16">
        <f t="shared" si="111"/>
        <v>7.4866615420489391E-2</v>
      </c>
      <c r="BR122" s="16">
        <f t="shared" si="112"/>
        <v>0.12782445663916353</v>
      </c>
      <c r="BS122" s="16">
        <f t="shared" si="113"/>
        <v>2.793008620318849E-2</v>
      </c>
      <c r="BT122" s="16">
        <f t="shared" si="114"/>
        <v>0.16236659655131253</v>
      </c>
      <c r="BU122" s="16">
        <f t="shared" si="115"/>
        <v>0.15492956020600551</v>
      </c>
      <c r="BV122" s="16">
        <f t="shared" si="116"/>
        <v>0.19269552345661364</v>
      </c>
      <c r="BW122" s="16">
        <f t="shared" si="117"/>
        <v>0.10000853724088576</v>
      </c>
      <c r="BX122" s="16">
        <f t="shared" si="118"/>
        <v>9.1587030483346515E-2</v>
      </c>
      <c r="BY122" s="16">
        <f t="shared" si="119"/>
        <v>4.6008379483595548E-2</v>
      </c>
      <c r="CA122" s="16">
        <f t="shared" si="56"/>
        <v>4.9576397385307336E-2</v>
      </c>
      <c r="CB122" s="16">
        <f t="shared" si="57"/>
        <v>0</v>
      </c>
      <c r="CC122" s="16">
        <f t="shared" si="58"/>
        <v>0</v>
      </c>
      <c r="CD122" s="16">
        <f t="shared" si="59"/>
        <v>0</v>
      </c>
      <c r="CE122" s="16">
        <f t="shared" si="60"/>
        <v>0</v>
      </c>
      <c r="CF122" s="16">
        <f t="shared" si="61"/>
        <v>0.18823609703774052</v>
      </c>
      <c r="CG122" s="16">
        <f t="shared" si="62"/>
        <v>0</v>
      </c>
      <c r="CH122" s="16">
        <f t="shared" si="63"/>
        <v>8.7322439374060395E-2</v>
      </c>
      <c r="CI122" s="16">
        <f t="shared" si="64"/>
        <v>7.9732647159236836E-2</v>
      </c>
      <c r="CJ122" s="16">
        <f t="shared" si="65"/>
        <v>0</v>
      </c>
      <c r="CK122" s="16">
        <f t="shared" si="66"/>
        <v>0</v>
      </c>
      <c r="CL122" s="16">
        <f t="shared" si="67"/>
        <v>3.2582667998882653E-2</v>
      </c>
      <c r="CM122" s="16">
        <f t="shared" si="68"/>
        <v>8.7074110199580557E-2</v>
      </c>
      <c r="CN122" s="16">
        <f t="shared" si="69"/>
        <v>7.9519197216183557E-2</v>
      </c>
      <c r="CO122" s="16">
        <f t="shared" si="70"/>
        <v>0</v>
      </c>
      <c r="CP122" s="16">
        <f t="shared" si="71"/>
        <v>0</v>
      </c>
      <c r="CQ122" s="16">
        <f t="shared" si="72"/>
        <v>2.2203043382130444E-2</v>
      </c>
      <c r="CR122" s="16">
        <f t="shared" si="73"/>
        <v>7.4407461784862794E-3</v>
      </c>
      <c r="CS122" s="16">
        <f t="shared" si="74"/>
        <v>1.5862252936025528E-2</v>
      </c>
      <c r="CT122" s="16">
        <f t="shared" si="75"/>
        <v>6.1440903935776496E-2</v>
      </c>
    </row>
    <row r="123" spans="1:99" x14ac:dyDescent="0.25">
      <c r="A123" s="20">
        <v>45083</v>
      </c>
      <c r="B123" s="21">
        <v>1</v>
      </c>
      <c r="C123" s="22" t="str" cm="1">
        <f t="array" ref="C123">IF(B123="","",INDEX('Exercise list'!$C$5:$C$102,B123))</f>
        <v>Cycling machine</v>
      </c>
      <c r="D123" s="17">
        <f t="shared" si="97"/>
        <v>-1</v>
      </c>
      <c r="E123" s="108">
        <f t="shared" si="120"/>
        <v>3.9188885691093853</v>
      </c>
      <c r="F123" s="65" cm="1">
        <f t="array" ref="F123">IF(B123="","",0.1+IFERROR(INDEX($F$6:$F122,SUMPRODUCT(MAX(ROW($C$6:$C122)*($C123=$C$6:$C122))-ROW($A$5)))*0.9^($A123-INDEX($A$6:A122,SUMPRODUCT(MAX(ROW($C$6:$C122)*($C123=$C$6:$C122))-ROW($A$5)))),0))</f>
        <v>0.20779125044108526</v>
      </c>
      <c r="G123" s="25">
        <f>INDEX('Exercise list'!$Y$5:$Y$102,MATCH(C123,'Exercise list'!$C$5:$C$102,0))</f>
        <v>3</v>
      </c>
      <c r="H123" s="116">
        <f t="shared" si="98"/>
        <v>5.9755719424008688E-2</v>
      </c>
      <c r="I123" s="18">
        <f t="shared" si="99"/>
        <v>5</v>
      </c>
      <c r="J123" s="18" cm="1">
        <f t="array" ref="J123">IF(B123="","",INDEX('Exercise list'!$D$5:$D$102,B123))</f>
        <v>0</v>
      </c>
      <c r="K123" s="17">
        <v>2</v>
      </c>
      <c r="L123" s="51" t="str" cm="1">
        <f t="array" ref="L123">IF(K123="","",INDEX('Exercise list'!$C$5:$C$102,K123))</f>
        <v>Lateral elliptical machine</v>
      </c>
      <c r="M123" s="18">
        <v>3</v>
      </c>
      <c r="N123" s="76" t="str" cm="1">
        <f t="array" ref="N123">IF(M123="","",INDEX('Exercise list'!$C$5:$C$102,M123))</f>
        <v>Rowing machine</v>
      </c>
      <c r="O123" s="19"/>
      <c r="P123" s="19">
        <f>IFERROR(INDEX('Exercise list'!$E$5:$X$102,MATCH($C123,'Exercise list'!$C$5:$C$102,0),MATCH(P$5,'Exercise list'!$E$4:$X$4,0)),0)</f>
        <v>0</v>
      </c>
      <c r="Q123" s="19">
        <f>IFERROR(INDEX('Exercise list'!$E$5:$X$102,MATCH($C123,'Exercise list'!$C$5:$C$102,0),MATCH(Q$5,'Exercise list'!$E$4:$X$4,0)),0)</f>
        <v>0</v>
      </c>
      <c r="R123" s="19">
        <f>IFERROR(INDEX('Exercise list'!$E$5:$X$102,MATCH($C123,'Exercise list'!$C$5:$C$102,0),MATCH(R$5,'Exercise list'!$E$4:$X$4,0)),0)</f>
        <v>0</v>
      </c>
      <c r="S123" s="19">
        <f>IFERROR(INDEX('Exercise list'!$E$5:$X$102,MATCH($C123,'Exercise list'!$C$5:$C$102,0),MATCH(S$5,'Exercise list'!$E$4:$X$4,0)),0)</f>
        <v>0</v>
      </c>
      <c r="T123" s="19">
        <f>IFERROR(INDEX('Exercise list'!$E$5:$X$102,MATCH($C123,'Exercise list'!$C$5:$C$102,0),MATCH(T$5,'Exercise list'!$E$4:$X$4,0)),0)</f>
        <v>0</v>
      </c>
      <c r="U123" s="19">
        <f>IFERROR(INDEX('Exercise list'!$E$5:$X$102,MATCH($C123,'Exercise list'!$C$5:$C$102,0),MATCH(U$5,'Exercise list'!$E$4:$X$4,0)),0)</f>
        <v>0</v>
      </c>
      <c r="V123" s="19">
        <f>IFERROR(INDEX('Exercise list'!$E$5:$X$102,MATCH($C123,'Exercise list'!$C$5:$C$102,0),MATCH(V$5,'Exercise list'!$E$4:$X$4,0)),0)</f>
        <v>0</v>
      </c>
      <c r="W123" s="19">
        <f>IFERROR(INDEX('Exercise list'!$E$5:$X$102,MATCH($C123,'Exercise list'!$C$5:$C$102,0),MATCH(W$5,'Exercise list'!$E$4:$X$4,0)),0)</f>
        <v>0</v>
      </c>
      <c r="X123" s="19">
        <f>IFERROR(INDEX('Exercise list'!$E$5:$X$102,MATCH($C123,'Exercise list'!$C$5:$C$102,0),MATCH(X$5,'Exercise list'!$E$4:$X$4,0)),0)</f>
        <v>0</v>
      </c>
      <c r="Y123" s="19">
        <f>IFERROR(INDEX('Exercise list'!$E$5:$X$102,MATCH($C123,'Exercise list'!$C$5:$C$102,0),MATCH(Y$5,'Exercise list'!$E$4:$X$4,0)),0)</f>
        <v>0</v>
      </c>
      <c r="Z123" s="19">
        <f>IFERROR(INDEX('Exercise list'!$E$5:$X$102,MATCH($C123,'Exercise list'!$C$5:$C$102,0),MATCH(Z$5,'Exercise list'!$E$4:$X$4,0)),0)</f>
        <v>0</v>
      </c>
      <c r="AA123" s="19">
        <f>IFERROR(INDEX('Exercise list'!$E$5:$X$102,MATCH($C123,'Exercise list'!$C$5:$C$102,0),MATCH(AA$5,'Exercise list'!$E$4:$X$4,0)),0)</f>
        <v>0</v>
      </c>
      <c r="AB123" s="19">
        <f>IFERROR(INDEX('Exercise list'!$E$5:$X$102,MATCH($C123,'Exercise list'!$C$5:$C$102,0),MATCH(AB$5,'Exercise list'!$E$4:$X$4,0)),0)</f>
        <v>0</v>
      </c>
      <c r="AC123" s="19">
        <f>IFERROR(INDEX('Exercise list'!$E$5:$X$102,MATCH($C123,'Exercise list'!$C$5:$C$102,0),MATCH(AC$5,'Exercise list'!$E$4:$X$4,0)),0)</f>
        <v>0</v>
      </c>
      <c r="AD123" s="19">
        <f>IFERROR(INDEX('Exercise list'!$E$5:$X$102,MATCH($C123,'Exercise list'!$C$5:$C$102,0),MATCH(AD$5,'Exercise list'!$E$4:$X$4,0)),0)</f>
        <v>1</v>
      </c>
      <c r="AE123" s="19">
        <f>IFERROR(INDEX('Exercise list'!$E$5:$X$102,MATCH($C123,'Exercise list'!$C$5:$C$102,0),MATCH(AE$5,'Exercise list'!$E$4:$X$4,0)),0)</f>
        <v>0.8</v>
      </c>
      <c r="AF123" s="19">
        <f>IFERROR(INDEX('Exercise list'!$E$5:$X$102,MATCH($C123,'Exercise list'!$C$5:$C$102,0),MATCH(AF$5,'Exercise list'!$E$4:$X$4,0)),0)</f>
        <v>0.7</v>
      </c>
      <c r="AG123" s="19">
        <f>IFERROR(INDEX('Exercise list'!$E$5:$X$102,MATCH($C123,'Exercise list'!$C$5:$C$102,0),MATCH(AG$5,'Exercise list'!$E$4:$X$4,0)),0)</f>
        <v>1</v>
      </c>
      <c r="AH123" s="19">
        <f>IFERROR(INDEX('Exercise list'!$E$5:$X$102,MATCH($C123,'Exercise list'!$C$5:$C$102,0),MATCH(AH$5,'Exercise list'!$E$4:$X$4,0)),0)</f>
        <v>0</v>
      </c>
      <c r="AI123" s="19">
        <f>IFERROR(INDEX('Exercise list'!$E$5:$X$102,MATCH($C123,'Exercise list'!$C$5:$C$102,0),MATCH(AI$5,'Exercise list'!$E$4:$X$4,0)),0)</f>
        <v>0</v>
      </c>
      <c r="AJ123" s="19"/>
      <c r="AK123" s="19">
        <f>IF(OR($J123=1,COUNTIFS($A$5:$A122,"&gt;="&amp;$A123-1,$A$5:$A122,"&lt;="&amp;$A123,$B$5:$B122,$B123)&gt;0,MIN(1-'Exercise list'!E$2,IF($A123=$A122,AK122,1))-P123&lt;0),-1,MIN(1,IF($A123=$A122,AK122,1)-P123+$D$2))</f>
        <v>-1</v>
      </c>
      <c r="AL123" s="19">
        <f>IF(OR($J123=1,COUNTIFS($A$5:$A122,"&gt;="&amp;$A123-1,$A$5:$A122,"&lt;="&amp;$A123,$B$5:$B122,$B123)&gt;0,MIN(1-'Exercise list'!F$2,IF($A123=$A122,AL122,1))-Q123&lt;0),-1,MIN(1,IF($A123=$A122,AL122,1)-Q123+$D$2))</f>
        <v>-1</v>
      </c>
      <c r="AM123" s="19">
        <f>IF(OR($J123=1,COUNTIFS($A$5:$A122,"&gt;="&amp;$A123-1,$A$5:$A122,"&lt;="&amp;$A123,$B$5:$B122,$B123)&gt;0,MIN(1-'Exercise list'!G$2,IF($A123=$A122,AM122,1))-R123&lt;0),-1,MIN(1,IF($A123=$A122,AM122,1)-R123+$D$2))</f>
        <v>-1</v>
      </c>
      <c r="AN123" s="19">
        <f>IF(OR($J123=1,COUNTIFS($A$5:$A122,"&gt;="&amp;$A123-1,$A$5:$A122,"&lt;="&amp;$A123,$B$5:$B122,$B123)&gt;0,MIN(1-'Exercise list'!H$2,IF($A123=$A122,AN122,1))-S123&lt;0),-1,MIN(1,IF($A123=$A122,AN122,1)-S123+$D$2))</f>
        <v>-1</v>
      </c>
      <c r="AO123" s="19">
        <f>IF(OR($J123=1,COUNTIFS($A$5:$A122,"&gt;="&amp;$A123-1,$A$5:$A122,"&lt;="&amp;$A123,$B$5:$B122,$B123)&gt;0,MIN(1-'Exercise list'!I$2,IF($A123=$A122,AO122,1))-T123&lt;0),-1,MIN(1,IF($A123=$A122,AO122,1)-T123+$D$2))</f>
        <v>-1</v>
      </c>
      <c r="AP123" s="19">
        <f>IF(OR($J123=1,COUNTIFS($A$5:$A122,"&gt;="&amp;$A123-1,$A$5:$A122,"&lt;="&amp;$A123,$B$5:$B122,$B123)&gt;0,MIN(1-'Exercise list'!J$2,IF($A123=$A122,AP122,1))-U123&lt;0),-1,MIN(1,IF($A123=$A122,AP122,1)-U123+$D$2))</f>
        <v>-1</v>
      </c>
      <c r="AQ123" s="19">
        <f>IF(OR($J123=1,COUNTIFS($A$5:$A122,"&gt;="&amp;$A123-1,$A$5:$A122,"&lt;="&amp;$A123,$B$5:$B122,$B123)&gt;0,MIN(1-'Exercise list'!K$2,IF($A123=$A122,AQ122,1))-V123&lt;0),-1,MIN(1,IF($A123=$A122,AQ122,1)-V123+$D$2))</f>
        <v>-1</v>
      </c>
      <c r="AR123" s="19">
        <f>IF(OR($J123=1,COUNTIFS($A$5:$A122,"&gt;="&amp;$A123-1,$A$5:$A122,"&lt;="&amp;$A123,$B$5:$B122,$B123)&gt;0,MIN(1-'Exercise list'!L$2,IF($A123=$A122,AR122,1))-W123&lt;0),-1,MIN(1,IF($A123=$A122,AR122,1)-W123+$D$2))</f>
        <v>-1</v>
      </c>
      <c r="AS123" s="19">
        <f>IF(OR($J123=1,COUNTIFS($A$5:$A122,"&gt;="&amp;$A123-1,$A$5:$A122,"&lt;="&amp;$A123,$B$5:$B122,$B123)&gt;0,MIN(1-'Exercise list'!M$2,IF($A123=$A122,AS122,1))-X123&lt;0),-1,MIN(1,IF($A123=$A122,AS122,1)-X123+$D$2))</f>
        <v>-1</v>
      </c>
      <c r="AT123" s="19">
        <f>IF(OR($J123=1,COUNTIFS($A$5:$A122,"&gt;="&amp;$A123-1,$A$5:$A122,"&lt;="&amp;$A123,$B$5:$B122,$B123)&gt;0,MIN(1-'Exercise list'!N$2,IF($A123=$A122,AT122,1))-Y123&lt;0),-1,MIN(1,IF($A123=$A122,AT122,1)-Y123+$D$2))</f>
        <v>-1</v>
      </c>
      <c r="AU123" s="19">
        <f>IF(OR($J123=1,COUNTIFS($A$5:$A122,"&gt;="&amp;$A123-1,$A$5:$A122,"&lt;="&amp;$A123,$B$5:$B122,$B123)&gt;0,MIN(1-'Exercise list'!O$2,IF($A123=$A122,AU122,1))-Z123&lt;0),-1,MIN(1,IF($A123=$A122,AU122,1)-Z123+$D$2))</f>
        <v>-1</v>
      </c>
      <c r="AV123" s="19">
        <f>IF(OR($J123=1,COUNTIFS($A$5:$A122,"&gt;="&amp;$A123-1,$A$5:$A122,"&lt;="&amp;$A123,$B$5:$B122,$B123)&gt;0,MIN(1-'Exercise list'!P$2,IF($A123=$A122,AV122,1))-AA123&lt;0),-1,MIN(1,IF($A123=$A122,AV122,1)-AA123+$D$2))</f>
        <v>-1</v>
      </c>
      <c r="AW123" s="19">
        <f>IF(OR($J123=1,COUNTIFS($A$5:$A122,"&gt;="&amp;$A123-1,$A$5:$A122,"&lt;="&amp;$A123,$B$5:$B122,$B123)&gt;0,MIN(1-'Exercise list'!Q$2,IF($A123=$A122,AW122,1))-AB123&lt;0),-1,MIN(1,IF($A123=$A122,AW122,1)-AB123+$D$2))</f>
        <v>-1</v>
      </c>
      <c r="AX123" s="19">
        <f>IF(OR($J123=1,COUNTIFS($A$5:$A122,"&gt;="&amp;$A123-1,$A$5:$A122,"&lt;="&amp;$A123,$B$5:$B122,$B123)&gt;0,MIN(1-'Exercise list'!R$2,IF($A123=$A122,AX122,1))-AC123&lt;0),-1,MIN(1,IF($A123=$A122,AX122,1)-AC123+$D$2))</f>
        <v>-1</v>
      </c>
      <c r="AY123" s="19">
        <f>IF(OR($J123=1,COUNTIFS($A$5:$A122,"&gt;="&amp;$A123-1,$A$5:$A122,"&lt;="&amp;$A123,$B$5:$B122,$B123)&gt;0,MIN(1-'Exercise list'!S$2,IF($A123=$A122,AY122,1))-AD123&lt;0),-1,MIN(1,IF($A123=$A122,AY122,1)-AD123+$D$2))</f>
        <v>-1</v>
      </c>
      <c r="AZ123" s="19">
        <f>IF(OR($J123=1,COUNTIFS($A$5:$A122,"&gt;="&amp;$A123-1,$A$5:$A122,"&lt;="&amp;$A123,$B$5:$B122,$B123)&gt;0,MIN(1-'Exercise list'!T$2,IF($A123=$A122,AZ122,1))-AE123&lt;0),-1,MIN(1,IF($A123=$A122,AZ122,1)-AE123+$D$2))</f>
        <v>-1</v>
      </c>
      <c r="BA123" s="19">
        <f>IF(OR($J123=1,COUNTIFS($A$5:$A122,"&gt;="&amp;$A123-1,$A$5:$A122,"&lt;="&amp;$A123,$B$5:$B122,$B123)&gt;0,MIN(1-'Exercise list'!U$2,IF($A123=$A122,BA122,1))-AF123&lt;0),-1,MIN(1,IF($A123=$A122,BA122,1)-AF123+$D$2))</f>
        <v>-1</v>
      </c>
      <c r="BB123" s="19">
        <f>IF(OR($J123=1,COUNTIFS($A$5:$A122,"&gt;="&amp;$A123-1,$A$5:$A122,"&lt;="&amp;$A123,$B$5:$B122,$B123)&gt;0,MIN(1-'Exercise list'!V$2,IF($A123=$A122,BB122,1))-AG123&lt;0),-1,MIN(1,IF($A123=$A122,BB122,1)-AG123+$D$2))</f>
        <v>-1</v>
      </c>
      <c r="BC123" s="19">
        <f>IF(OR($J123=1,COUNTIFS($A$5:$A122,"&gt;="&amp;$A123-1,$A$5:$A122,"&lt;="&amp;$A123,$B$5:$B122,$B123)&gt;0,MIN(1-'Exercise list'!W$2,IF($A123=$A122,BC122,1))-AH123&lt;0),-1,MIN(1,IF($A123=$A122,BC122,1)-AH123+$D$2))</f>
        <v>-1</v>
      </c>
      <c r="BD123" s="19">
        <f>IF(OR($J123=1,COUNTIFS($A$5:$A122,"&gt;="&amp;$A123-1,$A$5:$A122,"&lt;="&amp;$A123,$B$5:$B122,$B123)&gt;0,MIN(1-'Exercise list'!X$2,IF($A123=$A122,BD122,1))-AI123&lt;0),-1,MIN(1,IF($A123=$A122,BD122,1)-AI123+$D$2))</f>
        <v>-1</v>
      </c>
      <c r="BE123" s="19"/>
      <c r="BF123" s="23">
        <f t="shared" si="100"/>
        <v>0.16532216945343675</v>
      </c>
      <c r="BG123" s="23">
        <f t="shared" si="101"/>
        <v>0.26691094978921887</v>
      </c>
      <c r="BH123" s="23">
        <f t="shared" si="102"/>
        <v>0.16501154320128728</v>
      </c>
      <c r="BI123" s="23">
        <f t="shared" si="103"/>
        <v>0.18509128383042753</v>
      </c>
      <c r="BJ123" s="23">
        <f t="shared" si="104"/>
        <v>0.13857535530416518</v>
      </c>
      <c r="BK123" s="23">
        <f t="shared" si="105"/>
        <v>0.13411175322037561</v>
      </c>
      <c r="BL123" s="23">
        <f t="shared" si="106"/>
        <v>0.1781429390642591</v>
      </c>
      <c r="BM123" s="23">
        <f t="shared" si="107"/>
        <v>2.0126844045311641E-2</v>
      </c>
      <c r="BN123" s="23">
        <f t="shared" si="108"/>
        <v>0.13516591967950725</v>
      </c>
      <c r="BO123" s="23">
        <f t="shared" si="109"/>
        <v>0.22436699985271877</v>
      </c>
      <c r="BP123" s="23">
        <f t="shared" si="110"/>
        <v>0.31008810919773527</v>
      </c>
      <c r="BQ123" s="23">
        <f t="shared" si="111"/>
        <v>7.4866615420489391E-2</v>
      </c>
      <c r="BR123" s="23">
        <f t="shared" si="112"/>
        <v>0.12782445663916353</v>
      </c>
      <c r="BS123" s="23">
        <f t="shared" si="113"/>
        <v>2.793008620318849E-2</v>
      </c>
      <c r="BT123" s="23">
        <f t="shared" si="114"/>
        <v>0.16236659655131253</v>
      </c>
      <c r="BU123" s="23">
        <f t="shared" si="115"/>
        <v>0.15492956020600551</v>
      </c>
      <c r="BV123" s="23">
        <f t="shared" si="116"/>
        <v>0.19269552345661364</v>
      </c>
      <c r="BW123" s="23">
        <f t="shared" si="117"/>
        <v>0.10000853724088576</v>
      </c>
      <c r="BX123" s="23">
        <f t="shared" si="118"/>
        <v>9.1587030483346515E-2</v>
      </c>
      <c r="BY123" s="23">
        <f t="shared" si="119"/>
        <v>4.6008379483595548E-2</v>
      </c>
      <c r="BZ123" s="19"/>
      <c r="CA123" s="23">
        <f t="shared" si="56"/>
        <v>4.9576397385307336E-2</v>
      </c>
      <c r="CB123" s="23">
        <f t="shared" si="57"/>
        <v>0</v>
      </c>
      <c r="CC123" s="23">
        <f t="shared" si="58"/>
        <v>0</v>
      </c>
      <c r="CD123" s="23">
        <f t="shared" si="59"/>
        <v>0</v>
      </c>
      <c r="CE123" s="23">
        <f t="shared" si="60"/>
        <v>0</v>
      </c>
      <c r="CF123" s="23">
        <f t="shared" si="61"/>
        <v>0.18823609703774052</v>
      </c>
      <c r="CG123" s="23">
        <f t="shared" si="62"/>
        <v>0</v>
      </c>
      <c r="CH123" s="23">
        <f t="shared" si="63"/>
        <v>8.7322439374060395E-2</v>
      </c>
      <c r="CI123" s="23">
        <f t="shared" si="64"/>
        <v>7.9732647159236836E-2</v>
      </c>
      <c r="CJ123" s="23">
        <f t="shared" si="65"/>
        <v>0</v>
      </c>
      <c r="CK123" s="23">
        <f t="shared" si="66"/>
        <v>0</v>
      </c>
      <c r="CL123" s="23">
        <f t="shared" si="67"/>
        <v>3.2582667998882653E-2</v>
      </c>
      <c r="CM123" s="23">
        <f t="shared" si="68"/>
        <v>8.7074110199580557E-2</v>
      </c>
      <c r="CN123" s="23">
        <f t="shared" si="69"/>
        <v>7.9519197216183557E-2</v>
      </c>
      <c r="CO123" s="23">
        <f t="shared" si="70"/>
        <v>0</v>
      </c>
      <c r="CP123" s="23">
        <f t="shared" si="71"/>
        <v>0</v>
      </c>
      <c r="CQ123" s="23">
        <f t="shared" si="72"/>
        <v>2.2203043382130444E-2</v>
      </c>
      <c r="CR123" s="23">
        <f t="shared" si="73"/>
        <v>7.4407461784862794E-3</v>
      </c>
      <c r="CS123" s="23">
        <f t="shared" si="74"/>
        <v>1.5862252936025528E-2</v>
      </c>
      <c r="CT123" s="23">
        <f t="shared" si="75"/>
        <v>6.1440903935776496E-2</v>
      </c>
      <c r="CU123" s="19"/>
    </row>
    <row r="124" spans="1:99" x14ac:dyDescent="0.25">
      <c r="A124" s="13">
        <v>45086</v>
      </c>
      <c r="B124" s="14">
        <v>31</v>
      </c>
      <c r="C124" s="15" t="str" cm="1">
        <f t="array" ref="C124">IF(B124="","",INDEX('Exercise list'!$C$5:$C$102,B124))</f>
        <v>Weighted decline crunches</v>
      </c>
      <c r="D124" s="12">
        <f t="shared" si="97"/>
        <v>1</v>
      </c>
      <c r="E124" s="107">
        <f t="shared" si="120"/>
        <v>0</v>
      </c>
      <c r="F124" s="63" cm="1">
        <f t="array" ref="F124">IF(B124="","",0.1+IFERROR(INDEX($F$6:$F123,SUMPRODUCT(MAX(ROW($C$6:$C123)*($C124=$C$6:$C123))-ROW($A$5)))*0.9^($A124-INDEX($A$6:A123,SUMPRODUCT(MAX(ROW($C$6:$C123)*($C124=$C$6:$C123))-ROW($A$5)))),0))</f>
        <v>0.1650973535579158</v>
      </c>
      <c r="G124" s="64">
        <f>INDEX('Exercise list'!$Y$5:$Y$102,MATCH(C124,'Exercise list'!$C$5:$C$102,0))</f>
        <v>2</v>
      </c>
      <c r="H124" s="115">
        <f t="shared" si="98"/>
        <v>5.7714891713935679E-2</v>
      </c>
      <c r="I124" s="42">
        <f t="shared" si="99"/>
        <v>1</v>
      </c>
      <c r="J124" s="6" cm="1">
        <f t="array" ref="J124">IF(B124="","",INDEX('Exercise list'!$D$5:$D$102,B124))</f>
        <v>0</v>
      </c>
      <c r="K124" s="12">
        <v>48</v>
      </c>
      <c r="L124" s="74" t="str" cm="1">
        <f t="array" ref="L124">IF(K124="","",INDEX('Exercise list'!$C$5:$C$102,K124))</f>
        <v>Barbell overhead presses</v>
      </c>
      <c r="M124" s="6">
        <v>23</v>
      </c>
      <c r="N124" s="75" t="str" cm="1">
        <f t="array" ref="N124">IF(M124="","",INDEX('Exercise list'!$C$5:$C$102,M124))</f>
        <v>Barbell bench presses</v>
      </c>
      <c r="P124">
        <f>IFERROR(INDEX('Exercise list'!$E$5:$X$102,MATCH($C124,'Exercise list'!$C$5:$C$102,0),MATCH(P$5,'Exercise list'!$E$4:$X$4,0)),0)</f>
        <v>0</v>
      </c>
      <c r="Q124">
        <f>IFERROR(INDEX('Exercise list'!$E$5:$X$102,MATCH($C124,'Exercise list'!$C$5:$C$102,0),MATCH(Q$5,'Exercise list'!$E$4:$X$4,0)),0)</f>
        <v>0</v>
      </c>
      <c r="R124">
        <f>IFERROR(INDEX('Exercise list'!$E$5:$X$102,MATCH($C124,'Exercise list'!$C$5:$C$102,0),MATCH(R$5,'Exercise list'!$E$4:$X$4,0)),0)</f>
        <v>0</v>
      </c>
      <c r="S124">
        <f>IFERROR(INDEX('Exercise list'!$E$5:$X$102,MATCH($C124,'Exercise list'!$C$5:$C$102,0),MATCH(S$5,'Exercise list'!$E$4:$X$4,0)),0)</f>
        <v>0</v>
      </c>
      <c r="T124">
        <f>IFERROR(INDEX('Exercise list'!$E$5:$X$102,MATCH($C124,'Exercise list'!$C$5:$C$102,0),MATCH(T$5,'Exercise list'!$E$4:$X$4,0)),0)</f>
        <v>0</v>
      </c>
      <c r="U124">
        <f>IFERROR(INDEX('Exercise list'!$E$5:$X$102,MATCH($C124,'Exercise list'!$C$5:$C$102,0),MATCH(U$5,'Exercise list'!$E$4:$X$4,0)),0)</f>
        <v>0</v>
      </c>
      <c r="V124">
        <f>IFERROR(INDEX('Exercise list'!$E$5:$X$102,MATCH($C124,'Exercise list'!$C$5:$C$102,0),MATCH(V$5,'Exercise list'!$E$4:$X$4,0)),0)</f>
        <v>0</v>
      </c>
      <c r="W124">
        <f>IFERROR(INDEX('Exercise list'!$E$5:$X$102,MATCH($C124,'Exercise list'!$C$5:$C$102,0),MATCH(W$5,'Exercise list'!$E$4:$X$4,0)),0)</f>
        <v>0</v>
      </c>
      <c r="X124">
        <f>IFERROR(INDEX('Exercise list'!$E$5:$X$102,MATCH($C124,'Exercise list'!$C$5:$C$102,0),MATCH(X$5,'Exercise list'!$E$4:$X$4,0)),0)</f>
        <v>0</v>
      </c>
      <c r="Y124">
        <f>IFERROR(INDEX('Exercise list'!$E$5:$X$102,MATCH($C124,'Exercise list'!$C$5:$C$102,0),MATCH(Y$5,'Exercise list'!$E$4:$X$4,0)),0)</f>
        <v>0</v>
      </c>
      <c r="Z124">
        <f>IFERROR(INDEX('Exercise list'!$E$5:$X$102,MATCH($C124,'Exercise list'!$C$5:$C$102,0),MATCH(Z$5,'Exercise list'!$E$4:$X$4,0)),0)</f>
        <v>0</v>
      </c>
      <c r="AA124">
        <f>IFERROR(INDEX('Exercise list'!$E$5:$X$102,MATCH($C124,'Exercise list'!$C$5:$C$102,0),MATCH(AA$5,'Exercise list'!$E$4:$X$4,0)),0)</f>
        <v>1</v>
      </c>
      <c r="AB124">
        <f>IFERROR(INDEX('Exercise list'!$E$5:$X$102,MATCH($C124,'Exercise list'!$C$5:$C$102,0),MATCH(AB$5,'Exercise list'!$E$4:$X$4,0)),0)</f>
        <v>0.6</v>
      </c>
      <c r="AC124">
        <f>IFERROR(INDEX('Exercise list'!$E$5:$X$102,MATCH($C124,'Exercise list'!$C$5:$C$102,0),MATCH(AC$5,'Exercise list'!$E$4:$X$4,0)),0)</f>
        <v>0</v>
      </c>
      <c r="AD124">
        <f>IFERROR(INDEX('Exercise list'!$E$5:$X$102,MATCH($C124,'Exercise list'!$C$5:$C$102,0),MATCH(AD$5,'Exercise list'!$E$4:$X$4,0)),0)</f>
        <v>0</v>
      </c>
      <c r="AE124">
        <f>IFERROR(INDEX('Exercise list'!$E$5:$X$102,MATCH($C124,'Exercise list'!$C$5:$C$102,0),MATCH(AE$5,'Exercise list'!$E$4:$X$4,0)),0)</f>
        <v>0</v>
      </c>
      <c r="AF124">
        <f>IFERROR(INDEX('Exercise list'!$E$5:$X$102,MATCH($C124,'Exercise list'!$C$5:$C$102,0),MATCH(AF$5,'Exercise list'!$E$4:$X$4,0)),0)</f>
        <v>0</v>
      </c>
      <c r="AG124">
        <f>IFERROR(INDEX('Exercise list'!$E$5:$X$102,MATCH($C124,'Exercise list'!$C$5:$C$102,0),MATCH(AG$5,'Exercise list'!$E$4:$X$4,0)),0)</f>
        <v>0</v>
      </c>
      <c r="AH124">
        <f>IFERROR(INDEX('Exercise list'!$E$5:$X$102,MATCH($C124,'Exercise list'!$C$5:$C$102,0),MATCH(AH$5,'Exercise list'!$E$4:$X$4,0)),0)</f>
        <v>0</v>
      </c>
      <c r="AI124">
        <f>IFERROR(INDEX('Exercise list'!$E$5:$X$102,MATCH($C124,'Exercise list'!$C$5:$C$102,0),MATCH(AI$5,'Exercise list'!$E$4:$X$4,0)),0)</f>
        <v>0</v>
      </c>
      <c r="AK124">
        <f>IF(OR($J124=1,COUNTIFS($A$5:$A123,"&gt;="&amp;$A124-1,$A$5:$A123,"&lt;="&amp;$A124,$B$5:$B123,$B124)&gt;0,MIN(1-'Exercise list'!E$2,IF($A124=$A123,AK123,1))-P124&lt;0),-1,MIN(1,IF($A124=$A123,AK123,1)-P124+$D$2))</f>
        <v>1</v>
      </c>
      <c r="AL124">
        <f>IF(OR($J124=1,COUNTIFS($A$5:$A123,"&gt;="&amp;$A124-1,$A$5:$A123,"&lt;="&amp;$A124,$B$5:$B123,$B124)&gt;0,MIN(1-'Exercise list'!F$2,IF($A124=$A123,AL123,1))-Q124&lt;0),-1,MIN(1,IF($A124=$A123,AL123,1)-Q124+$D$2))</f>
        <v>1</v>
      </c>
      <c r="AM124">
        <f>IF(OR($J124=1,COUNTIFS($A$5:$A123,"&gt;="&amp;$A124-1,$A$5:$A123,"&lt;="&amp;$A124,$B$5:$B123,$B124)&gt;0,MIN(1-'Exercise list'!G$2,IF($A124=$A123,AM123,1))-R124&lt;0),-1,MIN(1,IF($A124=$A123,AM123,1)-R124+$D$2))</f>
        <v>1</v>
      </c>
      <c r="AN124">
        <f>IF(OR($J124=1,COUNTIFS($A$5:$A123,"&gt;="&amp;$A124-1,$A$5:$A123,"&lt;="&amp;$A124,$B$5:$B123,$B124)&gt;0,MIN(1-'Exercise list'!H$2,IF($A124=$A123,AN123,1))-S124&lt;0),-1,MIN(1,IF($A124=$A123,AN123,1)-S124+$D$2))</f>
        <v>1</v>
      </c>
      <c r="AO124">
        <f>IF(OR($J124=1,COUNTIFS($A$5:$A123,"&gt;="&amp;$A124-1,$A$5:$A123,"&lt;="&amp;$A124,$B$5:$B123,$B124)&gt;0,MIN(1-'Exercise list'!I$2,IF($A124=$A123,AO123,1))-T124&lt;0),-1,MIN(1,IF($A124=$A123,AO123,1)-T124+$D$2))</f>
        <v>1</v>
      </c>
      <c r="AP124">
        <f>IF(OR($J124=1,COUNTIFS($A$5:$A123,"&gt;="&amp;$A124-1,$A$5:$A123,"&lt;="&amp;$A124,$B$5:$B123,$B124)&gt;0,MIN(1-'Exercise list'!J$2,IF($A124=$A123,AP123,1))-U124&lt;0),-1,MIN(1,IF($A124=$A123,AP123,1)-U124+$D$2))</f>
        <v>1</v>
      </c>
      <c r="AQ124">
        <f>IF(OR($J124=1,COUNTIFS($A$5:$A123,"&gt;="&amp;$A124-1,$A$5:$A123,"&lt;="&amp;$A124,$B$5:$B123,$B124)&gt;0,MIN(1-'Exercise list'!K$2,IF($A124=$A123,AQ123,1))-V124&lt;0),-1,MIN(1,IF($A124=$A123,AQ123,1)-V124+$D$2))</f>
        <v>1</v>
      </c>
      <c r="AR124">
        <f>IF(OR($J124=1,COUNTIFS($A$5:$A123,"&gt;="&amp;$A124-1,$A$5:$A123,"&lt;="&amp;$A124,$B$5:$B123,$B124)&gt;0,MIN(1-'Exercise list'!L$2,IF($A124=$A123,AR123,1))-W124&lt;0),-1,MIN(1,IF($A124=$A123,AR123,1)-W124+$D$2))</f>
        <v>1</v>
      </c>
      <c r="AS124">
        <f>IF(OR($J124=1,COUNTIFS($A$5:$A123,"&gt;="&amp;$A124-1,$A$5:$A123,"&lt;="&amp;$A124,$B$5:$B123,$B124)&gt;0,MIN(1-'Exercise list'!M$2,IF($A124=$A123,AS123,1))-X124&lt;0),-1,MIN(1,IF($A124=$A123,AS123,1)-X124+$D$2))</f>
        <v>1</v>
      </c>
      <c r="AT124">
        <f>IF(OR($J124=1,COUNTIFS($A$5:$A123,"&gt;="&amp;$A124-1,$A$5:$A123,"&lt;="&amp;$A124,$B$5:$B123,$B124)&gt;0,MIN(1-'Exercise list'!N$2,IF($A124=$A123,AT123,1))-Y124&lt;0),-1,MIN(1,IF($A124=$A123,AT123,1)-Y124+$D$2))</f>
        <v>1</v>
      </c>
      <c r="AU124">
        <f>IF(OR($J124=1,COUNTIFS($A$5:$A123,"&gt;="&amp;$A124-1,$A$5:$A123,"&lt;="&amp;$A124,$B$5:$B123,$B124)&gt;0,MIN(1-'Exercise list'!O$2,IF($A124=$A123,AU123,1))-Z124&lt;0),-1,MIN(1,IF($A124=$A123,AU123,1)-Z124+$D$2))</f>
        <v>1</v>
      </c>
      <c r="AV124">
        <f>IF(OR($J124=1,COUNTIFS($A$5:$A123,"&gt;="&amp;$A124-1,$A$5:$A123,"&lt;="&amp;$A124,$B$5:$B123,$B124)&gt;0,MIN(1-'Exercise list'!P$2,IF($A124=$A123,AV123,1))-AA124&lt;0),-1,MIN(1,IF($A124=$A123,AV123,1)-AA124+$D$2))</f>
        <v>1</v>
      </c>
      <c r="AW124">
        <f>IF(OR($J124=1,COUNTIFS($A$5:$A123,"&gt;="&amp;$A124-1,$A$5:$A123,"&lt;="&amp;$A124,$B$5:$B123,$B124)&gt;0,MIN(1-'Exercise list'!Q$2,IF($A124=$A123,AW123,1))-AB124&lt;0),-1,MIN(1,IF($A124=$A123,AW123,1)-AB124+$D$2))</f>
        <v>1</v>
      </c>
      <c r="AX124">
        <f>IF(OR($J124=1,COUNTIFS($A$5:$A123,"&gt;="&amp;$A124-1,$A$5:$A123,"&lt;="&amp;$A124,$B$5:$B123,$B124)&gt;0,MIN(1-'Exercise list'!R$2,IF($A124=$A123,AX123,1))-AC124&lt;0),-1,MIN(1,IF($A124=$A123,AX123,1)-AC124+$D$2))</f>
        <v>1</v>
      </c>
      <c r="AY124">
        <f>IF(OR($J124=1,COUNTIFS($A$5:$A123,"&gt;="&amp;$A124-1,$A$5:$A123,"&lt;="&amp;$A124,$B$5:$B123,$B124)&gt;0,MIN(1-'Exercise list'!S$2,IF($A124=$A123,AY123,1))-AD124&lt;0),-1,MIN(1,IF($A124=$A123,AY123,1)-AD124+$D$2))</f>
        <v>1</v>
      </c>
      <c r="AZ124">
        <f>IF(OR($J124=1,COUNTIFS($A$5:$A123,"&gt;="&amp;$A124-1,$A$5:$A123,"&lt;="&amp;$A124,$B$5:$B123,$B124)&gt;0,MIN(1-'Exercise list'!T$2,IF($A124=$A123,AZ123,1))-AE124&lt;0),-1,MIN(1,IF($A124=$A123,AZ123,1)-AE124+$D$2))</f>
        <v>1</v>
      </c>
      <c r="BA124">
        <f>IF(OR($J124=1,COUNTIFS($A$5:$A123,"&gt;="&amp;$A124-1,$A$5:$A123,"&lt;="&amp;$A124,$B$5:$B123,$B124)&gt;0,MIN(1-'Exercise list'!U$2,IF($A124=$A123,BA123,1))-AF124&lt;0),-1,MIN(1,IF($A124=$A123,BA123,1)-AF124+$D$2))</f>
        <v>1</v>
      </c>
      <c r="BB124">
        <f>IF(OR($J124=1,COUNTIFS($A$5:$A123,"&gt;="&amp;$A124-1,$A$5:$A123,"&lt;="&amp;$A124,$B$5:$B123,$B124)&gt;0,MIN(1-'Exercise list'!V$2,IF($A124=$A123,BB123,1))-AG124&lt;0),-1,MIN(1,IF($A124=$A123,BB123,1)-AG124+$D$2))</f>
        <v>1</v>
      </c>
      <c r="BC124">
        <f>IF(OR($J124=1,COUNTIFS($A$5:$A123,"&gt;="&amp;$A124-1,$A$5:$A123,"&lt;="&amp;$A124,$B$5:$B123,$B124)&gt;0,MIN(1-'Exercise list'!W$2,IF($A124=$A123,BC123,1))-AH124&lt;0),-1,MIN(1,IF($A124=$A123,BC123,1)-AH124+$D$2))</f>
        <v>1</v>
      </c>
      <c r="BD124">
        <f>IF(OR($J124=1,COUNTIFS($A$5:$A123,"&gt;="&amp;$A124-1,$A$5:$A123,"&lt;="&amp;$A124,$B$5:$B123,$B124)&gt;0,MIN(1-'Exercise list'!X$2,IF($A124=$A123,BD123,1))-AI124&lt;0),-1,MIN(1,IF($A124=$A123,BD123,1)-AI124+$D$2))</f>
        <v>1</v>
      </c>
      <c r="BF124" s="16">
        <f t="shared" si="100"/>
        <v>0.15705606098076491</v>
      </c>
      <c r="BG124" s="16">
        <f t="shared" si="101"/>
        <v>0.25356540229975794</v>
      </c>
      <c r="BH124" s="16">
        <f t="shared" si="102"/>
        <v>0.15676096604122292</v>
      </c>
      <c r="BI124" s="16">
        <f t="shared" si="103"/>
        <v>0.17583671963890615</v>
      </c>
      <c r="BJ124" s="16">
        <f t="shared" si="104"/>
        <v>0.13164658753895692</v>
      </c>
      <c r="BK124" s="16">
        <f t="shared" si="105"/>
        <v>0.12740616555935683</v>
      </c>
      <c r="BL124" s="16">
        <f t="shared" si="106"/>
        <v>0.16923579211104614</v>
      </c>
      <c r="BM124" s="16">
        <f t="shared" si="107"/>
        <v>1.9120501843046058E-2</v>
      </c>
      <c r="BN124" s="16">
        <f t="shared" si="108"/>
        <v>0.12840762369553188</v>
      </c>
      <c r="BO124" s="16">
        <f t="shared" si="109"/>
        <v>0.21314864986008281</v>
      </c>
      <c r="BP124" s="16">
        <f t="shared" si="110"/>
        <v>0.29458370373784848</v>
      </c>
      <c r="BQ124" s="16">
        <f t="shared" si="111"/>
        <v>0.12112328464946492</v>
      </c>
      <c r="BR124" s="16">
        <f t="shared" si="112"/>
        <v>0.15143323380720536</v>
      </c>
      <c r="BS124" s="16">
        <f t="shared" si="113"/>
        <v>2.6533581893029064E-2</v>
      </c>
      <c r="BT124" s="16">
        <f t="shared" si="114"/>
        <v>0.15424826672374689</v>
      </c>
      <c r="BU124" s="16">
        <f t="shared" si="115"/>
        <v>0.14718308219570522</v>
      </c>
      <c r="BV124" s="16">
        <f t="shared" si="116"/>
        <v>0.18306074728378297</v>
      </c>
      <c r="BW124" s="16">
        <f t="shared" si="117"/>
        <v>9.5008110378841465E-2</v>
      </c>
      <c r="BX124" s="16">
        <f t="shared" si="118"/>
        <v>8.7007678959179185E-2</v>
      </c>
      <c r="BY124" s="16">
        <f t="shared" si="119"/>
        <v>4.3707960509415771E-2</v>
      </c>
      <c r="CA124" s="16">
        <f t="shared" si="56"/>
        <v>5.3023503441967906E-2</v>
      </c>
      <c r="CB124" s="16">
        <f t="shared" si="57"/>
        <v>0</v>
      </c>
      <c r="CC124" s="16">
        <f t="shared" si="58"/>
        <v>0</v>
      </c>
      <c r="CD124" s="16">
        <f t="shared" si="59"/>
        <v>0</v>
      </c>
      <c r="CE124" s="16">
        <f t="shared" si="60"/>
        <v>0</v>
      </c>
      <c r="CF124" s="16">
        <f t="shared" si="61"/>
        <v>0.18771318107474241</v>
      </c>
      <c r="CG124" s="16">
        <f t="shared" si="62"/>
        <v>0</v>
      </c>
      <c r="CH124" s="16">
        <f t="shared" si="63"/>
        <v>8.5919280368320347E-2</v>
      </c>
      <c r="CI124" s="16">
        <f t="shared" si="64"/>
        <v>8.1671940727200937E-2</v>
      </c>
      <c r="CJ124" s="16">
        <f t="shared" si="65"/>
        <v>0</v>
      </c>
      <c r="CK124" s="16">
        <f t="shared" si="66"/>
        <v>0</v>
      </c>
      <c r="CL124" s="16">
        <f t="shared" si="67"/>
        <v>0</v>
      </c>
      <c r="CM124" s="16">
        <f t="shared" si="68"/>
        <v>5.8646330615527459E-2</v>
      </c>
      <c r="CN124" s="16">
        <f t="shared" si="69"/>
        <v>7.8506200318337341E-2</v>
      </c>
      <c r="CO124" s="16">
        <f t="shared" si="70"/>
        <v>0</v>
      </c>
      <c r="CP124" s="16">
        <f t="shared" si="71"/>
        <v>0</v>
      </c>
      <c r="CQ124" s="16">
        <f t="shared" si="72"/>
        <v>2.7018817138949852E-2</v>
      </c>
      <c r="CR124" s="16">
        <f t="shared" si="73"/>
        <v>1.0031671832524944E-2</v>
      </c>
      <c r="CS124" s="16">
        <f t="shared" si="74"/>
        <v>1.8032103252187223E-2</v>
      </c>
      <c r="CT124" s="16">
        <f t="shared" si="75"/>
        <v>6.1331821701950638E-2</v>
      </c>
    </row>
    <row r="125" spans="1:99" x14ac:dyDescent="0.25">
      <c r="A125" s="13">
        <v>45086</v>
      </c>
      <c r="B125" s="14">
        <v>48</v>
      </c>
      <c r="C125" s="15" t="str" cm="1">
        <f t="array" ref="C125">IF(B125="","",INDEX('Exercise list'!$C$5:$C$102,B125))</f>
        <v>Barbell overhead presses</v>
      </c>
      <c r="D125" s="12">
        <f t="shared" si="97"/>
        <v>1</v>
      </c>
      <c r="E125" s="107">
        <f t="shared" si="120"/>
        <v>0</v>
      </c>
      <c r="F125" s="63" cm="1">
        <f t="array" ref="F125">IF(B125="","",0.1+IFERROR(INDEX($F$6:$F124,SUMPRODUCT(MAX(ROW($C$6:$C124)*($C125=$C$6:$C124))-ROW($A$5)))*0.9^($A125-INDEX($A$6:A124,SUMPRODUCT(MAX(ROW($C$6:$C124)*($C125=$C$6:$C124))-ROW($A$5)))),0))</f>
        <v>0.17288898350455306</v>
      </c>
      <c r="G125" s="64">
        <f>INDEX('Exercise list'!$Y$5:$Y$102,MATCH(C125,'Exercise list'!$C$5:$C$102,0))</f>
        <v>3</v>
      </c>
      <c r="H125" s="115">
        <f t="shared" si="98"/>
        <v>5.4173093712982685E-2</v>
      </c>
      <c r="I125" s="6">
        <f t="shared" si="99"/>
        <v>2</v>
      </c>
      <c r="J125" s="6" cm="1">
        <f t="array" ref="J125">IF(B125="","",INDEX('Exercise list'!$D$5:$D$102,B125))</f>
        <v>0</v>
      </c>
      <c r="K125" s="12">
        <v>23</v>
      </c>
      <c r="L125" s="74" t="str" cm="1">
        <f t="array" ref="L125">IF(K125="","",INDEX('Exercise list'!$C$5:$C$102,K125))</f>
        <v>Barbell bench presses</v>
      </c>
      <c r="M125" s="6">
        <v>11</v>
      </c>
      <c r="N125" s="75" t="str" cm="1">
        <f t="array" ref="N125">IF(M125="","",INDEX('Exercise list'!$C$5:$C$102,M125))</f>
        <v>Chin-ups</v>
      </c>
      <c r="P125">
        <f>IFERROR(INDEX('Exercise list'!$E$5:$X$102,MATCH($C125,'Exercise list'!$C$5:$C$102,0),MATCH(P$5,'Exercise list'!$E$4:$X$4,0)),0)</f>
        <v>0</v>
      </c>
      <c r="Q125">
        <f>IFERROR(INDEX('Exercise list'!$E$5:$X$102,MATCH($C125,'Exercise list'!$C$5:$C$102,0),MATCH(Q$5,'Exercise list'!$E$4:$X$4,0)),0)</f>
        <v>0</v>
      </c>
      <c r="R125">
        <f>IFERROR(INDEX('Exercise list'!$E$5:$X$102,MATCH($C125,'Exercise list'!$C$5:$C$102,0),MATCH(R$5,'Exercise list'!$E$4:$X$4,0)),0)</f>
        <v>0</v>
      </c>
      <c r="S125">
        <f>IFERROR(INDEX('Exercise list'!$E$5:$X$102,MATCH($C125,'Exercise list'!$C$5:$C$102,0),MATCH(S$5,'Exercise list'!$E$4:$X$4,0)),0)</f>
        <v>0</v>
      </c>
      <c r="T125">
        <f>IFERROR(INDEX('Exercise list'!$E$5:$X$102,MATCH($C125,'Exercise list'!$C$5:$C$102,0),MATCH(T$5,'Exercise list'!$E$4:$X$4,0)),0)</f>
        <v>0</v>
      </c>
      <c r="U125">
        <f>IFERROR(INDEX('Exercise list'!$E$5:$X$102,MATCH($C125,'Exercise list'!$C$5:$C$102,0),MATCH(U$5,'Exercise list'!$E$4:$X$4,0)),0)</f>
        <v>0.7</v>
      </c>
      <c r="V125">
        <f>IFERROR(INDEX('Exercise list'!$E$5:$X$102,MATCH($C125,'Exercise list'!$C$5:$C$102,0),MATCH(V$5,'Exercise list'!$E$4:$X$4,0)),0)</f>
        <v>0.9</v>
      </c>
      <c r="W125">
        <f>IFERROR(INDEX('Exercise list'!$E$5:$X$102,MATCH($C125,'Exercise list'!$C$5:$C$102,0),MATCH(W$5,'Exercise list'!$E$4:$X$4,0)),0)</f>
        <v>0</v>
      </c>
      <c r="X125">
        <f>IFERROR(INDEX('Exercise list'!$E$5:$X$102,MATCH($C125,'Exercise list'!$C$5:$C$102,0),MATCH(X$5,'Exercise list'!$E$4:$X$4,0)),0)</f>
        <v>0</v>
      </c>
      <c r="Y125">
        <f>IFERROR(INDEX('Exercise list'!$E$5:$X$102,MATCH($C125,'Exercise list'!$C$5:$C$102,0),MATCH(Y$5,'Exercise list'!$E$4:$X$4,0)),0)</f>
        <v>0.7</v>
      </c>
      <c r="Z125">
        <f>IFERROR(INDEX('Exercise list'!$E$5:$X$102,MATCH($C125,'Exercise list'!$C$5:$C$102,0),MATCH(Z$5,'Exercise list'!$E$4:$X$4,0)),0)</f>
        <v>0</v>
      </c>
      <c r="AA125">
        <f>IFERROR(INDEX('Exercise list'!$E$5:$X$102,MATCH($C125,'Exercise list'!$C$5:$C$102,0),MATCH(AA$5,'Exercise list'!$E$4:$X$4,0)),0)</f>
        <v>0</v>
      </c>
      <c r="AB125">
        <f>IFERROR(INDEX('Exercise list'!$E$5:$X$102,MATCH($C125,'Exercise list'!$C$5:$C$102,0),MATCH(AB$5,'Exercise list'!$E$4:$X$4,0)),0)</f>
        <v>0</v>
      </c>
      <c r="AC125">
        <f>IFERROR(INDEX('Exercise list'!$E$5:$X$102,MATCH($C125,'Exercise list'!$C$5:$C$102,0),MATCH(AC$5,'Exercise list'!$E$4:$X$4,0)),0)</f>
        <v>0</v>
      </c>
      <c r="AD125">
        <f>IFERROR(INDEX('Exercise list'!$E$5:$X$102,MATCH($C125,'Exercise list'!$C$5:$C$102,0),MATCH(AD$5,'Exercise list'!$E$4:$X$4,0)),0)</f>
        <v>0</v>
      </c>
      <c r="AE125">
        <f>IFERROR(INDEX('Exercise list'!$E$5:$X$102,MATCH($C125,'Exercise list'!$C$5:$C$102,0),MATCH(AE$5,'Exercise list'!$E$4:$X$4,0)),0)</f>
        <v>0</v>
      </c>
      <c r="AF125">
        <f>IFERROR(INDEX('Exercise list'!$E$5:$X$102,MATCH($C125,'Exercise list'!$C$5:$C$102,0),MATCH(AF$5,'Exercise list'!$E$4:$X$4,0)),0)</f>
        <v>0</v>
      </c>
      <c r="AG125">
        <f>IFERROR(INDEX('Exercise list'!$E$5:$X$102,MATCH($C125,'Exercise list'!$C$5:$C$102,0),MATCH(AG$5,'Exercise list'!$E$4:$X$4,0)),0)</f>
        <v>0</v>
      </c>
      <c r="AH125">
        <f>IFERROR(INDEX('Exercise list'!$E$5:$X$102,MATCH($C125,'Exercise list'!$C$5:$C$102,0),MATCH(AH$5,'Exercise list'!$E$4:$X$4,0)),0)</f>
        <v>0</v>
      </c>
      <c r="AI125">
        <f>IFERROR(INDEX('Exercise list'!$E$5:$X$102,MATCH($C125,'Exercise list'!$C$5:$C$102,0),MATCH(AI$5,'Exercise list'!$E$4:$X$4,0)),0)</f>
        <v>0</v>
      </c>
      <c r="AK125">
        <f>IF(OR($J125=1,COUNTIFS($A$5:$A124,"&gt;="&amp;$A125-1,$A$5:$A124,"&lt;="&amp;$A125,$B$5:$B124,$B125)&gt;0,MIN(1-'Exercise list'!E$2,IF($A125=$A124,AK124,1))-P125&lt;0),-1,MIN(1,IF($A125=$A124,AK124,1)-P125+$D$2))</f>
        <v>1</v>
      </c>
      <c r="AL125">
        <f>IF(OR($J125=1,COUNTIFS($A$5:$A124,"&gt;="&amp;$A125-1,$A$5:$A124,"&lt;="&amp;$A125,$B$5:$B124,$B125)&gt;0,MIN(1-'Exercise list'!F$2,IF($A125=$A124,AL124,1))-Q125&lt;0),-1,MIN(1,IF($A125=$A124,AL124,1)-Q125+$D$2))</f>
        <v>1</v>
      </c>
      <c r="AM125">
        <f>IF(OR($J125=1,COUNTIFS($A$5:$A124,"&gt;="&amp;$A125-1,$A$5:$A124,"&lt;="&amp;$A125,$B$5:$B124,$B125)&gt;0,MIN(1-'Exercise list'!G$2,IF($A125=$A124,AM124,1))-R125&lt;0),-1,MIN(1,IF($A125=$A124,AM124,1)-R125+$D$2))</f>
        <v>1</v>
      </c>
      <c r="AN125">
        <f>IF(OR($J125=1,COUNTIFS($A$5:$A124,"&gt;="&amp;$A125-1,$A$5:$A124,"&lt;="&amp;$A125,$B$5:$B124,$B125)&gt;0,MIN(1-'Exercise list'!H$2,IF($A125=$A124,AN124,1))-S125&lt;0),-1,MIN(1,IF($A125=$A124,AN124,1)-S125+$D$2))</f>
        <v>1</v>
      </c>
      <c r="AO125">
        <f>IF(OR($J125=1,COUNTIFS($A$5:$A124,"&gt;="&amp;$A125-1,$A$5:$A124,"&lt;="&amp;$A125,$B$5:$B124,$B125)&gt;0,MIN(1-'Exercise list'!I$2,IF($A125=$A124,AO124,1))-T125&lt;0),-1,MIN(1,IF($A125=$A124,AO124,1)-T125+$D$2))</f>
        <v>1</v>
      </c>
      <c r="AP125">
        <f>IF(OR($J125=1,COUNTIFS($A$5:$A124,"&gt;="&amp;$A125-1,$A$5:$A124,"&lt;="&amp;$A125,$B$5:$B124,$B125)&gt;0,MIN(1-'Exercise list'!J$2,IF($A125=$A124,AP124,1))-U125&lt;0),-1,MIN(1,IF($A125=$A124,AP124,1)-U125+$D$2))</f>
        <v>1</v>
      </c>
      <c r="AQ125">
        <f>IF(OR($J125=1,COUNTIFS($A$5:$A124,"&gt;="&amp;$A125-1,$A$5:$A124,"&lt;="&amp;$A125,$B$5:$B124,$B125)&gt;0,MIN(1-'Exercise list'!K$2,IF($A125=$A124,AQ124,1))-V125&lt;0),-1,MIN(1,IF($A125=$A124,AQ124,1)-V125+$D$2))</f>
        <v>1</v>
      </c>
      <c r="AR125">
        <f>IF(OR($J125=1,COUNTIFS($A$5:$A124,"&gt;="&amp;$A125-1,$A$5:$A124,"&lt;="&amp;$A125,$B$5:$B124,$B125)&gt;0,MIN(1-'Exercise list'!L$2,IF($A125=$A124,AR124,1))-W125&lt;0),-1,MIN(1,IF($A125=$A124,AR124,1)-W125+$D$2))</f>
        <v>1</v>
      </c>
      <c r="AS125">
        <f>IF(OR($J125=1,COUNTIFS($A$5:$A124,"&gt;="&amp;$A125-1,$A$5:$A124,"&lt;="&amp;$A125,$B$5:$B124,$B125)&gt;0,MIN(1-'Exercise list'!M$2,IF($A125=$A124,AS124,1))-X125&lt;0),-1,MIN(1,IF($A125=$A124,AS124,1)-X125+$D$2))</f>
        <v>1</v>
      </c>
      <c r="AT125">
        <f>IF(OR($J125=1,COUNTIFS($A$5:$A124,"&gt;="&amp;$A125-1,$A$5:$A124,"&lt;="&amp;$A125,$B$5:$B124,$B125)&gt;0,MIN(1-'Exercise list'!N$2,IF($A125=$A124,AT124,1))-Y125&lt;0),-1,MIN(1,IF($A125=$A124,AT124,1)-Y125+$D$2))</f>
        <v>1</v>
      </c>
      <c r="AU125">
        <f>IF(OR($J125=1,COUNTIFS($A$5:$A124,"&gt;="&amp;$A125-1,$A$5:$A124,"&lt;="&amp;$A125,$B$5:$B124,$B125)&gt;0,MIN(1-'Exercise list'!O$2,IF($A125=$A124,AU124,1))-Z125&lt;0),-1,MIN(1,IF($A125=$A124,AU124,1)-Z125+$D$2))</f>
        <v>1</v>
      </c>
      <c r="AV125">
        <f>IF(OR($J125=1,COUNTIFS($A$5:$A124,"&gt;="&amp;$A125-1,$A$5:$A124,"&lt;="&amp;$A125,$B$5:$B124,$B125)&gt;0,MIN(1-'Exercise list'!P$2,IF($A125=$A124,AV124,1))-AA125&lt;0),-1,MIN(1,IF($A125=$A124,AV124,1)-AA125+$D$2))</f>
        <v>1</v>
      </c>
      <c r="AW125">
        <f>IF(OR($J125=1,COUNTIFS($A$5:$A124,"&gt;="&amp;$A125-1,$A$5:$A124,"&lt;="&amp;$A125,$B$5:$B124,$B125)&gt;0,MIN(1-'Exercise list'!Q$2,IF($A125=$A124,AW124,1))-AB125&lt;0),-1,MIN(1,IF($A125=$A124,AW124,1)-AB125+$D$2))</f>
        <v>1</v>
      </c>
      <c r="AX125">
        <f>IF(OR($J125=1,COUNTIFS($A$5:$A124,"&gt;="&amp;$A125-1,$A$5:$A124,"&lt;="&amp;$A125,$B$5:$B124,$B125)&gt;0,MIN(1-'Exercise list'!R$2,IF($A125=$A124,AX124,1))-AC125&lt;0),-1,MIN(1,IF($A125=$A124,AX124,1)-AC125+$D$2))</f>
        <v>1</v>
      </c>
      <c r="AY125">
        <f>IF(OR($J125=1,COUNTIFS($A$5:$A124,"&gt;="&amp;$A125-1,$A$5:$A124,"&lt;="&amp;$A125,$B$5:$B124,$B125)&gt;0,MIN(1-'Exercise list'!S$2,IF($A125=$A124,AY124,1))-AD125&lt;0),-1,MIN(1,IF($A125=$A124,AY124,1)-AD125+$D$2))</f>
        <v>1</v>
      </c>
      <c r="AZ125">
        <f>IF(OR($J125=1,COUNTIFS($A$5:$A124,"&gt;="&amp;$A125-1,$A$5:$A124,"&lt;="&amp;$A125,$B$5:$B124,$B125)&gt;0,MIN(1-'Exercise list'!T$2,IF($A125=$A124,AZ124,1))-AE125&lt;0),-1,MIN(1,IF($A125=$A124,AZ124,1)-AE125+$D$2))</f>
        <v>1</v>
      </c>
      <c r="BA125">
        <f>IF(OR($J125=1,COUNTIFS($A$5:$A124,"&gt;="&amp;$A125-1,$A$5:$A124,"&lt;="&amp;$A125,$B$5:$B124,$B125)&gt;0,MIN(1-'Exercise list'!U$2,IF($A125=$A124,BA124,1))-AF125&lt;0),-1,MIN(1,IF($A125=$A124,BA124,1)-AF125+$D$2))</f>
        <v>1</v>
      </c>
      <c r="BB125">
        <f>IF(OR($J125=1,COUNTIFS($A$5:$A124,"&gt;="&amp;$A125-1,$A$5:$A124,"&lt;="&amp;$A125,$B$5:$B124,$B125)&gt;0,MIN(1-'Exercise list'!V$2,IF($A125=$A124,BB124,1))-AG125&lt;0),-1,MIN(1,IF($A125=$A124,BB124,1)-AG125+$D$2))</f>
        <v>1</v>
      </c>
      <c r="BC125">
        <f>IF(OR($J125=1,COUNTIFS($A$5:$A124,"&gt;="&amp;$A125-1,$A$5:$A124,"&lt;="&amp;$A125,$B$5:$B124,$B125)&gt;0,MIN(1-'Exercise list'!W$2,IF($A125=$A124,BC124,1))-AH125&lt;0),-1,MIN(1,IF($A125=$A124,BC124,1)-AH125+$D$2))</f>
        <v>1</v>
      </c>
      <c r="BD125">
        <f>IF(OR($J125=1,COUNTIFS($A$5:$A124,"&gt;="&amp;$A125-1,$A$5:$A124,"&lt;="&amp;$A125,$B$5:$B124,$B125)&gt;0,MIN(1-'Exercise list'!X$2,IF($A125=$A124,BD124,1))-AI125&lt;0),-1,MIN(1,IF($A125=$A124,BD124,1)-AI125+$D$2))</f>
        <v>1</v>
      </c>
      <c r="BF125" s="16">
        <f t="shared" si="100"/>
        <v>0.14920325793172665</v>
      </c>
      <c r="BG125" s="16">
        <f t="shared" si="101"/>
        <v>0.24088713218477004</v>
      </c>
      <c r="BH125" s="16">
        <f t="shared" si="102"/>
        <v>0.14892291773916178</v>
      </c>
      <c r="BI125" s="16">
        <f t="shared" si="103"/>
        <v>0.16704488365696082</v>
      </c>
      <c r="BJ125" s="16">
        <f t="shared" si="104"/>
        <v>0.12506425816200906</v>
      </c>
      <c r="BK125" s="16">
        <f t="shared" si="105"/>
        <v>0.15603585728138897</v>
      </c>
      <c r="BL125" s="16">
        <f t="shared" si="106"/>
        <v>0.20577400250549382</v>
      </c>
      <c r="BM125" s="16">
        <f t="shared" si="107"/>
        <v>1.8164476750893756E-2</v>
      </c>
      <c r="BN125" s="16">
        <f t="shared" si="108"/>
        <v>0.12198724251075528</v>
      </c>
      <c r="BO125" s="16">
        <f t="shared" si="109"/>
        <v>0.23749121736707865</v>
      </c>
      <c r="BP125" s="16">
        <f t="shared" si="110"/>
        <v>0.27985451855095606</v>
      </c>
      <c r="BQ125" s="16">
        <f t="shared" si="111"/>
        <v>0.11506712041699167</v>
      </c>
      <c r="BR125" s="16">
        <f t="shared" si="112"/>
        <v>0.14386157211684508</v>
      </c>
      <c r="BS125" s="16">
        <f t="shared" si="113"/>
        <v>2.520690279837761E-2</v>
      </c>
      <c r="BT125" s="16">
        <f t="shared" si="114"/>
        <v>0.14653585338755953</v>
      </c>
      <c r="BU125" s="16">
        <f t="shared" si="115"/>
        <v>0.13982392808591995</v>
      </c>
      <c r="BV125" s="16">
        <f t="shared" si="116"/>
        <v>0.17390770991959381</v>
      </c>
      <c r="BW125" s="16">
        <f t="shared" si="117"/>
        <v>9.0257704859899382E-2</v>
      </c>
      <c r="BX125" s="16">
        <f t="shared" si="118"/>
        <v>8.2657295011220225E-2</v>
      </c>
      <c r="BY125" s="16">
        <f t="shared" si="119"/>
        <v>4.152256248394498E-2</v>
      </c>
      <c r="CA125" s="16">
        <f t="shared" si="56"/>
        <v>5.8890846788387963E-2</v>
      </c>
      <c r="CB125" s="16">
        <f t="shared" si="57"/>
        <v>0</v>
      </c>
      <c r="CC125" s="16">
        <f t="shared" si="58"/>
        <v>0</v>
      </c>
      <c r="CD125" s="16">
        <f t="shared" si="59"/>
        <v>0</v>
      </c>
      <c r="CE125" s="16">
        <f t="shared" si="60"/>
        <v>0</v>
      </c>
      <c r="CF125" s="16">
        <f t="shared" si="61"/>
        <v>0.15610529979878296</v>
      </c>
      <c r="CG125" s="16">
        <f t="shared" si="62"/>
        <v>0</v>
      </c>
      <c r="CH125" s="16">
        <f t="shared" si="63"/>
        <v>8.5882575609163542E-2</v>
      </c>
      <c r="CI125" s="16">
        <f t="shared" si="64"/>
        <v>8.6106862209359328E-2</v>
      </c>
      <c r="CJ125" s="16">
        <f t="shared" si="65"/>
        <v>0</v>
      </c>
      <c r="CK125" s="16">
        <f t="shared" si="66"/>
        <v>0</v>
      </c>
      <c r="CL125" s="16">
        <f t="shared" si="67"/>
        <v>0</v>
      </c>
      <c r="CM125" s="16">
        <f t="shared" si="68"/>
        <v>6.4232532603269527E-2</v>
      </c>
      <c r="CN125" s="16">
        <f t="shared" si="69"/>
        <v>7.8840149561679701E-2</v>
      </c>
      <c r="CO125" s="16">
        <f t="shared" si="70"/>
        <v>0</v>
      </c>
      <c r="CP125" s="16">
        <f t="shared" si="71"/>
        <v>0</v>
      </c>
      <c r="CQ125" s="16">
        <f t="shared" si="72"/>
        <v>3.4186394800520797E-2</v>
      </c>
      <c r="CR125" s="16">
        <f t="shared" si="73"/>
        <v>1.3789347500157922E-2</v>
      </c>
      <c r="CS125" s="16">
        <f t="shared" si="74"/>
        <v>2.138975734883708E-2</v>
      </c>
      <c r="CT125" s="16">
        <f t="shared" si="75"/>
        <v>6.2524489876112324E-2</v>
      </c>
    </row>
    <row r="126" spans="1:99" x14ac:dyDescent="0.25">
      <c r="A126" s="13">
        <v>45086</v>
      </c>
      <c r="B126" s="14">
        <v>11</v>
      </c>
      <c r="C126" s="15" t="str" cm="1">
        <f t="array" ref="C126">IF(B126="","",INDEX('Exercise list'!$C$5:$C$102,B126))</f>
        <v>Chin-ups</v>
      </c>
      <c r="D126" s="12">
        <f t="shared" si="97"/>
        <v>1</v>
      </c>
      <c r="E126" s="107">
        <f t="shared" si="120"/>
        <v>0</v>
      </c>
      <c r="F126" s="63" cm="1">
        <f t="array" ref="F126">IF(B126="","",0.1+IFERROR(INDEX($F$6:$F125,SUMPRODUCT(MAX(ROW($C$6:$C125)*($C126=$C$6:$C125))-ROW($A$5)))*0.9^($A126-INDEX($A$6:A125,SUMPRODUCT(MAX(ROW($C$6:$C125)*($C126=$C$6:$C125))-ROW($A$5)))),0))</f>
        <v>0.24707441065708524</v>
      </c>
      <c r="G126" s="64">
        <f>INDEX('Exercise list'!$Y$5:$Y$102,MATCH(C126,'Exercise list'!$C$5:$C$102,0))</f>
        <v>3</v>
      </c>
      <c r="H126" s="115">
        <f t="shared" si="98"/>
        <v>5.644330683375702E-2</v>
      </c>
      <c r="I126" s="6">
        <f t="shared" si="99"/>
        <v>3</v>
      </c>
      <c r="J126" s="6" cm="1">
        <f t="array" ref="J126">IF(B126="","",INDEX('Exercise list'!$D$5:$D$102,B126))</f>
        <v>0</v>
      </c>
      <c r="K126" s="12">
        <v>11</v>
      </c>
      <c r="L126" s="74" t="str" cm="1">
        <f t="array" ref="L126">IF(K126="","",INDEX('Exercise list'!$C$5:$C$102,K126))</f>
        <v>Chin-ups</v>
      </c>
      <c r="M126" s="6">
        <v>29</v>
      </c>
      <c r="N126" s="75" t="str" cm="1">
        <f t="array" ref="N126">IF(M126="","",INDEX('Exercise list'!$C$5:$C$102,M126))</f>
        <v>Hanging leg raises</v>
      </c>
      <c r="P126">
        <f>IFERROR(INDEX('Exercise list'!$E$5:$X$102,MATCH($C126,'Exercise list'!$C$5:$C$102,0),MATCH(P$5,'Exercise list'!$E$4:$X$4,0)),0)</f>
        <v>0</v>
      </c>
      <c r="Q126">
        <f>IFERROR(INDEX('Exercise list'!$E$5:$X$102,MATCH($C126,'Exercise list'!$C$5:$C$102,0),MATCH(Q$5,'Exercise list'!$E$4:$X$4,0)),0)</f>
        <v>1</v>
      </c>
      <c r="R126">
        <f>IFERROR(INDEX('Exercise list'!$E$5:$X$102,MATCH($C126,'Exercise list'!$C$5:$C$102,0),MATCH(R$5,'Exercise list'!$E$4:$X$4,0)),0)</f>
        <v>0.5</v>
      </c>
      <c r="S126">
        <f>IFERROR(INDEX('Exercise list'!$E$5:$X$102,MATCH($C126,'Exercise list'!$C$5:$C$102,0),MATCH(S$5,'Exercise list'!$E$4:$X$4,0)),0)</f>
        <v>0.5</v>
      </c>
      <c r="T126">
        <f>IFERROR(INDEX('Exercise list'!$E$5:$X$102,MATCH($C126,'Exercise list'!$C$5:$C$102,0),MATCH(T$5,'Exercise list'!$E$4:$X$4,0)),0)</f>
        <v>0</v>
      </c>
      <c r="U126">
        <f>IFERROR(INDEX('Exercise list'!$E$5:$X$102,MATCH($C126,'Exercise list'!$C$5:$C$102,0),MATCH(U$5,'Exercise list'!$E$4:$X$4,0)),0)</f>
        <v>0</v>
      </c>
      <c r="V126">
        <f>IFERROR(INDEX('Exercise list'!$E$5:$X$102,MATCH($C126,'Exercise list'!$C$5:$C$102,0),MATCH(V$5,'Exercise list'!$E$4:$X$4,0)),0)</f>
        <v>0</v>
      </c>
      <c r="W126">
        <f>IFERROR(INDEX('Exercise list'!$E$5:$X$102,MATCH($C126,'Exercise list'!$C$5:$C$102,0),MATCH(W$5,'Exercise list'!$E$4:$X$4,0)),0)</f>
        <v>0</v>
      </c>
      <c r="X126">
        <f>IFERROR(INDEX('Exercise list'!$E$5:$X$102,MATCH($C126,'Exercise list'!$C$5:$C$102,0),MATCH(X$5,'Exercise list'!$E$4:$X$4,0)),0)</f>
        <v>0.8</v>
      </c>
      <c r="Y126">
        <f>IFERROR(INDEX('Exercise list'!$E$5:$X$102,MATCH($C126,'Exercise list'!$C$5:$C$102,0),MATCH(Y$5,'Exercise list'!$E$4:$X$4,0)),0)</f>
        <v>0</v>
      </c>
      <c r="Z126">
        <f>IFERROR(INDEX('Exercise list'!$E$5:$X$102,MATCH($C126,'Exercise list'!$C$5:$C$102,0),MATCH(Z$5,'Exercise list'!$E$4:$X$4,0)),0)</f>
        <v>0.8</v>
      </c>
      <c r="AA126">
        <f>IFERROR(INDEX('Exercise list'!$E$5:$X$102,MATCH($C126,'Exercise list'!$C$5:$C$102,0),MATCH(AA$5,'Exercise list'!$E$4:$X$4,0)),0)</f>
        <v>0</v>
      </c>
      <c r="AB126">
        <f>IFERROR(INDEX('Exercise list'!$E$5:$X$102,MATCH($C126,'Exercise list'!$C$5:$C$102,0),MATCH(AB$5,'Exercise list'!$E$4:$X$4,0)),0)</f>
        <v>0</v>
      </c>
      <c r="AC126">
        <f>IFERROR(INDEX('Exercise list'!$E$5:$X$102,MATCH($C126,'Exercise list'!$C$5:$C$102,0),MATCH(AC$5,'Exercise list'!$E$4:$X$4,0)),0)</f>
        <v>0</v>
      </c>
      <c r="AD126">
        <f>IFERROR(INDEX('Exercise list'!$E$5:$X$102,MATCH($C126,'Exercise list'!$C$5:$C$102,0),MATCH(AD$5,'Exercise list'!$E$4:$X$4,0)),0)</f>
        <v>0</v>
      </c>
      <c r="AE126">
        <f>IFERROR(INDEX('Exercise list'!$E$5:$X$102,MATCH($C126,'Exercise list'!$C$5:$C$102,0),MATCH(AE$5,'Exercise list'!$E$4:$X$4,0)),0)</f>
        <v>0</v>
      </c>
      <c r="AF126">
        <f>IFERROR(INDEX('Exercise list'!$E$5:$X$102,MATCH($C126,'Exercise list'!$C$5:$C$102,0),MATCH(AF$5,'Exercise list'!$E$4:$X$4,0)),0)</f>
        <v>0</v>
      </c>
      <c r="AG126">
        <f>IFERROR(INDEX('Exercise list'!$E$5:$X$102,MATCH($C126,'Exercise list'!$C$5:$C$102,0),MATCH(AG$5,'Exercise list'!$E$4:$X$4,0)),0)</f>
        <v>0</v>
      </c>
      <c r="AH126">
        <f>IFERROR(INDEX('Exercise list'!$E$5:$X$102,MATCH($C126,'Exercise list'!$C$5:$C$102,0),MATCH(AH$5,'Exercise list'!$E$4:$X$4,0)),0)</f>
        <v>0</v>
      </c>
      <c r="AI126">
        <f>IFERROR(INDEX('Exercise list'!$E$5:$X$102,MATCH($C126,'Exercise list'!$C$5:$C$102,0),MATCH(AI$5,'Exercise list'!$E$4:$X$4,0)),0)</f>
        <v>0</v>
      </c>
      <c r="AK126">
        <f>IF(OR($J126=1,COUNTIFS($A$5:$A125,"&gt;="&amp;$A126-1,$A$5:$A125,"&lt;="&amp;$A126,$B$5:$B125,$B126)&gt;0,MIN(1-'Exercise list'!E$2,IF($A126=$A125,AK125,1))-P126&lt;0),-1,MIN(1,IF($A126=$A125,AK125,1)-P126+$D$2))</f>
        <v>1</v>
      </c>
      <c r="AL126">
        <f>IF(OR($J126=1,COUNTIFS($A$5:$A125,"&gt;="&amp;$A126-1,$A$5:$A125,"&lt;="&amp;$A126,$B$5:$B125,$B126)&gt;0,MIN(1-'Exercise list'!F$2,IF($A126=$A125,AL125,1))-Q126&lt;0),-1,MIN(1,IF($A126=$A125,AL125,1)-Q126+$D$2))</f>
        <v>1</v>
      </c>
      <c r="AM126">
        <f>IF(OR($J126=1,COUNTIFS($A$5:$A125,"&gt;="&amp;$A126-1,$A$5:$A125,"&lt;="&amp;$A126,$B$5:$B125,$B126)&gt;0,MIN(1-'Exercise list'!G$2,IF($A126=$A125,AM125,1))-R126&lt;0),-1,MIN(1,IF($A126=$A125,AM125,1)-R126+$D$2))</f>
        <v>1</v>
      </c>
      <c r="AN126">
        <f>IF(OR($J126=1,COUNTIFS($A$5:$A125,"&gt;="&amp;$A126-1,$A$5:$A125,"&lt;="&amp;$A126,$B$5:$B125,$B126)&gt;0,MIN(1-'Exercise list'!H$2,IF($A126=$A125,AN125,1))-S126&lt;0),-1,MIN(1,IF($A126=$A125,AN125,1)-S126+$D$2))</f>
        <v>1</v>
      </c>
      <c r="AO126">
        <f>IF(OR($J126=1,COUNTIFS($A$5:$A125,"&gt;="&amp;$A126-1,$A$5:$A125,"&lt;="&amp;$A126,$B$5:$B125,$B126)&gt;0,MIN(1-'Exercise list'!I$2,IF($A126=$A125,AO125,1))-T126&lt;0),-1,MIN(1,IF($A126=$A125,AO125,1)-T126+$D$2))</f>
        <v>1</v>
      </c>
      <c r="AP126">
        <f>IF(OR($J126=1,COUNTIFS($A$5:$A125,"&gt;="&amp;$A126-1,$A$5:$A125,"&lt;="&amp;$A126,$B$5:$B125,$B126)&gt;0,MIN(1-'Exercise list'!J$2,IF($A126=$A125,AP125,1))-U126&lt;0),-1,MIN(1,IF($A126=$A125,AP125,1)-U126+$D$2))</f>
        <v>1</v>
      </c>
      <c r="AQ126">
        <f>IF(OR($J126=1,COUNTIFS($A$5:$A125,"&gt;="&amp;$A126-1,$A$5:$A125,"&lt;="&amp;$A126,$B$5:$B125,$B126)&gt;0,MIN(1-'Exercise list'!K$2,IF($A126=$A125,AQ125,1))-V126&lt;0),-1,MIN(1,IF($A126=$A125,AQ125,1)-V126+$D$2))</f>
        <v>1</v>
      </c>
      <c r="AR126">
        <f>IF(OR($J126=1,COUNTIFS($A$5:$A125,"&gt;="&amp;$A126-1,$A$5:$A125,"&lt;="&amp;$A126,$B$5:$B125,$B126)&gt;0,MIN(1-'Exercise list'!L$2,IF($A126=$A125,AR125,1))-W126&lt;0),-1,MIN(1,IF($A126=$A125,AR125,1)-W126+$D$2))</f>
        <v>1</v>
      </c>
      <c r="AS126">
        <f>IF(OR($J126=1,COUNTIFS($A$5:$A125,"&gt;="&amp;$A126-1,$A$5:$A125,"&lt;="&amp;$A126,$B$5:$B125,$B126)&gt;0,MIN(1-'Exercise list'!M$2,IF($A126=$A125,AS125,1))-X126&lt;0),-1,MIN(1,IF($A126=$A125,AS125,1)-X126+$D$2))</f>
        <v>1</v>
      </c>
      <c r="AT126">
        <f>IF(OR($J126=1,COUNTIFS($A$5:$A125,"&gt;="&amp;$A126-1,$A$5:$A125,"&lt;="&amp;$A126,$B$5:$B125,$B126)&gt;0,MIN(1-'Exercise list'!N$2,IF($A126=$A125,AT125,1))-Y126&lt;0),-1,MIN(1,IF($A126=$A125,AT125,1)-Y126+$D$2))</f>
        <v>1</v>
      </c>
      <c r="AU126">
        <f>IF(OR($J126=1,COUNTIFS($A$5:$A125,"&gt;="&amp;$A126-1,$A$5:$A125,"&lt;="&amp;$A126,$B$5:$B125,$B126)&gt;0,MIN(1-'Exercise list'!O$2,IF($A126=$A125,AU125,1))-Z126&lt;0),-1,MIN(1,IF($A126=$A125,AU125,1)-Z126+$D$2))</f>
        <v>1</v>
      </c>
      <c r="AV126">
        <f>IF(OR($J126=1,COUNTIFS($A$5:$A125,"&gt;="&amp;$A126-1,$A$5:$A125,"&lt;="&amp;$A126,$B$5:$B125,$B126)&gt;0,MIN(1-'Exercise list'!P$2,IF($A126=$A125,AV125,1))-AA126&lt;0),-1,MIN(1,IF($A126=$A125,AV125,1)-AA126+$D$2))</f>
        <v>1</v>
      </c>
      <c r="AW126">
        <f>IF(OR($J126=1,COUNTIFS($A$5:$A125,"&gt;="&amp;$A126-1,$A$5:$A125,"&lt;="&amp;$A126,$B$5:$B125,$B126)&gt;0,MIN(1-'Exercise list'!Q$2,IF($A126=$A125,AW125,1))-AB126&lt;0),-1,MIN(1,IF($A126=$A125,AW125,1)-AB126+$D$2))</f>
        <v>1</v>
      </c>
      <c r="AX126">
        <f>IF(OR($J126=1,COUNTIFS($A$5:$A125,"&gt;="&amp;$A126-1,$A$5:$A125,"&lt;="&amp;$A126,$B$5:$B125,$B126)&gt;0,MIN(1-'Exercise list'!R$2,IF($A126=$A125,AX125,1))-AC126&lt;0),-1,MIN(1,IF($A126=$A125,AX125,1)-AC126+$D$2))</f>
        <v>1</v>
      </c>
      <c r="AY126">
        <f>IF(OR($J126=1,COUNTIFS($A$5:$A125,"&gt;="&amp;$A126-1,$A$5:$A125,"&lt;="&amp;$A126,$B$5:$B125,$B126)&gt;0,MIN(1-'Exercise list'!S$2,IF($A126=$A125,AY125,1))-AD126&lt;0),-1,MIN(1,IF($A126=$A125,AY125,1)-AD126+$D$2))</f>
        <v>1</v>
      </c>
      <c r="AZ126">
        <f>IF(OR($J126=1,COUNTIFS($A$5:$A125,"&gt;="&amp;$A126-1,$A$5:$A125,"&lt;="&amp;$A126,$B$5:$B125,$B126)&gt;0,MIN(1-'Exercise list'!T$2,IF($A126=$A125,AZ125,1))-AE126&lt;0),-1,MIN(1,IF($A126=$A125,AZ125,1)-AE126+$D$2))</f>
        <v>1</v>
      </c>
      <c r="BA126">
        <f>IF(OR($J126=1,COUNTIFS($A$5:$A125,"&gt;="&amp;$A126-1,$A$5:$A125,"&lt;="&amp;$A126,$B$5:$B125,$B126)&gt;0,MIN(1-'Exercise list'!U$2,IF($A126=$A125,BA125,1))-AF126&lt;0),-1,MIN(1,IF($A126=$A125,BA125,1)-AF126+$D$2))</f>
        <v>1</v>
      </c>
      <c r="BB126">
        <f>IF(OR($J126=1,COUNTIFS($A$5:$A125,"&gt;="&amp;$A126-1,$A$5:$A125,"&lt;="&amp;$A126,$B$5:$B125,$B126)&gt;0,MIN(1-'Exercise list'!V$2,IF($A126=$A125,BB125,1))-AG126&lt;0),-1,MIN(1,IF($A126=$A125,BB125,1)-AG126+$D$2))</f>
        <v>1</v>
      </c>
      <c r="BC126">
        <f>IF(OR($J126=1,COUNTIFS($A$5:$A125,"&gt;="&amp;$A126-1,$A$5:$A125,"&lt;="&amp;$A126,$B$5:$B125,$B126)&gt;0,MIN(1-'Exercise list'!W$2,IF($A126=$A125,BC125,1))-AH126&lt;0),-1,MIN(1,IF($A126=$A125,BC125,1)-AH126+$D$2))</f>
        <v>1</v>
      </c>
      <c r="BD126">
        <f>IF(OR($J126=1,COUNTIFS($A$5:$A125,"&gt;="&amp;$A126-1,$A$5:$A125,"&lt;="&amp;$A126,$B$5:$B125,$B126)&gt;0,MIN(1-'Exercise list'!X$2,IF($A126=$A125,BD125,1))-AI126&lt;0),-1,MIN(1,IF($A126=$A125,BD125,1)-AI126+$D$2))</f>
        <v>1</v>
      </c>
      <c r="BF126" s="16">
        <f t="shared" si="100"/>
        <v>0.14174309503514032</v>
      </c>
      <c r="BG126" s="16">
        <f t="shared" si="101"/>
        <v>0.27884277557553155</v>
      </c>
      <c r="BH126" s="16">
        <f t="shared" si="102"/>
        <v>0.16647677185220366</v>
      </c>
      <c r="BI126" s="16">
        <f t="shared" si="103"/>
        <v>0.18369263947411277</v>
      </c>
      <c r="BJ126" s="16">
        <f t="shared" si="104"/>
        <v>0.11881104525390859</v>
      </c>
      <c r="BK126" s="16">
        <f t="shared" si="105"/>
        <v>0.14823406441731951</v>
      </c>
      <c r="BL126" s="16">
        <f t="shared" si="106"/>
        <v>0.19548530238021913</v>
      </c>
      <c r="BM126" s="16">
        <f t="shared" si="107"/>
        <v>1.7256252913349066E-2</v>
      </c>
      <c r="BN126" s="16">
        <f t="shared" si="108"/>
        <v>0.1558878803852175</v>
      </c>
      <c r="BO126" s="16">
        <f t="shared" si="109"/>
        <v>0.2256166564987247</v>
      </c>
      <c r="BP126" s="16">
        <f t="shared" si="110"/>
        <v>0.30586179262340829</v>
      </c>
      <c r="BQ126" s="16">
        <f t="shared" si="111"/>
        <v>0.10931376439614209</v>
      </c>
      <c r="BR126" s="16">
        <f t="shared" si="112"/>
        <v>0.13666849351100283</v>
      </c>
      <c r="BS126" s="16">
        <f t="shared" si="113"/>
        <v>2.3946557658458729E-2</v>
      </c>
      <c r="BT126" s="16">
        <f t="shared" si="114"/>
        <v>0.13920906071818154</v>
      </c>
      <c r="BU126" s="16">
        <f t="shared" si="115"/>
        <v>0.13283273168162396</v>
      </c>
      <c r="BV126" s="16">
        <f t="shared" si="116"/>
        <v>0.16521232442361411</v>
      </c>
      <c r="BW126" s="16">
        <f t="shared" si="117"/>
        <v>8.5744819616904402E-2</v>
      </c>
      <c r="BX126" s="16">
        <f t="shared" si="118"/>
        <v>7.8524430260659209E-2</v>
      </c>
      <c r="BY126" s="16">
        <f t="shared" si="119"/>
        <v>3.9446434359747727E-2</v>
      </c>
      <c r="CA126" s="16">
        <f t="shared" si="56"/>
        <v>6.927963778230195E-2</v>
      </c>
      <c r="CB126" s="16">
        <f t="shared" si="57"/>
        <v>0</v>
      </c>
      <c r="CC126" s="16">
        <f t="shared" si="58"/>
        <v>0</v>
      </c>
      <c r="CD126" s="16">
        <f t="shared" si="59"/>
        <v>0</v>
      </c>
      <c r="CE126" s="16">
        <f t="shared" si="60"/>
        <v>0</v>
      </c>
      <c r="CF126" s="16">
        <f t="shared" si="61"/>
        <v>0.16830003480884392</v>
      </c>
      <c r="CG126" s="16">
        <f t="shared" si="62"/>
        <v>0</v>
      </c>
      <c r="CH126" s="16">
        <f t="shared" si="63"/>
        <v>8.8255113495372073E-2</v>
      </c>
      <c r="CI126" s="16">
        <f t="shared" si="64"/>
        <v>5.5134852432224768E-2</v>
      </c>
      <c r="CJ126" s="16">
        <f t="shared" si="65"/>
        <v>0</v>
      </c>
      <c r="CK126" s="16">
        <f t="shared" si="66"/>
        <v>0</v>
      </c>
      <c r="CL126" s="16">
        <f t="shared" si="67"/>
        <v>0</v>
      </c>
      <c r="CM126" s="16">
        <f t="shared" si="68"/>
        <v>7.4354239306439446E-2</v>
      </c>
      <c r="CN126" s="16">
        <f t="shared" si="69"/>
        <v>8.156480875026241E-2</v>
      </c>
      <c r="CO126" s="16">
        <f t="shared" si="70"/>
        <v>0</v>
      </c>
      <c r="CP126" s="16">
        <f t="shared" si="71"/>
        <v>0</v>
      </c>
      <c r="CQ126" s="16">
        <f t="shared" si="72"/>
        <v>4.5810408393828161E-2</v>
      </c>
      <c r="CR126" s="16">
        <f t="shared" si="73"/>
        <v>1.9766546791816733E-2</v>
      </c>
      <c r="CS126" s="16">
        <f t="shared" si="74"/>
        <v>2.6986936148061927E-2</v>
      </c>
      <c r="CT126" s="16">
        <f t="shared" si="75"/>
        <v>6.6064932048973402E-2</v>
      </c>
    </row>
    <row r="127" spans="1:99" x14ac:dyDescent="0.25">
      <c r="A127" s="13">
        <v>45086</v>
      </c>
      <c r="B127" s="14">
        <v>8</v>
      </c>
      <c r="C127" s="15" t="str" cm="1">
        <f t="array" ref="C127">IF(B127="","",INDEX('Exercise list'!$C$5:$C$102,B127))</f>
        <v>Barbell deadlifts</v>
      </c>
      <c r="D127" s="12">
        <f t="shared" si="97"/>
        <v>1</v>
      </c>
      <c r="E127" s="107">
        <f t="shared" si="120"/>
        <v>0</v>
      </c>
      <c r="F127" s="63" cm="1">
        <f t="array" ref="F127">IF(B127="","",0.1+IFERROR(INDEX($F$6:$F126,SUMPRODUCT(MAX(ROW($C$6:$C126)*($C127=$C$6:$C126))-ROW($A$5)))*0.9^($A127-INDEX($A$6:A126,SUMPRODUCT(MAX(ROW($C$6:$C126)*($C127=$C$6:$C126))-ROW($A$5)))),0))</f>
        <v>0.18686883360427148</v>
      </c>
      <c r="G127" s="64">
        <f>INDEX('Exercise list'!$Y$5:$Y$102,MATCH(C127,'Exercise list'!$C$5:$C$102,0))</f>
        <v>3</v>
      </c>
      <c r="H127" s="115">
        <f t="shared" si="98"/>
        <v>6.0843757471714256E-2</v>
      </c>
      <c r="I127" s="6">
        <f t="shared" si="99"/>
        <v>4</v>
      </c>
      <c r="J127" s="6" cm="1">
        <f t="array" ref="J127">IF(B127="","",INDEX('Exercise list'!$D$5:$D$102,B127))</f>
        <v>0</v>
      </c>
      <c r="K127" s="12">
        <v>23</v>
      </c>
      <c r="L127" s="74" t="str" cm="1">
        <f t="array" ref="L127">IF(K127="","",INDEX('Exercise list'!$C$5:$C$102,K127))</f>
        <v>Barbell bench presses</v>
      </c>
      <c r="M127" s="6">
        <v>37</v>
      </c>
      <c r="N127" s="75" t="str" cm="1">
        <f t="array" ref="N127">IF(M127="","",INDEX('Exercise list'!$C$5:$C$102,M127))</f>
        <v>Barbell low-bar squats</v>
      </c>
      <c r="P127">
        <f>IFERROR(INDEX('Exercise list'!$E$5:$X$102,MATCH($C127,'Exercise list'!$C$5:$C$102,0),MATCH(P$5,'Exercise list'!$E$4:$X$4,0)),0)</f>
        <v>0</v>
      </c>
      <c r="Q127">
        <f>IFERROR(INDEX('Exercise list'!$E$5:$X$102,MATCH($C127,'Exercise list'!$C$5:$C$102,0),MATCH(Q$5,'Exercise list'!$E$4:$X$4,0)),0)</f>
        <v>0</v>
      </c>
      <c r="R127">
        <f>IFERROR(INDEX('Exercise list'!$E$5:$X$102,MATCH($C127,'Exercise list'!$C$5:$C$102,0),MATCH(R$5,'Exercise list'!$E$4:$X$4,0)),0)</f>
        <v>0</v>
      </c>
      <c r="S127">
        <f>IFERROR(INDEX('Exercise list'!$E$5:$X$102,MATCH($C127,'Exercise list'!$C$5:$C$102,0),MATCH(S$5,'Exercise list'!$E$4:$X$4,0)),0)</f>
        <v>0</v>
      </c>
      <c r="T127">
        <f>IFERROR(INDEX('Exercise list'!$E$5:$X$102,MATCH($C127,'Exercise list'!$C$5:$C$102,0),MATCH(T$5,'Exercise list'!$E$4:$X$4,0)),0)</f>
        <v>1</v>
      </c>
      <c r="U127">
        <f>IFERROR(INDEX('Exercise list'!$E$5:$X$102,MATCH($C127,'Exercise list'!$C$5:$C$102,0),MATCH(U$5,'Exercise list'!$E$4:$X$4,0)),0)</f>
        <v>0</v>
      </c>
      <c r="V127">
        <f>IFERROR(INDEX('Exercise list'!$E$5:$X$102,MATCH($C127,'Exercise list'!$C$5:$C$102,0),MATCH(V$5,'Exercise list'!$E$4:$X$4,0)),0)</f>
        <v>0</v>
      </c>
      <c r="W127">
        <f>IFERROR(INDEX('Exercise list'!$E$5:$X$102,MATCH($C127,'Exercise list'!$C$5:$C$102,0),MATCH(W$5,'Exercise list'!$E$4:$X$4,0)),0)</f>
        <v>0</v>
      </c>
      <c r="X127">
        <f>IFERROR(INDEX('Exercise list'!$E$5:$X$102,MATCH($C127,'Exercise list'!$C$5:$C$102,0),MATCH(X$5,'Exercise list'!$E$4:$X$4,0)),0)</f>
        <v>0</v>
      </c>
      <c r="Y127">
        <f>IFERROR(INDEX('Exercise list'!$E$5:$X$102,MATCH($C127,'Exercise list'!$C$5:$C$102,0),MATCH(Y$5,'Exercise list'!$E$4:$X$4,0)),0)</f>
        <v>0</v>
      </c>
      <c r="Z127">
        <f>IFERROR(INDEX('Exercise list'!$E$5:$X$102,MATCH($C127,'Exercise list'!$C$5:$C$102,0),MATCH(Z$5,'Exercise list'!$E$4:$X$4,0)),0)</f>
        <v>1</v>
      </c>
      <c r="AA127">
        <f>IFERROR(INDEX('Exercise list'!$E$5:$X$102,MATCH($C127,'Exercise list'!$C$5:$C$102,0),MATCH(AA$5,'Exercise list'!$E$4:$X$4,0)),0)</f>
        <v>0</v>
      </c>
      <c r="AB127">
        <f>IFERROR(INDEX('Exercise list'!$E$5:$X$102,MATCH($C127,'Exercise list'!$C$5:$C$102,0),MATCH(AB$5,'Exercise list'!$E$4:$X$4,0)),0)</f>
        <v>0.5</v>
      </c>
      <c r="AC127">
        <f>IFERROR(INDEX('Exercise list'!$E$5:$X$102,MATCH($C127,'Exercise list'!$C$5:$C$102,0),MATCH(AC$5,'Exercise list'!$E$4:$X$4,0)),0)</f>
        <v>0</v>
      </c>
      <c r="AD127">
        <f>IFERROR(INDEX('Exercise list'!$E$5:$X$102,MATCH($C127,'Exercise list'!$C$5:$C$102,0),MATCH(AD$5,'Exercise list'!$E$4:$X$4,0)),0)</f>
        <v>0.6</v>
      </c>
      <c r="AE127">
        <f>IFERROR(INDEX('Exercise list'!$E$5:$X$102,MATCH($C127,'Exercise list'!$C$5:$C$102,0),MATCH(AE$5,'Exercise list'!$E$4:$X$4,0)),0)</f>
        <v>0.7</v>
      </c>
      <c r="AF127">
        <f>IFERROR(INDEX('Exercise list'!$E$5:$X$102,MATCH($C127,'Exercise list'!$C$5:$C$102,0),MATCH(AF$5,'Exercise list'!$E$4:$X$4,0)),0)</f>
        <v>1</v>
      </c>
      <c r="AG127">
        <f>IFERROR(INDEX('Exercise list'!$E$5:$X$102,MATCH($C127,'Exercise list'!$C$5:$C$102,0),MATCH(AG$5,'Exercise list'!$E$4:$X$4,0)),0)</f>
        <v>0</v>
      </c>
      <c r="AH127">
        <f>IFERROR(INDEX('Exercise list'!$E$5:$X$102,MATCH($C127,'Exercise list'!$C$5:$C$102,0),MATCH(AH$5,'Exercise list'!$E$4:$X$4,0)),0)</f>
        <v>0</v>
      </c>
      <c r="AI127">
        <f>IFERROR(INDEX('Exercise list'!$E$5:$X$102,MATCH($C127,'Exercise list'!$C$5:$C$102,0),MATCH(AI$5,'Exercise list'!$E$4:$X$4,0)),0)</f>
        <v>0</v>
      </c>
      <c r="AK127">
        <f>IF(OR($J127=1,COUNTIFS($A$5:$A126,"&gt;="&amp;$A127-1,$A$5:$A126,"&lt;="&amp;$A127,$B$5:$B126,$B127)&gt;0,MIN(1-'Exercise list'!E$2,IF($A127=$A126,AK126,1))-P127&lt;0),-1,MIN(1,IF($A127=$A126,AK126,1)-P127+$D$2))</f>
        <v>1</v>
      </c>
      <c r="AL127">
        <f>IF(OR($J127=1,COUNTIFS($A$5:$A126,"&gt;="&amp;$A127-1,$A$5:$A126,"&lt;="&amp;$A127,$B$5:$B126,$B127)&gt;0,MIN(1-'Exercise list'!F$2,IF($A127=$A126,AL126,1))-Q127&lt;0),-1,MIN(1,IF($A127=$A126,AL126,1)-Q127+$D$2))</f>
        <v>1</v>
      </c>
      <c r="AM127">
        <f>IF(OR($J127=1,COUNTIFS($A$5:$A126,"&gt;="&amp;$A127-1,$A$5:$A126,"&lt;="&amp;$A127,$B$5:$B126,$B127)&gt;0,MIN(1-'Exercise list'!G$2,IF($A127=$A126,AM126,1))-R127&lt;0),-1,MIN(1,IF($A127=$A126,AM126,1)-R127+$D$2))</f>
        <v>1</v>
      </c>
      <c r="AN127">
        <f>IF(OR($J127=1,COUNTIFS($A$5:$A126,"&gt;="&amp;$A127-1,$A$5:$A126,"&lt;="&amp;$A127,$B$5:$B126,$B127)&gt;0,MIN(1-'Exercise list'!H$2,IF($A127=$A126,AN126,1))-S127&lt;0),-1,MIN(1,IF($A127=$A126,AN126,1)-S127+$D$2))</f>
        <v>1</v>
      </c>
      <c r="AO127">
        <f>IF(OR($J127=1,COUNTIFS($A$5:$A126,"&gt;="&amp;$A127-1,$A$5:$A126,"&lt;="&amp;$A127,$B$5:$B126,$B127)&gt;0,MIN(1-'Exercise list'!I$2,IF($A127=$A126,AO126,1))-T127&lt;0),-1,MIN(1,IF($A127=$A126,AO126,1)-T127+$D$2))</f>
        <v>1</v>
      </c>
      <c r="AP127">
        <f>IF(OR($J127=1,COUNTIFS($A$5:$A126,"&gt;="&amp;$A127-1,$A$5:$A126,"&lt;="&amp;$A127,$B$5:$B126,$B127)&gt;0,MIN(1-'Exercise list'!J$2,IF($A127=$A126,AP126,1))-U127&lt;0),-1,MIN(1,IF($A127=$A126,AP126,1)-U127+$D$2))</f>
        <v>1</v>
      </c>
      <c r="AQ127">
        <f>IF(OR($J127=1,COUNTIFS($A$5:$A126,"&gt;="&amp;$A127-1,$A$5:$A126,"&lt;="&amp;$A127,$B$5:$B126,$B127)&gt;0,MIN(1-'Exercise list'!K$2,IF($A127=$A126,AQ126,1))-V127&lt;0),-1,MIN(1,IF($A127=$A126,AQ126,1)-V127+$D$2))</f>
        <v>1</v>
      </c>
      <c r="AR127">
        <f>IF(OR($J127=1,COUNTIFS($A$5:$A126,"&gt;="&amp;$A127-1,$A$5:$A126,"&lt;="&amp;$A127,$B$5:$B126,$B127)&gt;0,MIN(1-'Exercise list'!L$2,IF($A127=$A126,AR126,1))-W127&lt;0),-1,MIN(1,IF($A127=$A126,AR126,1)-W127+$D$2))</f>
        <v>1</v>
      </c>
      <c r="AS127">
        <f>IF(OR($J127=1,COUNTIFS($A$5:$A126,"&gt;="&amp;$A127-1,$A$5:$A126,"&lt;="&amp;$A127,$B$5:$B126,$B127)&gt;0,MIN(1-'Exercise list'!M$2,IF($A127=$A126,AS126,1))-X127&lt;0),-1,MIN(1,IF($A127=$A126,AS126,1)-X127+$D$2))</f>
        <v>1</v>
      </c>
      <c r="AT127">
        <f>IF(OR($J127=1,COUNTIFS($A$5:$A126,"&gt;="&amp;$A127-1,$A$5:$A126,"&lt;="&amp;$A127,$B$5:$B126,$B127)&gt;0,MIN(1-'Exercise list'!N$2,IF($A127=$A126,AT126,1))-Y127&lt;0),-1,MIN(1,IF($A127=$A126,AT126,1)-Y127+$D$2))</f>
        <v>1</v>
      </c>
      <c r="AU127">
        <f>IF(OR($J127=1,COUNTIFS($A$5:$A126,"&gt;="&amp;$A127-1,$A$5:$A126,"&lt;="&amp;$A127,$B$5:$B126,$B127)&gt;0,MIN(1-'Exercise list'!O$2,IF($A127=$A126,AU126,1))-Z127&lt;0),-1,MIN(1,IF($A127=$A126,AU126,1)-Z127+$D$2))</f>
        <v>1</v>
      </c>
      <c r="AV127">
        <f>IF(OR($J127=1,COUNTIFS($A$5:$A126,"&gt;="&amp;$A127-1,$A$5:$A126,"&lt;="&amp;$A127,$B$5:$B126,$B127)&gt;0,MIN(1-'Exercise list'!P$2,IF($A127=$A126,AV126,1))-AA127&lt;0),-1,MIN(1,IF($A127=$A126,AV126,1)-AA127+$D$2))</f>
        <v>1</v>
      </c>
      <c r="AW127">
        <f>IF(OR($J127=1,COUNTIFS($A$5:$A126,"&gt;="&amp;$A127-1,$A$5:$A126,"&lt;="&amp;$A127,$B$5:$B126,$B127)&gt;0,MIN(1-'Exercise list'!Q$2,IF($A127=$A126,AW126,1))-AB127&lt;0),-1,MIN(1,IF($A127=$A126,AW126,1)-AB127+$D$2))</f>
        <v>1</v>
      </c>
      <c r="AX127">
        <f>IF(OR($J127=1,COUNTIFS($A$5:$A126,"&gt;="&amp;$A127-1,$A$5:$A126,"&lt;="&amp;$A127,$B$5:$B126,$B127)&gt;0,MIN(1-'Exercise list'!R$2,IF($A127=$A126,AX126,1))-AC127&lt;0),-1,MIN(1,IF($A127=$A126,AX126,1)-AC127+$D$2))</f>
        <v>1</v>
      </c>
      <c r="AY127">
        <f>IF(OR($J127=1,COUNTIFS($A$5:$A126,"&gt;="&amp;$A127-1,$A$5:$A126,"&lt;="&amp;$A127,$B$5:$B126,$B127)&gt;0,MIN(1-'Exercise list'!S$2,IF($A127=$A126,AY126,1))-AD127&lt;0),-1,MIN(1,IF($A127=$A126,AY126,1)-AD127+$D$2))</f>
        <v>1</v>
      </c>
      <c r="AZ127">
        <f>IF(OR($J127=1,COUNTIFS($A$5:$A126,"&gt;="&amp;$A127-1,$A$5:$A126,"&lt;="&amp;$A127,$B$5:$B126,$B127)&gt;0,MIN(1-'Exercise list'!T$2,IF($A127=$A126,AZ126,1))-AE127&lt;0),-1,MIN(1,IF($A127=$A126,AZ126,1)-AE127+$D$2))</f>
        <v>1</v>
      </c>
      <c r="BA127">
        <f>IF(OR($J127=1,COUNTIFS($A$5:$A126,"&gt;="&amp;$A127-1,$A$5:$A126,"&lt;="&amp;$A127,$B$5:$B126,$B127)&gt;0,MIN(1-'Exercise list'!U$2,IF($A127=$A126,BA126,1))-AF127&lt;0),-1,MIN(1,IF($A127=$A126,BA126,1)-AF127+$D$2))</f>
        <v>1</v>
      </c>
      <c r="BB127">
        <f>IF(OR($J127=1,COUNTIFS($A$5:$A126,"&gt;="&amp;$A127-1,$A$5:$A126,"&lt;="&amp;$A127,$B$5:$B126,$B127)&gt;0,MIN(1-'Exercise list'!V$2,IF($A127=$A126,BB126,1))-AG127&lt;0),-1,MIN(1,IF($A127=$A126,BB126,1)-AG127+$D$2))</f>
        <v>1</v>
      </c>
      <c r="BC127">
        <f>IF(OR($J127=1,COUNTIFS($A$5:$A126,"&gt;="&amp;$A127-1,$A$5:$A126,"&lt;="&amp;$A127,$B$5:$B126,$B127)&gt;0,MIN(1-'Exercise list'!W$2,IF($A127=$A126,BC126,1))-AH127&lt;0),-1,MIN(1,IF($A127=$A126,BC126,1)-AH127+$D$2))</f>
        <v>1</v>
      </c>
      <c r="BD127">
        <f>IF(OR($J127=1,COUNTIFS($A$5:$A126,"&gt;="&amp;$A127-1,$A$5:$A126,"&lt;="&amp;$A127,$B$5:$B126,$B127)&gt;0,MIN(1-'Exercise list'!X$2,IF($A127=$A126,BD126,1))-AI127&lt;0),-1,MIN(1,IF($A127=$A126,BD126,1)-AI127+$D$2))</f>
        <v>1</v>
      </c>
      <c r="BF127" s="16">
        <f t="shared" si="100"/>
        <v>0.13465594028338329</v>
      </c>
      <c r="BG127" s="16">
        <f t="shared" si="101"/>
        <v>0.26490063679675496</v>
      </c>
      <c r="BH127" s="16">
        <f t="shared" si="102"/>
        <v>0.15815293325959348</v>
      </c>
      <c r="BI127" s="16">
        <f t="shared" si="103"/>
        <v>0.17450800750040713</v>
      </c>
      <c r="BJ127" s="16">
        <f t="shared" si="104"/>
        <v>0.16287049299121314</v>
      </c>
      <c r="BK127" s="16">
        <f t="shared" si="105"/>
        <v>0.14082236119645353</v>
      </c>
      <c r="BL127" s="16">
        <f t="shared" si="106"/>
        <v>0.18571103726120816</v>
      </c>
      <c r="BM127" s="16">
        <f t="shared" si="107"/>
        <v>1.6393440267681612E-2</v>
      </c>
      <c r="BN127" s="16">
        <f t="shared" si="108"/>
        <v>0.14809348636595662</v>
      </c>
      <c r="BO127" s="16">
        <f t="shared" si="109"/>
        <v>0.21433582367378845</v>
      </c>
      <c r="BP127" s="16">
        <f t="shared" si="110"/>
        <v>0.34056870299223785</v>
      </c>
      <c r="BQ127" s="16">
        <f t="shared" si="111"/>
        <v>0.10384807617633497</v>
      </c>
      <c r="BR127" s="16">
        <f t="shared" si="112"/>
        <v>0.15483506883545267</v>
      </c>
      <c r="BS127" s="16">
        <f t="shared" si="113"/>
        <v>2.2749229775535791E-2</v>
      </c>
      <c r="BT127" s="16">
        <f t="shared" si="114"/>
        <v>0.16224860768227245</v>
      </c>
      <c r="BU127" s="16">
        <f t="shared" si="115"/>
        <v>0.16119109509754276</v>
      </c>
      <c r="BV127" s="16">
        <f t="shared" si="116"/>
        <v>0.20695170820243342</v>
      </c>
      <c r="BW127" s="16">
        <f t="shared" si="117"/>
        <v>8.145757863605918E-2</v>
      </c>
      <c r="BX127" s="16">
        <f t="shared" si="118"/>
        <v>7.4598208747626238E-2</v>
      </c>
      <c r="BY127" s="16">
        <f t="shared" si="119"/>
        <v>3.7474112641760336E-2</v>
      </c>
      <c r="CA127" s="16">
        <f t="shared" si="56"/>
        <v>8.3593433670964584E-2</v>
      </c>
      <c r="CB127" s="16">
        <f t="shared" si="57"/>
        <v>0</v>
      </c>
      <c r="CC127" s="16">
        <f t="shared" si="58"/>
        <v>0</v>
      </c>
      <c r="CD127" s="16">
        <f t="shared" si="59"/>
        <v>0</v>
      </c>
      <c r="CE127" s="16">
        <f t="shared" si="60"/>
        <v>0</v>
      </c>
      <c r="CF127" s="16">
        <f t="shared" si="61"/>
        <v>0.1865516997350683</v>
      </c>
      <c r="CG127" s="16">
        <f t="shared" si="62"/>
        <v>0</v>
      </c>
      <c r="CH127" s="16">
        <f t="shared" si="63"/>
        <v>9.2731246709492329E-2</v>
      </c>
      <c r="CI127" s="16">
        <f t="shared" si="64"/>
        <v>7.0155887588391252E-2</v>
      </c>
      <c r="CJ127" s="16">
        <f t="shared" si="65"/>
        <v>0</v>
      </c>
      <c r="CK127" s="16">
        <f t="shared" si="66"/>
        <v>0</v>
      </c>
      <c r="CL127" s="16">
        <f t="shared" si="67"/>
        <v>5.2766108008389656E-3</v>
      </c>
      <c r="CM127" s="16">
        <f t="shared" si="68"/>
        <v>6.3414305118895203E-2</v>
      </c>
      <c r="CN127" s="16">
        <f t="shared" si="69"/>
        <v>8.6375457201638139E-2</v>
      </c>
      <c r="CO127" s="16">
        <f t="shared" si="70"/>
        <v>0</v>
      </c>
      <c r="CP127" s="16">
        <f t="shared" si="71"/>
        <v>0</v>
      </c>
      <c r="CQ127" s="16">
        <f t="shared" si="72"/>
        <v>1.129766575191446E-2</v>
      </c>
      <c r="CR127" s="16">
        <f t="shared" si="73"/>
        <v>2.7667108341114757E-2</v>
      </c>
      <c r="CS127" s="16">
        <f t="shared" si="74"/>
        <v>3.45264782295477E-2</v>
      </c>
      <c r="CT127" s="16">
        <f t="shared" si="75"/>
        <v>7.1650574335413608E-2</v>
      </c>
    </row>
    <row r="128" spans="1:99" x14ac:dyDescent="0.25">
      <c r="A128" s="20">
        <v>45086</v>
      </c>
      <c r="B128" s="21">
        <v>2</v>
      </c>
      <c r="C128" s="22" t="str" cm="1">
        <f t="array" ref="C128">IF(B128="","",INDEX('Exercise list'!$C$5:$C$102,B128))</f>
        <v>Lateral elliptical machine</v>
      </c>
      <c r="D128" s="17">
        <f t="shared" si="97"/>
        <v>1</v>
      </c>
      <c r="E128" s="108">
        <f t="shared" si="120"/>
        <v>13.469721719184058</v>
      </c>
      <c r="F128" s="65" cm="1">
        <f t="array" ref="F128">IF(B128="","",0.1+IFERROR(INDEX($F$6:$F127,SUMPRODUCT(MAX(ROW($C$6:$C127)*($C128=$C$6:$C127))-ROW($A$5)))*0.9^($A128-INDEX($A$6:A127,SUMPRODUCT(MAX(ROW($C$6:$C127)*($C128=$C$6:$C127))-ROW($A$5)))),0))</f>
        <v>0.15038137512710364</v>
      </c>
      <c r="G128" s="25">
        <f>INDEX('Exercise list'!$Y$5:$Y$102,MATCH(C128,'Exercise list'!$C$5:$C$102,0))</f>
        <v>3</v>
      </c>
      <c r="H128" s="116">
        <f t="shared" si="98"/>
        <v>6.0843757471714256E-2</v>
      </c>
      <c r="I128" s="18">
        <f t="shared" si="99"/>
        <v>5</v>
      </c>
      <c r="J128" s="18" cm="1">
        <f t="array" ref="J128">IF(B128="","",INDEX('Exercise list'!$D$5:$D$102,B128))</f>
        <v>0</v>
      </c>
      <c r="K128" s="17">
        <v>2</v>
      </c>
      <c r="L128" s="51" t="str" cm="1">
        <f t="array" ref="L128">IF(K128="","",INDEX('Exercise list'!$C$5:$C$102,K128))</f>
        <v>Lateral elliptical machine</v>
      </c>
      <c r="M128" s="18">
        <v>3</v>
      </c>
      <c r="N128" s="76" t="str" cm="1">
        <f t="array" ref="N128">IF(M128="","",INDEX('Exercise list'!$C$5:$C$102,M128))</f>
        <v>Rowing machine</v>
      </c>
      <c r="O128" s="19"/>
      <c r="P128" s="19">
        <f>IFERROR(INDEX('Exercise list'!$E$5:$X$102,MATCH($C128,'Exercise list'!$C$5:$C$102,0),MATCH(P$5,'Exercise list'!$E$4:$X$4,0)),0)</f>
        <v>0</v>
      </c>
      <c r="Q128" s="19">
        <f>IFERROR(INDEX('Exercise list'!$E$5:$X$102,MATCH($C128,'Exercise list'!$C$5:$C$102,0),MATCH(Q$5,'Exercise list'!$E$4:$X$4,0)),0)</f>
        <v>0</v>
      </c>
      <c r="R128" s="19">
        <f>IFERROR(INDEX('Exercise list'!$E$5:$X$102,MATCH($C128,'Exercise list'!$C$5:$C$102,0),MATCH(R$5,'Exercise list'!$E$4:$X$4,0)),0)</f>
        <v>0</v>
      </c>
      <c r="S128" s="19">
        <f>IFERROR(INDEX('Exercise list'!$E$5:$X$102,MATCH($C128,'Exercise list'!$C$5:$C$102,0),MATCH(S$5,'Exercise list'!$E$4:$X$4,0)),0)</f>
        <v>0</v>
      </c>
      <c r="T128" s="19">
        <f>IFERROR(INDEX('Exercise list'!$E$5:$X$102,MATCH($C128,'Exercise list'!$C$5:$C$102,0),MATCH(T$5,'Exercise list'!$E$4:$X$4,0)),0)</f>
        <v>0</v>
      </c>
      <c r="U128" s="19">
        <f>IFERROR(INDEX('Exercise list'!$E$5:$X$102,MATCH($C128,'Exercise list'!$C$5:$C$102,0),MATCH(U$5,'Exercise list'!$E$4:$X$4,0)),0)</f>
        <v>0</v>
      </c>
      <c r="V128" s="19">
        <f>IFERROR(INDEX('Exercise list'!$E$5:$X$102,MATCH($C128,'Exercise list'!$C$5:$C$102,0),MATCH(V$5,'Exercise list'!$E$4:$X$4,0)),0)</f>
        <v>0</v>
      </c>
      <c r="W128" s="19">
        <f>IFERROR(INDEX('Exercise list'!$E$5:$X$102,MATCH($C128,'Exercise list'!$C$5:$C$102,0),MATCH(W$5,'Exercise list'!$E$4:$X$4,0)),0)</f>
        <v>0</v>
      </c>
      <c r="X128" s="19">
        <f>IFERROR(INDEX('Exercise list'!$E$5:$X$102,MATCH($C128,'Exercise list'!$C$5:$C$102,0),MATCH(X$5,'Exercise list'!$E$4:$X$4,0)),0)</f>
        <v>0</v>
      </c>
      <c r="Y128" s="19">
        <f>IFERROR(INDEX('Exercise list'!$E$5:$X$102,MATCH($C128,'Exercise list'!$C$5:$C$102,0),MATCH(Y$5,'Exercise list'!$E$4:$X$4,0)),0)</f>
        <v>0</v>
      </c>
      <c r="Z128" s="19">
        <f>IFERROR(INDEX('Exercise list'!$E$5:$X$102,MATCH($C128,'Exercise list'!$C$5:$C$102,0),MATCH(Z$5,'Exercise list'!$E$4:$X$4,0)),0)</f>
        <v>0</v>
      </c>
      <c r="AA128" s="19">
        <f>IFERROR(INDEX('Exercise list'!$E$5:$X$102,MATCH($C128,'Exercise list'!$C$5:$C$102,0),MATCH(AA$5,'Exercise list'!$E$4:$X$4,0)),0)</f>
        <v>0</v>
      </c>
      <c r="AB128" s="19">
        <f>IFERROR(INDEX('Exercise list'!$E$5:$X$102,MATCH($C128,'Exercise list'!$C$5:$C$102,0),MATCH(AB$5,'Exercise list'!$E$4:$X$4,0)),0)</f>
        <v>0</v>
      </c>
      <c r="AC128" s="19">
        <f>IFERROR(INDEX('Exercise list'!$E$5:$X$102,MATCH($C128,'Exercise list'!$C$5:$C$102,0),MATCH(AC$5,'Exercise list'!$E$4:$X$4,0)),0)</f>
        <v>0</v>
      </c>
      <c r="AD128" s="19">
        <f>IFERROR(INDEX('Exercise list'!$E$5:$X$102,MATCH($C128,'Exercise list'!$C$5:$C$102,0),MATCH(AD$5,'Exercise list'!$E$4:$X$4,0)),0)</f>
        <v>1</v>
      </c>
      <c r="AE128" s="19">
        <f>IFERROR(INDEX('Exercise list'!$E$5:$X$102,MATCH($C128,'Exercise list'!$C$5:$C$102,0),MATCH(AE$5,'Exercise list'!$E$4:$X$4,0)),0)</f>
        <v>0.7</v>
      </c>
      <c r="AF128" s="19">
        <f>IFERROR(INDEX('Exercise list'!$E$5:$X$102,MATCH($C128,'Exercise list'!$C$5:$C$102,0),MATCH(AF$5,'Exercise list'!$E$4:$X$4,0)),0)</f>
        <v>0.8</v>
      </c>
      <c r="AG128" s="19">
        <f>IFERROR(INDEX('Exercise list'!$E$5:$X$102,MATCH($C128,'Exercise list'!$C$5:$C$102,0),MATCH(AG$5,'Exercise list'!$E$4:$X$4,0)),0)</f>
        <v>0.7</v>
      </c>
      <c r="AH128" s="19">
        <f>IFERROR(INDEX('Exercise list'!$E$5:$X$102,MATCH($C128,'Exercise list'!$C$5:$C$102,0),MATCH(AH$5,'Exercise list'!$E$4:$X$4,0)),0)</f>
        <v>0.8</v>
      </c>
      <c r="AI128" s="19">
        <f>IFERROR(INDEX('Exercise list'!$E$5:$X$102,MATCH($C128,'Exercise list'!$C$5:$C$102,0),MATCH(AI$5,'Exercise list'!$E$4:$X$4,0)),0)</f>
        <v>0.8</v>
      </c>
      <c r="AJ128" s="19"/>
      <c r="AK128" s="19">
        <f>IF(OR($J128=1,COUNTIFS($A$5:$A127,"&gt;="&amp;$A128-1,$A$5:$A127,"&lt;="&amp;$A128,$B$5:$B127,$B128)&gt;0,MIN(1-'Exercise list'!E$2,IF($A128=$A127,AK127,1))-P128&lt;0),-1,MIN(1,IF($A128=$A127,AK127,1)-P128+$D$2))</f>
        <v>1</v>
      </c>
      <c r="AL128" s="19">
        <f>IF(OR($J128=1,COUNTIFS($A$5:$A127,"&gt;="&amp;$A128-1,$A$5:$A127,"&lt;="&amp;$A128,$B$5:$B127,$B128)&gt;0,MIN(1-'Exercise list'!F$2,IF($A128=$A127,AL127,1))-Q128&lt;0),-1,MIN(1,IF($A128=$A127,AL127,1)-Q128+$D$2))</f>
        <v>1</v>
      </c>
      <c r="AM128" s="19">
        <f>IF(OR($J128=1,COUNTIFS($A$5:$A127,"&gt;="&amp;$A128-1,$A$5:$A127,"&lt;="&amp;$A128,$B$5:$B127,$B128)&gt;0,MIN(1-'Exercise list'!G$2,IF($A128=$A127,AM127,1))-R128&lt;0),-1,MIN(1,IF($A128=$A127,AM127,1)-R128+$D$2))</f>
        <v>1</v>
      </c>
      <c r="AN128" s="19">
        <f>IF(OR($J128=1,COUNTIFS($A$5:$A127,"&gt;="&amp;$A128-1,$A$5:$A127,"&lt;="&amp;$A128,$B$5:$B127,$B128)&gt;0,MIN(1-'Exercise list'!H$2,IF($A128=$A127,AN127,1))-S128&lt;0),-1,MIN(1,IF($A128=$A127,AN127,1)-S128+$D$2))</f>
        <v>1</v>
      </c>
      <c r="AO128" s="19">
        <f>IF(OR($J128=1,COUNTIFS($A$5:$A127,"&gt;="&amp;$A128-1,$A$5:$A127,"&lt;="&amp;$A128,$B$5:$B127,$B128)&gt;0,MIN(1-'Exercise list'!I$2,IF($A128=$A127,AO127,1))-T128&lt;0),-1,MIN(1,IF($A128=$A127,AO127,1)-T128+$D$2))</f>
        <v>1</v>
      </c>
      <c r="AP128" s="19">
        <f>IF(OR($J128=1,COUNTIFS($A$5:$A127,"&gt;="&amp;$A128-1,$A$5:$A127,"&lt;="&amp;$A128,$B$5:$B127,$B128)&gt;0,MIN(1-'Exercise list'!J$2,IF($A128=$A127,AP127,1))-U128&lt;0),-1,MIN(1,IF($A128=$A127,AP127,1)-U128+$D$2))</f>
        <v>1</v>
      </c>
      <c r="AQ128" s="19">
        <f>IF(OR($J128=1,COUNTIFS($A$5:$A127,"&gt;="&amp;$A128-1,$A$5:$A127,"&lt;="&amp;$A128,$B$5:$B127,$B128)&gt;0,MIN(1-'Exercise list'!K$2,IF($A128=$A127,AQ127,1))-V128&lt;0),-1,MIN(1,IF($A128=$A127,AQ127,1)-V128+$D$2))</f>
        <v>1</v>
      </c>
      <c r="AR128" s="19">
        <f>IF(OR($J128=1,COUNTIFS($A$5:$A127,"&gt;="&amp;$A128-1,$A$5:$A127,"&lt;="&amp;$A128,$B$5:$B127,$B128)&gt;0,MIN(1-'Exercise list'!L$2,IF($A128=$A127,AR127,1))-W128&lt;0),-1,MIN(1,IF($A128=$A127,AR127,1)-W128+$D$2))</f>
        <v>1</v>
      </c>
      <c r="AS128" s="19">
        <f>IF(OR($J128=1,COUNTIFS($A$5:$A127,"&gt;="&amp;$A128-1,$A$5:$A127,"&lt;="&amp;$A128,$B$5:$B127,$B128)&gt;0,MIN(1-'Exercise list'!M$2,IF($A128=$A127,AS127,1))-X128&lt;0),-1,MIN(1,IF($A128=$A127,AS127,1)-X128+$D$2))</f>
        <v>1</v>
      </c>
      <c r="AT128" s="19">
        <f>IF(OR($J128=1,COUNTIFS($A$5:$A127,"&gt;="&amp;$A128-1,$A$5:$A127,"&lt;="&amp;$A128,$B$5:$B127,$B128)&gt;0,MIN(1-'Exercise list'!N$2,IF($A128=$A127,AT127,1))-Y128&lt;0),-1,MIN(1,IF($A128=$A127,AT127,1)-Y128+$D$2))</f>
        <v>1</v>
      </c>
      <c r="AU128" s="19">
        <f>IF(OR($J128=1,COUNTIFS($A$5:$A127,"&gt;="&amp;$A128-1,$A$5:$A127,"&lt;="&amp;$A128,$B$5:$B127,$B128)&gt;0,MIN(1-'Exercise list'!O$2,IF($A128=$A127,AU127,1))-Z128&lt;0),-1,MIN(1,IF($A128=$A127,AU127,1)-Z128+$D$2))</f>
        <v>1</v>
      </c>
      <c r="AV128" s="19">
        <f>IF(OR($J128=1,COUNTIFS($A$5:$A127,"&gt;="&amp;$A128-1,$A$5:$A127,"&lt;="&amp;$A128,$B$5:$B127,$B128)&gt;0,MIN(1-'Exercise list'!P$2,IF($A128=$A127,AV127,1))-AA128&lt;0),-1,MIN(1,IF($A128=$A127,AV127,1)-AA128+$D$2))</f>
        <v>1</v>
      </c>
      <c r="AW128" s="19">
        <f>IF(OR($J128=1,COUNTIFS($A$5:$A127,"&gt;="&amp;$A128-1,$A$5:$A127,"&lt;="&amp;$A128,$B$5:$B127,$B128)&gt;0,MIN(1-'Exercise list'!Q$2,IF($A128=$A127,AW127,1))-AB128&lt;0),-1,MIN(1,IF($A128=$A127,AW127,1)-AB128+$D$2))</f>
        <v>1</v>
      </c>
      <c r="AX128" s="19">
        <f>IF(OR($J128=1,COUNTIFS($A$5:$A127,"&gt;="&amp;$A128-1,$A$5:$A127,"&lt;="&amp;$A128,$B$5:$B127,$B128)&gt;0,MIN(1-'Exercise list'!R$2,IF($A128=$A127,AX127,1))-AC128&lt;0),-1,MIN(1,IF($A128=$A127,AX127,1)-AC128+$D$2))</f>
        <v>1</v>
      </c>
      <c r="AY128" s="19">
        <f>IF(OR($J128=1,COUNTIFS($A$5:$A127,"&gt;="&amp;$A128-1,$A$5:$A127,"&lt;="&amp;$A128,$B$5:$B127,$B128)&gt;0,MIN(1-'Exercise list'!S$2,IF($A128=$A127,AY127,1))-AD128&lt;0),-1,MIN(1,IF($A128=$A127,AY127,1)-AD128+$D$2))</f>
        <v>1</v>
      </c>
      <c r="AZ128" s="19">
        <f>IF(OR($J128=1,COUNTIFS($A$5:$A127,"&gt;="&amp;$A128-1,$A$5:$A127,"&lt;="&amp;$A128,$B$5:$B127,$B128)&gt;0,MIN(1-'Exercise list'!T$2,IF($A128=$A127,AZ127,1))-AE128&lt;0),-1,MIN(1,IF($A128=$A127,AZ127,1)-AE128+$D$2))</f>
        <v>1</v>
      </c>
      <c r="BA128" s="19">
        <f>IF(OR($J128=1,COUNTIFS($A$5:$A127,"&gt;="&amp;$A128-1,$A$5:$A127,"&lt;="&amp;$A128,$B$5:$B127,$B128)&gt;0,MIN(1-'Exercise list'!U$2,IF($A128=$A127,BA127,1))-AF128&lt;0),-1,MIN(1,IF($A128=$A127,BA127,1)-AF128+$D$2))</f>
        <v>1</v>
      </c>
      <c r="BB128" s="19">
        <f>IF(OR($J128=1,COUNTIFS($A$5:$A127,"&gt;="&amp;$A128-1,$A$5:$A127,"&lt;="&amp;$A128,$B$5:$B127,$B128)&gt;0,MIN(1-'Exercise list'!V$2,IF($A128=$A127,BB127,1))-AG128&lt;0),-1,MIN(1,IF($A128=$A127,BB127,1)-AG128+$D$2))</f>
        <v>1</v>
      </c>
      <c r="BC128" s="19">
        <f>IF(OR($J128=1,COUNTIFS($A$5:$A127,"&gt;="&amp;$A128-1,$A$5:$A127,"&lt;="&amp;$A128,$B$5:$B127,$B128)&gt;0,MIN(1-'Exercise list'!W$2,IF($A128=$A127,BC127,1))-AH128&lt;0),-1,MIN(1,IF($A128=$A127,BC127,1)-AH128+$D$2))</f>
        <v>1</v>
      </c>
      <c r="BD128" s="19">
        <f>IF(OR($J128=1,COUNTIFS($A$5:$A127,"&gt;="&amp;$A128-1,$A$5:$A127,"&lt;="&amp;$A128,$B$5:$B127,$B128)&gt;0,MIN(1-'Exercise list'!X$2,IF($A128=$A127,BD127,1))-AI128&lt;0),-1,MIN(1,IF($A128=$A127,BD127,1)-AI128+$D$2))</f>
        <v>1</v>
      </c>
      <c r="BE128" s="19"/>
      <c r="BF128" s="23">
        <f t="shared" si="100"/>
        <v>0.13465594028338329</v>
      </c>
      <c r="BG128" s="23">
        <f t="shared" si="101"/>
        <v>0.26490063679675496</v>
      </c>
      <c r="BH128" s="23">
        <f t="shared" si="102"/>
        <v>0.15815293325959348</v>
      </c>
      <c r="BI128" s="23">
        <f t="shared" si="103"/>
        <v>0.17450800750040713</v>
      </c>
      <c r="BJ128" s="23">
        <f t="shared" si="104"/>
        <v>0.16287049299121314</v>
      </c>
      <c r="BK128" s="23">
        <f t="shared" si="105"/>
        <v>0.14082236119645353</v>
      </c>
      <c r="BL128" s="23">
        <f t="shared" si="106"/>
        <v>0.18571103726120816</v>
      </c>
      <c r="BM128" s="23">
        <f t="shared" si="107"/>
        <v>1.6393440267681612E-2</v>
      </c>
      <c r="BN128" s="23">
        <f t="shared" si="108"/>
        <v>0.14809348636595662</v>
      </c>
      <c r="BO128" s="23">
        <f t="shared" si="109"/>
        <v>0.21433582367378845</v>
      </c>
      <c r="BP128" s="23">
        <f t="shared" si="110"/>
        <v>0.34056870299223785</v>
      </c>
      <c r="BQ128" s="23">
        <f t="shared" si="111"/>
        <v>0.10384807617633497</v>
      </c>
      <c r="BR128" s="23">
        <f t="shared" si="112"/>
        <v>0.15483506883545267</v>
      </c>
      <c r="BS128" s="23">
        <f t="shared" si="113"/>
        <v>2.2749229775535791E-2</v>
      </c>
      <c r="BT128" s="23">
        <f t="shared" si="114"/>
        <v>0.16224860768227245</v>
      </c>
      <c r="BU128" s="23">
        <f t="shared" si="115"/>
        <v>0.16119109509754276</v>
      </c>
      <c r="BV128" s="23">
        <f t="shared" si="116"/>
        <v>0.20695170820243342</v>
      </c>
      <c r="BW128" s="23">
        <f t="shared" si="117"/>
        <v>8.145757863605918E-2</v>
      </c>
      <c r="BX128" s="23">
        <f t="shared" si="118"/>
        <v>7.4598208747626238E-2</v>
      </c>
      <c r="BY128" s="23">
        <f t="shared" si="119"/>
        <v>3.7474112641760336E-2</v>
      </c>
      <c r="BZ128" s="19"/>
      <c r="CA128" s="23">
        <f t="shared" si="56"/>
        <v>8.3593433670964584E-2</v>
      </c>
      <c r="CB128" s="23">
        <f t="shared" si="57"/>
        <v>0</v>
      </c>
      <c r="CC128" s="23">
        <f t="shared" si="58"/>
        <v>0</v>
      </c>
      <c r="CD128" s="23">
        <f t="shared" si="59"/>
        <v>0</v>
      </c>
      <c r="CE128" s="23">
        <f t="shared" si="60"/>
        <v>0</v>
      </c>
      <c r="CF128" s="23">
        <f t="shared" si="61"/>
        <v>0.1865516997350683</v>
      </c>
      <c r="CG128" s="23">
        <f t="shared" si="62"/>
        <v>0</v>
      </c>
      <c r="CH128" s="23">
        <f t="shared" si="63"/>
        <v>9.2731246709492329E-2</v>
      </c>
      <c r="CI128" s="23">
        <f t="shared" si="64"/>
        <v>7.0155887588391252E-2</v>
      </c>
      <c r="CJ128" s="23">
        <f t="shared" si="65"/>
        <v>0</v>
      </c>
      <c r="CK128" s="23">
        <f t="shared" si="66"/>
        <v>0</v>
      </c>
      <c r="CL128" s="23">
        <f t="shared" si="67"/>
        <v>5.2766108008389656E-3</v>
      </c>
      <c r="CM128" s="23">
        <f t="shared" si="68"/>
        <v>6.3414305118895203E-2</v>
      </c>
      <c r="CN128" s="23">
        <f t="shared" si="69"/>
        <v>8.6375457201638139E-2</v>
      </c>
      <c r="CO128" s="23">
        <f t="shared" si="70"/>
        <v>0</v>
      </c>
      <c r="CP128" s="23">
        <f t="shared" si="71"/>
        <v>0</v>
      </c>
      <c r="CQ128" s="23">
        <f t="shared" si="72"/>
        <v>1.129766575191446E-2</v>
      </c>
      <c r="CR128" s="23">
        <f t="shared" si="73"/>
        <v>2.7667108341114757E-2</v>
      </c>
      <c r="CS128" s="23">
        <f t="shared" si="74"/>
        <v>3.45264782295477E-2</v>
      </c>
      <c r="CT128" s="23">
        <f t="shared" si="75"/>
        <v>7.1650574335413608E-2</v>
      </c>
      <c r="CU128" s="19"/>
    </row>
    <row r="129" spans="1:99" x14ac:dyDescent="0.25">
      <c r="A129" s="13">
        <v>45087</v>
      </c>
      <c r="B129" s="14">
        <v>59</v>
      </c>
      <c r="C129" s="15" t="str" cm="1">
        <f t="array" ref="C129">IF(B129="","",INDEX('Exercise list'!$C$5:$C$102,B129))</f>
        <v>Triceps dips</v>
      </c>
      <c r="D129" s="12">
        <f t="shared" si="97"/>
        <v>1</v>
      </c>
      <c r="E129" s="107">
        <f t="shared" si="120"/>
        <v>0</v>
      </c>
      <c r="F129" s="63" cm="1">
        <f t="array" ref="F129">IF(B129="","",0.1+IFERROR(INDEX($F$6:$F128,SUMPRODUCT(MAX(ROW($C$6:$C128)*($C129=$C$6:$C128))-ROW($A$5)))*0.9^($A129-INDEX($A$6:A128,SUMPRODUCT(MAX(ROW($C$6:$C128)*($C129=$C$6:$C128))-ROW($A$5)))),0))</f>
        <v>0.22102923059966662</v>
      </c>
      <c r="G129" s="64">
        <f>INDEX('Exercise list'!$Y$5:$Y$102,MATCH(C129,'Exercise list'!$C$5:$C$102,0))</f>
        <v>2</v>
      </c>
      <c r="H129" s="115">
        <f t="shared" si="98"/>
        <v>5.9363694974342691E-2</v>
      </c>
      <c r="I129" s="42">
        <f t="shared" si="99"/>
        <v>1</v>
      </c>
      <c r="J129" s="6" cm="1">
        <f t="array" ref="J129">IF(B129="","",INDEX('Exercise list'!$D$5:$D$102,B129))</f>
        <v>0</v>
      </c>
      <c r="K129" s="12">
        <v>23</v>
      </c>
      <c r="L129" s="74" t="str" cm="1">
        <f t="array" ref="L129">IF(K129="","",INDEX('Exercise list'!$C$5:$C$102,K129))</f>
        <v>Barbell bench presses</v>
      </c>
      <c r="M129" s="6">
        <v>26</v>
      </c>
      <c r="N129" s="75" t="str" cm="1">
        <f t="array" ref="N129">IF(M129="","",INDEX('Exercise list'!$C$5:$C$102,M129))</f>
        <v>Dumbbell incline bench presses</v>
      </c>
      <c r="P129">
        <f>IFERROR(INDEX('Exercise list'!$E$5:$X$102,MATCH($C129,'Exercise list'!$C$5:$C$102,0),MATCH(P$5,'Exercise list'!$E$4:$X$4,0)),0)</f>
        <v>0.5</v>
      </c>
      <c r="Q129">
        <f>IFERROR(INDEX('Exercise list'!$E$5:$X$102,MATCH($C129,'Exercise list'!$C$5:$C$102,0),MATCH(Q$5,'Exercise list'!$E$4:$X$4,0)),0)</f>
        <v>0</v>
      </c>
      <c r="R129">
        <f>IFERROR(INDEX('Exercise list'!$E$5:$X$102,MATCH($C129,'Exercise list'!$C$5:$C$102,0),MATCH(R$5,'Exercise list'!$E$4:$X$4,0)),0)</f>
        <v>0</v>
      </c>
      <c r="S129">
        <f>IFERROR(INDEX('Exercise list'!$E$5:$X$102,MATCH($C129,'Exercise list'!$C$5:$C$102,0),MATCH(S$5,'Exercise list'!$E$4:$X$4,0)),0)</f>
        <v>0</v>
      </c>
      <c r="T129">
        <f>IFERROR(INDEX('Exercise list'!$E$5:$X$102,MATCH($C129,'Exercise list'!$C$5:$C$102,0),MATCH(T$5,'Exercise list'!$E$4:$X$4,0)),0)</f>
        <v>0</v>
      </c>
      <c r="U129">
        <f>IFERROR(INDEX('Exercise list'!$E$5:$X$102,MATCH($C129,'Exercise list'!$C$5:$C$102,0),MATCH(U$5,'Exercise list'!$E$4:$X$4,0)),0)</f>
        <v>0</v>
      </c>
      <c r="V129">
        <f>IFERROR(INDEX('Exercise list'!$E$5:$X$102,MATCH($C129,'Exercise list'!$C$5:$C$102,0),MATCH(V$5,'Exercise list'!$E$4:$X$4,0)),0)</f>
        <v>0</v>
      </c>
      <c r="W129">
        <f>IFERROR(INDEX('Exercise list'!$E$5:$X$102,MATCH($C129,'Exercise list'!$C$5:$C$102,0),MATCH(W$5,'Exercise list'!$E$4:$X$4,0)),0)</f>
        <v>0</v>
      </c>
      <c r="X129">
        <f>IFERROR(INDEX('Exercise list'!$E$5:$X$102,MATCH($C129,'Exercise list'!$C$5:$C$102,0),MATCH(X$5,'Exercise list'!$E$4:$X$4,0)),0)</f>
        <v>0</v>
      </c>
      <c r="Y129">
        <f>IFERROR(INDEX('Exercise list'!$E$5:$X$102,MATCH($C129,'Exercise list'!$C$5:$C$102,0),MATCH(Y$5,'Exercise list'!$E$4:$X$4,0)),0)</f>
        <v>1</v>
      </c>
      <c r="Z129">
        <f>IFERROR(INDEX('Exercise list'!$E$5:$X$102,MATCH($C129,'Exercise list'!$C$5:$C$102,0),MATCH(Z$5,'Exercise list'!$E$4:$X$4,0)),0)</f>
        <v>0</v>
      </c>
      <c r="AA129">
        <f>IFERROR(INDEX('Exercise list'!$E$5:$X$102,MATCH($C129,'Exercise list'!$C$5:$C$102,0),MATCH(AA$5,'Exercise list'!$E$4:$X$4,0)),0)</f>
        <v>0</v>
      </c>
      <c r="AB129">
        <f>IFERROR(INDEX('Exercise list'!$E$5:$X$102,MATCH($C129,'Exercise list'!$C$5:$C$102,0),MATCH(AB$5,'Exercise list'!$E$4:$X$4,0)),0)</f>
        <v>0</v>
      </c>
      <c r="AC129">
        <f>IFERROR(INDEX('Exercise list'!$E$5:$X$102,MATCH($C129,'Exercise list'!$C$5:$C$102,0),MATCH(AC$5,'Exercise list'!$E$4:$X$4,0)),0)</f>
        <v>0</v>
      </c>
      <c r="AD129">
        <f>IFERROR(INDEX('Exercise list'!$E$5:$X$102,MATCH($C129,'Exercise list'!$C$5:$C$102,0),MATCH(AD$5,'Exercise list'!$E$4:$X$4,0)),0)</f>
        <v>0</v>
      </c>
      <c r="AE129">
        <f>IFERROR(INDEX('Exercise list'!$E$5:$X$102,MATCH($C129,'Exercise list'!$C$5:$C$102,0),MATCH(AE$5,'Exercise list'!$E$4:$X$4,0)),0)</f>
        <v>0</v>
      </c>
      <c r="AF129">
        <f>IFERROR(INDEX('Exercise list'!$E$5:$X$102,MATCH($C129,'Exercise list'!$C$5:$C$102,0),MATCH(AF$5,'Exercise list'!$E$4:$X$4,0)),0)</f>
        <v>0</v>
      </c>
      <c r="AG129">
        <f>IFERROR(INDEX('Exercise list'!$E$5:$X$102,MATCH($C129,'Exercise list'!$C$5:$C$102,0),MATCH(AG$5,'Exercise list'!$E$4:$X$4,0)),0)</f>
        <v>0</v>
      </c>
      <c r="AH129">
        <f>IFERROR(INDEX('Exercise list'!$E$5:$X$102,MATCH($C129,'Exercise list'!$C$5:$C$102,0),MATCH(AH$5,'Exercise list'!$E$4:$X$4,0)),0)</f>
        <v>0</v>
      </c>
      <c r="AI129">
        <f>IFERROR(INDEX('Exercise list'!$E$5:$X$102,MATCH($C129,'Exercise list'!$C$5:$C$102,0),MATCH(AI$5,'Exercise list'!$E$4:$X$4,0)),0)</f>
        <v>0</v>
      </c>
      <c r="AK129">
        <f>IF(OR($J129=1,COUNTIFS($A$5:$A128,"&gt;="&amp;$A129-1,$A$5:$A128,"&lt;="&amp;$A129,$B$5:$B128,$B129)&gt;0,MIN(1-'Exercise list'!E$2,IF($A129=$A128,AK128,1))-P129&lt;0),-1,MIN(1,IF($A129=$A128,AK128,1)-P129+$D$2))</f>
        <v>1</v>
      </c>
      <c r="AL129">
        <f>IF(OR($J129=1,COUNTIFS($A$5:$A128,"&gt;="&amp;$A129-1,$A$5:$A128,"&lt;="&amp;$A129,$B$5:$B128,$B129)&gt;0,MIN(1-'Exercise list'!F$2,IF($A129=$A128,AL128,1))-Q129&lt;0),-1,MIN(1,IF($A129=$A128,AL128,1)-Q129+$D$2))</f>
        <v>1</v>
      </c>
      <c r="AM129">
        <f>IF(OR($J129=1,COUNTIFS($A$5:$A128,"&gt;="&amp;$A129-1,$A$5:$A128,"&lt;="&amp;$A129,$B$5:$B128,$B129)&gt;0,MIN(1-'Exercise list'!G$2,IF($A129=$A128,AM128,1))-R129&lt;0),-1,MIN(1,IF($A129=$A128,AM128,1)-R129+$D$2))</f>
        <v>1</v>
      </c>
      <c r="AN129">
        <f>IF(OR($J129=1,COUNTIFS($A$5:$A128,"&gt;="&amp;$A129-1,$A$5:$A128,"&lt;="&amp;$A129,$B$5:$B128,$B129)&gt;0,MIN(1-'Exercise list'!H$2,IF($A129=$A128,AN128,1))-S129&lt;0),-1,MIN(1,IF($A129=$A128,AN128,1)-S129+$D$2))</f>
        <v>1</v>
      </c>
      <c r="AO129">
        <f>IF(OR($J129=1,COUNTIFS($A$5:$A128,"&gt;="&amp;$A129-1,$A$5:$A128,"&lt;="&amp;$A129,$B$5:$B128,$B129)&gt;0,MIN(1-'Exercise list'!I$2,IF($A129=$A128,AO128,1))-T129&lt;0),-1,MIN(1,IF($A129=$A128,AO128,1)-T129+$D$2))</f>
        <v>1</v>
      </c>
      <c r="AP129">
        <f>IF(OR($J129=1,COUNTIFS($A$5:$A128,"&gt;="&amp;$A129-1,$A$5:$A128,"&lt;="&amp;$A129,$B$5:$B128,$B129)&gt;0,MIN(1-'Exercise list'!J$2,IF($A129=$A128,AP128,1))-U129&lt;0),-1,MIN(1,IF($A129=$A128,AP128,1)-U129+$D$2))</f>
        <v>1</v>
      </c>
      <c r="AQ129">
        <f>IF(OR($J129=1,COUNTIFS($A$5:$A128,"&gt;="&amp;$A129-1,$A$5:$A128,"&lt;="&amp;$A129,$B$5:$B128,$B129)&gt;0,MIN(1-'Exercise list'!K$2,IF($A129=$A128,AQ128,1))-V129&lt;0),-1,MIN(1,IF($A129=$A128,AQ128,1)-V129+$D$2))</f>
        <v>1</v>
      </c>
      <c r="AR129">
        <f>IF(OR($J129=1,COUNTIFS($A$5:$A128,"&gt;="&amp;$A129-1,$A$5:$A128,"&lt;="&amp;$A129,$B$5:$B128,$B129)&gt;0,MIN(1-'Exercise list'!L$2,IF($A129=$A128,AR128,1))-W129&lt;0),-1,MIN(1,IF($A129=$A128,AR128,1)-W129+$D$2))</f>
        <v>1</v>
      </c>
      <c r="AS129">
        <f>IF(OR($J129=1,COUNTIFS($A$5:$A128,"&gt;="&amp;$A129-1,$A$5:$A128,"&lt;="&amp;$A129,$B$5:$B128,$B129)&gt;0,MIN(1-'Exercise list'!M$2,IF($A129=$A128,AS128,1))-X129&lt;0),-1,MIN(1,IF($A129=$A128,AS128,1)-X129+$D$2))</f>
        <v>1</v>
      </c>
      <c r="AT129">
        <f>IF(OR($J129=1,COUNTIFS($A$5:$A128,"&gt;="&amp;$A129-1,$A$5:$A128,"&lt;="&amp;$A129,$B$5:$B128,$B129)&gt;0,MIN(1-'Exercise list'!N$2,IF($A129=$A128,AT128,1))-Y129&lt;0),-1,MIN(1,IF($A129=$A128,AT128,1)-Y129+$D$2))</f>
        <v>1</v>
      </c>
      <c r="AU129">
        <f>IF(OR($J129=1,COUNTIFS($A$5:$A128,"&gt;="&amp;$A129-1,$A$5:$A128,"&lt;="&amp;$A129,$B$5:$B128,$B129)&gt;0,MIN(1-'Exercise list'!O$2,IF($A129=$A128,AU128,1))-Z129&lt;0),-1,MIN(1,IF($A129=$A128,AU128,1)-Z129+$D$2))</f>
        <v>1</v>
      </c>
      <c r="AV129">
        <f>IF(OR($J129=1,COUNTIFS($A$5:$A128,"&gt;="&amp;$A129-1,$A$5:$A128,"&lt;="&amp;$A129,$B$5:$B128,$B129)&gt;0,MIN(1-'Exercise list'!P$2,IF($A129=$A128,AV128,1))-AA129&lt;0),-1,MIN(1,IF($A129=$A128,AV128,1)-AA129+$D$2))</f>
        <v>1</v>
      </c>
      <c r="AW129">
        <f>IF(OR($J129=1,COUNTIFS($A$5:$A128,"&gt;="&amp;$A129-1,$A$5:$A128,"&lt;="&amp;$A129,$B$5:$B128,$B129)&gt;0,MIN(1-'Exercise list'!Q$2,IF($A129=$A128,AW128,1))-AB129&lt;0),-1,MIN(1,IF($A129=$A128,AW128,1)-AB129+$D$2))</f>
        <v>1</v>
      </c>
      <c r="AX129">
        <f>IF(OR($J129=1,COUNTIFS($A$5:$A128,"&gt;="&amp;$A129-1,$A$5:$A128,"&lt;="&amp;$A129,$B$5:$B128,$B129)&gt;0,MIN(1-'Exercise list'!R$2,IF($A129=$A128,AX128,1))-AC129&lt;0),-1,MIN(1,IF($A129=$A128,AX128,1)-AC129+$D$2))</f>
        <v>1</v>
      </c>
      <c r="AY129">
        <f>IF(OR($J129=1,COUNTIFS($A$5:$A128,"&gt;="&amp;$A129-1,$A$5:$A128,"&lt;="&amp;$A129,$B$5:$B128,$B129)&gt;0,MIN(1-'Exercise list'!S$2,IF($A129=$A128,AY128,1))-AD129&lt;0),-1,MIN(1,IF($A129=$A128,AY128,1)-AD129+$D$2))</f>
        <v>1</v>
      </c>
      <c r="AZ129">
        <f>IF(OR($J129=1,COUNTIFS($A$5:$A128,"&gt;="&amp;$A129-1,$A$5:$A128,"&lt;="&amp;$A129,$B$5:$B128,$B129)&gt;0,MIN(1-'Exercise list'!T$2,IF($A129=$A128,AZ128,1))-AE129&lt;0),-1,MIN(1,IF($A129=$A128,AZ128,1)-AE129+$D$2))</f>
        <v>1</v>
      </c>
      <c r="BA129">
        <f>IF(OR($J129=1,COUNTIFS($A$5:$A128,"&gt;="&amp;$A129-1,$A$5:$A128,"&lt;="&amp;$A129,$B$5:$B128,$B129)&gt;0,MIN(1-'Exercise list'!U$2,IF($A129=$A128,BA128,1))-AF129&lt;0),-1,MIN(1,IF($A129=$A128,BA128,1)-AF129+$D$2))</f>
        <v>1</v>
      </c>
      <c r="BB129">
        <f>IF(OR($J129=1,COUNTIFS($A$5:$A128,"&gt;="&amp;$A129-1,$A$5:$A128,"&lt;="&amp;$A129,$B$5:$B128,$B129)&gt;0,MIN(1-'Exercise list'!V$2,IF($A129=$A128,BB128,1))-AG129&lt;0),-1,MIN(1,IF($A129=$A128,BB128,1)-AG129+$D$2))</f>
        <v>1</v>
      </c>
      <c r="BC129">
        <f>IF(OR($J129=1,COUNTIFS($A$5:$A128,"&gt;="&amp;$A129-1,$A$5:$A128,"&lt;="&amp;$A129,$B$5:$B128,$B129)&gt;0,MIN(1-'Exercise list'!W$2,IF($A129=$A128,BC128,1))-AH129&lt;0),-1,MIN(1,IF($A129=$A128,BC128,1)-AH129+$D$2))</f>
        <v>1</v>
      </c>
      <c r="BD129">
        <f>IF(OR($J129=1,COUNTIFS($A$5:$A128,"&gt;="&amp;$A129-1,$A$5:$A128,"&lt;="&amp;$A129,$B$5:$B128,$B129)&gt;0,MIN(1-'Exercise list'!X$2,IF($A129=$A128,BD128,1))-AI129&lt;0),-1,MIN(1,IF($A129=$A128,BD128,1)-AI129+$D$2))</f>
        <v>1</v>
      </c>
      <c r="BF129" s="16">
        <f t="shared" si="100"/>
        <v>0.15292314326921411</v>
      </c>
      <c r="BG129" s="16">
        <f t="shared" si="101"/>
        <v>0.25165560495691719</v>
      </c>
      <c r="BH129" s="16">
        <f t="shared" si="102"/>
        <v>0.15024528659661379</v>
      </c>
      <c r="BI129" s="16">
        <f t="shared" si="103"/>
        <v>0.16578260712538676</v>
      </c>
      <c r="BJ129" s="16">
        <f t="shared" si="104"/>
        <v>0.15472696834165248</v>
      </c>
      <c r="BK129" s="16">
        <f t="shared" si="105"/>
        <v>0.13378124313663084</v>
      </c>
      <c r="BL129" s="16">
        <f t="shared" si="106"/>
        <v>0.17642548539814776</v>
      </c>
      <c r="BM129" s="16">
        <f t="shared" si="107"/>
        <v>1.5573768254297531E-2</v>
      </c>
      <c r="BN129" s="16">
        <f t="shared" si="108"/>
        <v>0.14068881204765879</v>
      </c>
      <c r="BO129" s="16">
        <f t="shared" si="109"/>
        <v>0.25361903249009904</v>
      </c>
      <c r="BP129" s="16">
        <f t="shared" si="110"/>
        <v>0.32354026784262596</v>
      </c>
      <c r="BQ129" s="16">
        <f t="shared" si="111"/>
        <v>9.8655672367518224E-2</v>
      </c>
      <c r="BR129" s="16">
        <f t="shared" si="112"/>
        <v>0.14709331539368004</v>
      </c>
      <c r="BS129" s="16">
        <f t="shared" si="113"/>
        <v>2.1611768286759002E-2</v>
      </c>
      <c r="BT129" s="16">
        <f t="shared" si="114"/>
        <v>0.15413617729815882</v>
      </c>
      <c r="BU129" s="16">
        <f t="shared" si="115"/>
        <v>0.1531315403426656</v>
      </c>
      <c r="BV129" s="16">
        <f t="shared" si="116"/>
        <v>0.19660412279231174</v>
      </c>
      <c r="BW129" s="16">
        <f t="shared" si="117"/>
        <v>7.7384699704256224E-2</v>
      </c>
      <c r="BX129" s="16">
        <f t="shared" si="118"/>
        <v>7.0868298310244923E-2</v>
      </c>
      <c r="BY129" s="16">
        <f t="shared" si="119"/>
        <v>3.5600407009672319E-2</v>
      </c>
      <c r="CA129" s="16">
        <f t="shared" si="56"/>
        <v>5.9969317542971912E-2</v>
      </c>
      <c r="CB129" s="16">
        <f t="shared" si="57"/>
        <v>0</v>
      </c>
      <c r="CC129" s="16">
        <f t="shared" si="58"/>
        <v>0</v>
      </c>
      <c r="CD129" s="16">
        <f t="shared" si="59"/>
        <v>0</v>
      </c>
      <c r="CE129" s="16">
        <f t="shared" si="60"/>
        <v>0</v>
      </c>
      <c r="CF129" s="16">
        <f t="shared" si="61"/>
        <v>0.18555744808164823</v>
      </c>
      <c r="CG129" s="16">
        <f t="shared" si="62"/>
        <v>0</v>
      </c>
      <c r="CH129" s="16">
        <f t="shared" si="63"/>
        <v>9.087246215179548E-2</v>
      </c>
      <c r="CI129" s="16">
        <f t="shared" si="64"/>
        <v>7.2203648764527228E-2</v>
      </c>
      <c r="CJ129" s="16">
        <f t="shared" si="65"/>
        <v>0</v>
      </c>
      <c r="CK129" s="16">
        <f t="shared" si="66"/>
        <v>0</v>
      </c>
      <c r="CL129" s="16">
        <f t="shared" si="67"/>
        <v>7.7905580385747852E-3</v>
      </c>
      <c r="CM129" s="16">
        <f t="shared" si="68"/>
        <v>6.5799145418505983E-2</v>
      </c>
      <c r="CN129" s="16">
        <f t="shared" si="69"/>
        <v>8.4834462119334014E-2</v>
      </c>
      <c r="CO129" s="16">
        <f t="shared" si="70"/>
        <v>0</v>
      </c>
      <c r="CP129" s="16">
        <f t="shared" si="71"/>
        <v>0</v>
      </c>
      <c r="CQ129" s="16">
        <f t="shared" si="72"/>
        <v>1.6288338019874282E-2</v>
      </c>
      <c r="CR129" s="16">
        <f t="shared" si="73"/>
        <v>2.9061530701836785E-2</v>
      </c>
      <c r="CS129" s="16">
        <f t="shared" si="74"/>
        <v>3.5577932095848086E-2</v>
      </c>
      <c r="CT129" s="16">
        <f t="shared" si="75"/>
        <v>7.084582339642069E-2</v>
      </c>
    </row>
    <row r="130" spans="1:99" x14ac:dyDescent="0.25">
      <c r="A130" s="13">
        <v>45087</v>
      </c>
      <c r="B130" s="14">
        <v>19</v>
      </c>
      <c r="C130" s="15" t="str" cm="1">
        <f t="array" ref="C130">IF(B130="","",INDEX('Exercise list'!$C$5:$C$102,B130))</f>
        <v>EZ bar biceps curls</v>
      </c>
      <c r="D130" s="12">
        <f t="shared" si="97"/>
        <v>-1</v>
      </c>
      <c r="E130" s="107">
        <f t="shared" si="120"/>
        <v>0</v>
      </c>
      <c r="F130" s="63" cm="1">
        <f t="array" ref="F130">IF(B130="","",0.1+IFERROR(INDEX($F$6:$F129,SUMPRODUCT(MAX(ROW($C$6:$C129)*($C130=$C$6:$C129))-ROW($A$5)))*0.9^($A130-INDEX($A$6:A129,SUMPRODUCT(MAX(ROW($C$6:$C129)*($C130=$C$6:$C129))-ROW($A$5)))),0))</f>
        <v>0.10476396328502163</v>
      </c>
      <c r="G130" s="64">
        <f>INDEX('Exercise list'!$Y$5:$Y$102,MATCH(C130,'Exercise list'!$C$5:$C$102,0))</f>
        <v>1</v>
      </c>
      <c r="H130" s="115">
        <f t="shared" si="98"/>
        <v>5.6380152506607134E-2</v>
      </c>
      <c r="I130" s="6">
        <f t="shared" si="99"/>
        <v>2</v>
      </c>
      <c r="J130" s="6" cm="1">
        <f t="array" ref="J130">IF(B130="","",INDEX('Exercise list'!$D$5:$D$102,B130))</f>
        <v>1</v>
      </c>
      <c r="K130" s="12">
        <v>55</v>
      </c>
      <c r="L130" s="74" t="str" cm="1">
        <f t="array" ref="L130">IF(K130="","",INDEX('Exercise list'!$C$5:$C$102,K130))</f>
        <v>Egyptian cable lateral raises</v>
      </c>
      <c r="M130" s="6">
        <v>28</v>
      </c>
      <c r="N130" s="75" t="str" cm="1">
        <f t="array" ref="N130">IF(M130="","",INDEX('Exercise list'!$C$5:$C$102,M130))</f>
        <v>Cable standing oblique twists</v>
      </c>
      <c r="P130">
        <f>IFERROR(INDEX('Exercise list'!$E$5:$X$102,MATCH($C130,'Exercise list'!$C$5:$C$102,0),MATCH(P$5,'Exercise list'!$E$4:$X$4,0)),0)</f>
        <v>0</v>
      </c>
      <c r="Q130">
        <f>IFERROR(INDEX('Exercise list'!$E$5:$X$102,MATCH($C130,'Exercise list'!$C$5:$C$102,0),MATCH(Q$5,'Exercise list'!$E$4:$X$4,0)),0)</f>
        <v>0</v>
      </c>
      <c r="R130">
        <f>IFERROR(INDEX('Exercise list'!$E$5:$X$102,MATCH($C130,'Exercise list'!$C$5:$C$102,0),MATCH(R$5,'Exercise list'!$E$4:$X$4,0)),0)</f>
        <v>0</v>
      </c>
      <c r="S130">
        <f>IFERROR(INDEX('Exercise list'!$E$5:$X$102,MATCH($C130,'Exercise list'!$C$5:$C$102,0),MATCH(S$5,'Exercise list'!$E$4:$X$4,0)),0)</f>
        <v>0</v>
      </c>
      <c r="T130">
        <f>IFERROR(INDEX('Exercise list'!$E$5:$X$102,MATCH($C130,'Exercise list'!$C$5:$C$102,0),MATCH(T$5,'Exercise list'!$E$4:$X$4,0)),0)</f>
        <v>0</v>
      </c>
      <c r="U130">
        <f>IFERROR(INDEX('Exercise list'!$E$5:$X$102,MATCH($C130,'Exercise list'!$C$5:$C$102,0),MATCH(U$5,'Exercise list'!$E$4:$X$4,0)),0)</f>
        <v>0</v>
      </c>
      <c r="V130">
        <f>IFERROR(INDEX('Exercise list'!$E$5:$X$102,MATCH($C130,'Exercise list'!$C$5:$C$102,0),MATCH(V$5,'Exercise list'!$E$4:$X$4,0)),0)</f>
        <v>0</v>
      </c>
      <c r="W130">
        <f>IFERROR(INDEX('Exercise list'!$E$5:$X$102,MATCH($C130,'Exercise list'!$C$5:$C$102,0),MATCH(W$5,'Exercise list'!$E$4:$X$4,0)),0)</f>
        <v>0</v>
      </c>
      <c r="X130">
        <f>IFERROR(INDEX('Exercise list'!$E$5:$X$102,MATCH($C130,'Exercise list'!$C$5:$C$102,0),MATCH(X$5,'Exercise list'!$E$4:$X$4,0)),0)</f>
        <v>1</v>
      </c>
      <c r="Y130">
        <f>IFERROR(INDEX('Exercise list'!$E$5:$X$102,MATCH($C130,'Exercise list'!$C$5:$C$102,0),MATCH(Y$5,'Exercise list'!$E$4:$X$4,0)),0)</f>
        <v>0</v>
      </c>
      <c r="Z130">
        <f>IFERROR(INDEX('Exercise list'!$E$5:$X$102,MATCH($C130,'Exercise list'!$C$5:$C$102,0),MATCH(Z$5,'Exercise list'!$E$4:$X$4,0)),0)</f>
        <v>0</v>
      </c>
      <c r="AA130">
        <f>IFERROR(INDEX('Exercise list'!$E$5:$X$102,MATCH($C130,'Exercise list'!$C$5:$C$102,0),MATCH(AA$5,'Exercise list'!$E$4:$X$4,0)),0)</f>
        <v>0</v>
      </c>
      <c r="AB130">
        <f>IFERROR(INDEX('Exercise list'!$E$5:$X$102,MATCH($C130,'Exercise list'!$C$5:$C$102,0),MATCH(AB$5,'Exercise list'!$E$4:$X$4,0)),0)</f>
        <v>0</v>
      </c>
      <c r="AC130">
        <f>IFERROR(INDEX('Exercise list'!$E$5:$X$102,MATCH($C130,'Exercise list'!$C$5:$C$102,0),MATCH(AC$5,'Exercise list'!$E$4:$X$4,0)),0)</f>
        <v>0</v>
      </c>
      <c r="AD130">
        <f>IFERROR(INDEX('Exercise list'!$E$5:$X$102,MATCH($C130,'Exercise list'!$C$5:$C$102,0),MATCH(AD$5,'Exercise list'!$E$4:$X$4,0)),0)</f>
        <v>0</v>
      </c>
      <c r="AE130">
        <f>IFERROR(INDEX('Exercise list'!$E$5:$X$102,MATCH($C130,'Exercise list'!$C$5:$C$102,0),MATCH(AE$5,'Exercise list'!$E$4:$X$4,0)),0)</f>
        <v>0</v>
      </c>
      <c r="AF130">
        <f>IFERROR(INDEX('Exercise list'!$E$5:$X$102,MATCH($C130,'Exercise list'!$C$5:$C$102,0),MATCH(AF$5,'Exercise list'!$E$4:$X$4,0)),0)</f>
        <v>0</v>
      </c>
      <c r="AG130">
        <f>IFERROR(INDEX('Exercise list'!$E$5:$X$102,MATCH($C130,'Exercise list'!$C$5:$C$102,0),MATCH(AG$5,'Exercise list'!$E$4:$X$4,0)),0)</f>
        <v>0</v>
      </c>
      <c r="AH130">
        <f>IFERROR(INDEX('Exercise list'!$E$5:$X$102,MATCH($C130,'Exercise list'!$C$5:$C$102,0),MATCH(AH$5,'Exercise list'!$E$4:$X$4,0)),0)</f>
        <v>0</v>
      </c>
      <c r="AI130">
        <f>IFERROR(INDEX('Exercise list'!$E$5:$X$102,MATCH($C130,'Exercise list'!$C$5:$C$102,0),MATCH(AI$5,'Exercise list'!$E$4:$X$4,0)),0)</f>
        <v>0</v>
      </c>
      <c r="AK130">
        <f>IF(OR($J130=1,COUNTIFS($A$5:$A129,"&gt;="&amp;$A130-1,$A$5:$A129,"&lt;="&amp;$A130,$B$5:$B129,$B130)&gt;0,MIN(1-'Exercise list'!E$2,IF($A130=$A129,AK129,1))-P130&lt;0),-1,MIN(1,IF($A130=$A129,AK129,1)-P130+$D$2))</f>
        <v>-1</v>
      </c>
      <c r="AL130">
        <f>IF(OR($J130=1,COUNTIFS($A$5:$A129,"&gt;="&amp;$A130-1,$A$5:$A129,"&lt;="&amp;$A130,$B$5:$B129,$B130)&gt;0,MIN(1-'Exercise list'!F$2,IF($A130=$A129,AL129,1))-Q130&lt;0),-1,MIN(1,IF($A130=$A129,AL129,1)-Q130+$D$2))</f>
        <v>-1</v>
      </c>
      <c r="AM130">
        <f>IF(OR($J130=1,COUNTIFS($A$5:$A129,"&gt;="&amp;$A130-1,$A$5:$A129,"&lt;="&amp;$A130,$B$5:$B129,$B130)&gt;0,MIN(1-'Exercise list'!G$2,IF($A130=$A129,AM129,1))-R130&lt;0),-1,MIN(1,IF($A130=$A129,AM129,1)-R130+$D$2))</f>
        <v>-1</v>
      </c>
      <c r="AN130">
        <f>IF(OR($J130=1,COUNTIFS($A$5:$A129,"&gt;="&amp;$A130-1,$A$5:$A129,"&lt;="&amp;$A130,$B$5:$B129,$B130)&gt;0,MIN(1-'Exercise list'!H$2,IF($A130=$A129,AN129,1))-S130&lt;0),-1,MIN(1,IF($A130=$A129,AN129,1)-S130+$D$2))</f>
        <v>-1</v>
      </c>
      <c r="AO130">
        <f>IF(OR($J130=1,COUNTIFS($A$5:$A129,"&gt;="&amp;$A130-1,$A$5:$A129,"&lt;="&amp;$A130,$B$5:$B129,$B130)&gt;0,MIN(1-'Exercise list'!I$2,IF($A130=$A129,AO129,1))-T130&lt;0),-1,MIN(1,IF($A130=$A129,AO129,1)-T130+$D$2))</f>
        <v>-1</v>
      </c>
      <c r="AP130">
        <f>IF(OR($J130=1,COUNTIFS($A$5:$A129,"&gt;="&amp;$A130-1,$A$5:$A129,"&lt;="&amp;$A130,$B$5:$B129,$B130)&gt;0,MIN(1-'Exercise list'!J$2,IF($A130=$A129,AP129,1))-U130&lt;0),-1,MIN(1,IF($A130=$A129,AP129,1)-U130+$D$2))</f>
        <v>-1</v>
      </c>
      <c r="AQ130">
        <f>IF(OR($J130=1,COUNTIFS($A$5:$A129,"&gt;="&amp;$A130-1,$A$5:$A129,"&lt;="&amp;$A130,$B$5:$B129,$B130)&gt;0,MIN(1-'Exercise list'!K$2,IF($A130=$A129,AQ129,1))-V130&lt;0),-1,MIN(1,IF($A130=$A129,AQ129,1)-V130+$D$2))</f>
        <v>-1</v>
      </c>
      <c r="AR130">
        <f>IF(OR($J130=1,COUNTIFS($A$5:$A129,"&gt;="&amp;$A130-1,$A$5:$A129,"&lt;="&amp;$A130,$B$5:$B129,$B130)&gt;0,MIN(1-'Exercise list'!L$2,IF($A130=$A129,AR129,1))-W130&lt;0),-1,MIN(1,IF($A130=$A129,AR129,1)-W130+$D$2))</f>
        <v>-1</v>
      </c>
      <c r="AS130">
        <f>IF(OR($J130=1,COUNTIFS($A$5:$A129,"&gt;="&amp;$A130-1,$A$5:$A129,"&lt;="&amp;$A130,$B$5:$B129,$B130)&gt;0,MIN(1-'Exercise list'!M$2,IF($A130=$A129,AS129,1))-X130&lt;0),-1,MIN(1,IF($A130=$A129,AS129,1)-X130+$D$2))</f>
        <v>-1</v>
      </c>
      <c r="AT130">
        <f>IF(OR($J130=1,COUNTIFS($A$5:$A129,"&gt;="&amp;$A130-1,$A$5:$A129,"&lt;="&amp;$A130,$B$5:$B129,$B130)&gt;0,MIN(1-'Exercise list'!N$2,IF($A130=$A129,AT129,1))-Y130&lt;0),-1,MIN(1,IF($A130=$A129,AT129,1)-Y130+$D$2))</f>
        <v>-1</v>
      </c>
      <c r="AU130">
        <f>IF(OR($J130=1,COUNTIFS($A$5:$A129,"&gt;="&amp;$A130-1,$A$5:$A129,"&lt;="&amp;$A130,$B$5:$B129,$B130)&gt;0,MIN(1-'Exercise list'!O$2,IF($A130=$A129,AU129,1))-Z130&lt;0),-1,MIN(1,IF($A130=$A129,AU129,1)-Z130+$D$2))</f>
        <v>-1</v>
      </c>
      <c r="AV130">
        <f>IF(OR($J130=1,COUNTIFS($A$5:$A129,"&gt;="&amp;$A130-1,$A$5:$A129,"&lt;="&amp;$A130,$B$5:$B129,$B130)&gt;0,MIN(1-'Exercise list'!P$2,IF($A130=$A129,AV129,1))-AA130&lt;0),-1,MIN(1,IF($A130=$A129,AV129,1)-AA130+$D$2))</f>
        <v>-1</v>
      </c>
      <c r="AW130">
        <f>IF(OR($J130=1,COUNTIFS($A$5:$A129,"&gt;="&amp;$A130-1,$A$5:$A129,"&lt;="&amp;$A130,$B$5:$B129,$B130)&gt;0,MIN(1-'Exercise list'!Q$2,IF($A130=$A129,AW129,1))-AB130&lt;0),-1,MIN(1,IF($A130=$A129,AW129,1)-AB130+$D$2))</f>
        <v>-1</v>
      </c>
      <c r="AX130">
        <f>IF(OR($J130=1,COUNTIFS($A$5:$A129,"&gt;="&amp;$A130-1,$A$5:$A129,"&lt;="&amp;$A130,$B$5:$B129,$B130)&gt;0,MIN(1-'Exercise list'!R$2,IF($A130=$A129,AX129,1))-AC130&lt;0),-1,MIN(1,IF($A130=$A129,AX129,1)-AC130+$D$2))</f>
        <v>-1</v>
      </c>
      <c r="AY130">
        <f>IF(OR($J130=1,COUNTIFS($A$5:$A129,"&gt;="&amp;$A130-1,$A$5:$A129,"&lt;="&amp;$A130,$B$5:$B129,$B130)&gt;0,MIN(1-'Exercise list'!S$2,IF($A130=$A129,AY129,1))-AD130&lt;0),-1,MIN(1,IF($A130=$A129,AY129,1)-AD130+$D$2))</f>
        <v>-1</v>
      </c>
      <c r="AZ130">
        <f>IF(OR($J130=1,COUNTIFS($A$5:$A129,"&gt;="&amp;$A130-1,$A$5:$A129,"&lt;="&amp;$A130,$B$5:$B129,$B130)&gt;0,MIN(1-'Exercise list'!T$2,IF($A130=$A129,AZ129,1))-AE130&lt;0),-1,MIN(1,IF($A130=$A129,AZ129,1)-AE130+$D$2))</f>
        <v>-1</v>
      </c>
      <c r="BA130">
        <f>IF(OR($J130=1,COUNTIFS($A$5:$A129,"&gt;="&amp;$A130-1,$A$5:$A129,"&lt;="&amp;$A130,$B$5:$B129,$B130)&gt;0,MIN(1-'Exercise list'!U$2,IF($A130=$A129,BA129,1))-AF130&lt;0),-1,MIN(1,IF($A130=$A129,BA129,1)-AF130+$D$2))</f>
        <v>-1</v>
      </c>
      <c r="BB130">
        <f>IF(OR($J130=1,COUNTIFS($A$5:$A129,"&gt;="&amp;$A130-1,$A$5:$A129,"&lt;="&amp;$A130,$B$5:$B129,$B130)&gt;0,MIN(1-'Exercise list'!V$2,IF($A130=$A129,BB129,1))-AG130&lt;0),-1,MIN(1,IF($A130=$A129,BB129,1)-AG130+$D$2))</f>
        <v>-1</v>
      </c>
      <c r="BC130">
        <f>IF(OR($J130=1,COUNTIFS($A$5:$A129,"&gt;="&amp;$A130-1,$A$5:$A129,"&lt;="&amp;$A130,$B$5:$B129,$B130)&gt;0,MIN(1-'Exercise list'!W$2,IF($A130=$A129,BC129,1))-AH130&lt;0),-1,MIN(1,IF($A130=$A129,BC129,1)-AH130+$D$2))</f>
        <v>-1</v>
      </c>
      <c r="BD130">
        <f>IF(OR($J130=1,COUNTIFS($A$5:$A129,"&gt;="&amp;$A130-1,$A$5:$A129,"&lt;="&amp;$A130,$B$5:$B129,$B130)&gt;0,MIN(1-'Exercise list'!X$2,IF($A130=$A129,BD129,1))-AI130&lt;0),-1,MIN(1,IF($A130=$A129,BD129,1)-AI130+$D$2))</f>
        <v>-1</v>
      </c>
      <c r="BF130" s="16">
        <f t="shared" si="100"/>
        <v>0.1452769861057534</v>
      </c>
      <c r="BG130" s="16">
        <f t="shared" si="101"/>
        <v>0.23907282470907132</v>
      </c>
      <c r="BH130" s="16">
        <f t="shared" si="102"/>
        <v>0.14273302226678308</v>
      </c>
      <c r="BI130" s="16">
        <f t="shared" si="103"/>
        <v>0.1574934767691174</v>
      </c>
      <c r="BJ130" s="16">
        <f t="shared" si="104"/>
        <v>0.14699061992456985</v>
      </c>
      <c r="BK130" s="16">
        <f t="shared" si="105"/>
        <v>0.1270921809797993</v>
      </c>
      <c r="BL130" s="16">
        <f t="shared" si="106"/>
        <v>0.16760421112824037</v>
      </c>
      <c r="BM130" s="16">
        <f t="shared" si="107"/>
        <v>1.4795079841582653E-2</v>
      </c>
      <c r="BN130" s="16">
        <f t="shared" si="108"/>
        <v>0.18365437144527585</v>
      </c>
      <c r="BO130" s="16">
        <f t="shared" si="109"/>
        <v>0.24093808086559407</v>
      </c>
      <c r="BP130" s="16">
        <f t="shared" si="110"/>
        <v>0.30736325445049467</v>
      </c>
      <c r="BQ130" s="16">
        <f t="shared" si="111"/>
        <v>9.3722888749142308E-2</v>
      </c>
      <c r="BR130" s="16">
        <f t="shared" si="112"/>
        <v>0.13973864962399601</v>
      </c>
      <c r="BS130" s="16">
        <f t="shared" si="113"/>
        <v>2.0531179872421052E-2</v>
      </c>
      <c r="BT130" s="16">
        <f t="shared" si="114"/>
        <v>0.14642936843325086</v>
      </c>
      <c r="BU130" s="16">
        <f t="shared" si="115"/>
        <v>0.14547496332553231</v>
      </c>
      <c r="BV130" s="16">
        <f t="shared" si="116"/>
        <v>0.18677391665269613</v>
      </c>
      <c r="BW130" s="16">
        <f t="shared" si="117"/>
        <v>7.3515464719043411E-2</v>
      </c>
      <c r="BX130" s="16">
        <f t="shared" si="118"/>
        <v>6.7324883394732679E-2</v>
      </c>
      <c r="BY130" s="16">
        <f t="shared" si="119"/>
        <v>3.3820386659188705E-2</v>
      </c>
      <c r="CA130" s="16">
        <f t="shared" si="56"/>
        <v>6.0674555369527011E-2</v>
      </c>
      <c r="CB130" s="16">
        <f t="shared" si="57"/>
        <v>0</v>
      </c>
      <c r="CC130" s="16">
        <f t="shared" si="58"/>
        <v>0</v>
      </c>
      <c r="CD130" s="16">
        <f t="shared" si="59"/>
        <v>0</v>
      </c>
      <c r="CE130" s="16">
        <f t="shared" si="60"/>
        <v>0</v>
      </c>
      <c r="CF130" s="16">
        <f t="shared" si="61"/>
        <v>0.18183513123312134</v>
      </c>
      <c r="CG130" s="16">
        <f t="shared" si="62"/>
        <v>0</v>
      </c>
      <c r="CH130" s="16">
        <f t="shared" si="63"/>
        <v>8.8180690896057554E-2</v>
      </c>
      <c r="CI130" s="16">
        <f t="shared" si="64"/>
        <v>2.2297170030004559E-2</v>
      </c>
      <c r="CJ130" s="16">
        <f t="shared" si="65"/>
        <v>0</v>
      </c>
      <c r="CK130" s="16">
        <f t="shared" si="66"/>
        <v>0</v>
      </c>
      <c r="CL130" s="16">
        <f t="shared" si="67"/>
        <v>9.2528819884978991E-3</v>
      </c>
      <c r="CM130" s="16">
        <f t="shared" si="68"/>
        <v>6.62128918512844E-2</v>
      </c>
      <c r="CN130" s="16">
        <f t="shared" si="69"/>
        <v>8.2444590865219158E-2</v>
      </c>
      <c r="CO130" s="16">
        <f t="shared" si="70"/>
        <v>0</v>
      </c>
      <c r="CP130" s="16">
        <f t="shared" si="71"/>
        <v>0</v>
      </c>
      <c r="CQ130" s="16">
        <f t="shared" si="72"/>
        <v>1.9177624822584283E-2</v>
      </c>
      <c r="CR130" s="16">
        <f t="shared" si="73"/>
        <v>2.9460306018596796E-2</v>
      </c>
      <c r="CS130" s="16">
        <f t="shared" si="74"/>
        <v>3.5650887342907528E-2</v>
      </c>
      <c r="CT130" s="16">
        <f t="shared" si="75"/>
        <v>6.9155384078451509E-2</v>
      </c>
    </row>
    <row r="131" spans="1:99" x14ac:dyDescent="0.25">
      <c r="A131" s="13">
        <v>45087</v>
      </c>
      <c r="B131" s="14">
        <v>29</v>
      </c>
      <c r="C131" s="15" t="str" cm="1">
        <f t="array" ref="C131">IF(B131="","",INDEX('Exercise list'!$C$5:$C$102,B131))</f>
        <v>Hanging leg raises</v>
      </c>
      <c r="D131" s="12">
        <f t="shared" si="97"/>
        <v>-1</v>
      </c>
      <c r="E131" s="107">
        <f t="shared" si="120"/>
        <v>0</v>
      </c>
      <c r="F131" s="63" cm="1">
        <f t="array" ref="F131">IF(B131="","",0.1+IFERROR(INDEX($F$6:$F130,SUMPRODUCT(MAX(ROW($C$6:$C130)*($C131=$C$6:$C130))-ROW($A$5)))*0.9^($A131-INDEX($A$6:A130,SUMPRODUCT(MAX(ROW($C$6:$C130)*($C131=$C$6:$C130))-ROW($A$5)))),0))</f>
        <v>0.18762273811115923</v>
      </c>
      <c r="G131" s="64">
        <f>INDEX('Exercise list'!$Y$5:$Y$102,MATCH(C131,'Exercise list'!$C$5:$C$102,0))</f>
        <v>2</v>
      </c>
      <c r="H131" s="115">
        <f t="shared" si="98"/>
        <v>5.6388699545924618E-2</v>
      </c>
      <c r="I131" s="6">
        <f t="shared" si="99"/>
        <v>3</v>
      </c>
      <c r="J131" s="6" cm="1">
        <f t="array" ref="J131">IF(B131="","",INDEX('Exercise list'!$D$5:$D$102,B131))</f>
        <v>0</v>
      </c>
      <c r="K131" s="12">
        <v>23</v>
      </c>
      <c r="L131" s="74" t="str" cm="1">
        <f t="array" ref="L131">IF(K131="","",INDEX('Exercise list'!$C$5:$C$102,K131))</f>
        <v>Barbell bench presses</v>
      </c>
      <c r="M131" s="6">
        <v>55</v>
      </c>
      <c r="N131" s="75" t="str" cm="1">
        <f t="array" ref="N131">IF(M131="","",INDEX('Exercise list'!$C$5:$C$102,M131))</f>
        <v>Egyptian cable lateral raises</v>
      </c>
      <c r="P131">
        <f>IFERROR(INDEX('Exercise list'!$E$5:$X$102,MATCH($C131,'Exercise list'!$C$5:$C$102,0),MATCH(P$5,'Exercise list'!$E$4:$X$4,0)),0)</f>
        <v>0</v>
      </c>
      <c r="Q131">
        <f>IFERROR(INDEX('Exercise list'!$E$5:$X$102,MATCH($C131,'Exercise list'!$C$5:$C$102,0),MATCH(Q$5,'Exercise list'!$E$4:$X$4,0)),0)</f>
        <v>0</v>
      </c>
      <c r="R131">
        <f>IFERROR(INDEX('Exercise list'!$E$5:$X$102,MATCH($C131,'Exercise list'!$C$5:$C$102,0),MATCH(R$5,'Exercise list'!$E$4:$X$4,0)),0)</f>
        <v>0</v>
      </c>
      <c r="S131">
        <f>IFERROR(INDEX('Exercise list'!$E$5:$X$102,MATCH($C131,'Exercise list'!$C$5:$C$102,0),MATCH(S$5,'Exercise list'!$E$4:$X$4,0)),0)</f>
        <v>0</v>
      </c>
      <c r="T131">
        <f>IFERROR(INDEX('Exercise list'!$E$5:$X$102,MATCH($C131,'Exercise list'!$C$5:$C$102,0),MATCH(T$5,'Exercise list'!$E$4:$X$4,0)),0)</f>
        <v>0</v>
      </c>
      <c r="U131">
        <f>IFERROR(INDEX('Exercise list'!$E$5:$X$102,MATCH($C131,'Exercise list'!$C$5:$C$102,0),MATCH(U$5,'Exercise list'!$E$4:$X$4,0)),0)</f>
        <v>0</v>
      </c>
      <c r="V131">
        <f>IFERROR(INDEX('Exercise list'!$E$5:$X$102,MATCH($C131,'Exercise list'!$C$5:$C$102,0),MATCH(V$5,'Exercise list'!$E$4:$X$4,0)),0)</f>
        <v>0</v>
      </c>
      <c r="W131">
        <f>IFERROR(INDEX('Exercise list'!$E$5:$X$102,MATCH($C131,'Exercise list'!$C$5:$C$102,0),MATCH(W$5,'Exercise list'!$E$4:$X$4,0)),0)</f>
        <v>0</v>
      </c>
      <c r="X131">
        <f>IFERROR(INDEX('Exercise list'!$E$5:$X$102,MATCH($C131,'Exercise list'!$C$5:$C$102,0),MATCH(X$5,'Exercise list'!$E$4:$X$4,0)),0)</f>
        <v>0</v>
      </c>
      <c r="Y131">
        <f>IFERROR(INDEX('Exercise list'!$E$5:$X$102,MATCH($C131,'Exercise list'!$C$5:$C$102,0),MATCH(Y$5,'Exercise list'!$E$4:$X$4,0)),0)</f>
        <v>0</v>
      </c>
      <c r="Z131">
        <f>IFERROR(INDEX('Exercise list'!$E$5:$X$102,MATCH($C131,'Exercise list'!$C$5:$C$102,0),MATCH(Z$5,'Exercise list'!$E$4:$X$4,0)),0)</f>
        <v>1</v>
      </c>
      <c r="AA131">
        <f>IFERROR(INDEX('Exercise list'!$E$5:$X$102,MATCH($C131,'Exercise list'!$C$5:$C$102,0),MATCH(AA$5,'Exercise list'!$E$4:$X$4,0)),0)</f>
        <v>0.8</v>
      </c>
      <c r="AB131">
        <f>IFERROR(INDEX('Exercise list'!$E$5:$X$102,MATCH($C131,'Exercise list'!$C$5:$C$102,0),MATCH(AB$5,'Exercise list'!$E$4:$X$4,0)),0)</f>
        <v>1</v>
      </c>
      <c r="AC131">
        <f>IFERROR(INDEX('Exercise list'!$E$5:$X$102,MATCH($C131,'Exercise list'!$C$5:$C$102,0),MATCH(AC$5,'Exercise list'!$E$4:$X$4,0)),0)</f>
        <v>0.5</v>
      </c>
      <c r="AD131">
        <f>IFERROR(INDEX('Exercise list'!$E$5:$X$102,MATCH($C131,'Exercise list'!$C$5:$C$102,0),MATCH(AD$5,'Exercise list'!$E$4:$X$4,0)),0)</f>
        <v>0</v>
      </c>
      <c r="AE131">
        <f>IFERROR(INDEX('Exercise list'!$E$5:$X$102,MATCH($C131,'Exercise list'!$C$5:$C$102,0),MATCH(AE$5,'Exercise list'!$E$4:$X$4,0)),0)</f>
        <v>0</v>
      </c>
      <c r="AF131">
        <f>IFERROR(INDEX('Exercise list'!$E$5:$X$102,MATCH($C131,'Exercise list'!$C$5:$C$102,0),MATCH(AF$5,'Exercise list'!$E$4:$X$4,0)),0)</f>
        <v>0</v>
      </c>
      <c r="AG131">
        <f>IFERROR(INDEX('Exercise list'!$E$5:$X$102,MATCH($C131,'Exercise list'!$C$5:$C$102,0),MATCH(AG$5,'Exercise list'!$E$4:$X$4,0)),0)</f>
        <v>0</v>
      </c>
      <c r="AH131">
        <f>IFERROR(INDEX('Exercise list'!$E$5:$X$102,MATCH($C131,'Exercise list'!$C$5:$C$102,0),MATCH(AH$5,'Exercise list'!$E$4:$X$4,0)),0)</f>
        <v>0</v>
      </c>
      <c r="AI131">
        <f>IFERROR(INDEX('Exercise list'!$E$5:$X$102,MATCH($C131,'Exercise list'!$C$5:$C$102,0),MATCH(AI$5,'Exercise list'!$E$4:$X$4,0)),0)</f>
        <v>0</v>
      </c>
      <c r="AK131">
        <f>IF(OR($J131=1,COUNTIFS($A$5:$A130,"&gt;="&amp;$A131-1,$A$5:$A130,"&lt;="&amp;$A131,$B$5:$B130,$B131)&gt;0,MIN(1-'Exercise list'!E$2,IF($A131=$A130,AK130,1))-P131&lt;0),-1,MIN(1,IF($A131=$A130,AK130,1)-P131+$D$2))</f>
        <v>-1</v>
      </c>
      <c r="AL131">
        <f>IF(OR($J131=1,COUNTIFS($A$5:$A130,"&gt;="&amp;$A131-1,$A$5:$A130,"&lt;="&amp;$A131,$B$5:$B130,$B131)&gt;0,MIN(1-'Exercise list'!F$2,IF($A131=$A130,AL130,1))-Q131&lt;0),-1,MIN(1,IF($A131=$A130,AL130,1)-Q131+$D$2))</f>
        <v>-1</v>
      </c>
      <c r="AM131">
        <f>IF(OR($J131=1,COUNTIFS($A$5:$A130,"&gt;="&amp;$A131-1,$A$5:$A130,"&lt;="&amp;$A131,$B$5:$B130,$B131)&gt;0,MIN(1-'Exercise list'!G$2,IF($A131=$A130,AM130,1))-R131&lt;0),-1,MIN(1,IF($A131=$A130,AM130,1)-R131+$D$2))</f>
        <v>-1</v>
      </c>
      <c r="AN131">
        <f>IF(OR($J131=1,COUNTIFS($A$5:$A130,"&gt;="&amp;$A131-1,$A$5:$A130,"&lt;="&amp;$A131,$B$5:$B130,$B131)&gt;0,MIN(1-'Exercise list'!H$2,IF($A131=$A130,AN130,1))-S131&lt;0),-1,MIN(1,IF($A131=$A130,AN130,1)-S131+$D$2))</f>
        <v>-1</v>
      </c>
      <c r="AO131">
        <f>IF(OR($J131=1,COUNTIFS($A$5:$A130,"&gt;="&amp;$A131-1,$A$5:$A130,"&lt;="&amp;$A131,$B$5:$B130,$B131)&gt;0,MIN(1-'Exercise list'!I$2,IF($A131=$A130,AO130,1))-T131&lt;0),-1,MIN(1,IF($A131=$A130,AO130,1)-T131+$D$2))</f>
        <v>-1</v>
      </c>
      <c r="AP131">
        <f>IF(OR($J131=1,COUNTIFS($A$5:$A130,"&gt;="&amp;$A131-1,$A$5:$A130,"&lt;="&amp;$A131,$B$5:$B130,$B131)&gt;0,MIN(1-'Exercise list'!J$2,IF($A131=$A130,AP130,1))-U131&lt;0),-1,MIN(1,IF($A131=$A130,AP130,1)-U131+$D$2))</f>
        <v>-1</v>
      </c>
      <c r="AQ131">
        <f>IF(OR($J131=1,COUNTIFS($A$5:$A130,"&gt;="&amp;$A131-1,$A$5:$A130,"&lt;="&amp;$A131,$B$5:$B130,$B131)&gt;0,MIN(1-'Exercise list'!K$2,IF($A131=$A130,AQ130,1))-V131&lt;0),-1,MIN(1,IF($A131=$A130,AQ130,1)-V131+$D$2))</f>
        <v>-1</v>
      </c>
      <c r="AR131">
        <f>IF(OR($J131=1,COUNTIFS($A$5:$A130,"&gt;="&amp;$A131-1,$A$5:$A130,"&lt;="&amp;$A131,$B$5:$B130,$B131)&gt;0,MIN(1-'Exercise list'!L$2,IF($A131=$A130,AR130,1))-W131&lt;0),-1,MIN(1,IF($A131=$A130,AR130,1)-W131+$D$2))</f>
        <v>-1</v>
      </c>
      <c r="AS131">
        <f>IF(OR($J131=1,COUNTIFS($A$5:$A130,"&gt;="&amp;$A131-1,$A$5:$A130,"&lt;="&amp;$A131,$B$5:$B130,$B131)&gt;0,MIN(1-'Exercise list'!M$2,IF($A131=$A130,AS130,1))-X131&lt;0),-1,MIN(1,IF($A131=$A130,AS130,1)-X131+$D$2))</f>
        <v>-1</v>
      </c>
      <c r="AT131">
        <f>IF(OR($J131=1,COUNTIFS($A$5:$A130,"&gt;="&amp;$A131-1,$A$5:$A130,"&lt;="&amp;$A131,$B$5:$B130,$B131)&gt;0,MIN(1-'Exercise list'!N$2,IF($A131=$A130,AT130,1))-Y131&lt;0),-1,MIN(1,IF($A131=$A130,AT130,1)-Y131+$D$2))</f>
        <v>-1</v>
      </c>
      <c r="AU131">
        <f>IF(OR($J131=1,COUNTIFS($A$5:$A130,"&gt;="&amp;$A131-1,$A$5:$A130,"&lt;="&amp;$A131,$B$5:$B130,$B131)&gt;0,MIN(1-'Exercise list'!O$2,IF($A131=$A130,AU130,1))-Z131&lt;0),-1,MIN(1,IF($A131=$A130,AU130,1)-Z131+$D$2))</f>
        <v>-1</v>
      </c>
      <c r="AV131">
        <f>IF(OR($J131=1,COUNTIFS($A$5:$A130,"&gt;="&amp;$A131-1,$A$5:$A130,"&lt;="&amp;$A131,$B$5:$B130,$B131)&gt;0,MIN(1-'Exercise list'!P$2,IF($A131=$A130,AV130,1))-AA131&lt;0),-1,MIN(1,IF($A131=$A130,AV130,1)-AA131+$D$2))</f>
        <v>-1</v>
      </c>
      <c r="AW131">
        <f>IF(OR($J131=1,COUNTIFS($A$5:$A130,"&gt;="&amp;$A131-1,$A$5:$A130,"&lt;="&amp;$A131,$B$5:$B130,$B131)&gt;0,MIN(1-'Exercise list'!Q$2,IF($A131=$A130,AW130,1))-AB131&lt;0),-1,MIN(1,IF($A131=$A130,AW130,1)-AB131+$D$2))</f>
        <v>-1</v>
      </c>
      <c r="AX131">
        <f>IF(OR($J131=1,COUNTIFS($A$5:$A130,"&gt;="&amp;$A131-1,$A$5:$A130,"&lt;="&amp;$A131,$B$5:$B130,$B131)&gt;0,MIN(1-'Exercise list'!R$2,IF($A131=$A130,AX130,1))-AC131&lt;0),-1,MIN(1,IF($A131=$A130,AX130,1)-AC131+$D$2))</f>
        <v>-1</v>
      </c>
      <c r="AY131">
        <f>IF(OR($J131=1,COUNTIFS($A$5:$A130,"&gt;="&amp;$A131-1,$A$5:$A130,"&lt;="&amp;$A131,$B$5:$B130,$B131)&gt;0,MIN(1-'Exercise list'!S$2,IF($A131=$A130,AY130,1))-AD131&lt;0),-1,MIN(1,IF($A131=$A130,AY130,1)-AD131+$D$2))</f>
        <v>-1</v>
      </c>
      <c r="AZ131">
        <f>IF(OR($J131=1,COUNTIFS($A$5:$A130,"&gt;="&amp;$A131-1,$A$5:$A130,"&lt;="&amp;$A131,$B$5:$B130,$B131)&gt;0,MIN(1-'Exercise list'!T$2,IF($A131=$A130,AZ130,1))-AE131&lt;0),-1,MIN(1,IF($A131=$A130,AZ130,1)-AE131+$D$2))</f>
        <v>-1</v>
      </c>
      <c r="BA131">
        <f>IF(OR($J131=1,COUNTIFS($A$5:$A130,"&gt;="&amp;$A131-1,$A$5:$A130,"&lt;="&amp;$A131,$B$5:$B130,$B131)&gt;0,MIN(1-'Exercise list'!U$2,IF($A131=$A130,BA130,1))-AF131&lt;0),-1,MIN(1,IF($A131=$A130,BA130,1)-AF131+$D$2))</f>
        <v>-1</v>
      </c>
      <c r="BB131">
        <f>IF(OR($J131=1,COUNTIFS($A$5:$A130,"&gt;="&amp;$A131-1,$A$5:$A130,"&lt;="&amp;$A131,$B$5:$B130,$B131)&gt;0,MIN(1-'Exercise list'!V$2,IF($A131=$A130,BB130,1))-AG131&lt;0),-1,MIN(1,IF($A131=$A130,BB130,1)-AG131+$D$2))</f>
        <v>-1</v>
      </c>
      <c r="BC131">
        <f>IF(OR($J131=1,COUNTIFS($A$5:$A130,"&gt;="&amp;$A131-1,$A$5:$A130,"&lt;="&amp;$A131,$B$5:$B130,$B131)&gt;0,MIN(1-'Exercise list'!W$2,IF($A131=$A130,BC130,1))-AH131&lt;0),-1,MIN(1,IF($A131=$A130,BC130,1)-AH131+$D$2))</f>
        <v>-1</v>
      </c>
      <c r="BD131">
        <f>IF(OR($J131=1,COUNTIFS($A$5:$A130,"&gt;="&amp;$A131-1,$A$5:$A130,"&lt;="&amp;$A131,$B$5:$B130,$B131)&gt;0,MIN(1-'Exercise list'!X$2,IF($A131=$A130,BD130,1))-AI131&lt;0),-1,MIN(1,IF($A131=$A130,BD130,1)-AI131+$D$2))</f>
        <v>-1</v>
      </c>
      <c r="BF131" s="16">
        <f t="shared" si="100"/>
        <v>0.13801313680046573</v>
      </c>
      <c r="BG131" s="16">
        <f t="shared" si="101"/>
        <v>0.22711918347361773</v>
      </c>
      <c r="BH131" s="16">
        <f t="shared" si="102"/>
        <v>0.13559637115344392</v>
      </c>
      <c r="BI131" s="16">
        <f t="shared" si="103"/>
        <v>0.14961880293066152</v>
      </c>
      <c r="BJ131" s="16">
        <f t="shared" si="104"/>
        <v>0.13964108892834134</v>
      </c>
      <c r="BK131" s="16">
        <f t="shared" si="105"/>
        <v>0.12073757193080932</v>
      </c>
      <c r="BL131" s="16">
        <f t="shared" si="106"/>
        <v>0.15922400057182834</v>
      </c>
      <c r="BM131" s="16">
        <f t="shared" si="107"/>
        <v>1.405532584950352E-2</v>
      </c>
      <c r="BN131" s="16">
        <f t="shared" si="108"/>
        <v>0.17447165287301206</v>
      </c>
      <c r="BO131" s="16">
        <f t="shared" si="109"/>
        <v>0.22889117682231436</v>
      </c>
      <c r="BP131" s="16">
        <f t="shared" si="110"/>
        <v>0.34199509172796994</v>
      </c>
      <c r="BQ131" s="16">
        <f t="shared" si="111"/>
        <v>0.12903674431168521</v>
      </c>
      <c r="BR131" s="16">
        <f t="shared" si="112"/>
        <v>0.1827517171427962</v>
      </c>
      <c r="BS131" s="16">
        <f t="shared" si="113"/>
        <v>4.45046208788E-2</v>
      </c>
      <c r="BT131" s="16">
        <f t="shared" si="114"/>
        <v>0.13910790001158832</v>
      </c>
      <c r="BU131" s="16">
        <f t="shared" si="115"/>
        <v>0.13820121515925568</v>
      </c>
      <c r="BV131" s="16">
        <f t="shared" si="116"/>
        <v>0.17743522082006133</v>
      </c>
      <c r="BW131" s="16">
        <f t="shared" si="117"/>
        <v>6.9839691483091243E-2</v>
      </c>
      <c r="BX131" s="16">
        <f t="shared" si="118"/>
        <v>6.3958639224996047E-2</v>
      </c>
      <c r="BY131" s="16">
        <f t="shared" si="119"/>
        <v>3.2129367326229265E-2</v>
      </c>
      <c r="CA131" s="16">
        <f t="shared" si="56"/>
        <v>6.9863049823272905E-2</v>
      </c>
      <c r="CB131" s="16">
        <f t="shared" si="57"/>
        <v>0</v>
      </c>
      <c r="CC131" s="16">
        <f t="shared" si="58"/>
        <v>0</v>
      </c>
      <c r="CD131" s="16">
        <f t="shared" si="59"/>
        <v>0</v>
      </c>
      <c r="CE131" s="16">
        <f t="shared" si="60"/>
        <v>0</v>
      </c>
      <c r="CF131" s="16">
        <f t="shared" si="61"/>
        <v>0.19107670800479865</v>
      </c>
      <c r="CG131" s="16">
        <f t="shared" si="62"/>
        <v>0</v>
      </c>
      <c r="CH131" s="16">
        <f t="shared" si="63"/>
        <v>8.9882767462365801E-2</v>
      </c>
      <c r="CI131" s="16">
        <f t="shared" si="64"/>
        <v>3.3404533750726578E-2</v>
      </c>
      <c r="CJ131" s="16">
        <f t="shared" si="65"/>
        <v>0</v>
      </c>
      <c r="CK131" s="16">
        <f t="shared" si="66"/>
        <v>0</v>
      </c>
      <c r="CL131" s="16">
        <f t="shared" si="67"/>
        <v>0</v>
      </c>
      <c r="CM131" s="16">
        <f t="shared" si="68"/>
        <v>2.5124469480942435E-2</v>
      </c>
      <c r="CN131" s="16">
        <f t="shared" si="69"/>
        <v>5.9433472433069318E-2</v>
      </c>
      <c r="CO131" s="16">
        <f t="shared" si="70"/>
        <v>0</v>
      </c>
      <c r="CP131" s="16">
        <f t="shared" si="71"/>
        <v>0</v>
      </c>
      <c r="CQ131" s="16">
        <f t="shared" si="72"/>
        <v>3.0440965803677306E-2</v>
      </c>
      <c r="CR131" s="16">
        <f t="shared" si="73"/>
        <v>3.4098401828778074E-2</v>
      </c>
      <c r="CS131" s="16">
        <f t="shared" si="74"/>
        <v>3.997945408687327E-2</v>
      </c>
      <c r="CT131" s="16">
        <f t="shared" si="75"/>
        <v>7.1808725985640059E-2</v>
      </c>
    </row>
    <row r="132" spans="1:99" x14ac:dyDescent="0.25">
      <c r="A132" s="13">
        <v>45087</v>
      </c>
      <c r="B132" s="14">
        <v>55</v>
      </c>
      <c r="C132" s="15" t="str" cm="1">
        <f t="array" ref="C132">IF(B132="","",INDEX('Exercise list'!$C$5:$C$102,B132))</f>
        <v>Egyptian cable lateral raises</v>
      </c>
      <c r="D132" s="12">
        <f t="shared" si="97"/>
        <v>-1</v>
      </c>
      <c r="E132" s="107">
        <f t="shared" si="120"/>
        <v>0</v>
      </c>
      <c r="F132" s="63" cm="1">
        <f t="array" ref="F132">IF(B132="","",0.1+IFERROR(INDEX($F$6:$F131,SUMPRODUCT(MAX(ROW($C$6:$C131)*($C132=$C$6:$C131))-ROW($A$5)))*0.9^($A132-INDEX($A$6:A131,SUMPRODUCT(MAX(ROW($C$6:$C131)*($C132=$C$6:$C131))-ROW($A$5)))),0))</f>
        <v>0.24218385866956435</v>
      </c>
      <c r="G132" s="64">
        <f>INDEX('Exercise list'!$Y$5:$Y$102,MATCH(C132,'Exercise list'!$C$5:$C$102,0))</f>
        <v>1</v>
      </c>
      <c r="H132" s="115">
        <f t="shared" si="98"/>
        <v>4.868220921120834E-2</v>
      </c>
      <c r="I132" s="6">
        <f t="shared" si="99"/>
        <v>4</v>
      </c>
      <c r="J132" s="6" cm="1">
        <f t="array" ref="J132">IF(B132="","",INDEX('Exercise list'!$D$5:$D$102,B132))</f>
        <v>0</v>
      </c>
      <c r="K132" s="12">
        <v>23</v>
      </c>
      <c r="L132" s="74" t="str" cm="1">
        <f t="array" ref="L132">IF(K132="","",INDEX('Exercise list'!$C$5:$C$102,K132))</f>
        <v>Barbell bench presses</v>
      </c>
      <c r="M132" s="6">
        <v>38</v>
      </c>
      <c r="N132" s="75" t="str" cm="1">
        <f t="array" ref="N132">IF(M132="","",INDEX('Exercise list'!$C$5:$C$102,M132))</f>
        <v>Cable hip abductions</v>
      </c>
      <c r="P132">
        <f>IFERROR(INDEX('Exercise list'!$E$5:$X$102,MATCH($C132,'Exercise list'!$C$5:$C$102,0),MATCH(P$5,'Exercise list'!$E$4:$X$4,0)),0)</f>
        <v>0</v>
      </c>
      <c r="Q132">
        <f>IFERROR(INDEX('Exercise list'!$E$5:$X$102,MATCH($C132,'Exercise list'!$C$5:$C$102,0),MATCH(Q$5,'Exercise list'!$E$4:$X$4,0)),0)</f>
        <v>0</v>
      </c>
      <c r="R132">
        <f>IFERROR(INDEX('Exercise list'!$E$5:$X$102,MATCH($C132,'Exercise list'!$C$5:$C$102,0),MATCH(R$5,'Exercise list'!$E$4:$X$4,0)),0)</f>
        <v>0</v>
      </c>
      <c r="S132">
        <f>IFERROR(INDEX('Exercise list'!$E$5:$X$102,MATCH($C132,'Exercise list'!$C$5:$C$102,0),MATCH(S$5,'Exercise list'!$E$4:$X$4,0)),0)</f>
        <v>0</v>
      </c>
      <c r="T132">
        <f>IFERROR(INDEX('Exercise list'!$E$5:$X$102,MATCH($C132,'Exercise list'!$C$5:$C$102,0),MATCH(T$5,'Exercise list'!$E$4:$X$4,0)),0)</f>
        <v>0</v>
      </c>
      <c r="U132">
        <f>IFERROR(INDEX('Exercise list'!$E$5:$X$102,MATCH($C132,'Exercise list'!$C$5:$C$102,0),MATCH(U$5,'Exercise list'!$E$4:$X$4,0)),0)</f>
        <v>1</v>
      </c>
      <c r="V132">
        <f>IFERROR(INDEX('Exercise list'!$E$5:$X$102,MATCH($C132,'Exercise list'!$C$5:$C$102,0),MATCH(V$5,'Exercise list'!$E$4:$X$4,0)),0)</f>
        <v>0.5</v>
      </c>
      <c r="W132">
        <f>IFERROR(INDEX('Exercise list'!$E$5:$X$102,MATCH($C132,'Exercise list'!$C$5:$C$102,0),MATCH(W$5,'Exercise list'!$E$4:$X$4,0)),0)</f>
        <v>0</v>
      </c>
      <c r="X132">
        <f>IFERROR(INDEX('Exercise list'!$E$5:$X$102,MATCH($C132,'Exercise list'!$C$5:$C$102,0),MATCH(X$5,'Exercise list'!$E$4:$X$4,0)),0)</f>
        <v>0</v>
      </c>
      <c r="Y132">
        <f>IFERROR(INDEX('Exercise list'!$E$5:$X$102,MATCH($C132,'Exercise list'!$C$5:$C$102,0),MATCH(Y$5,'Exercise list'!$E$4:$X$4,0)),0)</f>
        <v>0</v>
      </c>
      <c r="Z132">
        <f>IFERROR(INDEX('Exercise list'!$E$5:$X$102,MATCH($C132,'Exercise list'!$C$5:$C$102,0),MATCH(Z$5,'Exercise list'!$E$4:$X$4,0)),0)</f>
        <v>0</v>
      </c>
      <c r="AA132">
        <f>IFERROR(INDEX('Exercise list'!$E$5:$X$102,MATCH($C132,'Exercise list'!$C$5:$C$102,0),MATCH(AA$5,'Exercise list'!$E$4:$X$4,0)),0)</f>
        <v>0</v>
      </c>
      <c r="AB132">
        <f>IFERROR(INDEX('Exercise list'!$E$5:$X$102,MATCH($C132,'Exercise list'!$C$5:$C$102,0),MATCH(AB$5,'Exercise list'!$E$4:$X$4,0)),0)</f>
        <v>0</v>
      </c>
      <c r="AC132">
        <f>IFERROR(INDEX('Exercise list'!$E$5:$X$102,MATCH($C132,'Exercise list'!$C$5:$C$102,0),MATCH(AC$5,'Exercise list'!$E$4:$X$4,0)),0)</f>
        <v>0</v>
      </c>
      <c r="AD132">
        <f>IFERROR(INDEX('Exercise list'!$E$5:$X$102,MATCH($C132,'Exercise list'!$C$5:$C$102,0),MATCH(AD$5,'Exercise list'!$E$4:$X$4,0)),0)</f>
        <v>0</v>
      </c>
      <c r="AE132">
        <f>IFERROR(INDEX('Exercise list'!$E$5:$X$102,MATCH($C132,'Exercise list'!$C$5:$C$102,0),MATCH(AE$5,'Exercise list'!$E$4:$X$4,0)),0)</f>
        <v>0</v>
      </c>
      <c r="AF132">
        <f>IFERROR(INDEX('Exercise list'!$E$5:$X$102,MATCH($C132,'Exercise list'!$C$5:$C$102,0),MATCH(AF$5,'Exercise list'!$E$4:$X$4,0)),0)</f>
        <v>0</v>
      </c>
      <c r="AG132">
        <f>IFERROR(INDEX('Exercise list'!$E$5:$X$102,MATCH($C132,'Exercise list'!$C$5:$C$102,0),MATCH(AG$5,'Exercise list'!$E$4:$X$4,0)),0)</f>
        <v>0</v>
      </c>
      <c r="AH132">
        <f>IFERROR(INDEX('Exercise list'!$E$5:$X$102,MATCH($C132,'Exercise list'!$C$5:$C$102,0),MATCH(AH$5,'Exercise list'!$E$4:$X$4,0)),0)</f>
        <v>0</v>
      </c>
      <c r="AI132">
        <f>IFERROR(INDEX('Exercise list'!$E$5:$X$102,MATCH($C132,'Exercise list'!$C$5:$C$102,0),MATCH(AI$5,'Exercise list'!$E$4:$X$4,0)),0)</f>
        <v>0</v>
      </c>
      <c r="AK132">
        <f>IF(OR($J132=1,COUNTIFS($A$5:$A131,"&gt;="&amp;$A132-1,$A$5:$A131,"&lt;="&amp;$A132,$B$5:$B131,$B132)&gt;0,MIN(1-'Exercise list'!E$2,IF($A132=$A131,AK131,1))-P132&lt;0),-1,MIN(1,IF($A132=$A131,AK131,1)-P132+$D$2))</f>
        <v>-1</v>
      </c>
      <c r="AL132">
        <f>IF(OR($J132=1,COUNTIFS($A$5:$A131,"&gt;="&amp;$A132-1,$A$5:$A131,"&lt;="&amp;$A132,$B$5:$B131,$B132)&gt;0,MIN(1-'Exercise list'!F$2,IF($A132=$A131,AL131,1))-Q132&lt;0),-1,MIN(1,IF($A132=$A131,AL131,1)-Q132+$D$2))</f>
        <v>-1</v>
      </c>
      <c r="AM132">
        <f>IF(OR($J132=1,COUNTIFS($A$5:$A131,"&gt;="&amp;$A132-1,$A$5:$A131,"&lt;="&amp;$A132,$B$5:$B131,$B132)&gt;0,MIN(1-'Exercise list'!G$2,IF($A132=$A131,AM131,1))-R132&lt;0),-1,MIN(1,IF($A132=$A131,AM131,1)-R132+$D$2))</f>
        <v>-1</v>
      </c>
      <c r="AN132">
        <f>IF(OR($J132=1,COUNTIFS($A$5:$A131,"&gt;="&amp;$A132-1,$A$5:$A131,"&lt;="&amp;$A132,$B$5:$B131,$B132)&gt;0,MIN(1-'Exercise list'!H$2,IF($A132=$A131,AN131,1))-S132&lt;0),-1,MIN(1,IF($A132=$A131,AN131,1)-S132+$D$2))</f>
        <v>-1</v>
      </c>
      <c r="AO132">
        <f>IF(OR($J132=1,COUNTIFS($A$5:$A131,"&gt;="&amp;$A132-1,$A$5:$A131,"&lt;="&amp;$A132,$B$5:$B131,$B132)&gt;0,MIN(1-'Exercise list'!I$2,IF($A132=$A131,AO131,1))-T132&lt;0),-1,MIN(1,IF($A132=$A131,AO131,1)-T132+$D$2))</f>
        <v>-1</v>
      </c>
      <c r="AP132">
        <f>IF(OR($J132=1,COUNTIFS($A$5:$A131,"&gt;="&amp;$A132-1,$A$5:$A131,"&lt;="&amp;$A132,$B$5:$B131,$B132)&gt;0,MIN(1-'Exercise list'!J$2,IF($A132=$A131,AP131,1))-U132&lt;0),-1,MIN(1,IF($A132=$A131,AP131,1)-U132+$D$2))</f>
        <v>-1</v>
      </c>
      <c r="AQ132">
        <f>IF(OR($J132=1,COUNTIFS($A$5:$A131,"&gt;="&amp;$A132-1,$A$5:$A131,"&lt;="&amp;$A132,$B$5:$B131,$B132)&gt;0,MIN(1-'Exercise list'!K$2,IF($A132=$A131,AQ131,1))-V132&lt;0),-1,MIN(1,IF($A132=$A131,AQ131,1)-V132+$D$2))</f>
        <v>-1</v>
      </c>
      <c r="AR132">
        <f>IF(OR($J132=1,COUNTIFS($A$5:$A131,"&gt;="&amp;$A132-1,$A$5:$A131,"&lt;="&amp;$A132,$B$5:$B131,$B132)&gt;0,MIN(1-'Exercise list'!L$2,IF($A132=$A131,AR131,1))-W132&lt;0),-1,MIN(1,IF($A132=$A131,AR131,1)-W132+$D$2))</f>
        <v>-1</v>
      </c>
      <c r="AS132">
        <f>IF(OR($J132=1,COUNTIFS($A$5:$A131,"&gt;="&amp;$A132-1,$A$5:$A131,"&lt;="&amp;$A132,$B$5:$B131,$B132)&gt;0,MIN(1-'Exercise list'!M$2,IF($A132=$A131,AS131,1))-X132&lt;0),-1,MIN(1,IF($A132=$A131,AS131,1)-X132+$D$2))</f>
        <v>-1</v>
      </c>
      <c r="AT132">
        <f>IF(OR($J132=1,COUNTIFS($A$5:$A131,"&gt;="&amp;$A132-1,$A$5:$A131,"&lt;="&amp;$A132,$B$5:$B131,$B132)&gt;0,MIN(1-'Exercise list'!N$2,IF($A132=$A131,AT131,1))-Y132&lt;0),-1,MIN(1,IF($A132=$A131,AT131,1)-Y132+$D$2))</f>
        <v>-1</v>
      </c>
      <c r="AU132">
        <f>IF(OR($J132=1,COUNTIFS($A$5:$A131,"&gt;="&amp;$A132-1,$A$5:$A131,"&lt;="&amp;$A132,$B$5:$B131,$B132)&gt;0,MIN(1-'Exercise list'!O$2,IF($A132=$A131,AU131,1))-Z132&lt;0),-1,MIN(1,IF($A132=$A131,AU131,1)-Z132+$D$2))</f>
        <v>-1</v>
      </c>
      <c r="AV132">
        <f>IF(OR($J132=1,COUNTIFS($A$5:$A131,"&gt;="&amp;$A132-1,$A$5:$A131,"&lt;="&amp;$A132,$B$5:$B131,$B132)&gt;0,MIN(1-'Exercise list'!P$2,IF($A132=$A131,AV131,1))-AA132&lt;0),-1,MIN(1,IF($A132=$A131,AV131,1)-AA132+$D$2))</f>
        <v>-1</v>
      </c>
      <c r="AW132">
        <f>IF(OR($J132=1,COUNTIFS($A$5:$A131,"&gt;="&amp;$A132-1,$A$5:$A131,"&lt;="&amp;$A132,$B$5:$B131,$B132)&gt;0,MIN(1-'Exercise list'!Q$2,IF($A132=$A131,AW131,1))-AB132&lt;0),-1,MIN(1,IF($A132=$A131,AW131,1)-AB132+$D$2))</f>
        <v>-1</v>
      </c>
      <c r="AX132">
        <f>IF(OR($J132=1,COUNTIFS($A$5:$A131,"&gt;="&amp;$A132-1,$A$5:$A131,"&lt;="&amp;$A132,$B$5:$B131,$B132)&gt;0,MIN(1-'Exercise list'!R$2,IF($A132=$A131,AX131,1))-AC132&lt;0),-1,MIN(1,IF($A132=$A131,AX131,1)-AC132+$D$2))</f>
        <v>-1</v>
      </c>
      <c r="AY132">
        <f>IF(OR($J132=1,COUNTIFS($A$5:$A131,"&gt;="&amp;$A132-1,$A$5:$A131,"&lt;="&amp;$A132,$B$5:$B131,$B132)&gt;0,MIN(1-'Exercise list'!S$2,IF($A132=$A131,AY131,1))-AD132&lt;0),-1,MIN(1,IF($A132=$A131,AY131,1)-AD132+$D$2))</f>
        <v>-1</v>
      </c>
      <c r="AZ132">
        <f>IF(OR($J132=1,COUNTIFS($A$5:$A131,"&gt;="&amp;$A132-1,$A$5:$A131,"&lt;="&amp;$A132,$B$5:$B131,$B132)&gt;0,MIN(1-'Exercise list'!T$2,IF($A132=$A131,AZ131,1))-AE132&lt;0),-1,MIN(1,IF($A132=$A131,AZ131,1)-AE132+$D$2))</f>
        <v>-1</v>
      </c>
      <c r="BA132">
        <f>IF(OR($J132=1,COUNTIFS($A$5:$A131,"&gt;="&amp;$A132-1,$A$5:$A131,"&lt;="&amp;$A132,$B$5:$B131,$B132)&gt;0,MIN(1-'Exercise list'!U$2,IF($A132=$A131,BA131,1))-AF132&lt;0),-1,MIN(1,IF($A132=$A131,BA131,1)-AF132+$D$2))</f>
        <v>-1</v>
      </c>
      <c r="BB132">
        <f>IF(OR($J132=1,COUNTIFS($A$5:$A131,"&gt;="&amp;$A132-1,$A$5:$A131,"&lt;="&amp;$A132,$B$5:$B131,$B132)&gt;0,MIN(1-'Exercise list'!V$2,IF($A132=$A131,BB131,1))-AG132&lt;0),-1,MIN(1,IF($A132=$A131,BB131,1)-AG132+$D$2))</f>
        <v>-1</v>
      </c>
      <c r="BC132">
        <f>IF(OR($J132=1,COUNTIFS($A$5:$A131,"&gt;="&amp;$A132-1,$A$5:$A131,"&lt;="&amp;$A132,$B$5:$B131,$B132)&gt;0,MIN(1-'Exercise list'!W$2,IF($A132=$A131,BC131,1))-AH132&lt;0),-1,MIN(1,IF($A132=$A131,BC131,1)-AH132+$D$2))</f>
        <v>-1</v>
      </c>
      <c r="BD132">
        <f>IF(OR($J132=1,COUNTIFS($A$5:$A131,"&gt;="&amp;$A132-1,$A$5:$A131,"&lt;="&amp;$A132,$B$5:$B131,$B132)&gt;0,MIN(1-'Exercise list'!X$2,IF($A132=$A131,BD131,1))-AI132&lt;0),-1,MIN(1,IF($A132=$A131,BD131,1)-AI132+$D$2))</f>
        <v>-1</v>
      </c>
      <c r="BF132" s="16">
        <f t="shared" si="100"/>
        <v>0.13111247996044242</v>
      </c>
      <c r="BG132" s="16">
        <f t="shared" si="101"/>
        <v>0.21576322429993683</v>
      </c>
      <c r="BH132" s="16">
        <f t="shared" si="102"/>
        <v>0.12881655259577171</v>
      </c>
      <c r="BI132" s="16">
        <f t="shared" si="103"/>
        <v>0.14213786278412843</v>
      </c>
      <c r="BJ132" s="16">
        <f t="shared" si="104"/>
        <v>0.13265903448192426</v>
      </c>
      <c r="BK132" s="16">
        <f t="shared" si="105"/>
        <v>0.16470069333426884</v>
      </c>
      <c r="BL132" s="16">
        <f t="shared" si="106"/>
        <v>0.1762628005432369</v>
      </c>
      <c r="BM132" s="16">
        <f t="shared" si="107"/>
        <v>1.3352559557028344E-2</v>
      </c>
      <c r="BN132" s="16">
        <f t="shared" si="108"/>
        <v>0.16574807022936144</v>
      </c>
      <c r="BO132" s="16">
        <f t="shared" si="109"/>
        <v>0.21744661798119863</v>
      </c>
      <c r="BP132" s="16">
        <f t="shared" si="110"/>
        <v>0.32489533714157143</v>
      </c>
      <c r="BQ132" s="16">
        <f t="shared" si="111"/>
        <v>0.12258490709610095</v>
      </c>
      <c r="BR132" s="16">
        <f t="shared" si="112"/>
        <v>0.17361413128565639</v>
      </c>
      <c r="BS132" s="16">
        <f t="shared" si="113"/>
        <v>4.2279389834860001E-2</v>
      </c>
      <c r="BT132" s="16">
        <f t="shared" si="114"/>
        <v>0.13215250501100889</v>
      </c>
      <c r="BU132" s="16">
        <f t="shared" si="115"/>
        <v>0.13129115440129288</v>
      </c>
      <c r="BV132" s="16">
        <f t="shared" si="116"/>
        <v>0.16856345977905826</v>
      </c>
      <c r="BW132" s="16">
        <f t="shared" si="117"/>
        <v>6.6347706908936682E-2</v>
      </c>
      <c r="BX132" s="16">
        <f t="shared" si="118"/>
        <v>6.0760707263746244E-2</v>
      </c>
      <c r="BY132" s="16">
        <f t="shared" si="119"/>
        <v>3.0522898959917801E-2</v>
      </c>
      <c r="CA132" s="16">
        <f t="shared" si="56"/>
        <v>7.1925452887664831E-2</v>
      </c>
      <c r="CB132" s="16">
        <f t="shared" si="57"/>
        <v>0</v>
      </c>
      <c r="CC132" s="16">
        <f t="shared" si="58"/>
        <v>0</v>
      </c>
      <c r="CD132" s="16">
        <f t="shared" si="59"/>
        <v>0</v>
      </c>
      <c r="CE132" s="16">
        <f t="shared" si="60"/>
        <v>0</v>
      </c>
      <c r="CF132" s="16">
        <f t="shared" si="61"/>
        <v>0.13985620593789205</v>
      </c>
      <c r="CG132" s="16">
        <f t="shared" si="62"/>
        <v>0</v>
      </c>
      <c r="CH132" s="16">
        <f t="shared" si="63"/>
        <v>8.8166406867025288E-2</v>
      </c>
      <c r="CI132" s="16">
        <f t="shared" si="64"/>
        <v>3.7289862618745812E-2</v>
      </c>
      <c r="CJ132" s="16">
        <f t="shared" si="65"/>
        <v>0</v>
      </c>
      <c r="CK132" s="16">
        <f t="shared" si="66"/>
        <v>0</v>
      </c>
      <c r="CL132" s="16">
        <f t="shared" si="67"/>
        <v>0</v>
      </c>
      <c r="CM132" s="16">
        <f t="shared" si="68"/>
        <v>2.9423801562450863E-2</v>
      </c>
      <c r="CN132" s="16">
        <f t="shared" si="69"/>
        <v>5.9239576589193627E-2</v>
      </c>
      <c r="CO132" s="16">
        <f t="shared" si="70"/>
        <v>0</v>
      </c>
      <c r="CP132" s="16">
        <f t="shared" si="71"/>
        <v>0</v>
      </c>
      <c r="CQ132" s="16">
        <f t="shared" si="72"/>
        <v>3.4474473069048994E-2</v>
      </c>
      <c r="CR132" s="16">
        <f t="shared" si="73"/>
        <v>3.5171259515116945E-2</v>
      </c>
      <c r="CS132" s="16">
        <f t="shared" si="74"/>
        <v>4.0758259160307383E-2</v>
      </c>
      <c r="CT132" s="16">
        <f t="shared" si="75"/>
        <v>7.0996067464135823E-2</v>
      </c>
    </row>
    <row r="133" spans="1:99" x14ac:dyDescent="0.25">
      <c r="A133" s="20">
        <v>45087</v>
      </c>
      <c r="B133" s="21">
        <v>4</v>
      </c>
      <c r="C133" s="22" t="str" cm="1">
        <f t="array" ref="C133">IF(B133="","",INDEX('Exercise list'!$C$5:$C$102,B133))</f>
        <v>Stair climbing machine</v>
      </c>
      <c r="D133" s="17">
        <f t="shared" si="97"/>
        <v>-1</v>
      </c>
      <c r="E133" s="108">
        <f t="shared" si="120"/>
        <v>7.8972777770412979</v>
      </c>
      <c r="F133" s="65" cm="1">
        <f t="array" ref="F133">IF(B133="","",0.1+IFERROR(INDEX($F$6:$F132,SUMPRODUCT(MAX(ROW($C$6:$C132)*($C133=$C$6:$C132))-ROW($A$5)))*0.9^($A133-INDEX($A$6:A132,SUMPRODUCT(MAX(ROW($C$6:$C132)*($C133=$C$6:$C132))-ROW($A$5)))),0))</f>
        <v>0.18387722903698656</v>
      </c>
      <c r="G133" s="25">
        <f>INDEX('Exercise list'!$Y$5:$Y$102,MATCH(C133,'Exercise list'!$C$5:$C$102,0))</f>
        <v>3</v>
      </c>
      <c r="H133" s="116">
        <f t="shared" si="98"/>
        <v>4.868220921120834E-2</v>
      </c>
      <c r="I133" s="18">
        <f t="shared" si="99"/>
        <v>5</v>
      </c>
      <c r="J133" s="18" cm="1">
        <f t="array" ref="J133">IF(B133="","",INDEX('Exercise list'!$D$5:$D$102,B133))</f>
        <v>0</v>
      </c>
      <c r="K133" s="17">
        <v>3</v>
      </c>
      <c r="L133" s="51" t="str" cm="1">
        <f t="array" ref="L133">IF(K133="","",INDEX('Exercise list'!$C$5:$C$102,K133))</f>
        <v>Rowing machine</v>
      </c>
      <c r="M133" s="18">
        <v>5</v>
      </c>
      <c r="N133" s="76" t="str" cm="1">
        <f t="array" ref="N133">IF(M133="","",INDEX('Exercise list'!$C$5:$C$102,M133))</f>
        <v>Treadmill running</v>
      </c>
      <c r="O133" s="19"/>
      <c r="P133" s="19">
        <f>IFERROR(INDEX('Exercise list'!$E$5:$X$102,MATCH($C133,'Exercise list'!$C$5:$C$102,0),MATCH(P$5,'Exercise list'!$E$4:$X$4,0)),0)</f>
        <v>0</v>
      </c>
      <c r="Q133" s="19">
        <f>IFERROR(INDEX('Exercise list'!$E$5:$X$102,MATCH($C133,'Exercise list'!$C$5:$C$102,0),MATCH(Q$5,'Exercise list'!$E$4:$X$4,0)),0)</f>
        <v>0</v>
      </c>
      <c r="R133" s="19">
        <f>IFERROR(INDEX('Exercise list'!$E$5:$X$102,MATCH($C133,'Exercise list'!$C$5:$C$102,0),MATCH(R$5,'Exercise list'!$E$4:$X$4,0)),0)</f>
        <v>0</v>
      </c>
      <c r="S133" s="19">
        <f>IFERROR(INDEX('Exercise list'!$E$5:$X$102,MATCH($C133,'Exercise list'!$C$5:$C$102,0),MATCH(S$5,'Exercise list'!$E$4:$X$4,0)),0)</f>
        <v>0</v>
      </c>
      <c r="T133" s="19">
        <f>IFERROR(INDEX('Exercise list'!$E$5:$X$102,MATCH($C133,'Exercise list'!$C$5:$C$102,0),MATCH(T$5,'Exercise list'!$E$4:$X$4,0)),0)</f>
        <v>0</v>
      </c>
      <c r="U133" s="19">
        <f>IFERROR(INDEX('Exercise list'!$E$5:$X$102,MATCH($C133,'Exercise list'!$C$5:$C$102,0),MATCH(U$5,'Exercise list'!$E$4:$X$4,0)),0)</f>
        <v>0</v>
      </c>
      <c r="V133" s="19">
        <f>IFERROR(INDEX('Exercise list'!$E$5:$X$102,MATCH($C133,'Exercise list'!$C$5:$C$102,0),MATCH(V$5,'Exercise list'!$E$4:$X$4,0)),0)</f>
        <v>0</v>
      </c>
      <c r="W133" s="19">
        <f>IFERROR(INDEX('Exercise list'!$E$5:$X$102,MATCH($C133,'Exercise list'!$C$5:$C$102,0),MATCH(W$5,'Exercise list'!$E$4:$X$4,0)),0)</f>
        <v>0</v>
      </c>
      <c r="X133" s="19">
        <f>IFERROR(INDEX('Exercise list'!$E$5:$X$102,MATCH($C133,'Exercise list'!$C$5:$C$102,0),MATCH(X$5,'Exercise list'!$E$4:$X$4,0)),0)</f>
        <v>0</v>
      </c>
      <c r="Y133" s="19">
        <f>IFERROR(INDEX('Exercise list'!$E$5:$X$102,MATCH($C133,'Exercise list'!$C$5:$C$102,0),MATCH(Y$5,'Exercise list'!$E$4:$X$4,0)),0)</f>
        <v>0</v>
      </c>
      <c r="Z133" s="19">
        <f>IFERROR(INDEX('Exercise list'!$E$5:$X$102,MATCH($C133,'Exercise list'!$C$5:$C$102,0),MATCH(Z$5,'Exercise list'!$E$4:$X$4,0)),0)</f>
        <v>0</v>
      </c>
      <c r="AA133" s="19">
        <f>IFERROR(INDEX('Exercise list'!$E$5:$X$102,MATCH($C133,'Exercise list'!$C$5:$C$102,0),MATCH(AA$5,'Exercise list'!$E$4:$X$4,0)),0)</f>
        <v>0</v>
      </c>
      <c r="AB133" s="19">
        <f>IFERROR(INDEX('Exercise list'!$E$5:$X$102,MATCH($C133,'Exercise list'!$C$5:$C$102,0),MATCH(AB$5,'Exercise list'!$E$4:$X$4,0)),0)</f>
        <v>0</v>
      </c>
      <c r="AC133" s="19">
        <f>IFERROR(INDEX('Exercise list'!$E$5:$X$102,MATCH($C133,'Exercise list'!$C$5:$C$102,0),MATCH(AC$5,'Exercise list'!$E$4:$X$4,0)),0)</f>
        <v>0</v>
      </c>
      <c r="AD133" s="19">
        <f>IFERROR(INDEX('Exercise list'!$E$5:$X$102,MATCH($C133,'Exercise list'!$C$5:$C$102,0),MATCH(AD$5,'Exercise list'!$E$4:$X$4,0)),0)</f>
        <v>1</v>
      </c>
      <c r="AE133" s="19">
        <f>IFERROR(INDEX('Exercise list'!$E$5:$X$102,MATCH($C133,'Exercise list'!$C$5:$C$102,0),MATCH(AE$5,'Exercise list'!$E$4:$X$4,0)),0)</f>
        <v>0.7</v>
      </c>
      <c r="AF133" s="19">
        <f>IFERROR(INDEX('Exercise list'!$E$5:$X$102,MATCH($C133,'Exercise list'!$C$5:$C$102,0),MATCH(AF$5,'Exercise list'!$E$4:$X$4,0)),0)</f>
        <v>0.7</v>
      </c>
      <c r="AG133" s="19">
        <f>IFERROR(INDEX('Exercise list'!$E$5:$X$102,MATCH($C133,'Exercise list'!$C$5:$C$102,0),MATCH(AG$5,'Exercise list'!$E$4:$X$4,0)),0)</f>
        <v>1</v>
      </c>
      <c r="AH133" s="19">
        <f>IFERROR(INDEX('Exercise list'!$E$5:$X$102,MATCH($C133,'Exercise list'!$C$5:$C$102,0),MATCH(AH$5,'Exercise list'!$E$4:$X$4,0)),0)</f>
        <v>0.5</v>
      </c>
      <c r="AI133" s="19">
        <f>IFERROR(INDEX('Exercise list'!$E$5:$X$102,MATCH($C133,'Exercise list'!$C$5:$C$102,0),MATCH(AI$5,'Exercise list'!$E$4:$X$4,0)),0)</f>
        <v>0</v>
      </c>
      <c r="AJ133" s="19"/>
      <c r="AK133" s="19">
        <f>IF(OR($J133=1,COUNTIFS($A$5:$A132,"&gt;="&amp;$A133-1,$A$5:$A132,"&lt;="&amp;$A133,$B$5:$B132,$B133)&gt;0,MIN(1-'Exercise list'!E$2,IF($A133=$A132,AK132,1))-P133&lt;0),-1,MIN(1,IF($A133=$A132,AK132,1)-P133+$D$2))</f>
        <v>-1</v>
      </c>
      <c r="AL133" s="19">
        <f>IF(OR($J133=1,COUNTIFS($A$5:$A132,"&gt;="&amp;$A133-1,$A$5:$A132,"&lt;="&amp;$A133,$B$5:$B132,$B133)&gt;0,MIN(1-'Exercise list'!F$2,IF($A133=$A132,AL132,1))-Q133&lt;0),-1,MIN(1,IF($A133=$A132,AL132,1)-Q133+$D$2))</f>
        <v>-1</v>
      </c>
      <c r="AM133" s="19">
        <f>IF(OR($J133=1,COUNTIFS($A$5:$A132,"&gt;="&amp;$A133-1,$A$5:$A132,"&lt;="&amp;$A133,$B$5:$B132,$B133)&gt;0,MIN(1-'Exercise list'!G$2,IF($A133=$A132,AM132,1))-R133&lt;0),-1,MIN(1,IF($A133=$A132,AM132,1)-R133+$D$2))</f>
        <v>-1</v>
      </c>
      <c r="AN133" s="19">
        <f>IF(OR($J133=1,COUNTIFS($A$5:$A132,"&gt;="&amp;$A133-1,$A$5:$A132,"&lt;="&amp;$A133,$B$5:$B132,$B133)&gt;0,MIN(1-'Exercise list'!H$2,IF($A133=$A132,AN132,1))-S133&lt;0),-1,MIN(1,IF($A133=$A132,AN132,1)-S133+$D$2))</f>
        <v>-1</v>
      </c>
      <c r="AO133" s="19">
        <f>IF(OR($J133=1,COUNTIFS($A$5:$A132,"&gt;="&amp;$A133-1,$A$5:$A132,"&lt;="&amp;$A133,$B$5:$B132,$B133)&gt;0,MIN(1-'Exercise list'!I$2,IF($A133=$A132,AO132,1))-T133&lt;0),-1,MIN(1,IF($A133=$A132,AO132,1)-T133+$D$2))</f>
        <v>-1</v>
      </c>
      <c r="AP133" s="19">
        <f>IF(OR($J133=1,COUNTIFS($A$5:$A132,"&gt;="&amp;$A133-1,$A$5:$A132,"&lt;="&amp;$A133,$B$5:$B132,$B133)&gt;0,MIN(1-'Exercise list'!J$2,IF($A133=$A132,AP132,1))-U133&lt;0),-1,MIN(1,IF($A133=$A132,AP132,1)-U133+$D$2))</f>
        <v>-1</v>
      </c>
      <c r="AQ133" s="19">
        <f>IF(OR($J133=1,COUNTIFS($A$5:$A132,"&gt;="&amp;$A133-1,$A$5:$A132,"&lt;="&amp;$A133,$B$5:$B132,$B133)&gt;0,MIN(1-'Exercise list'!K$2,IF($A133=$A132,AQ132,1))-V133&lt;0),-1,MIN(1,IF($A133=$A132,AQ132,1)-V133+$D$2))</f>
        <v>-1</v>
      </c>
      <c r="AR133" s="19">
        <f>IF(OR($J133=1,COUNTIFS($A$5:$A132,"&gt;="&amp;$A133-1,$A$5:$A132,"&lt;="&amp;$A133,$B$5:$B132,$B133)&gt;0,MIN(1-'Exercise list'!L$2,IF($A133=$A132,AR132,1))-W133&lt;0),-1,MIN(1,IF($A133=$A132,AR132,1)-W133+$D$2))</f>
        <v>-1</v>
      </c>
      <c r="AS133" s="19">
        <f>IF(OR($J133=1,COUNTIFS($A$5:$A132,"&gt;="&amp;$A133-1,$A$5:$A132,"&lt;="&amp;$A133,$B$5:$B132,$B133)&gt;0,MIN(1-'Exercise list'!M$2,IF($A133=$A132,AS132,1))-X133&lt;0),-1,MIN(1,IF($A133=$A132,AS132,1)-X133+$D$2))</f>
        <v>-1</v>
      </c>
      <c r="AT133" s="19">
        <f>IF(OR($J133=1,COUNTIFS($A$5:$A132,"&gt;="&amp;$A133-1,$A$5:$A132,"&lt;="&amp;$A133,$B$5:$B132,$B133)&gt;0,MIN(1-'Exercise list'!N$2,IF($A133=$A132,AT132,1))-Y133&lt;0),-1,MIN(1,IF($A133=$A132,AT132,1)-Y133+$D$2))</f>
        <v>-1</v>
      </c>
      <c r="AU133" s="19">
        <f>IF(OR($J133=1,COUNTIFS($A$5:$A132,"&gt;="&amp;$A133-1,$A$5:$A132,"&lt;="&amp;$A133,$B$5:$B132,$B133)&gt;0,MIN(1-'Exercise list'!O$2,IF($A133=$A132,AU132,1))-Z133&lt;0),-1,MIN(1,IF($A133=$A132,AU132,1)-Z133+$D$2))</f>
        <v>-1</v>
      </c>
      <c r="AV133" s="19">
        <f>IF(OR($J133=1,COUNTIFS($A$5:$A132,"&gt;="&amp;$A133-1,$A$5:$A132,"&lt;="&amp;$A133,$B$5:$B132,$B133)&gt;0,MIN(1-'Exercise list'!P$2,IF($A133=$A132,AV132,1))-AA133&lt;0),-1,MIN(1,IF($A133=$A132,AV132,1)-AA133+$D$2))</f>
        <v>-1</v>
      </c>
      <c r="AW133" s="19">
        <f>IF(OR($J133=1,COUNTIFS($A$5:$A132,"&gt;="&amp;$A133-1,$A$5:$A132,"&lt;="&amp;$A133,$B$5:$B132,$B133)&gt;0,MIN(1-'Exercise list'!Q$2,IF($A133=$A132,AW132,1))-AB133&lt;0),-1,MIN(1,IF($A133=$A132,AW132,1)-AB133+$D$2))</f>
        <v>-1</v>
      </c>
      <c r="AX133" s="19">
        <f>IF(OR($J133=1,COUNTIFS($A$5:$A132,"&gt;="&amp;$A133-1,$A$5:$A132,"&lt;="&amp;$A133,$B$5:$B132,$B133)&gt;0,MIN(1-'Exercise list'!R$2,IF($A133=$A132,AX132,1))-AC133&lt;0),-1,MIN(1,IF($A133=$A132,AX132,1)-AC133+$D$2))</f>
        <v>-1</v>
      </c>
      <c r="AY133" s="19">
        <f>IF(OR($J133=1,COUNTIFS($A$5:$A132,"&gt;="&amp;$A133-1,$A$5:$A132,"&lt;="&amp;$A133,$B$5:$B132,$B133)&gt;0,MIN(1-'Exercise list'!S$2,IF($A133=$A132,AY132,1))-AD133&lt;0),-1,MIN(1,IF($A133=$A132,AY132,1)-AD133+$D$2))</f>
        <v>-1</v>
      </c>
      <c r="AZ133" s="19">
        <f>IF(OR($J133=1,COUNTIFS($A$5:$A132,"&gt;="&amp;$A133-1,$A$5:$A132,"&lt;="&amp;$A133,$B$5:$B132,$B133)&gt;0,MIN(1-'Exercise list'!T$2,IF($A133=$A132,AZ132,1))-AE133&lt;0),-1,MIN(1,IF($A133=$A132,AZ132,1)-AE133+$D$2))</f>
        <v>-1</v>
      </c>
      <c r="BA133" s="19">
        <f>IF(OR($J133=1,COUNTIFS($A$5:$A132,"&gt;="&amp;$A133-1,$A$5:$A132,"&lt;="&amp;$A133,$B$5:$B132,$B133)&gt;0,MIN(1-'Exercise list'!U$2,IF($A133=$A132,BA132,1))-AF133&lt;0),-1,MIN(1,IF($A133=$A132,BA132,1)-AF133+$D$2))</f>
        <v>-1</v>
      </c>
      <c r="BB133" s="19">
        <f>IF(OR($J133=1,COUNTIFS($A$5:$A132,"&gt;="&amp;$A133-1,$A$5:$A132,"&lt;="&amp;$A133,$B$5:$B132,$B133)&gt;0,MIN(1-'Exercise list'!V$2,IF($A133=$A132,BB132,1))-AG133&lt;0),-1,MIN(1,IF($A133=$A132,BB132,1)-AG133+$D$2))</f>
        <v>-1</v>
      </c>
      <c r="BC133" s="19">
        <f>IF(OR($J133=1,COUNTIFS($A$5:$A132,"&gt;="&amp;$A133-1,$A$5:$A132,"&lt;="&amp;$A133,$B$5:$B132,$B133)&gt;0,MIN(1-'Exercise list'!W$2,IF($A133=$A132,BC132,1))-AH133&lt;0),-1,MIN(1,IF($A133=$A132,BC132,1)-AH133+$D$2))</f>
        <v>-1</v>
      </c>
      <c r="BD133" s="19">
        <f>IF(OR($J133=1,COUNTIFS($A$5:$A132,"&gt;="&amp;$A133-1,$A$5:$A132,"&lt;="&amp;$A133,$B$5:$B132,$B133)&gt;0,MIN(1-'Exercise list'!X$2,IF($A133=$A132,BD132,1))-AI133&lt;0),-1,MIN(1,IF($A133=$A132,BD132,1)-AI133+$D$2))</f>
        <v>-1</v>
      </c>
      <c r="BE133" s="19"/>
      <c r="BF133" s="23">
        <f t="shared" si="100"/>
        <v>0.13111247996044242</v>
      </c>
      <c r="BG133" s="23">
        <f t="shared" si="101"/>
        <v>0.21576322429993683</v>
      </c>
      <c r="BH133" s="23">
        <f t="shared" si="102"/>
        <v>0.12881655259577171</v>
      </c>
      <c r="BI133" s="23">
        <f t="shared" si="103"/>
        <v>0.14213786278412843</v>
      </c>
      <c r="BJ133" s="23">
        <f t="shared" si="104"/>
        <v>0.13265903448192426</v>
      </c>
      <c r="BK133" s="23">
        <f t="shared" si="105"/>
        <v>0.16470069333426884</v>
      </c>
      <c r="BL133" s="23">
        <f t="shared" si="106"/>
        <v>0.1762628005432369</v>
      </c>
      <c r="BM133" s="23">
        <f t="shared" si="107"/>
        <v>1.3352559557028344E-2</v>
      </c>
      <c r="BN133" s="23">
        <f t="shared" si="108"/>
        <v>0.16574807022936144</v>
      </c>
      <c r="BO133" s="23">
        <f t="shared" si="109"/>
        <v>0.21744661798119863</v>
      </c>
      <c r="BP133" s="23">
        <f t="shared" si="110"/>
        <v>0.32489533714157143</v>
      </c>
      <c r="BQ133" s="23">
        <f t="shared" si="111"/>
        <v>0.12258490709610095</v>
      </c>
      <c r="BR133" s="23">
        <f t="shared" si="112"/>
        <v>0.17361413128565639</v>
      </c>
      <c r="BS133" s="23">
        <f t="shared" si="113"/>
        <v>4.2279389834860001E-2</v>
      </c>
      <c r="BT133" s="23">
        <f t="shared" si="114"/>
        <v>0.13215250501100889</v>
      </c>
      <c r="BU133" s="23">
        <f t="shared" si="115"/>
        <v>0.13129115440129288</v>
      </c>
      <c r="BV133" s="23">
        <f t="shared" si="116"/>
        <v>0.16856345977905826</v>
      </c>
      <c r="BW133" s="23">
        <f t="shared" si="117"/>
        <v>6.6347706908936682E-2</v>
      </c>
      <c r="BX133" s="23">
        <f t="shared" si="118"/>
        <v>6.0760707263746244E-2</v>
      </c>
      <c r="BY133" s="23">
        <f t="shared" si="119"/>
        <v>3.0522898959917801E-2</v>
      </c>
      <c r="BZ133" s="19"/>
      <c r="CA133" s="23">
        <f t="shared" si="56"/>
        <v>7.1925452887664831E-2</v>
      </c>
      <c r="CB133" s="23">
        <f t="shared" si="57"/>
        <v>0</v>
      </c>
      <c r="CC133" s="23">
        <f t="shared" si="58"/>
        <v>0</v>
      </c>
      <c r="CD133" s="23">
        <f t="shared" si="59"/>
        <v>0</v>
      </c>
      <c r="CE133" s="23">
        <f t="shared" si="60"/>
        <v>0</v>
      </c>
      <c r="CF133" s="23">
        <f t="shared" si="61"/>
        <v>0.13985620593789205</v>
      </c>
      <c r="CG133" s="23">
        <f t="shared" si="62"/>
        <v>0</v>
      </c>
      <c r="CH133" s="23">
        <f t="shared" si="63"/>
        <v>8.8166406867025288E-2</v>
      </c>
      <c r="CI133" s="23">
        <f t="shared" si="64"/>
        <v>3.7289862618745812E-2</v>
      </c>
      <c r="CJ133" s="23">
        <f t="shared" si="65"/>
        <v>0</v>
      </c>
      <c r="CK133" s="23">
        <f t="shared" si="66"/>
        <v>0</v>
      </c>
      <c r="CL133" s="23">
        <f t="shared" si="67"/>
        <v>0</v>
      </c>
      <c r="CM133" s="23">
        <f t="shared" si="68"/>
        <v>2.9423801562450863E-2</v>
      </c>
      <c r="CN133" s="23">
        <f t="shared" si="69"/>
        <v>5.9239576589193627E-2</v>
      </c>
      <c r="CO133" s="23">
        <f t="shared" si="70"/>
        <v>0</v>
      </c>
      <c r="CP133" s="23">
        <f t="shared" si="71"/>
        <v>0</v>
      </c>
      <c r="CQ133" s="23">
        <f t="shared" si="72"/>
        <v>3.4474473069048994E-2</v>
      </c>
      <c r="CR133" s="23">
        <f t="shared" si="73"/>
        <v>3.5171259515116945E-2</v>
      </c>
      <c r="CS133" s="23">
        <f t="shared" si="74"/>
        <v>4.0758259160307383E-2</v>
      </c>
      <c r="CT133" s="23">
        <f t="shared" si="75"/>
        <v>7.0996067464135823E-2</v>
      </c>
      <c r="CU133" s="19"/>
    </row>
    <row r="134" spans="1:99" x14ac:dyDescent="0.25">
      <c r="A134" s="13">
        <v>45088</v>
      </c>
      <c r="B134" s="14">
        <v>31</v>
      </c>
      <c r="C134" s="15" t="str" cm="1">
        <f t="array" ref="C134">IF(B134="","",INDEX('Exercise list'!$C$5:$C$102,B134))</f>
        <v>Weighted decline crunches</v>
      </c>
      <c r="D134" s="12">
        <f t="shared" si="97"/>
        <v>1</v>
      </c>
      <c r="E134" s="107">
        <f t="shared" si="120"/>
        <v>0</v>
      </c>
      <c r="F134" s="63" cm="1">
        <f t="array" ref="F134">IF(B134="","",0.1+IFERROR(INDEX($F$6:$F133,SUMPRODUCT(MAX(ROW($C$6:$C133)*($C134=$C$6:$C133))-ROW($A$5)))*0.9^($A134-INDEX($A$6:A133,SUMPRODUCT(MAX(ROW($C$6:$C133)*($C134=$C$6:$C133))-ROW($A$5)))),0))</f>
        <v>0.23372885638191182</v>
      </c>
      <c r="G134" s="64">
        <f>INDEX('Exercise list'!$Y$5:$Y$102,MATCH(C134,'Exercise list'!$C$5:$C$102,0))</f>
        <v>2</v>
      </c>
      <c r="H134" s="115">
        <f t="shared" si="98"/>
        <v>4.8926740869527252E-2</v>
      </c>
      <c r="I134" s="42">
        <f t="shared" si="99"/>
        <v>1</v>
      </c>
      <c r="J134" s="6" cm="1">
        <f t="array" ref="J134">IF(B134="","",INDEX('Exercise list'!$D$5:$D$102,B134))</f>
        <v>0</v>
      </c>
      <c r="K134" s="12">
        <v>48</v>
      </c>
      <c r="L134" s="74" t="str" cm="1">
        <f t="array" ref="L134">IF(K134="","",INDEX('Exercise list'!$C$5:$C$102,K134))</f>
        <v>Barbell overhead presses</v>
      </c>
      <c r="M134" s="6">
        <v>23</v>
      </c>
      <c r="N134" s="75" t="str" cm="1">
        <f t="array" ref="N134">IF(M134="","",INDEX('Exercise list'!$C$5:$C$102,M134))</f>
        <v>Barbell bench presses</v>
      </c>
      <c r="P134">
        <f>IFERROR(INDEX('Exercise list'!$E$5:$X$102,MATCH($C134,'Exercise list'!$C$5:$C$102,0),MATCH(P$5,'Exercise list'!$E$4:$X$4,0)),0)</f>
        <v>0</v>
      </c>
      <c r="Q134">
        <f>IFERROR(INDEX('Exercise list'!$E$5:$X$102,MATCH($C134,'Exercise list'!$C$5:$C$102,0),MATCH(Q$5,'Exercise list'!$E$4:$X$4,0)),0)</f>
        <v>0</v>
      </c>
      <c r="R134">
        <f>IFERROR(INDEX('Exercise list'!$E$5:$X$102,MATCH($C134,'Exercise list'!$C$5:$C$102,0),MATCH(R$5,'Exercise list'!$E$4:$X$4,0)),0)</f>
        <v>0</v>
      </c>
      <c r="S134">
        <f>IFERROR(INDEX('Exercise list'!$E$5:$X$102,MATCH($C134,'Exercise list'!$C$5:$C$102,0),MATCH(S$5,'Exercise list'!$E$4:$X$4,0)),0)</f>
        <v>0</v>
      </c>
      <c r="T134">
        <f>IFERROR(INDEX('Exercise list'!$E$5:$X$102,MATCH($C134,'Exercise list'!$C$5:$C$102,0),MATCH(T$5,'Exercise list'!$E$4:$X$4,0)),0)</f>
        <v>0</v>
      </c>
      <c r="U134">
        <f>IFERROR(INDEX('Exercise list'!$E$5:$X$102,MATCH($C134,'Exercise list'!$C$5:$C$102,0),MATCH(U$5,'Exercise list'!$E$4:$X$4,0)),0)</f>
        <v>0</v>
      </c>
      <c r="V134">
        <f>IFERROR(INDEX('Exercise list'!$E$5:$X$102,MATCH($C134,'Exercise list'!$C$5:$C$102,0),MATCH(V$5,'Exercise list'!$E$4:$X$4,0)),0)</f>
        <v>0</v>
      </c>
      <c r="W134">
        <f>IFERROR(INDEX('Exercise list'!$E$5:$X$102,MATCH($C134,'Exercise list'!$C$5:$C$102,0),MATCH(W$5,'Exercise list'!$E$4:$X$4,0)),0)</f>
        <v>0</v>
      </c>
      <c r="X134">
        <f>IFERROR(INDEX('Exercise list'!$E$5:$X$102,MATCH($C134,'Exercise list'!$C$5:$C$102,0),MATCH(X$5,'Exercise list'!$E$4:$X$4,0)),0)</f>
        <v>0</v>
      </c>
      <c r="Y134">
        <f>IFERROR(INDEX('Exercise list'!$E$5:$X$102,MATCH($C134,'Exercise list'!$C$5:$C$102,0),MATCH(Y$5,'Exercise list'!$E$4:$X$4,0)),0)</f>
        <v>0</v>
      </c>
      <c r="Z134">
        <f>IFERROR(INDEX('Exercise list'!$E$5:$X$102,MATCH($C134,'Exercise list'!$C$5:$C$102,0),MATCH(Z$5,'Exercise list'!$E$4:$X$4,0)),0)</f>
        <v>0</v>
      </c>
      <c r="AA134">
        <f>IFERROR(INDEX('Exercise list'!$E$5:$X$102,MATCH($C134,'Exercise list'!$C$5:$C$102,0),MATCH(AA$5,'Exercise list'!$E$4:$X$4,0)),0)</f>
        <v>1</v>
      </c>
      <c r="AB134">
        <f>IFERROR(INDEX('Exercise list'!$E$5:$X$102,MATCH($C134,'Exercise list'!$C$5:$C$102,0),MATCH(AB$5,'Exercise list'!$E$4:$X$4,0)),0)</f>
        <v>0.6</v>
      </c>
      <c r="AC134">
        <f>IFERROR(INDEX('Exercise list'!$E$5:$X$102,MATCH($C134,'Exercise list'!$C$5:$C$102,0),MATCH(AC$5,'Exercise list'!$E$4:$X$4,0)),0)</f>
        <v>0</v>
      </c>
      <c r="AD134">
        <f>IFERROR(INDEX('Exercise list'!$E$5:$X$102,MATCH($C134,'Exercise list'!$C$5:$C$102,0),MATCH(AD$5,'Exercise list'!$E$4:$X$4,0)),0)</f>
        <v>0</v>
      </c>
      <c r="AE134">
        <f>IFERROR(INDEX('Exercise list'!$E$5:$X$102,MATCH($C134,'Exercise list'!$C$5:$C$102,0),MATCH(AE$5,'Exercise list'!$E$4:$X$4,0)),0)</f>
        <v>0</v>
      </c>
      <c r="AF134">
        <f>IFERROR(INDEX('Exercise list'!$E$5:$X$102,MATCH($C134,'Exercise list'!$C$5:$C$102,0),MATCH(AF$5,'Exercise list'!$E$4:$X$4,0)),0)</f>
        <v>0</v>
      </c>
      <c r="AG134">
        <f>IFERROR(INDEX('Exercise list'!$E$5:$X$102,MATCH($C134,'Exercise list'!$C$5:$C$102,0),MATCH(AG$5,'Exercise list'!$E$4:$X$4,0)),0)</f>
        <v>0</v>
      </c>
      <c r="AH134">
        <f>IFERROR(INDEX('Exercise list'!$E$5:$X$102,MATCH($C134,'Exercise list'!$C$5:$C$102,0),MATCH(AH$5,'Exercise list'!$E$4:$X$4,0)),0)</f>
        <v>0</v>
      </c>
      <c r="AI134">
        <f>IFERROR(INDEX('Exercise list'!$E$5:$X$102,MATCH($C134,'Exercise list'!$C$5:$C$102,0),MATCH(AI$5,'Exercise list'!$E$4:$X$4,0)),0)</f>
        <v>0</v>
      </c>
      <c r="AK134">
        <f>IF(OR($J134=1,COUNTIFS($A$5:$A133,"&gt;="&amp;$A134-1,$A$5:$A133,"&lt;="&amp;$A134,$B$5:$B133,$B134)&gt;0,MIN(1-'Exercise list'!E$2,IF($A134=$A133,AK133,1))-P134&lt;0),-1,MIN(1,IF($A134=$A133,AK133,1)-P134+$D$2))</f>
        <v>1</v>
      </c>
      <c r="AL134">
        <f>IF(OR($J134=1,COUNTIFS($A$5:$A133,"&gt;="&amp;$A134-1,$A$5:$A133,"&lt;="&amp;$A134,$B$5:$B133,$B134)&gt;0,MIN(1-'Exercise list'!F$2,IF($A134=$A133,AL133,1))-Q134&lt;0),-1,MIN(1,IF($A134=$A133,AL133,1)-Q134+$D$2))</f>
        <v>1</v>
      </c>
      <c r="AM134">
        <f>IF(OR($J134=1,COUNTIFS($A$5:$A133,"&gt;="&amp;$A134-1,$A$5:$A133,"&lt;="&amp;$A134,$B$5:$B133,$B134)&gt;0,MIN(1-'Exercise list'!G$2,IF($A134=$A133,AM133,1))-R134&lt;0),-1,MIN(1,IF($A134=$A133,AM133,1)-R134+$D$2))</f>
        <v>1</v>
      </c>
      <c r="AN134">
        <f>IF(OR($J134=1,COUNTIFS($A$5:$A133,"&gt;="&amp;$A134-1,$A$5:$A133,"&lt;="&amp;$A134,$B$5:$B133,$B134)&gt;0,MIN(1-'Exercise list'!H$2,IF($A134=$A133,AN133,1))-S134&lt;0),-1,MIN(1,IF($A134=$A133,AN133,1)-S134+$D$2))</f>
        <v>1</v>
      </c>
      <c r="AO134">
        <f>IF(OR($J134=1,COUNTIFS($A$5:$A133,"&gt;="&amp;$A134-1,$A$5:$A133,"&lt;="&amp;$A134,$B$5:$B133,$B134)&gt;0,MIN(1-'Exercise list'!I$2,IF($A134=$A133,AO133,1))-T134&lt;0),-1,MIN(1,IF($A134=$A133,AO133,1)-T134+$D$2))</f>
        <v>1</v>
      </c>
      <c r="AP134">
        <f>IF(OR($J134=1,COUNTIFS($A$5:$A133,"&gt;="&amp;$A134-1,$A$5:$A133,"&lt;="&amp;$A134,$B$5:$B133,$B134)&gt;0,MIN(1-'Exercise list'!J$2,IF($A134=$A133,AP133,1))-U134&lt;0),-1,MIN(1,IF($A134=$A133,AP133,1)-U134+$D$2))</f>
        <v>1</v>
      </c>
      <c r="AQ134">
        <f>IF(OR($J134=1,COUNTIFS($A$5:$A133,"&gt;="&amp;$A134-1,$A$5:$A133,"&lt;="&amp;$A134,$B$5:$B133,$B134)&gt;0,MIN(1-'Exercise list'!K$2,IF($A134=$A133,AQ133,1))-V134&lt;0),-1,MIN(1,IF($A134=$A133,AQ133,1)-V134+$D$2))</f>
        <v>1</v>
      </c>
      <c r="AR134">
        <f>IF(OR($J134=1,COUNTIFS($A$5:$A133,"&gt;="&amp;$A134-1,$A$5:$A133,"&lt;="&amp;$A134,$B$5:$B133,$B134)&gt;0,MIN(1-'Exercise list'!L$2,IF($A134=$A133,AR133,1))-W134&lt;0),-1,MIN(1,IF($A134=$A133,AR133,1)-W134+$D$2))</f>
        <v>1</v>
      </c>
      <c r="AS134">
        <f>IF(OR($J134=1,COUNTIFS($A$5:$A133,"&gt;="&amp;$A134-1,$A$5:$A133,"&lt;="&amp;$A134,$B$5:$B133,$B134)&gt;0,MIN(1-'Exercise list'!M$2,IF($A134=$A133,AS133,1))-X134&lt;0),-1,MIN(1,IF($A134=$A133,AS133,1)-X134+$D$2))</f>
        <v>1</v>
      </c>
      <c r="AT134">
        <f>IF(OR($J134=1,COUNTIFS($A$5:$A133,"&gt;="&amp;$A134-1,$A$5:$A133,"&lt;="&amp;$A134,$B$5:$B133,$B134)&gt;0,MIN(1-'Exercise list'!N$2,IF($A134=$A133,AT133,1))-Y134&lt;0),-1,MIN(1,IF($A134=$A133,AT133,1)-Y134+$D$2))</f>
        <v>1</v>
      </c>
      <c r="AU134">
        <f>IF(OR($J134=1,COUNTIFS($A$5:$A133,"&gt;="&amp;$A134-1,$A$5:$A133,"&lt;="&amp;$A134,$B$5:$B133,$B134)&gt;0,MIN(1-'Exercise list'!O$2,IF($A134=$A133,AU133,1))-Z134&lt;0),-1,MIN(1,IF($A134=$A133,AU133,1)-Z134+$D$2))</f>
        <v>1</v>
      </c>
      <c r="AV134">
        <f>IF(OR($J134=1,COUNTIFS($A$5:$A133,"&gt;="&amp;$A134-1,$A$5:$A133,"&lt;="&amp;$A134,$B$5:$B133,$B134)&gt;0,MIN(1-'Exercise list'!P$2,IF($A134=$A133,AV133,1))-AA134&lt;0),-1,MIN(1,IF($A134=$A133,AV133,1)-AA134+$D$2))</f>
        <v>1</v>
      </c>
      <c r="AW134">
        <f>IF(OR($J134=1,COUNTIFS($A$5:$A133,"&gt;="&amp;$A134-1,$A$5:$A133,"&lt;="&amp;$A134,$B$5:$B133,$B134)&gt;0,MIN(1-'Exercise list'!Q$2,IF($A134=$A133,AW133,1))-AB134&lt;0),-1,MIN(1,IF($A134=$A133,AW133,1)-AB134+$D$2))</f>
        <v>1</v>
      </c>
      <c r="AX134">
        <f>IF(OR($J134=1,COUNTIFS($A$5:$A133,"&gt;="&amp;$A134-1,$A$5:$A133,"&lt;="&amp;$A134,$B$5:$B133,$B134)&gt;0,MIN(1-'Exercise list'!R$2,IF($A134=$A133,AX133,1))-AC134&lt;0),-1,MIN(1,IF($A134=$A133,AX133,1)-AC134+$D$2))</f>
        <v>1</v>
      </c>
      <c r="AY134">
        <f>IF(OR($J134=1,COUNTIFS($A$5:$A133,"&gt;="&amp;$A134-1,$A$5:$A133,"&lt;="&amp;$A134,$B$5:$B133,$B134)&gt;0,MIN(1-'Exercise list'!S$2,IF($A134=$A133,AY133,1))-AD134&lt;0),-1,MIN(1,IF($A134=$A133,AY133,1)-AD134+$D$2))</f>
        <v>1</v>
      </c>
      <c r="AZ134">
        <f>IF(OR($J134=1,COUNTIFS($A$5:$A133,"&gt;="&amp;$A134-1,$A$5:$A133,"&lt;="&amp;$A134,$B$5:$B133,$B134)&gt;0,MIN(1-'Exercise list'!T$2,IF($A134=$A133,AZ133,1))-AE134&lt;0),-1,MIN(1,IF($A134=$A133,AZ133,1)-AE134+$D$2))</f>
        <v>1</v>
      </c>
      <c r="BA134">
        <f>IF(OR($J134=1,COUNTIFS($A$5:$A133,"&gt;="&amp;$A134-1,$A$5:$A133,"&lt;="&amp;$A134,$B$5:$B133,$B134)&gt;0,MIN(1-'Exercise list'!U$2,IF($A134=$A133,BA133,1))-AF134&lt;0),-1,MIN(1,IF($A134=$A133,BA133,1)-AF134+$D$2))</f>
        <v>1</v>
      </c>
      <c r="BB134">
        <f>IF(OR($J134=1,COUNTIFS($A$5:$A133,"&gt;="&amp;$A134-1,$A$5:$A133,"&lt;="&amp;$A134,$B$5:$B133,$B134)&gt;0,MIN(1-'Exercise list'!V$2,IF($A134=$A133,BB133,1))-AG134&lt;0),-1,MIN(1,IF($A134=$A133,BB133,1)-AG134+$D$2))</f>
        <v>1</v>
      </c>
      <c r="BC134">
        <f>IF(OR($J134=1,COUNTIFS($A$5:$A133,"&gt;="&amp;$A134-1,$A$5:$A133,"&lt;="&amp;$A134,$B$5:$B133,$B134)&gt;0,MIN(1-'Exercise list'!W$2,IF($A134=$A133,BC133,1))-AH134&lt;0),-1,MIN(1,IF($A134=$A133,BC133,1)-AH134+$D$2))</f>
        <v>1</v>
      </c>
      <c r="BD134">
        <f>IF(OR($J134=1,COUNTIFS($A$5:$A133,"&gt;="&amp;$A134-1,$A$5:$A133,"&lt;="&amp;$A134,$B$5:$B133,$B134)&gt;0,MIN(1-'Exercise list'!X$2,IF($A134=$A133,BD133,1))-AI134&lt;0),-1,MIN(1,IF($A134=$A133,BD133,1)-AI134+$D$2))</f>
        <v>1</v>
      </c>
      <c r="BF134" s="16">
        <f t="shared" si="100"/>
        <v>0.12455685596242029</v>
      </c>
      <c r="BG134" s="16">
        <f t="shared" si="101"/>
        <v>0.20497506308493998</v>
      </c>
      <c r="BH134" s="16">
        <f t="shared" si="102"/>
        <v>0.12237572496598312</v>
      </c>
      <c r="BI134" s="16">
        <f t="shared" si="103"/>
        <v>0.13503096964492201</v>
      </c>
      <c r="BJ134" s="16">
        <f t="shared" si="104"/>
        <v>0.12602608275782803</v>
      </c>
      <c r="BK134" s="16">
        <f t="shared" si="105"/>
        <v>0.15646565866755541</v>
      </c>
      <c r="BL134" s="16">
        <f t="shared" si="106"/>
        <v>0.16744966051607504</v>
      </c>
      <c r="BM134" s="16">
        <f t="shared" si="107"/>
        <v>1.2684931579176925E-2</v>
      </c>
      <c r="BN134" s="16">
        <f t="shared" si="108"/>
        <v>0.15746066671789336</v>
      </c>
      <c r="BO134" s="16">
        <f t="shared" si="109"/>
        <v>0.20657428708213868</v>
      </c>
      <c r="BP134" s="16">
        <f t="shared" si="110"/>
        <v>0.30865057028449283</v>
      </c>
      <c r="BQ134" s="16">
        <f t="shared" si="111"/>
        <v>0.16645566174129589</v>
      </c>
      <c r="BR134" s="16">
        <f t="shared" si="112"/>
        <v>0.19493342472137357</v>
      </c>
      <c r="BS134" s="16">
        <f t="shared" si="113"/>
        <v>4.0165420343117E-2</v>
      </c>
      <c r="BT134" s="16">
        <f t="shared" si="114"/>
        <v>0.12554487976045844</v>
      </c>
      <c r="BU134" s="16">
        <f t="shared" si="115"/>
        <v>0.12472659668122824</v>
      </c>
      <c r="BV134" s="16">
        <f t="shared" si="116"/>
        <v>0.16013528679010533</v>
      </c>
      <c r="BW134" s="16">
        <f t="shared" si="117"/>
        <v>6.3030321563489838E-2</v>
      </c>
      <c r="BX134" s="16">
        <f t="shared" si="118"/>
        <v>5.7722671900558929E-2</v>
      </c>
      <c r="BY134" s="16">
        <f t="shared" si="119"/>
        <v>2.8996754011921911E-2</v>
      </c>
      <c r="CA134" s="16">
        <f t="shared" ref="CA134:CA137" si="121">IF($A134="","",MAX(0,CA$2/SUM($CA$2:$CT$2)*SUM($BF134:$BY134)-BF134))</f>
        <v>7.425510616920751E-2</v>
      </c>
      <c r="CB134" s="16">
        <f t="shared" ref="CB134:CB197" si="122">IF($A134="","",MAX(0,CB$2/SUM($CA$2:$CT$2)*SUM($BF134:$BY134)-BG134))</f>
        <v>0</v>
      </c>
      <c r="CC134" s="16">
        <f t="shared" ref="CC134:CC197" si="123">IF($A134="","",MAX(0,CC$2/SUM($CA$2:$CT$2)*SUM($BF134:$BY134)-BH134))</f>
        <v>0</v>
      </c>
      <c r="CD134" s="16">
        <f t="shared" ref="CD134:CD197" si="124">IF($A134="","",MAX(0,CD$2/SUM($CA$2:$CT$2)*SUM($BF134:$BY134)-BI134))</f>
        <v>0</v>
      </c>
      <c r="CE134" s="16">
        <f t="shared" ref="CE134:CE197" si="125">IF($A134="","",MAX(0,CE$2/SUM($CA$2:$CT$2)*SUM($BF134:$BY134)-BJ134))</f>
        <v>0</v>
      </c>
      <c r="CF134" s="16">
        <f t="shared" ref="CF134:CF197" si="126">IF($A134="","",MAX(0,CF$2/SUM($CA$2:$CT$2)*SUM($BF134:$BY134)-BK134))</f>
        <v>0.14175228452988631</v>
      </c>
      <c r="CG134" s="16">
        <f t="shared" ref="CG134:CG197" si="127">IF($A134="","",MAX(0,CG$2/SUM($CA$2:$CT$2)*SUM($BF134:$BY134)-BL134))</f>
        <v>0</v>
      </c>
      <c r="CH134" s="16">
        <f t="shared" ref="CH134:CH197" si="128">IF($A134="","",MAX(0,CH$2/SUM($CA$2:$CT$2)*SUM($BF134:$BY134)-BM134))</f>
        <v>8.6721049486636975E-2</v>
      </c>
      <c r="CI134" s="16">
        <f t="shared" ref="CI134:CI197" si="129">IF($A134="","",MAX(0,CI$2/SUM($CA$2:$CT$2)*SUM($BF134:$BY134)-BN134))</f>
        <v>4.1351295413734446E-2</v>
      </c>
      <c r="CJ134" s="16">
        <f t="shared" ref="CJ134:CJ197" si="130">IF($A134="","",MAX(0,CJ$2/SUM($CA$2:$CT$2)*SUM($BF134:$BY134)-BO134))</f>
        <v>0</v>
      </c>
      <c r="CK134" s="16">
        <f t="shared" ref="CK134:CK197" si="131">IF($A134="","",MAX(0,CK$2/SUM($CA$2:$CT$2)*SUM($BF134:$BY134)-BP134))</f>
        <v>0</v>
      </c>
      <c r="CL134" s="16">
        <f t="shared" ref="CL134:CL197" si="132">IF($A134="","",MAX(0,CL$2/SUM($CA$2:$CT$2)*SUM($BF134:$BY134)-BQ134))</f>
        <v>0</v>
      </c>
      <c r="CM134" s="16">
        <f t="shared" ref="CM134:CM197" si="133">IF($A134="","",MAX(0,CM$2/SUM($CA$2:$CT$2)*SUM($BF134:$BY134)-BR134))</f>
        <v>3.8785374102542347E-3</v>
      </c>
      <c r="CN134" s="16">
        <f t="shared" ref="CN134:CN197" si="134">IF($A134="","",MAX(0,CN$2/SUM($CA$2:$CT$2)*SUM($BF134:$BY134)-BS134))</f>
        <v>5.92405607226969E-2</v>
      </c>
      <c r="CO134" s="16">
        <f t="shared" ref="CO134:CO197" si="135">IF($A134="","",MAX(0,CO$2/SUM($CA$2:$CT$2)*SUM($BF134:$BY134)-BT134))</f>
        <v>0</v>
      </c>
      <c r="CP134" s="16">
        <f t="shared" ref="CP134:CP197" si="136">IF($A134="","",MAX(0,CP$2/SUM($CA$2:$CT$2)*SUM($BF134:$BY134)-BU134))</f>
        <v>0</v>
      </c>
      <c r="CQ134" s="16">
        <f t="shared" ref="CQ134:CQ197" si="137">IF($A134="","",MAX(0,CQ$2/SUM($CA$2:$CT$2)*SUM($BF134:$BY134)-BV134))</f>
        <v>3.8676675341522471E-2</v>
      </c>
      <c r="CR134" s="16">
        <f t="shared" ref="CR134:CR197" si="138">IF($A134="","",MAX(0,CR$2/SUM($CA$2:$CT$2)*SUM($BF134:$BY134)-BW134))</f>
        <v>3.6375659502324062E-2</v>
      </c>
      <c r="CS134" s="16">
        <f t="shared" ref="CS134:CS197" si="139">IF($A134="","",MAX(0,CS$2/SUM($CA$2:$CT$2)*SUM($BF134:$BY134)-BX134))</f>
        <v>4.1683309165254971E-2</v>
      </c>
      <c r="CT134" s="16">
        <f t="shared" ref="CT134:CT197" si="140">IF($A134="","",MAX(0,CT$2/SUM($CA$2:$CT$2)*SUM($BF134:$BY134)-BY134))</f>
        <v>7.0409227053891993E-2</v>
      </c>
    </row>
    <row r="135" spans="1:99" x14ac:dyDescent="0.25">
      <c r="A135" s="13">
        <v>45088</v>
      </c>
      <c r="B135" s="14">
        <v>48</v>
      </c>
      <c r="C135" s="15" t="str" cm="1">
        <f t="array" ref="C135">IF(B135="","",INDEX('Exercise list'!$C$5:$C$102,B135))</f>
        <v>Barbell overhead presses</v>
      </c>
      <c r="D135" s="12">
        <f t="shared" si="97"/>
        <v>1</v>
      </c>
      <c r="E135" s="107">
        <f t="shared" si="120"/>
        <v>0</v>
      </c>
      <c r="F135" s="63" cm="1">
        <f t="array" ref="F135">IF(B135="","",0.1+IFERROR(INDEX($F$6:$F134,SUMPRODUCT(MAX(ROW($C$6:$C134)*($C135=$C$6:$C134))-ROW($A$5)))*0.9^($A135-INDEX($A$6:A134,SUMPRODUCT(MAX(ROW($C$6:$C134)*($C135=$C$6:$C134))-ROW($A$5)))),0))</f>
        <v>0.24004007663868798</v>
      </c>
      <c r="G135" s="64">
        <f>INDEX('Exercise list'!$Y$5:$Y$102,MATCH(C135,'Exercise list'!$C$5:$C$102,0))</f>
        <v>3</v>
      </c>
      <c r="H135" s="115">
        <f t="shared" si="98"/>
        <v>4.6393925615420453E-2</v>
      </c>
      <c r="I135" s="6">
        <f t="shared" si="99"/>
        <v>2</v>
      </c>
      <c r="J135" s="6" cm="1">
        <f t="array" ref="J135">IF(B135="","",INDEX('Exercise list'!$D$5:$D$102,B135))</f>
        <v>0</v>
      </c>
      <c r="K135" s="12">
        <v>23</v>
      </c>
      <c r="L135" s="74" t="str" cm="1">
        <f t="array" ref="L135">IF(K135="","",INDEX('Exercise list'!$C$5:$C$102,K135))</f>
        <v>Barbell bench presses</v>
      </c>
      <c r="M135" s="6">
        <v>26</v>
      </c>
      <c r="N135" s="75" t="str" cm="1">
        <f t="array" ref="N135">IF(M135="","",INDEX('Exercise list'!$C$5:$C$102,M135))</f>
        <v>Dumbbell incline bench presses</v>
      </c>
      <c r="P135">
        <f>IFERROR(INDEX('Exercise list'!$E$5:$X$102,MATCH($C135,'Exercise list'!$C$5:$C$102,0),MATCH(P$5,'Exercise list'!$E$4:$X$4,0)),0)</f>
        <v>0</v>
      </c>
      <c r="Q135">
        <f>IFERROR(INDEX('Exercise list'!$E$5:$X$102,MATCH($C135,'Exercise list'!$C$5:$C$102,0),MATCH(Q$5,'Exercise list'!$E$4:$X$4,0)),0)</f>
        <v>0</v>
      </c>
      <c r="R135">
        <f>IFERROR(INDEX('Exercise list'!$E$5:$X$102,MATCH($C135,'Exercise list'!$C$5:$C$102,0),MATCH(R$5,'Exercise list'!$E$4:$X$4,0)),0)</f>
        <v>0</v>
      </c>
      <c r="S135">
        <f>IFERROR(INDEX('Exercise list'!$E$5:$X$102,MATCH($C135,'Exercise list'!$C$5:$C$102,0),MATCH(S$5,'Exercise list'!$E$4:$X$4,0)),0)</f>
        <v>0</v>
      </c>
      <c r="T135">
        <f>IFERROR(INDEX('Exercise list'!$E$5:$X$102,MATCH($C135,'Exercise list'!$C$5:$C$102,0),MATCH(T$5,'Exercise list'!$E$4:$X$4,0)),0)</f>
        <v>0</v>
      </c>
      <c r="U135">
        <f>IFERROR(INDEX('Exercise list'!$E$5:$X$102,MATCH($C135,'Exercise list'!$C$5:$C$102,0),MATCH(U$5,'Exercise list'!$E$4:$X$4,0)),0)</f>
        <v>0.7</v>
      </c>
      <c r="V135">
        <f>IFERROR(INDEX('Exercise list'!$E$5:$X$102,MATCH($C135,'Exercise list'!$C$5:$C$102,0),MATCH(V$5,'Exercise list'!$E$4:$X$4,0)),0)</f>
        <v>0.9</v>
      </c>
      <c r="W135">
        <f>IFERROR(INDEX('Exercise list'!$E$5:$X$102,MATCH($C135,'Exercise list'!$C$5:$C$102,0),MATCH(W$5,'Exercise list'!$E$4:$X$4,0)),0)</f>
        <v>0</v>
      </c>
      <c r="X135">
        <f>IFERROR(INDEX('Exercise list'!$E$5:$X$102,MATCH($C135,'Exercise list'!$C$5:$C$102,0),MATCH(X$5,'Exercise list'!$E$4:$X$4,0)),0)</f>
        <v>0</v>
      </c>
      <c r="Y135">
        <f>IFERROR(INDEX('Exercise list'!$E$5:$X$102,MATCH($C135,'Exercise list'!$C$5:$C$102,0),MATCH(Y$5,'Exercise list'!$E$4:$X$4,0)),0)</f>
        <v>0.7</v>
      </c>
      <c r="Z135">
        <f>IFERROR(INDEX('Exercise list'!$E$5:$X$102,MATCH($C135,'Exercise list'!$C$5:$C$102,0),MATCH(Z$5,'Exercise list'!$E$4:$X$4,0)),0)</f>
        <v>0</v>
      </c>
      <c r="AA135">
        <f>IFERROR(INDEX('Exercise list'!$E$5:$X$102,MATCH($C135,'Exercise list'!$C$5:$C$102,0),MATCH(AA$5,'Exercise list'!$E$4:$X$4,0)),0)</f>
        <v>0</v>
      </c>
      <c r="AB135">
        <f>IFERROR(INDEX('Exercise list'!$E$5:$X$102,MATCH($C135,'Exercise list'!$C$5:$C$102,0),MATCH(AB$5,'Exercise list'!$E$4:$X$4,0)),0)</f>
        <v>0</v>
      </c>
      <c r="AC135">
        <f>IFERROR(INDEX('Exercise list'!$E$5:$X$102,MATCH($C135,'Exercise list'!$C$5:$C$102,0),MATCH(AC$5,'Exercise list'!$E$4:$X$4,0)),0)</f>
        <v>0</v>
      </c>
      <c r="AD135">
        <f>IFERROR(INDEX('Exercise list'!$E$5:$X$102,MATCH($C135,'Exercise list'!$C$5:$C$102,0),MATCH(AD$5,'Exercise list'!$E$4:$X$4,0)),0)</f>
        <v>0</v>
      </c>
      <c r="AE135">
        <f>IFERROR(INDEX('Exercise list'!$E$5:$X$102,MATCH($C135,'Exercise list'!$C$5:$C$102,0),MATCH(AE$5,'Exercise list'!$E$4:$X$4,0)),0)</f>
        <v>0</v>
      </c>
      <c r="AF135">
        <f>IFERROR(INDEX('Exercise list'!$E$5:$X$102,MATCH($C135,'Exercise list'!$C$5:$C$102,0),MATCH(AF$5,'Exercise list'!$E$4:$X$4,0)),0)</f>
        <v>0</v>
      </c>
      <c r="AG135">
        <f>IFERROR(INDEX('Exercise list'!$E$5:$X$102,MATCH($C135,'Exercise list'!$C$5:$C$102,0),MATCH(AG$5,'Exercise list'!$E$4:$X$4,0)),0)</f>
        <v>0</v>
      </c>
      <c r="AH135">
        <f>IFERROR(INDEX('Exercise list'!$E$5:$X$102,MATCH($C135,'Exercise list'!$C$5:$C$102,0),MATCH(AH$5,'Exercise list'!$E$4:$X$4,0)),0)</f>
        <v>0</v>
      </c>
      <c r="AI135">
        <f>IFERROR(INDEX('Exercise list'!$E$5:$X$102,MATCH($C135,'Exercise list'!$C$5:$C$102,0),MATCH(AI$5,'Exercise list'!$E$4:$X$4,0)),0)</f>
        <v>0</v>
      </c>
      <c r="AK135">
        <f>IF(OR($J135=1,COUNTIFS($A$5:$A134,"&gt;="&amp;$A135-1,$A$5:$A134,"&lt;="&amp;$A135,$B$5:$B134,$B135)&gt;0,MIN(1-'Exercise list'!E$2,IF($A135=$A134,AK134,1))-P135&lt;0),-1,MIN(1,IF($A135=$A134,AK134,1)-P135+$D$2))</f>
        <v>1</v>
      </c>
      <c r="AL135">
        <f>IF(OR($J135=1,COUNTIFS($A$5:$A134,"&gt;="&amp;$A135-1,$A$5:$A134,"&lt;="&amp;$A135,$B$5:$B134,$B135)&gt;0,MIN(1-'Exercise list'!F$2,IF($A135=$A134,AL134,1))-Q135&lt;0),-1,MIN(1,IF($A135=$A134,AL134,1)-Q135+$D$2))</f>
        <v>1</v>
      </c>
      <c r="AM135">
        <f>IF(OR($J135=1,COUNTIFS($A$5:$A134,"&gt;="&amp;$A135-1,$A$5:$A134,"&lt;="&amp;$A135,$B$5:$B134,$B135)&gt;0,MIN(1-'Exercise list'!G$2,IF($A135=$A134,AM134,1))-R135&lt;0),-1,MIN(1,IF($A135=$A134,AM134,1)-R135+$D$2))</f>
        <v>1</v>
      </c>
      <c r="AN135">
        <f>IF(OR($J135=1,COUNTIFS($A$5:$A134,"&gt;="&amp;$A135-1,$A$5:$A134,"&lt;="&amp;$A135,$B$5:$B134,$B135)&gt;0,MIN(1-'Exercise list'!H$2,IF($A135=$A134,AN134,1))-S135&lt;0),-1,MIN(1,IF($A135=$A134,AN134,1)-S135+$D$2))</f>
        <v>1</v>
      </c>
      <c r="AO135">
        <f>IF(OR($J135=1,COUNTIFS($A$5:$A134,"&gt;="&amp;$A135-1,$A$5:$A134,"&lt;="&amp;$A135,$B$5:$B134,$B135)&gt;0,MIN(1-'Exercise list'!I$2,IF($A135=$A134,AO134,1))-T135&lt;0),-1,MIN(1,IF($A135=$A134,AO134,1)-T135+$D$2))</f>
        <v>1</v>
      </c>
      <c r="AP135">
        <f>IF(OR($J135=1,COUNTIFS($A$5:$A134,"&gt;="&amp;$A135-1,$A$5:$A134,"&lt;="&amp;$A135,$B$5:$B134,$B135)&gt;0,MIN(1-'Exercise list'!J$2,IF($A135=$A134,AP134,1))-U135&lt;0),-1,MIN(1,IF($A135=$A134,AP134,1)-U135+$D$2))</f>
        <v>1</v>
      </c>
      <c r="AQ135">
        <f>IF(OR($J135=1,COUNTIFS($A$5:$A134,"&gt;="&amp;$A135-1,$A$5:$A134,"&lt;="&amp;$A135,$B$5:$B134,$B135)&gt;0,MIN(1-'Exercise list'!K$2,IF($A135=$A134,AQ134,1))-V135&lt;0),-1,MIN(1,IF($A135=$A134,AQ134,1)-V135+$D$2))</f>
        <v>1</v>
      </c>
      <c r="AR135">
        <f>IF(OR($J135=1,COUNTIFS($A$5:$A134,"&gt;="&amp;$A135-1,$A$5:$A134,"&lt;="&amp;$A135,$B$5:$B134,$B135)&gt;0,MIN(1-'Exercise list'!L$2,IF($A135=$A134,AR134,1))-W135&lt;0),-1,MIN(1,IF($A135=$A134,AR134,1)-W135+$D$2))</f>
        <v>1</v>
      </c>
      <c r="AS135">
        <f>IF(OR($J135=1,COUNTIFS($A$5:$A134,"&gt;="&amp;$A135-1,$A$5:$A134,"&lt;="&amp;$A135,$B$5:$B134,$B135)&gt;0,MIN(1-'Exercise list'!M$2,IF($A135=$A134,AS134,1))-X135&lt;0),-1,MIN(1,IF($A135=$A134,AS134,1)-X135+$D$2))</f>
        <v>1</v>
      </c>
      <c r="AT135">
        <f>IF(OR($J135=1,COUNTIFS($A$5:$A134,"&gt;="&amp;$A135-1,$A$5:$A134,"&lt;="&amp;$A135,$B$5:$B134,$B135)&gt;0,MIN(1-'Exercise list'!N$2,IF($A135=$A134,AT134,1))-Y135&lt;0),-1,MIN(1,IF($A135=$A134,AT134,1)-Y135+$D$2))</f>
        <v>1</v>
      </c>
      <c r="AU135">
        <f>IF(OR($J135=1,COUNTIFS($A$5:$A134,"&gt;="&amp;$A135-1,$A$5:$A134,"&lt;="&amp;$A135,$B$5:$B134,$B135)&gt;0,MIN(1-'Exercise list'!O$2,IF($A135=$A134,AU134,1))-Z135&lt;0),-1,MIN(1,IF($A135=$A134,AU134,1)-Z135+$D$2))</f>
        <v>1</v>
      </c>
      <c r="AV135">
        <f>IF(OR($J135=1,COUNTIFS($A$5:$A134,"&gt;="&amp;$A135-1,$A$5:$A134,"&lt;="&amp;$A135,$B$5:$B134,$B135)&gt;0,MIN(1-'Exercise list'!P$2,IF($A135=$A134,AV134,1))-AA135&lt;0),-1,MIN(1,IF($A135=$A134,AV134,1)-AA135+$D$2))</f>
        <v>1</v>
      </c>
      <c r="AW135">
        <f>IF(OR($J135=1,COUNTIFS($A$5:$A134,"&gt;="&amp;$A135-1,$A$5:$A134,"&lt;="&amp;$A135,$B$5:$B134,$B135)&gt;0,MIN(1-'Exercise list'!Q$2,IF($A135=$A134,AW134,1))-AB135&lt;0),-1,MIN(1,IF($A135=$A134,AW134,1)-AB135+$D$2))</f>
        <v>1</v>
      </c>
      <c r="AX135">
        <f>IF(OR($J135=1,COUNTIFS($A$5:$A134,"&gt;="&amp;$A135-1,$A$5:$A134,"&lt;="&amp;$A135,$B$5:$B134,$B135)&gt;0,MIN(1-'Exercise list'!R$2,IF($A135=$A134,AX134,1))-AC135&lt;0),-1,MIN(1,IF($A135=$A134,AX134,1)-AC135+$D$2))</f>
        <v>1</v>
      </c>
      <c r="AY135">
        <f>IF(OR($J135=1,COUNTIFS($A$5:$A134,"&gt;="&amp;$A135-1,$A$5:$A134,"&lt;="&amp;$A135,$B$5:$B134,$B135)&gt;0,MIN(1-'Exercise list'!S$2,IF($A135=$A134,AY134,1))-AD135&lt;0),-1,MIN(1,IF($A135=$A134,AY134,1)-AD135+$D$2))</f>
        <v>1</v>
      </c>
      <c r="AZ135">
        <f>IF(OR($J135=1,COUNTIFS($A$5:$A134,"&gt;="&amp;$A135-1,$A$5:$A134,"&lt;="&amp;$A135,$B$5:$B134,$B135)&gt;0,MIN(1-'Exercise list'!T$2,IF($A135=$A134,AZ134,1))-AE135&lt;0),-1,MIN(1,IF($A135=$A134,AZ134,1)-AE135+$D$2))</f>
        <v>1</v>
      </c>
      <c r="BA135">
        <f>IF(OR($J135=1,COUNTIFS($A$5:$A134,"&gt;="&amp;$A135-1,$A$5:$A134,"&lt;="&amp;$A135,$B$5:$B134,$B135)&gt;0,MIN(1-'Exercise list'!U$2,IF($A135=$A134,BA134,1))-AF135&lt;0),-1,MIN(1,IF($A135=$A134,BA134,1)-AF135+$D$2))</f>
        <v>1</v>
      </c>
      <c r="BB135">
        <f>IF(OR($J135=1,COUNTIFS($A$5:$A134,"&gt;="&amp;$A135-1,$A$5:$A134,"&lt;="&amp;$A135,$B$5:$B134,$B135)&gt;0,MIN(1-'Exercise list'!V$2,IF($A135=$A134,BB134,1))-AG135&lt;0),-1,MIN(1,IF($A135=$A134,BB134,1)-AG135+$D$2))</f>
        <v>1</v>
      </c>
      <c r="BC135">
        <f>IF(OR($J135=1,COUNTIFS($A$5:$A134,"&gt;="&amp;$A135-1,$A$5:$A134,"&lt;="&amp;$A135,$B$5:$B134,$B135)&gt;0,MIN(1-'Exercise list'!W$2,IF($A135=$A134,BC134,1))-AH135&lt;0),-1,MIN(1,IF($A135=$A134,BC134,1)-AH135+$D$2))</f>
        <v>1</v>
      </c>
      <c r="BD135">
        <f>IF(OR($J135=1,COUNTIFS($A$5:$A134,"&gt;="&amp;$A135-1,$A$5:$A134,"&lt;="&amp;$A135,$B$5:$B134,$B135)&gt;0,MIN(1-'Exercise list'!X$2,IF($A135=$A134,BD134,1))-AI135&lt;0),-1,MIN(1,IF($A135=$A134,BD134,1)-AI135+$D$2))</f>
        <v>1</v>
      </c>
      <c r="BF135" s="16">
        <f t="shared" si="100"/>
        <v>0.11832901316429927</v>
      </c>
      <c r="BG135" s="16">
        <f t="shared" si="101"/>
        <v>0.19472630993069298</v>
      </c>
      <c r="BH135" s="16">
        <f t="shared" si="102"/>
        <v>0.11625693871768396</v>
      </c>
      <c r="BI135" s="16">
        <f t="shared" si="103"/>
        <v>0.12827942116267591</v>
      </c>
      <c r="BJ135" s="16">
        <f t="shared" si="104"/>
        <v>0.11972477861993662</v>
      </c>
      <c r="BK135" s="16">
        <f t="shared" si="105"/>
        <v>0.18364237573417763</v>
      </c>
      <c r="BL135" s="16">
        <f t="shared" si="106"/>
        <v>0.20407717749027129</v>
      </c>
      <c r="BM135" s="16">
        <f t="shared" si="107"/>
        <v>1.2050685000218078E-2</v>
      </c>
      <c r="BN135" s="16">
        <f t="shared" si="108"/>
        <v>0.14958763338199868</v>
      </c>
      <c r="BO135" s="16">
        <f t="shared" si="109"/>
        <v>0.23124557272803173</v>
      </c>
      <c r="BP135" s="16">
        <f t="shared" si="110"/>
        <v>0.29321804177026817</v>
      </c>
      <c r="BQ135" s="16">
        <f t="shared" si="111"/>
        <v>0.15813287865423109</v>
      </c>
      <c r="BR135" s="16">
        <f t="shared" si="112"/>
        <v>0.18518675348530489</v>
      </c>
      <c r="BS135" s="16">
        <f t="shared" si="113"/>
        <v>3.8157149325961148E-2</v>
      </c>
      <c r="BT135" s="16">
        <f t="shared" si="114"/>
        <v>0.11926763577243552</v>
      </c>
      <c r="BU135" s="16">
        <f t="shared" si="115"/>
        <v>0.11849026684716682</v>
      </c>
      <c r="BV135" s="16">
        <f t="shared" si="116"/>
        <v>0.15212852245060005</v>
      </c>
      <c r="BW135" s="16">
        <f t="shared" si="117"/>
        <v>5.9878805485315344E-2</v>
      </c>
      <c r="BX135" s="16">
        <f t="shared" si="118"/>
        <v>5.483653830553098E-2</v>
      </c>
      <c r="BY135" s="16">
        <f t="shared" si="119"/>
        <v>2.7546916311325814E-2</v>
      </c>
      <c r="CA135" s="16">
        <f t="shared" si="121"/>
        <v>7.9060869379265639E-2</v>
      </c>
      <c r="CB135" s="16">
        <f t="shared" si="122"/>
        <v>2.6635726128719228E-3</v>
      </c>
      <c r="CC135" s="16">
        <f t="shared" si="123"/>
        <v>0</v>
      </c>
      <c r="CD135" s="16">
        <f t="shared" si="124"/>
        <v>0</v>
      </c>
      <c r="CE135" s="16">
        <f t="shared" si="125"/>
        <v>0</v>
      </c>
      <c r="CF135" s="16">
        <f t="shared" si="126"/>
        <v>0.11244244808116971</v>
      </c>
      <c r="CG135" s="16">
        <f t="shared" si="127"/>
        <v>0</v>
      </c>
      <c r="CH135" s="16">
        <f t="shared" si="128"/>
        <v>8.6644256271564371E-2</v>
      </c>
      <c r="CI135" s="16">
        <f t="shared" si="129"/>
        <v>4.7802249161566224E-2</v>
      </c>
      <c r="CJ135" s="16">
        <f t="shared" si="130"/>
        <v>0</v>
      </c>
      <c r="CK135" s="16">
        <f t="shared" si="131"/>
        <v>0</v>
      </c>
      <c r="CL135" s="16">
        <f t="shared" si="132"/>
        <v>0</v>
      </c>
      <c r="CM135" s="16">
        <f t="shared" si="133"/>
        <v>1.2203129058260015E-2</v>
      </c>
      <c r="CN135" s="16">
        <f t="shared" si="134"/>
        <v>6.0537791945821304E-2</v>
      </c>
      <c r="CO135" s="16">
        <f t="shared" si="135"/>
        <v>0</v>
      </c>
      <c r="CP135" s="16">
        <f t="shared" si="136"/>
        <v>0</v>
      </c>
      <c r="CQ135" s="16">
        <f t="shared" si="137"/>
        <v>4.5261360092964859E-2</v>
      </c>
      <c r="CR135" s="16">
        <f t="shared" si="138"/>
        <v>3.8816135786467108E-2</v>
      </c>
      <c r="CS135" s="16">
        <f t="shared" si="139"/>
        <v>4.3858402966251472E-2</v>
      </c>
      <c r="CT135" s="16">
        <f t="shared" si="140"/>
        <v>7.1148024960456635E-2</v>
      </c>
    </row>
    <row r="136" spans="1:99" x14ac:dyDescent="0.25">
      <c r="A136" s="13">
        <v>45088</v>
      </c>
      <c r="B136" s="14">
        <v>37</v>
      </c>
      <c r="C136" s="15" t="str" cm="1">
        <f t="array" ref="C136">IF(B136="","",INDEX('Exercise list'!$C$5:$C$102,B136))</f>
        <v>Barbell low-bar squats</v>
      </c>
      <c r="D136" s="12">
        <f t="shared" si="97"/>
        <v>1</v>
      </c>
      <c r="E136" s="107">
        <f t="shared" si="120"/>
        <v>0</v>
      </c>
      <c r="F136" s="63" cm="1">
        <f t="array" ref="F136">IF(B136="","",0.1+IFERROR(INDEX($F$6:$F135,SUMPRODUCT(MAX(ROW($C$6:$C135)*($C136=$C$6:$C135))-ROW($A$5)))*0.9^($A136-INDEX($A$6:A135,SUMPRODUCT(MAX(ROW($C$6:$C135)*($C136=$C$6:$C135))-ROW($A$5)))),0))</f>
        <v>0.20156899295908454</v>
      </c>
      <c r="G136" s="64">
        <f>INDEX('Exercise list'!$Y$5:$Y$102,MATCH(C136,'Exercise list'!$C$5:$C$102,0))</f>
        <v>3</v>
      </c>
      <c r="H136" s="115">
        <f t="shared" si="98"/>
        <v>4.9602109931246835E-2</v>
      </c>
      <c r="I136" s="6">
        <f t="shared" si="99"/>
        <v>3</v>
      </c>
      <c r="J136" s="6" cm="1">
        <f t="array" ref="J136">IF(B136="","",INDEX('Exercise list'!$D$5:$D$102,B136))</f>
        <v>0</v>
      </c>
      <c r="K136" s="12">
        <v>44</v>
      </c>
      <c r="L136" s="74" t="str" cm="1">
        <f t="array" ref="L136">IF(K136="","",INDEX('Exercise list'!$C$5:$C$102,K136))</f>
        <v>Leg presses</v>
      </c>
      <c r="M136" s="6">
        <v>41</v>
      </c>
      <c r="N136" s="75" t="str" cm="1">
        <f t="array" ref="N136">IF(M136="","",INDEX('Exercise list'!$C$5:$C$102,M136))</f>
        <v>Dumbbell walking lunges</v>
      </c>
      <c r="P136">
        <f>IFERROR(INDEX('Exercise list'!$E$5:$X$102,MATCH($C136,'Exercise list'!$C$5:$C$102,0),MATCH(P$5,'Exercise list'!$E$4:$X$4,0)),0)</f>
        <v>0</v>
      </c>
      <c r="Q136">
        <f>IFERROR(INDEX('Exercise list'!$E$5:$X$102,MATCH($C136,'Exercise list'!$C$5:$C$102,0),MATCH(Q$5,'Exercise list'!$E$4:$X$4,0)),0)</f>
        <v>0</v>
      </c>
      <c r="R136">
        <f>IFERROR(INDEX('Exercise list'!$E$5:$X$102,MATCH($C136,'Exercise list'!$C$5:$C$102,0),MATCH(R$5,'Exercise list'!$E$4:$X$4,0)),0)</f>
        <v>0</v>
      </c>
      <c r="S136">
        <f>IFERROR(INDEX('Exercise list'!$E$5:$X$102,MATCH($C136,'Exercise list'!$C$5:$C$102,0),MATCH(S$5,'Exercise list'!$E$4:$X$4,0)),0)</f>
        <v>0</v>
      </c>
      <c r="T136">
        <f>IFERROR(INDEX('Exercise list'!$E$5:$X$102,MATCH($C136,'Exercise list'!$C$5:$C$102,0),MATCH(T$5,'Exercise list'!$E$4:$X$4,0)),0)</f>
        <v>0.5</v>
      </c>
      <c r="U136">
        <f>IFERROR(INDEX('Exercise list'!$E$5:$X$102,MATCH($C136,'Exercise list'!$C$5:$C$102,0),MATCH(U$5,'Exercise list'!$E$4:$X$4,0)),0)</f>
        <v>0</v>
      </c>
      <c r="V136">
        <f>IFERROR(INDEX('Exercise list'!$E$5:$X$102,MATCH($C136,'Exercise list'!$C$5:$C$102,0),MATCH(V$5,'Exercise list'!$E$4:$X$4,0)),0)</f>
        <v>0</v>
      </c>
      <c r="W136">
        <f>IFERROR(INDEX('Exercise list'!$E$5:$X$102,MATCH($C136,'Exercise list'!$C$5:$C$102,0),MATCH(W$5,'Exercise list'!$E$4:$X$4,0)),0)</f>
        <v>0</v>
      </c>
      <c r="X136">
        <f>IFERROR(INDEX('Exercise list'!$E$5:$X$102,MATCH($C136,'Exercise list'!$C$5:$C$102,0),MATCH(X$5,'Exercise list'!$E$4:$X$4,0)),0)</f>
        <v>0</v>
      </c>
      <c r="Y136">
        <f>IFERROR(INDEX('Exercise list'!$E$5:$X$102,MATCH($C136,'Exercise list'!$C$5:$C$102,0),MATCH(Y$5,'Exercise list'!$E$4:$X$4,0)),0)</f>
        <v>0</v>
      </c>
      <c r="Z136">
        <f>IFERROR(INDEX('Exercise list'!$E$5:$X$102,MATCH($C136,'Exercise list'!$C$5:$C$102,0),MATCH(Z$5,'Exercise list'!$E$4:$X$4,0)),0)</f>
        <v>0</v>
      </c>
      <c r="AA136">
        <f>IFERROR(INDEX('Exercise list'!$E$5:$X$102,MATCH($C136,'Exercise list'!$C$5:$C$102,0),MATCH(AA$5,'Exercise list'!$E$4:$X$4,0)),0)</f>
        <v>0</v>
      </c>
      <c r="AB136">
        <f>IFERROR(INDEX('Exercise list'!$E$5:$X$102,MATCH($C136,'Exercise list'!$C$5:$C$102,0),MATCH(AB$5,'Exercise list'!$E$4:$X$4,0)),0)</f>
        <v>0.5</v>
      </c>
      <c r="AC136">
        <f>IFERROR(INDEX('Exercise list'!$E$5:$X$102,MATCH($C136,'Exercise list'!$C$5:$C$102,0),MATCH(AC$5,'Exercise list'!$E$4:$X$4,0)),0)</f>
        <v>0</v>
      </c>
      <c r="AD136">
        <f>IFERROR(INDEX('Exercise list'!$E$5:$X$102,MATCH($C136,'Exercise list'!$C$5:$C$102,0),MATCH(AD$5,'Exercise list'!$E$4:$X$4,0)),0)</f>
        <v>0.8</v>
      </c>
      <c r="AE136">
        <f>IFERROR(INDEX('Exercise list'!$E$5:$X$102,MATCH($C136,'Exercise list'!$C$5:$C$102,0),MATCH(AE$5,'Exercise list'!$E$4:$X$4,0)),0)</f>
        <v>0.7</v>
      </c>
      <c r="AF136">
        <f>IFERROR(INDEX('Exercise list'!$E$5:$X$102,MATCH($C136,'Exercise list'!$C$5:$C$102,0),MATCH(AF$5,'Exercise list'!$E$4:$X$4,0)),0)</f>
        <v>0.9</v>
      </c>
      <c r="AG136">
        <f>IFERROR(INDEX('Exercise list'!$E$5:$X$102,MATCH($C136,'Exercise list'!$C$5:$C$102,0),MATCH(AG$5,'Exercise list'!$E$4:$X$4,0)),0)</f>
        <v>0.5</v>
      </c>
      <c r="AH136">
        <f>IFERROR(INDEX('Exercise list'!$E$5:$X$102,MATCH($C136,'Exercise list'!$C$5:$C$102,0),MATCH(AH$5,'Exercise list'!$E$4:$X$4,0)),0)</f>
        <v>0.5</v>
      </c>
      <c r="AI136">
        <f>IFERROR(INDEX('Exercise list'!$E$5:$X$102,MATCH($C136,'Exercise list'!$C$5:$C$102,0),MATCH(AI$5,'Exercise list'!$E$4:$X$4,0)),0)</f>
        <v>0</v>
      </c>
      <c r="AK136">
        <f>IF(OR($J136=1,COUNTIFS($A$5:$A135,"&gt;="&amp;$A136-1,$A$5:$A135,"&lt;="&amp;$A136,$B$5:$B135,$B136)&gt;0,MIN(1-'Exercise list'!E$2,IF($A136=$A135,AK135,1))-P136&lt;0),-1,MIN(1,IF($A136=$A135,AK135,1)-P136+$D$2))</f>
        <v>1</v>
      </c>
      <c r="AL136">
        <f>IF(OR($J136=1,COUNTIFS($A$5:$A135,"&gt;="&amp;$A136-1,$A$5:$A135,"&lt;="&amp;$A136,$B$5:$B135,$B136)&gt;0,MIN(1-'Exercise list'!F$2,IF($A136=$A135,AL135,1))-Q136&lt;0),-1,MIN(1,IF($A136=$A135,AL135,1)-Q136+$D$2))</f>
        <v>1</v>
      </c>
      <c r="AM136">
        <f>IF(OR($J136=1,COUNTIFS($A$5:$A135,"&gt;="&amp;$A136-1,$A$5:$A135,"&lt;="&amp;$A136,$B$5:$B135,$B136)&gt;0,MIN(1-'Exercise list'!G$2,IF($A136=$A135,AM135,1))-R136&lt;0),-1,MIN(1,IF($A136=$A135,AM135,1)-R136+$D$2))</f>
        <v>1</v>
      </c>
      <c r="AN136">
        <f>IF(OR($J136=1,COUNTIFS($A$5:$A135,"&gt;="&amp;$A136-1,$A$5:$A135,"&lt;="&amp;$A136,$B$5:$B135,$B136)&gt;0,MIN(1-'Exercise list'!H$2,IF($A136=$A135,AN135,1))-S136&lt;0),-1,MIN(1,IF($A136=$A135,AN135,1)-S136+$D$2))</f>
        <v>1</v>
      </c>
      <c r="AO136">
        <f>IF(OR($J136=1,COUNTIFS($A$5:$A135,"&gt;="&amp;$A136-1,$A$5:$A135,"&lt;="&amp;$A136,$B$5:$B135,$B136)&gt;0,MIN(1-'Exercise list'!I$2,IF($A136=$A135,AO135,1))-T136&lt;0),-1,MIN(1,IF($A136=$A135,AO135,1)-T136+$D$2))</f>
        <v>1</v>
      </c>
      <c r="AP136">
        <f>IF(OR($J136=1,COUNTIFS($A$5:$A135,"&gt;="&amp;$A136-1,$A$5:$A135,"&lt;="&amp;$A136,$B$5:$B135,$B136)&gt;0,MIN(1-'Exercise list'!J$2,IF($A136=$A135,AP135,1))-U136&lt;0),-1,MIN(1,IF($A136=$A135,AP135,1)-U136+$D$2))</f>
        <v>1</v>
      </c>
      <c r="AQ136">
        <f>IF(OR($J136=1,COUNTIFS($A$5:$A135,"&gt;="&amp;$A136-1,$A$5:$A135,"&lt;="&amp;$A136,$B$5:$B135,$B136)&gt;0,MIN(1-'Exercise list'!K$2,IF($A136=$A135,AQ135,1))-V136&lt;0),-1,MIN(1,IF($A136=$A135,AQ135,1)-V136+$D$2))</f>
        <v>1</v>
      </c>
      <c r="AR136">
        <f>IF(OR($J136=1,COUNTIFS($A$5:$A135,"&gt;="&amp;$A136-1,$A$5:$A135,"&lt;="&amp;$A136,$B$5:$B135,$B136)&gt;0,MIN(1-'Exercise list'!L$2,IF($A136=$A135,AR135,1))-W136&lt;0),-1,MIN(1,IF($A136=$A135,AR135,1)-W136+$D$2))</f>
        <v>1</v>
      </c>
      <c r="AS136">
        <f>IF(OR($J136=1,COUNTIFS($A$5:$A135,"&gt;="&amp;$A136-1,$A$5:$A135,"&lt;="&amp;$A136,$B$5:$B135,$B136)&gt;0,MIN(1-'Exercise list'!M$2,IF($A136=$A135,AS135,1))-X136&lt;0),-1,MIN(1,IF($A136=$A135,AS135,1)-X136+$D$2))</f>
        <v>1</v>
      </c>
      <c r="AT136">
        <f>IF(OR($J136=1,COUNTIFS($A$5:$A135,"&gt;="&amp;$A136-1,$A$5:$A135,"&lt;="&amp;$A136,$B$5:$B135,$B136)&gt;0,MIN(1-'Exercise list'!N$2,IF($A136=$A135,AT135,1))-Y136&lt;0),-1,MIN(1,IF($A136=$A135,AT135,1)-Y136+$D$2))</f>
        <v>1</v>
      </c>
      <c r="AU136">
        <f>IF(OR($J136=1,COUNTIFS($A$5:$A135,"&gt;="&amp;$A136-1,$A$5:$A135,"&lt;="&amp;$A136,$B$5:$B135,$B136)&gt;0,MIN(1-'Exercise list'!O$2,IF($A136=$A135,AU135,1))-Z136&lt;0),-1,MIN(1,IF($A136=$A135,AU135,1)-Z136+$D$2))</f>
        <v>1</v>
      </c>
      <c r="AV136">
        <f>IF(OR($J136=1,COUNTIFS($A$5:$A135,"&gt;="&amp;$A136-1,$A$5:$A135,"&lt;="&amp;$A136,$B$5:$B135,$B136)&gt;0,MIN(1-'Exercise list'!P$2,IF($A136=$A135,AV135,1))-AA136&lt;0),-1,MIN(1,IF($A136=$A135,AV135,1)-AA136+$D$2))</f>
        <v>1</v>
      </c>
      <c r="AW136">
        <f>IF(OR($J136=1,COUNTIFS($A$5:$A135,"&gt;="&amp;$A136-1,$A$5:$A135,"&lt;="&amp;$A136,$B$5:$B135,$B136)&gt;0,MIN(1-'Exercise list'!Q$2,IF($A136=$A135,AW135,1))-AB136&lt;0),-1,MIN(1,IF($A136=$A135,AW135,1)-AB136+$D$2))</f>
        <v>1</v>
      </c>
      <c r="AX136">
        <f>IF(OR($J136=1,COUNTIFS($A$5:$A135,"&gt;="&amp;$A136-1,$A$5:$A135,"&lt;="&amp;$A136,$B$5:$B135,$B136)&gt;0,MIN(1-'Exercise list'!R$2,IF($A136=$A135,AX135,1))-AC136&lt;0),-1,MIN(1,IF($A136=$A135,AX135,1)-AC136+$D$2))</f>
        <v>1</v>
      </c>
      <c r="AY136">
        <f>IF(OR($J136=1,COUNTIFS($A$5:$A135,"&gt;="&amp;$A136-1,$A$5:$A135,"&lt;="&amp;$A136,$B$5:$B135,$B136)&gt;0,MIN(1-'Exercise list'!S$2,IF($A136=$A135,AY135,1))-AD136&lt;0),-1,MIN(1,IF($A136=$A135,AY135,1)-AD136+$D$2))</f>
        <v>1</v>
      </c>
      <c r="AZ136">
        <f>IF(OR($J136=1,COUNTIFS($A$5:$A135,"&gt;="&amp;$A136-1,$A$5:$A135,"&lt;="&amp;$A136,$B$5:$B135,$B136)&gt;0,MIN(1-'Exercise list'!T$2,IF($A136=$A135,AZ135,1))-AE136&lt;0),-1,MIN(1,IF($A136=$A135,AZ135,1)-AE136+$D$2))</f>
        <v>1</v>
      </c>
      <c r="BA136">
        <f>IF(OR($J136=1,COUNTIFS($A$5:$A135,"&gt;="&amp;$A136-1,$A$5:$A135,"&lt;="&amp;$A136,$B$5:$B135,$B136)&gt;0,MIN(1-'Exercise list'!U$2,IF($A136=$A135,BA135,1))-AF136&lt;0),-1,MIN(1,IF($A136=$A135,BA135,1)-AF136+$D$2))</f>
        <v>1</v>
      </c>
      <c r="BB136">
        <f>IF(OR($J136=1,COUNTIFS($A$5:$A135,"&gt;="&amp;$A136-1,$A$5:$A135,"&lt;="&amp;$A136,$B$5:$B135,$B136)&gt;0,MIN(1-'Exercise list'!V$2,IF($A136=$A135,BB135,1))-AG136&lt;0),-1,MIN(1,IF($A136=$A135,BB135,1)-AG136+$D$2))</f>
        <v>1</v>
      </c>
      <c r="BC136">
        <f>IF(OR($J136=1,COUNTIFS($A$5:$A135,"&gt;="&amp;$A136-1,$A$5:$A135,"&lt;="&amp;$A136,$B$5:$B135,$B136)&gt;0,MIN(1-'Exercise list'!W$2,IF($A136=$A135,BC135,1))-AH136&lt;0),-1,MIN(1,IF($A136=$A135,BC135,1)-AH136+$D$2))</f>
        <v>1</v>
      </c>
      <c r="BD136">
        <f>IF(OR($J136=1,COUNTIFS($A$5:$A135,"&gt;="&amp;$A136-1,$A$5:$A135,"&lt;="&amp;$A136,$B$5:$B135,$B136)&gt;0,MIN(1-'Exercise list'!X$2,IF($A136=$A135,BD135,1))-AI136&lt;0),-1,MIN(1,IF($A136=$A135,BD135,1)-AI136+$D$2))</f>
        <v>1</v>
      </c>
      <c r="BF136" s="16">
        <f t="shared" si="100"/>
        <v>0.11241256250608429</v>
      </c>
      <c r="BG136" s="16">
        <f t="shared" si="101"/>
        <v>0.18498999443415831</v>
      </c>
      <c r="BH136" s="16">
        <f t="shared" si="102"/>
        <v>0.11044409178179976</v>
      </c>
      <c r="BI136" s="16">
        <f t="shared" si="103"/>
        <v>0.1218654501045421</v>
      </c>
      <c r="BJ136" s="16">
        <f t="shared" si="104"/>
        <v>0.13873853968893979</v>
      </c>
      <c r="BK136" s="16">
        <f t="shared" si="105"/>
        <v>0.17446025694746875</v>
      </c>
      <c r="BL136" s="16">
        <f t="shared" si="106"/>
        <v>0.19387331861575771</v>
      </c>
      <c r="BM136" s="16">
        <f t="shared" si="107"/>
        <v>1.1448150750207173E-2</v>
      </c>
      <c r="BN136" s="16">
        <f t="shared" si="108"/>
        <v>0.14210825171289873</v>
      </c>
      <c r="BO136" s="16">
        <f t="shared" si="109"/>
        <v>0.21968329409163012</v>
      </c>
      <c r="BP136" s="16">
        <f t="shared" si="110"/>
        <v>0.27855713968175477</v>
      </c>
      <c r="BQ136" s="16">
        <f t="shared" si="111"/>
        <v>0.15022623472151952</v>
      </c>
      <c r="BR136" s="16">
        <f t="shared" si="112"/>
        <v>0.20092741581103962</v>
      </c>
      <c r="BS136" s="16">
        <f t="shared" si="113"/>
        <v>3.6249291859663087E-2</v>
      </c>
      <c r="BT136" s="16">
        <f t="shared" si="114"/>
        <v>0.15330425398381375</v>
      </c>
      <c r="BU136" s="16">
        <f t="shared" si="115"/>
        <v>0.14756575350480847</v>
      </c>
      <c r="BV136" s="16">
        <f t="shared" si="116"/>
        <v>0.18952209632807004</v>
      </c>
      <c r="BW136" s="16">
        <f t="shared" si="117"/>
        <v>8.1884865211049568E-2</v>
      </c>
      <c r="BX136" s="16">
        <f t="shared" si="118"/>
        <v>7.7094711390254422E-2</v>
      </c>
      <c r="BY136" s="16">
        <f t="shared" si="119"/>
        <v>2.616957049575952E-2</v>
      </c>
      <c r="CA136" s="16">
        <f t="shared" si="121"/>
        <v>9.1404122206598673E-2</v>
      </c>
      <c r="CB136" s="16">
        <f t="shared" si="122"/>
        <v>1.8826690278524655E-2</v>
      </c>
      <c r="CC136" s="16">
        <f t="shared" si="123"/>
        <v>0</v>
      </c>
      <c r="CD136" s="16">
        <f t="shared" si="124"/>
        <v>0</v>
      </c>
      <c r="CE136" s="16">
        <f t="shared" si="125"/>
        <v>0</v>
      </c>
      <c r="CF136" s="16">
        <f t="shared" si="126"/>
        <v>0.13126477012155574</v>
      </c>
      <c r="CG136" s="16">
        <f t="shared" si="127"/>
        <v>0</v>
      </c>
      <c r="CH136" s="16">
        <f t="shared" si="128"/>
        <v>9.0460191606134305E-2</v>
      </c>
      <c r="CI136" s="16">
        <f t="shared" si="129"/>
        <v>6.1708432999784235E-2</v>
      </c>
      <c r="CJ136" s="16">
        <f t="shared" si="130"/>
        <v>0</v>
      </c>
      <c r="CK136" s="16">
        <f t="shared" si="131"/>
        <v>0</v>
      </c>
      <c r="CL136" s="16">
        <f t="shared" si="132"/>
        <v>0</v>
      </c>
      <c r="CM136" s="16">
        <f t="shared" si="133"/>
        <v>2.8892689016433437E-3</v>
      </c>
      <c r="CN136" s="16">
        <f t="shared" si="134"/>
        <v>6.5659050496678389E-2</v>
      </c>
      <c r="CO136" s="16">
        <f t="shared" si="135"/>
        <v>0</v>
      </c>
      <c r="CP136" s="16">
        <f t="shared" si="136"/>
        <v>0</v>
      </c>
      <c r="CQ136" s="16">
        <f t="shared" si="137"/>
        <v>1.4294588384612922E-2</v>
      </c>
      <c r="CR136" s="16">
        <f t="shared" si="138"/>
        <v>2.0023477145291915E-2</v>
      </c>
      <c r="CS136" s="16">
        <f t="shared" si="139"/>
        <v>2.4813630966087061E-2</v>
      </c>
      <c r="CT136" s="16">
        <f t="shared" si="140"/>
        <v>7.5738771860581963E-2</v>
      </c>
    </row>
    <row r="137" spans="1:99" x14ac:dyDescent="0.25">
      <c r="A137" s="13">
        <v>45088</v>
      </c>
      <c r="B137" s="14">
        <v>26</v>
      </c>
      <c r="C137" s="15" t="str" cm="1">
        <f t="array" ref="C137">IF(B137="","",INDEX('Exercise list'!$C$5:$C$102,B137))</f>
        <v>Dumbbell incline bench presses</v>
      </c>
      <c r="D137" s="12">
        <f t="shared" si="97"/>
        <v>1</v>
      </c>
      <c r="E137" s="107">
        <f t="shared" si="120"/>
        <v>0</v>
      </c>
      <c r="F137" s="63" cm="1">
        <f t="array" ref="F137">IF(B137="","",0.1+IFERROR(INDEX($F$6:$F136,SUMPRODUCT(MAX(ROW($C$6:$C136)*($C137=$C$6:$C136))-ROW($A$5)))*0.9^($A137-INDEX($A$6:A136,SUMPRODUCT(MAX(ROW($C$6:$C136)*($C137=$C$6:$C136))-ROW($A$5)))),0))</f>
        <v>0.15964555361499322</v>
      </c>
      <c r="G137" s="64">
        <f>INDEX('Exercise list'!$Y$5:$Y$102,MATCH(C137,'Exercise list'!$C$5:$C$102,0))</f>
        <v>2</v>
      </c>
      <c r="H137" s="115">
        <f t="shared" si="98"/>
        <v>4.9942602582603128E-2</v>
      </c>
      <c r="I137" s="6">
        <f t="shared" si="99"/>
        <v>4</v>
      </c>
      <c r="J137" s="6" cm="1">
        <f t="array" ref="J137">IF(B137="","",INDEX('Exercise list'!$D$5:$D$102,B137))</f>
        <v>0</v>
      </c>
      <c r="K137" s="12">
        <v>23</v>
      </c>
      <c r="L137" s="74" t="str" cm="1">
        <f t="array" ref="L137">IF(K137="","",INDEX('Exercise list'!$C$5:$C$102,K137))</f>
        <v>Barbell bench presses</v>
      </c>
      <c r="M137" s="6">
        <v>38</v>
      </c>
      <c r="N137" s="75" t="str" cm="1">
        <f t="array" ref="N137">IF(M137="","",INDEX('Exercise list'!$C$5:$C$102,M137))</f>
        <v>Cable hip abductions</v>
      </c>
      <c r="P137">
        <f>IFERROR(INDEX('Exercise list'!$E$5:$X$102,MATCH($C137,'Exercise list'!$C$5:$C$102,0),MATCH(P$5,'Exercise list'!$E$4:$X$4,0)),0)</f>
        <v>0.8</v>
      </c>
      <c r="Q137">
        <f>IFERROR(INDEX('Exercise list'!$E$5:$X$102,MATCH($C137,'Exercise list'!$C$5:$C$102,0),MATCH(Q$5,'Exercise list'!$E$4:$X$4,0)),0)</f>
        <v>0</v>
      </c>
      <c r="R137">
        <f>IFERROR(INDEX('Exercise list'!$E$5:$X$102,MATCH($C137,'Exercise list'!$C$5:$C$102,0),MATCH(R$5,'Exercise list'!$E$4:$X$4,0)),0)</f>
        <v>0</v>
      </c>
      <c r="S137">
        <f>IFERROR(INDEX('Exercise list'!$E$5:$X$102,MATCH($C137,'Exercise list'!$C$5:$C$102,0),MATCH(S$5,'Exercise list'!$E$4:$X$4,0)),0)</f>
        <v>0</v>
      </c>
      <c r="T137">
        <f>IFERROR(INDEX('Exercise list'!$E$5:$X$102,MATCH($C137,'Exercise list'!$C$5:$C$102,0),MATCH(T$5,'Exercise list'!$E$4:$X$4,0)),0)</f>
        <v>0</v>
      </c>
      <c r="U137">
        <f>IFERROR(INDEX('Exercise list'!$E$5:$X$102,MATCH($C137,'Exercise list'!$C$5:$C$102,0),MATCH(U$5,'Exercise list'!$E$4:$X$4,0)),0)</f>
        <v>0</v>
      </c>
      <c r="V137">
        <f>IFERROR(INDEX('Exercise list'!$E$5:$X$102,MATCH($C137,'Exercise list'!$C$5:$C$102,0),MATCH(V$5,'Exercise list'!$E$4:$X$4,0)),0)</f>
        <v>0.8</v>
      </c>
      <c r="W137">
        <f>IFERROR(INDEX('Exercise list'!$E$5:$X$102,MATCH($C137,'Exercise list'!$C$5:$C$102,0),MATCH(W$5,'Exercise list'!$E$4:$X$4,0)),0)</f>
        <v>0</v>
      </c>
      <c r="X137">
        <f>IFERROR(INDEX('Exercise list'!$E$5:$X$102,MATCH($C137,'Exercise list'!$C$5:$C$102,0),MATCH(X$5,'Exercise list'!$E$4:$X$4,0)),0)</f>
        <v>0</v>
      </c>
      <c r="Y137">
        <f>IFERROR(INDEX('Exercise list'!$E$5:$X$102,MATCH($C137,'Exercise list'!$C$5:$C$102,0),MATCH(Y$5,'Exercise list'!$E$4:$X$4,0)),0)</f>
        <v>0.8</v>
      </c>
      <c r="Z137">
        <f>IFERROR(INDEX('Exercise list'!$E$5:$X$102,MATCH($C137,'Exercise list'!$C$5:$C$102,0),MATCH(Z$5,'Exercise list'!$E$4:$X$4,0)),0)</f>
        <v>0.5</v>
      </c>
      <c r="AA137">
        <f>IFERROR(INDEX('Exercise list'!$E$5:$X$102,MATCH($C137,'Exercise list'!$C$5:$C$102,0),MATCH(AA$5,'Exercise list'!$E$4:$X$4,0)),0)</f>
        <v>0</v>
      </c>
      <c r="AB137">
        <f>IFERROR(INDEX('Exercise list'!$E$5:$X$102,MATCH($C137,'Exercise list'!$C$5:$C$102,0),MATCH(AB$5,'Exercise list'!$E$4:$X$4,0)),0)</f>
        <v>0</v>
      </c>
      <c r="AC137">
        <f>IFERROR(INDEX('Exercise list'!$E$5:$X$102,MATCH($C137,'Exercise list'!$C$5:$C$102,0),MATCH(AC$5,'Exercise list'!$E$4:$X$4,0)),0)</f>
        <v>0</v>
      </c>
      <c r="AD137">
        <f>IFERROR(INDEX('Exercise list'!$E$5:$X$102,MATCH($C137,'Exercise list'!$C$5:$C$102,0),MATCH(AD$5,'Exercise list'!$E$4:$X$4,0)),0)</f>
        <v>0</v>
      </c>
      <c r="AE137">
        <f>IFERROR(INDEX('Exercise list'!$E$5:$X$102,MATCH($C137,'Exercise list'!$C$5:$C$102,0),MATCH(AE$5,'Exercise list'!$E$4:$X$4,0)),0)</f>
        <v>0</v>
      </c>
      <c r="AF137">
        <f>IFERROR(INDEX('Exercise list'!$E$5:$X$102,MATCH($C137,'Exercise list'!$C$5:$C$102,0),MATCH(AF$5,'Exercise list'!$E$4:$X$4,0)),0)</f>
        <v>0</v>
      </c>
      <c r="AG137">
        <f>IFERROR(INDEX('Exercise list'!$E$5:$X$102,MATCH($C137,'Exercise list'!$C$5:$C$102,0),MATCH(AG$5,'Exercise list'!$E$4:$X$4,0)),0)</f>
        <v>0</v>
      </c>
      <c r="AH137">
        <f>IFERROR(INDEX('Exercise list'!$E$5:$X$102,MATCH($C137,'Exercise list'!$C$5:$C$102,0),MATCH(AH$5,'Exercise list'!$E$4:$X$4,0)),0)</f>
        <v>0</v>
      </c>
      <c r="AI137">
        <f>IFERROR(INDEX('Exercise list'!$E$5:$X$102,MATCH($C137,'Exercise list'!$C$5:$C$102,0),MATCH(AI$5,'Exercise list'!$E$4:$X$4,0)),0)</f>
        <v>0</v>
      </c>
      <c r="AK137">
        <f>IF(OR($J137=1,COUNTIFS($A$5:$A136,"&gt;="&amp;$A137-1,$A$5:$A136,"&lt;="&amp;$A137,$B$5:$B136,$B137)&gt;0,MIN(1-'Exercise list'!E$2,IF($A137=$A136,AK136,1))-P137&lt;0),-1,MIN(1,IF($A137=$A136,AK136,1)-P137+$D$2))</f>
        <v>1</v>
      </c>
      <c r="AL137">
        <f>IF(OR($J137=1,COUNTIFS($A$5:$A136,"&gt;="&amp;$A137-1,$A$5:$A136,"&lt;="&amp;$A137,$B$5:$B136,$B137)&gt;0,MIN(1-'Exercise list'!F$2,IF($A137=$A136,AL136,1))-Q137&lt;0),-1,MIN(1,IF($A137=$A136,AL136,1)-Q137+$D$2))</f>
        <v>1</v>
      </c>
      <c r="AM137">
        <f>IF(OR($J137=1,COUNTIFS($A$5:$A136,"&gt;="&amp;$A137-1,$A$5:$A136,"&lt;="&amp;$A137,$B$5:$B136,$B137)&gt;0,MIN(1-'Exercise list'!G$2,IF($A137=$A136,AM136,1))-R137&lt;0),-1,MIN(1,IF($A137=$A136,AM136,1)-R137+$D$2))</f>
        <v>1</v>
      </c>
      <c r="AN137">
        <f>IF(OR($J137=1,COUNTIFS($A$5:$A136,"&gt;="&amp;$A137-1,$A$5:$A136,"&lt;="&amp;$A137,$B$5:$B136,$B137)&gt;0,MIN(1-'Exercise list'!H$2,IF($A137=$A136,AN136,1))-S137&lt;0),-1,MIN(1,IF($A137=$A136,AN136,1)-S137+$D$2))</f>
        <v>1</v>
      </c>
      <c r="AO137">
        <f>IF(OR($J137=1,COUNTIFS($A$5:$A136,"&gt;="&amp;$A137-1,$A$5:$A136,"&lt;="&amp;$A137,$B$5:$B136,$B137)&gt;0,MIN(1-'Exercise list'!I$2,IF($A137=$A136,AO136,1))-T137&lt;0),-1,MIN(1,IF($A137=$A136,AO136,1)-T137+$D$2))</f>
        <v>1</v>
      </c>
      <c r="AP137">
        <f>IF(OR($J137=1,COUNTIFS($A$5:$A136,"&gt;="&amp;$A137-1,$A$5:$A136,"&lt;="&amp;$A137,$B$5:$B136,$B137)&gt;0,MIN(1-'Exercise list'!J$2,IF($A137=$A136,AP136,1))-U137&lt;0),-1,MIN(1,IF($A137=$A136,AP136,1)-U137+$D$2))</f>
        <v>1</v>
      </c>
      <c r="AQ137">
        <f>IF(OR($J137=1,COUNTIFS($A$5:$A136,"&gt;="&amp;$A137-1,$A$5:$A136,"&lt;="&amp;$A137,$B$5:$B136,$B137)&gt;0,MIN(1-'Exercise list'!K$2,IF($A137=$A136,AQ136,1))-V137&lt;0),-1,MIN(1,IF($A137=$A136,AQ136,1)-V137+$D$2))</f>
        <v>1</v>
      </c>
      <c r="AR137">
        <f>IF(OR($J137=1,COUNTIFS($A$5:$A136,"&gt;="&amp;$A137-1,$A$5:$A136,"&lt;="&amp;$A137,$B$5:$B136,$B137)&gt;0,MIN(1-'Exercise list'!L$2,IF($A137=$A136,AR136,1))-W137&lt;0),-1,MIN(1,IF($A137=$A136,AR136,1)-W137+$D$2))</f>
        <v>1</v>
      </c>
      <c r="AS137">
        <f>IF(OR($J137=1,COUNTIFS($A$5:$A136,"&gt;="&amp;$A137-1,$A$5:$A136,"&lt;="&amp;$A137,$B$5:$B136,$B137)&gt;0,MIN(1-'Exercise list'!M$2,IF($A137=$A136,AS136,1))-X137&lt;0),-1,MIN(1,IF($A137=$A136,AS136,1)-X137+$D$2))</f>
        <v>1</v>
      </c>
      <c r="AT137">
        <f>IF(OR($J137=1,COUNTIFS($A$5:$A136,"&gt;="&amp;$A137-1,$A$5:$A136,"&lt;="&amp;$A137,$B$5:$B136,$B137)&gt;0,MIN(1-'Exercise list'!N$2,IF($A137=$A136,AT136,1))-Y137&lt;0),-1,MIN(1,IF($A137=$A136,AT136,1)-Y137+$D$2))</f>
        <v>1</v>
      </c>
      <c r="AU137">
        <f>IF(OR($J137=1,COUNTIFS($A$5:$A136,"&gt;="&amp;$A137-1,$A$5:$A136,"&lt;="&amp;$A137,$B$5:$B136,$B137)&gt;0,MIN(1-'Exercise list'!O$2,IF($A137=$A136,AU136,1))-Z137&lt;0),-1,MIN(1,IF($A137=$A136,AU136,1)-Z137+$D$2))</f>
        <v>1</v>
      </c>
      <c r="AV137">
        <f>IF(OR($J137=1,COUNTIFS($A$5:$A136,"&gt;="&amp;$A137-1,$A$5:$A136,"&lt;="&amp;$A137,$B$5:$B136,$B137)&gt;0,MIN(1-'Exercise list'!P$2,IF($A137=$A136,AV136,1))-AA137&lt;0),-1,MIN(1,IF($A137=$A136,AV136,1)-AA137+$D$2))</f>
        <v>1</v>
      </c>
      <c r="AW137">
        <f>IF(OR($J137=1,COUNTIFS($A$5:$A136,"&gt;="&amp;$A137-1,$A$5:$A136,"&lt;="&amp;$A137,$B$5:$B136,$B137)&gt;0,MIN(1-'Exercise list'!Q$2,IF($A137=$A136,AW136,1))-AB137&lt;0),-1,MIN(1,IF($A137=$A136,AW136,1)-AB137+$D$2))</f>
        <v>1</v>
      </c>
      <c r="AX137">
        <f>IF(OR($J137=1,COUNTIFS($A$5:$A136,"&gt;="&amp;$A137-1,$A$5:$A136,"&lt;="&amp;$A137,$B$5:$B136,$B137)&gt;0,MIN(1-'Exercise list'!R$2,IF($A137=$A136,AX136,1))-AC137&lt;0),-1,MIN(1,IF($A137=$A136,AX136,1)-AC137+$D$2))</f>
        <v>1</v>
      </c>
      <c r="AY137">
        <f>IF(OR($J137=1,COUNTIFS($A$5:$A136,"&gt;="&amp;$A137-1,$A$5:$A136,"&lt;="&amp;$A137,$B$5:$B136,$B137)&gt;0,MIN(1-'Exercise list'!S$2,IF($A137=$A136,AY136,1))-AD137&lt;0),-1,MIN(1,IF($A137=$A136,AY136,1)-AD137+$D$2))</f>
        <v>1</v>
      </c>
      <c r="AZ137">
        <f>IF(OR($J137=1,COUNTIFS($A$5:$A136,"&gt;="&amp;$A137-1,$A$5:$A136,"&lt;="&amp;$A137,$B$5:$B136,$B137)&gt;0,MIN(1-'Exercise list'!T$2,IF($A137=$A136,AZ136,1))-AE137&lt;0),-1,MIN(1,IF($A137=$A136,AZ136,1)-AE137+$D$2))</f>
        <v>1</v>
      </c>
      <c r="BA137">
        <f>IF(OR($J137=1,COUNTIFS($A$5:$A136,"&gt;="&amp;$A137-1,$A$5:$A136,"&lt;="&amp;$A137,$B$5:$B136,$B137)&gt;0,MIN(1-'Exercise list'!U$2,IF($A137=$A136,BA136,1))-AF137&lt;0),-1,MIN(1,IF($A137=$A136,BA136,1)-AF137+$D$2))</f>
        <v>1</v>
      </c>
      <c r="BB137">
        <f>IF(OR($J137=1,COUNTIFS($A$5:$A136,"&gt;="&amp;$A137-1,$A$5:$A136,"&lt;="&amp;$A137,$B$5:$B136,$B137)&gt;0,MIN(1-'Exercise list'!V$2,IF($A137=$A136,BB136,1))-AG137&lt;0),-1,MIN(1,IF($A137=$A136,BB136,1)-AG137+$D$2))</f>
        <v>1</v>
      </c>
      <c r="BC137">
        <f>IF(OR($J137=1,COUNTIFS($A$5:$A136,"&gt;="&amp;$A137-1,$A$5:$A136,"&lt;="&amp;$A137,$B$5:$B136,$B137)&gt;0,MIN(1-'Exercise list'!W$2,IF($A137=$A136,BC136,1))-AH137&lt;0),-1,MIN(1,IF($A137=$A136,BC136,1)-AH137+$D$2))</f>
        <v>1</v>
      </c>
      <c r="BD137">
        <f>IF(OR($J137=1,COUNTIFS($A$5:$A136,"&gt;="&amp;$A137-1,$A$5:$A136,"&lt;="&amp;$A137,$B$5:$B136,$B137)&gt;0,MIN(1-'Exercise list'!X$2,IF($A137=$A136,BD136,1))-AI137&lt;0),-1,MIN(1,IF($A137=$A136,BD136,1)-AI137+$D$2))</f>
        <v>1</v>
      </c>
      <c r="BF137" s="16">
        <f t="shared" si="100"/>
        <v>0.14679193438078009</v>
      </c>
      <c r="BG137" s="16">
        <f t="shared" si="101"/>
        <v>0.1757404947124504</v>
      </c>
      <c r="BH137" s="16">
        <f t="shared" si="102"/>
        <v>0.10492188719270977</v>
      </c>
      <c r="BI137" s="16">
        <f t="shared" si="103"/>
        <v>0.11577217759931499</v>
      </c>
      <c r="BJ137" s="16">
        <f t="shared" si="104"/>
        <v>0.13180161270449278</v>
      </c>
      <c r="BK137" s="16">
        <f t="shared" si="105"/>
        <v>0.1657372441000953</v>
      </c>
      <c r="BL137" s="16">
        <f t="shared" si="106"/>
        <v>0.22417965268496984</v>
      </c>
      <c r="BM137" s="16">
        <f t="shared" si="107"/>
        <v>1.0875743212696814E-2</v>
      </c>
      <c r="BN137" s="16">
        <f t="shared" si="108"/>
        <v>0.13500283912725378</v>
      </c>
      <c r="BO137" s="16">
        <f t="shared" si="109"/>
        <v>0.24869912938704861</v>
      </c>
      <c r="BP137" s="16">
        <f t="shared" si="110"/>
        <v>0.28962928269766702</v>
      </c>
      <c r="BQ137" s="16">
        <f t="shared" si="111"/>
        <v>0.14271492298544355</v>
      </c>
      <c r="BR137" s="16">
        <f t="shared" si="112"/>
        <v>0.19088104502048764</v>
      </c>
      <c r="BS137" s="16">
        <f t="shared" si="113"/>
        <v>3.4436827266679931E-2</v>
      </c>
      <c r="BT137" s="16">
        <f t="shared" si="114"/>
        <v>0.14563904128462307</v>
      </c>
      <c r="BU137" s="16">
        <f t="shared" si="115"/>
        <v>0.14018746582956804</v>
      </c>
      <c r="BV137" s="16">
        <f t="shared" si="116"/>
        <v>0.18004599151166653</v>
      </c>
      <c r="BW137" s="16">
        <f t="shared" si="117"/>
        <v>7.7790621950497088E-2</v>
      </c>
      <c r="BX137" s="16">
        <f t="shared" si="118"/>
        <v>7.3239975820741696E-2</v>
      </c>
      <c r="BY137" s="16">
        <f t="shared" si="119"/>
        <v>2.4861091970971541E-2</v>
      </c>
      <c r="CA137" s="16">
        <f t="shared" si="121"/>
        <v>5.7574656837009436E-2</v>
      </c>
      <c r="CB137" s="16">
        <f t="shared" si="122"/>
        <v>2.8626096505339121E-2</v>
      </c>
      <c r="CC137" s="16">
        <f t="shared" si="123"/>
        <v>0</v>
      </c>
      <c r="CD137" s="16">
        <f t="shared" si="124"/>
        <v>0</v>
      </c>
      <c r="CE137" s="16">
        <f t="shared" si="125"/>
        <v>0</v>
      </c>
      <c r="CF137" s="16">
        <f t="shared" si="126"/>
        <v>0.14081264272658903</v>
      </c>
      <c r="CG137" s="16">
        <f t="shared" si="127"/>
        <v>0</v>
      </c>
      <c r="CH137" s="16">
        <f t="shared" si="128"/>
        <v>9.130755239619795E-2</v>
      </c>
      <c r="CI137" s="16">
        <f t="shared" si="129"/>
        <v>6.9363752090535746E-2</v>
      </c>
      <c r="CJ137" s="16">
        <f t="shared" si="130"/>
        <v>0</v>
      </c>
      <c r="CK137" s="16">
        <f t="shared" si="131"/>
        <v>0</v>
      </c>
      <c r="CL137" s="16">
        <f t="shared" si="132"/>
        <v>0</v>
      </c>
      <c r="CM137" s="16">
        <f t="shared" si="133"/>
        <v>1.3485546197301884E-2</v>
      </c>
      <c r="CN137" s="16">
        <f t="shared" si="134"/>
        <v>6.774646834221483E-2</v>
      </c>
      <c r="CO137" s="16">
        <f t="shared" si="135"/>
        <v>0</v>
      </c>
      <c r="CP137" s="16">
        <f t="shared" si="136"/>
        <v>0</v>
      </c>
      <c r="CQ137" s="16">
        <f t="shared" si="137"/>
        <v>2.4320599706122992E-2</v>
      </c>
      <c r="CR137" s="16">
        <f t="shared" si="138"/>
        <v>2.4392673658397673E-2</v>
      </c>
      <c r="CS137" s="16">
        <f t="shared" si="139"/>
        <v>2.8943319788153066E-2</v>
      </c>
      <c r="CT137" s="16">
        <f t="shared" si="140"/>
        <v>7.732220363792322E-2</v>
      </c>
    </row>
    <row r="138" spans="1:99" x14ac:dyDescent="0.25">
      <c r="A138" s="20">
        <v>45088</v>
      </c>
      <c r="B138" s="21">
        <v>5</v>
      </c>
      <c r="C138" s="22" t="str" cm="1">
        <f t="array" ref="C138">IF(B138="","",INDEX('Exercise list'!$C$5:$C$102,B138))</f>
        <v>Treadmill running</v>
      </c>
      <c r="D138" s="17">
        <f t="shared" si="97"/>
        <v>1</v>
      </c>
      <c r="E138" s="108">
        <f t="shared" si="120"/>
        <v>10.587327187338182</v>
      </c>
      <c r="F138" s="65" cm="1">
        <f t="array" ref="F138">IF(B138="","",0.1+IFERROR(INDEX($F$6:$F137,SUMPRODUCT(MAX(ROW($C$6:$C137)*($C138=$C$6:$C137))-ROW($A$5)))*0.9^($A138-INDEX($A$6:A137,SUMPRODUCT(MAX(ROW($C$6:$C137)*($C138=$C$6:$C137))-ROW($A$5)))),0))</f>
        <v>0.16770739350463967</v>
      </c>
      <c r="G138" s="25">
        <f>INDEX('Exercise list'!$Y$5:$Y$102,MATCH(C138,'Exercise list'!$C$5:$C$102,0))</f>
        <v>3</v>
      </c>
      <c r="H138" s="116">
        <f t="shared" si="98"/>
        <v>4.9942602582603128E-2</v>
      </c>
      <c r="I138" s="18">
        <f t="shared" si="99"/>
        <v>5</v>
      </c>
      <c r="J138" s="18" cm="1">
        <f t="array" ref="J138">IF(B138="","",INDEX('Exercise list'!$D$5:$D$102,B138))</f>
        <v>0</v>
      </c>
      <c r="K138" s="17">
        <v>3</v>
      </c>
      <c r="L138" s="51" t="str" cm="1">
        <f t="array" ref="L138">IF(K138="","",INDEX('Exercise list'!$C$5:$C$102,K138))</f>
        <v>Rowing machine</v>
      </c>
      <c r="M138" s="18">
        <v>2</v>
      </c>
      <c r="N138" s="76" t="str" cm="1">
        <f t="array" ref="N138">IF(M138="","",INDEX('Exercise list'!$C$5:$C$102,M138))</f>
        <v>Lateral elliptical machine</v>
      </c>
      <c r="O138" s="19"/>
      <c r="P138" s="19">
        <f>IFERROR(INDEX('Exercise list'!$E$5:$X$102,MATCH($C138,'Exercise list'!$C$5:$C$102,0),MATCH(P$5,'Exercise list'!$E$4:$X$4,0)),0)</f>
        <v>0</v>
      </c>
      <c r="Q138" s="19">
        <f>IFERROR(INDEX('Exercise list'!$E$5:$X$102,MATCH($C138,'Exercise list'!$C$5:$C$102,0),MATCH(Q$5,'Exercise list'!$E$4:$X$4,0)),0)</f>
        <v>0</v>
      </c>
      <c r="R138" s="19">
        <f>IFERROR(INDEX('Exercise list'!$E$5:$X$102,MATCH($C138,'Exercise list'!$C$5:$C$102,0),MATCH(R$5,'Exercise list'!$E$4:$X$4,0)),0)</f>
        <v>0</v>
      </c>
      <c r="S138" s="19">
        <f>IFERROR(INDEX('Exercise list'!$E$5:$X$102,MATCH($C138,'Exercise list'!$C$5:$C$102,0),MATCH(S$5,'Exercise list'!$E$4:$X$4,0)),0)</f>
        <v>0</v>
      </c>
      <c r="T138" s="19">
        <f>IFERROR(INDEX('Exercise list'!$E$5:$X$102,MATCH($C138,'Exercise list'!$C$5:$C$102,0),MATCH(T$5,'Exercise list'!$E$4:$X$4,0)),0)</f>
        <v>0</v>
      </c>
      <c r="U138" s="19">
        <f>IFERROR(INDEX('Exercise list'!$E$5:$X$102,MATCH($C138,'Exercise list'!$C$5:$C$102,0),MATCH(U$5,'Exercise list'!$E$4:$X$4,0)),0)</f>
        <v>0</v>
      </c>
      <c r="V138" s="19">
        <f>IFERROR(INDEX('Exercise list'!$E$5:$X$102,MATCH($C138,'Exercise list'!$C$5:$C$102,0),MATCH(V$5,'Exercise list'!$E$4:$X$4,0)),0)</f>
        <v>0</v>
      </c>
      <c r="W138" s="19">
        <f>IFERROR(INDEX('Exercise list'!$E$5:$X$102,MATCH($C138,'Exercise list'!$C$5:$C$102,0),MATCH(W$5,'Exercise list'!$E$4:$X$4,0)),0)</f>
        <v>0</v>
      </c>
      <c r="X138" s="19">
        <f>IFERROR(INDEX('Exercise list'!$E$5:$X$102,MATCH($C138,'Exercise list'!$C$5:$C$102,0),MATCH(X$5,'Exercise list'!$E$4:$X$4,0)),0)</f>
        <v>0</v>
      </c>
      <c r="Y138" s="19">
        <f>IFERROR(INDEX('Exercise list'!$E$5:$X$102,MATCH($C138,'Exercise list'!$C$5:$C$102,0),MATCH(Y$5,'Exercise list'!$E$4:$X$4,0)),0)</f>
        <v>0</v>
      </c>
      <c r="Z138" s="19">
        <f>IFERROR(INDEX('Exercise list'!$E$5:$X$102,MATCH($C138,'Exercise list'!$C$5:$C$102,0),MATCH(Z$5,'Exercise list'!$E$4:$X$4,0)),0)</f>
        <v>0</v>
      </c>
      <c r="AA138" s="19">
        <f>IFERROR(INDEX('Exercise list'!$E$5:$X$102,MATCH($C138,'Exercise list'!$C$5:$C$102,0),MATCH(AA$5,'Exercise list'!$E$4:$X$4,0)),0)</f>
        <v>0</v>
      </c>
      <c r="AB138" s="19">
        <f>IFERROR(INDEX('Exercise list'!$E$5:$X$102,MATCH($C138,'Exercise list'!$C$5:$C$102,0),MATCH(AB$5,'Exercise list'!$E$4:$X$4,0)),0)</f>
        <v>0</v>
      </c>
      <c r="AC138" s="19">
        <f>IFERROR(INDEX('Exercise list'!$E$5:$X$102,MATCH($C138,'Exercise list'!$C$5:$C$102,0),MATCH(AC$5,'Exercise list'!$E$4:$X$4,0)),0)</f>
        <v>0</v>
      </c>
      <c r="AD138" s="19">
        <f>IFERROR(INDEX('Exercise list'!$E$5:$X$102,MATCH($C138,'Exercise list'!$C$5:$C$102,0),MATCH(AD$5,'Exercise list'!$E$4:$X$4,0)),0)</f>
        <v>1</v>
      </c>
      <c r="AE138" s="19">
        <f>IFERROR(INDEX('Exercise list'!$E$5:$X$102,MATCH($C138,'Exercise list'!$C$5:$C$102,0),MATCH(AE$5,'Exercise list'!$E$4:$X$4,0)),0)</f>
        <v>0.7</v>
      </c>
      <c r="AF138" s="19">
        <f>IFERROR(INDEX('Exercise list'!$E$5:$X$102,MATCH($C138,'Exercise list'!$C$5:$C$102,0),MATCH(AF$5,'Exercise list'!$E$4:$X$4,0)),0)</f>
        <v>0.7</v>
      </c>
      <c r="AG138" s="19">
        <f>IFERROR(INDEX('Exercise list'!$E$5:$X$102,MATCH($C138,'Exercise list'!$C$5:$C$102,0),MATCH(AG$5,'Exercise list'!$E$4:$X$4,0)),0)</f>
        <v>1</v>
      </c>
      <c r="AH138" s="19">
        <f>IFERROR(INDEX('Exercise list'!$E$5:$X$102,MATCH($C138,'Exercise list'!$C$5:$C$102,0),MATCH(AH$5,'Exercise list'!$E$4:$X$4,0)),0)</f>
        <v>0</v>
      </c>
      <c r="AI138" s="19">
        <f>IFERROR(INDEX('Exercise list'!$E$5:$X$102,MATCH($C138,'Exercise list'!$C$5:$C$102,0),MATCH(AI$5,'Exercise list'!$E$4:$X$4,0)),0)</f>
        <v>0</v>
      </c>
      <c r="AJ138" s="19"/>
      <c r="AK138" s="19">
        <f>IF(OR($J138=1,COUNTIFS($A$5:$A137,"&gt;="&amp;$A138-1,$A$5:$A137,"&lt;="&amp;$A138,$B$5:$B137,$B138)&gt;0,MIN(1-'Exercise list'!E$2,IF($A138=$A137,AK137,1))-P138&lt;0),-1,MIN(1,IF($A138=$A137,AK137,1)-P138+$D$2))</f>
        <v>1</v>
      </c>
      <c r="AL138" s="19">
        <f>IF(OR($J138=1,COUNTIFS($A$5:$A137,"&gt;="&amp;$A138-1,$A$5:$A137,"&lt;="&amp;$A138,$B$5:$B137,$B138)&gt;0,MIN(1-'Exercise list'!F$2,IF($A138=$A137,AL137,1))-Q138&lt;0),-1,MIN(1,IF($A138=$A137,AL137,1)-Q138+$D$2))</f>
        <v>1</v>
      </c>
      <c r="AM138" s="19">
        <f>IF(OR($J138=1,COUNTIFS($A$5:$A137,"&gt;="&amp;$A138-1,$A$5:$A137,"&lt;="&amp;$A138,$B$5:$B137,$B138)&gt;0,MIN(1-'Exercise list'!G$2,IF($A138=$A137,AM137,1))-R138&lt;0),-1,MIN(1,IF($A138=$A137,AM137,1)-R138+$D$2))</f>
        <v>1</v>
      </c>
      <c r="AN138" s="19">
        <f>IF(OR($J138=1,COUNTIFS($A$5:$A137,"&gt;="&amp;$A138-1,$A$5:$A137,"&lt;="&amp;$A138,$B$5:$B137,$B138)&gt;0,MIN(1-'Exercise list'!H$2,IF($A138=$A137,AN137,1))-S138&lt;0),-1,MIN(1,IF($A138=$A137,AN137,1)-S138+$D$2))</f>
        <v>1</v>
      </c>
      <c r="AO138" s="19">
        <f>IF(OR($J138=1,COUNTIFS($A$5:$A137,"&gt;="&amp;$A138-1,$A$5:$A137,"&lt;="&amp;$A138,$B$5:$B137,$B138)&gt;0,MIN(1-'Exercise list'!I$2,IF($A138=$A137,AO137,1))-T138&lt;0),-1,MIN(1,IF($A138=$A137,AO137,1)-T138+$D$2))</f>
        <v>1</v>
      </c>
      <c r="AP138" s="19">
        <f>IF(OR($J138=1,COUNTIFS($A$5:$A137,"&gt;="&amp;$A138-1,$A$5:$A137,"&lt;="&amp;$A138,$B$5:$B137,$B138)&gt;0,MIN(1-'Exercise list'!J$2,IF($A138=$A137,AP137,1))-U138&lt;0),-1,MIN(1,IF($A138=$A137,AP137,1)-U138+$D$2))</f>
        <v>1</v>
      </c>
      <c r="AQ138" s="19">
        <f>IF(OR($J138=1,COUNTIFS($A$5:$A137,"&gt;="&amp;$A138-1,$A$5:$A137,"&lt;="&amp;$A138,$B$5:$B137,$B138)&gt;0,MIN(1-'Exercise list'!K$2,IF($A138=$A137,AQ137,1))-V138&lt;0),-1,MIN(1,IF($A138=$A137,AQ137,1)-V138+$D$2))</f>
        <v>1</v>
      </c>
      <c r="AR138" s="19">
        <f>IF(OR($J138=1,COUNTIFS($A$5:$A137,"&gt;="&amp;$A138-1,$A$5:$A137,"&lt;="&amp;$A138,$B$5:$B137,$B138)&gt;0,MIN(1-'Exercise list'!L$2,IF($A138=$A137,AR137,1))-W138&lt;0),-1,MIN(1,IF($A138=$A137,AR137,1)-W138+$D$2))</f>
        <v>1</v>
      </c>
      <c r="AS138" s="19">
        <f>IF(OR($J138=1,COUNTIFS($A$5:$A137,"&gt;="&amp;$A138-1,$A$5:$A137,"&lt;="&amp;$A138,$B$5:$B137,$B138)&gt;0,MIN(1-'Exercise list'!M$2,IF($A138=$A137,AS137,1))-X138&lt;0),-1,MIN(1,IF($A138=$A137,AS137,1)-X138+$D$2))</f>
        <v>1</v>
      </c>
      <c r="AT138" s="19">
        <f>IF(OR($J138=1,COUNTIFS($A$5:$A137,"&gt;="&amp;$A138-1,$A$5:$A137,"&lt;="&amp;$A138,$B$5:$B137,$B138)&gt;0,MIN(1-'Exercise list'!N$2,IF($A138=$A137,AT137,1))-Y138&lt;0),-1,MIN(1,IF($A138=$A137,AT137,1)-Y138+$D$2))</f>
        <v>1</v>
      </c>
      <c r="AU138" s="19">
        <f>IF(OR($J138=1,COUNTIFS($A$5:$A137,"&gt;="&amp;$A138-1,$A$5:$A137,"&lt;="&amp;$A138,$B$5:$B137,$B138)&gt;0,MIN(1-'Exercise list'!O$2,IF($A138=$A137,AU137,1))-Z138&lt;0),-1,MIN(1,IF($A138=$A137,AU137,1)-Z138+$D$2))</f>
        <v>1</v>
      </c>
      <c r="AV138" s="19">
        <f>IF(OR($J138=1,COUNTIFS($A$5:$A137,"&gt;="&amp;$A138-1,$A$5:$A137,"&lt;="&amp;$A138,$B$5:$B137,$B138)&gt;0,MIN(1-'Exercise list'!P$2,IF($A138=$A137,AV137,1))-AA138&lt;0),-1,MIN(1,IF($A138=$A137,AV137,1)-AA138+$D$2))</f>
        <v>1</v>
      </c>
      <c r="AW138" s="19">
        <f>IF(OR($J138=1,COUNTIFS($A$5:$A137,"&gt;="&amp;$A138-1,$A$5:$A137,"&lt;="&amp;$A138,$B$5:$B137,$B138)&gt;0,MIN(1-'Exercise list'!Q$2,IF($A138=$A137,AW137,1))-AB138&lt;0),-1,MIN(1,IF($A138=$A137,AW137,1)-AB138+$D$2))</f>
        <v>1</v>
      </c>
      <c r="AX138" s="19">
        <f>IF(OR($J138=1,COUNTIFS($A$5:$A137,"&gt;="&amp;$A138-1,$A$5:$A137,"&lt;="&amp;$A138,$B$5:$B137,$B138)&gt;0,MIN(1-'Exercise list'!R$2,IF($A138=$A137,AX137,1))-AC138&lt;0),-1,MIN(1,IF($A138=$A137,AX137,1)-AC138+$D$2))</f>
        <v>1</v>
      </c>
      <c r="AY138" s="19">
        <f>IF(OR($J138=1,COUNTIFS($A$5:$A137,"&gt;="&amp;$A138-1,$A$5:$A137,"&lt;="&amp;$A138,$B$5:$B137,$B138)&gt;0,MIN(1-'Exercise list'!S$2,IF($A138=$A137,AY137,1))-AD138&lt;0),-1,MIN(1,IF($A138=$A137,AY137,1)-AD138+$D$2))</f>
        <v>1</v>
      </c>
      <c r="AZ138" s="19">
        <f>IF(OR($J138=1,COUNTIFS($A$5:$A137,"&gt;="&amp;$A138-1,$A$5:$A137,"&lt;="&amp;$A138,$B$5:$B137,$B138)&gt;0,MIN(1-'Exercise list'!T$2,IF($A138=$A137,AZ137,1))-AE138&lt;0),-1,MIN(1,IF($A138=$A137,AZ137,1)-AE138+$D$2))</f>
        <v>1</v>
      </c>
      <c r="BA138" s="19">
        <f>IF(OR($J138=1,COUNTIFS($A$5:$A137,"&gt;="&amp;$A138-1,$A$5:$A137,"&lt;="&amp;$A138,$B$5:$B137,$B138)&gt;0,MIN(1-'Exercise list'!U$2,IF($A138=$A137,BA137,1))-AF138&lt;0),-1,MIN(1,IF($A138=$A137,BA137,1)-AF138+$D$2))</f>
        <v>1</v>
      </c>
      <c r="BB138" s="19">
        <f>IF(OR($J138=1,COUNTIFS($A$5:$A137,"&gt;="&amp;$A138-1,$A$5:$A137,"&lt;="&amp;$A138,$B$5:$B137,$B138)&gt;0,MIN(1-'Exercise list'!V$2,IF($A138=$A137,BB137,1))-AG138&lt;0),-1,MIN(1,IF($A138=$A137,BB137,1)-AG138+$D$2))</f>
        <v>1</v>
      </c>
      <c r="BC138" s="19">
        <f>IF(OR($J138=1,COUNTIFS($A$5:$A137,"&gt;="&amp;$A138-1,$A$5:$A137,"&lt;="&amp;$A138,$B$5:$B137,$B138)&gt;0,MIN(1-'Exercise list'!W$2,IF($A138=$A137,BC137,1))-AH138&lt;0),-1,MIN(1,IF($A138=$A137,BC137,1)-AH138+$D$2))</f>
        <v>1</v>
      </c>
      <c r="BD138" s="19">
        <f>IF(OR($J138=1,COUNTIFS($A$5:$A137,"&gt;="&amp;$A138-1,$A$5:$A137,"&lt;="&amp;$A138,$B$5:$B137,$B138)&gt;0,MIN(1-'Exercise list'!X$2,IF($A138=$A137,BD137,1))-AI138&lt;0),-1,MIN(1,IF($A138=$A137,BD137,1)-AI138+$D$2))</f>
        <v>1</v>
      </c>
      <c r="BE138" s="19"/>
      <c r="BF138" s="23">
        <f t="shared" si="100"/>
        <v>0.14679193438078009</v>
      </c>
      <c r="BG138" s="23">
        <f t="shared" si="101"/>
        <v>0.1757404947124504</v>
      </c>
      <c r="BH138" s="23">
        <f t="shared" si="102"/>
        <v>0.10492188719270977</v>
      </c>
      <c r="BI138" s="23">
        <f t="shared" si="103"/>
        <v>0.11577217759931499</v>
      </c>
      <c r="BJ138" s="23">
        <f t="shared" si="104"/>
        <v>0.13180161270449278</v>
      </c>
      <c r="BK138" s="23">
        <f t="shared" si="105"/>
        <v>0.1657372441000953</v>
      </c>
      <c r="BL138" s="23">
        <f t="shared" si="106"/>
        <v>0.22417965268496984</v>
      </c>
      <c r="BM138" s="23">
        <f t="shared" si="107"/>
        <v>1.0875743212696814E-2</v>
      </c>
      <c r="BN138" s="23">
        <f t="shared" si="108"/>
        <v>0.13500283912725378</v>
      </c>
      <c r="BO138" s="23">
        <f t="shared" si="109"/>
        <v>0.24869912938704861</v>
      </c>
      <c r="BP138" s="23">
        <f t="shared" si="110"/>
        <v>0.28962928269766702</v>
      </c>
      <c r="BQ138" s="23">
        <f t="shared" si="111"/>
        <v>0.14271492298544355</v>
      </c>
      <c r="BR138" s="23">
        <f t="shared" si="112"/>
        <v>0.19088104502048764</v>
      </c>
      <c r="BS138" s="23">
        <f t="shared" si="113"/>
        <v>3.4436827266679931E-2</v>
      </c>
      <c r="BT138" s="23">
        <f t="shared" si="114"/>
        <v>0.14563904128462307</v>
      </c>
      <c r="BU138" s="23">
        <f t="shared" si="115"/>
        <v>0.14018746582956804</v>
      </c>
      <c r="BV138" s="23">
        <f t="shared" si="116"/>
        <v>0.18004599151166653</v>
      </c>
      <c r="BW138" s="23">
        <f t="shared" si="117"/>
        <v>7.7790621950497088E-2</v>
      </c>
      <c r="BX138" s="23">
        <f t="shared" si="118"/>
        <v>7.3239975820741696E-2</v>
      </c>
      <c r="BY138" s="23">
        <f t="shared" si="119"/>
        <v>2.4861091970971541E-2</v>
      </c>
      <c r="BZ138" s="19"/>
      <c r="CA138" s="23">
        <f>IF($A138="","",MAX(0,CA$2/SUM($CA$2:$CT$2)*SUM($BF138:$BY138)-BF138))</f>
        <v>5.7574656837009436E-2</v>
      </c>
      <c r="CB138" s="23">
        <f t="shared" si="122"/>
        <v>2.8626096505339121E-2</v>
      </c>
      <c r="CC138" s="23">
        <f t="shared" si="123"/>
        <v>0</v>
      </c>
      <c r="CD138" s="23">
        <f t="shared" si="124"/>
        <v>0</v>
      </c>
      <c r="CE138" s="23">
        <f t="shared" si="125"/>
        <v>0</v>
      </c>
      <c r="CF138" s="23">
        <f t="shared" si="126"/>
        <v>0.14081264272658903</v>
      </c>
      <c r="CG138" s="23">
        <f t="shared" si="127"/>
        <v>0</v>
      </c>
      <c r="CH138" s="23">
        <f t="shared" si="128"/>
        <v>9.130755239619795E-2</v>
      </c>
      <c r="CI138" s="23">
        <f t="shared" si="129"/>
        <v>6.9363752090535746E-2</v>
      </c>
      <c r="CJ138" s="23">
        <f t="shared" si="130"/>
        <v>0</v>
      </c>
      <c r="CK138" s="23">
        <f t="shared" si="131"/>
        <v>0</v>
      </c>
      <c r="CL138" s="23">
        <f t="shared" si="132"/>
        <v>0</v>
      </c>
      <c r="CM138" s="23">
        <f t="shared" si="133"/>
        <v>1.3485546197301884E-2</v>
      </c>
      <c r="CN138" s="23">
        <f t="shared" si="134"/>
        <v>6.774646834221483E-2</v>
      </c>
      <c r="CO138" s="23">
        <f t="shared" si="135"/>
        <v>0</v>
      </c>
      <c r="CP138" s="23">
        <f t="shared" si="136"/>
        <v>0</v>
      </c>
      <c r="CQ138" s="23">
        <f t="shared" si="137"/>
        <v>2.4320599706122992E-2</v>
      </c>
      <c r="CR138" s="23">
        <f t="shared" si="138"/>
        <v>2.4392673658397673E-2</v>
      </c>
      <c r="CS138" s="23">
        <f t="shared" si="139"/>
        <v>2.8943319788153066E-2</v>
      </c>
      <c r="CT138" s="23">
        <f t="shared" si="140"/>
        <v>7.732220363792322E-2</v>
      </c>
      <c r="CU138" s="19"/>
    </row>
    <row r="139" spans="1:99" x14ac:dyDescent="0.25">
      <c r="A139" s="13">
        <v>45090</v>
      </c>
      <c r="B139" s="14">
        <v>11</v>
      </c>
      <c r="C139" s="15" t="str" cm="1">
        <f t="array" ref="C139">IF(B139="","",INDEX('Exercise list'!$C$5:$C$102,B139))</f>
        <v>Chin-ups</v>
      </c>
      <c r="D139" s="12">
        <f t="shared" si="97"/>
        <v>1</v>
      </c>
      <c r="E139" s="107">
        <f t="shared" si="120"/>
        <v>0</v>
      </c>
      <c r="F139" s="63" cm="1">
        <f t="array" ref="F139">IF(B139="","",0.1+IFERROR(INDEX($F$6:$F138,SUMPRODUCT(MAX(ROW($C$6:$C138)*($C139=$C$6:$C138))-ROW($A$5)))*0.9^($A139-INDEX($A$6:A138,SUMPRODUCT(MAX(ROW($C$6:$C138)*($C139=$C$6:$C138))-ROW($A$5)))),0))</f>
        <v>0.26210552083211369</v>
      </c>
      <c r="G139" s="64">
        <f>INDEX('Exercise list'!$Y$5:$Y$102,MATCH(C139,'Exercise list'!$C$5:$C$102,0))</f>
        <v>3</v>
      </c>
      <c r="H139" s="115">
        <f t="shared" si="98"/>
        <v>5.1995682118011907E-2</v>
      </c>
      <c r="I139" s="42">
        <f t="shared" si="99"/>
        <v>1</v>
      </c>
      <c r="J139" s="6" cm="1">
        <f t="array" ref="J139">IF(B139="","",INDEX('Exercise list'!$D$5:$D$102,B139))</f>
        <v>0</v>
      </c>
      <c r="K139" s="12">
        <v>48</v>
      </c>
      <c r="L139" s="74" t="str" cm="1">
        <f t="array" ref="L139">IF(K139="","",INDEX('Exercise list'!$C$5:$C$102,K139))</f>
        <v>Barbell overhead presses</v>
      </c>
      <c r="M139" s="6">
        <v>23</v>
      </c>
      <c r="N139" s="75" t="str" cm="1">
        <f t="array" ref="N139">IF(M139="","",INDEX('Exercise list'!$C$5:$C$102,M139))</f>
        <v>Barbell bench presses</v>
      </c>
      <c r="P139">
        <f>IFERROR(INDEX('Exercise list'!$E$5:$X$102,MATCH($C139,'Exercise list'!$C$5:$C$102,0),MATCH(P$5,'Exercise list'!$E$4:$X$4,0)),0)</f>
        <v>0</v>
      </c>
      <c r="Q139">
        <f>IFERROR(INDEX('Exercise list'!$E$5:$X$102,MATCH($C139,'Exercise list'!$C$5:$C$102,0),MATCH(Q$5,'Exercise list'!$E$4:$X$4,0)),0)</f>
        <v>1</v>
      </c>
      <c r="R139">
        <f>IFERROR(INDEX('Exercise list'!$E$5:$X$102,MATCH($C139,'Exercise list'!$C$5:$C$102,0),MATCH(R$5,'Exercise list'!$E$4:$X$4,0)),0)</f>
        <v>0.5</v>
      </c>
      <c r="S139">
        <f>IFERROR(INDEX('Exercise list'!$E$5:$X$102,MATCH($C139,'Exercise list'!$C$5:$C$102,0),MATCH(S$5,'Exercise list'!$E$4:$X$4,0)),0)</f>
        <v>0.5</v>
      </c>
      <c r="T139">
        <f>IFERROR(INDEX('Exercise list'!$E$5:$X$102,MATCH($C139,'Exercise list'!$C$5:$C$102,0),MATCH(T$5,'Exercise list'!$E$4:$X$4,0)),0)</f>
        <v>0</v>
      </c>
      <c r="U139">
        <f>IFERROR(INDEX('Exercise list'!$E$5:$X$102,MATCH($C139,'Exercise list'!$C$5:$C$102,0),MATCH(U$5,'Exercise list'!$E$4:$X$4,0)),0)</f>
        <v>0</v>
      </c>
      <c r="V139">
        <f>IFERROR(INDEX('Exercise list'!$E$5:$X$102,MATCH($C139,'Exercise list'!$C$5:$C$102,0),MATCH(V$5,'Exercise list'!$E$4:$X$4,0)),0)</f>
        <v>0</v>
      </c>
      <c r="W139">
        <f>IFERROR(INDEX('Exercise list'!$E$5:$X$102,MATCH($C139,'Exercise list'!$C$5:$C$102,0),MATCH(W$5,'Exercise list'!$E$4:$X$4,0)),0)</f>
        <v>0</v>
      </c>
      <c r="X139">
        <f>IFERROR(INDEX('Exercise list'!$E$5:$X$102,MATCH($C139,'Exercise list'!$C$5:$C$102,0),MATCH(X$5,'Exercise list'!$E$4:$X$4,0)),0)</f>
        <v>0.8</v>
      </c>
      <c r="Y139">
        <f>IFERROR(INDEX('Exercise list'!$E$5:$X$102,MATCH($C139,'Exercise list'!$C$5:$C$102,0),MATCH(Y$5,'Exercise list'!$E$4:$X$4,0)),0)</f>
        <v>0</v>
      </c>
      <c r="Z139">
        <f>IFERROR(INDEX('Exercise list'!$E$5:$X$102,MATCH($C139,'Exercise list'!$C$5:$C$102,0),MATCH(Z$5,'Exercise list'!$E$4:$X$4,0)),0)</f>
        <v>0.8</v>
      </c>
      <c r="AA139">
        <f>IFERROR(INDEX('Exercise list'!$E$5:$X$102,MATCH($C139,'Exercise list'!$C$5:$C$102,0),MATCH(AA$5,'Exercise list'!$E$4:$X$4,0)),0)</f>
        <v>0</v>
      </c>
      <c r="AB139">
        <f>IFERROR(INDEX('Exercise list'!$E$5:$X$102,MATCH($C139,'Exercise list'!$C$5:$C$102,0),MATCH(AB$5,'Exercise list'!$E$4:$X$4,0)),0)</f>
        <v>0</v>
      </c>
      <c r="AC139">
        <f>IFERROR(INDEX('Exercise list'!$E$5:$X$102,MATCH($C139,'Exercise list'!$C$5:$C$102,0),MATCH(AC$5,'Exercise list'!$E$4:$X$4,0)),0)</f>
        <v>0</v>
      </c>
      <c r="AD139">
        <f>IFERROR(INDEX('Exercise list'!$E$5:$X$102,MATCH($C139,'Exercise list'!$C$5:$C$102,0),MATCH(AD$5,'Exercise list'!$E$4:$X$4,0)),0)</f>
        <v>0</v>
      </c>
      <c r="AE139">
        <f>IFERROR(INDEX('Exercise list'!$E$5:$X$102,MATCH($C139,'Exercise list'!$C$5:$C$102,0),MATCH(AE$5,'Exercise list'!$E$4:$X$4,0)),0)</f>
        <v>0</v>
      </c>
      <c r="AF139">
        <f>IFERROR(INDEX('Exercise list'!$E$5:$X$102,MATCH($C139,'Exercise list'!$C$5:$C$102,0),MATCH(AF$5,'Exercise list'!$E$4:$X$4,0)),0)</f>
        <v>0</v>
      </c>
      <c r="AG139">
        <f>IFERROR(INDEX('Exercise list'!$E$5:$X$102,MATCH($C139,'Exercise list'!$C$5:$C$102,0),MATCH(AG$5,'Exercise list'!$E$4:$X$4,0)),0)</f>
        <v>0</v>
      </c>
      <c r="AH139">
        <f>IFERROR(INDEX('Exercise list'!$E$5:$X$102,MATCH($C139,'Exercise list'!$C$5:$C$102,0),MATCH(AH$5,'Exercise list'!$E$4:$X$4,0)),0)</f>
        <v>0</v>
      </c>
      <c r="AI139">
        <f>IFERROR(INDEX('Exercise list'!$E$5:$X$102,MATCH($C139,'Exercise list'!$C$5:$C$102,0),MATCH(AI$5,'Exercise list'!$E$4:$X$4,0)),0)</f>
        <v>0</v>
      </c>
      <c r="AK139">
        <f>IF(OR($J139=1,COUNTIFS($A$5:$A138,"&gt;="&amp;$A139-1,$A$5:$A138,"&lt;="&amp;$A139,$B$5:$B138,$B139)&gt;0,MIN(1-'Exercise list'!E$2,IF($A139=$A138,AK138,1))-P139&lt;0),-1,MIN(1,IF($A139=$A138,AK138,1)-P139+$D$2))</f>
        <v>1</v>
      </c>
      <c r="AL139">
        <f>IF(OR($J139=1,COUNTIFS($A$5:$A138,"&gt;="&amp;$A139-1,$A$5:$A138,"&lt;="&amp;$A139,$B$5:$B138,$B139)&gt;0,MIN(1-'Exercise list'!F$2,IF($A139=$A138,AL138,1))-Q139&lt;0),-1,MIN(1,IF($A139=$A138,AL138,1)-Q139+$D$2))</f>
        <v>1</v>
      </c>
      <c r="AM139">
        <f>IF(OR($J139=1,COUNTIFS($A$5:$A138,"&gt;="&amp;$A139-1,$A$5:$A138,"&lt;="&amp;$A139,$B$5:$B138,$B139)&gt;0,MIN(1-'Exercise list'!G$2,IF($A139=$A138,AM138,1))-R139&lt;0),-1,MIN(1,IF($A139=$A138,AM138,1)-R139+$D$2))</f>
        <v>1</v>
      </c>
      <c r="AN139">
        <f>IF(OR($J139=1,COUNTIFS($A$5:$A138,"&gt;="&amp;$A139-1,$A$5:$A138,"&lt;="&amp;$A139,$B$5:$B138,$B139)&gt;0,MIN(1-'Exercise list'!H$2,IF($A139=$A138,AN138,1))-S139&lt;0),-1,MIN(1,IF($A139=$A138,AN138,1)-S139+$D$2))</f>
        <v>1</v>
      </c>
      <c r="AO139">
        <f>IF(OR($J139=1,COUNTIFS($A$5:$A138,"&gt;="&amp;$A139-1,$A$5:$A138,"&lt;="&amp;$A139,$B$5:$B138,$B139)&gt;0,MIN(1-'Exercise list'!I$2,IF($A139=$A138,AO138,1))-T139&lt;0),-1,MIN(1,IF($A139=$A138,AO138,1)-T139+$D$2))</f>
        <v>1</v>
      </c>
      <c r="AP139">
        <f>IF(OR($J139=1,COUNTIFS($A$5:$A138,"&gt;="&amp;$A139-1,$A$5:$A138,"&lt;="&amp;$A139,$B$5:$B138,$B139)&gt;0,MIN(1-'Exercise list'!J$2,IF($A139=$A138,AP138,1))-U139&lt;0),-1,MIN(1,IF($A139=$A138,AP138,1)-U139+$D$2))</f>
        <v>1</v>
      </c>
      <c r="AQ139">
        <f>IF(OR($J139=1,COUNTIFS($A$5:$A138,"&gt;="&amp;$A139-1,$A$5:$A138,"&lt;="&amp;$A139,$B$5:$B138,$B139)&gt;0,MIN(1-'Exercise list'!K$2,IF($A139=$A138,AQ138,1))-V139&lt;0),-1,MIN(1,IF($A139=$A138,AQ138,1)-V139+$D$2))</f>
        <v>1</v>
      </c>
      <c r="AR139">
        <f>IF(OR($J139=1,COUNTIFS($A$5:$A138,"&gt;="&amp;$A139-1,$A$5:$A138,"&lt;="&amp;$A139,$B$5:$B138,$B139)&gt;0,MIN(1-'Exercise list'!L$2,IF($A139=$A138,AR138,1))-W139&lt;0),-1,MIN(1,IF($A139=$A138,AR138,1)-W139+$D$2))</f>
        <v>1</v>
      </c>
      <c r="AS139">
        <f>IF(OR($J139=1,COUNTIFS($A$5:$A138,"&gt;="&amp;$A139-1,$A$5:$A138,"&lt;="&amp;$A139,$B$5:$B138,$B139)&gt;0,MIN(1-'Exercise list'!M$2,IF($A139=$A138,AS138,1))-X139&lt;0),-1,MIN(1,IF($A139=$A138,AS138,1)-X139+$D$2))</f>
        <v>1</v>
      </c>
      <c r="AT139">
        <f>IF(OR($J139=1,COUNTIFS($A$5:$A138,"&gt;="&amp;$A139-1,$A$5:$A138,"&lt;="&amp;$A139,$B$5:$B138,$B139)&gt;0,MIN(1-'Exercise list'!N$2,IF($A139=$A138,AT138,1))-Y139&lt;0),-1,MIN(1,IF($A139=$A138,AT138,1)-Y139+$D$2))</f>
        <v>1</v>
      </c>
      <c r="AU139">
        <f>IF(OR($J139=1,COUNTIFS($A$5:$A138,"&gt;="&amp;$A139-1,$A$5:$A138,"&lt;="&amp;$A139,$B$5:$B138,$B139)&gt;0,MIN(1-'Exercise list'!O$2,IF($A139=$A138,AU138,1))-Z139&lt;0),-1,MIN(1,IF($A139=$A138,AU138,1)-Z139+$D$2))</f>
        <v>1</v>
      </c>
      <c r="AV139">
        <f>IF(OR($J139=1,COUNTIFS($A$5:$A138,"&gt;="&amp;$A139-1,$A$5:$A138,"&lt;="&amp;$A139,$B$5:$B138,$B139)&gt;0,MIN(1-'Exercise list'!P$2,IF($A139=$A138,AV138,1))-AA139&lt;0),-1,MIN(1,IF($A139=$A138,AV138,1)-AA139+$D$2))</f>
        <v>1</v>
      </c>
      <c r="AW139">
        <f>IF(OR($J139=1,COUNTIFS($A$5:$A138,"&gt;="&amp;$A139-1,$A$5:$A138,"&lt;="&amp;$A139,$B$5:$B138,$B139)&gt;0,MIN(1-'Exercise list'!Q$2,IF($A139=$A138,AW138,1))-AB139&lt;0),-1,MIN(1,IF($A139=$A138,AW138,1)-AB139+$D$2))</f>
        <v>1</v>
      </c>
      <c r="AX139">
        <f>IF(OR($J139=1,COUNTIFS($A$5:$A138,"&gt;="&amp;$A139-1,$A$5:$A138,"&lt;="&amp;$A139,$B$5:$B138,$B139)&gt;0,MIN(1-'Exercise list'!R$2,IF($A139=$A138,AX138,1))-AC139&lt;0),-1,MIN(1,IF($A139=$A138,AX138,1)-AC139+$D$2))</f>
        <v>1</v>
      </c>
      <c r="AY139">
        <f>IF(OR($J139=1,COUNTIFS($A$5:$A138,"&gt;="&amp;$A139-1,$A$5:$A138,"&lt;="&amp;$A139,$B$5:$B138,$B139)&gt;0,MIN(1-'Exercise list'!S$2,IF($A139=$A138,AY138,1))-AD139&lt;0),-1,MIN(1,IF($A139=$A138,AY138,1)-AD139+$D$2))</f>
        <v>1</v>
      </c>
      <c r="AZ139">
        <f>IF(OR($J139=1,COUNTIFS($A$5:$A138,"&gt;="&amp;$A139-1,$A$5:$A138,"&lt;="&amp;$A139,$B$5:$B138,$B139)&gt;0,MIN(1-'Exercise list'!T$2,IF($A139=$A138,AZ138,1))-AE139&lt;0),-1,MIN(1,IF($A139=$A138,AZ138,1)-AE139+$D$2))</f>
        <v>1</v>
      </c>
      <c r="BA139">
        <f>IF(OR($J139=1,COUNTIFS($A$5:$A138,"&gt;="&amp;$A139-1,$A$5:$A138,"&lt;="&amp;$A139,$B$5:$B138,$B139)&gt;0,MIN(1-'Exercise list'!U$2,IF($A139=$A138,BA138,1))-AF139&lt;0),-1,MIN(1,IF($A139=$A138,BA138,1)-AF139+$D$2))</f>
        <v>1</v>
      </c>
      <c r="BB139">
        <f>IF(OR($J139=1,COUNTIFS($A$5:$A138,"&gt;="&amp;$A139-1,$A$5:$A138,"&lt;="&amp;$A139,$B$5:$B138,$B139)&gt;0,MIN(1-'Exercise list'!V$2,IF($A139=$A138,BB138,1))-AG139&lt;0),-1,MIN(1,IF($A139=$A138,BB138,1)-AG139+$D$2))</f>
        <v>1</v>
      </c>
      <c r="BC139">
        <f>IF(OR($J139=1,COUNTIFS($A$5:$A138,"&gt;="&amp;$A139-1,$A$5:$A138,"&lt;="&amp;$A139,$B$5:$B138,$B139)&gt;0,MIN(1-'Exercise list'!W$2,IF($A139=$A138,BC138,1))-AH139&lt;0),-1,MIN(1,IF($A139=$A138,BC138,1)-AH139+$D$2))</f>
        <v>1</v>
      </c>
      <c r="BD139">
        <f>IF(OR($J139=1,COUNTIFS($A$5:$A138,"&gt;="&amp;$A139-1,$A$5:$A138,"&lt;="&amp;$A139,$B$5:$B138,$B139)&gt;0,MIN(1-'Exercise list'!X$2,IF($A139=$A138,BD138,1))-AI139&lt;0),-1,MIN(1,IF($A139=$A138,BD138,1)-AI139+$D$2))</f>
        <v>1</v>
      </c>
      <c r="BF139" s="16">
        <f t="shared" si="100"/>
        <v>0.13945233766174109</v>
      </c>
      <c r="BG139" s="16">
        <f t="shared" si="101"/>
        <v>0.21695346997682785</v>
      </c>
      <c r="BH139" s="16">
        <f t="shared" si="102"/>
        <v>0.12467579283307428</v>
      </c>
      <c r="BI139" s="16">
        <f t="shared" si="103"/>
        <v>0.13498356871934925</v>
      </c>
      <c r="BJ139" s="16">
        <f t="shared" si="104"/>
        <v>0.12521153206926813</v>
      </c>
      <c r="BK139" s="16">
        <f t="shared" si="105"/>
        <v>0.15745038189509053</v>
      </c>
      <c r="BL139" s="16">
        <f t="shared" si="106"/>
        <v>0.21297067005072134</v>
      </c>
      <c r="BM139" s="16">
        <f t="shared" si="107"/>
        <v>1.0331956052061973E-2</v>
      </c>
      <c r="BN139" s="16">
        <f t="shared" si="108"/>
        <v>0.16825269717089109</v>
      </c>
      <c r="BO139" s="16">
        <f t="shared" si="109"/>
        <v>0.23626417291769616</v>
      </c>
      <c r="BP139" s="16">
        <f t="shared" si="110"/>
        <v>0.31514781856278362</v>
      </c>
      <c r="BQ139" s="16">
        <f t="shared" si="111"/>
        <v>0.13557917683617138</v>
      </c>
      <c r="BR139" s="16">
        <f t="shared" si="112"/>
        <v>0.18133699276946325</v>
      </c>
      <c r="BS139" s="16">
        <f t="shared" si="113"/>
        <v>3.2714985903345935E-2</v>
      </c>
      <c r="BT139" s="16">
        <f t="shared" si="114"/>
        <v>0.13835708922039192</v>
      </c>
      <c r="BU139" s="16">
        <f t="shared" si="115"/>
        <v>0.13317809253808963</v>
      </c>
      <c r="BV139" s="16">
        <f t="shared" si="116"/>
        <v>0.17104369193608321</v>
      </c>
      <c r="BW139" s="16">
        <f t="shared" si="117"/>
        <v>7.3901090852972237E-2</v>
      </c>
      <c r="BX139" s="16">
        <f t="shared" si="118"/>
        <v>6.9577977029704613E-2</v>
      </c>
      <c r="BY139" s="16">
        <f t="shared" si="119"/>
        <v>2.3618037372422962E-2</v>
      </c>
      <c r="CA139" s="16">
        <f t="shared" ref="CA139:CA202" si="141">IF($A139="","",MAX(0,CA$2/SUM($CA$2:$CT$2)*SUM($BF139:$BY139)-BF139))</f>
        <v>6.8029257328492299E-2</v>
      </c>
      <c r="CB139" s="16">
        <f t="shared" si="122"/>
        <v>0</v>
      </c>
      <c r="CC139" s="16">
        <f t="shared" si="123"/>
        <v>0</v>
      </c>
      <c r="CD139" s="16">
        <f t="shared" si="124"/>
        <v>0</v>
      </c>
      <c r="CE139" s="16">
        <f t="shared" si="125"/>
        <v>0</v>
      </c>
      <c r="CF139" s="16">
        <f t="shared" si="126"/>
        <v>0.15377201059025958</v>
      </c>
      <c r="CG139" s="16">
        <f t="shared" si="127"/>
        <v>0</v>
      </c>
      <c r="CH139" s="16">
        <f t="shared" si="128"/>
        <v>9.3408841443054724E-2</v>
      </c>
      <c r="CI139" s="16">
        <f t="shared" si="129"/>
        <v>3.9228897819342301E-2</v>
      </c>
      <c r="CJ139" s="16">
        <f t="shared" si="130"/>
        <v>0</v>
      </c>
      <c r="CK139" s="16">
        <f t="shared" si="131"/>
        <v>0</v>
      </c>
      <c r="CL139" s="16">
        <f t="shared" si="132"/>
        <v>0</v>
      </c>
      <c r="CM139" s="16">
        <f t="shared" si="133"/>
        <v>2.6144602220770141E-2</v>
      </c>
      <c r="CN139" s="16">
        <f t="shared" si="134"/>
        <v>7.1025811591770766E-2</v>
      </c>
      <c r="CO139" s="16">
        <f t="shared" si="135"/>
        <v>0</v>
      </c>
      <c r="CP139" s="16">
        <f t="shared" si="136"/>
        <v>0</v>
      </c>
      <c r="CQ139" s="16">
        <f t="shared" si="137"/>
        <v>3.6437903054150178E-2</v>
      </c>
      <c r="CR139" s="16">
        <f t="shared" si="138"/>
        <v>2.9839706642144456E-2</v>
      </c>
      <c r="CS139" s="16">
        <f t="shared" si="139"/>
        <v>3.416282046541208E-2</v>
      </c>
      <c r="CT139" s="16">
        <f t="shared" si="140"/>
        <v>8.0122760122693731E-2</v>
      </c>
    </row>
    <row r="140" spans="1:99" x14ac:dyDescent="0.25">
      <c r="A140" s="13">
        <v>45090</v>
      </c>
      <c r="B140" s="14">
        <v>23</v>
      </c>
      <c r="C140" s="15" t="str" cm="1">
        <f t="array" ref="C140">IF(B140="","",INDEX('Exercise list'!$C$5:$C$102,B140))</f>
        <v>Barbell bench presses</v>
      </c>
      <c r="D140" s="12">
        <f t="shared" si="97"/>
        <v>-1</v>
      </c>
      <c r="E140" s="107">
        <f t="shared" si="120"/>
        <v>0</v>
      </c>
      <c r="F140" s="63" cm="1">
        <f t="array" ref="F140">IF(B140="","",0.1+IFERROR(INDEX($F$6:$F139,SUMPRODUCT(MAX(ROW($C$6:$C139)*($C140=$C$6:$C139))-ROW($A$5)))*0.9^($A140-INDEX($A$6:A139,SUMPRODUCT(MAX(ROW($C$6:$C139)*($C140=$C$6:$C139))-ROW($A$5)))),0))</f>
        <v>0.20303928910400765</v>
      </c>
      <c r="G140" s="64">
        <f>INDEX('Exercise list'!$Y$5:$Y$102,MATCH(C140,'Exercise list'!$C$5:$C$102,0))</f>
        <v>3</v>
      </c>
      <c r="H140" s="115">
        <f t="shared" si="98"/>
        <v>5.172421933821518E-2</v>
      </c>
      <c r="I140" s="6">
        <f t="shared" si="99"/>
        <v>2</v>
      </c>
      <c r="J140" s="6" cm="1">
        <f t="array" ref="J140">IF(B140="","",INDEX('Exercise list'!$D$5:$D$102,B140))</f>
        <v>1</v>
      </c>
      <c r="K140" s="12">
        <v>48</v>
      </c>
      <c r="L140" s="74" t="str" cm="1">
        <f t="array" ref="L140">IF(K140="","",INDEX('Exercise list'!$C$5:$C$102,K140))</f>
        <v>Barbell overhead presses</v>
      </c>
      <c r="M140" s="6">
        <v>59</v>
      </c>
      <c r="N140" s="75" t="str" cm="1">
        <f t="array" ref="N140">IF(M140="","",INDEX('Exercise list'!$C$5:$C$102,M140))</f>
        <v>Triceps dips</v>
      </c>
      <c r="P140">
        <f>IFERROR(INDEX('Exercise list'!$E$5:$X$102,MATCH($C140,'Exercise list'!$C$5:$C$102,0),MATCH(P$5,'Exercise list'!$E$4:$X$4,0)),0)</f>
        <v>1</v>
      </c>
      <c r="Q140">
        <f>IFERROR(INDEX('Exercise list'!$E$5:$X$102,MATCH($C140,'Exercise list'!$C$5:$C$102,0),MATCH(Q$5,'Exercise list'!$E$4:$X$4,0)),0)</f>
        <v>0</v>
      </c>
      <c r="R140">
        <f>IFERROR(INDEX('Exercise list'!$E$5:$X$102,MATCH($C140,'Exercise list'!$C$5:$C$102,0),MATCH(R$5,'Exercise list'!$E$4:$X$4,0)),0)</f>
        <v>0</v>
      </c>
      <c r="S140">
        <f>IFERROR(INDEX('Exercise list'!$E$5:$X$102,MATCH($C140,'Exercise list'!$C$5:$C$102,0),MATCH(S$5,'Exercise list'!$E$4:$X$4,0)),0)</f>
        <v>0</v>
      </c>
      <c r="T140">
        <f>IFERROR(INDEX('Exercise list'!$E$5:$X$102,MATCH($C140,'Exercise list'!$C$5:$C$102,0),MATCH(T$5,'Exercise list'!$E$4:$X$4,0)),0)</f>
        <v>0</v>
      </c>
      <c r="U140">
        <f>IFERROR(INDEX('Exercise list'!$E$5:$X$102,MATCH($C140,'Exercise list'!$C$5:$C$102,0),MATCH(U$5,'Exercise list'!$E$4:$X$4,0)),0)</f>
        <v>0</v>
      </c>
      <c r="V140">
        <f>IFERROR(INDEX('Exercise list'!$E$5:$X$102,MATCH($C140,'Exercise list'!$C$5:$C$102,0),MATCH(V$5,'Exercise list'!$E$4:$X$4,0)),0)</f>
        <v>0.5</v>
      </c>
      <c r="W140">
        <f>IFERROR(INDEX('Exercise list'!$E$5:$X$102,MATCH($C140,'Exercise list'!$C$5:$C$102,0),MATCH(W$5,'Exercise list'!$E$4:$X$4,0)),0)</f>
        <v>0</v>
      </c>
      <c r="X140">
        <f>IFERROR(INDEX('Exercise list'!$E$5:$X$102,MATCH($C140,'Exercise list'!$C$5:$C$102,0),MATCH(X$5,'Exercise list'!$E$4:$X$4,0)),0)</f>
        <v>0</v>
      </c>
      <c r="Y140">
        <f>IFERROR(INDEX('Exercise list'!$E$5:$X$102,MATCH($C140,'Exercise list'!$C$5:$C$102,0),MATCH(Y$5,'Exercise list'!$E$4:$X$4,0)),0)</f>
        <v>0.8</v>
      </c>
      <c r="Z140">
        <f>IFERROR(INDEX('Exercise list'!$E$5:$X$102,MATCH($C140,'Exercise list'!$C$5:$C$102,0),MATCH(Z$5,'Exercise list'!$E$4:$X$4,0)),0)</f>
        <v>0</v>
      </c>
      <c r="AA140">
        <f>IFERROR(INDEX('Exercise list'!$E$5:$X$102,MATCH($C140,'Exercise list'!$C$5:$C$102,0),MATCH(AA$5,'Exercise list'!$E$4:$X$4,0)),0)</f>
        <v>0</v>
      </c>
      <c r="AB140">
        <f>IFERROR(INDEX('Exercise list'!$E$5:$X$102,MATCH($C140,'Exercise list'!$C$5:$C$102,0),MATCH(AB$5,'Exercise list'!$E$4:$X$4,0)),0)</f>
        <v>0</v>
      </c>
      <c r="AC140">
        <f>IFERROR(INDEX('Exercise list'!$E$5:$X$102,MATCH($C140,'Exercise list'!$C$5:$C$102,0),MATCH(AC$5,'Exercise list'!$E$4:$X$4,0)),0)</f>
        <v>0</v>
      </c>
      <c r="AD140">
        <f>IFERROR(INDEX('Exercise list'!$E$5:$X$102,MATCH($C140,'Exercise list'!$C$5:$C$102,0),MATCH(AD$5,'Exercise list'!$E$4:$X$4,0)),0)</f>
        <v>0</v>
      </c>
      <c r="AE140">
        <f>IFERROR(INDEX('Exercise list'!$E$5:$X$102,MATCH($C140,'Exercise list'!$C$5:$C$102,0),MATCH(AE$5,'Exercise list'!$E$4:$X$4,0)),0)</f>
        <v>0</v>
      </c>
      <c r="AF140">
        <f>IFERROR(INDEX('Exercise list'!$E$5:$X$102,MATCH($C140,'Exercise list'!$C$5:$C$102,0),MATCH(AF$5,'Exercise list'!$E$4:$X$4,0)),0)</f>
        <v>0</v>
      </c>
      <c r="AG140">
        <f>IFERROR(INDEX('Exercise list'!$E$5:$X$102,MATCH($C140,'Exercise list'!$C$5:$C$102,0),MATCH(AG$5,'Exercise list'!$E$4:$X$4,0)),0)</f>
        <v>0</v>
      </c>
      <c r="AH140">
        <f>IFERROR(INDEX('Exercise list'!$E$5:$X$102,MATCH($C140,'Exercise list'!$C$5:$C$102,0),MATCH(AH$5,'Exercise list'!$E$4:$X$4,0)),0)</f>
        <v>0</v>
      </c>
      <c r="AI140">
        <f>IFERROR(INDEX('Exercise list'!$E$5:$X$102,MATCH($C140,'Exercise list'!$C$5:$C$102,0),MATCH(AI$5,'Exercise list'!$E$4:$X$4,0)),0)</f>
        <v>0</v>
      </c>
      <c r="AK140">
        <f>IF(OR($J140=1,COUNTIFS($A$5:$A139,"&gt;="&amp;$A140-1,$A$5:$A139,"&lt;="&amp;$A140,$B$5:$B139,$B140)&gt;0,MIN(1-'Exercise list'!E$2,IF($A140=$A139,AK139,1))-P140&lt;0),-1,MIN(1,IF($A140=$A139,AK139,1)-P140+$D$2))</f>
        <v>-1</v>
      </c>
      <c r="AL140">
        <f>IF(OR($J140=1,COUNTIFS($A$5:$A139,"&gt;="&amp;$A140-1,$A$5:$A139,"&lt;="&amp;$A140,$B$5:$B139,$B140)&gt;0,MIN(1-'Exercise list'!F$2,IF($A140=$A139,AL139,1))-Q140&lt;0),-1,MIN(1,IF($A140=$A139,AL139,1)-Q140+$D$2))</f>
        <v>-1</v>
      </c>
      <c r="AM140">
        <f>IF(OR($J140=1,COUNTIFS($A$5:$A139,"&gt;="&amp;$A140-1,$A$5:$A139,"&lt;="&amp;$A140,$B$5:$B139,$B140)&gt;0,MIN(1-'Exercise list'!G$2,IF($A140=$A139,AM139,1))-R140&lt;0),-1,MIN(1,IF($A140=$A139,AM139,1)-R140+$D$2))</f>
        <v>-1</v>
      </c>
      <c r="AN140">
        <f>IF(OR($J140=1,COUNTIFS($A$5:$A139,"&gt;="&amp;$A140-1,$A$5:$A139,"&lt;="&amp;$A140,$B$5:$B139,$B140)&gt;0,MIN(1-'Exercise list'!H$2,IF($A140=$A139,AN139,1))-S140&lt;0),-1,MIN(1,IF($A140=$A139,AN139,1)-S140+$D$2))</f>
        <v>-1</v>
      </c>
      <c r="AO140">
        <f>IF(OR($J140=1,COUNTIFS($A$5:$A139,"&gt;="&amp;$A140-1,$A$5:$A139,"&lt;="&amp;$A140,$B$5:$B139,$B140)&gt;0,MIN(1-'Exercise list'!I$2,IF($A140=$A139,AO139,1))-T140&lt;0),-1,MIN(1,IF($A140=$A139,AO139,1)-T140+$D$2))</f>
        <v>-1</v>
      </c>
      <c r="AP140">
        <f>IF(OR($J140=1,COUNTIFS($A$5:$A139,"&gt;="&amp;$A140-1,$A$5:$A139,"&lt;="&amp;$A140,$B$5:$B139,$B140)&gt;0,MIN(1-'Exercise list'!J$2,IF($A140=$A139,AP139,1))-U140&lt;0),-1,MIN(1,IF($A140=$A139,AP139,1)-U140+$D$2))</f>
        <v>-1</v>
      </c>
      <c r="AQ140">
        <f>IF(OR($J140=1,COUNTIFS($A$5:$A139,"&gt;="&amp;$A140-1,$A$5:$A139,"&lt;="&amp;$A140,$B$5:$B139,$B140)&gt;0,MIN(1-'Exercise list'!K$2,IF($A140=$A139,AQ139,1))-V140&lt;0),-1,MIN(1,IF($A140=$A139,AQ139,1)-V140+$D$2))</f>
        <v>-1</v>
      </c>
      <c r="AR140">
        <f>IF(OR($J140=1,COUNTIFS($A$5:$A139,"&gt;="&amp;$A140-1,$A$5:$A139,"&lt;="&amp;$A140,$B$5:$B139,$B140)&gt;0,MIN(1-'Exercise list'!L$2,IF($A140=$A139,AR139,1))-W140&lt;0),-1,MIN(1,IF($A140=$A139,AR139,1)-W140+$D$2))</f>
        <v>-1</v>
      </c>
      <c r="AS140">
        <f>IF(OR($J140=1,COUNTIFS($A$5:$A139,"&gt;="&amp;$A140-1,$A$5:$A139,"&lt;="&amp;$A140,$B$5:$B139,$B140)&gt;0,MIN(1-'Exercise list'!M$2,IF($A140=$A139,AS139,1))-X140&lt;0),-1,MIN(1,IF($A140=$A139,AS139,1)-X140+$D$2))</f>
        <v>-1</v>
      </c>
      <c r="AT140">
        <f>IF(OR($J140=1,COUNTIFS($A$5:$A139,"&gt;="&amp;$A140-1,$A$5:$A139,"&lt;="&amp;$A140,$B$5:$B139,$B140)&gt;0,MIN(1-'Exercise list'!N$2,IF($A140=$A139,AT139,1))-Y140&lt;0),-1,MIN(1,IF($A140=$A139,AT139,1)-Y140+$D$2))</f>
        <v>-1</v>
      </c>
      <c r="AU140">
        <f>IF(OR($J140=1,COUNTIFS($A$5:$A139,"&gt;="&amp;$A140-1,$A$5:$A139,"&lt;="&amp;$A140,$B$5:$B139,$B140)&gt;0,MIN(1-'Exercise list'!O$2,IF($A140=$A139,AU139,1))-Z140&lt;0),-1,MIN(1,IF($A140=$A139,AU139,1)-Z140+$D$2))</f>
        <v>-1</v>
      </c>
      <c r="AV140">
        <f>IF(OR($J140=1,COUNTIFS($A$5:$A139,"&gt;="&amp;$A140-1,$A$5:$A139,"&lt;="&amp;$A140,$B$5:$B139,$B140)&gt;0,MIN(1-'Exercise list'!P$2,IF($A140=$A139,AV139,1))-AA140&lt;0),-1,MIN(1,IF($A140=$A139,AV139,1)-AA140+$D$2))</f>
        <v>-1</v>
      </c>
      <c r="AW140">
        <f>IF(OR($J140=1,COUNTIFS($A$5:$A139,"&gt;="&amp;$A140-1,$A$5:$A139,"&lt;="&amp;$A140,$B$5:$B139,$B140)&gt;0,MIN(1-'Exercise list'!Q$2,IF($A140=$A139,AW139,1))-AB140&lt;0),-1,MIN(1,IF($A140=$A139,AW139,1)-AB140+$D$2))</f>
        <v>-1</v>
      </c>
      <c r="AX140">
        <f>IF(OR($J140=1,COUNTIFS($A$5:$A139,"&gt;="&amp;$A140-1,$A$5:$A139,"&lt;="&amp;$A140,$B$5:$B139,$B140)&gt;0,MIN(1-'Exercise list'!R$2,IF($A140=$A139,AX139,1))-AC140&lt;0),-1,MIN(1,IF($A140=$A139,AX139,1)-AC140+$D$2))</f>
        <v>-1</v>
      </c>
      <c r="AY140">
        <f>IF(OR($J140=1,COUNTIFS($A$5:$A139,"&gt;="&amp;$A140-1,$A$5:$A139,"&lt;="&amp;$A140,$B$5:$B139,$B140)&gt;0,MIN(1-'Exercise list'!S$2,IF($A140=$A139,AY139,1))-AD140&lt;0),-1,MIN(1,IF($A140=$A139,AY139,1)-AD140+$D$2))</f>
        <v>-1</v>
      </c>
      <c r="AZ140">
        <f>IF(OR($J140=1,COUNTIFS($A$5:$A139,"&gt;="&amp;$A140-1,$A$5:$A139,"&lt;="&amp;$A140,$B$5:$B139,$B140)&gt;0,MIN(1-'Exercise list'!T$2,IF($A140=$A139,AZ139,1))-AE140&lt;0),-1,MIN(1,IF($A140=$A139,AZ139,1)-AE140+$D$2))</f>
        <v>-1</v>
      </c>
      <c r="BA140">
        <f>IF(OR($J140=1,COUNTIFS($A$5:$A139,"&gt;="&amp;$A140-1,$A$5:$A139,"&lt;="&amp;$A140,$B$5:$B139,$B140)&gt;0,MIN(1-'Exercise list'!U$2,IF($A140=$A139,BA139,1))-AF140&lt;0),-1,MIN(1,IF($A140=$A139,BA139,1)-AF140+$D$2))</f>
        <v>-1</v>
      </c>
      <c r="BB140">
        <f>IF(OR($J140=1,COUNTIFS($A$5:$A139,"&gt;="&amp;$A140-1,$A$5:$A139,"&lt;="&amp;$A140,$B$5:$B139,$B140)&gt;0,MIN(1-'Exercise list'!V$2,IF($A140=$A139,BB139,1))-AG140&lt;0),-1,MIN(1,IF($A140=$A139,BB139,1)-AG140+$D$2))</f>
        <v>-1</v>
      </c>
      <c r="BC140">
        <f>IF(OR($J140=1,COUNTIFS($A$5:$A139,"&gt;="&amp;$A140-1,$A$5:$A139,"&lt;="&amp;$A140,$B$5:$B139,$B140)&gt;0,MIN(1-'Exercise list'!W$2,IF($A140=$A139,BC139,1))-AH140&lt;0),-1,MIN(1,IF($A140=$A139,BC139,1)-AH140+$D$2))</f>
        <v>-1</v>
      </c>
      <c r="BD140">
        <f>IF(OR($J140=1,COUNTIFS($A$5:$A139,"&gt;="&amp;$A140-1,$A$5:$A139,"&lt;="&amp;$A140,$B$5:$B139,$B140)&gt;0,MIN(1-'Exercise list'!X$2,IF($A140=$A139,BD139,1))-AI140&lt;0),-1,MIN(1,IF($A140=$A139,BD139,1)-AI140+$D$2))</f>
        <v>-1</v>
      </c>
      <c r="BF140" s="16">
        <f t="shared" si="100"/>
        <v>0.18247972077865404</v>
      </c>
      <c r="BG140" s="16">
        <f t="shared" si="101"/>
        <v>0.20610579647798644</v>
      </c>
      <c r="BH140" s="16">
        <f t="shared" si="102"/>
        <v>0.11844200319142056</v>
      </c>
      <c r="BI140" s="16">
        <f t="shared" si="103"/>
        <v>0.12823439028338177</v>
      </c>
      <c r="BJ140" s="16">
        <f t="shared" si="104"/>
        <v>0.11895095546580473</v>
      </c>
      <c r="BK140" s="16">
        <f t="shared" si="105"/>
        <v>0.149577862800336</v>
      </c>
      <c r="BL140" s="16">
        <f t="shared" si="106"/>
        <v>0.22732213654818526</v>
      </c>
      <c r="BM140" s="16">
        <f t="shared" si="107"/>
        <v>9.8153582494588734E-3</v>
      </c>
      <c r="BN140" s="16">
        <f t="shared" si="108"/>
        <v>0.15984006231234651</v>
      </c>
      <c r="BO140" s="16">
        <f t="shared" si="109"/>
        <v>0.26445096427181136</v>
      </c>
      <c r="BP140" s="16">
        <f t="shared" si="110"/>
        <v>0.29939042763464441</v>
      </c>
      <c r="BQ140" s="16">
        <f t="shared" si="111"/>
        <v>0.12880021799436281</v>
      </c>
      <c r="BR140" s="16">
        <f t="shared" si="112"/>
        <v>0.17227014313099007</v>
      </c>
      <c r="BS140" s="16">
        <f t="shared" si="113"/>
        <v>3.1079236608178636E-2</v>
      </c>
      <c r="BT140" s="16">
        <f t="shared" si="114"/>
        <v>0.1314392347593723</v>
      </c>
      <c r="BU140" s="16">
        <f t="shared" si="115"/>
        <v>0.12651918791118513</v>
      </c>
      <c r="BV140" s="16">
        <f t="shared" si="116"/>
        <v>0.16249150733927903</v>
      </c>
      <c r="BW140" s="16">
        <f t="shared" si="117"/>
        <v>7.0206036310323627E-2</v>
      </c>
      <c r="BX140" s="16">
        <f t="shared" si="118"/>
        <v>6.6099078178219375E-2</v>
      </c>
      <c r="BY140" s="16">
        <f t="shared" si="119"/>
        <v>2.2437135503801813E-2</v>
      </c>
      <c r="CA140" s="16">
        <f t="shared" si="141"/>
        <v>2.3146312980586226E-2</v>
      </c>
      <c r="CB140" s="16">
        <f t="shared" si="122"/>
        <v>0</v>
      </c>
      <c r="CC140" s="16">
        <f t="shared" si="123"/>
        <v>0</v>
      </c>
      <c r="CD140" s="16">
        <f t="shared" si="124"/>
        <v>0</v>
      </c>
      <c r="CE140" s="16">
        <f t="shared" si="125"/>
        <v>0</v>
      </c>
      <c r="CF140" s="16">
        <f t="shared" si="126"/>
        <v>0.15886118783852446</v>
      </c>
      <c r="CG140" s="16">
        <f t="shared" si="127"/>
        <v>0</v>
      </c>
      <c r="CH140" s="16">
        <f t="shared" si="128"/>
        <v>9.2997658630161267E-2</v>
      </c>
      <c r="CI140" s="16">
        <f t="shared" si="129"/>
        <v>4.5785971446893753E-2</v>
      </c>
      <c r="CJ140" s="16">
        <f t="shared" si="130"/>
        <v>0</v>
      </c>
      <c r="CK140" s="16">
        <f t="shared" si="131"/>
        <v>0</v>
      </c>
      <c r="CL140" s="16">
        <f t="shared" si="132"/>
        <v>0</v>
      </c>
      <c r="CM140" s="16">
        <f t="shared" si="133"/>
        <v>3.3355890628250201E-2</v>
      </c>
      <c r="CN140" s="16">
        <f t="shared" si="134"/>
        <v>7.1733780271441505E-2</v>
      </c>
      <c r="CO140" s="16">
        <f t="shared" si="135"/>
        <v>0</v>
      </c>
      <c r="CP140" s="16">
        <f t="shared" si="136"/>
        <v>0</v>
      </c>
      <c r="CQ140" s="16">
        <f t="shared" si="137"/>
        <v>4.3134526419961239E-2</v>
      </c>
      <c r="CR140" s="16">
        <f t="shared" si="138"/>
        <v>3.2606980569296506E-2</v>
      </c>
      <c r="CS140" s="16">
        <f t="shared" si="139"/>
        <v>3.6713938701400758E-2</v>
      </c>
      <c r="CT140" s="16">
        <f t="shared" si="140"/>
        <v>8.0375881375818317E-2</v>
      </c>
    </row>
    <row r="141" spans="1:99" x14ac:dyDescent="0.25">
      <c r="A141" s="13">
        <v>45090</v>
      </c>
      <c r="B141" s="14">
        <v>31</v>
      </c>
      <c r="C141" s="15" t="str" cm="1">
        <f t="array" ref="C141">IF(B141="","",INDEX('Exercise list'!$C$5:$C$102,B141))</f>
        <v>Weighted decline crunches</v>
      </c>
      <c r="D141" s="12">
        <f t="shared" si="97"/>
        <v>-1</v>
      </c>
      <c r="E141" s="107">
        <f t="shared" si="120"/>
        <v>0</v>
      </c>
      <c r="F141" s="63" cm="1">
        <f t="array" ref="F141">IF(B141="","",0.1+IFERROR(INDEX($F$6:$F140,SUMPRODUCT(MAX(ROW($C$6:$C140)*($C141=$C$6:$C140))-ROW($A$5)))*0.9^($A141-INDEX($A$6:A140,SUMPRODUCT(MAX(ROW($C$6:$C140)*($C141=$C$6:$C140))-ROW($A$5)))),0))</f>
        <v>0.2893203736693486</v>
      </c>
      <c r="G141" s="64">
        <f>INDEX('Exercise list'!$Y$5:$Y$102,MATCH(C141,'Exercise list'!$C$5:$C$102,0))</f>
        <v>2</v>
      </c>
      <c r="H141" s="115">
        <f t="shared" si="98"/>
        <v>5.1632251759886436E-2</v>
      </c>
      <c r="I141" s="6">
        <f t="shared" si="99"/>
        <v>3</v>
      </c>
      <c r="J141" s="6" cm="1">
        <f t="array" ref="J141">IF(B141="","",INDEX('Exercise list'!$D$5:$D$102,B141))</f>
        <v>0</v>
      </c>
      <c r="K141" s="12">
        <v>55</v>
      </c>
      <c r="L141" s="74" t="str" cm="1">
        <f t="array" ref="L141">IF(K141="","",INDEX('Exercise list'!$C$5:$C$102,K141))</f>
        <v>Egyptian cable lateral raises</v>
      </c>
      <c r="M141" s="6">
        <v>44</v>
      </c>
      <c r="N141" s="75" t="str" cm="1">
        <f t="array" ref="N141">IF(M141="","",INDEX('Exercise list'!$C$5:$C$102,M141))</f>
        <v>Leg presses</v>
      </c>
      <c r="P141">
        <f>IFERROR(INDEX('Exercise list'!$E$5:$X$102,MATCH($C141,'Exercise list'!$C$5:$C$102,0),MATCH(P$5,'Exercise list'!$E$4:$X$4,0)),0)</f>
        <v>0</v>
      </c>
      <c r="Q141">
        <f>IFERROR(INDEX('Exercise list'!$E$5:$X$102,MATCH($C141,'Exercise list'!$C$5:$C$102,0),MATCH(Q$5,'Exercise list'!$E$4:$X$4,0)),0)</f>
        <v>0</v>
      </c>
      <c r="R141">
        <f>IFERROR(INDEX('Exercise list'!$E$5:$X$102,MATCH($C141,'Exercise list'!$C$5:$C$102,0),MATCH(R$5,'Exercise list'!$E$4:$X$4,0)),0)</f>
        <v>0</v>
      </c>
      <c r="S141">
        <f>IFERROR(INDEX('Exercise list'!$E$5:$X$102,MATCH($C141,'Exercise list'!$C$5:$C$102,0),MATCH(S$5,'Exercise list'!$E$4:$X$4,0)),0)</f>
        <v>0</v>
      </c>
      <c r="T141">
        <f>IFERROR(INDEX('Exercise list'!$E$5:$X$102,MATCH($C141,'Exercise list'!$C$5:$C$102,0),MATCH(T$5,'Exercise list'!$E$4:$X$4,0)),0)</f>
        <v>0</v>
      </c>
      <c r="U141">
        <f>IFERROR(INDEX('Exercise list'!$E$5:$X$102,MATCH($C141,'Exercise list'!$C$5:$C$102,0),MATCH(U$5,'Exercise list'!$E$4:$X$4,0)),0)</f>
        <v>0</v>
      </c>
      <c r="V141">
        <f>IFERROR(INDEX('Exercise list'!$E$5:$X$102,MATCH($C141,'Exercise list'!$C$5:$C$102,0),MATCH(V$5,'Exercise list'!$E$4:$X$4,0)),0)</f>
        <v>0</v>
      </c>
      <c r="W141">
        <f>IFERROR(INDEX('Exercise list'!$E$5:$X$102,MATCH($C141,'Exercise list'!$C$5:$C$102,0),MATCH(W$5,'Exercise list'!$E$4:$X$4,0)),0)</f>
        <v>0</v>
      </c>
      <c r="X141">
        <f>IFERROR(INDEX('Exercise list'!$E$5:$X$102,MATCH($C141,'Exercise list'!$C$5:$C$102,0),MATCH(X$5,'Exercise list'!$E$4:$X$4,0)),0)</f>
        <v>0</v>
      </c>
      <c r="Y141">
        <f>IFERROR(INDEX('Exercise list'!$E$5:$X$102,MATCH($C141,'Exercise list'!$C$5:$C$102,0),MATCH(Y$5,'Exercise list'!$E$4:$X$4,0)),0)</f>
        <v>0</v>
      </c>
      <c r="Z141">
        <f>IFERROR(INDEX('Exercise list'!$E$5:$X$102,MATCH($C141,'Exercise list'!$C$5:$C$102,0),MATCH(Z$5,'Exercise list'!$E$4:$X$4,0)),0)</f>
        <v>0</v>
      </c>
      <c r="AA141">
        <f>IFERROR(INDEX('Exercise list'!$E$5:$X$102,MATCH($C141,'Exercise list'!$C$5:$C$102,0),MATCH(AA$5,'Exercise list'!$E$4:$X$4,0)),0)</f>
        <v>1</v>
      </c>
      <c r="AB141">
        <f>IFERROR(INDEX('Exercise list'!$E$5:$X$102,MATCH($C141,'Exercise list'!$C$5:$C$102,0),MATCH(AB$5,'Exercise list'!$E$4:$X$4,0)),0)</f>
        <v>0.6</v>
      </c>
      <c r="AC141">
        <f>IFERROR(INDEX('Exercise list'!$E$5:$X$102,MATCH($C141,'Exercise list'!$C$5:$C$102,0),MATCH(AC$5,'Exercise list'!$E$4:$X$4,0)),0)</f>
        <v>0</v>
      </c>
      <c r="AD141">
        <f>IFERROR(INDEX('Exercise list'!$E$5:$X$102,MATCH($C141,'Exercise list'!$C$5:$C$102,0),MATCH(AD$5,'Exercise list'!$E$4:$X$4,0)),0)</f>
        <v>0</v>
      </c>
      <c r="AE141">
        <f>IFERROR(INDEX('Exercise list'!$E$5:$X$102,MATCH($C141,'Exercise list'!$C$5:$C$102,0),MATCH(AE$5,'Exercise list'!$E$4:$X$4,0)),0)</f>
        <v>0</v>
      </c>
      <c r="AF141">
        <f>IFERROR(INDEX('Exercise list'!$E$5:$X$102,MATCH($C141,'Exercise list'!$C$5:$C$102,0),MATCH(AF$5,'Exercise list'!$E$4:$X$4,0)),0)</f>
        <v>0</v>
      </c>
      <c r="AG141">
        <f>IFERROR(INDEX('Exercise list'!$E$5:$X$102,MATCH($C141,'Exercise list'!$C$5:$C$102,0),MATCH(AG$5,'Exercise list'!$E$4:$X$4,0)),0)</f>
        <v>0</v>
      </c>
      <c r="AH141">
        <f>IFERROR(INDEX('Exercise list'!$E$5:$X$102,MATCH($C141,'Exercise list'!$C$5:$C$102,0),MATCH(AH$5,'Exercise list'!$E$4:$X$4,0)),0)</f>
        <v>0</v>
      </c>
      <c r="AI141">
        <f>IFERROR(INDEX('Exercise list'!$E$5:$X$102,MATCH($C141,'Exercise list'!$C$5:$C$102,0),MATCH(AI$5,'Exercise list'!$E$4:$X$4,0)),0)</f>
        <v>0</v>
      </c>
      <c r="AK141">
        <f>IF(OR($J141=1,COUNTIFS($A$5:$A140,"&gt;="&amp;$A141-1,$A$5:$A140,"&lt;="&amp;$A141,$B$5:$B140,$B141)&gt;0,MIN(1-'Exercise list'!E$2,IF($A141=$A140,AK140,1))-P141&lt;0),-1,MIN(1,IF($A141=$A140,AK140,1)-P141+$D$2))</f>
        <v>-1</v>
      </c>
      <c r="AL141">
        <f>IF(OR($J141=1,COUNTIFS($A$5:$A140,"&gt;="&amp;$A141-1,$A$5:$A140,"&lt;="&amp;$A141,$B$5:$B140,$B141)&gt;0,MIN(1-'Exercise list'!F$2,IF($A141=$A140,AL140,1))-Q141&lt;0),-1,MIN(1,IF($A141=$A140,AL140,1)-Q141+$D$2))</f>
        <v>-1</v>
      </c>
      <c r="AM141">
        <f>IF(OR($J141=1,COUNTIFS($A$5:$A140,"&gt;="&amp;$A141-1,$A$5:$A140,"&lt;="&amp;$A141,$B$5:$B140,$B141)&gt;0,MIN(1-'Exercise list'!G$2,IF($A141=$A140,AM140,1))-R141&lt;0),-1,MIN(1,IF($A141=$A140,AM140,1)-R141+$D$2))</f>
        <v>-1</v>
      </c>
      <c r="AN141">
        <f>IF(OR($J141=1,COUNTIFS($A$5:$A140,"&gt;="&amp;$A141-1,$A$5:$A140,"&lt;="&amp;$A141,$B$5:$B140,$B141)&gt;0,MIN(1-'Exercise list'!H$2,IF($A141=$A140,AN140,1))-S141&lt;0),-1,MIN(1,IF($A141=$A140,AN140,1)-S141+$D$2))</f>
        <v>-1</v>
      </c>
      <c r="AO141">
        <f>IF(OR($J141=1,COUNTIFS($A$5:$A140,"&gt;="&amp;$A141-1,$A$5:$A140,"&lt;="&amp;$A141,$B$5:$B140,$B141)&gt;0,MIN(1-'Exercise list'!I$2,IF($A141=$A140,AO140,1))-T141&lt;0),-1,MIN(1,IF($A141=$A140,AO140,1)-T141+$D$2))</f>
        <v>-1</v>
      </c>
      <c r="AP141">
        <f>IF(OR($J141=1,COUNTIFS($A$5:$A140,"&gt;="&amp;$A141-1,$A$5:$A140,"&lt;="&amp;$A141,$B$5:$B140,$B141)&gt;0,MIN(1-'Exercise list'!J$2,IF($A141=$A140,AP140,1))-U141&lt;0),-1,MIN(1,IF($A141=$A140,AP140,1)-U141+$D$2))</f>
        <v>-1</v>
      </c>
      <c r="AQ141">
        <f>IF(OR($J141=1,COUNTIFS($A$5:$A140,"&gt;="&amp;$A141-1,$A$5:$A140,"&lt;="&amp;$A141,$B$5:$B140,$B141)&gt;0,MIN(1-'Exercise list'!K$2,IF($A141=$A140,AQ140,1))-V141&lt;0),-1,MIN(1,IF($A141=$A140,AQ140,1)-V141+$D$2))</f>
        <v>-1</v>
      </c>
      <c r="AR141">
        <f>IF(OR($J141=1,COUNTIFS($A$5:$A140,"&gt;="&amp;$A141-1,$A$5:$A140,"&lt;="&amp;$A141,$B$5:$B140,$B141)&gt;0,MIN(1-'Exercise list'!L$2,IF($A141=$A140,AR140,1))-W141&lt;0),-1,MIN(1,IF($A141=$A140,AR140,1)-W141+$D$2))</f>
        <v>-1</v>
      </c>
      <c r="AS141">
        <f>IF(OR($J141=1,COUNTIFS($A$5:$A140,"&gt;="&amp;$A141-1,$A$5:$A140,"&lt;="&amp;$A141,$B$5:$B140,$B141)&gt;0,MIN(1-'Exercise list'!M$2,IF($A141=$A140,AS140,1))-X141&lt;0),-1,MIN(1,IF($A141=$A140,AS140,1)-X141+$D$2))</f>
        <v>-1</v>
      </c>
      <c r="AT141">
        <f>IF(OR($J141=1,COUNTIFS($A$5:$A140,"&gt;="&amp;$A141-1,$A$5:$A140,"&lt;="&amp;$A141,$B$5:$B140,$B141)&gt;0,MIN(1-'Exercise list'!N$2,IF($A141=$A140,AT140,1))-Y141&lt;0),-1,MIN(1,IF($A141=$A140,AT140,1)-Y141+$D$2))</f>
        <v>-1</v>
      </c>
      <c r="AU141">
        <f>IF(OR($J141=1,COUNTIFS($A$5:$A140,"&gt;="&amp;$A141-1,$A$5:$A140,"&lt;="&amp;$A141,$B$5:$B140,$B141)&gt;0,MIN(1-'Exercise list'!O$2,IF($A141=$A140,AU140,1))-Z141&lt;0),-1,MIN(1,IF($A141=$A140,AU140,1)-Z141+$D$2))</f>
        <v>-1</v>
      </c>
      <c r="AV141">
        <f>IF(OR($J141=1,COUNTIFS($A$5:$A140,"&gt;="&amp;$A141-1,$A$5:$A140,"&lt;="&amp;$A141,$B$5:$B140,$B141)&gt;0,MIN(1-'Exercise list'!P$2,IF($A141=$A140,AV140,1))-AA141&lt;0),-1,MIN(1,IF($A141=$A140,AV140,1)-AA141+$D$2))</f>
        <v>-1</v>
      </c>
      <c r="AW141">
        <f>IF(OR($J141=1,COUNTIFS($A$5:$A140,"&gt;="&amp;$A141-1,$A$5:$A140,"&lt;="&amp;$A141,$B$5:$B140,$B141)&gt;0,MIN(1-'Exercise list'!Q$2,IF($A141=$A140,AW140,1))-AB141&lt;0),-1,MIN(1,IF($A141=$A140,AW140,1)-AB141+$D$2))</f>
        <v>-1</v>
      </c>
      <c r="AX141">
        <f>IF(OR($J141=1,COUNTIFS($A$5:$A140,"&gt;="&amp;$A141-1,$A$5:$A140,"&lt;="&amp;$A141,$B$5:$B140,$B141)&gt;0,MIN(1-'Exercise list'!R$2,IF($A141=$A140,AX140,1))-AC141&lt;0),-1,MIN(1,IF($A141=$A140,AX140,1)-AC141+$D$2))</f>
        <v>-1</v>
      </c>
      <c r="AY141">
        <f>IF(OR($J141=1,COUNTIFS($A$5:$A140,"&gt;="&amp;$A141-1,$A$5:$A140,"&lt;="&amp;$A141,$B$5:$B140,$B141)&gt;0,MIN(1-'Exercise list'!S$2,IF($A141=$A140,AY140,1))-AD141&lt;0),-1,MIN(1,IF($A141=$A140,AY140,1)-AD141+$D$2))</f>
        <v>-1</v>
      </c>
      <c r="AZ141">
        <f>IF(OR($J141=1,COUNTIFS($A$5:$A140,"&gt;="&amp;$A141-1,$A$5:$A140,"&lt;="&amp;$A141,$B$5:$B140,$B141)&gt;0,MIN(1-'Exercise list'!T$2,IF($A141=$A140,AZ140,1))-AE141&lt;0),-1,MIN(1,IF($A141=$A140,AZ140,1)-AE141+$D$2))</f>
        <v>-1</v>
      </c>
      <c r="BA141">
        <f>IF(OR($J141=1,COUNTIFS($A$5:$A140,"&gt;="&amp;$A141-1,$A$5:$A140,"&lt;="&amp;$A141,$B$5:$B140,$B141)&gt;0,MIN(1-'Exercise list'!U$2,IF($A141=$A140,BA140,1))-AF141&lt;0),-1,MIN(1,IF($A141=$A140,BA140,1)-AF141+$D$2))</f>
        <v>-1</v>
      </c>
      <c r="BB141">
        <f>IF(OR($J141=1,COUNTIFS($A$5:$A140,"&gt;="&amp;$A141-1,$A$5:$A140,"&lt;="&amp;$A141,$B$5:$B140,$B141)&gt;0,MIN(1-'Exercise list'!V$2,IF($A141=$A140,BB140,1))-AG141&lt;0),-1,MIN(1,IF($A141=$A140,BB140,1)-AG141+$D$2))</f>
        <v>-1</v>
      </c>
      <c r="BC141">
        <f>IF(OR($J141=1,COUNTIFS($A$5:$A140,"&gt;="&amp;$A141-1,$A$5:$A140,"&lt;="&amp;$A141,$B$5:$B140,$B141)&gt;0,MIN(1-'Exercise list'!W$2,IF($A141=$A140,BC140,1))-AH141&lt;0),-1,MIN(1,IF($A141=$A140,BC140,1)-AH141+$D$2))</f>
        <v>-1</v>
      </c>
      <c r="BD141">
        <f>IF(OR($J141=1,COUNTIFS($A$5:$A140,"&gt;="&amp;$A141-1,$A$5:$A140,"&lt;="&amp;$A141,$B$5:$B140,$B141)&gt;0,MIN(1-'Exercise list'!X$2,IF($A141=$A140,BD140,1))-AI141&lt;0),-1,MIN(1,IF($A141=$A140,BD140,1)-AI141+$D$2))</f>
        <v>-1</v>
      </c>
      <c r="BF141" s="16">
        <f t="shared" si="100"/>
        <v>0.17335573473972132</v>
      </c>
      <c r="BG141" s="16">
        <f t="shared" si="101"/>
        <v>0.1958005066540871</v>
      </c>
      <c r="BH141" s="16">
        <f t="shared" si="102"/>
        <v>0.11251990303184953</v>
      </c>
      <c r="BI141" s="16">
        <f t="shared" si="103"/>
        <v>0.12182267076921267</v>
      </c>
      <c r="BJ141" s="16">
        <f t="shared" si="104"/>
        <v>0.11300340769251449</v>
      </c>
      <c r="BK141" s="16">
        <f t="shared" si="105"/>
        <v>0.14209896966031918</v>
      </c>
      <c r="BL141" s="16">
        <f t="shared" si="106"/>
        <v>0.21595602972077599</v>
      </c>
      <c r="BM141" s="16">
        <f t="shared" si="107"/>
        <v>9.3245903369859294E-3</v>
      </c>
      <c r="BN141" s="16">
        <f t="shared" si="108"/>
        <v>0.15184805919672917</v>
      </c>
      <c r="BO141" s="16">
        <f t="shared" si="109"/>
        <v>0.25122841605822077</v>
      </c>
      <c r="BP141" s="16">
        <f t="shared" si="110"/>
        <v>0.28442090625291216</v>
      </c>
      <c r="BQ141" s="16">
        <f t="shared" si="111"/>
        <v>0.17236020709464467</v>
      </c>
      <c r="BR141" s="16">
        <f t="shared" si="112"/>
        <v>0.19365663597444055</v>
      </c>
      <c r="BS141" s="16">
        <f t="shared" si="113"/>
        <v>2.9525274777769703E-2</v>
      </c>
      <c r="BT141" s="16">
        <f t="shared" si="114"/>
        <v>0.12486727302140369</v>
      </c>
      <c r="BU141" s="16">
        <f t="shared" si="115"/>
        <v>0.12019322851562587</v>
      </c>
      <c r="BV141" s="16">
        <f t="shared" si="116"/>
        <v>0.15436693197231507</v>
      </c>
      <c r="BW141" s="16">
        <f t="shared" si="117"/>
        <v>6.6695734494807438E-2</v>
      </c>
      <c r="BX141" s="16">
        <f t="shared" si="118"/>
        <v>6.2794124269308402E-2</v>
      </c>
      <c r="BY141" s="16">
        <f t="shared" si="119"/>
        <v>2.1315278728611723E-2</v>
      </c>
      <c r="CA141" s="16">
        <f t="shared" si="141"/>
        <v>2.7914923257482821E-2</v>
      </c>
      <c r="CB141" s="16">
        <f t="shared" si="122"/>
        <v>5.4701513431170412E-3</v>
      </c>
      <c r="CC141" s="16">
        <f t="shared" si="123"/>
        <v>0</v>
      </c>
      <c r="CD141" s="16">
        <f t="shared" si="124"/>
        <v>0</v>
      </c>
      <c r="CE141" s="16">
        <f t="shared" si="125"/>
        <v>0</v>
      </c>
      <c r="CF141" s="16">
        <f t="shared" si="126"/>
        <v>0.15980701733548705</v>
      </c>
      <c r="CG141" s="16">
        <f t="shared" si="127"/>
        <v>0</v>
      </c>
      <c r="CH141" s="16">
        <f t="shared" si="128"/>
        <v>9.1310738661616139E-2</v>
      </c>
      <c r="CI141" s="16">
        <f t="shared" si="129"/>
        <v>4.9422598800474976E-2</v>
      </c>
      <c r="CJ141" s="16">
        <f t="shared" si="130"/>
        <v>0</v>
      </c>
      <c r="CK141" s="16">
        <f t="shared" si="131"/>
        <v>0</v>
      </c>
      <c r="CL141" s="16">
        <f t="shared" si="132"/>
        <v>0</v>
      </c>
      <c r="CM141" s="16">
        <f t="shared" si="133"/>
        <v>7.6140220227635946E-3</v>
      </c>
      <c r="CN141" s="16">
        <f t="shared" si="134"/>
        <v>7.1110054220832372E-2</v>
      </c>
      <c r="CO141" s="16">
        <f t="shared" si="135"/>
        <v>0</v>
      </c>
      <c r="CP141" s="16">
        <f t="shared" si="136"/>
        <v>0</v>
      </c>
      <c r="CQ141" s="16">
        <f t="shared" si="137"/>
        <v>4.690372602488907E-2</v>
      </c>
      <c r="CR141" s="16">
        <f t="shared" si="138"/>
        <v>3.3939594503794634E-2</v>
      </c>
      <c r="CS141" s="16">
        <f t="shared" si="139"/>
        <v>3.784120472929367E-2</v>
      </c>
      <c r="CT141" s="16">
        <f t="shared" si="140"/>
        <v>7.9320050269990353E-2</v>
      </c>
    </row>
    <row r="142" spans="1:99" x14ac:dyDescent="0.25">
      <c r="A142" s="13">
        <v>45090</v>
      </c>
      <c r="B142" s="14">
        <v>48</v>
      </c>
      <c r="C142" s="15" t="str" cm="1">
        <f t="array" ref="C142">IF(B142="","",INDEX('Exercise list'!$C$5:$C$102,B142))</f>
        <v>Barbell overhead presses</v>
      </c>
      <c r="D142" s="12">
        <f t="shared" si="97"/>
        <v>-1</v>
      </c>
      <c r="E142" s="107">
        <f t="shared" si="120"/>
        <v>0</v>
      </c>
      <c r="F142" s="63" cm="1">
        <f t="array" ref="F142">IF(B142="","",0.1+IFERROR(INDEX($F$6:$F141,SUMPRODUCT(MAX(ROW($C$6:$C141)*($C142=$C$6:$C141))-ROW($A$5)))*0.9^($A142-INDEX($A$6:A141,SUMPRODUCT(MAX(ROW($C$6:$C141)*($C142=$C$6:$C141))-ROW($A$5)))),0))</f>
        <v>0.29443246207733731</v>
      </c>
      <c r="G142" s="64">
        <f>INDEX('Exercise list'!$Y$5:$Y$102,MATCH(C142,'Exercise list'!$C$5:$C$102,0))</f>
        <v>3</v>
      </c>
      <c r="H142" s="115">
        <f t="shared" si="98"/>
        <v>4.8517572259344839E-2</v>
      </c>
      <c r="I142" s="6">
        <f t="shared" si="99"/>
        <v>4</v>
      </c>
      <c r="J142" s="6" cm="1">
        <f t="array" ref="J142">IF(B142="","",INDEX('Exercise list'!$D$5:$D$102,B142))</f>
        <v>0</v>
      </c>
      <c r="K142" s="12">
        <v>59</v>
      </c>
      <c r="L142" s="74" t="str" cm="1">
        <f t="array" ref="L142">IF(K142="","",INDEX('Exercise list'!$C$5:$C$102,K142))</f>
        <v>Triceps dips</v>
      </c>
      <c r="M142" s="6">
        <v>44</v>
      </c>
      <c r="N142" s="75" t="str" cm="1">
        <f t="array" ref="N142">IF(M142="","",INDEX('Exercise list'!$C$5:$C$102,M142))</f>
        <v>Leg presses</v>
      </c>
      <c r="P142">
        <f>IFERROR(INDEX('Exercise list'!$E$5:$X$102,MATCH($C142,'Exercise list'!$C$5:$C$102,0),MATCH(P$5,'Exercise list'!$E$4:$X$4,0)),0)</f>
        <v>0</v>
      </c>
      <c r="Q142">
        <f>IFERROR(INDEX('Exercise list'!$E$5:$X$102,MATCH($C142,'Exercise list'!$C$5:$C$102,0),MATCH(Q$5,'Exercise list'!$E$4:$X$4,0)),0)</f>
        <v>0</v>
      </c>
      <c r="R142">
        <f>IFERROR(INDEX('Exercise list'!$E$5:$X$102,MATCH($C142,'Exercise list'!$C$5:$C$102,0),MATCH(R$5,'Exercise list'!$E$4:$X$4,0)),0)</f>
        <v>0</v>
      </c>
      <c r="S142">
        <f>IFERROR(INDEX('Exercise list'!$E$5:$X$102,MATCH($C142,'Exercise list'!$C$5:$C$102,0),MATCH(S$5,'Exercise list'!$E$4:$X$4,0)),0)</f>
        <v>0</v>
      </c>
      <c r="T142">
        <f>IFERROR(INDEX('Exercise list'!$E$5:$X$102,MATCH($C142,'Exercise list'!$C$5:$C$102,0),MATCH(T$5,'Exercise list'!$E$4:$X$4,0)),0)</f>
        <v>0</v>
      </c>
      <c r="U142">
        <f>IFERROR(INDEX('Exercise list'!$E$5:$X$102,MATCH($C142,'Exercise list'!$C$5:$C$102,0),MATCH(U$5,'Exercise list'!$E$4:$X$4,0)),0)</f>
        <v>0.7</v>
      </c>
      <c r="V142">
        <f>IFERROR(INDEX('Exercise list'!$E$5:$X$102,MATCH($C142,'Exercise list'!$C$5:$C$102,0),MATCH(V$5,'Exercise list'!$E$4:$X$4,0)),0)</f>
        <v>0.9</v>
      </c>
      <c r="W142">
        <f>IFERROR(INDEX('Exercise list'!$E$5:$X$102,MATCH($C142,'Exercise list'!$C$5:$C$102,0),MATCH(W$5,'Exercise list'!$E$4:$X$4,0)),0)</f>
        <v>0</v>
      </c>
      <c r="X142">
        <f>IFERROR(INDEX('Exercise list'!$E$5:$X$102,MATCH($C142,'Exercise list'!$C$5:$C$102,0),MATCH(X$5,'Exercise list'!$E$4:$X$4,0)),0)</f>
        <v>0</v>
      </c>
      <c r="Y142">
        <f>IFERROR(INDEX('Exercise list'!$E$5:$X$102,MATCH($C142,'Exercise list'!$C$5:$C$102,0),MATCH(Y$5,'Exercise list'!$E$4:$X$4,0)),0)</f>
        <v>0.7</v>
      </c>
      <c r="Z142">
        <f>IFERROR(INDEX('Exercise list'!$E$5:$X$102,MATCH($C142,'Exercise list'!$C$5:$C$102,0),MATCH(Z$5,'Exercise list'!$E$4:$X$4,0)),0)</f>
        <v>0</v>
      </c>
      <c r="AA142">
        <f>IFERROR(INDEX('Exercise list'!$E$5:$X$102,MATCH($C142,'Exercise list'!$C$5:$C$102,0),MATCH(AA$5,'Exercise list'!$E$4:$X$4,0)),0)</f>
        <v>0</v>
      </c>
      <c r="AB142">
        <f>IFERROR(INDEX('Exercise list'!$E$5:$X$102,MATCH($C142,'Exercise list'!$C$5:$C$102,0),MATCH(AB$5,'Exercise list'!$E$4:$X$4,0)),0)</f>
        <v>0</v>
      </c>
      <c r="AC142">
        <f>IFERROR(INDEX('Exercise list'!$E$5:$X$102,MATCH($C142,'Exercise list'!$C$5:$C$102,0),MATCH(AC$5,'Exercise list'!$E$4:$X$4,0)),0)</f>
        <v>0</v>
      </c>
      <c r="AD142">
        <f>IFERROR(INDEX('Exercise list'!$E$5:$X$102,MATCH($C142,'Exercise list'!$C$5:$C$102,0),MATCH(AD$5,'Exercise list'!$E$4:$X$4,0)),0)</f>
        <v>0</v>
      </c>
      <c r="AE142">
        <f>IFERROR(INDEX('Exercise list'!$E$5:$X$102,MATCH($C142,'Exercise list'!$C$5:$C$102,0),MATCH(AE$5,'Exercise list'!$E$4:$X$4,0)),0)</f>
        <v>0</v>
      </c>
      <c r="AF142">
        <f>IFERROR(INDEX('Exercise list'!$E$5:$X$102,MATCH($C142,'Exercise list'!$C$5:$C$102,0),MATCH(AF$5,'Exercise list'!$E$4:$X$4,0)),0)</f>
        <v>0</v>
      </c>
      <c r="AG142">
        <f>IFERROR(INDEX('Exercise list'!$E$5:$X$102,MATCH($C142,'Exercise list'!$C$5:$C$102,0),MATCH(AG$5,'Exercise list'!$E$4:$X$4,0)),0)</f>
        <v>0</v>
      </c>
      <c r="AH142">
        <f>IFERROR(INDEX('Exercise list'!$E$5:$X$102,MATCH($C142,'Exercise list'!$C$5:$C$102,0),MATCH(AH$5,'Exercise list'!$E$4:$X$4,0)),0)</f>
        <v>0</v>
      </c>
      <c r="AI142">
        <f>IFERROR(INDEX('Exercise list'!$E$5:$X$102,MATCH($C142,'Exercise list'!$C$5:$C$102,0),MATCH(AI$5,'Exercise list'!$E$4:$X$4,0)),0)</f>
        <v>0</v>
      </c>
      <c r="AK142">
        <f>IF(OR($J142=1,COUNTIFS($A$5:$A141,"&gt;="&amp;$A142-1,$A$5:$A141,"&lt;="&amp;$A142,$B$5:$B141,$B142)&gt;0,MIN(1-'Exercise list'!E$2,IF($A142=$A141,AK141,1))-P142&lt;0),-1,MIN(1,IF($A142=$A141,AK141,1)-P142+$D$2))</f>
        <v>-1</v>
      </c>
      <c r="AL142">
        <f>IF(OR($J142=1,COUNTIFS($A$5:$A141,"&gt;="&amp;$A142-1,$A$5:$A141,"&lt;="&amp;$A142,$B$5:$B141,$B142)&gt;0,MIN(1-'Exercise list'!F$2,IF($A142=$A141,AL141,1))-Q142&lt;0),-1,MIN(1,IF($A142=$A141,AL141,1)-Q142+$D$2))</f>
        <v>-1</v>
      </c>
      <c r="AM142">
        <f>IF(OR($J142=1,COUNTIFS($A$5:$A141,"&gt;="&amp;$A142-1,$A$5:$A141,"&lt;="&amp;$A142,$B$5:$B141,$B142)&gt;0,MIN(1-'Exercise list'!G$2,IF($A142=$A141,AM141,1))-R142&lt;0),-1,MIN(1,IF($A142=$A141,AM141,1)-R142+$D$2))</f>
        <v>-1</v>
      </c>
      <c r="AN142">
        <f>IF(OR($J142=1,COUNTIFS($A$5:$A141,"&gt;="&amp;$A142-1,$A$5:$A141,"&lt;="&amp;$A142,$B$5:$B141,$B142)&gt;0,MIN(1-'Exercise list'!H$2,IF($A142=$A141,AN141,1))-S142&lt;0),-1,MIN(1,IF($A142=$A141,AN141,1)-S142+$D$2))</f>
        <v>-1</v>
      </c>
      <c r="AO142">
        <f>IF(OR($J142=1,COUNTIFS($A$5:$A141,"&gt;="&amp;$A142-1,$A$5:$A141,"&lt;="&amp;$A142,$B$5:$B141,$B142)&gt;0,MIN(1-'Exercise list'!I$2,IF($A142=$A141,AO141,1))-T142&lt;0),-1,MIN(1,IF($A142=$A141,AO141,1)-T142+$D$2))</f>
        <v>-1</v>
      </c>
      <c r="AP142">
        <f>IF(OR($J142=1,COUNTIFS($A$5:$A141,"&gt;="&amp;$A142-1,$A$5:$A141,"&lt;="&amp;$A142,$B$5:$B141,$B142)&gt;0,MIN(1-'Exercise list'!J$2,IF($A142=$A141,AP141,1))-U142&lt;0),-1,MIN(1,IF($A142=$A141,AP141,1)-U142+$D$2))</f>
        <v>-1</v>
      </c>
      <c r="AQ142">
        <f>IF(OR($J142=1,COUNTIFS($A$5:$A141,"&gt;="&amp;$A142-1,$A$5:$A141,"&lt;="&amp;$A142,$B$5:$B141,$B142)&gt;0,MIN(1-'Exercise list'!K$2,IF($A142=$A141,AQ141,1))-V142&lt;0),-1,MIN(1,IF($A142=$A141,AQ141,1)-V142+$D$2))</f>
        <v>-1</v>
      </c>
      <c r="AR142">
        <f>IF(OR($J142=1,COUNTIFS($A$5:$A141,"&gt;="&amp;$A142-1,$A$5:$A141,"&lt;="&amp;$A142,$B$5:$B141,$B142)&gt;0,MIN(1-'Exercise list'!L$2,IF($A142=$A141,AR141,1))-W142&lt;0),-1,MIN(1,IF($A142=$A141,AR141,1)-W142+$D$2))</f>
        <v>-1</v>
      </c>
      <c r="AS142">
        <f>IF(OR($J142=1,COUNTIFS($A$5:$A141,"&gt;="&amp;$A142-1,$A$5:$A141,"&lt;="&amp;$A142,$B$5:$B141,$B142)&gt;0,MIN(1-'Exercise list'!M$2,IF($A142=$A141,AS141,1))-X142&lt;0),-1,MIN(1,IF($A142=$A141,AS141,1)-X142+$D$2))</f>
        <v>-1</v>
      </c>
      <c r="AT142">
        <f>IF(OR($J142=1,COUNTIFS($A$5:$A141,"&gt;="&amp;$A142-1,$A$5:$A141,"&lt;="&amp;$A142,$B$5:$B141,$B142)&gt;0,MIN(1-'Exercise list'!N$2,IF($A142=$A141,AT141,1))-Y142&lt;0),-1,MIN(1,IF($A142=$A141,AT141,1)-Y142+$D$2))</f>
        <v>-1</v>
      </c>
      <c r="AU142">
        <f>IF(OR($J142=1,COUNTIFS($A$5:$A141,"&gt;="&amp;$A142-1,$A$5:$A141,"&lt;="&amp;$A142,$B$5:$B141,$B142)&gt;0,MIN(1-'Exercise list'!O$2,IF($A142=$A141,AU141,1))-Z142&lt;0),-1,MIN(1,IF($A142=$A141,AU141,1)-Z142+$D$2))</f>
        <v>-1</v>
      </c>
      <c r="AV142">
        <f>IF(OR($J142=1,COUNTIFS($A$5:$A141,"&gt;="&amp;$A142-1,$A$5:$A141,"&lt;="&amp;$A142,$B$5:$B141,$B142)&gt;0,MIN(1-'Exercise list'!P$2,IF($A142=$A141,AV141,1))-AA142&lt;0),-1,MIN(1,IF($A142=$A141,AV141,1)-AA142+$D$2))</f>
        <v>-1</v>
      </c>
      <c r="AW142">
        <f>IF(OR($J142=1,COUNTIFS($A$5:$A141,"&gt;="&amp;$A142-1,$A$5:$A141,"&lt;="&amp;$A142,$B$5:$B141,$B142)&gt;0,MIN(1-'Exercise list'!Q$2,IF($A142=$A141,AW141,1))-AB142&lt;0),-1,MIN(1,IF($A142=$A141,AW141,1)-AB142+$D$2))</f>
        <v>-1</v>
      </c>
      <c r="AX142">
        <f>IF(OR($J142=1,COUNTIFS($A$5:$A141,"&gt;="&amp;$A142-1,$A$5:$A141,"&lt;="&amp;$A142,$B$5:$B141,$B142)&gt;0,MIN(1-'Exercise list'!R$2,IF($A142=$A141,AX141,1))-AC142&lt;0),-1,MIN(1,IF($A142=$A141,AX141,1)-AC142+$D$2))</f>
        <v>-1</v>
      </c>
      <c r="AY142">
        <f>IF(OR($J142=1,COUNTIFS($A$5:$A141,"&gt;="&amp;$A142-1,$A$5:$A141,"&lt;="&amp;$A142,$B$5:$B141,$B142)&gt;0,MIN(1-'Exercise list'!S$2,IF($A142=$A141,AY141,1))-AD142&lt;0),-1,MIN(1,IF($A142=$A141,AY141,1)-AD142+$D$2))</f>
        <v>-1</v>
      </c>
      <c r="AZ142">
        <f>IF(OR($J142=1,COUNTIFS($A$5:$A141,"&gt;="&amp;$A142-1,$A$5:$A141,"&lt;="&amp;$A142,$B$5:$B141,$B142)&gt;0,MIN(1-'Exercise list'!T$2,IF($A142=$A141,AZ141,1))-AE142&lt;0),-1,MIN(1,IF($A142=$A141,AZ141,1)-AE142+$D$2))</f>
        <v>-1</v>
      </c>
      <c r="BA142">
        <f>IF(OR($J142=1,COUNTIFS($A$5:$A141,"&gt;="&amp;$A142-1,$A$5:$A141,"&lt;="&amp;$A142,$B$5:$B141,$B142)&gt;0,MIN(1-'Exercise list'!U$2,IF($A142=$A141,BA141,1))-AF142&lt;0),-1,MIN(1,IF($A142=$A141,BA141,1)-AF142+$D$2))</f>
        <v>-1</v>
      </c>
      <c r="BB142">
        <f>IF(OR($J142=1,COUNTIFS($A$5:$A141,"&gt;="&amp;$A142-1,$A$5:$A141,"&lt;="&amp;$A142,$B$5:$B141,$B142)&gt;0,MIN(1-'Exercise list'!V$2,IF($A142=$A141,BB141,1))-AG142&lt;0),-1,MIN(1,IF($A142=$A141,BB141,1)-AG142+$D$2))</f>
        <v>-1</v>
      </c>
      <c r="BC142">
        <f>IF(OR($J142=1,COUNTIFS($A$5:$A141,"&gt;="&amp;$A142-1,$A$5:$A141,"&lt;="&amp;$A142,$B$5:$B141,$B142)&gt;0,MIN(1-'Exercise list'!W$2,IF($A142=$A141,BC141,1))-AH142&lt;0),-1,MIN(1,IF($A142=$A141,BC141,1)-AH142+$D$2))</f>
        <v>-1</v>
      </c>
      <c r="BD142">
        <f>IF(OR($J142=1,COUNTIFS($A$5:$A141,"&gt;="&amp;$A142-1,$A$5:$A141,"&lt;="&amp;$A142,$B$5:$B141,$B142)&gt;0,MIN(1-'Exercise list'!X$2,IF($A142=$A141,BD141,1))-AI142&lt;0),-1,MIN(1,IF($A142=$A141,BD141,1)-AI142+$D$2))</f>
        <v>-1</v>
      </c>
      <c r="BF142" s="16">
        <f t="shared" si="100"/>
        <v>0.16468794800273526</v>
      </c>
      <c r="BG142" s="16">
        <f t="shared" si="101"/>
        <v>0.18601048132138273</v>
      </c>
      <c r="BH142" s="16">
        <f t="shared" si="102"/>
        <v>0.10689390788025704</v>
      </c>
      <c r="BI142" s="16">
        <f t="shared" si="103"/>
        <v>0.11573153723075204</v>
      </c>
      <c r="BJ142" s="16">
        <f t="shared" si="104"/>
        <v>0.10735323730788876</v>
      </c>
      <c r="BK142" s="16">
        <f t="shared" si="105"/>
        <v>0.16999402117730322</v>
      </c>
      <c r="BL142" s="16">
        <f t="shared" si="106"/>
        <v>0.25015822823473716</v>
      </c>
      <c r="BM142" s="16">
        <f t="shared" si="107"/>
        <v>8.8583608201366331E-3</v>
      </c>
      <c r="BN142" s="16">
        <f t="shared" si="108"/>
        <v>0.14425565623689271</v>
      </c>
      <c r="BO142" s="16">
        <f t="shared" si="109"/>
        <v>0.27366699525530969</v>
      </c>
      <c r="BP142" s="16">
        <f t="shared" si="110"/>
        <v>0.27019986094026655</v>
      </c>
      <c r="BQ142" s="16">
        <f t="shared" si="111"/>
        <v>0.16374219673991242</v>
      </c>
      <c r="BR142" s="16">
        <f t="shared" si="112"/>
        <v>0.18397380417571851</v>
      </c>
      <c r="BS142" s="16">
        <f t="shared" si="113"/>
        <v>2.8049011038881216E-2</v>
      </c>
      <c r="BT142" s="16">
        <f t="shared" si="114"/>
        <v>0.1186239093703335</v>
      </c>
      <c r="BU142" s="16">
        <f t="shared" si="115"/>
        <v>0.11418356708984458</v>
      </c>
      <c r="BV142" s="16">
        <f t="shared" si="116"/>
        <v>0.14664858537369932</v>
      </c>
      <c r="BW142" s="16">
        <f t="shared" si="117"/>
        <v>6.3360947770067066E-2</v>
      </c>
      <c r="BX142" s="16">
        <f t="shared" si="118"/>
        <v>5.9654418055842977E-2</v>
      </c>
      <c r="BY142" s="16">
        <f t="shared" si="119"/>
        <v>2.0249514792181136E-2</v>
      </c>
      <c r="CA142" s="16">
        <f t="shared" si="141"/>
        <v>3.5037695613127168E-2</v>
      </c>
      <c r="CB142" s="16">
        <f t="shared" si="122"/>
        <v>1.3715162294479694E-2</v>
      </c>
      <c r="CC142" s="16">
        <f t="shared" si="123"/>
        <v>0</v>
      </c>
      <c r="CD142" s="16">
        <f t="shared" si="124"/>
        <v>0</v>
      </c>
      <c r="CE142" s="16">
        <f t="shared" si="125"/>
        <v>0</v>
      </c>
      <c r="CF142" s="16">
        <f t="shared" si="126"/>
        <v>0.12959444424649041</v>
      </c>
      <c r="CG142" s="16">
        <f t="shared" si="127"/>
        <v>0</v>
      </c>
      <c r="CH142" s="16">
        <f t="shared" si="128"/>
        <v>9.1004460987794578E-2</v>
      </c>
      <c r="CI142" s="16">
        <f t="shared" si="129"/>
        <v>5.5469987378969715E-2</v>
      </c>
      <c r="CJ142" s="16">
        <f t="shared" si="130"/>
        <v>0</v>
      </c>
      <c r="CK142" s="16">
        <f t="shared" si="131"/>
        <v>0</v>
      </c>
      <c r="CL142" s="16">
        <f t="shared" si="132"/>
        <v>0</v>
      </c>
      <c r="CM142" s="16">
        <f t="shared" si="133"/>
        <v>1.5751839440143911E-2</v>
      </c>
      <c r="CN142" s="16">
        <f t="shared" si="134"/>
        <v>7.1813810769049996E-2</v>
      </c>
      <c r="CO142" s="16">
        <f t="shared" si="135"/>
        <v>0</v>
      </c>
      <c r="CP142" s="16">
        <f t="shared" si="136"/>
        <v>0</v>
      </c>
      <c r="CQ142" s="16">
        <f t="shared" si="137"/>
        <v>5.3077058242163105E-2</v>
      </c>
      <c r="CR142" s="16">
        <f t="shared" si="138"/>
        <v>3.6501874037864146E-2</v>
      </c>
      <c r="CS142" s="16">
        <f t="shared" si="139"/>
        <v>4.0208403752088236E-2</v>
      </c>
      <c r="CT142" s="16">
        <f t="shared" si="140"/>
        <v>7.9613307015750076E-2</v>
      </c>
    </row>
    <row r="143" spans="1:99" x14ac:dyDescent="0.25">
      <c r="A143" s="20">
        <v>45090</v>
      </c>
      <c r="B143" s="21">
        <v>5</v>
      </c>
      <c r="C143" s="22" t="str" cm="1">
        <f t="array" ref="C143">IF(B143="","",INDEX('Exercise list'!$C$5:$C$102,B143))</f>
        <v>Treadmill running</v>
      </c>
      <c r="D143" s="17">
        <f t="shared" si="97"/>
        <v>-1</v>
      </c>
      <c r="E143" s="108">
        <f t="shared" si="120"/>
        <v>-0.74786032357432131</v>
      </c>
      <c r="F143" s="65" cm="1">
        <f t="array" ref="F143">IF(B143="","",0.1+IFERROR(INDEX($F$6:$F142,SUMPRODUCT(MAX(ROW($C$6:$C142)*($C143=$C$6:$C142))-ROW($A$5)))*0.9^($A143-INDEX($A$6:A142,SUMPRODUCT(MAX(ROW($C$6:$C142)*($C143=$C$6:$C142))-ROW($A$5)))),0))</f>
        <v>0.23584298873875814</v>
      </c>
      <c r="G143" s="25">
        <f>INDEX('Exercise list'!$Y$5:$Y$102,MATCH(C143,'Exercise list'!$C$5:$C$102,0))</f>
        <v>3</v>
      </c>
      <c r="H143" s="116">
        <f t="shared" si="98"/>
        <v>4.8517572259344839E-2</v>
      </c>
      <c r="I143" s="18">
        <f t="shared" si="99"/>
        <v>5</v>
      </c>
      <c r="J143" s="18" cm="1">
        <f t="array" ref="J143">IF(B143="","",INDEX('Exercise list'!$D$5:$D$102,B143))</f>
        <v>0</v>
      </c>
      <c r="K143" s="17">
        <v>2</v>
      </c>
      <c r="L143" s="51" t="str" cm="1">
        <f t="array" ref="L143">IF(K143="","",INDEX('Exercise list'!$C$5:$C$102,K143))</f>
        <v>Lateral elliptical machine</v>
      </c>
      <c r="M143" s="18">
        <v>1</v>
      </c>
      <c r="N143" s="76" t="str" cm="1">
        <f t="array" ref="N143">IF(M143="","",INDEX('Exercise list'!$C$5:$C$102,M143))</f>
        <v>Cycling machine</v>
      </c>
      <c r="O143" s="19"/>
      <c r="P143" s="19">
        <f>IFERROR(INDEX('Exercise list'!$E$5:$X$102,MATCH($C143,'Exercise list'!$C$5:$C$102,0),MATCH(P$5,'Exercise list'!$E$4:$X$4,0)),0)</f>
        <v>0</v>
      </c>
      <c r="Q143" s="19">
        <f>IFERROR(INDEX('Exercise list'!$E$5:$X$102,MATCH($C143,'Exercise list'!$C$5:$C$102,0),MATCH(Q$5,'Exercise list'!$E$4:$X$4,0)),0)</f>
        <v>0</v>
      </c>
      <c r="R143" s="19">
        <f>IFERROR(INDEX('Exercise list'!$E$5:$X$102,MATCH($C143,'Exercise list'!$C$5:$C$102,0),MATCH(R$5,'Exercise list'!$E$4:$X$4,0)),0)</f>
        <v>0</v>
      </c>
      <c r="S143" s="19">
        <f>IFERROR(INDEX('Exercise list'!$E$5:$X$102,MATCH($C143,'Exercise list'!$C$5:$C$102,0),MATCH(S$5,'Exercise list'!$E$4:$X$4,0)),0)</f>
        <v>0</v>
      </c>
      <c r="T143" s="19">
        <f>IFERROR(INDEX('Exercise list'!$E$5:$X$102,MATCH($C143,'Exercise list'!$C$5:$C$102,0),MATCH(T$5,'Exercise list'!$E$4:$X$4,0)),0)</f>
        <v>0</v>
      </c>
      <c r="U143" s="19">
        <f>IFERROR(INDEX('Exercise list'!$E$5:$X$102,MATCH($C143,'Exercise list'!$C$5:$C$102,0),MATCH(U$5,'Exercise list'!$E$4:$X$4,0)),0)</f>
        <v>0</v>
      </c>
      <c r="V143" s="19">
        <f>IFERROR(INDEX('Exercise list'!$E$5:$X$102,MATCH($C143,'Exercise list'!$C$5:$C$102,0),MATCH(V$5,'Exercise list'!$E$4:$X$4,0)),0)</f>
        <v>0</v>
      </c>
      <c r="W143" s="19">
        <f>IFERROR(INDEX('Exercise list'!$E$5:$X$102,MATCH($C143,'Exercise list'!$C$5:$C$102,0),MATCH(W$5,'Exercise list'!$E$4:$X$4,0)),0)</f>
        <v>0</v>
      </c>
      <c r="X143" s="19">
        <f>IFERROR(INDEX('Exercise list'!$E$5:$X$102,MATCH($C143,'Exercise list'!$C$5:$C$102,0),MATCH(X$5,'Exercise list'!$E$4:$X$4,0)),0)</f>
        <v>0</v>
      </c>
      <c r="Y143" s="19">
        <f>IFERROR(INDEX('Exercise list'!$E$5:$X$102,MATCH($C143,'Exercise list'!$C$5:$C$102,0),MATCH(Y$5,'Exercise list'!$E$4:$X$4,0)),0)</f>
        <v>0</v>
      </c>
      <c r="Z143" s="19">
        <f>IFERROR(INDEX('Exercise list'!$E$5:$X$102,MATCH($C143,'Exercise list'!$C$5:$C$102,0),MATCH(Z$5,'Exercise list'!$E$4:$X$4,0)),0)</f>
        <v>0</v>
      </c>
      <c r="AA143" s="19">
        <f>IFERROR(INDEX('Exercise list'!$E$5:$X$102,MATCH($C143,'Exercise list'!$C$5:$C$102,0),MATCH(AA$5,'Exercise list'!$E$4:$X$4,0)),0)</f>
        <v>0</v>
      </c>
      <c r="AB143" s="19">
        <f>IFERROR(INDEX('Exercise list'!$E$5:$X$102,MATCH($C143,'Exercise list'!$C$5:$C$102,0),MATCH(AB$5,'Exercise list'!$E$4:$X$4,0)),0)</f>
        <v>0</v>
      </c>
      <c r="AC143" s="19">
        <f>IFERROR(INDEX('Exercise list'!$E$5:$X$102,MATCH($C143,'Exercise list'!$C$5:$C$102,0),MATCH(AC$5,'Exercise list'!$E$4:$X$4,0)),0)</f>
        <v>0</v>
      </c>
      <c r="AD143" s="19">
        <f>IFERROR(INDEX('Exercise list'!$E$5:$X$102,MATCH($C143,'Exercise list'!$C$5:$C$102,0),MATCH(AD$5,'Exercise list'!$E$4:$X$4,0)),0)</f>
        <v>1</v>
      </c>
      <c r="AE143" s="19">
        <f>IFERROR(INDEX('Exercise list'!$E$5:$X$102,MATCH($C143,'Exercise list'!$C$5:$C$102,0),MATCH(AE$5,'Exercise list'!$E$4:$X$4,0)),0)</f>
        <v>0.7</v>
      </c>
      <c r="AF143" s="19">
        <f>IFERROR(INDEX('Exercise list'!$E$5:$X$102,MATCH($C143,'Exercise list'!$C$5:$C$102,0),MATCH(AF$5,'Exercise list'!$E$4:$X$4,0)),0)</f>
        <v>0.7</v>
      </c>
      <c r="AG143" s="19">
        <f>IFERROR(INDEX('Exercise list'!$E$5:$X$102,MATCH($C143,'Exercise list'!$C$5:$C$102,0),MATCH(AG$5,'Exercise list'!$E$4:$X$4,0)),0)</f>
        <v>1</v>
      </c>
      <c r="AH143" s="19">
        <f>IFERROR(INDEX('Exercise list'!$E$5:$X$102,MATCH($C143,'Exercise list'!$C$5:$C$102,0),MATCH(AH$5,'Exercise list'!$E$4:$X$4,0)),0)</f>
        <v>0</v>
      </c>
      <c r="AI143" s="19">
        <f>IFERROR(INDEX('Exercise list'!$E$5:$X$102,MATCH($C143,'Exercise list'!$C$5:$C$102,0),MATCH(AI$5,'Exercise list'!$E$4:$X$4,0)),0)</f>
        <v>0</v>
      </c>
      <c r="AJ143" s="19"/>
      <c r="AK143" s="19">
        <f>IF(OR($J143=1,COUNTIFS($A$5:$A142,"&gt;="&amp;$A143-1,$A$5:$A142,"&lt;="&amp;$A143,$B$5:$B142,$B143)&gt;0,MIN(1-'Exercise list'!E$2,IF($A143=$A142,AK142,1))-P143&lt;0),-1,MIN(1,IF($A143=$A142,AK142,1)-P143+$D$2))</f>
        <v>-1</v>
      </c>
      <c r="AL143" s="19">
        <f>IF(OR($J143=1,COUNTIFS($A$5:$A142,"&gt;="&amp;$A143-1,$A$5:$A142,"&lt;="&amp;$A143,$B$5:$B142,$B143)&gt;0,MIN(1-'Exercise list'!F$2,IF($A143=$A142,AL142,1))-Q143&lt;0),-1,MIN(1,IF($A143=$A142,AL142,1)-Q143+$D$2))</f>
        <v>-1</v>
      </c>
      <c r="AM143" s="19">
        <f>IF(OR($J143=1,COUNTIFS($A$5:$A142,"&gt;="&amp;$A143-1,$A$5:$A142,"&lt;="&amp;$A143,$B$5:$B142,$B143)&gt;0,MIN(1-'Exercise list'!G$2,IF($A143=$A142,AM142,1))-R143&lt;0),-1,MIN(1,IF($A143=$A142,AM142,1)-R143+$D$2))</f>
        <v>-1</v>
      </c>
      <c r="AN143" s="19">
        <f>IF(OR($J143=1,COUNTIFS($A$5:$A142,"&gt;="&amp;$A143-1,$A$5:$A142,"&lt;="&amp;$A143,$B$5:$B142,$B143)&gt;0,MIN(1-'Exercise list'!H$2,IF($A143=$A142,AN142,1))-S143&lt;0),-1,MIN(1,IF($A143=$A142,AN142,1)-S143+$D$2))</f>
        <v>-1</v>
      </c>
      <c r="AO143" s="19">
        <f>IF(OR($J143=1,COUNTIFS($A$5:$A142,"&gt;="&amp;$A143-1,$A$5:$A142,"&lt;="&amp;$A143,$B$5:$B142,$B143)&gt;0,MIN(1-'Exercise list'!I$2,IF($A143=$A142,AO142,1))-T143&lt;0),-1,MIN(1,IF($A143=$A142,AO142,1)-T143+$D$2))</f>
        <v>-1</v>
      </c>
      <c r="AP143" s="19">
        <f>IF(OR($J143=1,COUNTIFS($A$5:$A142,"&gt;="&amp;$A143-1,$A$5:$A142,"&lt;="&amp;$A143,$B$5:$B142,$B143)&gt;0,MIN(1-'Exercise list'!J$2,IF($A143=$A142,AP142,1))-U143&lt;0),-1,MIN(1,IF($A143=$A142,AP142,1)-U143+$D$2))</f>
        <v>-1</v>
      </c>
      <c r="AQ143" s="19">
        <f>IF(OR($J143=1,COUNTIFS($A$5:$A142,"&gt;="&amp;$A143-1,$A$5:$A142,"&lt;="&amp;$A143,$B$5:$B142,$B143)&gt;0,MIN(1-'Exercise list'!K$2,IF($A143=$A142,AQ142,1))-V143&lt;0),-1,MIN(1,IF($A143=$A142,AQ142,1)-V143+$D$2))</f>
        <v>-1</v>
      </c>
      <c r="AR143" s="19">
        <f>IF(OR($J143=1,COUNTIFS($A$5:$A142,"&gt;="&amp;$A143-1,$A$5:$A142,"&lt;="&amp;$A143,$B$5:$B142,$B143)&gt;0,MIN(1-'Exercise list'!L$2,IF($A143=$A142,AR142,1))-W143&lt;0),-1,MIN(1,IF($A143=$A142,AR142,1)-W143+$D$2))</f>
        <v>-1</v>
      </c>
      <c r="AS143" s="19">
        <f>IF(OR($J143=1,COUNTIFS($A$5:$A142,"&gt;="&amp;$A143-1,$A$5:$A142,"&lt;="&amp;$A143,$B$5:$B142,$B143)&gt;0,MIN(1-'Exercise list'!M$2,IF($A143=$A142,AS142,1))-X143&lt;0),-1,MIN(1,IF($A143=$A142,AS142,1)-X143+$D$2))</f>
        <v>-1</v>
      </c>
      <c r="AT143" s="19">
        <f>IF(OR($J143=1,COUNTIFS($A$5:$A142,"&gt;="&amp;$A143-1,$A$5:$A142,"&lt;="&amp;$A143,$B$5:$B142,$B143)&gt;0,MIN(1-'Exercise list'!N$2,IF($A143=$A142,AT142,1))-Y143&lt;0),-1,MIN(1,IF($A143=$A142,AT142,1)-Y143+$D$2))</f>
        <v>-1</v>
      </c>
      <c r="AU143" s="19">
        <f>IF(OR($J143=1,COUNTIFS($A$5:$A142,"&gt;="&amp;$A143-1,$A$5:$A142,"&lt;="&amp;$A143,$B$5:$B142,$B143)&gt;0,MIN(1-'Exercise list'!O$2,IF($A143=$A142,AU142,1))-Z143&lt;0),-1,MIN(1,IF($A143=$A142,AU142,1)-Z143+$D$2))</f>
        <v>-1</v>
      </c>
      <c r="AV143" s="19">
        <f>IF(OR($J143=1,COUNTIFS($A$5:$A142,"&gt;="&amp;$A143-1,$A$5:$A142,"&lt;="&amp;$A143,$B$5:$B142,$B143)&gt;0,MIN(1-'Exercise list'!P$2,IF($A143=$A142,AV142,1))-AA143&lt;0),-1,MIN(1,IF($A143=$A142,AV142,1)-AA143+$D$2))</f>
        <v>-1</v>
      </c>
      <c r="AW143" s="19">
        <f>IF(OR($J143=1,COUNTIFS($A$5:$A142,"&gt;="&amp;$A143-1,$A$5:$A142,"&lt;="&amp;$A143,$B$5:$B142,$B143)&gt;0,MIN(1-'Exercise list'!Q$2,IF($A143=$A142,AW142,1))-AB143&lt;0),-1,MIN(1,IF($A143=$A142,AW142,1)-AB143+$D$2))</f>
        <v>-1</v>
      </c>
      <c r="AX143" s="19">
        <f>IF(OR($J143=1,COUNTIFS($A$5:$A142,"&gt;="&amp;$A143-1,$A$5:$A142,"&lt;="&amp;$A143,$B$5:$B142,$B143)&gt;0,MIN(1-'Exercise list'!R$2,IF($A143=$A142,AX142,1))-AC143&lt;0),-1,MIN(1,IF($A143=$A142,AX142,1)-AC143+$D$2))</f>
        <v>-1</v>
      </c>
      <c r="AY143" s="19">
        <f>IF(OR($J143=1,COUNTIFS($A$5:$A142,"&gt;="&amp;$A143-1,$A$5:$A142,"&lt;="&amp;$A143,$B$5:$B142,$B143)&gt;0,MIN(1-'Exercise list'!S$2,IF($A143=$A142,AY142,1))-AD143&lt;0),-1,MIN(1,IF($A143=$A142,AY142,1)-AD143+$D$2))</f>
        <v>-1</v>
      </c>
      <c r="AZ143" s="19">
        <f>IF(OR($J143=1,COUNTIFS($A$5:$A142,"&gt;="&amp;$A143-1,$A$5:$A142,"&lt;="&amp;$A143,$B$5:$B142,$B143)&gt;0,MIN(1-'Exercise list'!T$2,IF($A143=$A142,AZ142,1))-AE143&lt;0),-1,MIN(1,IF($A143=$A142,AZ142,1)-AE143+$D$2))</f>
        <v>-1</v>
      </c>
      <c r="BA143" s="19">
        <f>IF(OR($J143=1,COUNTIFS($A$5:$A142,"&gt;="&amp;$A143-1,$A$5:$A142,"&lt;="&amp;$A143,$B$5:$B142,$B143)&gt;0,MIN(1-'Exercise list'!U$2,IF($A143=$A142,BA142,1))-AF143&lt;0),-1,MIN(1,IF($A143=$A142,BA142,1)-AF143+$D$2))</f>
        <v>-1</v>
      </c>
      <c r="BB143" s="19">
        <f>IF(OR($J143=1,COUNTIFS($A$5:$A142,"&gt;="&amp;$A143-1,$A$5:$A142,"&lt;="&amp;$A143,$B$5:$B142,$B143)&gt;0,MIN(1-'Exercise list'!V$2,IF($A143=$A142,BB142,1))-AG143&lt;0),-1,MIN(1,IF($A143=$A142,BB142,1)-AG143+$D$2))</f>
        <v>-1</v>
      </c>
      <c r="BC143" s="19">
        <f>IF(OR($J143=1,COUNTIFS($A$5:$A142,"&gt;="&amp;$A143-1,$A$5:$A142,"&lt;="&amp;$A143,$B$5:$B142,$B143)&gt;0,MIN(1-'Exercise list'!W$2,IF($A143=$A142,BC142,1))-AH143&lt;0),-1,MIN(1,IF($A143=$A142,BC142,1)-AH143+$D$2))</f>
        <v>-1</v>
      </c>
      <c r="BD143" s="19">
        <f>IF(OR($J143=1,COUNTIFS($A$5:$A142,"&gt;="&amp;$A143-1,$A$5:$A142,"&lt;="&amp;$A143,$B$5:$B142,$B143)&gt;0,MIN(1-'Exercise list'!X$2,IF($A143=$A142,BD142,1))-AI143&lt;0),-1,MIN(1,IF($A143=$A142,BD142,1)-AI143+$D$2))</f>
        <v>-1</v>
      </c>
      <c r="BE143" s="19"/>
      <c r="BF143" s="23">
        <f t="shared" si="100"/>
        <v>0.16468794800273526</v>
      </c>
      <c r="BG143" s="23">
        <f t="shared" si="101"/>
        <v>0.18601048132138273</v>
      </c>
      <c r="BH143" s="23">
        <f t="shared" si="102"/>
        <v>0.10689390788025704</v>
      </c>
      <c r="BI143" s="23">
        <f t="shared" si="103"/>
        <v>0.11573153723075204</v>
      </c>
      <c r="BJ143" s="23">
        <f t="shared" si="104"/>
        <v>0.10735323730788876</v>
      </c>
      <c r="BK143" s="23">
        <f t="shared" si="105"/>
        <v>0.16999402117730322</v>
      </c>
      <c r="BL143" s="23">
        <f t="shared" si="106"/>
        <v>0.25015822823473716</v>
      </c>
      <c r="BM143" s="23">
        <f t="shared" si="107"/>
        <v>8.8583608201366331E-3</v>
      </c>
      <c r="BN143" s="23">
        <f t="shared" si="108"/>
        <v>0.14425565623689271</v>
      </c>
      <c r="BO143" s="23">
        <f t="shared" si="109"/>
        <v>0.27366699525530969</v>
      </c>
      <c r="BP143" s="23">
        <f t="shared" si="110"/>
        <v>0.27019986094026655</v>
      </c>
      <c r="BQ143" s="23">
        <f t="shared" si="111"/>
        <v>0.16374219673991242</v>
      </c>
      <c r="BR143" s="23">
        <f t="shared" si="112"/>
        <v>0.18397380417571851</v>
      </c>
      <c r="BS143" s="23">
        <f t="shared" si="113"/>
        <v>2.8049011038881216E-2</v>
      </c>
      <c r="BT143" s="23">
        <f t="shared" si="114"/>
        <v>0.1186239093703335</v>
      </c>
      <c r="BU143" s="23">
        <f t="shared" si="115"/>
        <v>0.11418356708984458</v>
      </c>
      <c r="BV143" s="23">
        <f t="shared" si="116"/>
        <v>0.14664858537369932</v>
      </c>
      <c r="BW143" s="23">
        <f t="shared" si="117"/>
        <v>6.3360947770067066E-2</v>
      </c>
      <c r="BX143" s="23">
        <f t="shared" si="118"/>
        <v>5.9654418055842977E-2</v>
      </c>
      <c r="BY143" s="23">
        <f t="shared" si="119"/>
        <v>2.0249514792181136E-2</v>
      </c>
      <c r="BZ143" s="19"/>
      <c r="CA143" s="23">
        <f t="shared" si="141"/>
        <v>3.5037695613127168E-2</v>
      </c>
      <c r="CB143" s="23">
        <f t="shared" si="122"/>
        <v>1.3715162294479694E-2</v>
      </c>
      <c r="CC143" s="23">
        <f t="shared" si="123"/>
        <v>0</v>
      </c>
      <c r="CD143" s="23">
        <f t="shared" si="124"/>
        <v>0</v>
      </c>
      <c r="CE143" s="23">
        <f t="shared" si="125"/>
        <v>0</v>
      </c>
      <c r="CF143" s="23">
        <f t="shared" si="126"/>
        <v>0.12959444424649041</v>
      </c>
      <c r="CG143" s="23">
        <f t="shared" si="127"/>
        <v>0</v>
      </c>
      <c r="CH143" s="23">
        <f t="shared" si="128"/>
        <v>9.1004460987794578E-2</v>
      </c>
      <c r="CI143" s="23">
        <f t="shared" si="129"/>
        <v>5.5469987378969715E-2</v>
      </c>
      <c r="CJ143" s="23">
        <f t="shared" si="130"/>
        <v>0</v>
      </c>
      <c r="CK143" s="23">
        <f t="shared" si="131"/>
        <v>0</v>
      </c>
      <c r="CL143" s="23">
        <f t="shared" si="132"/>
        <v>0</v>
      </c>
      <c r="CM143" s="23">
        <f t="shared" si="133"/>
        <v>1.5751839440143911E-2</v>
      </c>
      <c r="CN143" s="23">
        <f t="shared" si="134"/>
        <v>7.1813810769049996E-2</v>
      </c>
      <c r="CO143" s="23">
        <f t="shared" si="135"/>
        <v>0</v>
      </c>
      <c r="CP143" s="23">
        <f t="shared" si="136"/>
        <v>0</v>
      </c>
      <c r="CQ143" s="23">
        <f t="shared" si="137"/>
        <v>5.3077058242163105E-2</v>
      </c>
      <c r="CR143" s="23">
        <f t="shared" si="138"/>
        <v>3.6501874037864146E-2</v>
      </c>
      <c r="CS143" s="23">
        <f t="shared" si="139"/>
        <v>4.0208403752088236E-2</v>
      </c>
      <c r="CT143" s="23">
        <f t="shared" si="140"/>
        <v>7.9613307015750076E-2</v>
      </c>
      <c r="CU143" s="19"/>
    </row>
    <row r="144" spans="1:99" x14ac:dyDescent="0.25">
      <c r="A144" s="13">
        <v>45091</v>
      </c>
      <c r="B144" s="14">
        <v>44</v>
      </c>
      <c r="C144" s="15" t="str" cm="1">
        <f t="array" ref="C144">IF(B144="","",INDEX('Exercise list'!$C$5:$C$102,B144))</f>
        <v>Leg presses</v>
      </c>
      <c r="D144" s="12">
        <f t="shared" si="97"/>
        <v>1</v>
      </c>
      <c r="E144" s="107">
        <f t="shared" si="120"/>
        <v>0</v>
      </c>
      <c r="F144" s="63" cm="1">
        <f t="array" ref="F144">IF(B144="","",0.1+IFERROR(INDEX($F$6:$F143,SUMPRODUCT(MAX(ROW($C$6:$C143)*($C144=$C$6:$C143))-ROW($A$5)))*0.9^($A144-INDEX($A$6:A143,SUMPRODUCT(MAX(ROW($C$6:$C143)*($C144=$C$6:$C143))-ROW($A$5)))),0))</f>
        <v>0.14889242178570949</v>
      </c>
      <c r="G144" s="64">
        <f>INDEX('Exercise list'!$Y$5:$Y$102,MATCH(C144,'Exercise list'!$C$5:$C$102,0))</f>
        <v>2</v>
      </c>
      <c r="H144" s="115">
        <f t="shared" si="98"/>
        <v>5.0201536638636038E-2</v>
      </c>
      <c r="I144" s="42">
        <f t="shared" si="99"/>
        <v>1</v>
      </c>
      <c r="J144" s="6" cm="1">
        <f t="array" ref="J144">IF(B144="","",INDEX('Exercise list'!$D$5:$D$102,B144))</f>
        <v>0</v>
      </c>
      <c r="K144" s="12">
        <v>59</v>
      </c>
      <c r="L144" s="74" t="str" cm="1">
        <f t="array" ref="L144">IF(K144="","",INDEX('Exercise list'!$C$5:$C$102,K144))</f>
        <v>Triceps dips</v>
      </c>
      <c r="M144" s="6">
        <v>41</v>
      </c>
      <c r="N144" s="75" t="str" cm="1">
        <f t="array" ref="N144">IF(M144="","",INDEX('Exercise list'!$C$5:$C$102,M144))</f>
        <v>Dumbbell walking lunges</v>
      </c>
      <c r="P144">
        <f>IFERROR(INDEX('Exercise list'!$E$5:$X$102,MATCH($C144,'Exercise list'!$C$5:$C$102,0),MATCH(P$5,'Exercise list'!$E$4:$X$4,0)),0)</f>
        <v>0</v>
      </c>
      <c r="Q144">
        <f>IFERROR(INDEX('Exercise list'!$E$5:$X$102,MATCH($C144,'Exercise list'!$C$5:$C$102,0),MATCH(Q$5,'Exercise list'!$E$4:$X$4,0)),0)</f>
        <v>0</v>
      </c>
      <c r="R144">
        <f>IFERROR(INDEX('Exercise list'!$E$5:$X$102,MATCH($C144,'Exercise list'!$C$5:$C$102,0),MATCH(R$5,'Exercise list'!$E$4:$X$4,0)),0)</f>
        <v>0</v>
      </c>
      <c r="S144">
        <f>IFERROR(INDEX('Exercise list'!$E$5:$X$102,MATCH($C144,'Exercise list'!$C$5:$C$102,0),MATCH(S$5,'Exercise list'!$E$4:$X$4,0)),0)</f>
        <v>0</v>
      </c>
      <c r="T144">
        <f>IFERROR(INDEX('Exercise list'!$E$5:$X$102,MATCH($C144,'Exercise list'!$C$5:$C$102,0),MATCH(T$5,'Exercise list'!$E$4:$X$4,0)),0)</f>
        <v>0</v>
      </c>
      <c r="U144">
        <f>IFERROR(INDEX('Exercise list'!$E$5:$X$102,MATCH($C144,'Exercise list'!$C$5:$C$102,0),MATCH(U$5,'Exercise list'!$E$4:$X$4,0)),0)</f>
        <v>0</v>
      </c>
      <c r="V144">
        <f>IFERROR(INDEX('Exercise list'!$E$5:$X$102,MATCH($C144,'Exercise list'!$C$5:$C$102,0),MATCH(V$5,'Exercise list'!$E$4:$X$4,0)),0)</f>
        <v>0</v>
      </c>
      <c r="W144">
        <f>IFERROR(INDEX('Exercise list'!$E$5:$X$102,MATCH($C144,'Exercise list'!$C$5:$C$102,0),MATCH(W$5,'Exercise list'!$E$4:$X$4,0)),0)</f>
        <v>0</v>
      </c>
      <c r="X144">
        <f>IFERROR(INDEX('Exercise list'!$E$5:$X$102,MATCH($C144,'Exercise list'!$C$5:$C$102,0),MATCH(X$5,'Exercise list'!$E$4:$X$4,0)),0)</f>
        <v>0</v>
      </c>
      <c r="Y144">
        <f>IFERROR(INDEX('Exercise list'!$E$5:$X$102,MATCH($C144,'Exercise list'!$C$5:$C$102,0),MATCH(Y$5,'Exercise list'!$E$4:$X$4,0)),0)</f>
        <v>0</v>
      </c>
      <c r="Z144">
        <f>IFERROR(INDEX('Exercise list'!$E$5:$X$102,MATCH($C144,'Exercise list'!$C$5:$C$102,0),MATCH(Z$5,'Exercise list'!$E$4:$X$4,0)),0)</f>
        <v>0</v>
      </c>
      <c r="AA144">
        <f>IFERROR(INDEX('Exercise list'!$E$5:$X$102,MATCH($C144,'Exercise list'!$C$5:$C$102,0),MATCH(AA$5,'Exercise list'!$E$4:$X$4,0)),0)</f>
        <v>0</v>
      </c>
      <c r="AB144">
        <f>IFERROR(INDEX('Exercise list'!$E$5:$X$102,MATCH($C144,'Exercise list'!$C$5:$C$102,0),MATCH(AB$5,'Exercise list'!$E$4:$X$4,0)),0)</f>
        <v>0</v>
      </c>
      <c r="AC144">
        <f>IFERROR(INDEX('Exercise list'!$E$5:$X$102,MATCH($C144,'Exercise list'!$C$5:$C$102,0),MATCH(AC$5,'Exercise list'!$E$4:$X$4,0)),0)</f>
        <v>0</v>
      </c>
      <c r="AD144">
        <f>IFERROR(INDEX('Exercise list'!$E$5:$X$102,MATCH($C144,'Exercise list'!$C$5:$C$102,0),MATCH(AD$5,'Exercise list'!$E$4:$X$4,0)),0)</f>
        <v>0.9</v>
      </c>
      <c r="AE144">
        <f>IFERROR(INDEX('Exercise list'!$E$5:$X$102,MATCH($C144,'Exercise list'!$C$5:$C$102,0),MATCH(AE$5,'Exercise list'!$E$4:$X$4,0)),0)</f>
        <v>0.7</v>
      </c>
      <c r="AF144">
        <f>IFERROR(INDEX('Exercise list'!$E$5:$X$102,MATCH($C144,'Exercise list'!$C$5:$C$102,0),MATCH(AF$5,'Exercise list'!$E$4:$X$4,0)),0)</f>
        <v>0.9</v>
      </c>
      <c r="AG144">
        <f>IFERROR(INDEX('Exercise list'!$E$5:$X$102,MATCH($C144,'Exercise list'!$C$5:$C$102,0),MATCH(AG$5,'Exercise list'!$E$4:$X$4,0)),0)</f>
        <v>0.5</v>
      </c>
      <c r="AH144">
        <f>IFERROR(INDEX('Exercise list'!$E$5:$X$102,MATCH($C144,'Exercise list'!$C$5:$C$102,0),MATCH(AH$5,'Exercise list'!$E$4:$X$4,0)),0)</f>
        <v>0.6</v>
      </c>
      <c r="AI144">
        <f>IFERROR(INDEX('Exercise list'!$E$5:$X$102,MATCH($C144,'Exercise list'!$C$5:$C$102,0),MATCH(AI$5,'Exercise list'!$E$4:$X$4,0)),0)</f>
        <v>0</v>
      </c>
      <c r="AK144">
        <f>IF(OR($J144=1,COUNTIFS($A$5:$A143,"&gt;="&amp;$A144-1,$A$5:$A143,"&lt;="&amp;$A144,$B$5:$B143,$B144)&gt;0,MIN(1-'Exercise list'!E$2,IF($A144=$A143,AK143,1))-P144&lt;0),-1,MIN(1,IF($A144=$A143,AK143,1)-P144+$D$2))</f>
        <v>1</v>
      </c>
      <c r="AL144">
        <f>IF(OR($J144=1,COUNTIFS($A$5:$A143,"&gt;="&amp;$A144-1,$A$5:$A143,"&lt;="&amp;$A144,$B$5:$B143,$B144)&gt;0,MIN(1-'Exercise list'!F$2,IF($A144=$A143,AL143,1))-Q144&lt;0),-1,MIN(1,IF($A144=$A143,AL143,1)-Q144+$D$2))</f>
        <v>1</v>
      </c>
      <c r="AM144">
        <f>IF(OR($J144=1,COUNTIFS($A$5:$A143,"&gt;="&amp;$A144-1,$A$5:$A143,"&lt;="&amp;$A144,$B$5:$B143,$B144)&gt;0,MIN(1-'Exercise list'!G$2,IF($A144=$A143,AM143,1))-R144&lt;0),-1,MIN(1,IF($A144=$A143,AM143,1)-R144+$D$2))</f>
        <v>1</v>
      </c>
      <c r="AN144">
        <f>IF(OR($J144=1,COUNTIFS($A$5:$A143,"&gt;="&amp;$A144-1,$A$5:$A143,"&lt;="&amp;$A144,$B$5:$B143,$B144)&gt;0,MIN(1-'Exercise list'!H$2,IF($A144=$A143,AN143,1))-S144&lt;0),-1,MIN(1,IF($A144=$A143,AN143,1)-S144+$D$2))</f>
        <v>1</v>
      </c>
      <c r="AO144">
        <f>IF(OR($J144=1,COUNTIFS($A$5:$A143,"&gt;="&amp;$A144-1,$A$5:$A143,"&lt;="&amp;$A144,$B$5:$B143,$B144)&gt;0,MIN(1-'Exercise list'!I$2,IF($A144=$A143,AO143,1))-T144&lt;0),-1,MIN(1,IF($A144=$A143,AO143,1)-T144+$D$2))</f>
        <v>1</v>
      </c>
      <c r="AP144">
        <f>IF(OR($J144=1,COUNTIFS($A$5:$A143,"&gt;="&amp;$A144-1,$A$5:$A143,"&lt;="&amp;$A144,$B$5:$B143,$B144)&gt;0,MIN(1-'Exercise list'!J$2,IF($A144=$A143,AP143,1))-U144&lt;0),-1,MIN(1,IF($A144=$A143,AP143,1)-U144+$D$2))</f>
        <v>1</v>
      </c>
      <c r="AQ144">
        <f>IF(OR($J144=1,COUNTIFS($A$5:$A143,"&gt;="&amp;$A144-1,$A$5:$A143,"&lt;="&amp;$A144,$B$5:$B143,$B144)&gt;0,MIN(1-'Exercise list'!K$2,IF($A144=$A143,AQ143,1))-V144&lt;0),-1,MIN(1,IF($A144=$A143,AQ143,1)-V144+$D$2))</f>
        <v>1</v>
      </c>
      <c r="AR144">
        <f>IF(OR($J144=1,COUNTIFS($A$5:$A143,"&gt;="&amp;$A144-1,$A$5:$A143,"&lt;="&amp;$A144,$B$5:$B143,$B144)&gt;0,MIN(1-'Exercise list'!L$2,IF($A144=$A143,AR143,1))-W144&lt;0),-1,MIN(1,IF($A144=$A143,AR143,1)-W144+$D$2))</f>
        <v>1</v>
      </c>
      <c r="AS144">
        <f>IF(OR($J144=1,COUNTIFS($A$5:$A143,"&gt;="&amp;$A144-1,$A$5:$A143,"&lt;="&amp;$A144,$B$5:$B143,$B144)&gt;0,MIN(1-'Exercise list'!M$2,IF($A144=$A143,AS143,1))-X144&lt;0),-1,MIN(1,IF($A144=$A143,AS143,1)-X144+$D$2))</f>
        <v>1</v>
      </c>
      <c r="AT144">
        <f>IF(OR($J144=1,COUNTIFS($A$5:$A143,"&gt;="&amp;$A144-1,$A$5:$A143,"&lt;="&amp;$A144,$B$5:$B143,$B144)&gt;0,MIN(1-'Exercise list'!N$2,IF($A144=$A143,AT143,1))-Y144&lt;0),-1,MIN(1,IF($A144=$A143,AT143,1)-Y144+$D$2))</f>
        <v>1</v>
      </c>
      <c r="AU144">
        <f>IF(OR($J144=1,COUNTIFS($A$5:$A143,"&gt;="&amp;$A144-1,$A$5:$A143,"&lt;="&amp;$A144,$B$5:$B143,$B144)&gt;0,MIN(1-'Exercise list'!O$2,IF($A144=$A143,AU143,1))-Z144&lt;0),-1,MIN(1,IF($A144=$A143,AU143,1)-Z144+$D$2))</f>
        <v>1</v>
      </c>
      <c r="AV144">
        <f>IF(OR($J144=1,COUNTIFS($A$5:$A143,"&gt;="&amp;$A144-1,$A$5:$A143,"&lt;="&amp;$A144,$B$5:$B143,$B144)&gt;0,MIN(1-'Exercise list'!P$2,IF($A144=$A143,AV143,1))-AA144&lt;0),-1,MIN(1,IF($A144=$A143,AV143,1)-AA144+$D$2))</f>
        <v>1</v>
      </c>
      <c r="AW144">
        <f>IF(OR($J144=1,COUNTIFS($A$5:$A143,"&gt;="&amp;$A144-1,$A$5:$A143,"&lt;="&amp;$A144,$B$5:$B143,$B144)&gt;0,MIN(1-'Exercise list'!Q$2,IF($A144=$A143,AW143,1))-AB144&lt;0),-1,MIN(1,IF($A144=$A143,AW143,1)-AB144+$D$2))</f>
        <v>1</v>
      </c>
      <c r="AX144">
        <f>IF(OR($J144=1,COUNTIFS($A$5:$A143,"&gt;="&amp;$A144-1,$A$5:$A143,"&lt;="&amp;$A144,$B$5:$B143,$B144)&gt;0,MIN(1-'Exercise list'!R$2,IF($A144=$A143,AX143,1))-AC144&lt;0),-1,MIN(1,IF($A144=$A143,AX143,1)-AC144+$D$2))</f>
        <v>1</v>
      </c>
      <c r="AY144">
        <f>IF(OR($J144=1,COUNTIFS($A$5:$A143,"&gt;="&amp;$A144-1,$A$5:$A143,"&lt;="&amp;$A144,$B$5:$B143,$B144)&gt;0,MIN(1-'Exercise list'!S$2,IF($A144=$A143,AY143,1))-AD144&lt;0),-1,MIN(1,IF($A144=$A143,AY143,1)-AD144+$D$2))</f>
        <v>1</v>
      </c>
      <c r="AZ144">
        <f>IF(OR($J144=1,COUNTIFS($A$5:$A143,"&gt;="&amp;$A144-1,$A$5:$A143,"&lt;="&amp;$A144,$B$5:$B143,$B144)&gt;0,MIN(1-'Exercise list'!T$2,IF($A144=$A143,AZ143,1))-AE144&lt;0),-1,MIN(1,IF($A144=$A143,AZ143,1)-AE144+$D$2))</f>
        <v>1</v>
      </c>
      <c r="BA144">
        <f>IF(OR($J144=1,COUNTIFS($A$5:$A143,"&gt;="&amp;$A144-1,$A$5:$A143,"&lt;="&amp;$A144,$B$5:$B143,$B144)&gt;0,MIN(1-'Exercise list'!U$2,IF($A144=$A143,BA143,1))-AF144&lt;0),-1,MIN(1,IF($A144=$A143,BA143,1)-AF144+$D$2))</f>
        <v>1</v>
      </c>
      <c r="BB144">
        <f>IF(OR($J144=1,COUNTIFS($A$5:$A143,"&gt;="&amp;$A144-1,$A$5:$A143,"&lt;="&amp;$A144,$B$5:$B143,$B144)&gt;0,MIN(1-'Exercise list'!V$2,IF($A144=$A143,BB143,1))-AG144&lt;0),-1,MIN(1,IF($A144=$A143,BB143,1)-AG144+$D$2))</f>
        <v>1</v>
      </c>
      <c r="BC144">
        <f>IF(OR($J144=1,COUNTIFS($A$5:$A143,"&gt;="&amp;$A144-1,$A$5:$A143,"&lt;="&amp;$A144,$B$5:$B143,$B144)&gt;0,MIN(1-'Exercise list'!W$2,IF($A144=$A143,BC143,1))-AH144&lt;0),-1,MIN(1,IF($A144=$A143,BC143,1)-AH144+$D$2))</f>
        <v>1</v>
      </c>
      <c r="BD144">
        <f>IF(OR($J144=1,COUNTIFS($A$5:$A143,"&gt;="&amp;$A144-1,$A$5:$A143,"&lt;="&amp;$A144,$B$5:$B143,$B144)&gt;0,MIN(1-'Exercise list'!X$2,IF($A144=$A143,BD143,1))-AI144&lt;0),-1,MIN(1,IF($A144=$A143,BD143,1)-AI144+$D$2))</f>
        <v>1</v>
      </c>
      <c r="BF144" s="16">
        <f t="shared" si="100"/>
        <v>0.1564535506025985</v>
      </c>
      <c r="BG144" s="16">
        <f t="shared" si="101"/>
        <v>0.17670995725531358</v>
      </c>
      <c r="BH144" s="16">
        <f t="shared" si="102"/>
        <v>0.10154921248624418</v>
      </c>
      <c r="BI144" s="16">
        <f t="shared" si="103"/>
        <v>0.10994496036921443</v>
      </c>
      <c r="BJ144" s="16">
        <f t="shared" si="104"/>
        <v>0.10198557544249431</v>
      </c>
      <c r="BK144" s="16">
        <f t="shared" si="105"/>
        <v>0.16149432011843806</v>
      </c>
      <c r="BL144" s="16">
        <f t="shared" si="106"/>
        <v>0.23765031682300028</v>
      </c>
      <c r="BM144" s="16">
        <f t="shared" si="107"/>
        <v>8.415442779129801E-3</v>
      </c>
      <c r="BN144" s="16">
        <f t="shared" si="108"/>
        <v>0.13704287342504806</v>
      </c>
      <c r="BO144" s="16">
        <f t="shared" si="109"/>
        <v>0.25998364549254421</v>
      </c>
      <c r="BP144" s="16">
        <f t="shared" si="110"/>
        <v>0.25668986789325321</v>
      </c>
      <c r="BQ144" s="16">
        <f t="shared" si="111"/>
        <v>0.15555508690291678</v>
      </c>
      <c r="BR144" s="16">
        <f t="shared" si="112"/>
        <v>0.17477511396693257</v>
      </c>
      <c r="BS144" s="16">
        <f t="shared" si="113"/>
        <v>2.6646560486937153E-2</v>
      </c>
      <c r="BT144" s="16">
        <f t="shared" si="114"/>
        <v>0.15769271390181683</v>
      </c>
      <c r="BU144" s="16">
        <f t="shared" si="115"/>
        <v>0.14347438873535234</v>
      </c>
      <c r="BV144" s="16">
        <f t="shared" si="116"/>
        <v>0.18431615610501437</v>
      </c>
      <c r="BW144" s="16">
        <f t="shared" si="117"/>
        <v>8.5192900381563713E-2</v>
      </c>
      <c r="BX144" s="16">
        <f t="shared" si="118"/>
        <v>8.6671697153050814E-2</v>
      </c>
      <c r="BY144" s="16">
        <f t="shared" si="119"/>
        <v>1.923703905257208E-2</v>
      </c>
      <c r="CA144" s="16">
        <f t="shared" si="141"/>
        <v>4.6619144165804094E-2</v>
      </c>
      <c r="CB144" s="16">
        <f t="shared" si="122"/>
        <v>2.6362737513089013E-2</v>
      </c>
      <c r="CC144" s="16">
        <f t="shared" si="123"/>
        <v>0</v>
      </c>
      <c r="CD144" s="16">
        <f t="shared" si="124"/>
        <v>0</v>
      </c>
      <c r="CE144" s="16">
        <f t="shared" si="125"/>
        <v>0</v>
      </c>
      <c r="CF144" s="16">
        <f t="shared" si="126"/>
        <v>0.14311472203416586</v>
      </c>
      <c r="CG144" s="16">
        <f t="shared" si="127"/>
        <v>0</v>
      </c>
      <c r="CH144" s="16">
        <f t="shared" si="128"/>
        <v>9.3120904605071497E-2</v>
      </c>
      <c r="CI144" s="16">
        <f t="shared" si="129"/>
        <v>6.6029821343354528E-2</v>
      </c>
      <c r="CJ144" s="16">
        <f t="shared" si="130"/>
        <v>0</v>
      </c>
      <c r="CK144" s="16">
        <f t="shared" si="131"/>
        <v>0</v>
      </c>
      <c r="CL144" s="16">
        <f t="shared" si="132"/>
        <v>0</v>
      </c>
      <c r="CM144" s="16">
        <f t="shared" si="133"/>
        <v>2.8297580801470018E-2</v>
      </c>
      <c r="CN144" s="16">
        <f t="shared" si="134"/>
        <v>7.4889786897264138E-2</v>
      </c>
      <c r="CO144" s="16">
        <f t="shared" si="135"/>
        <v>0</v>
      </c>
      <c r="CP144" s="16">
        <f t="shared" si="136"/>
        <v>0</v>
      </c>
      <c r="CQ144" s="16">
        <f t="shared" si="137"/>
        <v>1.8756538663388223E-2</v>
      </c>
      <c r="CR144" s="16">
        <f t="shared" si="138"/>
        <v>1.6343447002637582E-2</v>
      </c>
      <c r="CS144" s="16">
        <f t="shared" si="139"/>
        <v>1.4864650231150481E-2</v>
      </c>
      <c r="CT144" s="16">
        <f t="shared" si="140"/>
        <v>8.2299308331629212E-2</v>
      </c>
    </row>
    <row r="145" spans="1:99" x14ac:dyDescent="0.25">
      <c r="A145" s="13">
        <v>45091</v>
      </c>
      <c r="B145" s="14">
        <v>50</v>
      </c>
      <c r="C145" s="15" t="str" cm="1">
        <f t="array" ref="C145">IF(B145="","",INDEX('Exercise list'!$C$5:$C$102,B145))</f>
        <v>Cable shoulder shrugs</v>
      </c>
      <c r="D145" s="12">
        <f t="shared" si="97"/>
        <v>1</v>
      </c>
      <c r="E145" s="107">
        <f t="shared" si="120"/>
        <v>0</v>
      </c>
      <c r="F145" s="63" cm="1">
        <f t="array" ref="F145">IF(B145="","",0.1+IFERROR(INDEX($F$6:$F144,SUMPRODUCT(MAX(ROW($C$6:$C144)*($C145=$C$6:$C144))-ROW($A$5)))*0.9^($A145-INDEX($A$6:A144,SUMPRODUCT(MAX(ROW($C$6:$C144)*($C145=$C$6:$C144))-ROW($A$5)))),0))</f>
        <v>0.1</v>
      </c>
      <c r="G145" s="64">
        <f>INDEX('Exercise list'!$Y$5:$Y$102,MATCH(C145,'Exercise list'!$C$5:$C$102,0))</f>
        <v>1</v>
      </c>
      <c r="H145" s="115">
        <f t="shared" si="98"/>
        <v>4.9708485109947305E-2</v>
      </c>
      <c r="I145" s="6">
        <f t="shared" si="99"/>
        <v>2</v>
      </c>
      <c r="J145" s="6" cm="1">
        <f t="array" ref="J145">IF(B145="","",INDEX('Exercise list'!$D$5:$D$102,B145))</f>
        <v>0</v>
      </c>
      <c r="K145" s="12">
        <v>38</v>
      </c>
      <c r="L145" s="74" t="str" cm="1">
        <f t="array" ref="L145">IF(K145="","",INDEX('Exercise list'!$C$5:$C$102,K145))</f>
        <v>Cable hip abductions</v>
      </c>
      <c r="M145" s="6">
        <v>18</v>
      </c>
      <c r="N145" s="75" t="str" cm="1">
        <f t="array" ref="N145">IF(M145="","",INDEX('Exercise list'!$C$5:$C$102,M145))</f>
        <v>Dumbbell curls</v>
      </c>
      <c r="P145">
        <f>IFERROR(INDEX('Exercise list'!$E$5:$X$102,MATCH($C145,'Exercise list'!$C$5:$C$102,0),MATCH(P$5,'Exercise list'!$E$4:$X$4,0)),0)</f>
        <v>0</v>
      </c>
      <c r="Q145">
        <f>IFERROR(INDEX('Exercise list'!$E$5:$X$102,MATCH($C145,'Exercise list'!$C$5:$C$102,0),MATCH(Q$5,'Exercise list'!$E$4:$X$4,0)),0)</f>
        <v>0</v>
      </c>
      <c r="R145">
        <f>IFERROR(INDEX('Exercise list'!$E$5:$X$102,MATCH($C145,'Exercise list'!$C$5:$C$102,0),MATCH(R$5,'Exercise list'!$E$4:$X$4,0)),0)</f>
        <v>1</v>
      </c>
      <c r="S145">
        <f>IFERROR(INDEX('Exercise list'!$E$5:$X$102,MATCH($C145,'Exercise list'!$C$5:$C$102,0),MATCH(S$5,'Exercise list'!$E$4:$X$4,0)),0)</f>
        <v>0</v>
      </c>
      <c r="T145">
        <f>IFERROR(INDEX('Exercise list'!$E$5:$X$102,MATCH($C145,'Exercise list'!$C$5:$C$102,0),MATCH(T$5,'Exercise list'!$E$4:$X$4,0)),0)</f>
        <v>0</v>
      </c>
      <c r="U145">
        <f>IFERROR(INDEX('Exercise list'!$E$5:$X$102,MATCH($C145,'Exercise list'!$C$5:$C$102,0),MATCH(U$5,'Exercise list'!$E$4:$X$4,0)),0)</f>
        <v>0</v>
      </c>
      <c r="V145">
        <f>IFERROR(INDEX('Exercise list'!$E$5:$X$102,MATCH($C145,'Exercise list'!$C$5:$C$102,0),MATCH(V$5,'Exercise list'!$E$4:$X$4,0)),0)</f>
        <v>0</v>
      </c>
      <c r="W145">
        <f>IFERROR(INDEX('Exercise list'!$E$5:$X$102,MATCH($C145,'Exercise list'!$C$5:$C$102,0),MATCH(W$5,'Exercise list'!$E$4:$X$4,0)),0)</f>
        <v>0</v>
      </c>
      <c r="X145">
        <f>IFERROR(INDEX('Exercise list'!$E$5:$X$102,MATCH($C145,'Exercise list'!$C$5:$C$102,0),MATCH(X$5,'Exercise list'!$E$4:$X$4,0)),0)</f>
        <v>0</v>
      </c>
      <c r="Y145">
        <f>IFERROR(INDEX('Exercise list'!$E$5:$X$102,MATCH($C145,'Exercise list'!$C$5:$C$102,0),MATCH(Y$5,'Exercise list'!$E$4:$X$4,0)),0)</f>
        <v>0</v>
      </c>
      <c r="Z145">
        <f>IFERROR(INDEX('Exercise list'!$E$5:$X$102,MATCH($C145,'Exercise list'!$C$5:$C$102,0),MATCH(Z$5,'Exercise list'!$E$4:$X$4,0)),0)</f>
        <v>0</v>
      </c>
      <c r="AA145">
        <f>IFERROR(INDEX('Exercise list'!$E$5:$X$102,MATCH($C145,'Exercise list'!$C$5:$C$102,0),MATCH(AA$5,'Exercise list'!$E$4:$X$4,0)),0)</f>
        <v>0</v>
      </c>
      <c r="AB145">
        <f>IFERROR(INDEX('Exercise list'!$E$5:$X$102,MATCH($C145,'Exercise list'!$C$5:$C$102,0),MATCH(AB$5,'Exercise list'!$E$4:$X$4,0)),0)</f>
        <v>0</v>
      </c>
      <c r="AC145">
        <f>IFERROR(INDEX('Exercise list'!$E$5:$X$102,MATCH($C145,'Exercise list'!$C$5:$C$102,0),MATCH(AC$5,'Exercise list'!$E$4:$X$4,0)),0)</f>
        <v>0</v>
      </c>
      <c r="AD145">
        <f>IFERROR(INDEX('Exercise list'!$E$5:$X$102,MATCH($C145,'Exercise list'!$C$5:$C$102,0),MATCH(AD$5,'Exercise list'!$E$4:$X$4,0)),0)</f>
        <v>0</v>
      </c>
      <c r="AE145">
        <f>IFERROR(INDEX('Exercise list'!$E$5:$X$102,MATCH($C145,'Exercise list'!$C$5:$C$102,0),MATCH(AE$5,'Exercise list'!$E$4:$X$4,0)),0)</f>
        <v>0</v>
      </c>
      <c r="AF145">
        <f>IFERROR(INDEX('Exercise list'!$E$5:$X$102,MATCH($C145,'Exercise list'!$C$5:$C$102,0),MATCH(AF$5,'Exercise list'!$E$4:$X$4,0)),0)</f>
        <v>0</v>
      </c>
      <c r="AG145">
        <f>IFERROR(INDEX('Exercise list'!$E$5:$X$102,MATCH($C145,'Exercise list'!$C$5:$C$102,0),MATCH(AG$5,'Exercise list'!$E$4:$X$4,0)),0)</f>
        <v>0</v>
      </c>
      <c r="AH145">
        <f>IFERROR(INDEX('Exercise list'!$E$5:$X$102,MATCH($C145,'Exercise list'!$C$5:$C$102,0),MATCH(AH$5,'Exercise list'!$E$4:$X$4,0)),0)</f>
        <v>0</v>
      </c>
      <c r="AI145">
        <f>IFERROR(INDEX('Exercise list'!$E$5:$X$102,MATCH($C145,'Exercise list'!$C$5:$C$102,0),MATCH(AI$5,'Exercise list'!$E$4:$X$4,0)),0)</f>
        <v>0</v>
      </c>
      <c r="AK145">
        <f>IF(OR($J145=1,COUNTIFS($A$5:$A144,"&gt;="&amp;$A145-1,$A$5:$A144,"&lt;="&amp;$A145,$B$5:$B144,$B145)&gt;0,MIN(1-'Exercise list'!E$2,IF($A145=$A144,AK144,1))-P145&lt;0),-1,MIN(1,IF($A145=$A144,AK144,1)-P145+$D$2))</f>
        <v>1</v>
      </c>
      <c r="AL145">
        <f>IF(OR($J145=1,COUNTIFS($A$5:$A144,"&gt;="&amp;$A145-1,$A$5:$A144,"&lt;="&amp;$A145,$B$5:$B144,$B145)&gt;0,MIN(1-'Exercise list'!F$2,IF($A145=$A144,AL144,1))-Q145&lt;0),-1,MIN(1,IF($A145=$A144,AL144,1)-Q145+$D$2))</f>
        <v>1</v>
      </c>
      <c r="AM145">
        <f>IF(OR($J145=1,COUNTIFS($A$5:$A144,"&gt;="&amp;$A145-1,$A$5:$A144,"&lt;="&amp;$A145,$B$5:$B144,$B145)&gt;0,MIN(1-'Exercise list'!G$2,IF($A145=$A144,AM144,1))-R145&lt;0),-1,MIN(1,IF($A145=$A144,AM144,1)-R145+$D$2))</f>
        <v>1</v>
      </c>
      <c r="AN145">
        <f>IF(OR($J145=1,COUNTIFS($A$5:$A144,"&gt;="&amp;$A145-1,$A$5:$A144,"&lt;="&amp;$A145,$B$5:$B144,$B145)&gt;0,MIN(1-'Exercise list'!H$2,IF($A145=$A144,AN144,1))-S145&lt;0),-1,MIN(1,IF($A145=$A144,AN144,1)-S145+$D$2))</f>
        <v>1</v>
      </c>
      <c r="AO145">
        <f>IF(OR($J145=1,COUNTIFS($A$5:$A144,"&gt;="&amp;$A145-1,$A$5:$A144,"&lt;="&amp;$A145,$B$5:$B144,$B145)&gt;0,MIN(1-'Exercise list'!I$2,IF($A145=$A144,AO144,1))-T145&lt;0),-1,MIN(1,IF($A145=$A144,AO144,1)-T145+$D$2))</f>
        <v>1</v>
      </c>
      <c r="AP145">
        <f>IF(OR($J145=1,COUNTIFS($A$5:$A144,"&gt;="&amp;$A145-1,$A$5:$A144,"&lt;="&amp;$A145,$B$5:$B144,$B145)&gt;0,MIN(1-'Exercise list'!J$2,IF($A145=$A144,AP144,1))-U145&lt;0),-1,MIN(1,IF($A145=$A144,AP144,1)-U145+$D$2))</f>
        <v>1</v>
      </c>
      <c r="AQ145">
        <f>IF(OR($J145=1,COUNTIFS($A$5:$A144,"&gt;="&amp;$A145-1,$A$5:$A144,"&lt;="&amp;$A145,$B$5:$B144,$B145)&gt;0,MIN(1-'Exercise list'!K$2,IF($A145=$A144,AQ144,1))-V145&lt;0),-1,MIN(1,IF($A145=$A144,AQ144,1)-V145+$D$2))</f>
        <v>1</v>
      </c>
      <c r="AR145">
        <f>IF(OR($J145=1,COUNTIFS($A$5:$A144,"&gt;="&amp;$A145-1,$A$5:$A144,"&lt;="&amp;$A145,$B$5:$B144,$B145)&gt;0,MIN(1-'Exercise list'!L$2,IF($A145=$A144,AR144,1))-W145&lt;0),-1,MIN(1,IF($A145=$A144,AR144,1)-W145+$D$2))</f>
        <v>1</v>
      </c>
      <c r="AS145">
        <f>IF(OR($J145=1,COUNTIFS($A$5:$A144,"&gt;="&amp;$A145-1,$A$5:$A144,"&lt;="&amp;$A145,$B$5:$B144,$B145)&gt;0,MIN(1-'Exercise list'!M$2,IF($A145=$A144,AS144,1))-X145&lt;0),-1,MIN(1,IF($A145=$A144,AS144,1)-X145+$D$2))</f>
        <v>1</v>
      </c>
      <c r="AT145">
        <f>IF(OR($J145=1,COUNTIFS($A$5:$A144,"&gt;="&amp;$A145-1,$A$5:$A144,"&lt;="&amp;$A145,$B$5:$B144,$B145)&gt;0,MIN(1-'Exercise list'!N$2,IF($A145=$A144,AT144,1))-Y145&lt;0),-1,MIN(1,IF($A145=$A144,AT144,1)-Y145+$D$2))</f>
        <v>1</v>
      </c>
      <c r="AU145">
        <f>IF(OR($J145=1,COUNTIFS($A$5:$A144,"&gt;="&amp;$A145-1,$A$5:$A144,"&lt;="&amp;$A145,$B$5:$B144,$B145)&gt;0,MIN(1-'Exercise list'!O$2,IF($A145=$A144,AU144,1))-Z145&lt;0),-1,MIN(1,IF($A145=$A144,AU144,1)-Z145+$D$2))</f>
        <v>1</v>
      </c>
      <c r="AV145">
        <f>IF(OR($J145=1,COUNTIFS($A$5:$A144,"&gt;="&amp;$A145-1,$A$5:$A144,"&lt;="&amp;$A145,$B$5:$B144,$B145)&gt;0,MIN(1-'Exercise list'!P$2,IF($A145=$A144,AV144,1))-AA145&lt;0),-1,MIN(1,IF($A145=$A144,AV144,1)-AA145+$D$2))</f>
        <v>1</v>
      </c>
      <c r="AW145">
        <f>IF(OR($J145=1,COUNTIFS($A$5:$A144,"&gt;="&amp;$A145-1,$A$5:$A144,"&lt;="&amp;$A145,$B$5:$B144,$B145)&gt;0,MIN(1-'Exercise list'!Q$2,IF($A145=$A144,AW144,1))-AB145&lt;0),-1,MIN(1,IF($A145=$A144,AW144,1)-AB145+$D$2))</f>
        <v>1</v>
      </c>
      <c r="AX145">
        <f>IF(OR($J145=1,COUNTIFS($A$5:$A144,"&gt;="&amp;$A145-1,$A$5:$A144,"&lt;="&amp;$A145,$B$5:$B144,$B145)&gt;0,MIN(1-'Exercise list'!R$2,IF($A145=$A144,AX144,1))-AC145&lt;0),-1,MIN(1,IF($A145=$A144,AX144,1)-AC145+$D$2))</f>
        <v>1</v>
      </c>
      <c r="AY145">
        <f>IF(OR($J145=1,COUNTIFS($A$5:$A144,"&gt;="&amp;$A145-1,$A$5:$A144,"&lt;="&amp;$A145,$B$5:$B144,$B145)&gt;0,MIN(1-'Exercise list'!S$2,IF($A145=$A144,AY144,1))-AD145&lt;0),-1,MIN(1,IF($A145=$A144,AY144,1)-AD145+$D$2))</f>
        <v>1</v>
      </c>
      <c r="AZ145">
        <f>IF(OR($J145=1,COUNTIFS($A$5:$A144,"&gt;="&amp;$A145-1,$A$5:$A144,"&lt;="&amp;$A145,$B$5:$B144,$B145)&gt;0,MIN(1-'Exercise list'!T$2,IF($A145=$A144,AZ144,1))-AE145&lt;0),-1,MIN(1,IF($A145=$A144,AZ144,1)-AE145+$D$2))</f>
        <v>1</v>
      </c>
      <c r="BA145">
        <f>IF(OR($J145=1,COUNTIFS($A$5:$A144,"&gt;="&amp;$A145-1,$A$5:$A144,"&lt;="&amp;$A145,$B$5:$B144,$B145)&gt;0,MIN(1-'Exercise list'!U$2,IF($A145=$A144,BA144,1))-AF145&lt;0),-1,MIN(1,IF($A145=$A144,BA144,1)-AF145+$D$2))</f>
        <v>1</v>
      </c>
      <c r="BB145">
        <f>IF(OR($J145=1,COUNTIFS($A$5:$A144,"&gt;="&amp;$A145-1,$A$5:$A144,"&lt;="&amp;$A145,$B$5:$B144,$B145)&gt;0,MIN(1-'Exercise list'!V$2,IF($A145=$A144,BB144,1))-AG145&lt;0),-1,MIN(1,IF($A145=$A144,BB144,1)-AG145+$D$2))</f>
        <v>1</v>
      </c>
      <c r="BC145">
        <f>IF(OR($J145=1,COUNTIFS($A$5:$A144,"&gt;="&amp;$A145-1,$A$5:$A144,"&lt;="&amp;$A145,$B$5:$B144,$B145)&gt;0,MIN(1-'Exercise list'!W$2,IF($A145=$A144,BC144,1))-AH145&lt;0),-1,MIN(1,IF($A145=$A144,BC144,1)-AH145+$D$2))</f>
        <v>1</v>
      </c>
      <c r="BD145">
        <f>IF(OR($J145=1,COUNTIFS($A$5:$A144,"&gt;="&amp;$A145-1,$A$5:$A144,"&lt;="&amp;$A145,$B$5:$B144,$B145)&gt;0,MIN(1-'Exercise list'!X$2,IF($A145=$A144,BD144,1))-AI145&lt;0),-1,MIN(1,IF($A145=$A144,BD144,1)-AI145+$D$2))</f>
        <v>1</v>
      </c>
      <c r="BF145" s="16">
        <f t="shared" si="100"/>
        <v>0.14863087307246856</v>
      </c>
      <c r="BG145" s="16">
        <f t="shared" si="101"/>
        <v>0.16787445939254789</v>
      </c>
      <c r="BH145" s="16">
        <f t="shared" si="102"/>
        <v>0.14647175186193195</v>
      </c>
      <c r="BI145" s="16">
        <f t="shared" si="103"/>
        <v>0.1044477123507537</v>
      </c>
      <c r="BJ145" s="16">
        <f t="shared" si="104"/>
        <v>9.688629667036959E-2</v>
      </c>
      <c r="BK145" s="16">
        <f t="shared" si="105"/>
        <v>0.15341960411251615</v>
      </c>
      <c r="BL145" s="16">
        <f t="shared" si="106"/>
        <v>0.22576780098185026</v>
      </c>
      <c r="BM145" s="16">
        <f t="shared" si="107"/>
        <v>7.9946706401733108E-3</v>
      </c>
      <c r="BN145" s="16">
        <f t="shared" si="108"/>
        <v>0.13019072975379564</v>
      </c>
      <c r="BO145" s="16">
        <f t="shared" si="109"/>
        <v>0.24698446321791698</v>
      </c>
      <c r="BP145" s="16">
        <f t="shared" si="110"/>
        <v>0.24385537449859054</v>
      </c>
      <c r="BQ145" s="16">
        <f t="shared" si="111"/>
        <v>0.14777733255777092</v>
      </c>
      <c r="BR145" s="16">
        <f t="shared" si="112"/>
        <v>0.16603635826858593</v>
      </c>
      <c r="BS145" s="16">
        <f t="shared" si="113"/>
        <v>2.5314232462590295E-2</v>
      </c>
      <c r="BT145" s="16">
        <f t="shared" si="114"/>
        <v>0.14980807820672598</v>
      </c>
      <c r="BU145" s="16">
        <f t="shared" si="115"/>
        <v>0.13630066929858473</v>
      </c>
      <c r="BV145" s="16">
        <f t="shared" si="116"/>
        <v>0.17510034829976365</v>
      </c>
      <c r="BW145" s="16">
        <f t="shared" si="117"/>
        <v>8.0933255362485523E-2</v>
      </c>
      <c r="BX145" s="16">
        <f t="shared" si="118"/>
        <v>8.2338112295398266E-2</v>
      </c>
      <c r="BY145" s="16">
        <f t="shared" si="119"/>
        <v>1.8275187099943475E-2</v>
      </c>
      <c r="CA145" s="16">
        <f t="shared" si="141"/>
        <v>4.7991890661217673E-2</v>
      </c>
      <c r="CB145" s="16">
        <f t="shared" si="122"/>
        <v>2.8748304341138342E-2</v>
      </c>
      <c r="CC145" s="16">
        <f t="shared" si="123"/>
        <v>0</v>
      </c>
      <c r="CD145" s="16">
        <f t="shared" si="124"/>
        <v>0</v>
      </c>
      <c r="CE145" s="16">
        <f t="shared" si="125"/>
        <v>1.4250851964735245E-3</v>
      </c>
      <c r="CF145" s="16">
        <f t="shared" si="126"/>
        <v>0.14151454148801318</v>
      </c>
      <c r="CG145" s="16">
        <f t="shared" si="127"/>
        <v>0</v>
      </c>
      <c r="CH145" s="16">
        <f t="shared" si="128"/>
        <v>9.0316711226669802E-2</v>
      </c>
      <c r="CI145" s="16">
        <f t="shared" si="129"/>
        <v>6.6432033979890587E-2</v>
      </c>
      <c r="CJ145" s="16">
        <f t="shared" si="130"/>
        <v>0</v>
      </c>
      <c r="CK145" s="16">
        <f t="shared" si="131"/>
        <v>0</v>
      </c>
      <c r="CL145" s="16">
        <f t="shared" si="132"/>
        <v>0</v>
      </c>
      <c r="CM145" s="16">
        <f t="shared" si="133"/>
        <v>3.0586405465100303E-2</v>
      </c>
      <c r="CN145" s="16">
        <f t="shared" si="134"/>
        <v>7.2997149404252823E-2</v>
      </c>
      <c r="CO145" s="16">
        <f t="shared" si="135"/>
        <v>0</v>
      </c>
      <c r="CP145" s="16">
        <f t="shared" si="136"/>
        <v>0</v>
      </c>
      <c r="CQ145" s="16">
        <f t="shared" si="137"/>
        <v>2.1522415433922581E-2</v>
      </c>
      <c r="CR145" s="16">
        <f t="shared" si="138"/>
        <v>1.7378126504357591E-2</v>
      </c>
      <c r="CS145" s="16">
        <f t="shared" si="139"/>
        <v>1.5973269571444848E-2</v>
      </c>
      <c r="CT145" s="16">
        <f t="shared" si="140"/>
        <v>8.0036194766899632E-2</v>
      </c>
    </row>
    <row r="146" spans="1:99" x14ac:dyDescent="0.25">
      <c r="A146" s="13">
        <v>45091</v>
      </c>
      <c r="B146" s="14">
        <v>38</v>
      </c>
      <c r="C146" s="15" t="str" cm="1">
        <f t="array" ref="C146">IF(B146="","",INDEX('Exercise list'!$C$5:$C$102,B146))</f>
        <v>Cable hip abductions</v>
      </c>
      <c r="D146" s="12">
        <f t="shared" si="97"/>
        <v>1</v>
      </c>
      <c r="E146" s="107">
        <f t="shared" si="120"/>
        <v>0</v>
      </c>
      <c r="F146" s="63" cm="1">
        <f t="array" ref="F146">IF(B146="","",0.1+IFERROR(INDEX($F$6:$F145,SUMPRODUCT(MAX(ROW($C$6:$C145)*($C146=$C$6:$C145))-ROW($A$5)))*0.9^($A146-INDEX($A$6:A145,SUMPRODUCT(MAX(ROW($C$6:$C145)*($C146=$C$6:$C145))-ROW($A$5)))),0))</f>
        <v>0.11500946352969993</v>
      </c>
      <c r="G146" s="64">
        <f>INDEX('Exercise list'!$Y$5:$Y$102,MATCH(C146,'Exercise list'!$C$5:$C$102,0))</f>
        <v>1</v>
      </c>
      <c r="H146" s="115">
        <f t="shared" si="98"/>
        <v>4.6517905816507922E-2</v>
      </c>
      <c r="I146" s="6">
        <f t="shared" si="99"/>
        <v>3</v>
      </c>
      <c r="J146" s="6" cm="1">
        <f t="array" ref="J146">IF(B146="","",INDEX('Exercise list'!$D$5:$D$102,B146))</f>
        <v>0</v>
      </c>
      <c r="K146" s="12">
        <v>10</v>
      </c>
      <c r="L146" s="74" t="str" cm="1">
        <f t="array" ref="L146">IF(K146="","",INDEX('Exercise list'!$C$5:$C$102,K146))</f>
        <v>Cable seated rows</v>
      </c>
      <c r="M146" s="6">
        <v>59</v>
      </c>
      <c r="N146" s="75" t="str" cm="1">
        <f t="array" ref="N146">IF(M146="","",INDEX('Exercise list'!$C$5:$C$102,M146))</f>
        <v>Triceps dips</v>
      </c>
      <c r="P146">
        <f>IFERROR(INDEX('Exercise list'!$E$5:$X$102,MATCH($C146,'Exercise list'!$C$5:$C$102,0),MATCH(P$5,'Exercise list'!$E$4:$X$4,0)),0)</f>
        <v>0</v>
      </c>
      <c r="Q146">
        <f>IFERROR(INDEX('Exercise list'!$E$5:$X$102,MATCH($C146,'Exercise list'!$C$5:$C$102,0),MATCH(Q$5,'Exercise list'!$E$4:$X$4,0)),0)</f>
        <v>0</v>
      </c>
      <c r="R146">
        <f>IFERROR(INDEX('Exercise list'!$E$5:$X$102,MATCH($C146,'Exercise list'!$C$5:$C$102,0),MATCH(R$5,'Exercise list'!$E$4:$X$4,0)),0)</f>
        <v>0</v>
      </c>
      <c r="S146">
        <f>IFERROR(INDEX('Exercise list'!$E$5:$X$102,MATCH($C146,'Exercise list'!$C$5:$C$102,0),MATCH(S$5,'Exercise list'!$E$4:$X$4,0)),0)</f>
        <v>0</v>
      </c>
      <c r="T146">
        <f>IFERROR(INDEX('Exercise list'!$E$5:$X$102,MATCH($C146,'Exercise list'!$C$5:$C$102,0),MATCH(T$5,'Exercise list'!$E$4:$X$4,0)),0)</f>
        <v>0</v>
      </c>
      <c r="U146">
        <f>IFERROR(INDEX('Exercise list'!$E$5:$X$102,MATCH($C146,'Exercise list'!$C$5:$C$102,0),MATCH(U$5,'Exercise list'!$E$4:$X$4,0)),0)</f>
        <v>0</v>
      </c>
      <c r="V146">
        <f>IFERROR(INDEX('Exercise list'!$E$5:$X$102,MATCH($C146,'Exercise list'!$C$5:$C$102,0),MATCH(V$5,'Exercise list'!$E$4:$X$4,0)),0)</f>
        <v>0</v>
      </c>
      <c r="W146">
        <f>IFERROR(INDEX('Exercise list'!$E$5:$X$102,MATCH($C146,'Exercise list'!$C$5:$C$102,0),MATCH(W$5,'Exercise list'!$E$4:$X$4,0)),0)</f>
        <v>0</v>
      </c>
      <c r="X146">
        <f>IFERROR(INDEX('Exercise list'!$E$5:$X$102,MATCH($C146,'Exercise list'!$C$5:$C$102,0),MATCH(X$5,'Exercise list'!$E$4:$X$4,0)),0)</f>
        <v>0</v>
      </c>
      <c r="Y146">
        <f>IFERROR(INDEX('Exercise list'!$E$5:$X$102,MATCH($C146,'Exercise list'!$C$5:$C$102,0),MATCH(Y$5,'Exercise list'!$E$4:$X$4,0)),0)</f>
        <v>0</v>
      </c>
      <c r="Z146">
        <f>IFERROR(INDEX('Exercise list'!$E$5:$X$102,MATCH($C146,'Exercise list'!$C$5:$C$102,0),MATCH(Z$5,'Exercise list'!$E$4:$X$4,0)),0)</f>
        <v>0</v>
      </c>
      <c r="AA146">
        <f>IFERROR(INDEX('Exercise list'!$E$5:$X$102,MATCH($C146,'Exercise list'!$C$5:$C$102,0),MATCH(AA$5,'Exercise list'!$E$4:$X$4,0)),0)</f>
        <v>0</v>
      </c>
      <c r="AB146">
        <f>IFERROR(INDEX('Exercise list'!$E$5:$X$102,MATCH($C146,'Exercise list'!$C$5:$C$102,0),MATCH(AB$5,'Exercise list'!$E$4:$X$4,0)),0)</f>
        <v>0</v>
      </c>
      <c r="AC146">
        <f>IFERROR(INDEX('Exercise list'!$E$5:$X$102,MATCH($C146,'Exercise list'!$C$5:$C$102,0),MATCH(AC$5,'Exercise list'!$E$4:$X$4,0)),0)</f>
        <v>0</v>
      </c>
      <c r="AD146">
        <f>IFERROR(INDEX('Exercise list'!$E$5:$X$102,MATCH($C146,'Exercise list'!$C$5:$C$102,0),MATCH(AD$5,'Exercise list'!$E$4:$X$4,0)),0)</f>
        <v>0</v>
      </c>
      <c r="AE146">
        <f>IFERROR(INDEX('Exercise list'!$E$5:$X$102,MATCH($C146,'Exercise list'!$C$5:$C$102,0),MATCH(AE$5,'Exercise list'!$E$4:$X$4,0)),0)</f>
        <v>0</v>
      </c>
      <c r="AF146">
        <f>IFERROR(INDEX('Exercise list'!$E$5:$X$102,MATCH($C146,'Exercise list'!$C$5:$C$102,0),MATCH(AF$5,'Exercise list'!$E$4:$X$4,0)),0)</f>
        <v>0</v>
      </c>
      <c r="AG146">
        <f>IFERROR(INDEX('Exercise list'!$E$5:$X$102,MATCH($C146,'Exercise list'!$C$5:$C$102,0),MATCH(AG$5,'Exercise list'!$E$4:$X$4,0)),0)</f>
        <v>0</v>
      </c>
      <c r="AH146">
        <f>IFERROR(INDEX('Exercise list'!$E$5:$X$102,MATCH($C146,'Exercise list'!$C$5:$C$102,0),MATCH(AH$5,'Exercise list'!$E$4:$X$4,0)),0)</f>
        <v>0</v>
      </c>
      <c r="AI146">
        <f>IFERROR(INDEX('Exercise list'!$E$5:$X$102,MATCH($C146,'Exercise list'!$C$5:$C$102,0),MATCH(AI$5,'Exercise list'!$E$4:$X$4,0)),0)</f>
        <v>1</v>
      </c>
      <c r="AK146">
        <f>IF(OR($J146=1,COUNTIFS($A$5:$A145,"&gt;="&amp;$A146-1,$A$5:$A145,"&lt;="&amp;$A146,$B$5:$B145,$B146)&gt;0,MIN(1-'Exercise list'!E$2,IF($A146=$A145,AK145,1))-P146&lt;0),-1,MIN(1,IF($A146=$A145,AK145,1)-P146+$D$2))</f>
        <v>1</v>
      </c>
      <c r="AL146">
        <f>IF(OR($J146=1,COUNTIFS($A$5:$A145,"&gt;="&amp;$A146-1,$A$5:$A145,"&lt;="&amp;$A146,$B$5:$B145,$B146)&gt;0,MIN(1-'Exercise list'!F$2,IF($A146=$A145,AL145,1))-Q146&lt;0),-1,MIN(1,IF($A146=$A145,AL145,1)-Q146+$D$2))</f>
        <v>1</v>
      </c>
      <c r="AM146">
        <f>IF(OR($J146=1,COUNTIFS($A$5:$A145,"&gt;="&amp;$A146-1,$A$5:$A145,"&lt;="&amp;$A146,$B$5:$B145,$B146)&gt;0,MIN(1-'Exercise list'!G$2,IF($A146=$A145,AM145,1))-R146&lt;0),-1,MIN(1,IF($A146=$A145,AM145,1)-R146+$D$2))</f>
        <v>1</v>
      </c>
      <c r="AN146">
        <f>IF(OR($J146=1,COUNTIFS($A$5:$A145,"&gt;="&amp;$A146-1,$A$5:$A145,"&lt;="&amp;$A146,$B$5:$B145,$B146)&gt;0,MIN(1-'Exercise list'!H$2,IF($A146=$A145,AN145,1))-S146&lt;0),-1,MIN(1,IF($A146=$A145,AN145,1)-S146+$D$2))</f>
        <v>1</v>
      </c>
      <c r="AO146">
        <f>IF(OR($J146=1,COUNTIFS($A$5:$A145,"&gt;="&amp;$A146-1,$A$5:$A145,"&lt;="&amp;$A146,$B$5:$B145,$B146)&gt;0,MIN(1-'Exercise list'!I$2,IF($A146=$A145,AO145,1))-T146&lt;0),-1,MIN(1,IF($A146=$A145,AO145,1)-T146+$D$2))</f>
        <v>1</v>
      </c>
      <c r="AP146">
        <f>IF(OR($J146=1,COUNTIFS($A$5:$A145,"&gt;="&amp;$A146-1,$A$5:$A145,"&lt;="&amp;$A146,$B$5:$B145,$B146)&gt;0,MIN(1-'Exercise list'!J$2,IF($A146=$A145,AP145,1))-U146&lt;0),-1,MIN(1,IF($A146=$A145,AP145,1)-U146+$D$2))</f>
        <v>1</v>
      </c>
      <c r="AQ146">
        <f>IF(OR($J146=1,COUNTIFS($A$5:$A145,"&gt;="&amp;$A146-1,$A$5:$A145,"&lt;="&amp;$A146,$B$5:$B145,$B146)&gt;0,MIN(1-'Exercise list'!K$2,IF($A146=$A145,AQ145,1))-V146&lt;0),-1,MIN(1,IF($A146=$A145,AQ145,1)-V146+$D$2))</f>
        <v>1</v>
      </c>
      <c r="AR146">
        <f>IF(OR($J146=1,COUNTIFS($A$5:$A145,"&gt;="&amp;$A146-1,$A$5:$A145,"&lt;="&amp;$A146,$B$5:$B145,$B146)&gt;0,MIN(1-'Exercise list'!L$2,IF($A146=$A145,AR145,1))-W146&lt;0),-1,MIN(1,IF($A146=$A145,AR145,1)-W146+$D$2))</f>
        <v>1</v>
      </c>
      <c r="AS146">
        <f>IF(OR($J146=1,COUNTIFS($A$5:$A145,"&gt;="&amp;$A146-1,$A$5:$A145,"&lt;="&amp;$A146,$B$5:$B145,$B146)&gt;0,MIN(1-'Exercise list'!M$2,IF($A146=$A145,AS145,1))-X146&lt;0),-1,MIN(1,IF($A146=$A145,AS145,1)-X146+$D$2))</f>
        <v>1</v>
      </c>
      <c r="AT146">
        <f>IF(OR($J146=1,COUNTIFS($A$5:$A145,"&gt;="&amp;$A146-1,$A$5:$A145,"&lt;="&amp;$A146,$B$5:$B145,$B146)&gt;0,MIN(1-'Exercise list'!N$2,IF($A146=$A145,AT145,1))-Y146&lt;0),-1,MIN(1,IF($A146=$A145,AT145,1)-Y146+$D$2))</f>
        <v>1</v>
      </c>
      <c r="AU146">
        <f>IF(OR($J146=1,COUNTIFS($A$5:$A145,"&gt;="&amp;$A146-1,$A$5:$A145,"&lt;="&amp;$A146,$B$5:$B145,$B146)&gt;0,MIN(1-'Exercise list'!O$2,IF($A146=$A145,AU145,1))-Z146&lt;0),-1,MIN(1,IF($A146=$A145,AU145,1)-Z146+$D$2))</f>
        <v>1</v>
      </c>
      <c r="AV146">
        <f>IF(OR($J146=1,COUNTIFS($A$5:$A145,"&gt;="&amp;$A146-1,$A$5:$A145,"&lt;="&amp;$A146,$B$5:$B145,$B146)&gt;0,MIN(1-'Exercise list'!P$2,IF($A146=$A145,AV145,1))-AA146&lt;0),-1,MIN(1,IF($A146=$A145,AV145,1)-AA146+$D$2))</f>
        <v>1</v>
      </c>
      <c r="AW146">
        <f>IF(OR($J146=1,COUNTIFS($A$5:$A145,"&gt;="&amp;$A146-1,$A$5:$A145,"&lt;="&amp;$A146,$B$5:$B145,$B146)&gt;0,MIN(1-'Exercise list'!Q$2,IF($A146=$A145,AW145,1))-AB146&lt;0),-1,MIN(1,IF($A146=$A145,AW145,1)-AB146+$D$2))</f>
        <v>1</v>
      </c>
      <c r="AX146">
        <f>IF(OR($J146=1,COUNTIFS($A$5:$A145,"&gt;="&amp;$A146-1,$A$5:$A145,"&lt;="&amp;$A146,$B$5:$B145,$B146)&gt;0,MIN(1-'Exercise list'!R$2,IF($A146=$A145,AX145,1))-AC146&lt;0),-1,MIN(1,IF($A146=$A145,AX145,1)-AC146+$D$2))</f>
        <v>1</v>
      </c>
      <c r="AY146">
        <f>IF(OR($J146=1,COUNTIFS($A$5:$A145,"&gt;="&amp;$A146-1,$A$5:$A145,"&lt;="&amp;$A146,$B$5:$B145,$B146)&gt;0,MIN(1-'Exercise list'!S$2,IF($A146=$A145,AY145,1))-AD146&lt;0),-1,MIN(1,IF($A146=$A145,AY145,1)-AD146+$D$2))</f>
        <v>1</v>
      </c>
      <c r="AZ146">
        <f>IF(OR($J146=1,COUNTIFS($A$5:$A145,"&gt;="&amp;$A146-1,$A$5:$A145,"&lt;="&amp;$A146,$B$5:$B145,$B146)&gt;0,MIN(1-'Exercise list'!T$2,IF($A146=$A145,AZ145,1))-AE146&lt;0),-1,MIN(1,IF($A146=$A145,AZ145,1)-AE146+$D$2))</f>
        <v>1</v>
      </c>
      <c r="BA146">
        <f>IF(OR($J146=1,COUNTIFS($A$5:$A145,"&gt;="&amp;$A146-1,$A$5:$A145,"&lt;="&amp;$A146,$B$5:$B145,$B146)&gt;0,MIN(1-'Exercise list'!U$2,IF($A146=$A145,BA145,1))-AF146&lt;0),-1,MIN(1,IF($A146=$A145,BA145,1)-AF146+$D$2))</f>
        <v>1</v>
      </c>
      <c r="BB146">
        <f>IF(OR($J146=1,COUNTIFS($A$5:$A145,"&gt;="&amp;$A146-1,$A$5:$A145,"&lt;="&amp;$A146,$B$5:$B145,$B146)&gt;0,MIN(1-'Exercise list'!V$2,IF($A146=$A145,BB145,1))-AG146&lt;0),-1,MIN(1,IF($A146=$A145,BB145,1)-AG146+$D$2))</f>
        <v>1</v>
      </c>
      <c r="BC146">
        <f>IF(OR($J146=1,COUNTIFS($A$5:$A145,"&gt;="&amp;$A146-1,$A$5:$A145,"&lt;="&amp;$A146,$B$5:$B145,$B146)&gt;0,MIN(1-'Exercise list'!W$2,IF($A146=$A145,BC145,1))-AH146&lt;0),-1,MIN(1,IF($A146=$A145,BC145,1)-AH146+$D$2))</f>
        <v>1</v>
      </c>
      <c r="BD146">
        <f>IF(OR($J146=1,COUNTIFS($A$5:$A145,"&gt;="&amp;$A146-1,$A$5:$A145,"&lt;="&amp;$A146,$B$5:$B145,$B146)&gt;0,MIN(1-'Exercise list'!X$2,IF($A146=$A145,BD145,1))-AI146&lt;0),-1,MIN(1,IF($A146=$A145,BD145,1)-AI146+$D$2))</f>
        <v>1</v>
      </c>
      <c r="BF146" s="16">
        <f t="shared" si="100"/>
        <v>0.14119932941884511</v>
      </c>
      <c r="BG146" s="16">
        <f t="shared" si="101"/>
        <v>0.15948073642292049</v>
      </c>
      <c r="BH146" s="16">
        <f t="shared" si="102"/>
        <v>0.13914816426883536</v>
      </c>
      <c r="BI146" s="16">
        <f t="shared" si="103"/>
        <v>9.9225326733216018E-2</v>
      </c>
      <c r="BJ146" s="16">
        <f t="shared" si="104"/>
        <v>9.2041981836851111E-2</v>
      </c>
      <c r="BK146" s="16">
        <f t="shared" si="105"/>
        <v>0.14574862390689033</v>
      </c>
      <c r="BL146" s="16">
        <f t="shared" si="106"/>
        <v>0.21447941093275774</v>
      </c>
      <c r="BM146" s="16">
        <f t="shared" si="107"/>
        <v>7.5949371081646452E-3</v>
      </c>
      <c r="BN146" s="16">
        <f t="shared" si="108"/>
        <v>0.12368119326610585</v>
      </c>
      <c r="BO146" s="16">
        <f t="shared" si="109"/>
        <v>0.2346352400570211</v>
      </c>
      <c r="BP146" s="16">
        <f t="shared" si="110"/>
        <v>0.23166260577366102</v>
      </c>
      <c r="BQ146" s="16">
        <f t="shared" si="111"/>
        <v>0.14038846592988238</v>
      </c>
      <c r="BR146" s="16">
        <f t="shared" si="112"/>
        <v>0.15773454035515663</v>
      </c>
      <c r="BS146" s="16">
        <f t="shared" si="113"/>
        <v>2.4048520839460779E-2</v>
      </c>
      <c r="BT146" s="16">
        <f t="shared" si="114"/>
        <v>0.14231767429638967</v>
      </c>
      <c r="BU146" s="16">
        <f t="shared" si="115"/>
        <v>0.12948563583365549</v>
      </c>
      <c r="BV146" s="16">
        <f t="shared" si="116"/>
        <v>0.16634533088477546</v>
      </c>
      <c r="BW146" s="16">
        <f t="shared" si="117"/>
        <v>7.6886592594361244E-2</v>
      </c>
      <c r="BX146" s="16">
        <f t="shared" si="118"/>
        <v>7.8221206680628347E-2</v>
      </c>
      <c r="BY146" s="16">
        <f t="shared" si="119"/>
        <v>6.7361427744946301E-2</v>
      </c>
      <c r="CA146" s="16">
        <f t="shared" si="141"/>
        <v>4.9295999831860449E-2</v>
      </c>
      <c r="CB146" s="16">
        <f t="shared" si="122"/>
        <v>3.101459282778507E-2</v>
      </c>
      <c r="CC146" s="16">
        <f t="shared" si="123"/>
        <v>0</v>
      </c>
      <c r="CD146" s="16">
        <f t="shared" si="124"/>
        <v>0</v>
      </c>
      <c r="CE146" s="16">
        <f t="shared" si="125"/>
        <v>3.2056827885016681E-3</v>
      </c>
      <c r="CF146" s="16">
        <f t="shared" si="126"/>
        <v>0.139994369969168</v>
      </c>
      <c r="CG146" s="16">
        <f t="shared" si="127"/>
        <v>0</v>
      </c>
      <c r="CH146" s="16">
        <f t="shared" si="128"/>
        <v>8.7652727517188139E-2</v>
      </c>
      <c r="CI146" s="16">
        <f t="shared" si="129"/>
        <v>6.6814135984599704E-2</v>
      </c>
      <c r="CJ146" s="16">
        <f t="shared" si="130"/>
        <v>0</v>
      </c>
      <c r="CK146" s="16">
        <f t="shared" si="131"/>
        <v>0</v>
      </c>
      <c r="CL146" s="16">
        <f t="shared" si="132"/>
        <v>0</v>
      </c>
      <c r="CM146" s="16">
        <f t="shared" si="133"/>
        <v>3.2760788895548926E-2</v>
      </c>
      <c r="CN146" s="16">
        <f t="shared" si="134"/>
        <v>7.1199143785891997E-2</v>
      </c>
      <c r="CO146" s="16">
        <f t="shared" si="135"/>
        <v>0</v>
      </c>
      <c r="CP146" s="16">
        <f t="shared" si="136"/>
        <v>0</v>
      </c>
      <c r="CQ146" s="16">
        <f t="shared" si="137"/>
        <v>2.4149998365930098E-2</v>
      </c>
      <c r="CR146" s="16">
        <f t="shared" si="138"/>
        <v>1.8361072030991535E-2</v>
      </c>
      <c r="CS146" s="16">
        <f t="shared" si="139"/>
        <v>1.7026457944724432E-2</v>
      </c>
      <c r="CT146" s="16">
        <f t="shared" si="140"/>
        <v>2.7886236880406479E-2</v>
      </c>
    </row>
    <row r="147" spans="1:99" x14ac:dyDescent="0.25">
      <c r="A147" s="13">
        <v>45091</v>
      </c>
      <c r="B147" s="14">
        <v>10</v>
      </c>
      <c r="C147" s="15" t="str" cm="1">
        <f t="array" ref="C147">IF(B147="","",INDEX('Exercise list'!$C$5:$C$102,B147))</f>
        <v>Cable seated rows</v>
      </c>
      <c r="D147" s="12">
        <f t="shared" si="97"/>
        <v>1</v>
      </c>
      <c r="E147" s="107">
        <f t="shared" si="120"/>
        <v>0</v>
      </c>
      <c r="F147" s="63" cm="1">
        <f t="array" ref="F147">IF(B147="","",0.1+IFERROR(INDEX($F$6:$F146,SUMPRODUCT(MAX(ROW($C$6:$C146)*($C147=$C$6:$C146))-ROW($A$5)))*0.9^($A147-INDEX($A$6:A146,SUMPRODUCT(MAX(ROW($C$6:$C146)*($C147=$C$6:$C146))-ROW($A$5)))),0))</f>
        <v>0.12879518933129372</v>
      </c>
      <c r="G147" s="64">
        <f>INDEX('Exercise list'!$Y$5:$Y$102,MATCH(C147,'Exercise list'!$C$5:$C$102,0))</f>
        <v>2</v>
      </c>
      <c r="H147" s="115">
        <f t="shared" si="98"/>
        <v>4.8836071716637043E-2</v>
      </c>
      <c r="I147" s="6">
        <f t="shared" si="99"/>
        <v>4</v>
      </c>
      <c r="J147" s="6" cm="1">
        <f t="array" ref="J147">IF(B147="","",INDEX('Exercise list'!$D$5:$D$102,B147))</f>
        <v>0</v>
      </c>
      <c r="K147" s="12">
        <v>59</v>
      </c>
      <c r="L147" s="74" t="str" cm="1">
        <f t="array" ref="L147">IF(K147="","",INDEX('Exercise list'!$C$5:$C$102,K147))</f>
        <v>Triceps dips</v>
      </c>
      <c r="M147" s="6">
        <v>25</v>
      </c>
      <c r="N147" s="75" t="str" cm="1">
        <f t="array" ref="N147">IF(M147="","",INDEX('Exercise list'!$C$5:$C$102,M147))</f>
        <v>Dumbbell decline bench presses</v>
      </c>
      <c r="P147">
        <f>IFERROR(INDEX('Exercise list'!$E$5:$X$102,MATCH($C147,'Exercise list'!$C$5:$C$102,0),MATCH(P$5,'Exercise list'!$E$4:$X$4,0)),0)</f>
        <v>0</v>
      </c>
      <c r="Q147">
        <f>IFERROR(INDEX('Exercise list'!$E$5:$X$102,MATCH($C147,'Exercise list'!$C$5:$C$102,0),MATCH(Q$5,'Exercise list'!$E$4:$X$4,0)),0)</f>
        <v>1</v>
      </c>
      <c r="R147">
        <f>IFERROR(INDEX('Exercise list'!$E$5:$X$102,MATCH($C147,'Exercise list'!$C$5:$C$102,0),MATCH(R$5,'Exercise list'!$E$4:$X$4,0)),0)</f>
        <v>0.6</v>
      </c>
      <c r="S147">
        <f>IFERROR(INDEX('Exercise list'!$E$5:$X$102,MATCH($C147,'Exercise list'!$C$5:$C$102,0),MATCH(S$5,'Exercise list'!$E$4:$X$4,0)),0)</f>
        <v>0.7</v>
      </c>
      <c r="T147">
        <f>IFERROR(INDEX('Exercise list'!$E$5:$X$102,MATCH($C147,'Exercise list'!$C$5:$C$102,0),MATCH(T$5,'Exercise list'!$E$4:$X$4,0)),0)</f>
        <v>0</v>
      </c>
      <c r="U147">
        <f>IFERROR(INDEX('Exercise list'!$E$5:$X$102,MATCH($C147,'Exercise list'!$C$5:$C$102,0),MATCH(U$5,'Exercise list'!$E$4:$X$4,0)),0)</f>
        <v>0</v>
      </c>
      <c r="V147">
        <f>IFERROR(INDEX('Exercise list'!$E$5:$X$102,MATCH($C147,'Exercise list'!$C$5:$C$102,0),MATCH(V$5,'Exercise list'!$E$4:$X$4,0)),0)</f>
        <v>0</v>
      </c>
      <c r="W147">
        <f>IFERROR(INDEX('Exercise list'!$E$5:$X$102,MATCH($C147,'Exercise list'!$C$5:$C$102,0),MATCH(W$5,'Exercise list'!$E$4:$X$4,0)),0)</f>
        <v>0</v>
      </c>
      <c r="X147">
        <f>IFERROR(INDEX('Exercise list'!$E$5:$X$102,MATCH($C147,'Exercise list'!$C$5:$C$102,0),MATCH(X$5,'Exercise list'!$E$4:$X$4,0)),0)</f>
        <v>0.5</v>
      </c>
      <c r="Y147">
        <f>IFERROR(INDEX('Exercise list'!$E$5:$X$102,MATCH($C147,'Exercise list'!$C$5:$C$102,0),MATCH(Y$5,'Exercise list'!$E$4:$X$4,0)),0)</f>
        <v>0</v>
      </c>
      <c r="Z147">
        <f>IFERROR(INDEX('Exercise list'!$E$5:$X$102,MATCH($C147,'Exercise list'!$C$5:$C$102,0),MATCH(Z$5,'Exercise list'!$E$4:$X$4,0)),0)</f>
        <v>0.5</v>
      </c>
      <c r="AA147">
        <f>IFERROR(INDEX('Exercise list'!$E$5:$X$102,MATCH($C147,'Exercise list'!$C$5:$C$102,0),MATCH(AA$5,'Exercise list'!$E$4:$X$4,0)),0)</f>
        <v>0</v>
      </c>
      <c r="AB147">
        <f>IFERROR(INDEX('Exercise list'!$E$5:$X$102,MATCH($C147,'Exercise list'!$C$5:$C$102,0),MATCH(AB$5,'Exercise list'!$E$4:$X$4,0)),0)</f>
        <v>0</v>
      </c>
      <c r="AC147">
        <f>IFERROR(INDEX('Exercise list'!$E$5:$X$102,MATCH($C147,'Exercise list'!$C$5:$C$102,0),MATCH(AC$5,'Exercise list'!$E$4:$X$4,0)),0)</f>
        <v>0</v>
      </c>
      <c r="AD147">
        <f>IFERROR(INDEX('Exercise list'!$E$5:$X$102,MATCH($C147,'Exercise list'!$C$5:$C$102,0),MATCH(AD$5,'Exercise list'!$E$4:$X$4,0)),0)</f>
        <v>0</v>
      </c>
      <c r="AE147">
        <f>IFERROR(INDEX('Exercise list'!$E$5:$X$102,MATCH($C147,'Exercise list'!$C$5:$C$102,0),MATCH(AE$5,'Exercise list'!$E$4:$X$4,0)),0)</f>
        <v>0</v>
      </c>
      <c r="AF147">
        <f>IFERROR(INDEX('Exercise list'!$E$5:$X$102,MATCH($C147,'Exercise list'!$C$5:$C$102,0),MATCH(AF$5,'Exercise list'!$E$4:$X$4,0)),0)</f>
        <v>0</v>
      </c>
      <c r="AG147">
        <f>IFERROR(INDEX('Exercise list'!$E$5:$X$102,MATCH($C147,'Exercise list'!$C$5:$C$102,0),MATCH(AG$5,'Exercise list'!$E$4:$X$4,0)),0)</f>
        <v>0</v>
      </c>
      <c r="AH147">
        <f>IFERROR(INDEX('Exercise list'!$E$5:$X$102,MATCH($C147,'Exercise list'!$C$5:$C$102,0),MATCH(AH$5,'Exercise list'!$E$4:$X$4,0)),0)</f>
        <v>0</v>
      </c>
      <c r="AI147">
        <f>IFERROR(INDEX('Exercise list'!$E$5:$X$102,MATCH($C147,'Exercise list'!$C$5:$C$102,0),MATCH(AI$5,'Exercise list'!$E$4:$X$4,0)),0)</f>
        <v>0</v>
      </c>
      <c r="AK147">
        <f>IF(OR($J147=1,COUNTIFS($A$5:$A146,"&gt;="&amp;$A147-1,$A$5:$A146,"&lt;="&amp;$A147,$B$5:$B146,$B147)&gt;0,MIN(1-'Exercise list'!E$2,IF($A147=$A146,AK146,1))-P147&lt;0),-1,MIN(1,IF($A147=$A146,AK146,1)-P147+$D$2))</f>
        <v>1</v>
      </c>
      <c r="AL147">
        <f>IF(OR($J147=1,COUNTIFS($A$5:$A146,"&gt;="&amp;$A147-1,$A$5:$A146,"&lt;="&amp;$A147,$B$5:$B146,$B147)&gt;0,MIN(1-'Exercise list'!F$2,IF($A147=$A146,AL146,1))-Q147&lt;0),-1,MIN(1,IF($A147=$A146,AL146,1)-Q147+$D$2))</f>
        <v>1</v>
      </c>
      <c r="AM147">
        <f>IF(OR($J147=1,COUNTIFS($A$5:$A146,"&gt;="&amp;$A147-1,$A$5:$A146,"&lt;="&amp;$A147,$B$5:$B146,$B147)&gt;0,MIN(1-'Exercise list'!G$2,IF($A147=$A146,AM146,1))-R147&lt;0),-1,MIN(1,IF($A147=$A146,AM146,1)-R147+$D$2))</f>
        <v>1</v>
      </c>
      <c r="AN147">
        <f>IF(OR($J147=1,COUNTIFS($A$5:$A146,"&gt;="&amp;$A147-1,$A$5:$A146,"&lt;="&amp;$A147,$B$5:$B146,$B147)&gt;0,MIN(1-'Exercise list'!H$2,IF($A147=$A146,AN146,1))-S147&lt;0),-1,MIN(1,IF($A147=$A146,AN146,1)-S147+$D$2))</f>
        <v>1</v>
      </c>
      <c r="AO147">
        <f>IF(OR($J147=1,COUNTIFS($A$5:$A146,"&gt;="&amp;$A147-1,$A$5:$A146,"&lt;="&amp;$A147,$B$5:$B146,$B147)&gt;0,MIN(1-'Exercise list'!I$2,IF($A147=$A146,AO146,1))-T147&lt;0),-1,MIN(1,IF($A147=$A146,AO146,1)-T147+$D$2))</f>
        <v>1</v>
      </c>
      <c r="AP147">
        <f>IF(OR($J147=1,COUNTIFS($A$5:$A146,"&gt;="&amp;$A147-1,$A$5:$A146,"&lt;="&amp;$A147,$B$5:$B146,$B147)&gt;0,MIN(1-'Exercise list'!J$2,IF($A147=$A146,AP146,1))-U147&lt;0),-1,MIN(1,IF($A147=$A146,AP146,1)-U147+$D$2))</f>
        <v>1</v>
      </c>
      <c r="AQ147">
        <f>IF(OR($J147=1,COUNTIFS($A$5:$A146,"&gt;="&amp;$A147-1,$A$5:$A146,"&lt;="&amp;$A147,$B$5:$B146,$B147)&gt;0,MIN(1-'Exercise list'!K$2,IF($A147=$A146,AQ146,1))-V147&lt;0),-1,MIN(1,IF($A147=$A146,AQ146,1)-V147+$D$2))</f>
        <v>1</v>
      </c>
      <c r="AR147">
        <f>IF(OR($J147=1,COUNTIFS($A$5:$A146,"&gt;="&amp;$A147-1,$A$5:$A146,"&lt;="&amp;$A147,$B$5:$B146,$B147)&gt;0,MIN(1-'Exercise list'!L$2,IF($A147=$A146,AR146,1))-W147&lt;0),-1,MIN(1,IF($A147=$A146,AR146,1)-W147+$D$2))</f>
        <v>1</v>
      </c>
      <c r="AS147">
        <f>IF(OR($J147=1,COUNTIFS($A$5:$A146,"&gt;="&amp;$A147-1,$A$5:$A146,"&lt;="&amp;$A147,$B$5:$B146,$B147)&gt;0,MIN(1-'Exercise list'!M$2,IF($A147=$A146,AS146,1))-X147&lt;0),-1,MIN(1,IF($A147=$A146,AS146,1)-X147+$D$2))</f>
        <v>1</v>
      </c>
      <c r="AT147">
        <f>IF(OR($J147=1,COUNTIFS($A$5:$A146,"&gt;="&amp;$A147-1,$A$5:$A146,"&lt;="&amp;$A147,$B$5:$B146,$B147)&gt;0,MIN(1-'Exercise list'!N$2,IF($A147=$A146,AT146,1))-Y147&lt;0),-1,MIN(1,IF($A147=$A146,AT146,1)-Y147+$D$2))</f>
        <v>1</v>
      </c>
      <c r="AU147">
        <f>IF(OR($J147=1,COUNTIFS($A$5:$A146,"&gt;="&amp;$A147-1,$A$5:$A146,"&lt;="&amp;$A147,$B$5:$B146,$B147)&gt;0,MIN(1-'Exercise list'!O$2,IF($A147=$A146,AU146,1))-Z147&lt;0),-1,MIN(1,IF($A147=$A146,AU146,1)-Z147+$D$2))</f>
        <v>1</v>
      </c>
      <c r="AV147">
        <f>IF(OR($J147=1,COUNTIFS($A$5:$A146,"&gt;="&amp;$A147-1,$A$5:$A146,"&lt;="&amp;$A147,$B$5:$B146,$B147)&gt;0,MIN(1-'Exercise list'!P$2,IF($A147=$A146,AV146,1))-AA147&lt;0),-1,MIN(1,IF($A147=$A146,AV146,1)-AA147+$D$2))</f>
        <v>1</v>
      </c>
      <c r="AW147">
        <f>IF(OR($J147=1,COUNTIFS($A$5:$A146,"&gt;="&amp;$A147-1,$A$5:$A146,"&lt;="&amp;$A147,$B$5:$B146,$B147)&gt;0,MIN(1-'Exercise list'!Q$2,IF($A147=$A146,AW146,1))-AB147&lt;0),-1,MIN(1,IF($A147=$A146,AW146,1)-AB147+$D$2))</f>
        <v>1</v>
      </c>
      <c r="AX147">
        <f>IF(OR($J147=1,COUNTIFS($A$5:$A146,"&gt;="&amp;$A147-1,$A$5:$A146,"&lt;="&amp;$A147,$B$5:$B146,$B147)&gt;0,MIN(1-'Exercise list'!R$2,IF($A147=$A146,AX146,1))-AC147&lt;0),-1,MIN(1,IF($A147=$A146,AX146,1)-AC147+$D$2))</f>
        <v>1</v>
      </c>
      <c r="AY147">
        <f>IF(OR($J147=1,COUNTIFS($A$5:$A146,"&gt;="&amp;$A147-1,$A$5:$A146,"&lt;="&amp;$A147,$B$5:$B146,$B147)&gt;0,MIN(1-'Exercise list'!S$2,IF($A147=$A146,AY146,1))-AD147&lt;0),-1,MIN(1,IF($A147=$A146,AY146,1)-AD147+$D$2))</f>
        <v>1</v>
      </c>
      <c r="AZ147">
        <f>IF(OR($J147=1,COUNTIFS($A$5:$A146,"&gt;="&amp;$A147-1,$A$5:$A146,"&lt;="&amp;$A147,$B$5:$B146,$B147)&gt;0,MIN(1-'Exercise list'!T$2,IF($A147=$A146,AZ146,1))-AE147&lt;0),-1,MIN(1,IF($A147=$A146,AZ146,1)-AE147+$D$2))</f>
        <v>1</v>
      </c>
      <c r="BA147">
        <f>IF(OR($J147=1,COUNTIFS($A$5:$A146,"&gt;="&amp;$A147-1,$A$5:$A146,"&lt;="&amp;$A147,$B$5:$B146,$B147)&gt;0,MIN(1-'Exercise list'!U$2,IF($A147=$A146,BA146,1))-AF147&lt;0),-1,MIN(1,IF($A147=$A146,BA146,1)-AF147+$D$2))</f>
        <v>1</v>
      </c>
      <c r="BB147">
        <f>IF(OR($J147=1,COUNTIFS($A$5:$A146,"&gt;="&amp;$A147-1,$A$5:$A146,"&lt;="&amp;$A147,$B$5:$B146,$B147)&gt;0,MIN(1-'Exercise list'!V$2,IF($A147=$A146,BB146,1))-AG147&lt;0),-1,MIN(1,IF($A147=$A146,BB146,1)-AG147+$D$2))</f>
        <v>1</v>
      </c>
      <c r="BC147">
        <f>IF(OR($J147=1,COUNTIFS($A$5:$A146,"&gt;="&amp;$A147-1,$A$5:$A146,"&lt;="&amp;$A147,$B$5:$B146,$B147)&gt;0,MIN(1-'Exercise list'!W$2,IF($A147=$A146,BC146,1))-AH147&lt;0),-1,MIN(1,IF($A147=$A146,BC146,1)-AH147+$D$2))</f>
        <v>1</v>
      </c>
      <c r="BD147">
        <f>IF(OR($J147=1,COUNTIFS($A$5:$A146,"&gt;="&amp;$A147-1,$A$5:$A146,"&lt;="&amp;$A147,$B$5:$B146,$B147)&gt;0,MIN(1-'Exercise list'!X$2,IF($A147=$A146,BD146,1))-AI147&lt;0),-1,MIN(1,IF($A147=$A146,BD146,1)-AI147+$D$2))</f>
        <v>1</v>
      </c>
      <c r="BF147" s="16">
        <f t="shared" si="100"/>
        <v>0.13413936294790285</v>
      </c>
      <c r="BG147" s="16">
        <f t="shared" si="101"/>
        <v>0.20150669960177447</v>
      </c>
      <c r="BH147" s="16">
        <f t="shared" si="102"/>
        <v>0.1621907560553936</v>
      </c>
      <c r="BI147" s="16">
        <f t="shared" si="103"/>
        <v>0.12926406039655522</v>
      </c>
      <c r="BJ147" s="16">
        <f t="shared" si="104"/>
        <v>8.7439882745008551E-2</v>
      </c>
      <c r="BK147" s="16">
        <f t="shared" si="105"/>
        <v>0.13846119271154581</v>
      </c>
      <c r="BL147" s="16">
        <f t="shared" si="106"/>
        <v>0.20375544038611984</v>
      </c>
      <c r="BM147" s="16">
        <f t="shared" si="107"/>
        <v>7.2151902527564128E-3</v>
      </c>
      <c r="BN147" s="16">
        <f t="shared" si="108"/>
        <v>0.14249713360280056</v>
      </c>
      <c r="BO147" s="16">
        <f t="shared" si="109"/>
        <v>0.22290347805417005</v>
      </c>
      <c r="BP147" s="16">
        <f t="shared" si="110"/>
        <v>0.24507947548497794</v>
      </c>
      <c r="BQ147" s="16">
        <f t="shared" si="111"/>
        <v>0.13336904263338825</v>
      </c>
      <c r="BR147" s="16">
        <f t="shared" si="112"/>
        <v>0.1498478133373988</v>
      </c>
      <c r="BS147" s="16">
        <f t="shared" si="113"/>
        <v>2.284609479748774E-2</v>
      </c>
      <c r="BT147" s="16">
        <f t="shared" si="114"/>
        <v>0.13520179058157017</v>
      </c>
      <c r="BU147" s="16">
        <f t="shared" si="115"/>
        <v>0.12301135404197271</v>
      </c>
      <c r="BV147" s="16">
        <f t="shared" si="116"/>
        <v>0.15802806434053668</v>
      </c>
      <c r="BW147" s="16">
        <f t="shared" si="117"/>
        <v>7.3042262964643181E-2</v>
      </c>
      <c r="BX147" s="16">
        <f t="shared" si="118"/>
        <v>7.4310146346596925E-2</v>
      </c>
      <c r="BY147" s="16">
        <f t="shared" si="119"/>
        <v>6.3993356357698983E-2</v>
      </c>
      <c r="CA147" s="16">
        <f t="shared" si="141"/>
        <v>5.9053422062489647E-2</v>
      </c>
      <c r="CB147" s="16">
        <f t="shared" si="122"/>
        <v>0</v>
      </c>
      <c r="CC147" s="16">
        <f t="shared" si="123"/>
        <v>0</v>
      </c>
      <c r="CD147" s="16">
        <f t="shared" si="124"/>
        <v>0</v>
      </c>
      <c r="CE147" s="16">
        <f t="shared" si="125"/>
        <v>9.1565097601876977E-3</v>
      </c>
      <c r="CF147" s="16">
        <f t="shared" si="126"/>
        <v>0.15132798480404294</v>
      </c>
      <c r="CG147" s="16">
        <f t="shared" si="127"/>
        <v>0</v>
      </c>
      <c r="CH147" s="16">
        <f t="shared" si="128"/>
        <v>8.938120225243984E-2</v>
      </c>
      <c r="CI147" s="16">
        <f t="shared" si="129"/>
        <v>5.0695651407591941E-2</v>
      </c>
      <c r="CJ147" s="16">
        <f t="shared" si="130"/>
        <v>0</v>
      </c>
      <c r="CK147" s="16">
        <f t="shared" si="131"/>
        <v>0</v>
      </c>
      <c r="CL147" s="16">
        <f t="shared" si="132"/>
        <v>0</v>
      </c>
      <c r="CM147" s="16">
        <f t="shared" si="133"/>
        <v>4.3344971672993698E-2</v>
      </c>
      <c r="CN147" s="16">
        <f t="shared" si="134"/>
        <v>7.3750297707708509E-2</v>
      </c>
      <c r="CO147" s="16">
        <f t="shared" si="135"/>
        <v>0</v>
      </c>
      <c r="CP147" s="16">
        <f t="shared" si="136"/>
        <v>0</v>
      </c>
      <c r="CQ147" s="16">
        <f t="shared" si="137"/>
        <v>3.516472066985582E-2</v>
      </c>
      <c r="CR147" s="16">
        <f t="shared" si="138"/>
        <v>2.3554129540553068E-2</v>
      </c>
      <c r="CS147" s="16">
        <f t="shared" si="139"/>
        <v>2.2286246158599324E-2</v>
      </c>
      <c r="CT147" s="16">
        <f t="shared" si="140"/>
        <v>3.2603036147497266E-2</v>
      </c>
    </row>
    <row r="148" spans="1:99" x14ac:dyDescent="0.25">
      <c r="A148" s="20">
        <v>45091</v>
      </c>
      <c r="B148" s="21">
        <v>1</v>
      </c>
      <c r="C148" s="22" t="str" cm="1">
        <f t="array" ref="C148">IF(B148="","",INDEX('Exercise list'!$C$5:$C$102,B148))</f>
        <v>Cycling machine</v>
      </c>
      <c r="D148" s="17">
        <f t="shared" si="97"/>
        <v>1</v>
      </c>
      <c r="E148" s="108">
        <f t="shared" si="120"/>
        <v>6.9706252177499843</v>
      </c>
      <c r="F148" s="65" cm="1">
        <f t="array" ref="F148">IF(B148="","",0.1+IFERROR(INDEX($F$6:$F147,SUMPRODUCT(MAX(ROW($C$6:$C147)*($C148=$C$6:$C147))-ROW($A$5)))*0.9^($A148-INDEX($A$6:A147,SUMPRODUCT(MAX(ROW($C$6:$C147)*($C148=$C$6:$C147))-ROW($A$5)))),0))</f>
        <v>0.1894473198397853</v>
      </c>
      <c r="G148" s="25">
        <f>INDEX('Exercise list'!$Y$5:$Y$102,MATCH(C148,'Exercise list'!$C$5:$C$102,0))</f>
        <v>3</v>
      </c>
      <c r="H148" s="116">
        <f t="shared" si="98"/>
        <v>4.8836071716637043E-2</v>
      </c>
      <c r="I148" s="18">
        <f t="shared" si="99"/>
        <v>5</v>
      </c>
      <c r="J148" s="18" cm="1">
        <f t="array" ref="J148">IF(B148="","",INDEX('Exercise list'!$D$5:$D$102,B148))</f>
        <v>0</v>
      </c>
      <c r="K148" s="17">
        <v>2</v>
      </c>
      <c r="L148" s="51" t="str" cm="1">
        <f t="array" ref="L148">IF(K148="","",INDEX('Exercise list'!$C$5:$C$102,K148))</f>
        <v>Lateral elliptical machine</v>
      </c>
      <c r="M148" s="18">
        <v>1</v>
      </c>
      <c r="N148" s="76" t="str" cm="1">
        <f t="array" ref="N148">IF(M148="","",INDEX('Exercise list'!$C$5:$C$102,M148))</f>
        <v>Cycling machine</v>
      </c>
      <c r="O148" s="19"/>
      <c r="P148" s="19">
        <f>IFERROR(INDEX('Exercise list'!$E$5:$X$102,MATCH($C148,'Exercise list'!$C$5:$C$102,0),MATCH(P$5,'Exercise list'!$E$4:$X$4,0)),0)</f>
        <v>0</v>
      </c>
      <c r="Q148" s="19">
        <f>IFERROR(INDEX('Exercise list'!$E$5:$X$102,MATCH($C148,'Exercise list'!$C$5:$C$102,0),MATCH(Q$5,'Exercise list'!$E$4:$X$4,0)),0)</f>
        <v>0</v>
      </c>
      <c r="R148" s="19">
        <f>IFERROR(INDEX('Exercise list'!$E$5:$X$102,MATCH($C148,'Exercise list'!$C$5:$C$102,0),MATCH(R$5,'Exercise list'!$E$4:$X$4,0)),0)</f>
        <v>0</v>
      </c>
      <c r="S148" s="19">
        <f>IFERROR(INDEX('Exercise list'!$E$5:$X$102,MATCH($C148,'Exercise list'!$C$5:$C$102,0),MATCH(S$5,'Exercise list'!$E$4:$X$4,0)),0)</f>
        <v>0</v>
      </c>
      <c r="T148" s="19">
        <f>IFERROR(INDEX('Exercise list'!$E$5:$X$102,MATCH($C148,'Exercise list'!$C$5:$C$102,0),MATCH(T$5,'Exercise list'!$E$4:$X$4,0)),0)</f>
        <v>0</v>
      </c>
      <c r="U148" s="19">
        <f>IFERROR(INDEX('Exercise list'!$E$5:$X$102,MATCH($C148,'Exercise list'!$C$5:$C$102,0),MATCH(U$5,'Exercise list'!$E$4:$X$4,0)),0)</f>
        <v>0</v>
      </c>
      <c r="V148" s="19">
        <f>IFERROR(INDEX('Exercise list'!$E$5:$X$102,MATCH($C148,'Exercise list'!$C$5:$C$102,0),MATCH(V$5,'Exercise list'!$E$4:$X$4,0)),0)</f>
        <v>0</v>
      </c>
      <c r="W148" s="19">
        <f>IFERROR(INDEX('Exercise list'!$E$5:$X$102,MATCH($C148,'Exercise list'!$C$5:$C$102,0),MATCH(W$5,'Exercise list'!$E$4:$X$4,0)),0)</f>
        <v>0</v>
      </c>
      <c r="X148" s="19">
        <f>IFERROR(INDEX('Exercise list'!$E$5:$X$102,MATCH($C148,'Exercise list'!$C$5:$C$102,0),MATCH(X$5,'Exercise list'!$E$4:$X$4,0)),0)</f>
        <v>0</v>
      </c>
      <c r="Y148" s="19">
        <f>IFERROR(INDEX('Exercise list'!$E$5:$X$102,MATCH($C148,'Exercise list'!$C$5:$C$102,0),MATCH(Y$5,'Exercise list'!$E$4:$X$4,0)),0)</f>
        <v>0</v>
      </c>
      <c r="Z148" s="19">
        <f>IFERROR(INDEX('Exercise list'!$E$5:$X$102,MATCH($C148,'Exercise list'!$C$5:$C$102,0),MATCH(Z$5,'Exercise list'!$E$4:$X$4,0)),0)</f>
        <v>0</v>
      </c>
      <c r="AA148" s="19">
        <f>IFERROR(INDEX('Exercise list'!$E$5:$X$102,MATCH($C148,'Exercise list'!$C$5:$C$102,0),MATCH(AA$5,'Exercise list'!$E$4:$X$4,0)),0)</f>
        <v>0</v>
      </c>
      <c r="AB148" s="19">
        <f>IFERROR(INDEX('Exercise list'!$E$5:$X$102,MATCH($C148,'Exercise list'!$C$5:$C$102,0),MATCH(AB$5,'Exercise list'!$E$4:$X$4,0)),0)</f>
        <v>0</v>
      </c>
      <c r="AC148" s="19">
        <f>IFERROR(INDEX('Exercise list'!$E$5:$X$102,MATCH($C148,'Exercise list'!$C$5:$C$102,0),MATCH(AC$5,'Exercise list'!$E$4:$X$4,0)),0)</f>
        <v>0</v>
      </c>
      <c r="AD148" s="19">
        <f>IFERROR(INDEX('Exercise list'!$E$5:$X$102,MATCH($C148,'Exercise list'!$C$5:$C$102,0),MATCH(AD$5,'Exercise list'!$E$4:$X$4,0)),0)</f>
        <v>1</v>
      </c>
      <c r="AE148" s="19">
        <f>IFERROR(INDEX('Exercise list'!$E$5:$X$102,MATCH($C148,'Exercise list'!$C$5:$C$102,0),MATCH(AE$5,'Exercise list'!$E$4:$X$4,0)),0)</f>
        <v>0.8</v>
      </c>
      <c r="AF148" s="19">
        <f>IFERROR(INDEX('Exercise list'!$E$5:$X$102,MATCH($C148,'Exercise list'!$C$5:$C$102,0),MATCH(AF$5,'Exercise list'!$E$4:$X$4,0)),0)</f>
        <v>0.7</v>
      </c>
      <c r="AG148" s="19">
        <f>IFERROR(INDEX('Exercise list'!$E$5:$X$102,MATCH($C148,'Exercise list'!$C$5:$C$102,0),MATCH(AG$5,'Exercise list'!$E$4:$X$4,0)),0)</f>
        <v>1</v>
      </c>
      <c r="AH148" s="19">
        <f>IFERROR(INDEX('Exercise list'!$E$5:$X$102,MATCH($C148,'Exercise list'!$C$5:$C$102,0),MATCH(AH$5,'Exercise list'!$E$4:$X$4,0)),0)</f>
        <v>0</v>
      </c>
      <c r="AI148" s="19">
        <f>IFERROR(INDEX('Exercise list'!$E$5:$X$102,MATCH($C148,'Exercise list'!$C$5:$C$102,0),MATCH(AI$5,'Exercise list'!$E$4:$X$4,0)),0)</f>
        <v>0</v>
      </c>
      <c r="AJ148" s="19"/>
      <c r="AK148" s="19">
        <f>IF(OR($J148=1,COUNTIFS($A$5:$A147,"&gt;="&amp;$A148-1,$A$5:$A147,"&lt;="&amp;$A148,$B$5:$B147,$B148)&gt;0,MIN(1-'Exercise list'!E$2,IF($A148=$A147,AK147,1))-P148&lt;0),-1,MIN(1,IF($A148=$A147,AK147,1)-P148+$D$2))</f>
        <v>1</v>
      </c>
      <c r="AL148" s="19">
        <f>IF(OR($J148=1,COUNTIFS($A$5:$A147,"&gt;="&amp;$A148-1,$A$5:$A147,"&lt;="&amp;$A148,$B$5:$B147,$B148)&gt;0,MIN(1-'Exercise list'!F$2,IF($A148=$A147,AL147,1))-Q148&lt;0),-1,MIN(1,IF($A148=$A147,AL147,1)-Q148+$D$2))</f>
        <v>1</v>
      </c>
      <c r="AM148" s="19">
        <f>IF(OR($J148=1,COUNTIFS($A$5:$A147,"&gt;="&amp;$A148-1,$A$5:$A147,"&lt;="&amp;$A148,$B$5:$B147,$B148)&gt;0,MIN(1-'Exercise list'!G$2,IF($A148=$A147,AM147,1))-R148&lt;0),-1,MIN(1,IF($A148=$A147,AM147,1)-R148+$D$2))</f>
        <v>1</v>
      </c>
      <c r="AN148" s="19">
        <f>IF(OR($J148=1,COUNTIFS($A$5:$A147,"&gt;="&amp;$A148-1,$A$5:$A147,"&lt;="&amp;$A148,$B$5:$B147,$B148)&gt;0,MIN(1-'Exercise list'!H$2,IF($A148=$A147,AN147,1))-S148&lt;0),-1,MIN(1,IF($A148=$A147,AN147,1)-S148+$D$2))</f>
        <v>1</v>
      </c>
      <c r="AO148" s="19">
        <f>IF(OR($J148=1,COUNTIFS($A$5:$A147,"&gt;="&amp;$A148-1,$A$5:$A147,"&lt;="&amp;$A148,$B$5:$B147,$B148)&gt;0,MIN(1-'Exercise list'!I$2,IF($A148=$A147,AO147,1))-T148&lt;0),-1,MIN(1,IF($A148=$A147,AO147,1)-T148+$D$2))</f>
        <v>1</v>
      </c>
      <c r="AP148" s="19">
        <f>IF(OR($J148=1,COUNTIFS($A$5:$A147,"&gt;="&amp;$A148-1,$A$5:$A147,"&lt;="&amp;$A148,$B$5:$B147,$B148)&gt;0,MIN(1-'Exercise list'!J$2,IF($A148=$A147,AP147,1))-U148&lt;0),-1,MIN(1,IF($A148=$A147,AP147,1)-U148+$D$2))</f>
        <v>1</v>
      </c>
      <c r="AQ148" s="19">
        <f>IF(OR($J148=1,COUNTIFS($A$5:$A147,"&gt;="&amp;$A148-1,$A$5:$A147,"&lt;="&amp;$A148,$B$5:$B147,$B148)&gt;0,MIN(1-'Exercise list'!K$2,IF($A148=$A147,AQ147,1))-V148&lt;0),-1,MIN(1,IF($A148=$A147,AQ147,1)-V148+$D$2))</f>
        <v>1</v>
      </c>
      <c r="AR148" s="19">
        <f>IF(OR($J148=1,COUNTIFS($A$5:$A147,"&gt;="&amp;$A148-1,$A$5:$A147,"&lt;="&amp;$A148,$B$5:$B147,$B148)&gt;0,MIN(1-'Exercise list'!L$2,IF($A148=$A147,AR147,1))-W148&lt;0),-1,MIN(1,IF($A148=$A147,AR147,1)-W148+$D$2))</f>
        <v>1</v>
      </c>
      <c r="AS148" s="19">
        <f>IF(OR($J148=1,COUNTIFS($A$5:$A147,"&gt;="&amp;$A148-1,$A$5:$A147,"&lt;="&amp;$A148,$B$5:$B147,$B148)&gt;0,MIN(1-'Exercise list'!M$2,IF($A148=$A147,AS147,1))-X148&lt;0),-1,MIN(1,IF($A148=$A147,AS147,1)-X148+$D$2))</f>
        <v>1</v>
      </c>
      <c r="AT148" s="19">
        <f>IF(OR($J148=1,COUNTIFS($A$5:$A147,"&gt;="&amp;$A148-1,$A$5:$A147,"&lt;="&amp;$A148,$B$5:$B147,$B148)&gt;0,MIN(1-'Exercise list'!N$2,IF($A148=$A147,AT147,1))-Y148&lt;0),-1,MIN(1,IF($A148=$A147,AT147,1)-Y148+$D$2))</f>
        <v>1</v>
      </c>
      <c r="AU148" s="19">
        <f>IF(OR($J148=1,COUNTIFS($A$5:$A147,"&gt;="&amp;$A148-1,$A$5:$A147,"&lt;="&amp;$A148,$B$5:$B147,$B148)&gt;0,MIN(1-'Exercise list'!O$2,IF($A148=$A147,AU147,1))-Z148&lt;0),-1,MIN(1,IF($A148=$A147,AU147,1)-Z148+$D$2))</f>
        <v>1</v>
      </c>
      <c r="AV148" s="19">
        <f>IF(OR($J148=1,COUNTIFS($A$5:$A147,"&gt;="&amp;$A148-1,$A$5:$A147,"&lt;="&amp;$A148,$B$5:$B147,$B148)&gt;0,MIN(1-'Exercise list'!P$2,IF($A148=$A147,AV147,1))-AA148&lt;0),-1,MIN(1,IF($A148=$A147,AV147,1)-AA148+$D$2))</f>
        <v>1</v>
      </c>
      <c r="AW148" s="19">
        <f>IF(OR($J148=1,COUNTIFS($A$5:$A147,"&gt;="&amp;$A148-1,$A$5:$A147,"&lt;="&amp;$A148,$B$5:$B147,$B148)&gt;0,MIN(1-'Exercise list'!Q$2,IF($A148=$A147,AW147,1))-AB148&lt;0),-1,MIN(1,IF($A148=$A147,AW147,1)-AB148+$D$2))</f>
        <v>1</v>
      </c>
      <c r="AX148" s="19">
        <f>IF(OR($J148=1,COUNTIFS($A$5:$A147,"&gt;="&amp;$A148-1,$A$5:$A147,"&lt;="&amp;$A148,$B$5:$B147,$B148)&gt;0,MIN(1-'Exercise list'!R$2,IF($A148=$A147,AX147,1))-AC148&lt;0),-1,MIN(1,IF($A148=$A147,AX147,1)-AC148+$D$2))</f>
        <v>1</v>
      </c>
      <c r="AY148" s="19">
        <f>IF(OR($J148=1,COUNTIFS($A$5:$A147,"&gt;="&amp;$A148-1,$A$5:$A147,"&lt;="&amp;$A148,$B$5:$B147,$B148)&gt;0,MIN(1-'Exercise list'!S$2,IF($A148=$A147,AY147,1))-AD148&lt;0),-1,MIN(1,IF($A148=$A147,AY147,1)-AD148+$D$2))</f>
        <v>1</v>
      </c>
      <c r="AZ148" s="19">
        <f>IF(OR($J148=1,COUNTIFS($A$5:$A147,"&gt;="&amp;$A148-1,$A$5:$A147,"&lt;="&amp;$A148,$B$5:$B147,$B148)&gt;0,MIN(1-'Exercise list'!T$2,IF($A148=$A147,AZ147,1))-AE148&lt;0),-1,MIN(1,IF($A148=$A147,AZ147,1)-AE148+$D$2))</f>
        <v>1</v>
      </c>
      <c r="BA148" s="19">
        <f>IF(OR($J148=1,COUNTIFS($A$5:$A147,"&gt;="&amp;$A148-1,$A$5:$A147,"&lt;="&amp;$A148,$B$5:$B147,$B148)&gt;0,MIN(1-'Exercise list'!U$2,IF($A148=$A147,BA147,1))-AF148&lt;0),-1,MIN(1,IF($A148=$A147,BA147,1)-AF148+$D$2))</f>
        <v>1</v>
      </c>
      <c r="BB148" s="19">
        <f>IF(OR($J148=1,COUNTIFS($A$5:$A147,"&gt;="&amp;$A148-1,$A$5:$A147,"&lt;="&amp;$A148,$B$5:$B147,$B148)&gt;0,MIN(1-'Exercise list'!V$2,IF($A148=$A147,BB147,1))-AG148&lt;0),-1,MIN(1,IF($A148=$A147,BB147,1)-AG148+$D$2))</f>
        <v>1</v>
      </c>
      <c r="BC148" s="19">
        <f>IF(OR($J148=1,COUNTIFS($A$5:$A147,"&gt;="&amp;$A148-1,$A$5:$A147,"&lt;="&amp;$A148,$B$5:$B147,$B148)&gt;0,MIN(1-'Exercise list'!W$2,IF($A148=$A147,BC147,1))-AH148&lt;0),-1,MIN(1,IF($A148=$A147,BC147,1)-AH148+$D$2))</f>
        <v>1</v>
      </c>
      <c r="BD148" s="19">
        <f>IF(OR($J148=1,COUNTIFS($A$5:$A147,"&gt;="&amp;$A148-1,$A$5:$A147,"&lt;="&amp;$A148,$B$5:$B147,$B148)&gt;0,MIN(1-'Exercise list'!X$2,IF($A148=$A147,BD147,1))-AI148&lt;0),-1,MIN(1,IF($A148=$A147,BD147,1)-AI148+$D$2))</f>
        <v>1</v>
      </c>
      <c r="BE148" s="19"/>
      <c r="BF148" s="23">
        <f t="shared" si="100"/>
        <v>0.13413936294790285</v>
      </c>
      <c r="BG148" s="23">
        <f t="shared" si="101"/>
        <v>0.20150669960177447</v>
      </c>
      <c r="BH148" s="23">
        <f t="shared" si="102"/>
        <v>0.1621907560553936</v>
      </c>
      <c r="BI148" s="23">
        <f t="shared" si="103"/>
        <v>0.12926406039655522</v>
      </c>
      <c r="BJ148" s="23">
        <f t="shared" si="104"/>
        <v>8.7439882745008551E-2</v>
      </c>
      <c r="BK148" s="23">
        <f t="shared" si="105"/>
        <v>0.13846119271154581</v>
      </c>
      <c r="BL148" s="23">
        <f t="shared" si="106"/>
        <v>0.20375544038611984</v>
      </c>
      <c r="BM148" s="23">
        <f t="shared" si="107"/>
        <v>7.2151902527564128E-3</v>
      </c>
      <c r="BN148" s="23">
        <f t="shared" si="108"/>
        <v>0.14249713360280056</v>
      </c>
      <c r="BO148" s="23">
        <f t="shared" si="109"/>
        <v>0.22290347805417005</v>
      </c>
      <c r="BP148" s="23">
        <f t="shared" si="110"/>
        <v>0.24507947548497794</v>
      </c>
      <c r="BQ148" s="23">
        <f t="shared" si="111"/>
        <v>0.13336904263338825</v>
      </c>
      <c r="BR148" s="23">
        <f t="shared" si="112"/>
        <v>0.1498478133373988</v>
      </c>
      <c r="BS148" s="23">
        <f t="shared" si="113"/>
        <v>2.284609479748774E-2</v>
      </c>
      <c r="BT148" s="23">
        <f t="shared" si="114"/>
        <v>0.13520179058157017</v>
      </c>
      <c r="BU148" s="23">
        <f t="shared" si="115"/>
        <v>0.12301135404197271</v>
      </c>
      <c r="BV148" s="23">
        <f t="shared" si="116"/>
        <v>0.15802806434053668</v>
      </c>
      <c r="BW148" s="23">
        <f t="shared" si="117"/>
        <v>7.3042262964643181E-2</v>
      </c>
      <c r="BX148" s="23">
        <f t="shared" si="118"/>
        <v>7.4310146346596925E-2</v>
      </c>
      <c r="BY148" s="23">
        <f t="shared" si="119"/>
        <v>6.3993356357698983E-2</v>
      </c>
      <c r="BZ148" s="19"/>
      <c r="CA148" s="23">
        <f t="shared" si="141"/>
        <v>5.9053422062489647E-2</v>
      </c>
      <c r="CB148" s="23">
        <f t="shared" si="122"/>
        <v>0</v>
      </c>
      <c r="CC148" s="23">
        <f t="shared" si="123"/>
        <v>0</v>
      </c>
      <c r="CD148" s="23">
        <f t="shared" si="124"/>
        <v>0</v>
      </c>
      <c r="CE148" s="23">
        <f t="shared" si="125"/>
        <v>9.1565097601876977E-3</v>
      </c>
      <c r="CF148" s="23">
        <f t="shared" si="126"/>
        <v>0.15132798480404294</v>
      </c>
      <c r="CG148" s="23">
        <f t="shared" si="127"/>
        <v>0</v>
      </c>
      <c r="CH148" s="23">
        <f t="shared" si="128"/>
        <v>8.938120225243984E-2</v>
      </c>
      <c r="CI148" s="23">
        <f t="shared" si="129"/>
        <v>5.0695651407591941E-2</v>
      </c>
      <c r="CJ148" s="23">
        <f t="shared" si="130"/>
        <v>0</v>
      </c>
      <c r="CK148" s="23">
        <f t="shared" si="131"/>
        <v>0</v>
      </c>
      <c r="CL148" s="23">
        <f t="shared" si="132"/>
        <v>0</v>
      </c>
      <c r="CM148" s="23">
        <f t="shared" si="133"/>
        <v>4.3344971672993698E-2</v>
      </c>
      <c r="CN148" s="23">
        <f t="shared" si="134"/>
        <v>7.3750297707708509E-2</v>
      </c>
      <c r="CO148" s="23">
        <f t="shared" si="135"/>
        <v>0</v>
      </c>
      <c r="CP148" s="23">
        <f t="shared" si="136"/>
        <v>0</v>
      </c>
      <c r="CQ148" s="23">
        <f t="shared" si="137"/>
        <v>3.516472066985582E-2</v>
      </c>
      <c r="CR148" s="23">
        <f t="shared" si="138"/>
        <v>2.3554129540553068E-2</v>
      </c>
      <c r="CS148" s="23">
        <f t="shared" si="139"/>
        <v>2.2286246158599324E-2</v>
      </c>
      <c r="CT148" s="23">
        <f t="shared" si="140"/>
        <v>3.2603036147497266E-2</v>
      </c>
      <c r="CU148" s="19"/>
    </row>
    <row r="149" spans="1:99" x14ac:dyDescent="0.25">
      <c r="A149" s="13">
        <v>45093</v>
      </c>
      <c r="B149" s="14">
        <v>25</v>
      </c>
      <c r="C149" s="15" t="str" cm="1">
        <f t="array" ref="C149">IF(B149="","",INDEX('Exercise list'!$C$5:$C$102,B149))</f>
        <v>Dumbbell decline bench presses</v>
      </c>
      <c r="D149" s="12">
        <f t="shared" si="97"/>
        <v>1</v>
      </c>
      <c r="E149" s="107">
        <f t="shared" si="120"/>
        <v>0</v>
      </c>
      <c r="F149" s="63" cm="1">
        <f t="array" ref="F149">IF(B149="","",0.1+IFERROR(INDEX($F$6:$F148,SUMPRODUCT(MAX(ROW($C$6:$C148)*($C149=$C$6:$C148))-ROW($A$5)))*0.9^($A149-INDEX($A$6:A148,SUMPRODUCT(MAX(ROW($C$6:$C148)*($C149=$C$6:$C148))-ROW($A$5)))),0))</f>
        <v>0.10797664430768726</v>
      </c>
      <c r="G149" s="64">
        <f>INDEX('Exercise list'!$Y$5:$Y$102,MATCH(C149,'Exercise list'!$C$5:$C$102,0))</f>
        <v>2</v>
      </c>
      <c r="H149" s="115">
        <f t="shared" si="98"/>
        <v>5.0600149666574556E-2</v>
      </c>
      <c r="I149" s="42">
        <f t="shared" si="99"/>
        <v>1</v>
      </c>
      <c r="J149" s="6" cm="1">
        <f t="array" ref="J149">IF(B149="","",INDEX('Exercise list'!$D$5:$D$102,B149))</f>
        <v>0</v>
      </c>
      <c r="K149" s="12">
        <v>16</v>
      </c>
      <c r="L149" s="74" t="str" cm="1">
        <f t="array" ref="L149">IF(K149="","",INDEX('Exercise list'!$C$5:$C$102,K149))</f>
        <v>Pull-ups</v>
      </c>
      <c r="M149" s="6">
        <v>59</v>
      </c>
      <c r="N149" s="75" t="str" cm="1">
        <f t="array" ref="N149">IF(M149="","",INDEX('Exercise list'!$C$5:$C$102,M149))</f>
        <v>Triceps dips</v>
      </c>
      <c r="P149">
        <f>IFERROR(INDEX('Exercise list'!$E$5:$X$102,MATCH($C149,'Exercise list'!$C$5:$C$102,0),MATCH(P$5,'Exercise list'!$E$4:$X$4,0)),0)</f>
        <v>1</v>
      </c>
      <c r="Q149">
        <f>IFERROR(INDEX('Exercise list'!$E$5:$X$102,MATCH($C149,'Exercise list'!$C$5:$C$102,0),MATCH(Q$5,'Exercise list'!$E$4:$X$4,0)),0)</f>
        <v>0</v>
      </c>
      <c r="R149">
        <f>IFERROR(INDEX('Exercise list'!$E$5:$X$102,MATCH($C149,'Exercise list'!$C$5:$C$102,0),MATCH(R$5,'Exercise list'!$E$4:$X$4,0)),0)</f>
        <v>0</v>
      </c>
      <c r="S149">
        <f>IFERROR(INDEX('Exercise list'!$E$5:$X$102,MATCH($C149,'Exercise list'!$C$5:$C$102,0),MATCH(S$5,'Exercise list'!$E$4:$X$4,0)),0)</f>
        <v>0</v>
      </c>
      <c r="T149">
        <f>IFERROR(INDEX('Exercise list'!$E$5:$X$102,MATCH($C149,'Exercise list'!$C$5:$C$102,0),MATCH(T$5,'Exercise list'!$E$4:$X$4,0)),0)</f>
        <v>0</v>
      </c>
      <c r="U149">
        <f>IFERROR(INDEX('Exercise list'!$E$5:$X$102,MATCH($C149,'Exercise list'!$C$5:$C$102,0),MATCH(U$5,'Exercise list'!$E$4:$X$4,0)),0)</f>
        <v>0</v>
      </c>
      <c r="V149">
        <f>IFERROR(INDEX('Exercise list'!$E$5:$X$102,MATCH($C149,'Exercise list'!$C$5:$C$102,0),MATCH(V$5,'Exercise list'!$E$4:$X$4,0)),0)</f>
        <v>0.5</v>
      </c>
      <c r="W149">
        <f>IFERROR(INDEX('Exercise list'!$E$5:$X$102,MATCH($C149,'Exercise list'!$C$5:$C$102,0),MATCH(W$5,'Exercise list'!$E$4:$X$4,0)),0)</f>
        <v>0</v>
      </c>
      <c r="X149">
        <f>IFERROR(INDEX('Exercise list'!$E$5:$X$102,MATCH($C149,'Exercise list'!$C$5:$C$102,0),MATCH(X$5,'Exercise list'!$E$4:$X$4,0)),0)</f>
        <v>0</v>
      </c>
      <c r="Y149">
        <f>IFERROR(INDEX('Exercise list'!$E$5:$X$102,MATCH($C149,'Exercise list'!$C$5:$C$102,0),MATCH(Y$5,'Exercise list'!$E$4:$X$4,0)),0)</f>
        <v>1</v>
      </c>
      <c r="Z149">
        <f>IFERROR(INDEX('Exercise list'!$E$5:$X$102,MATCH($C149,'Exercise list'!$C$5:$C$102,0),MATCH(Z$5,'Exercise list'!$E$4:$X$4,0)),0)</f>
        <v>0.5</v>
      </c>
      <c r="AA149">
        <f>IFERROR(INDEX('Exercise list'!$E$5:$X$102,MATCH($C149,'Exercise list'!$C$5:$C$102,0),MATCH(AA$5,'Exercise list'!$E$4:$X$4,0)),0)</f>
        <v>0</v>
      </c>
      <c r="AB149">
        <f>IFERROR(INDEX('Exercise list'!$E$5:$X$102,MATCH($C149,'Exercise list'!$C$5:$C$102,0),MATCH(AB$5,'Exercise list'!$E$4:$X$4,0)),0)</f>
        <v>0</v>
      </c>
      <c r="AC149">
        <f>IFERROR(INDEX('Exercise list'!$E$5:$X$102,MATCH($C149,'Exercise list'!$C$5:$C$102,0),MATCH(AC$5,'Exercise list'!$E$4:$X$4,0)),0)</f>
        <v>0</v>
      </c>
      <c r="AD149">
        <f>IFERROR(INDEX('Exercise list'!$E$5:$X$102,MATCH($C149,'Exercise list'!$C$5:$C$102,0),MATCH(AD$5,'Exercise list'!$E$4:$X$4,0)),0)</f>
        <v>0</v>
      </c>
      <c r="AE149">
        <f>IFERROR(INDEX('Exercise list'!$E$5:$X$102,MATCH($C149,'Exercise list'!$C$5:$C$102,0),MATCH(AE$5,'Exercise list'!$E$4:$X$4,0)),0)</f>
        <v>0</v>
      </c>
      <c r="AF149">
        <f>IFERROR(INDEX('Exercise list'!$E$5:$X$102,MATCH($C149,'Exercise list'!$C$5:$C$102,0),MATCH(AF$5,'Exercise list'!$E$4:$X$4,0)),0)</f>
        <v>0</v>
      </c>
      <c r="AG149">
        <f>IFERROR(INDEX('Exercise list'!$E$5:$X$102,MATCH($C149,'Exercise list'!$C$5:$C$102,0),MATCH(AG$5,'Exercise list'!$E$4:$X$4,0)),0)</f>
        <v>0</v>
      </c>
      <c r="AH149">
        <f>IFERROR(INDEX('Exercise list'!$E$5:$X$102,MATCH($C149,'Exercise list'!$C$5:$C$102,0),MATCH(AH$5,'Exercise list'!$E$4:$X$4,0)),0)</f>
        <v>0</v>
      </c>
      <c r="AI149">
        <f>IFERROR(INDEX('Exercise list'!$E$5:$X$102,MATCH($C149,'Exercise list'!$C$5:$C$102,0),MATCH(AI$5,'Exercise list'!$E$4:$X$4,0)),0)</f>
        <v>0</v>
      </c>
      <c r="AK149">
        <f>IF(OR($J149=1,COUNTIFS($A$5:$A148,"&gt;="&amp;$A149-1,$A$5:$A148,"&lt;="&amp;$A149,$B$5:$B148,$B149)&gt;0,MIN(1-'Exercise list'!E$2,IF($A149=$A148,AK148,1))-P149&lt;0),-1,MIN(1,IF($A149=$A148,AK148,1)-P149+$D$2))</f>
        <v>1</v>
      </c>
      <c r="AL149">
        <f>IF(OR($J149=1,COUNTIFS($A$5:$A148,"&gt;="&amp;$A149-1,$A$5:$A148,"&lt;="&amp;$A149,$B$5:$B148,$B149)&gt;0,MIN(1-'Exercise list'!F$2,IF($A149=$A148,AL148,1))-Q149&lt;0),-1,MIN(1,IF($A149=$A148,AL148,1)-Q149+$D$2))</f>
        <v>1</v>
      </c>
      <c r="AM149">
        <f>IF(OR($J149=1,COUNTIFS($A$5:$A148,"&gt;="&amp;$A149-1,$A$5:$A148,"&lt;="&amp;$A149,$B$5:$B148,$B149)&gt;0,MIN(1-'Exercise list'!G$2,IF($A149=$A148,AM148,1))-R149&lt;0),-1,MIN(1,IF($A149=$A148,AM148,1)-R149+$D$2))</f>
        <v>1</v>
      </c>
      <c r="AN149">
        <f>IF(OR($J149=1,COUNTIFS($A$5:$A148,"&gt;="&amp;$A149-1,$A$5:$A148,"&lt;="&amp;$A149,$B$5:$B148,$B149)&gt;0,MIN(1-'Exercise list'!H$2,IF($A149=$A148,AN148,1))-S149&lt;0),-1,MIN(1,IF($A149=$A148,AN148,1)-S149+$D$2))</f>
        <v>1</v>
      </c>
      <c r="AO149">
        <f>IF(OR($J149=1,COUNTIFS($A$5:$A148,"&gt;="&amp;$A149-1,$A$5:$A148,"&lt;="&amp;$A149,$B$5:$B148,$B149)&gt;0,MIN(1-'Exercise list'!I$2,IF($A149=$A148,AO148,1))-T149&lt;0),-1,MIN(1,IF($A149=$A148,AO148,1)-T149+$D$2))</f>
        <v>1</v>
      </c>
      <c r="AP149">
        <f>IF(OR($J149=1,COUNTIFS($A$5:$A148,"&gt;="&amp;$A149-1,$A$5:$A148,"&lt;="&amp;$A149,$B$5:$B148,$B149)&gt;0,MIN(1-'Exercise list'!J$2,IF($A149=$A148,AP148,1))-U149&lt;0),-1,MIN(1,IF($A149=$A148,AP148,1)-U149+$D$2))</f>
        <v>1</v>
      </c>
      <c r="AQ149">
        <f>IF(OR($J149=1,COUNTIFS($A$5:$A148,"&gt;="&amp;$A149-1,$A$5:$A148,"&lt;="&amp;$A149,$B$5:$B148,$B149)&gt;0,MIN(1-'Exercise list'!K$2,IF($A149=$A148,AQ148,1))-V149&lt;0),-1,MIN(1,IF($A149=$A148,AQ148,1)-V149+$D$2))</f>
        <v>1</v>
      </c>
      <c r="AR149">
        <f>IF(OR($J149=1,COUNTIFS($A$5:$A148,"&gt;="&amp;$A149-1,$A$5:$A148,"&lt;="&amp;$A149,$B$5:$B148,$B149)&gt;0,MIN(1-'Exercise list'!L$2,IF($A149=$A148,AR148,1))-W149&lt;0),-1,MIN(1,IF($A149=$A148,AR148,1)-W149+$D$2))</f>
        <v>1</v>
      </c>
      <c r="AS149">
        <f>IF(OR($J149=1,COUNTIFS($A$5:$A148,"&gt;="&amp;$A149-1,$A$5:$A148,"&lt;="&amp;$A149,$B$5:$B148,$B149)&gt;0,MIN(1-'Exercise list'!M$2,IF($A149=$A148,AS148,1))-X149&lt;0),-1,MIN(1,IF($A149=$A148,AS148,1)-X149+$D$2))</f>
        <v>1</v>
      </c>
      <c r="AT149">
        <f>IF(OR($J149=1,COUNTIFS($A$5:$A148,"&gt;="&amp;$A149-1,$A$5:$A148,"&lt;="&amp;$A149,$B$5:$B148,$B149)&gt;0,MIN(1-'Exercise list'!N$2,IF($A149=$A148,AT148,1))-Y149&lt;0),-1,MIN(1,IF($A149=$A148,AT148,1)-Y149+$D$2))</f>
        <v>1</v>
      </c>
      <c r="AU149">
        <f>IF(OR($J149=1,COUNTIFS($A$5:$A148,"&gt;="&amp;$A149-1,$A$5:$A148,"&lt;="&amp;$A149,$B$5:$B148,$B149)&gt;0,MIN(1-'Exercise list'!O$2,IF($A149=$A148,AU148,1))-Z149&lt;0),-1,MIN(1,IF($A149=$A148,AU148,1)-Z149+$D$2))</f>
        <v>1</v>
      </c>
      <c r="AV149">
        <f>IF(OR($J149=1,COUNTIFS($A$5:$A148,"&gt;="&amp;$A149-1,$A$5:$A148,"&lt;="&amp;$A149,$B$5:$B148,$B149)&gt;0,MIN(1-'Exercise list'!P$2,IF($A149=$A148,AV148,1))-AA149&lt;0),-1,MIN(1,IF($A149=$A148,AV148,1)-AA149+$D$2))</f>
        <v>1</v>
      </c>
      <c r="AW149">
        <f>IF(OR($J149=1,COUNTIFS($A$5:$A148,"&gt;="&amp;$A149-1,$A$5:$A148,"&lt;="&amp;$A149,$B$5:$B148,$B149)&gt;0,MIN(1-'Exercise list'!Q$2,IF($A149=$A148,AW148,1))-AB149&lt;0),-1,MIN(1,IF($A149=$A148,AW148,1)-AB149+$D$2))</f>
        <v>1</v>
      </c>
      <c r="AX149">
        <f>IF(OR($J149=1,COUNTIFS($A$5:$A148,"&gt;="&amp;$A149-1,$A$5:$A148,"&lt;="&amp;$A149,$B$5:$B148,$B149)&gt;0,MIN(1-'Exercise list'!R$2,IF($A149=$A148,AX148,1))-AC149&lt;0),-1,MIN(1,IF($A149=$A148,AX148,1)-AC149+$D$2))</f>
        <v>1</v>
      </c>
      <c r="AY149">
        <f>IF(OR($J149=1,COUNTIFS($A$5:$A148,"&gt;="&amp;$A149-1,$A$5:$A148,"&lt;="&amp;$A149,$B$5:$B148,$B149)&gt;0,MIN(1-'Exercise list'!S$2,IF($A149=$A148,AY148,1))-AD149&lt;0),-1,MIN(1,IF($A149=$A148,AY148,1)-AD149+$D$2))</f>
        <v>1</v>
      </c>
      <c r="AZ149">
        <f>IF(OR($J149=1,COUNTIFS($A$5:$A148,"&gt;="&amp;$A149-1,$A$5:$A148,"&lt;="&amp;$A149,$B$5:$B148,$B149)&gt;0,MIN(1-'Exercise list'!T$2,IF($A149=$A148,AZ148,1))-AE149&lt;0),-1,MIN(1,IF($A149=$A148,AZ148,1)-AE149+$D$2))</f>
        <v>1</v>
      </c>
      <c r="BA149">
        <f>IF(OR($J149=1,COUNTIFS($A$5:$A148,"&gt;="&amp;$A149-1,$A$5:$A148,"&lt;="&amp;$A149,$B$5:$B148,$B149)&gt;0,MIN(1-'Exercise list'!U$2,IF($A149=$A148,BA148,1))-AF149&lt;0),-1,MIN(1,IF($A149=$A148,BA148,1)-AF149+$D$2))</f>
        <v>1</v>
      </c>
      <c r="BB149">
        <f>IF(OR($J149=1,COUNTIFS($A$5:$A148,"&gt;="&amp;$A149-1,$A$5:$A148,"&lt;="&amp;$A149,$B$5:$B148,$B149)&gt;0,MIN(1-'Exercise list'!V$2,IF($A149=$A148,BB148,1))-AG149&lt;0),-1,MIN(1,IF($A149=$A148,BB148,1)-AG149+$D$2))</f>
        <v>1</v>
      </c>
      <c r="BC149">
        <f>IF(OR($J149=1,COUNTIFS($A$5:$A148,"&gt;="&amp;$A149-1,$A$5:$A148,"&lt;="&amp;$A149,$B$5:$B148,$B149)&gt;0,MIN(1-'Exercise list'!W$2,IF($A149=$A148,BC148,1))-AH149&lt;0),-1,MIN(1,IF($A149=$A148,BC148,1)-AH149+$D$2))</f>
        <v>1</v>
      </c>
      <c r="BD149">
        <f>IF(OR($J149=1,COUNTIFS($A$5:$A148,"&gt;="&amp;$A149-1,$A$5:$A148,"&lt;="&amp;$A149,$B$5:$B148,$B149)&gt;0,MIN(1-'Exercise list'!X$2,IF($A149=$A148,BD148,1))-AI149&lt;0),-1,MIN(1,IF($A149=$A148,BD148,1)-AI149+$D$2))</f>
        <v>1</v>
      </c>
      <c r="BF149" s="16">
        <f t="shared" si="100"/>
        <v>0.17743239480050771</v>
      </c>
      <c r="BG149" s="16">
        <f t="shared" si="101"/>
        <v>0.19143136462168575</v>
      </c>
      <c r="BH149" s="16">
        <f t="shared" si="102"/>
        <v>0.15408121825262391</v>
      </c>
      <c r="BI149" s="16">
        <f t="shared" si="103"/>
        <v>0.12280085737672745</v>
      </c>
      <c r="BJ149" s="16">
        <f t="shared" si="104"/>
        <v>8.3067888607758114E-2</v>
      </c>
      <c r="BK149" s="16">
        <f t="shared" si="105"/>
        <v>0.13153813307596851</v>
      </c>
      <c r="BL149" s="16">
        <f t="shared" si="106"/>
        <v>0.21856766836681382</v>
      </c>
      <c r="BM149" s="16">
        <f t="shared" si="107"/>
        <v>6.8544307401185922E-3</v>
      </c>
      <c r="BN149" s="16">
        <f t="shared" si="108"/>
        <v>0.13537227692266052</v>
      </c>
      <c r="BO149" s="16">
        <f t="shared" si="109"/>
        <v>0.26175830415146156</v>
      </c>
      <c r="BP149" s="16">
        <f t="shared" si="110"/>
        <v>0.25782550171072904</v>
      </c>
      <c r="BQ149" s="16">
        <f t="shared" si="111"/>
        <v>0.12670059050171883</v>
      </c>
      <c r="BR149" s="16">
        <f t="shared" si="112"/>
        <v>0.14235542267052886</v>
      </c>
      <c r="BS149" s="16">
        <f t="shared" si="113"/>
        <v>2.1703790057613352E-2</v>
      </c>
      <c r="BT149" s="16">
        <f t="shared" si="114"/>
        <v>0.12844170105249164</v>
      </c>
      <c r="BU149" s="16">
        <f t="shared" si="115"/>
        <v>0.11686078633987407</v>
      </c>
      <c r="BV149" s="16">
        <f t="shared" si="116"/>
        <v>0.15012666112350984</v>
      </c>
      <c r="BW149" s="16">
        <f t="shared" si="117"/>
        <v>6.939014981641102E-2</v>
      </c>
      <c r="BX149" s="16">
        <f t="shared" si="118"/>
        <v>7.0594639029267076E-2</v>
      </c>
      <c r="BY149" s="16">
        <f t="shared" si="119"/>
        <v>6.0793688539814032E-2</v>
      </c>
      <c r="CA149" s="16">
        <f t="shared" si="141"/>
        <v>1.7211862070476286E-2</v>
      </c>
      <c r="CB149" s="16">
        <f t="shared" si="122"/>
        <v>3.2128922492982437E-3</v>
      </c>
      <c r="CC149" s="16">
        <f t="shared" si="123"/>
        <v>0</v>
      </c>
      <c r="CD149" s="16">
        <f t="shared" si="124"/>
        <v>0</v>
      </c>
      <c r="CE149" s="16">
        <f t="shared" si="125"/>
        <v>1.4254239827733883E-2</v>
      </c>
      <c r="CF149" s="16">
        <f t="shared" si="126"/>
        <v>0.1604282522305075</v>
      </c>
      <c r="CG149" s="16">
        <f t="shared" si="127"/>
        <v>0</v>
      </c>
      <c r="CH149" s="16">
        <f t="shared" si="128"/>
        <v>9.0467697695373411E-2</v>
      </c>
      <c r="CI149" s="16">
        <f t="shared" si="129"/>
        <v>5.9271979948323478E-2</v>
      </c>
      <c r="CJ149" s="16">
        <f t="shared" si="130"/>
        <v>0</v>
      </c>
      <c r="CK149" s="16">
        <f t="shared" si="131"/>
        <v>0</v>
      </c>
      <c r="CL149" s="16">
        <f t="shared" si="132"/>
        <v>0</v>
      </c>
      <c r="CM149" s="16">
        <f t="shared" si="133"/>
        <v>5.2288834200455131E-2</v>
      </c>
      <c r="CN149" s="16">
        <f t="shared" si="134"/>
        <v>7.5618338377878652E-2</v>
      </c>
      <c r="CO149" s="16">
        <f t="shared" si="135"/>
        <v>0</v>
      </c>
      <c r="CP149" s="16">
        <f t="shared" si="136"/>
        <v>0</v>
      </c>
      <c r="CQ149" s="16">
        <f t="shared" si="137"/>
        <v>4.4517595747474159E-2</v>
      </c>
      <c r="CR149" s="16">
        <f t="shared" si="138"/>
        <v>2.7931978619080977E-2</v>
      </c>
      <c r="CS149" s="16">
        <f t="shared" si="139"/>
        <v>2.6727489406224922E-2</v>
      </c>
      <c r="CT149" s="16">
        <f t="shared" si="140"/>
        <v>3.6528439895677965E-2</v>
      </c>
    </row>
    <row r="150" spans="1:99" x14ac:dyDescent="0.25">
      <c r="A150" s="13">
        <v>45093</v>
      </c>
      <c r="B150" s="14">
        <v>16</v>
      </c>
      <c r="C150" s="15" t="str" cm="1">
        <f t="array" ref="C150">IF(B150="","",INDEX('Exercise list'!$C$5:$C$102,B150))</f>
        <v>Pull-ups</v>
      </c>
      <c r="D150" s="12">
        <f t="shared" si="97"/>
        <v>1</v>
      </c>
      <c r="E150" s="107">
        <f t="shared" si="120"/>
        <v>0</v>
      </c>
      <c r="F150" s="63" cm="1">
        <f t="array" ref="F150">IF(B150="","",0.1+IFERROR(INDEX($F$6:$F149,SUMPRODUCT(MAX(ROW($C$6:$C149)*($C150=$C$6:$C149))-ROW($A$5)))*0.9^($A150-INDEX($A$6:A149,SUMPRODUCT(MAX(ROW($C$6:$C149)*($C150=$C$6:$C149))-ROW($A$5)))),0))</f>
        <v>0.14010132034027364</v>
      </c>
      <c r="G150" s="64">
        <f>INDEX('Exercise list'!$Y$5:$Y$102,MATCH(C150,'Exercise list'!$C$5:$C$102,0))</f>
        <v>3</v>
      </c>
      <c r="H150" s="115">
        <f t="shared" si="98"/>
        <v>5.4206528343302557E-2</v>
      </c>
      <c r="I150" s="6">
        <f t="shared" si="99"/>
        <v>2</v>
      </c>
      <c r="J150" s="6" cm="1">
        <f t="array" ref="J150">IF(B150="","",INDEX('Exercise list'!$D$5:$D$102,B150))</f>
        <v>0</v>
      </c>
      <c r="K150" s="12">
        <v>59</v>
      </c>
      <c r="L150" s="74" t="str" cm="1">
        <f t="array" ref="L150">IF(K150="","",INDEX('Exercise list'!$C$5:$C$102,K150))</f>
        <v>Triceps dips</v>
      </c>
      <c r="M150" s="6">
        <v>29</v>
      </c>
      <c r="N150" s="75" t="str" cm="1">
        <f t="array" ref="N150">IF(M150="","",INDEX('Exercise list'!$C$5:$C$102,M150))</f>
        <v>Hanging leg raises</v>
      </c>
      <c r="P150">
        <f>IFERROR(INDEX('Exercise list'!$E$5:$X$102,MATCH($C150,'Exercise list'!$C$5:$C$102,0),MATCH(P$5,'Exercise list'!$E$4:$X$4,0)),0)</f>
        <v>0</v>
      </c>
      <c r="Q150">
        <f>IFERROR(INDEX('Exercise list'!$E$5:$X$102,MATCH($C150,'Exercise list'!$C$5:$C$102,0),MATCH(Q$5,'Exercise list'!$E$4:$X$4,0)),0)</f>
        <v>1</v>
      </c>
      <c r="R150">
        <f>IFERROR(INDEX('Exercise list'!$E$5:$X$102,MATCH($C150,'Exercise list'!$C$5:$C$102,0),MATCH(R$5,'Exercise list'!$E$4:$X$4,0)),0)</f>
        <v>0.5</v>
      </c>
      <c r="S150">
        <f>IFERROR(INDEX('Exercise list'!$E$5:$X$102,MATCH($C150,'Exercise list'!$C$5:$C$102,0),MATCH(S$5,'Exercise list'!$E$4:$X$4,0)),0)</f>
        <v>0.5</v>
      </c>
      <c r="T150">
        <f>IFERROR(INDEX('Exercise list'!$E$5:$X$102,MATCH($C150,'Exercise list'!$C$5:$C$102,0),MATCH(T$5,'Exercise list'!$E$4:$X$4,0)),0)</f>
        <v>0</v>
      </c>
      <c r="U150">
        <f>IFERROR(INDEX('Exercise list'!$E$5:$X$102,MATCH($C150,'Exercise list'!$C$5:$C$102,0),MATCH(U$5,'Exercise list'!$E$4:$X$4,0)),0)</f>
        <v>0</v>
      </c>
      <c r="V150">
        <f>IFERROR(INDEX('Exercise list'!$E$5:$X$102,MATCH($C150,'Exercise list'!$C$5:$C$102,0),MATCH(V$5,'Exercise list'!$E$4:$X$4,0)),0)</f>
        <v>0</v>
      </c>
      <c r="W150">
        <f>IFERROR(INDEX('Exercise list'!$E$5:$X$102,MATCH($C150,'Exercise list'!$C$5:$C$102,0),MATCH(W$5,'Exercise list'!$E$4:$X$4,0)),0)</f>
        <v>0</v>
      </c>
      <c r="X150">
        <f>IFERROR(INDEX('Exercise list'!$E$5:$X$102,MATCH($C150,'Exercise list'!$C$5:$C$102,0),MATCH(X$5,'Exercise list'!$E$4:$X$4,0)),0)</f>
        <v>0</v>
      </c>
      <c r="Y150">
        <f>IFERROR(INDEX('Exercise list'!$E$5:$X$102,MATCH($C150,'Exercise list'!$C$5:$C$102,0),MATCH(Y$5,'Exercise list'!$E$4:$X$4,0)),0)</f>
        <v>0</v>
      </c>
      <c r="Z150">
        <f>IFERROR(INDEX('Exercise list'!$E$5:$X$102,MATCH($C150,'Exercise list'!$C$5:$C$102,0),MATCH(Z$5,'Exercise list'!$E$4:$X$4,0)),0)</f>
        <v>1</v>
      </c>
      <c r="AA150">
        <f>IFERROR(INDEX('Exercise list'!$E$5:$X$102,MATCH($C150,'Exercise list'!$C$5:$C$102,0),MATCH(AA$5,'Exercise list'!$E$4:$X$4,0)),0)</f>
        <v>0</v>
      </c>
      <c r="AB150">
        <f>IFERROR(INDEX('Exercise list'!$E$5:$X$102,MATCH($C150,'Exercise list'!$C$5:$C$102,0),MATCH(AB$5,'Exercise list'!$E$4:$X$4,0)),0)</f>
        <v>0</v>
      </c>
      <c r="AC150">
        <f>IFERROR(INDEX('Exercise list'!$E$5:$X$102,MATCH($C150,'Exercise list'!$C$5:$C$102,0),MATCH(AC$5,'Exercise list'!$E$4:$X$4,0)),0)</f>
        <v>0</v>
      </c>
      <c r="AD150">
        <f>IFERROR(INDEX('Exercise list'!$E$5:$X$102,MATCH($C150,'Exercise list'!$C$5:$C$102,0),MATCH(AD$5,'Exercise list'!$E$4:$X$4,0)),0)</f>
        <v>0</v>
      </c>
      <c r="AE150">
        <f>IFERROR(INDEX('Exercise list'!$E$5:$X$102,MATCH($C150,'Exercise list'!$C$5:$C$102,0),MATCH(AE$5,'Exercise list'!$E$4:$X$4,0)),0)</f>
        <v>0</v>
      </c>
      <c r="AF150">
        <f>IFERROR(INDEX('Exercise list'!$E$5:$X$102,MATCH($C150,'Exercise list'!$C$5:$C$102,0),MATCH(AF$5,'Exercise list'!$E$4:$X$4,0)),0)</f>
        <v>0</v>
      </c>
      <c r="AG150">
        <f>IFERROR(INDEX('Exercise list'!$E$5:$X$102,MATCH($C150,'Exercise list'!$C$5:$C$102,0),MATCH(AG$5,'Exercise list'!$E$4:$X$4,0)),0)</f>
        <v>0</v>
      </c>
      <c r="AH150">
        <f>IFERROR(INDEX('Exercise list'!$E$5:$X$102,MATCH($C150,'Exercise list'!$C$5:$C$102,0),MATCH(AH$5,'Exercise list'!$E$4:$X$4,0)),0)</f>
        <v>0</v>
      </c>
      <c r="AI150">
        <f>IFERROR(INDEX('Exercise list'!$E$5:$X$102,MATCH($C150,'Exercise list'!$C$5:$C$102,0),MATCH(AI$5,'Exercise list'!$E$4:$X$4,0)),0)</f>
        <v>0</v>
      </c>
      <c r="AK150">
        <f>IF(OR($J150=1,COUNTIFS($A$5:$A149,"&gt;="&amp;$A150-1,$A$5:$A149,"&lt;="&amp;$A150,$B$5:$B149,$B150)&gt;0,MIN(1-'Exercise list'!E$2,IF($A150=$A149,AK149,1))-P150&lt;0),-1,MIN(1,IF($A150=$A149,AK149,1)-P150+$D$2))</f>
        <v>1</v>
      </c>
      <c r="AL150">
        <f>IF(OR($J150=1,COUNTIFS($A$5:$A149,"&gt;="&amp;$A150-1,$A$5:$A149,"&lt;="&amp;$A150,$B$5:$B149,$B150)&gt;0,MIN(1-'Exercise list'!F$2,IF($A150=$A149,AL149,1))-Q150&lt;0),-1,MIN(1,IF($A150=$A149,AL149,1)-Q150+$D$2))</f>
        <v>1</v>
      </c>
      <c r="AM150">
        <f>IF(OR($J150=1,COUNTIFS($A$5:$A149,"&gt;="&amp;$A150-1,$A$5:$A149,"&lt;="&amp;$A150,$B$5:$B149,$B150)&gt;0,MIN(1-'Exercise list'!G$2,IF($A150=$A149,AM149,1))-R150&lt;0),-1,MIN(1,IF($A150=$A149,AM149,1)-R150+$D$2))</f>
        <v>1</v>
      </c>
      <c r="AN150">
        <f>IF(OR($J150=1,COUNTIFS($A$5:$A149,"&gt;="&amp;$A150-1,$A$5:$A149,"&lt;="&amp;$A150,$B$5:$B149,$B150)&gt;0,MIN(1-'Exercise list'!H$2,IF($A150=$A149,AN149,1))-S150&lt;0),-1,MIN(1,IF($A150=$A149,AN149,1)-S150+$D$2))</f>
        <v>1</v>
      </c>
      <c r="AO150">
        <f>IF(OR($J150=1,COUNTIFS($A$5:$A149,"&gt;="&amp;$A150-1,$A$5:$A149,"&lt;="&amp;$A150,$B$5:$B149,$B150)&gt;0,MIN(1-'Exercise list'!I$2,IF($A150=$A149,AO149,1))-T150&lt;0),-1,MIN(1,IF($A150=$A149,AO149,1)-T150+$D$2))</f>
        <v>1</v>
      </c>
      <c r="AP150">
        <f>IF(OR($J150=1,COUNTIFS($A$5:$A149,"&gt;="&amp;$A150-1,$A$5:$A149,"&lt;="&amp;$A150,$B$5:$B149,$B150)&gt;0,MIN(1-'Exercise list'!J$2,IF($A150=$A149,AP149,1))-U150&lt;0),-1,MIN(1,IF($A150=$A149,AP149,1)-U150+$D$2))</f>
        <v>1</v>
      </c>
      <c r="AQ150">
        <f>IF(OR($J150=1,COUNTIFS($A$5:$A149,"&gt;="&amp;$A150-1,$A$5:$A149,"&lt;="&amp;$A150,$B$5:$B149,$B150)&gt;0,MIN(1-'Exercise list'!K$2,IF($A150=$A149,AQ149,1))-V150&lt;0),-1,MIN(1,IF($A150=$A149,AQ149,1)-V150+$D$2))</f>
        <v>1</v>
      </c>
      <c r="AR150">
        <f>IF(OR($J150=1,COUNTIFS($A$5:$A149,"&gt;="&amp;$A150-1,$A$5:$A149,"&lt;="&amp;$A150,$B$5:$B149,$B150)&gt;0,MIN(1-'Exercise list'!L$2,IF($A150=$A149,AR149,1))-W150&lt;0),-1,MIN(1,IF($A150=$A149,AR149,1)-W150+$D$2))</f>
        <v>1</v>
      </c>
      <c r="AS150">
        <f>IF(OR($J150=1,COUNTIFS($A$5:$A149,"&gt;="&amp;$A150-1,$A$5:$A149,"&lt;="&amp;$A150,$B$5:$B149,$B150)&gt;0,MIN(1-'Exercise list'!M$2,IF($A150=$A149,AS149,1))-X150&lt;0),-1,MIN(1,IF($A150=$A149,AS149,1)-X150+$D$2))</f>
        <v>1</v>
      </c>
      <c r="AT150">
        <f>IF(OR($J150=1,COUNTIFS($A$5:$A149,"&gt;="&amp;$A150-1,$A$5:$A149,"&lt;="&amp;$A150,$B$5:$B149,$B150)&gt;0,MIN(1-'Exercise list'!N$2,IF($A150=$A149,AT149,1))-Y150&lt;0),-1,MIN(1,IF($A150=$A149,AT149,1)-Y150+$D$2))</f>
        <v>1</v>
      </c>
      <c r="AU150">
        <f>IF(OR($J150=1,COUNTIFS($A$5:$A149,"&gt;="&amp;$A150-1,$A$5:$A149,"&lt;="&amp;$A150,$B$5:$B149,$B150)&gt;0,MIN(1-'Exercise list'!O$2,IF($A150=$A149,AU149,1))-Z150&lt;0),-1,MIN(1,IF($A150=$A149,AU149,1)-Z150+$D$2))</f>
        <v>1</v>
      </c>
      <c r="AV150">
        <f>IF(OR($J150=1,COUNTIFS($A$5:$A149,"&gt;="&amp;$A150-1,$A$5:$A149,"&lt;="&amp;$A150,$B$5:$B149,$B150)&gt;0,MIN(1-'Exercise list'!P$2,IF($A150=$A149,AV149,1))-AA150&lt;0),-1,MIN(1,IF($A150=$A149,AV149,1)-AA150+$D$2))</f>
        <v>1</v>
      </c>
      <c r="AW150">
        <f>IF(OR($J150=1,COUNTIFS($A$5:$A149,"&gt;="&amp;$A150-1,$A$5:$A149,"&lt;="&amp;$A150,$B$5:$B149,$B150)&gt;0,MIN(1-'Exercise list'!Q$2,IF($A150=$A149,AW149,1))-AB150&lt;0),-1,MIN(1,IF($A150=$A149,AW149,1)-AB150+$D$2))</f>
        <v>1</v>
      </c>
      <c r="AX150">
        <f>IF(OR($J150=1,COUNTIFS($A$5:$A149,"&gt;="&amp;$A150-1,$A$5:$A149,"&lt;="&amp;$A150,$B$5:$B149,$B150)&gt;0,MIN(1-'Exercise list'!R$2,IF($A150=$A149,AX149,1))-AC150&lt;0),-1,MIN(1,IF($A150=$A149,AX149,1)-AC150+$D$2))</f>
        <v>1</v>
      </c>
      <c r="AY150">
        <f>IF(OR($J150=1,COUNTIFS($A$5:$A149,"&gt;="&amp;$A150-1,$A$5:$A149,"&lt;="&amp;$A150,$B$5:$B149,$B150)&gt;0,MIN(1-'Exercise list'!S$2,IF($A150=$A149,AY149,1))-AD150&lt;0),-1,MIN(1,IF($A150=$A149,AY149,1)-AD150+$D$2))</f>
        <v>1</v>
      </c>
      <c r="AZ150">
        <f>IF(OR($J150=1,COUNTIFS($A$5:$A149,"&gt;="&amp;$A150-1,$A$5:$A149,"&lt;="&amp;$A150,$B$5:$B149,$B150)&gt;0,MIN(1-'Exercise list'!T$2,IF($A150=$A149,AZ149,1))-AE150&lt;0),-1,MIN(1,IF($A150=$A149,AZ149,1)-AE150+$D$2))</f>
        <v>1</v>
      </c>
      <c r="BA150">
        <f>IF(OR($J150=1,COUNTIFS($A$5:$A149,"&gt;="&amp;$A150-1,$A$5:$A149,"&lt;="&amp;$A150,$B$5:$B149,$B150)&gt;0,MIN(1-'Exercise list'!U$2,IF($A150=$A149,BA149,1))-AF150&lt;0),-1,MIN(1,IF($A150=$A149,BA149,1)-AF150+$D$2))</f>
        <v>1</v>
      </c>
      <c r="BB150">
        <f>IF(OR($J150=1,COUNTIFS($A$5:$A149,"&gt;="&amp;$A150-1,$A$5:$A149,"&lt;="&amp;$A150,$B$5:$B149,$B150)&gt;0,MIN(1-'Exercise list'!V$2,IF($A150=$A149,BB149,1))-AG150&lt;0),-1,MIN(1,IF($A150=$A149,BB149,1)-AG150+$D$2))</f>
        <v>1</v>
      </c>
      <c r="BC150">
        <f>IF(OR($J150=1,COUNTIFS($A$5:$A149,"&gt;="&amp;$A150-1,$A$5:$A149,"&lt;="&amp;$A150,$B$5:$B149,$B150)&gt;0,MIN(1-'Exercise list'!W$2,IF($A150=$A149,BC149,1))-AH150&lt;0),-1,MIN(1,IF($A150=$A149,BC149,1)-AH150+$D$2))</f>
        <v>1</v>
      </c>
      <c r="BD150">
        <f>IF(OR($J150=1,COUNTIFS($A$5:$A149,"&gt;="&amp;$A150-1,$A$5:$A149,"&lt;="&amp;$A150,$B$5:$B149,$B150)&gt;0,MIN(1-'Exercise list'!X$2,IF($A150=$A149,BD149,1))-AI150&lt;0),-1,MIN(1,IF($A150=$A149,BD149,1)-AI150+$D$2))</f>
        <v>1</v>
      </c>
      <c r="BF150" s="16">
        <f t="shared" si="100"/>
        <v>0.16856077506048231</v>
      </c>
      <c r="BG150" s="16">
        <f t="shared" si="101"/>
        <v>0.23185979639060145</v>
      </c>
      <c r="BH150" s="16">
        <f t="shared" si="102"/>
        <v>0.1713771573399927</v>
      </c>
      <c r="BI150" s="16">
        <f t="shared" si="103"/>
        <v>0.14166081450789109</v>
      </c>
      <c r="BJ150" s="16">
        <f t="shared" si="104"/>
        <v>7.8914494177370204E-2</v>
      </c>
      <c r="BK150" s="16">
        <f t="shared" si="105"/>
        <v>0.12496122642217009</v>
      </c>
      <c r="BL150" s="16">
        <f t="shared" si="106"/>
        <v>0.20763928494847311</v>
      </c>
      <c r="BM150" s="16">
        <f t="shared" si="107"/>
        <v>6.5117092031126622E-3</v>
      </c>
      <c r="BN150" s="16">
        <f t="shared" si="108"/>
        <v>0.12860366307652749</v>
      </c>
      <c r="BO150" s="16">
        <f t="shared" si="109"/>
        <v>0.24867038894388846</v>
      </c>
      <c r="BP150" s="16">
        <f t="shared" si="110"/>
        <v>0.29493422662519259</v>
      </c>
      <c r="BQ150" s="16">
        <f t="shared" si="111"/>
        <v>0.12036556097663288</v>
      </c>
      <c r="BR150" s="16">
        <f t="shared" si="112"/>
        <v>0.1352376515370024</v>
      </c>
      <c r="BS150" s="16">
        <f t="shared" si="113"/>
        <v>2.0618600554732684E-2</v>
      </c>
      <c r="BT150" s="16">
        <f t="shared" si="114"/>
        <v>0.12201961599986705</v>
      </c>
      <c r="BU150" s="16">
        <f t="shared" si="115"/>
        <v>0.11101774702288036</v>
      </c>
      <c r="BV150" s="16">
        <f t="shared" si="116"/>
        <v>0.14262032806733435</v>
      </c>
      <c r="BW150" s="16">
        <f t="shared" si="117"/>
        <v>6.5920642325590473E-2</v>
      </c>
      <c r="BX150" s="16">
        <f t="shared" si="118"/>
        <v>6.7064907077803715E-2</v>
      </c>
      <c r="BY150" s="16">
        <f t="shared" si="119"/>
        <v>5.7754004112823325E-2</v>
      </c>
      <c r="CA150" s="16">
        <f t="shared" si="141"/>
        <v>2.746238007806362E-2</v>
      </c>
      <c r="CB150" s="16">
        <f t="shared" si="122"/>
        <v>0</v>
      </c>
      <c r="CC150" s="16">
        <f t="shared" si="123"/>
        <v>0</v>
      </c>
      <c r="CD150" s="16">
        <f t="shared" si="124"/>
        <v>0</v>
      </c>
      <c r="CE150" s="16">
        <f t="shared" si="125"/>
        <v>1.9097083391902761E-2</v>
      </c>
      <c r="CF150" s="16">
        <f t="shared" si="126"/>
        <v>0.16907350628564885</v>
      </c>
      <c r="CG150" s="16">
        <f t="shared" si="127"/>
        <v>0</v>
      </c>
      <c r="CH150" s="16">
        <f t="shared" si="128"/>
        <v>9.1499868366160308E-2</v>
      </c>
      <c r="CI150" s="16">
        <f t="shared" si="129"/>
        <v>6.7419492062018443E-2</v>
      </c>
      <c r="CJ150" s="16">
        <f t="shared" si="130"/>
        <v>0</v>
      </c>
      <c r="CK150" s="16">
        <f t="shared" si="131"/>
        <v>0</v>
      </c>
      <c r="CL150" s="16">
        <f t="shared" si="132"/>
        <v>0</v>
      </c>
      <c r="CM150" s="16">
        <f t="shared" si="133"/>
        <v>6.0785503601543528E-2</v>
      </c>
      <c r="CN150" s="16">
        <f t="shared" si="134"/>
        <v>7.7392977014540287E-2</v>
      </c>
      <c r="CO150" s="16">
        <f t="shared" si="135"/>
        <v>0</v>
      </c>
      <c r="CP150" s="16">
        <f t="shared" si="136"/>
        <v>0</v>
      </c>
      <c r="CQ150" s="16">
        <f t="shared" si="137"/>
        <v>5.3402827071211578E-2</v>
      </c>
      <c r="CR150" s="16">
        <f t="shared" si="138"/>
        <v>3.2090935243682492E-2</v>
      </c>
      <c r="CS150" s="16">
        <f t="shared" si="139"/>
        <v>3.094667049146925E-2</v>
      </c>
      <c r="CT150" s="16">
        <f t="shared" si="140"/>
        <v>4.025757345644964E-2</v>
      </c>
    </row>
    <row r="151" spans="1:99" x14ac:dyDescent="0.25">
      <c r="A151" s="13">
        <v>45093</v>
      </c>
      <c r="B151" s="14">
        <v>37</v>
      </c>
      <c r="C151" s="15" t="str" cm="1">
        <f t="array" ref="C151">IF(B151="","",INDEX('Exercise list'!$C$5:$C$102,B151))</f>
        <v>Barbell low-bar squats</v>
      </c>
      <c r="D151" s="12">
        <f t="shared" si="97"/>
        <v>1</v>
      </c>
      <c r="E151" s="107">
        <f t="shared" si="120"/>
        <v>0</v>
      </c>
      <c r="F151" s="63" cm="1">
        <f t="array" ref="F151">IF(B151="","",0.1+IFERROR(INDEX($F$6:$F150,SUMPRODUCT(MAX(ROW($C$6:$C150)*($C151=$C$6:$C150))-ROW($A$5)))*0.9^($A151-INDEX($A$6:A150,SUMPRODUCT(MAX(ROW($C$6:$C150)*($C151=$C$6:$C150))-ROW($A$5)))),0))</f>
        <v>0.21902447465240987</v>
      </c>
      <c r="G151" s="64">
        <f>INDEX('Exercise list'!$Y$5:$Y$102,MATCH(C151,'Exercise list'!$C$5:$C$102,0))</f>
        <v>3</v>
      </c>
      <c r="H151" s="115">
        <f t="shared" si="98"/>
        <v>5.6390365564457201E-2</v>
      </c>
      <c r="I151" s="6">
        <f t="shared" si="99"/>
        <v>3</v>
      </c>
      <c r="J151" s="6" cm="1">
        <f t="array" ref="J151">IF(B151="","",INDEX('Exercise list'!$D$5:$D$102,B151))</f>
        <v>0</v>
      </c>
      <c r="K151" s="12">
        <v>59</v>
      </c>
      <c r="L151" s="74" t="str" cm="1">
        <f t="array" ref="L151">IF(K151="","",INDEX('Exercise list'!$C$5:$C$102,K151))</f>
        <v>Triceps dips</v>
      </c>
      <c r="M151" s="6">
        <v>29</v>
      </c>
      <c r="N151" s="75" t="str" cm="1">
        <f t="array" ref="N151">IF(M151="","",INDEX('Exercise list'!$C$5:$C$102,M151))</f>
        <v>Hanging leg raises</v>
      </c>
      <c r="P151">
        <f>IFERROR(INDEX('Exercise list'!$E$5:$X$102,MATCH($C151,'Exercise list'!$C$5:$C$102,0),MATCH(P$5,'Exercise list'!$E$4:$X$4,0)),0)</f>
        <v>0</v>
      </c>
      <c r="Q151">
        <f>IFERROR(INDEX('Exercise list'!$E$5:$X$102,MATCH($C151,'Exercise list'!$C$5:$C$102,0),MATCH(Q$5,'Exercise list'!$E$4:$X$4,0)),0)</f>
        <v>0</v>
      </c>
      <c r="R151">
        <f>IFERROR(INDEX('Exercise list'!$E$5:$X$102,MATCH($C151,'Exercise list'!$C$5:$C$102,0),MATCH(R$5,'Exercise list'!$E$4:$X$4,0)),0)</f>
        <v>0</v>
      </c>
      <c r="S151">
        <f>IFERROR(INDEX('Exercise list'!$E$5:$X$102,MATCH($C151,'Exercise list'!$C$5:$C$102,0),MATCH(S$5,'Exercise list'!$E$4:$X$4,0)),0)</f>
        <v>0</v>
      </c>
      <c r="T151">
        <f>IFERROR(INDEX('Exercise list'!$E$5:$X$102,MATCH($C151,'Exercise list'!$C$5:$C$102,0),MATCH(T$5,'Exercise list'!$E$4:$X$4,0)),0)</f>
        <v>0.5</v>
      </c>
      <c r="U151">
        <f>IFERROR(INDEX('Exercise list'!$E$5:$X$102,MATCH($C151,'Exercise list'!$C$5:$C$102,0),MATCH(U$5,'Exercise list'!$E$4:$X$4,0)),0)</f>
        <v>0</v>
      </c>
      <c r="V151">
        <f>IFERROR(INDEX('Exercise list'!$E$5:$X$102,MATCH($C151,'Exercise list'!$C$5:$C$102,0),MATCH(V$5,'Exercise list'!$E$4:$X$4,0)),0)</f>
        <v>0</v>
      </c>
      <c r="W151">
        <f>IFERROR(INDEX('Exercise list'!$E$5:$X$102,MATCH($C151,'Exercise list'!$C$5:$C$102,0),MATCH(W$5,'Exercise list'!$E$4:$X$4,0)),0)</f>
        <v>0</v>
      </c>
      <c r="X151">
        <f>IFERROR(INDEX('Exercise list'!$E$5:$X$102,MATCH($C151,'Exercise list'!$C$5:$C$102,0),MATCH(X$5,'Exercise list'!$E$4:$X$4,0)),0)</f>
        <v>0</v>
      </c>
      <c r="Y151">
        <f>IFERROR(INDEX('Exercise list'!$E$5:$X$102,MATCH($C151,'Exercise list'!$C$5:$C$102,0),MATCH(Y$5,'Exercise list'!$E$4:$X$4,0)),0)</f>
        <v>0</v>
      </c>
      <c r="Z151">
        <f>IFERROR(INDEX('Exercise list'!$E$5:$X$102,MATCH($C151,'Exercise list'!$C$5:$C$102,0),MATCH(Z$5,'Exercise list'!$E$4:$X$4,0)),0)</f>
        <v>0</v>
      </c>
      <c r="AA151">
        <f>IFERROR(INDEX('Exercise list'!$E$5:$X$102,MATCH($C151,'Exercise list'!$C$5:$C$102,0),MATCH(AA$5,'Exercise list'!$E$4:$X$4,0)),0)</f>
        <v>0</v>
      </c>
      <c r="AB151">
        <f>IFERROR(INDEX('Exercise list'!$E$5:$X$102,MATCH($C151,'Exercise list'!$C$5:$C$102,0),MATCH(AB$5,'Exercise list'!$E$4:$X$4,0)),0)</f>
        <v>0.5</v>
      </c>
      <c r="AC151">
        <f>IFERROR(INDEX('Exercise list'!$E$5:$X$102,MATCH($C151,'Exercise list'!$C$5:$C$102,0),MATCH(AC$5,'Exercise list'!$E$4:$X$4,0)),0)</f>
        <v>0</v>
      </c>
      <c r="AD151">
        <f>IFERROR(INDEX('Exercise list'!$E$5:$X$102,MATCH($C151,'Exercise list'!$C$5:$C$102,0),MATCH(AD$5,'Exercise list'!$E$4:$X$4,0)),0)</f>
        <v>0.8</v>
      </c>
      <c r="AE151">
        <f>IFERROR(INDEX('Exercise list'!$E$5:$X$102,MATCH($C151,'Exercise list'!$C$5:$C$102,0),MATCH(AE$5,'Exercise list'!$E$4:$X$4,0)),0)</f>
        <v>0.7</v>
      </c>
      <c r="AF151">
        <f>IFERROR(INDEX('Exercise list'!$E$5:$X$102,MATCH($C151,'Exercise list'!$C$5:$C$102,0),MATCH(AF$5,'Exercise list'!$E$4:$X$4,0)),0)</f>
        <v>0.9</v>
      </c>
      <c r="AG151">
        <f>IFERROR(INDEX('Exercise list'!$E$5:$X$102,MATCH($C151,'Exercise list'!$C$5:$C$102,0),MATCH(AG$5,'Exercise list'!$E$4:$X$4,0)),0)</f>
        <v>0.5</v>
      </c>
      <c r="AH151">
        <f>IFERROR(INDEX('Exercise list'!$E$5:$X$102,MATCH($C151,'Exercise list'!$C$5:$C$102,0),MATCH(AH$5,'Exercise list'!$E$4:$X$4,0)),0)</f>
        <v>0.5</v>
      </c>
      <c r="AI151">
        <f>IFERROR(INDEX('Exercise list'!$E$5:$X$102,MATCH($C151,'Exercise list'!$C$5:$C$102,0),MATCH(AI$5,'Exercise list'!$E$4:$X$4,0)),0)</f>
        <v>0</v>
      </c>
      <c r="AK151">
        <f>IF(OR($J151=1,COUNTIFS($A$5:$A150,"&gt;="&amp;$A151-1,$A$5:$A150,"&lt;="&amp;$A151,$B$5:$B150,$B151)&gt;0,MIN(1-'Exercise list'!E$2,IF($A151=$A150,AK150,1))-P151&lt;0),-1,MIN(1,IF($A151=$A150,AK150,1)-P151+$D$2))</f>
        <v>1</v>
      </c>
      <c r="AL151">
        <f>IF(OR($J151=1,COUNTIFS($A$5:$A150,"&gt;="&amp;$A151-1,$A$5:$A150,"&lt;="&amp;$A151,$B$5:$B150,$B151)&gt;0,MIN(1-'Exercise list'!F$2,IF($A151=$A150,AL150,1))-Q151&lt;0),-1,MIN(1,IF($A151=$A150,AL150,1)-Q151+$D$2))</f>
        <v>1</v>
      </c>
      <c r="AM151">
        <f>IF(OR($J151=1,COUNTIFS($A$5:$A150,"&gt;="&amp;$A151-1,$A$5:$A150,"&lt;="&amp;$A151,$B$5:$B150,$B151)&gt;0,MIN(1-'Exercise list'!G$2,IF($A151=$A150,AM150,1))-R151&lt;0),-1,MIN(1,IF($A151=$A150,AM150,1)-R151+$D$2))</f>
        <v>1</v>
      </c>
      <c r="AN151">
        <f>IF(OR($J151=1,COUNTIFS($A$5:$A150,"&gt;="&amp;$A151-1,$A$5:$A150,"&lt;="&amp;$A151,$B$5:$B150,$B151)&gt;0,MIN(1-'Exercise list'!H$2,IF($A151=$A150,AN150,1))-S151&lt;0),-1,MIN(1,IF($A151=$A150,AN150,1)-S151+$D$2))</f>
        <v>1</v>
      </c>
      <c r="AO151">
        <f>IF(OR($J151=1,COUNTIFS($A$5:$A150,"&gt;="&amp;$A151-1,$A$5:$A150,"&lt;="&amp;$A151,$B$5:$B150,$B151)&gt;0,MIN(1-'Exercise list'!I$2,IF($A151=$A150,AO150,1))-T151&lt;0),-1,MIN(1,IF($A151=$A150,AO150,1)-T151+$D$2))</f>
        <v>1</v>
      </c>
      <c r="AP151">
        <f>IF(OR($J151=1,COUNTIFS($A$5:$A150,"&gt;="&amp;$A151-1,$A$5:$A150,"&lt;="&amp;$A151,$B$5:$B150,$B151)&gt;0,MIN(1-'Exercise list'!J$2,IF($A151=$A150,AP150,1))-U151&lt;0),-1,MIN(1,IF($A151=$A150,AP150,1)-U151+$D$2))</f>
        <v>1</v>
      </c>
      <c r="AQ151">
        <f>IF(OR($J151=1,COUNTIFS($A$5:$A150,"&gt;="&amp;$A151-1,$A$5:$A150,"&lt;="&amp;$A151,$B$5:$B150,$B151)&gt;0,MIN(1-'Exercise list'!K$2,IF($A151=$A150,AQ150,1))-V151&lt;0),-1,MIN(1,IF($A151=$A150,AQ150,1)-V151+$D$2))</f>
        <v>1</v>
      </c>
      <c r="AR151">
        <f>IF(OR($J151=1,COUNTIFS($A$5:$A150,"&gt;="&amp;$A151-1,$A$5:$A150,"&lt;="&amp;$A151,$B$5:$B150,$B151)&gt;0,MIN(1-'Exercise list'!L$2,IF($A151=$A150,AR150,1))-W151&lt;0),-1,MIN(1,IF($A151=$A150,AR150,1)-W151+$D$2))</f>
        <v>1</v>
      </c>
      <c r="AS151">
        <f>IF(OR($J151=1,COUNTIFS($A$5:$A150,"&gt;="&amp;$A151-1,$A$5:$A150,"&lt;="&amp;$A151,$B$5:$B150,$B151)&gt;0,MIN(1-'Exercise list'!M$2,IF($A151=$A150,AS150,1))-X151&lt;0),-1,MIN(1,IF($A151=$A150,AS150,1)-X151+$D$2))</f>
        <v>1</v>
      </c>
      <c r="AT151">
        <f>IF(OR($J151=1,COUNTIFS($A$5:$A150,"&gt;="&amp;$A151-1,$A$5:$A150,"&lt;="&amp;$A151,$B$5:$B150,$B151)&gt;0,MIN(1-'Exercise list'!N$2,IF($A151=$A150,AT150,1))-Y151&lt;0),-1,MIN(1,IF($A151=$A150,AT150,1)-Y151+$D$2))</f>
        <v>1</v>
      </c>
      <c r="AU151">
        <f>IF(OR($J151=1,COUNTIFS($A$5:$A150,"&gt;="&amp;$A151-1,$A$5:$A150,"&lt;="&amp;$A151,$B$5:$B150,$B151)&gt;0,MIN(1-'Exercise list'!O$2,IF($A151=$A150,AU150,1))-Z151&lt;0),-1,MIN(1,IF($A151=$A150,AU150,1)-Z151+$D$2))</f>
        <v>1</v>
      </c>
      <c r="AV151">
        <f>IF(OR($J151=1,COUNTIFS($A$5:$A150,"&gt;="&amp;$A151-1,$A$5:$A150,"&lt;="&amp;$A151,$B$5:$B150,$B151)&gt;0,MIN(1-'Exercise list'!P$2,IF($A151=$A150,AV150,1))-AA151&lt;0),-1,MIN(1,IF($A151=$A150,AV150,1)-AA151+$D$2))</f>
        <v>1</v>
      </c>
      <c r="AW151">
        <f>IF(OR($J151=1,COUNTIFS($A$5:$A150,"&gt;="&amp;$A151-1,$A$5:$A150,"&lt;="&amp;$A151,$B$5:$B150,$B151)&gt;0,MIN(1-'Exercise list'!Q$2,IF($A151=$A150,AW150,1))-AB151&lt;0),-1,MIN(1,IF($A151=$A150,AW150,1)-AB151+$D$2))</f>
        <v>1</v>
      </c>
      <c r="AX151">
        <f>IF(OR($J151=1,COUNTIFS($A$5:$A150,"&gt;="&amp;$A151-1,$A$5:$A150,"&lt;="&amp;$A151,$B$5:$B150,$B151)&gt;0,MIN(1-'Exercise list'!R$2,IF($A151=$A150,AX150,1))-AC151&lt;0),-1,MIN(1,IF($A151=$A150,AX150,1)-AC151+$D$2))</f>
        <v>1</v>
      </c>
      <c r="AY151">
        <f>IF(OR($J151=1,COUNTIFS($A$5:$A150,"&gt;="&amp;$A151-1,$A$5:$A150,"&lt;="&amp;$A151,$B$5:$B150,$B151)&gt;0,MIN(1-'Exercise list'!S$2,IF($A151=$A150,AY150,1))-AD151&lt;0),-1,MIN(1,IF($A151=$A150,AY150,1)-AD151+$D$2))</f>
        <v>1</v>
      </c>
      <c r="AZ151">
        <f>IF(OR($J151=1,COUNTIFS($A$5:$A150,"&gt;="&amp;$A151-1,$A$5:$A150,"&lt;="&amp;$A151,$B$5:$B150,$B151)&gt;0,MIN(1-'Exercise list'!T$2,IF($A151=$A150,AZ150,1))-AE151&lt;0),-1,MIN(1,IF($A151=$A150,AZ150,1)-AE151+$D$2))</f>
        <v>1</v>
      </c>
      <c r="BA151">
        <f>IF(OR($J151=1,COUNTIFS($A$5:$A150,"&gt;="&amp;$A151-1,$A$5:$A150,"&lt;="&amp;$A151,$B$5:$B150,$B151)&gt;0,MIN(1-'Exercise list'!U$2,IF($A151=$A150,BA150,1))-AF151&lt;0),-1,MIN(1,IF($A151=$A150,BA150,1)-AF151+$D$2))</f>
        <v>1</v>
      </c>
      <c r="BB151">
        <f>IF(OR($J151=1,COUNTIFS($A$5:$A150,"&gt;="&amp;$A151-1,$A$5:$A150,"&lt;="&amp;$A151,$B$5:$B150,$B151)&gt;0,MIN(1-'Exercise list'!V$2,IF($A151=$A150,BB150,1))-AG151&lt;0),-1,MIN(1,IF($A151=$A150,BB150,1)-AG151+$D$2))</f>
        <v>1</v>
      </c>
      <c r="BC151">
        <f>IF(OR($J151=1,COUNTIFS($A$5:$A150,"&gt;="&amp;$A151-1,$A$5:$A150,"&lt;="&amp;$A151,$B$5:$B150,$B151)&gt;0,MIN(1-'Exercise list'!W$2,IF($A151=$A150,BC150,1))-AH151&lt;0),-1,MIN(1,IF($A151=$A150,BC150,1)-AH151+$D$2))</f>
        <v>1</v>
      </c>
      <c r="BD151">
        <f>IF(OR($J151=1,COUNTIFS($A$5:$A150,"&gt;="&amp;$A151-1,$A$5:$A150,"&lt;="&amp;$A151,$B$5:$B150,$B151)&gt;0,MIN(1-'Exercise list'!X$2,IF($A151=$A150,BD150,1))-AI151&lt;0),-1,MIN(1,IF($A151=$A150,BD150,1)-AI151+$D$2))</f>
        <v>1</v>
      </c>
      <c r="BF151" s="16">
        <f t="shared" si="100"/>
        <v>0.1601327363074582</v>
      </c>
      <c r="BG151" s="16">
        <f t="shared" si="101"/>
        <v>0.22026680657107137</v>
      </c>
      <c r="BH151" s="16">
        <f t="shared" si="102"/>
        <v>0.16280829947299305</v>
      </c>
      <c r="BI151" s="16">
        <f t="shared" si="103"/>
        <v>0.13457777378249652</v>
      </c>
      <c r="BJ151" s="16">
        <f t="shared" si="104"/>
        <v>9.9968769468501695E-2</v>
      </c>
      <c r="BK151" s="16">
        <f t="shared" si="105"/>
        <v>0.11871316510106157</v>
      </c>
      <c r="BL151" s="16">
        <f t="shared" si="106"/>
        <v>0.19725732070104945</v>
      </c>
      <c r="BM151" s="16">
        <f t="shared" si="107"/>
        <v>6.1861237429570292E-3</v>
      </c>
      <c r="BN151" s="16">
        <f t="shared" si="108"/>
        <v>0.12217347992270111</v>
      </c>
      <c r="BO151" s="16">
        <f t="shared" si="109"/>
        <v>0.23623686949669404</v>
      </c>
      <c r="BP151" s="16">
        <f t="shared" si="110"/>
        <v>0.28018751529393293</v>
      </c>
      <c r="BQ151" s="16">
        <f t="shared" si="111"/>
        <v>0.11434728292780123</v>
      </c>
      <c r="BR151" s="16">
        <f t="shared" si="112"/>
        <v>0.15347576896015228</v>
      </c>
      <c r="BS151" s="16">
        <f t="shared" si="113"/>
        <v>1.9587670526996049E-2</v>
      </c>
      <c r="BT151" s="16">
        <f t="shared" si="114"/>
        <v>0.1559186351998737</v>
      </c>
      <c r="BU151" s="16">
        <f t="shared" si="115"/>
        <v>0.14046685967173633</v>
      </c>
      <c r="BV151" s="16">
        <f t="shared" si="116"/>
        <v>0.18048931166396764</v>
      </c>
      <c r="BW151" s="16">
        <f t="shared" si="117"/>
        <v>8.7624610209310949E-2</v>
      </c>
      <c r="BX151" s="16">
        <f t="shared" si="118"/>
        <v>8.8711661723913537E-2</v>
      </c>
      <c r="BY151" s="16">
        <f t="shared" si="119"/>
        <v>5.4866303907182154E-2</v>
      </c>
      <c r="CA151" s="16">
        <f t="shared" si="141"/>
        <v>4.2385557370456739E-2</v>
      </c>
      <c r="CB151" s="16">
        <f t="shared" si="122"/>
        <v>0</v>
      </c>
      <c r="CC151" s="16">
        <f t="shared" si="123"/>
        <v>0</v>
      </c>
      <c r="CD151" s="16">
        <f t="shared" si="124"/>
        <v>0</v>
      </c>
      <c r="CE151" s="16">
        <f t="shared" si="125"/>
        <v>1.2903773704557725E-3</v>
      </c>
      <c r="CF151" s="16">
        <f t="shared" si="126"/>
        <v>0.18506427541581083</v>
      </c>
      <c r="CG151" s="16">
        <f t="shared" si="127"/>
        <v>0</v>
      </c>
      <c r="CH151" s="16">
        <f t="shared" si="128"/>
        <v>9.5073023096000436E-2</v>
      </c>
      <c r="CI151" s="16">
        <f t="shared" si="129"/>
        <v>8.0344813755213823E-2</v>
      </c>
      <c r="CJ151" s="16">
        <f t="shared" si="130"/>
        <v>0</v>
      </c>
      <c r="CK151" s="16">
        <f t="shared" si="131"/>
        <v>0</v>
      </c>
      <c r="CL151" s="16">
        <f t="shared" si="132"/>
        <v>0</v>
      </c>
      <c r="CM151" s="16">
        <f t="shared" si="133"/>
        <v>4.9042524717762659E-2</v>
      </c>
      <c r="CN151" s="16">
        <f t="shared" si="134"/>
        <v>8.1671476311961422E-2</v>
      </c>
      <c r="CO151" s="16">
        <f t="shared" si="135"/>
        <v>0</v>
      </c>
      <c r="CP151" s="16">
        <f t="shared" si="136"/>
        <v>0</v>
      </c>
      <c r="CQ151" s="16">
        <f t="shared" si="137"/>
        <v>2.202898201394729E-2</v>
      </c>
      <c r="CR151" s="16">
        <f t="shared" si="138"/>
        <v>1.3634536629646518E-2</v>
      </c>
      <c r="CS151" s="16">
        <f t="shared" si="139"/>
        <v>1.254748511504393E-2</v>
      </c>
      <c r="CT151" s="16">
        <f t="shared" si="140"/>
        <v>4.6392842931775313E-2</v>
      </c>
    </row>
    <row r="152" spans="1:99" x14ac:dyDescent="0.25">
      <c r="A152" s="13">
        <v>45093</v>
      </c>
      <c r="B152" s="14">
        <v>59</v>
      </c>
      <c r="C152" s="15" t="str" cm="1">
        <f t="array" ref="C152">IF(B152="","",INDEX('Exercise list'!$C$5:$C$102,B152))</f>
        <v>Triceps dips</v>
      </c>
      <c r="D152" s="12">
        <f t="shared" si="97"/>
        <v>1</v>
      </c>
      <c r="E152" s="107">
        <f t="shared" si="120"/>
        <v>0</v>
      </c>
      <c r="F152" s="63" cm="1">
        <f t="array" ref="F152">IF(B152="","",0.1+IFERROR(INDEX($F$6:$F151,SUMPRODUCT(MAX(ROW($C$6:$C151)*($C152=$C$6:$C151))-ROW($A$5)))*0.9^($A152-INDEX($A$6:A151,SUMPRODUCT(MAX(ROW($C$6:$C151)*($C152=$C$6:$C151))-ROW($A$5)))),0))</f>
        <v>0.21746399533911748</v>
      </c>
      <c r="G152" s="64">
        <f>INDEX('Exercise list'!$Y$5:$Y$102,MATCH(C152,'Exercise list'!$C$5:$C$102,0))</f>
        <v>2</v>
      </c>
      <c r="H152" s="115">
        <f t="shared" si="98"/>
        <v>5.5798007460338854E-2</v>
      </c>
      <c r="I152" s="6">
        <f t="shared" si="99"/>
        <v>4</v>
      </c>
      <c r="J152" s="6" cm="1">
        <f t="array" ref="J152">IF(B152="","",INDEX('Exercise list'!$D$5:$D$102,B152))</f>
        <v>0</v>
      </c>
      <c r="K152" s="12">
        <v>29</v>
      </c>
      <c r="L152" s="74" t="str" cm="1">
        <f t="array" ref="L152">IF(K152="","",INDEX('Exercise list'!$C$5:$C$102,K152))</f>
        <v>Hanging leg raises</v>
      </c>
      <c r="M152" s="6">
        <v>26</v>
      </c>
      <c r="N152" s="75" t="str" cm="1">
        <f t="array" ref="N152">IF(M152="","",INDEX('Exercise list'!$C$5:$C$102,M152))</f>
        <v>Dumbbell incline bench presses</v>
      </c>
      <c r="P152">
        <f>IFERROR(INDEX('Exercise list'!$E$5:$X$102,MATCH($C152,'Exercise list'!$C$5:$C$102,0),MATCH(P$5,'Exercise list'!$E$4:$X$4,0)),0)</f>
        <v>0.5</v>
      </c>
      <c r="Q152">
        <f>IFERROR(INDEX('Exercise list'!$E$5:$X$102,MATCH($C152,'Exercise list'!$C$5:$C$102,0),MATCH(Q$5,'Exercise list'!$E$4:$X$4,0)),0)</f>
        <v>0</v>
      </c>
      <c r="R152">
        <f>IFERROR(INDEX('Exercise list'!$E$5:$X$102,MATCH($C152,'Exercise list'!$C$5:$C$102,0),MATCH(R$5,'Exercise list'!$E$4:$X$4,0)),0)</f>
        <v>0</v>
      </c>
      <c r="S152">
        <f>IFERROR(INDEX('Exercise list'!$E$5:$X$102,MATCH($C152,'Exercise list'!$C$5:$C$102,0),MATCH(S$5,'Exercise list'!$E$4:$X$4,0)),0)</f>
        <v>0</v>
      </c>
      <c r="T152">
        <f>IFERROR(INDEX('Exercise list'!$E$5:$X$102,MATCH($C152,'Exercise list'!$C$5:$C$102,0),MATCH(T$5,'Exercise list'!$E$4:$X$4,0)),0)</f>
        <v>0</v>
      </c>
      <c r="U152">
        <f>IFERROR(INDEX('Exercise list'!$E$5:$X$102,MATCH($C152,'Exercise list'!$C$5:$C$102,0),MATCH(U$5,'Exercise list'!$E$4:$X$4,0)),0)</f>
        <v>0</v>
      </c>
      <c r="V152">
        <f>IFERROR(INDEX('Exercise list'!$E$5:$X$102,MATCH($C152,'Exercise list'!$C$5:$C$102,0),MATCH(V$5,'Exercise list'!$E$4:$X$4,0)),0)</f>
        <v>0</v>
      </c>
      <c r="W152">
        <f>IFERROR(INDEX('Exercise list'!$E$5:$X$102,MATCH($C152,'Exercise list'!$C$5:$C$102,0),MATCH(W$5,'Exercise list'!$E$4:$X$4,0)),0)</f>
        <v>0</v>
      </c>
      <c r="X152">
        <f>IFERROR(INDEX('Exercise list'!$E$5:$X$102,MATCH($C152,'Exercise list'!$C$5:$C$102,0),MATCH(X$5,'Exercise list'!$E$4:$X$4,0)),0)</f>
        <v>0</v>
      </c>
      <c r="Y152">
        <f>IFERROR(INDEX('Exercise list'!$E$5:$X$102,MATCH($C152,'Exercise list'!$C$5:$C$102,0),MATCH(Y$5,'Exercise list'!$E$4:$X$4,0)),0)</f>
        <v>1</v>
      </c>
      <c r="Z152">
        <f>IFERROR(INDEX('Exercise list'!$E$5:$X$102,MATCH($C152,'Exercise list'!$C$5:$C$102,0),MATCH(Z$5,'Exercise list'!$E$4:$X$4,0)),0)</f>
        <v>0</v>
      </c>
      <c r="AA152">
        <f>IFERROR(INDEX('Exercise list'!$E$5:$X$102,MATCH($C152,'Exercise list'!$C$5:$C$102,0),MATCH(AA$5,'Exercise list'!$E$4:$X$4,0)),0)</f>
        <v>0</v>
      </c>
      <c r="AB152">
        <f>IFERROR(INDEX('Exercise list'!$E$5:$X$102,MATCH($C152,'Exercise list'!$C$5:$C$102,0),MATCH(AB$5,'Exercise list'!$E$4:$X$4,0)),0)</f>
        <v>0</v>
      </c>
      <c r="AC152">
        <f>IFERROR(INDEX('Exercise list'!$E$5:$X$102,MATCH($C152,'Exercise list'!$C$5:$C$102,0),MATCH(AC$5,'Exercise list'!$E$4:$X$4,0)),0)</f>
        <v>0</v>
      </c>
      <c r="AD152">
        <f>IFERROR(INDEX('Exercise list'!$E$5:$X$102,MATCH($C152,'Exercise list'!$C$5:$C$102,0),MATCH(AD$5,'Exercise list'!$E$4:$X$4,0)),0)</f>
        <v>0</v>
      </c>
      <c r="AE152">
        <f>IFERROR(INDEX('Exercise list'!$E$5:$X$102,MATCH($C152,'Exercise list'!$C$5:$C$102,0),MATCH(AE$5,'Exercise list'!$E$4:$X$4,0)),0)</f>
        <v>0</v>
      </c>
      <c r="AF152">
        <f>IFERROR(INDEX('Exercise list'!$E$5:$X$102,MATCH($C152,'Exercise list'!$C$5:$C$102,0),MATCH(AF$5,'Exercise list'!$E$4:$X$4,0)),0)</f>
        <v>0</v>
      </c>
      <c r="AG152">
        <f>IFERROR(INDEX('Exercise list'!$E$5:$X$102,MATCH($C152,'Exercise list'!$C$5:$C$102,0),MATCH(AG$5,'Exercise list'!$E$4:$X$4,0)),0)</f>
        <v>0</v>
      </c>
      <c r="AH152">
        <f>IFERROR(INDEX('Exercise list'!$E$5:$X$102,MATCH($C152,'Exercise list'!$C$5:$C$102,0),MATCH(AH$5,'Exercise list'!$E$4:$X$4,0)),0)</f>
        <v>0</v>
      </c>
      <c r="AI152">
        <f>IFERROR(INDEX('Exercise list'!$E$5:$X$102,MATCH($C152,'Exercise list'!$C$5:$C$102,0),MATCH(AI$5,'Exercise list'!$E$4:$X$4,0)),0)</f>
        <v>0</v>
      </c>
      <c r="AK152">
        <f>IF(OR($J152=1,COUNTIFS($A$5:$A151,"&gt;="&amp;$A152-1,$A$5:$A151,"&lt;="&amp;$A152,$B$5:$B151,$B152)&gt;0,MIN(1-'Exercise list'!E$2,IF($A152=$A151,AK151,1))-P152&lt;0),-1,MIN(1,IF($A152=$A151,AK151,1)-P152+$D$2))</f>
        <v>1</v>
      </c>
      <c r="AL152">
        <f>IF(OR($J152=1,COUNTIFS($A$5:$A151,"&gt;="&amp;$A152-1,$A$5:$A151,"&lt;="&amp;$A152,$B$5:$B151,$B152)&gt;0,MIN(1-'Exercise list'!F$2,IF($A152=$A151,AL151,1))-Q152&lt;0),-1,MIN(1,IF($A152=$A151,AL151,1)-Q152+$D$2))</f>
        <v>1</v>
      </c>
      <c r="AM152">
        <f>IF(OR($J152=1,COUNTIFS($A$5:$A151,"&gt;="&amp;$A152-1,$A$5:$A151,"&lt;="&amp;$A152,$B$5:$B151,$B152)&gt;0,MIN(1-'Exercise list'!G$2,IF($A152=$A151,AM151,1))-R152&lt;0),-1,MIN(1,IF($A152=$A151,AM151,1)-R152+$D$2))</f>
        <v>1</v>
      </c>
      <c r="AN152">
        <f>IF(OR($J152=1,COUNTIFS($A$5:$A151,"&gt;="&amp;$A152-1,$A$5:$A151,"&lt;="&amp;$A152,$B$5:$B151,$B152)&gt;0,MIN(1-'Exercise list'!H$2,IF($A152=$A151,AN151,1))-S152&lt;0),-1,MIN(1,IF($A152=$A151,AN151,1)-S152+$D$2))</f>
        <v>1</v>
      </c>
      <c r="AO152">
        <f>IF(OR($J152=1,COUNTIFS($A$5:$A151,"&gt;="&amp;$A152-1,$A$5:$A151,"&lt;="&amp;$A152,$B$5:$B151,$B152)&gt;0,MIN(1-'Exercise list'!I$2,IF($A152=$A151,AO151,1))-T152&lt;0),-1,MIN(1,IF($A152=$A151,AO151,1)-T152+$D$2))</f>
        <v>1</v>
      </c>
      <c r="AP152">
        <f>IF(OR($J152=1,COUNTIFS($A$5:$A151,"&gt;="&amp;$A152-1,$A$5:$A151,"&lt;="&amp;$A152,$B$5:$B151,$B152)&gt;0,MIN(1-'Exercise list'!J$2,IF($A152=$A151,AP151,1))-U152&lt;0),-1,MIN(1,IF($A152=$A151,AP151,1)-U152+$D$2))</f>
        <v>1</v>
      </c>
      <c r="AQ152">
        <f>IF(OR($J152=1,COUNTIFS($A$5:$A151,"&gt;="&amp;$A152-1,$A$5:$A151,"&lt;="&amp;$A152,$B$5:$B151,$B152)&gt;0,MIN(1-'Exercise list'!K$2,IF($A152=$A151,AQ151,1))-V152&lt;0),-1,MIN(1,IF($A152=$A151,AQ151,1)-V152+$D$2))</f>
        <v>1</v>
      </c>
      <c r="AR152">
        <f>IF(OR($J152=1,COUNTIFS($A$5:$A151,"&gt;="&amp;$A152-1,$A$5:$A151,"&lt;="&amp;$A152,$B$5:$B151,$B152)&gt;0,MIN(1-'Exercise list'!L$2,IF($A152=$A151,AR151,1))-W152&lt;0),-1,MIN(1,IF($A152=$A151,AR151,1)-W152+$D$2))</f>
        <v>1</v>
      </c>
      <c r="AS152">
        <f>IF(OR($J152=1,COUNTIFS($A$5:$A151,"&gt;="&amp;$A152-1,$A$5:$A151,"&lt;="&amp;$A152,$B$5:$B151,$B152)&gt;0,MIN(1-'Exercise list'!M$2,IF($A152=$A151,AS151,1))-X152&lt;0),-1,MIN(1,IF($A152=$A151,AS151,1)-X152+$D$2))</f>
        <v>1</v>
      </c>
      <c r="AT152">
        <f>IF(OR($J152=1,COUNTIFS($A$5:$A151,"&gt;="&amp;$A152-1,$A$5:$A151,"&lt;="&amp;$A152,$B$5:$B151,$B152)&gt;0,MIN(1-'Exercise list'!N$2,IF($A152=$A151,AT151,1))-Y152&lt;0),-1,MIN(1,IF($A152=$A151,AT151,1)-Y152+$D$2))</f>
        <v>1</v>
      </c>
      <c r="AU152">
        <f>IF(OR($J152=1,COUNTIFS($A$5:$A151,"&gt;="&amp;$A152-1,$A$5:$A151,"&lt;="&amp;$A152,$B$5:$B151,$B152)&gt;0,MIN(1-'Exercise list'!O$2,IF($A152=$A151,AU151,1))-Z152&lt;0),-1,MIN(1,IF($A152=$A151,AU151,1)-Z152+$D$2))</f>
        <v>1</v>
      </c>
      <c r="AV152">
        <f>IF(OR($J152=1,COUNTIFS($A$5:$A151,"&gt;="&amp;$A152-1,$A$5:$A151,"&lt;="&amp;$A152,$B$5:$B151,$B152)&gt;0,MIN(1-'Exercise list'!P$2,IF($A152=$A151,AV151,1))-AA152&lt;0),-1,MIN(1,IF($A152=$A151,AV151,1)-AA152+$D$2))</f>
        <v>1</v>
      </c>
      <c r="AW152">
        <f>IF(OR($J152=1,COUNTIFS($A$5:$A151,"&gt;="&amp;$A152-1,$A$5:$A151,"&lt;="&amp;$A152,$B$5:$B151,$B152)&gt;0,MIN(1-'Exercise list'!Q$2,IF($A152=$A151,AW151,1))-AB152&lt;0),-1,MIN(1,IF($A152=$A151,AW151,1)-AB152+$D$2))</f>
        <v>1</v>
      </c>
      <c r="AX152">
        <f>IF(OR($J152=1,COUNTIFS($A$5:$A151,"&gt;="&amp;$A152-1,$A$5:$A151,"&lt;="&amp;$A152,$B$5:$B151,$B152)&gt;0,MIN(1-'Exercise list'!R$2,IF($A152=$A151,AX151,1))-AC152&lt;0),-1,MIN(1,IF($A152=$A151,AX151,1)-AC152+$D$2))</f>
        <v>1</v>
      </c>
      <c r="AY152">
        <f>IF(OR($J152=1,COUNTIFS($A$5:$A151,"&gt;="&amp;$A152-1,$A$5:$A151,"&lt;="&amp;$A152,$B$5:$B151,$B152)&gt;0,MIN(1-'Exercise list'!S$2,IF($A152=$A151,AY151,1))-AD152&lt;0),-1,MIN(1,IF($A152=$A151,AY151,1)-AD152+$D$2))</f>
        <v>1</v>
      </c>
      <c r="AZ152">
        <f>IF(OR($J152=1,COUNTIFS($A$5:$A151,"&gt;="&amp;$A152-1,$A$5:$A151,"&lt;="&amp;$A152,$B$5:$B151,$B152)&gt;0,MIN(1-'Exercise list'!T$2,IF($A152=$A151,AZ151,1))-AE152&lt;0),-1,MIN(1,IF($A152=$A151,AZ151,1)-AE152+$D$2))</f>
        <v>1</v>
      </c>
      <c r="BA152">
        <f>IF(OR($J152=1,COUNTIFS($A$5:$A151,"&gt;="&amp;$A152-1,$A$5:$A151,"&lt;="&amp;$A152,$B$5:$B151,$B152)&gt;0,MIN(1-'Exercise list'!U$2,IF($A152=$A151,BA151,1))-AF152&lt;0),-1,MIN(1,IF($A152=$A151,BA151,1)-AF152+$D$2))</f>
        <v>1</v>
      </c>
      <c r="BB152">
        <f>IF(OR($J152=1,COUNTIFS($A$5:$A151,"&gt;="&amp;$A152-1,$A$5:$A151,"&lt;="&amp;$A152,$B$5:$B151,$B152)&gt;0,MIN(1-'Exercise list'!V$2,IF($A152=$A151,BB151,1))-AG152&lt;0),-1,MIN(1,IF($A152=$A151,BB151,1)-AG152+$D$2))</f>
        <v>1</v>
      </c>
      <c r="BC152">
        <f>IF(OR($J152=1,COUNTIFS($A$5:$A151,"&gt;="&amp;$A152-1,$A$5:$A151,"&lt;="&amp;$A152,$B$5:$B151,$B152)&gt;0,MIN(1-'Exercise list'!W$2,IF($A152=$A151,BC151,1))-AH152&lt;0),-1,MIN(1,IF($A152=$A151,BC151,1)-AH152+$D$2))</f>
        <v>1</v>
      </c>
      <c r="BD152">
        <f>IF(OR($J152=1,COUNTIFS($A$5:$A151,"&gt;="&amp;$A152-1,$A$5:$A151,"&lt;="&amp;$A152,$B$5:$B151,$B152)&gt;0,MIN(1-'Exercise list'!X$2,IF($A152=$A151,BD151,1))-AI152&lt;0),-1,MIN(1,IF($A152=$A151,BD151,1)-AI152+$D$2))</f>
        <v>1</v>
      </c>
      <c r="BF152" s="16">
        <f t="shared" si="100"/>
        <v>0.17712609949208527</v>
      </c>
      <c r="BG152" s="16">
        <f t="shared" si="101"/>
        <v>0.20925346624251778</v>
      </c>
      <c r="BH152" s="16">
        <f t="shared" si="102"/>
        <v>0.15466788449934338</v>
      </c>
      <c r="BI152" s="16">
        <f t="shared" si="103"/>
        <v>0.12784888509337169</v>
      </c>
      <c r="BJ152" s="16">
        <f t="shared" si="104"/>
        <v>9.497033099507661E-2</v>
      </c>
      <c r="BK152" s="16">
        <f t="shared" si="105"/>
        <v>0.11277750684600849</v>
      </c>
      <c r="BL152" s="16">
        <f t="shared" si="106"/>
        <v>0.18739445466599697</v>
      </c>
      <c r="BM152" s="16">
        <f t="shared" si="107"/>
        <v>5.8768175558091777E-3</v>
      </c>
      <c r="BN152" s="16">
        <f t="shared" si="108"/>
        <v>0.11606480592656605</v>
      </c>
      <c r="BO152" s="16">
        <f t="shared" si="109"/>
        <v>0.27442502602185931</v>
      </c>
      <c r="BP152" s="16">
        <f t="shared" si="110"/>
        <v>0.26617813952923625</v>
      </c>
      <c r="BQ152" s="16">
        <f t="shared" si="111"/>
        <v>0.10862991878141116</v>
      </c>
      <c r="BR152" s="16">
        <f t="shared" si="112"/>
        <v>0.14580198051214466</v>
      </c>
      <c r="BS152" s="16">
        <f t="shared" si="113"/>
        <v>1.8608287000646245E-2</v>
      </c>
      <c r="BT152" s="16">
        <f t="shared" si="114"/>
        <v>0.14812270343988002</v>
      </c>
      <c r="BU152" s="16">
        <f t="shared" si="115"/>
        <v>0.13344351668814952</v>
      </c>
      <c r="BV152" s="16">
        <f t="shared" si="116"/>
        <v>0.17146484608076926</v>
      </c>
      <c r="BW152" s="16">
        <f t="shared" si="117"/>
        <v>8.3243379698845404E-2</v>
      </c>
      <c r="BX152" s="16">
        <f t="shared" si="118"/>
        <v>8.4276078637717855E-2</v>
      </c>
      <c r="BY152" s="16">
        <f t="shared" si="119"/>
        <v>5.2122988711823047E-2</v>
      </c>
      <c r="CA152" s="16">
        <f t="shared" si="141"/>
        <v>2.0821835057489413E-2</v>
      </c>
      <c r="CB152" s="16">
        <f t="shared" si="122"/>
        <v>0</v>
      </c>
      <c r="CC152" s="16">
        <f t="shared" si="123"/>
        <v>0</v>
      </c>
      <c r="CD152" s="16">
        <f t="shared" si="124"/>
        <v>0</v>
      </c>
      <c r="CE152" s="16">
        <f t="shared" si="125"/>
        <v>4.0036362797107317E-3</v>
      </c>
      <c r="CF152" s="16">
        <f t="shared" si="126"/>
        <v>0.18414439497835353</v>
      </c>
      <c r="CG152" s="16">
        <f t="shared" si="127"/>
        <v>0</v>
      </c>
      <c r="CH152" s="16">
        <f t="shared" si="128"/>
        <v>9.3097149718978159E-2</v>
      </c>
      <c r="CI152" s="16">
        <f t="shared" si="129"/>
        <v>8.188312862300863E-2</v>
      </c>
      <c r="CJ152" s="16">
        <f t="shared" si="130"/>
        <v>0</v>
      </c>
      <c r="CK152" s="16">
        <f t="shared" si="131"/>
        <v>0</v>
      </c>
      <c r="CL152" s="16">
        <f t="shared" si="132"/>
        <v>0</v>
      </c>
      <c r="CM152" s="16">
        <f t="shared" si="133"/>
        <v>5.2145954037430026E-2</v>
      </c>
      <c r="CN152" s="16">
        <f t="shared" si="134"/>
        <v>8.0365680274141094E-2</v>
      </c>
      <c r="CO152" s="16">
        <f t="shared" si="135"/>
        <v>0</v>
      </c>
      <c r="CP152" s="16">
        <f t="shared" si="136"/>
        <v>0</v>
      </c>
      <c r="CQ152" s="16">
        <f t="shared" si="137"/>
        <v>2.6483088468805427E-2</v>
      </c>
      <c r="CR152" s="16">
        <f t="shared" si="138"/>
        <v>1.5730587575941937E-2</v>
      </c>
      <c r="CS152" s="16">
        <f t="shared" si="139"/>
        <v>1.4697888637069487E-2</v>
      </c>
      <c r="CT152" s="16">
        <f t="shared" si="140"/>
        <v>4.6850978562964295E-2</v>
      </c>
    </row>
    <row r="153" spans="1:99" x14ac:dyDescent="0.25">
      <c r="A153" s="20">
        <v>45093</v>
      </c>
      <c r="B153" s="21">
        <v>2</v>
      </c>
      <c r="C153" s="22" t="str" cm="1">
        <f t="array" ref="C153">IF(B153="","",INDEX('Exercise list'!$C$5:$C$102,B153))</f>
        <v>Lateral elliptical machine</v>
      </c>
      <c r="D153" s="17">
        <f t="shared" si="97"/>
        <v>1</v>
      </c>
      <c r="E153" s="108">
        <f t="shared" si="120"/>
        <v>9.8853532282027103</v>
      </c>
      <c r="F153" s="65" cm="1">
        <f t="array" ref="F153">IF(B153="","",0.1+IFERROR(INDEX($F$6:$F152,SUMPRODUCT(MAX(ROW($C$6:$C152)*($C153=$C$6:$C152))-ROW($A$5)))*0.9^($A153-INDEX($A$6:A152,SUMPRODUCT(MAX(ROW($C$6:$C152)*($C153=$C$6:$C152))-ROW($A$5)))),0))</f>
        <v>0.1719269455410308</v>
      </c>
      <c r="G153" s="25">
        <f>INDEX('Exercise list'!$Y$5:$Y$102,MATCH(C153,'Exercise list'!$C$5:$C$102,0))</f>
        <v>3</v>
      </c>
      <c r="H153" s="116">
        <f t="shared" si="98"/>
        <v>5.5798007460338854E-2</v>
      </c>
      <c r="I153" s="18">
        <f t="shared" si="99"/>
        <v>5</v>
      </c>
      <c r="J153" s="18" cm="1">
        <f t="array" ref="J153">IF(B153="","",INDEX('Exercise list'!$D$5:$D$102,B153))</f>
        <v>0</v>
      </c>
      <c r="K153" s="17">
        <v>2</v>
      </c>
      <c r="L153" s="51" t="str" cm="1">
        <f t="array" ref="L153">IF(K153="","",INDEX('Exercise list'!$C$5:$C$102,K153))</f>
        <v>Lateral elliptical machine</v>
      </c>
      <c r="M153" s="18">
        <v>4</v>
      </c>
      <c r="N153" s="76" t="str" cm="1">
        <f t="array" ref="N153">IF(M153="","",INDEX('Exercise list'!$C$5:$C$102,M153))</f>
        <v>Stair climbing machine</v>
      </c>
      <c r="O153" s="19"/>
      <c r="P153" s="19">
        <f>IFERROR(INDEX('Exercise list'!$E$5:$X$102,MATCH($C153,'Exercise list'!$C$5:$C$102,0),MATCH(P$5,'Exercise list'!$E$4:$X$4,0)),0)</f>
        <v>0</v>
      </c>
      <c r="Q153" s="19">
        <f>IFERROR(INDEX('Exercise list'!$E$5:$X$102,MATCH($C153,'Exercise list'!$C$5:$C$102,0),MATCH(Q$5,'Exercise list'!$E$4:$X$4,0)),0)</f>
        <v>0</v>
      </c>
      <c r="R153" s="19">
        <f>IFERROR(INDEX('Exercise list'!$E$5:$X$102,MATCH($C153,'Exercise list'!$C$5:$C$102,0),MATCH(R$5,'Exercise list'!$E$4:$X$4,0)),0)</f>
        <v>0</v>
      </c>
      <c r="S153" s="19">
        <f>IFERROR(INDEX('Exercise list'!$E$5:$X$102,MATCH($C153,'Exercise list'!$C$5:$C$102,0),MATCH(S$5,'Exercise list'!$E$4:$X$4,0)),0)</f>
        <v>0</v>
      </c>
      <c r="T153" s="19">
        <f>IFERROR(INDEX('Exercise list'!$E$5:$X$102,MATCH($C153,'Exercise list'!$C$5:$C$102,0),MATCH(T$5,'Exercise list'!$E$4:$X$4,0)),0)</f>
        <v>0</v>
      </c>
      <c r="U153" s="19">
        <f>IFERROR(INDEX('Exercise list'!$E$5:$X$102,MATCH($C153,'Exercise list'!$C$5:$C$102,0),MATCH(U$5,'Exercise list'!$E$4:$X$4,0)),0)</f>
        <v>0</v>
      </c>
      <c r="V153" s="19">
        <f>IFERROR(INDEX('Exercise list'!$E$5:$X$102,MATCH($C153,'Exercise list'!$C$5:$C$102,0),MATCH(V$5,'Exercise list'!$E$4:$X$4,0)),0)</f>
        <v>0</v>
      </c>
      <c r="W153" s="19">
        <f>IFERROR(INDEX('Exercise list'!$E$5:$X$102,MATCH($C153,'Exercise list'!$C$5:$C$102,0),MATCH(W$5,'Exercise list'!$E$4:$X$4,0)),0)</f>
        <v>0</v>
      </c>
      <c r="X153" s="19">
        <f>IFERROR(INDEX('Exercise list'!$E$5:$X$102,MATCH($C153,'Exercise list'!$C$5:$C$102,0),MATCH(X$5,'Exercise list'!$E$4:$X$4,0)),0)</f>
        <v>0</v>
      </c>
      <c r="Y153" s="19">
        <f>IFERROR(INDEX('Exercise list'!$E$5:$X$102,MATCH($C153,'Exercise list'!$C$5:$C$102,0),MATCH(Y$5,'Exercise list'!$E$4:$X$4,0)),0)</f>
        <v>0</v>
      </c>
      <c r="Z153" s="19">
        <f>IFERROR(INDEX('Exercise list'!$E$5:$X$102,MATCH($C153,'Exercise list'!$C$5:$C$102,0),MATCH(Z$5,'Exercise list'!$E$4:$X$4,0)),0)</f>
        <v>0</v>
      </c>
      <c r="AA153" s="19">
        <f>IFERROR(INDEX('Exercise list'!$E$5:$X$102,MATCH($C153,'Exercise list'!$C$5:$C$102,0),MATCH(AA$5,'Exercise list'!$E$4:$X$4,0)),0)</f>
        <v>0</v>
      </c>
      <c r="AB153" s="19">
        <f>IFERROR(INDEX('Exercise list'!$E$5:$X$102,MATCH($C153,'Exercise list'!$C$5:$C$102,0),MATCH(AB$5,'Exercise list'!$E$4:$X$4,0)),0)</f>
        <v>0</v>
      </c>
      <c r="AC153" s="19">
        <f>IFERROR(INDEX('Exercise list'!$E$5:$X$102,MATCH($C153,'Exercise list'!$C$5:$C$102,0),MATCH(AC$5,'Exercise list'!$E$4:$X$4,0)),0)</f>
        <v>0</v>
      </c>
      <c r="AD153" s="19">
        <f>IFERROR(INDEX('Exercise list'!$E$5:$X$102,MATCH($C153,'Exercise list'!$C$5:$C$102,0),MATCH(AD$5,'Exercise list'!$E$4:$X$4,0)),0)</f>
        <v>1</v>
      </c>
      <c r="AE153" s="19">
        <f>IFERROR(INDEX('Exercise list'!$E$5:$X$102,MATCH($C153,'Exercise list'!$C$5:$C$102,0),MATCH(AE$5,'Exercise list'!$E$4:$X$4,0)),0)</f>
        <v>0.7</v>
      </c>
      <c r="AF153" s="19">
        <f>IFERROR(INDEX('Exercise list'!$E$5:$X$102,MATCH($C153,'Exercise list'!$C$5:$C$102,0),MATCH(AF$5,'Exercise list'!$E$4:$X$4,0)),0)</f>
        <v>0.8</v>
      </c>
      <c r="AG153" s="19">
        <f>IFERROR(INDEX('Exercise list'!$E$5:$X$102,MATCH($C153,'Exercise list'!$C$5:$C$102,0),MATCH(AG$5,'Exercise list'!$E$4:$X$4,0)),0)</f>
        <v>0.7</v>
      </c>
      <c r="AH153" s="19">
        <f>IFERROR(INDEX('Exercise list'!$E$5:$X$102,MATCH($C153,'Exercise list'!$C$5:$C$102,0),MATCH(AH$5,'Exercise list'!$E$4:$X$4,0)),0)</f>
        <v>0.8</v>
      </c>
      <c r="AI153" s="19">
        <f>IFERROR(INDEX('Exercise list'!$E$5:$X$102,MATCH($C153,'Exercise list'!$C$5:$C$102,0),MATCH(AI$5,'Exercise list'!$E$4:$X$4,0)),0)</f>
        <v>0.8</v>
      </c>
      <c r="AJ153" s="19"/>
      <c r="AK153" s="19">
        <f>IF(OR($J153=1,COUNTIFS($A$5:$A152,"&gt;="&amp;$A153-1,$A$5:$A152,"&lt;="&amp;$A153,$B$5:$B152,$B153)&gt;0,MIN(1-'Exercise list'!E$2,IF($A153=$A152,AK152,1))-P153&lt;0),-1,MIN(1,IF($A153=$A152,AK152,1)-P153+$D$2))</f>
        <v>1</v>
      </c>
      <c r="AL153" s="19">
        <f>IF(OR($J153=1,COUNTIFS($A$5:$A152,"&gt;="&amp;$A153-1,$A$5:$A152,"&lt;="&amp;$A153,$B$5:$B152,$B153)&gt;0,MIN(1-'Exercise list'!F$2,IF($A153=$A152,AL152,1))-Q153&lt;0),-1,MIN(1,IF($A153=$A152,AL152,1)-Q153+$D$2))</f>
        <v>1</v>
      </c>
      <c r="AM153" s="19">
        <f>IF(OR($J153=1,COUNTIFS($A$5:$A152,"&gt;="&amp;$A153-1,$A$5:$A152,"&lt;="&amp;$A153,$B$5:$B152,$B153)&gt;0,MIN(1-'Exercise list'!G$2,IF($A153=$A152,AM152,1))-R153&lt;0),-1,MIN(1,IF($A153=$A152,AM152,1)-R153+$D$2))</f>
        <v>1</v>
      </c>
      <c r="AN153" s="19">
        <f>IF(OR($J153=1,COUNTIFS($A$5:$A152,"&gt;="&amp;$A153-1,$A$5:$A152,"&lt;="&amp;$A153,$B$5:$B152,$B153)&gt;0,MIN(1-'Exercise list'!H$2,IF($A153=$A152,AN152,1))-S153&lt;0),-1,MIN(1,IF($A153=$A152,AN152,1)-S153+$D$2))</f>
        <v>1</v>
      </c>
      <c r="AO153" s="19">
        <f>IF(OR($J153=1,COUNTIFS($A$5:$A152,"&gt;="&amp;$A153-1,$A$5:$A152,"&lt;="&amp;$A153,$B$5:$B152,$B153)&gt;0,MIN(1-'Exercise list'!I$2,IF($A153=$A152,AO152,1))-T153&lt;0),-1,MIN(1,IF($A153=$A152,AO152,1)-T153+$D$2))</f>
        <v>1</v>
      </c>
      <c r="AP153" s="19">
        <f>IF(OR($J153=1,COUNTIFS($A$5:$A152,"&gt;="&amp;$A153-1,$A$5:$A152,"&lt;="&amp;$A153,$B$5:$B152,$B153)&gt;0,MIN(1-'Exercise list'!J$2,IF($A153=$A152,AP152,1))-U153&lt;0),-1,MIN(1,IF($A153=$A152,AP152,1)-U153+$D$2))</f>
        <v>1</v>
      </c>
      <c r="AQ153" s="19">
        <f>IF(OR($J153=1,COUNTIFS($A$5:$A152,"&gt;="&amp;$A153-1,$A$5:$A152,"&lt;="&amp;$A153,$B$5:$B152,$B153)&gt;0,MIN(1-'Exercise list'!K$2,IF($A153=$A152,AQ152,1))-V153&lt;0),-1,MIN(1,IF($A153=$A152,AQ152,1)-V153+$D$2))</f>
        <v>1</v>
      </c>
      <c r="AR153" s="19">
        <f>IF(OR($J153=1,COUNTIFS($A$5:$A152,"&gt;="&amp;$A153-1,$A$5:$A152,"&lt;="&amp;$A153,$B$5:$B152,$B153)&gt;0,MIN(1-'Exercise list'!L$2,IF($A153=$A152,AR152,1))-W153&lt;0),-1,MIN(1,IF($A153=$A152,AR152,1)-W153+$D$2))</f>
        <v>1</v>
      </c>
      <c r="AS153" s="19">
        <f>IF(OR($J153=1,COUNTIFS($A$5:$A152,"&gt;="&amp;$A153-1,$A$5:$A152,"&lt;="&amp;$A153,$B$5:$B152,$B153)&gt;0,MIN(1-'Exercise list'!M$2,IF($A153=$A152,AS152,1))-X153&lt;0),-1,MIN(1,IF($A153=$A152,AS152,1)-X153+$D$2))</f>
        <v>1</v>
      </c>
      <c r="AT153" s="19">
        <f>IF(OR($J153=1,COUNTIFS($A$5:$A152,"&gt;="&amp;$A153-1,$A$5:$A152,"&lt;="&amp;$A153,$B$5:$B152,$B153)&gt;0,MIN(1-'Exercise list'!N$2,IF($A153=$A152,AT152,1))-Y153&lt;0),-1,MIN(1,IF($A153=$A152,AT152,1)-Y153+$D$2))</f>
        <v>1</v>
      </c>
      <c r="AU153" s="19">
        <f>IF(OR($J153=1,COUNTIFS($A$5:$A152,"&gt;="&amp;$A153-1,$A$5:$A152,"&lt;="&amp;$A153,$B$5:$B152,$B153)&gt;0,MIN(1-'Exercise list'!O$2,IF($A153=$A152,AU152,1))-Z153&lt;0),-1,MIN(1,IF($A153=$A152,AU152,1)-Z153+$D$2))</f>
        <v>1</v>
      </c>
      <c r="AV153" s="19">
        <f>IF(OR($J153=1,COUNTIFS($A$5:$A152,"&gt;="&amp;$A153-1,$A$5:$A152,"&lt;="&amp;$A153,$B$5:$B152,$B153)&gt;0,MIN(1-'Exercise list'!P$2,IF($A153=$A152,AV152,1))-AA153&lt;0),-1,MIN(1,IF($A153=$A152,AV152,1)-AA153+$D$2))</f>
        <v>1</v>
      </c>
      <c r="AW153" s="19">
        <f>IF(OR($J153=1,COUNTIFS($A$5:$A152,"&gt;="&amp;$A153-1,$A$5:$A152,"&lt;="&amp;$A153,$B$5:$B152,$B153)&gt;0,MIN(1-'Exercise list'!Q$2,IF($A153=$A152,AW152,1))-AB153&lt;0),-1,MIN(1,IF($A153=$A152,AW152,1)-AB153+$D$2))</f>
        <v>1</v>
      </c>
      <c r="AX153" s="19">
        <f>IF(OR($J153=1,COUNTIFS($A$5:$A152,"&gt;="&amp;$A153-1,$A$5:$A152,"&lt;="&amp;$A153,$B$5:$B152,$B153)&gt;0,MIN(1-'Exercise list'!R$2,IF($A153=$A152,AX152,1))-AC153&lt;0),-1,MIN(1,IF($A153=$A152,AX152,1)-AC153+$D$2))</f>
        <v>1</v>
      </c>
      <c r="AY153" s="19">
        <f>IF(OR($J153=1,COUNTIFS($A$5:$A152,"&gt;="&amp;$A153-1,$A$5:$A152,"&lt;="&amp;$A153,$B$5:$B152,$B153)&gt;0,MIN(1-'Exercise list'!S$2,IF($A153=$A152,AY152,1))-AD153&lt;0),-1,MIN(1,IF($A153=$A152,AY152,1)-AD153+$D$2))</f>
        <v>1</v>
      </c>
      <c r="AZ153" s="19">
        <f>IF(OR($J153=1,COUNTIFS($A$5:$A152,"&gt;="&amp;$A153-1,$A$5:$A152,"&lt;="&amp;$A153,$B$5:$B152,$B153)&gt;0,MIN(1-'Exercise list'!T$2,IF($A153=$A152,AZ152,1))-AE153&lt;0),-1,MIN(1,IF($A153=$A152,AZ152,1)-AE153+$D$2))</f>
        <v>1</v>
      </c>
      <c r="BA153" s="19">
        <f>IF(OR($J153=1,COUNTIFS($A$5:$A152,"&gt;="&amp;$A153-1,$A$5:$A152,"&lt;="&amp;$A153,$B$5:$B152,$B153)&gt;0,MIN(1-'Exercise list'!U$2,IF($A153=$A152,BA152,1))-AF153&lt;0),-1,MIN(1,IF($A153=$A152,BA152,1)-AF153+$D$2))</f>
        <v>1</v>
      </c>
      <c r="BB153" s="19">
        <f>IF(OR($J153=1,COUNTIFS($A$5:$A152,"&gt;="&amp;$A153-1,$A$5:$A152,"&lt;="&amp;$A153,$B$5:$B152,$B153)&gt;0,MIN(1-'Exercise list'!V$2,IF($A153=$A152,BB152,1))-AG153&lt;0),-1,MIN(1,IF($A153=$A152,BB152,1)-AG153+$D$2))</f>
        <v>1</v>
      </c>
      <c r="BC153" s="19">
        <f>IF(OR($J153=1,COUNTIFS($A$5:$A152,"&gt;="&amp;$A153-1,$A$5:$A152,"&lt;="&amp;$A153,$B$5:$B152,$B153)&gt;0,MIN(1-'Exercise list'!W$2,IF($A153=$A152,BC152,1))-AH153&lt;0),-1,MIN(1,IF($A153=$A152,BC152,1)-AH153+$D$2))</f>
        <v>1</v>
      </c>
      <c r="BD153" s="19">
        <f>IF(OR($J153=1,COUNTIFS($A$5:$A152,"&gt;="&amp;$A153-1,$A$5:$A152,"&lt;="&amp;$A153,$B$5:$B152,$B153)&gt;0,MIN(1-'Exercise list'!X$2,IF($A153=$A152,BD152,1))-AI153&lt;0),-1,MIN(1,IF($A153=$A152,BD152,1)-AI153+$D$2))</f>
        <v>1</v>
      </c>
      <c r="BE153" s="19"/>
      <c r="BF153" s="23">
        <f t="shared" si="100"/>
        <v>0.17712609949208527</v>
      </c>
      <c r="BG153" s="23">
        <f t="shared" si="101"/>
        <v>0.20925346624251778</v>
      </c>
      <c r="BH153" s="23">
        <f t="shared" si="102"/>
        <v>0.15466788449934338</v>
      </c>
      <c r="BI153" s="23">
        <f t="shared" si="103"/>
        <v>0.12784888509337169</v>
      </c>
      <c r="BJ153" s="23">
        <f t="shared" si="104"/>
        <v>9.497033099507661E-2</v>
      </c>
      <c r="BK153" s="23">
        <f t="shared" si="105"/>
        <v>0.11277750684600849</v>
      </c>
      <c r="BL153" s="23">
        <f t="shared" si="106"/>
        <v>0.18739445466599697</v>
      </c>
      <c r="BM153" s="23">
        <f t="shared" si="107"/>
        <v>5.8768175558091777E-3</v>
      </c>
      <c r="BN153" s="23">
        <f t="shared" si="108"/>
        <v>0.11606480592656605</v>
      </c>
      <c r="BO153" s="23">
        <f t="shared" si="109"/>
        <v>0.27442502602185931</v>
      </c>
      <c r="BP153" s="23">
        <f t="shared" si="110"/>
        <v>0.26617813952923625</v>
      </c>
      <c r="BQ153" s="23">
        <f t="shared" si="111"/>
        <v>0.10862991878141116</v>
      </c>
      <c r="BR153" s="23">
        <f t="shared" si="112"/>
        <v>0.14580198051214466</v>
      </c>
      <c r="BS153" s="23">
        <f t="shared" si="113"/>
        <v>1.8608287000646245E-2</v>
      </c>
      <c r="BT153" s="23">
        <f t="shared" si="114"/>
        <v>0.14812270343988002</v>
      </c>
      <c r="BU153" s="23">
        <f t="shared" si="115"/>
        <v>0.13344351668814952</v>
      </c>
      <c r="BV153" s="23">
        <f t="shared" si="116"/>
        <v>0.17146484608076926</v>
      </c>
      <c r="BW153" s="23">
        <f t="shared" si="117"/>
        <v>8.3243379698845404E-2</v>
      </c>
      <c r="BX153" s="23">
        <f t="shared" si="118"/>
        <v>8.4276078637717855E-2</v>
      </c>
      <c r="BY153" s="23">
        <f t="shared" si="119"/>
        <v>5.2122988711823047E-2</v>
      </c>
      <c r="BZ153" s="19"/>
      <c r="CA153" s="23">
        <f t="shared" si="141"/>
        <v>2.0821835057489413E-2</v>
      </c>
      <c r="CB153" s="23">
        <f t="shared" si="122"/>
        <v>0</v>
      </c>
      <c r="CC153" s="23">
        <f t="shared" si="123"/>
        <v>0</v>
      </c>
      <c r="CD153" s="23">
        <f t="shared" si="124"/>
        <v>0</v>
      </c>
      <c r="CE153" s="23">
        <f t="shared" si="125"/>
        <v>4.0036362797107317E-3</v>
      </c>
      <c r="CF153" s="23">
        <f t="shared" si="126"/>
        <v>0.18414439497835353</v>
      </c>
      <c r="CG153" s="23">
        <f t="shared" si="127"/>
        <v>0</v>
      </c>
      <c r="CH153" s="23">
        <f t="shared" si="128"/>
        <v>9.3097149718978159E-2</v>
      </c>
      <c r="CI153" s="23">
        <f t="shared" si="129"/>
        <v>8.188312862300863E-2</v>
      </c>
      <c r="CJ153" s="23">
        <f t="shared" si="130"/>
        <v>0</v>
      </c>
      <c r="CK153" s="23">
        <f t="shared" si="131"/>
        <v>0</v>
      </c>
      <c r="CL153" s="23">
        <f t="shared" si="132"/>
        <v>0</v>
      </c>
      <c r="CM153" s="23">
        <f t="shared" si="133"/>
        <v>5.2145954037430026E-2</v>
      </c>
      <c r="CN153" s="23">
        <f t="shared" si="134"/>
        <v>8.0365680274141094E-2</v>
      </c>
      <c r="CO153" s="23">
        <f t="shared" si="135"/>
        <v>0</v>
      </c>
      <c r="CP153" s="23">
        <f t="shared" si="136"/>
        <v>0</v>
      </c>
      <c r="CQ153" s="23">
        <f t="shared" si="137"/>
        <v>2.6483088468805427E-2</v>
      </c>
      <c r="CR153" s="23">
        <f t="shared" si="138"/>
        <v>1.5730587575941937E-2</v>
      </c>
      <c r="CS153" s="23">
        <f t="shared" si="139"/>
        <v>1.4697888637069487E-2</v>
      </c>
      <c r="CT153" s="23">
        <f t="shared" si="140"/>
        <v>4.6850978562964295E-2</v>
      </c>
      <c r="CU153" s="19"/>
    </row>
    <row r="154" spans="1:99" x14ac:dyDescent="0.25">
      <c r="A154" s="13">
        <v>45094</v>
      </c>
      <c r="B154" s="14">
        <v>29</v>
      </c>
      <c r="C154" s="15" t="str" cm="1">
        <f t="array" ref="C154">IF(B154="","",INDEX('Exercise list'!$C$5:$C$102,B154))</f>
        <v>Hanging leg raises</v>
      </c>
      <c r="D154" s="12">
        <f t="shared" si="97"/>
        <v>1</v>
      </c>
      <c r="E154" s="107">
        <f t="shared" si="120"/>
        <v>0</v>
      </c>
      <c r="F154" s="63" cm="1">
        <f t="array" ref="F154">IF(B154="","",0.1+IFERROR(INDEX($F$6:$F153,SUMPRODUCT(MAX(ROW($C$6:$C153)*($C154=$C$6:$C153))-ROW($A$5)))*0.9^($A154-INDEX($A$6:A153,SUMPRODUCT(MAX(ROW($C$6:$C153)*($C154=$C$6:$C153))-ROW($A$5)))),0))</f>
        <v>0.18973937400807933</v>
      </c>
      <c r="G154" s="64">
        <f>INDEX('Exercise list'!$Y$5:$Y$102,MATCH(C154,'Exercise list'!$C$5:$C$102,0))</f>
        <v>2</v>
      </c>
      <c r="H154" s="115">
        <f t="shared" si="98"/>
        <v>5.6465171683717598E-2</v>
      </c>
      <c r="I154" s="42">
        <f t="shared" si="99"/>
        <v>1</v>
      </c>
      <c r="J154" s="6" cm="1">
        <f t="array" ref="J154">IF(B154="","",INDEX('Exercise list'!$D$5:$D$102,B154))</f>
        <v>0</v>
      </c>
      <c r="K154" s="12">
        <v>10</v>
      </c>
      <c r="L154" s="74" t="str" cm="1">
        <f t="array" ref="L154">IF(K154="","",INDEX('Exercise list'!$C$5:$C$102,K154))</f>
        <v>Cable seated rows</v>
      </c>
      <c r="M154" s="6">
        <v>26</v>
      </c>
      <c r="N154" s="75" t="str" cm="1">
        <f t="array" ref="N154">IF(M154="","",INDEX('Exercise list'!$C$5:$C$102,M154))</f>
        <v>Dumbbell incline bench presses</v>
      </c>
      <c r="P154">
        <f>IFERROR(INDEX('Exercise list'!$E$5:$X$102,MATCH($C154,'Exercise list'!$C$5:$C$102,0),MATCH(P$5,'Exercise list'!$E$4:$X$4,0)),0)</f>
        <v>0</v>
      </c>
      <c r="Q154">
        <f>IFERROR(INDEX('Exercise list'!$E$5:$X$102,MATCH($C154,'Exercise list'!$C$5:$C$102,0),MATCH(Q$5,'Exercise list'!$E$4:$X$4,0)),0)</f>
        <v>0</v>
      </c>
      <c r="R154">
        <f>IFERROR(INDEX('Exercise list'!$E$5:$X$102,MATCH($C154,'Exercise list'!$C$5:$C$102,0),MATCH(R$5,'Exercise list'!$E$4:$X$4,0)),0)</f>
        <v>0</v>
      </c>
      <c r="S154">
        <f>IFERROR(INDEX('Exercise list'!$E$5:$X$102,MATCH($C154,'Exercise list'!$C$5:$C$102,0),MATCH(S$5,'Exercise list'!$E$4:$X$4,0)),0)</f>
        <v>0</v>
      </c>
      <c r="T154">
        <f>IFERROR(INDEX('Exercise list'!$E$5:$X$102,MATCH($C154,'Exercise list'!$C$5:$C$102,0),MATCH(T$5,'Exercise list'!$E$4:$X$4,0)),0)</f>
        <v>0</v>
      </c>
      <c r="U154">
        <f>IFERROR(INDEX('Exercise list'!$E$5:$X$102,MATCH($C154,'Exercise list'!$C$5:$C$102,0),MATCH(U$5,'Exercise list'!$E$4:$X$4,0)),0)</f>
        <v>0</v>
      </c>
      <c r="V154">
        <f>IFERROR(INDEX('Exercise list'!$E$5:$X$102,MATCH($C154,'Exercise list'!$C$5:$C$102,0),MATCH(V$5,'Exercise list'!$E$4:$X$4,0)),0)</f>
        <v>0</v>
      </c>
      <c r="W154">
        <f>IFERROR(INDEX('Exercise list'!$E$5:$X$102,MATCH($C154,'Exercise list'!$C$5:$C$102,0),MATCH(W$5,'Exercise list'!$E$4:$X$4,0)),0)</f>
        <v>0</v>
      </c>
      <c r="X154">
        <f>IFERROR(INDEX('Exercise list'!$E$5:$X$102,MATCH($C154,'Exercise list'!$C$5:$C$102,0),MATCH(X$5,'Exercise list'!$E$4:$X$4,0)),0)</f>
        <v>0</v>
      </c>
      <c r="Y154">
        <f>IFERROR(INDEX('Exercise list'!$E$5:$X$102,MATCH($C154,'Exercise list'!$C$5:$C$102,0),MATCH(Y$5,'Exercise list'!$E$4:$X$4,0)),0)</f>
        <v>0</v>
      </c>
      <c r="Z154">
        <f>IFERROR(INDEX('Exercise list'!$E$5:$X$102,MATCH($C154,'Exercise list'!$C$5:$C$102,0),MATCH(Z$5,'Exercise list'!$E$4:$X$4,0)),0)</f>
        <v>1</v>
      </c>
      <c r="AA154">
        <f>IFERROR(INDEX('Exercise list'!$E$5:$X$102,MATCH($C154,'Exercise list'!$C$5:$C$102,0),MATCH(AA$5,'Exercise list'!$E$4:$X$4,0)),0)</f>
        <v>0.8</v>
      </c>
      <c r="AB154">
        <f>IFERROR(INDEX('Exercise list'!$E$5:$X$102,MATCH($C154,'Exercise list'!$C$5:$C$102,0),MATCH(AB$5,'Exercise list'!$E$4:$X$4,0)),0)</f>
        <v>1</v>
      </c>
      <c r="AC154">
        <f>IFERROR(INDEX('Exercise list'!$E$5:$X$102,MATCH($C154,'Exercise list'!$C$5:$C$102,0),MATCH(AC$5,'Exercise list'!$E$4:$X$4,0)),0)</f>
        <v>0.5</v>
      </c>
      <c r="AD154">
        <f>IFERROR(INDEX('Exercise list'!$E$5:$X$102,MATCH($C154,'Exercise list'!$C$5:$C$102,0),MATCH(AD$5,'Exercise list'!$E$4:$X$4,0)),0)</f>
        <v>0</v>
      </c>
      <c r="AE154">
        <f>IFERROR(INDEX('Exercise list'!$E$5:$X$102,MATCH($C154,'Exercise list'!$C$5:$C$102,0),MATCH(AE$5,'Exercise list'!$E$4:$X$4,0)),0)</f>
        <v>0</v>
      </c>
      <c r="AF154">
        <f>IFERROR(INDEX('Exercise list'!$E$5:$X$102,MATCH($C154,'Exercise list'!$C$5:$C$102,0),MATCH(AF$5,'Exercise list'!$E$4:$X$4,0)),0)</f>
        <v>0</v>
      </c>
      <c r="AG154">
        <f>IFERROR(INDEX('Exercise list'!$E$5:$X$102,MATCH($C154,'Exercise list'!$C$5:$C$102,0),MATCH(AG$5,'Exercise list'!$E$4:$X$4,0)),0)</f>
        <v>0</v>
      </c>
      <c r="AH154">
        <f>IFERROR(INDEX('Exercise list'!$E$5:$X$102,MATCH($C154,'Exercise list'!$C$5:$C$102,0),MATCH(AH$5,'Exercise list'!$E$4:$X$4,0)),0)</f>
        <v>0</v>
      </c>
      <c r="AI154">
        <f>IFERROR(INDEX('Exercise list'!$E$5:$X$102,MATCH($C154,'Exercise list'!$C$5:$C$102,0),MATCH(AI$5,'Exercise list'!$E$4:$X$4,0)),0)</f>
        <v>0</v>
      </c>
      <c r="AK154">
        <f>IF(OR($J154=1,COUNTIFS($A$5:$A153,"&gt;="&amp;$A154-1,$A$5:$A153,"&lt;="&amp;$A154,$B$5:$B153,$B154)&gt;0,MIN(1-'Exercise list'!E$2,IF($A154=$A153,AK153,1))-P154&lt;0),-1,MIN(1,IF($A154=$A153,AK153,1)-P154+$D$2))</f>
        <v>1</v>
      </c>
      <c r="AL154">
        <f>IF(OR($J154=1,COUNTIFS($A$5:$A153,"&gt;="&amp;$A154-1,$A$5:$A153,"&lt;="&amp;$A154,$B$5:$B153,$B154)&gt;0,MIN(1-'Exercise list'!F$2,IF($A154=$A153,AL153,1))-Q154&lt;0),-1,MIN(1,IF($A154=$A153,AL153,1)-Q154+$D$2))</f>
        <v>1</v>
      </c>
      <c r="AM154">
        <f>IF(OR($J154=1,COUNTIFS($A$5:$A153,"&gt;="&amp;$A154-1,$A$5:$A153,"&lt;="&amp;$A154,$B$5:$B153,$B154)&gt;0,MIN(1-'Exercise list'!G$2,IF($A154=$A153,AM153,1))-R154&lt;0),-1,MIN(1,IF($A154=$A153,AM153,1)-R154+$D$2))</f>
        <v>1</v>
      </c>
      <c r="AN154">
        <f>IF(OR($J154=1,COUNTIFS($A$5:$A153,"&gt;="&amp;$A154-1,$A$5:$A153,"&lt;="&amp;$A154,$B$5:$B153,$B154)&gt;0,MIN(1-'Exercise list'!H$2,IF($A154=$A153,AN153,1))-S154&lt;0),-1,MIN(1,IF($A154=$A153,AN153,1)-S154+$D$2))</f>
        <v>1</v>
      </c>
      <c r="AO154">
        <f>IF(OR($J154=1,COUNTIFS($A$5:$A153,"&gt;="&amp;$A154-1,$A$5:$A153,"&lt;="&amp;$A154,$B$5:$B153,$B154)&gt;0,MIN(1-'Exercise list'!I$2,IF($A154=$A153,AO153,1))-T154&lt;0),-1,MIN(1,IF($A154=$A153,AO153,1)-T154+$D$2))</f>
        <v>1</v>
      </c>
      <c r="AP154">
        <f>IF(OR($J154=1,COUNTIFS($A$5:$A153,"&gt;="&amp;$A154-1,$A$5:$A153,"&lt;="&amp;$A154,$B$5:$B153,$B154)&gt;0,MIN(1-'Exercise list'!J$2,IF($A154=$A153,AP153,1))-U154&lt;0),-1,MIN(1,IF($A154=$A153,AP153,1)-U154+$D$2))</f>
        <v>1</v>
      </c>
      <c r="AQ154">
        <f>IF(OR($J154=1,COUNTIFS($A$5:$A153,"&gt;="&amp;$A154-1,$A$5:$A153,"&lt;="&amp;$A154,$B$5:$B153,$B154)&gt;0,MIN(1-'Exercise list'!K$2,IF($A154=$A153,AQ153,1))-V154&lt;0),-1,MIN(1,IF($A154=$A153,AQ153,1)-V154+$D$2))</f>
        <v>1</v>
      </c>
      <c r="AR154">
        <f>IF(OR($J154=1,COUNTIFS($A$5:$A153,"&gt;="&amp;$A154-1,$A$5:$A153,"&lt;="&amp;$A154,$B$5:$B153,$B154)&gt;0,MIN(1-'Exercise list'!L$2,IF($A154=$A153,AR153,1))-W154&lt;0),-1,MIN(1,IF($A154=$A153,AR153,1)-W154+$D$2))</f>
        <v>1</v>
      </c>
      <c r="AS154">
        <f>IF(OR($J154=1,COUNTIFS($A$5:$A153,"&gt;="&amp;$A154-1,$A$5:$A153,"&lt;="&amp;$A154,$B$5:$B153,$B154)&gt;0,MIN(1-'Exercise list'!M$2,IF($A154=$A153,AS153,1))-X154&lt;0),-1,MIN(1,IF($A154=$A153,AS153,1)-X154+$D$2))</f>
        <v>1</v>
      </c>
      <c r="AT154">
        <f>IF(OR($J154=1,COUNTIFS($A$5:$A153,"&gt;="&amp;$A154-1,$A$5:$A153,"&lt;="&amp;$A154,$B$5:$B153,$B154)&gt;0,MIN(1-'Exercise list'!N$2,IF($A154=$A153,AT153,1))-Y154&lt;0),-1,MIN(1,IF($A154=$A153,AT153,1)-Y154+$D$2))</f>
        <v>1</v>
      </c>
      <c r="AU154">
        <f>IF(OR($J154=1,COUNTIFS($A$5:$A153,"&gt;="&amp;$A154-1,$A$5:$A153,"&lt;="&amp;$A154,$B$5:$B153,$B154)&gt;0,MIN(1-'Exercise list'!O$2,IF($A154=$A153,AU153,1))-Z154&lt;0),-1,MIN(1,IF($A154=$A153,AU153,1)-Z154+$D$2))</f>
        <v>1</v>
      </c>
      <c r="AV154">
        <f>IF(OR($J154=1,COUNTIFS($A$5:$A153,"&gt;="&amp;$A154-1,$A$5:$A153,"&lt;="&amp;$A154,$B$5:$B153,$B154)&gt;0,MIN(1-'Exercise list'!P$2,IF($A154=$A153,AV153,1))-AA154&lt;0),-1,MIN(1,IF($A154=$A153,AV153,1)-AA154+$D$2))</f>
        <v>1</v>
      </c>
      <c r="AW154">
        <f>IF(OR($J154=1,COUNTIFS($A$5:$A153,"&gt;="&amp;$A154-1,$A$5:$A153,"&lt;="&amp;$A154,$B$5:$B153,$B154)&gt;0,MIN(1-'Exercise list'!Q$2,IF($A154=$A153,AW153,1))-AB154&lt;0),-1,MIN(1,IF($A154=$A153,AW153,1)-AB154+$D$2))</f>
        <v>1</v>
      </c>
      <c r="AX154">
        <f>IF(OR($J154=1,COUNTIFS($A$5:$A153,"&gt;="&amp;$A154-1,$A$5:$A153,"&lt;="&amp;$A154,$B$5:$B153,$B154)&gt;0,MIN(1-'Exercise list'!R$2,IF($A154=$A153,AX153,1))-AC154&lt;0),-1,MIN(1,IF($A154=$A153,AX153,1)-AC154+$D$2))</f>
        <v>1</v>
      </c>
      <c r="AY154">
        <f>IF(OR($J154=1,COUNTIFS($A$5:$A153,"&gt;="&amp;$A154-1,$A$5:$A153,"&lt;="&amp;$A154,$B$5:$B153,$B154)&gt;0,MIN(1-'Exercise list'!S$2,IF($A154=$A153,AY153,1))-AD154&lt;0),-1,MIN(1,IF($A154=$A153,AY153,1)-AD154+$D$2))</f>
        <v>1</v>
      </c>
      <c r="AZ154">
        <f>IF(OR($J154=1,COUNTIFS($A$5:$A153,"&gt;="&amp;$A154-1,$A$5:$A153,"&lt;="&amp;$A154,$B$5:$B153,$B154)&gt;0,MIN(1-'Exercise list'!T$2,IF($A154=$A153,AZ153,1))-AE154&lt;0),-1,MIN(1,IF($A154=$A153,AZ153,1)-AE154+$D$2))</f>
        <v>1</v>
      </c>
      <c r="BA154">
        <f>IF(OR($J154=1,COUNTIFS($A$5:$A153,"&gt;="&amp;$A154-1,$A$5:$A153,"&lt;="&amp;$A154,$B$5:$B153,$B154)&gt;0,MIN(1-'Exercise list'!U$2,IF($A154=$A153,BA153,1))-AF154&lt;0),-1,MIN(1,IF($A154=$A153,BA153,1)-AF154+$D$2))</f>
        <v>1</v>
      </c>
      <c r="BB154">
        <f>IF(OR($J154=1,COUNTIFS($A$5:$A153,"&gt;="&amp;$A154-1,$A$5:$A153,"&lt;="&amp;$A154,$B$5:$B153,$B154)&gt;0,MIN(1-'Exercise list'!V$2,IF($A154=$A153,BB153,1))-AG154&lt;0),-1,MIN(1,IF($A154=$A153,BB153,1)-AG154+$D$2))</f>
        <v>1</v>
      </c>
      <c r="BC154">
        <f>IF(OR($J154=1,COUNTIFS($A$5:$A153,"&gt;="&amp;$A154-1,$A$5:$A153,"&lt;="&amp;$A154,$B$5:$B153,$B154)&gt;0,MIN(1-'Exercise list'!W$2,IF($A154=$A153,BC153,1))-AH154&lt;0),-1,MIN(1,IF($A154=$A153,BC153,1)-AH154+$D$2))</f>
        <v>1</v>
      </c>
      <c r="BD154">
        <f>IF(OR($J154=1,COUNTIFS($A$5:$A153,"&gt;="&amp;$A154-1,$A$5:$A153,"&lt;="&amp;$A154,$B$5:$B153,$B154)&gt;0,MIN(1-'Exercise list'!X$2,IF($A154=$A153,BD153,1))-AI154&lt;0),-1,MIN(1,IF($A154=$A153,BD153,1)-AI154+$D$2))</f>
        <v>1</v>
      </c>
      <c r="BF154" s="16">
        <f t="shared" si="100"/>
        <v>0.168269794517481</v>
      </c>
      <c r="BG154" s="16">
        <f t="shared" si="101"/>
        <v>0.1987907929303919</v>
      </c>
      <c r="BH154" s="16">
        <f t="shared" si="102"/>
        <v>0.14693449027437619</v>
      </c>
      <c r="BI154" s="16">
        <f t="shared" si="103"/>
        <v>0.12145644083870311</v>
      </c>
      <c r="BJ154" s="16">
        <f t="shared" si="104"/>
        <v>9.0221814445322776E-2</v>
      </c>
      <c r="BK154" s="16">
        <f t="shared" si="105"/>
        <v>0.10713863150370806</v>
      </c>
      <c r="BL154" s="16">
        <f t="shared" si="106"/>
        <v>0.17802473193269711</v>
      </c>
      <c r="BM154" s="16">
        <f t="shared" si="107"/>
        <v>5.5829766780187183E-3</v>
      </c>
      <c r="BN154" s="16">
        <f t="shared" si="108"/>
        <v>0.11026156563023774</v>
      </c>
      <c r="BO154" s="16">
        <f t="shared" si="109"/>
        <v>0.26070377472076633</v>
      </c>
      <c r="BP154" s="16">
        <f t="shared" si="110"/>
        <v>0.30286923255277443</v>
      </c>
      <c r="BQ154" s="16">
        <f t="shared" si="111"/>
        <v>0.14319842284234061</v>
      </c>
      <c r="BR154" s="16">
        <f t="shared" si="112"/>
        <v>0.18851188148653741</v>
      </c>
      <c r="BS154" s="16">
        <f t="shared" si="113"/>
        <v>4.2677872650613929E-2</v>
      </c>
      <c r="BT154" s="16">
        <f t="shared" si="114"/>
        <v>0.14071656826788601</v>
      </c>
      <c r="BU154" s="16">
        <f t="shared" si="115"/>
        <v>0.12677134085374203</v>
      </c>
      <c r="BV154" s="16">
        <f t="shared" si="116"/>
        <v>0.16289160377673079</v>
      </c>
      <c r="BW154" s="16">
        <f t="shared" si="117"/>
        <v>7.908121071390313E-2</v>
      </c>
      <c r="BX154" s="16">
        <f t="shared" si="118"/>
        <v>8.0062274705831965E-2</v>
      </c>
      <c r="BY154" s="16">
        <f t="shared" si="119"/>
        <v>4.9516839276231892E-2</v>
      </c>
      <c r="CA154" s="16">
        <f t="shared" si="141"/>
        <v>3.2002965526837179E-2</v>
      </c>
      <c r="CB154" s="16">
        <f t="shared" si="122"/>
        <v>1.4819671139262858E-3</v>
      </c>
      <c r="CC154" s="16">
        <f t="shared" si="123"/>
        <v>0</v>
      </c>
      <c r="CD154" s="16">
        <f t="shared" si="124"/>
        <v>0</v>
      </c>
      <c r="CE154" s="16">
        <f t="shared" si="125"/>
        <v>9.914565576836315E-3</v>
      </c>
      <c r="CF154" s="16">
        <f t="shared" si="126"/>
        <v>0.19327050856276923</v>
      </c>
      <c r="CG154" s="16">
        <f t="shared" si="127"/>
        <v>0</v>
      </c>
      <c r="CH154" s="16">
        <f t="shared" si="128"/>
        <v>9.4553403344140377E-2</v>
      </c>
      <c r="CI154" s="16">
        <f t="shared" si="129"/>
        <v>9.0011194414080439E-2</v>
      </c>
      <c r="CJ154" s="16">
        <f t="shared" si="130"/>
        <v>0</v>
      </c>
      <c r="CK154" s="16">
        <f t="shared" si="131"/>
        <v>0</v>
      </c>
      <c r="CL154" s="16">
        <f t="shared" si="132"/>
        <v>0</v>
      </c>
      <c r="CM154" s="16">
        <f t="shared" si="133"/>
        <v>1.1760878557780768E-2</v>
      </c>
      <c r="CN154" s="16">
        <f t="shared" si="134"/>
        <v>5.7458507371545162E-2</v>
      </c>
      <c r="CO154" s="16">
        <f t="shared" si="135"/>
        <v>0</v>
      </c>
      <c r="CP154" s="16">
        <f t="shared" si="136"/>
        <v>0</v>
      </c>
      <c r="CQ154" s="16">
        <f t="shared" si="137"/>
        <v>3.7381156267587395E-2</v>
      </c>
      <c r="CR154" s="16">
        <f t="shared" si="138"/>
        <v>2.1055169308255961E-2</v>
      </c>
      <c r="CS154" s="16">
        <f t="shared" si="139"/>
        <v>2.0074105316327126E-2</v>
      </c>
      <c r="CT154" s="16">
        <f t="shared" si="140"/>
        <v>5.06195407459272E-2</v>
      </c>
    </row>
    <row r="155" spans="1:99" x14ac:dyDescent="0.25">
      <c r="A155" s="13">
        <v>45094</v>
      </c>
      <c r="B155" s="14">
        <v>10</v>
      </c>
      <c r="C155" s="15" t="str" cm="1">
        <f t="array" ref="C155">IF(B155="","",INDEX('Exercise list'!$C$5:$C$102,B155))</f>
        <v>Cable seated rows</v>
      </c>
      <c r="D155" s="12">
        <f t="shared" si="97"/>
        <v>1</v>
      </c>
      <c r="E155" s="107">
        <f t="shared" si="120"/>
        <v>0</v>
      </c>
      <c r="F155" s="63" cm="1">
        <f t="array" ref="F155">IF(B155="","",0.1+IFERROR(INDEX($F$6:$F154,SUMPRODUCT(MAX(ROW($C$6:$C154)*($C155=$C$6:$C154))-ROW($A$5)))*0.9^($A155-INDEX($A$6:A154,SUMPRODUCT(MAX(ROW($C$6:$C154)*($C155=$C$6:$C154))-ROW($A$5)))),0))</f>
        <v>0.19389169302251313</v>
      </c>
      <c r="G155" s="64">
        <f>INDEX('Exercise list'!$Y$5:$Y$102,MATCH(C155,'Exercise list'!$C$5:$C$102,0))</f>
        <v>2</v>
      </c>
      <c r="H155" s="115">
        <f t="shared" si="98"/>
        <v>5.8350459794333238E-2</v>
      </c>
      <c r="I155" s="6">
        <f t="shared" si="99"/>
        <v>2</v>
      </c>
      <c r="J155" s="6" cm="1">
        <f t="array" ref="J155">IF(B155="","",INDEX('Exercise list'!$D$5:$D$102,B155))</f>
        <v>0</v>
      </c>
      <c r="K155" s="12">
        <v>26</v>
      </c>
      <c r="L155" s="74" t="str" cm="1">
        <f t="array" ref="L155">IF(K155="","",INDEX('Exercise list'!$C$5:$C$102,K155))</f>
        <v>Dumbbell incline bench presses</v>
      </c>
      <c r="M155" s="6">
        <v>41</v>
      </c>
      <c r="N155" s="75" t="str" cm="1">
        <f t="array" ref="N155">IF(M155="","",INDEX('Exercise list'!$C$5:$C$102,M155))</f>
        <v>Dumbbell walking lunges</v>
      </c>
      <c r="P155">
        <f>IFERROR(INDEX('Exercise list'!$E$5:$X$102,MATCH($C155,'Exercise list'!$C$5:$C$102,0),MATCH(P$5,'Exercise list'!$E$4:$X$4,0)),0)</f>
        <v>0</v>
      </c>
      <c r="Q155">
        <f>IFERROR(INDEX('Exercise list'!$E$5:$X$102,MATCH($C155,'Exercise list'!$C$5:$C$102,0),MATCH(Q$5,'Exercise list'!$E$4:$X$4,0)),0)</f>
        <v>1</v>
      </c>
      <c r="R155">
        <f>IFERROR(INDEX('Exercise list'!$E$5:$X$102,MATCH($C155,'Exercise list'!$C$5:$C$102,0),MATCH(R$5,'Exercise list'!$E$4:$X$4,0)),0)</f>
        <v>0.6</v>
      </c>
      <c r="S155">
        <f>IFERROR(INDEX('Exercise list'!$E$5:$X$102,MATCH($C155,'Exercise list'!$C$5:$C$102,0),MATCH(S$5,'Exercise list'!$E$4:$X$4,0)),0)</f>
        <v>0.7</v>
      </c>
      <c r="T155">
        <f>IFERROR(INDEX('Exercise list'!$E$5:$X$102,MATCH($C155,'Exercise list'!$C$5:$C$102,0),MATCH(T$5,'Exercise list'!$E$4:$X$4,0)),0)</f>
        <v>0</v>
      </c>
      <c r="U155">
        <f>IFERROR(INDEX('Exercise list'!$E$5:$X$102,MATCH($C155,'Exercise list'!$C$5:$C$102,0),MATCH(U$5,'Exercise list'!$E$4:$X$4,0)),0)</f>
        <v>0</v>
      </c>
      <c r="V155">
        <f>IFERROR(INDEX('Exercise list'!$E$5:$X$102,MATCH($C155,'Exercise list'!$C$5:$C$102,0),MATCH(V$5,'Exercise list'!$E$4:$X$4,0)),0)</f>
        <v>0</v>
      </c>
      <c r="W155">
        <f>IFERROR(INDEX('Exercise list'!$E$5:$X$102,MATCH($C155,'Exercise list'!$C$5:$C$102,0),MATCH(W$5,'Exercise list'!$E$4:$X$4,0)),0)</f>
        <v>0</v>
      </c>
      <c r="X155">
        <f>IFERROR(INDEX('Exercise list'!$E$5:$X$102,MATCH($C155,'Exercise list'!$C$5:$C$102,0),MATCH(X$5,'Exercise list'!$E$4:$X$4,0)),0)</f>
        <v>0.5</v>
      </c>
      <c r="Y155">
        <f>IFERROR(INDEX('Exercise list'!$E$5:$X$102,MATCH($C155,'Exercise list'!$C$5:$C$102,0),MATCH(Y$5,'Exercise list'!$E$4:$X$4,0)),0)</f>
        <v>0</v>
      </c>
      <c r="Z155">
        <f>IFERROR(INDEX('Exercise list'!$E$5:$X$102,MATCH($C155,'Exercise list'!$C$5:$C$102,0),MATCH(Z$5,'Exercise list'!$E$4:$X$4,0)),0)</f>
        <v>0.5</v>
      </c>
      <c r="AA155">
        <f>IFERROR(INDEX('Exercise list'!$E$5:$X$102,MATCH($C155,'Exercise list'!$C$5:$C$102,0),MATCH(AA$5,'Exercise list'!$E$4:$X$4,0)),0)</f>
        <v>0</v>
      </c>
      <c r="AB155">
        <f>IFERROR(INDEX('Exercise list'!$E$5:$X$102,MATCH($C155,'Exercise list'!$C$5:$C$102,0),MATCH(AB$5,'Exercise list'!$E$4:$X$4,0)),0)</f>
        <v>0</v>
      </c>
      <c r="AC155">
        <f>IFERROR(INDEX('Exercise list'!$E$5:$X$102,MATCH($C155,'Exercise list'!$C$5:$C$102,0),MATCH(AC$5,'Exercise list'!$E$4:$X$4,0)),0)</f>
        <v>0</v>
      </c>
      <c r="AD155">
        <f>IFERROR(INDEX('Exercise list'!$E$5:$X$102,MATCH($C155,'Exercise list'!$C$5:$C$102,0),MATCH(AD$5,'Exercise list'!$E$4:$X$4,0)),0)</f>
        <v>0</v>
      </c>
      <c r="AE155">
        <f>IFERROR(INDEX('Exercise list'!$E$5:$X$102,MATCH($C155,'Exercise list'!$C$5:$C$102,0),MATCH(AE$5,'Exercise list'!$E$4:$X$4,0)),0)</f>
        <v>0</v>
      </c>
      <c r="AF155">
        <f>IFERROR(INDEX('Exercise list'!$E$5:$X$102,MATCH($C155,'Exercise list'!$C$5:$C$102,0),MATCH(AF$5,'Exercise list'!$E$4:$X$4,0)),0)</f>
        <v>0</v>
      </c>
      <c r="AG155">
        <f>IFERROR(INDEX('Exercise list'!$E$5:$X$102,MATCH($C155,'Exercise list'!$C$5:$C$102,0),MATCH(AG$5,'Exercise list'!$E$4:$X$4,0)),0)</f>
        <v>0</v>
      </c>
      <c r="AH155">
        <f>IFERROR(INDEX('Exercise list'!$E$5:$X$102,MATCH($C155,'Exercise list'!$C$5:$C$102,0),MATCH(AH$5,'Exercise list'!$E$4:$X$4,0)),0)</f>
        <v>0</v>
      </c>
      <c r="AI155">
        <f>IFERROR(INDEX('Exercise list'!$E$5:$X$102,MATCH($C155,'Exercise list'!$C$5:$C$102,0),MATCH(AI$5,'Exercise list'!$E$4:$X$4,0)),0)</f>
        <v>0</v>
      </c>
      <c r="AK155">
        <f>IF(OR($J155=1,COUNTIFS($A$5:$A154,"&gt;="&amp;$A155-1,$A$5:$A154,"&lt;="&amp;$A155,$B$5:$B154,$B155)&gt;0,MIN(1-'Exercise list'!E$2,IF($A155=$A154,AK154,1))-P155&lt;0),-1,MIN(1,IF($A155=$A154,AK154,1)-P155+$D$2))</f>
        <v>1</v>
      </c>
      <c r="AL155">
        <f>IF(OR($J155=1,COUNTIFS($A$5:$A154,"&gt;="&amp;$A155-1,$A$5:$A154,"&lt;="&amp;$A155,$B$5:$B154,$B155)&gt;0,MIN(1-'Exercise list'!F$2,IF($A155=$A154,AL154,1))-Q155&lt;0),-1,MIN(1,IF($A155=$A154,AL154,1)-Q155+$D$2))</f>
        <v>1</v>
      </c>
      <c r="AM155">
        <f>IF(OR($J155=1,COUNTIFS($A$5:$A154,"&gt;="&amp;$A155-1,$A$5:$A154,"&lt;="&amp;$A155,$B$5:$B154,$B155)&gt;0,MIN(1-'Exercise list'!G$2,IF($A155=$A154,AM154,1))-R155&lt;0),-1,MIN(1,IF($A155=$A154,AM154,1)-R155+$D$2))</f>
        <v>1</v>
      </c>
      <c r="AN155">
        <f>IF(OR($J155=1,COUNTIFS($A$5:$A154,"&gt;="&amp;$A155-1,$A$5:$A154,"&lt;="&amp;$A155,$B$5:$B154,$B155)&gt;0,MIN(1-'Exercise list'!H$2,IF($A155=$A154,AN154,1))-S155&lt;0),-1,MIN(1,IF($A155=$A154,AN154,1)-S155+$D$2))</f>
        <v>1</v>
      </c>
      <c r="AO155">
        <f>IF(OR($J155=1,COUNTIFS($A$5:$A154,"&gt;="&amp;$A155-1,$A$5:$A154,"&lt;="&amp;$A155,$B$5:$B154,$B155)&gt;0,MIN(1-'Exercise list'!I$2,IF($A155=$A154,AO154,1))-T155&lt;0),-1,MIN(1,IF($A155=$A154,AO154,1)-T155+$D$2))</f>
        <v>1</v>
      </c>
      <c r="AP155">
        <f>IF(OR($J155=1,COUNTIFS($A$5:$A154,"&gt;="&amp;$A155-1,$A$5:$A154,"&lt;="&amp;$A155,$B$5:$B154,$B155)&gt;0,MIN(1-'Exercise list'!J$2,IF($A155=$A154,AP154,1))-U155&lt;0),-1,MIN(1,IF($A155=$A154,AP154,1)-U155+$D$2))</f>
        <v>1</v>
      </c>
      <c r="AQ155">
        <f>IF(OR($J155=1,COUNTIFS($A$5:$A154,"&gt;="&amp;$A155-1,$A$5:$A154,"&lt;="&amp;$A155,$B$5:$B154,$B155)&gt;0,MIN(1-'Exercise list'!K$2,IF($A155=$A154,AQ154,1))-V155&lt;0),-1,MIN(1,IF($A155=$A154,AQ154,1)-V155+$D$2))</f>
        <v>1</v>
      </c>
      <c r="AR155">
        <f>IF(OR($J155=1,COUNTIFS($A$5:$A154,"&gt;="&amp;$A155-1,$A$5:$A154,"&lt;="&amp;$A155,$B$5:$B154,$B155)&gt;0,MIN(1-'Exercise list'!L$2,IF($A155=$A154,AR154,1))-W155&lt;0),-1,MIN(1,IF($A155=$A154,AR154,1)-W155+$D$2))</f>
        <v>1</v>
      </c>
      <c r="AS155">
        <f>IF(OR($J155=1,COUNTIFS($A$5:$A154,"&gt;="&amp;$A155-1,$A$5:$A154,"&lt;="&amp;$A155,$B$5:$B154,$B155)&gt;0,MIN(1-'Exercise list'!M$2,IF($A155=$A154,AS154,1))-X155&lt;0),-1,MIN(1,IF($A155=$A154,AS154,1)-X155+$D$2))</f>
        <v>1</v>
      </c>
      <c r="AT155">
        <f>IF(OR($J155=1,COUNTIFS($A$5:$A154,"&gt;="&amp;$A155-1,$A$5:$A154,"&lt;="&amp;$A155,$B$5:$B154,$B155)&gt;0,MIN(1-'Exercise list'!N$2,IF($A155=$A154,AT154,1))-Y155&lt;0),-1,MIN(1,IF($A155=$A154,AT154,1)-Y155+$D$2))</f>
        <v>1</v>
      </c>
      <c r="AU155">
        <f>IF(OR($J155=1,COUNTIFS($A$5:$A154,"&gt;="&amp;$A155-1,$A$5:$A154,"&lt;="&amp;$A155,$B$5:$B154,$B155)&gt;0,MIN(1-'Exercise list'!O$2,IF($A155=$A154,AU154,1))-Z155&lt;0),-1,MIN(1,IF($A155=$A154,AU154,1)-Z155+$D$2))</f>
        <v>1</v>
      </c>
      <c r="AV155">
        <f>IF(OR($J155=1,COUNTIFS($A$5:$A154,"&gt;="&amp;$A155-1,$A$5:$A154,"&lt;="&amp;$A155,$B$5:$B154,$B155)&gt;0,MIN(1-'Exercise list'!P$2,IF($A155=$A154,AV154,1))-AA155&lt;0),-1,MIN(1,IF($A155=$A154,AV154,1)-AA155+$D$2))</f>
        <v>1</v>
      </c>
      <c r="AW155">
        <f>IF(OR($J155=1,COUNTIFS($A$5:$A154,"&gt;="&amp;$A155-1,$A$5:$A154,"&lt;="&amp;$A155,$B$5:$B154,$B155)&gt;0,MIN(1-'Exercise list'!Q$2,IF($A155=$A154,AW154,1))-AB155&lt;0),-1,MIN(1,IF($A155=$A154,AW154,1)-AB155+$D$2))</f>
        <v>1</v>
      </c>
      <c r="AX155">
        <f>IF(OR($J155=1,COUNTIFS($A$5:$A154,"&gt;="&amp;$A155-1,$A$5:$A154,"&lt;="&amp;$A155,$B$5:$B154,$B155)&gt;0,MIN(1-'Exercise list'!R$2,IF($A155=$A154,AX154,1))-AC155&lt;0),-1,MIN(1,IF($A155=$A154,AX154,1)-AC155+$D$2))</f>
        <v>1</v>
      </c>
      <c r="AY155">
        <f>IF(OR($J155=1,COUNTIFS($A$5:$A154,"&gt;="&amp;$A155-1,$A$5:$A154,"&lt;="&amp;$A155,$B$5:$B154,$B155)&gt;0,MIN(1-'Exercise list'!S$2,IF($A155=$A154,AY154,1))-AD155&lt;0),-1,MIN(1,IF($A155=$A154,AY154,1)-AD155+$D$2))</f>
        <v>1</v>
      </c>
      <c r="AZ155">
        <f>IF(OR($J155=1,COUNTIFS($A$5:$A154,"&gt;="&amp;$A155-1,$A$5:$A154,"&lt;="&amp;$A155,$B$5:$B154,$B155)&gt;0,MIN(1-'Exercise list'!T$2,IF($A155=$A154,AZ154,1))-AE155&lt;0),-1,MIN(1,IF($A155=$A154,AZ154,1)-AE155+$D$2))</f>
        <v>1</v>
      </c>
      <c r="BA155">
        <f>IF(OR($J155=1,COUNTIFS($A$5:$A154,"&gt;="&amp;$A155-1,$A$5:$A154,"&lt;="&amp;$A155,$B$5:$B154,$B155)&gt;0,MIN(1-'Exercise list'!U$2,IF($A155=$A154,BA154,1))-AF155&lt;0),-1,MIN(1,IF($A155=$A154,BA154,1)-AF155+$D$2))</f>
        <v>1</v>
      </c>
      <c r="BB155">
        <f>IF(OR($J155=1,COUNTIFS($A$5:$A154,"&gt;="&amp;$A155-1,$A$5:$A154,"&lt;="&amp;$A155,$B$5:$B154,$B155)&gt;0,MIN(1-'Exercise list'!V$2,IF($A155=$A154,BB154,1))-AG155&lt;0),-1,MIN(1,IF($A155=$A154,BB154,1)-AG155+$D$2))</f>
        <v>1</v>
      </c>
      <c r="BC155">
        <f>IF(OR($J155=1,COUNTIFS($A$5:$A154,"&gt;="&amp;$A155-1,$A$5:$A154,"&lt;="&amp;$A155,$B$5:$B154,$B155)&gt;0,MIN(1-'Exercise list'!W$2,IF($A155=$A154,BC154,1))-AH155&lt;0),-1,MIN(1,IF($A155=$A154,BC154,1)-AH155+$D$2))</f>
        <v>1</v>
      </c>
      <c r="BD155">
        <f>IF(OR($J155=1,COUNTIFS($A$5:$A154,"&gt;="&amp;$A155-1,$A$5:$A154,"&lt;="&amp;$A155,$B$5:$B154,$B155)&gt;0,MIN(1-'Exercise list'!X$2,IF($A155=$A154,BD154,1))-AI155&lt;0),-1,MIN(1,IF($A155=$A154,BD154,1)-AI155+$D$2))</f>
        <v>1</v>
      </c>
      <c r="BF155" s="16">
        <f t="shared" si="100"/>
        <v>0.15985630479160695</v>
      </c>
      <c r="BG155" s="16">
        <f t="shared" si="101"/>
        <v>0.2388512532838723</v>
      </c>
      <c r="BH155" s="16">
        <f t="shared" si="102"/>
        <v>0.16958776576065737</v>
      </c>
      <c r="BI155" s="16">
        <f t="shared" si="103"/>
        <v>0.15038361879676795</v>
      </c>
      <c r="BJ155" s="16">
        <f t="shared" si="104"/>
        <v>8.5710723723056631E-2</v>
      </c>
      <c r="BK155" s="16">
        <f t="shared" si="105"/>
        <v>0.10178169992852265</v>
      </c>
      <c r="BL155" s="16">
        <f t="shared" si="106"/>
        <v>0.16912349533606225</v>
      </c>
      <c r="BM155" s="16">
        <f t="shared" si="107"/>
        <v>5.3038278441177823E-3</v>
      </c>
      <c r="BN155" s="16">
        <f t="shared" si="108"/>
        <v>0.12974848734872585</v>
      </c>
      <c r="BO155" s="16">
        <f t="shared" si="109"/>
        <v>0.24766858598472802</v>
      </c>
      <c r="BP155" s="16">
        <f t="shared" si="110"/>
        <v>0.3127257709251357</v>
      </c>
      <c r="BQ155" s="16">
        <f t="shared" si="111"/>
        <v>0.13603850170022358</v>
      </c>
      <c r="BR155" s="16">
        <f t="shared" si="112"/>
        <v>0.17908628741221053</v>
      </c>
      <c r="BS155" s="16">
        <f t="shared" si="113"/>
        <v>4.054397901808323E-2</v>
      </c>
      <c r="BT155" s="16">
        <f t="shared" si="114"/>
        <v>0.13368073985449169</v>
      </c>
      <c r="BU155" s="16">
        <f t="shared" si="115"/>
        <v>0.12043277381105492</v>
      </c>
      <c r="BV155" s="16">
        <f t="shared" si="116"/>
        <v>0.15474702358789424</v>
      </c>
      <c r="BW155" s="16">
        <f t="shared" si="117"/>
        <v>7.5127150178207966E-2</v>
      </c>
      <c r="BX155" s="16">
        <f t="shared" si="118"/>
        <v>7.6059160970540357E-2</v>
      </c>
      <c r="BY155" s="16">
        <f t="shared" si="119"/>
        <v>4.7040997312420292E-2</v>
      </c>
      <c r="CA155" s="16">
        <f t="shared" si="141"/>
        <v>4.262503947271748E-2</v>
      </c>
      <c r="CB155" s="16">
        <f t="shared" si="122"/>
        <v>0</v>
      </c>
      <c r="CC155" s="16">
        <f t="shared" si="123"/>
        <v>0</v>
      </c>
      <c r="CD155" s="16">
        <f t="shared" si="124"/>
        <v>0</v>
      </c>
      <c r="CE155" s="16">
        <f t="shared" si="125"/>
        <v>1.5529948409105584E-2</v>
      </c>
      <c r="CF155" s="16">
        <f t="shared" si="126"/>
        <v>0.20194031646796401</v>
      </c>
      <c r="CG155" s="16">
        <f t="shared" si="127"/>
        <v>0</v>
      </c>
      <c r="CH155" s="16">
        <f t="shared" si="128"/>
        <v>9.5936844288044429E-2</v>
      </c>
      <c r="CI155" s="16">
        <f t="shared" si="129"/>
        <v>7.2732856915598582E-2</v>
      </c>
      <c r="CJ155" s="16">
        <f t="shared" si="130"/>
        <v>0</v>
      </c>
      <c r="CK155" s="16">
        <f t="shared" si="131"/>
        <v>0</v>
      </c>
      <c r="CL155" s="16">
        <f t="shared" si="132"/>
        <v>0</v>
      </c>
      <c r="CM155" s="16">
        <f t="shared" si="133"/>
        <v>2.3395056852113905E-2</v>
      </c>
      <c r="CN155" s="16">
        <f t="shared" si="134"/>
        <v>6.0696693114078985E-2</v>
      </c>
      <c r="CO155" s="16">
        <f t="shared" si="135"/>
        <v>0</v>
      </c>
      <c r="CP155" s="16">
        <f t="shared" si="136"/>
        <v>0</v>
      </c>
      <c r="CQ155" s="16">
        <f t="shared" si="137"/>
        <v>4.7734320676430186E-2</v>
      </c>
      <c r="CR155" s="16">
        <f t="shared" si="138"/>
        <v>2.611352195395425E-2</v>
      </c>
      <c r="CS155" s="16">
        <f t="shared" si="139"/>
        <v>2.5181511161621858E-2</v>
      </c>
      <c r="CT155" s="16">
        <f t="shared" si="140"/>
        <v>5.4199674819741923E-2</v>
      </c>
    </row>
    <row r="156" spans="1:99" x14ac:dyDescent="0.25">
      <c r="A156" s="13">
        <v>45094</v>
      </c>
      <c r="B156" s="14">
        <v>26</v>
      </c>
      <c r="C156" s="15" t="str" cm="1">
        <f t="array" ref="C156">IF(B156="","",INDEX('Exercise list'!$C$5:$C$102,B156))</f>
        <v>Dumbbell incline bench presses</v>
      </c>
      <c r="D156" s="12">
        <f t="shared" si="97"/>
        <v>1</v>
      </c>
      <c r="E156" s="107">
        <f t="shared" si="120"/>
        <v>0</v>
      </c>
      <c r="F156" s="63" cm="1">
        <f t="array" ref="F156">IF(B156="","",0.1+IFERROR(INDEX($F$6:$F155,SUMPRODUCT(MAX(ROW($C$6:$C155)*($C156=$C$6:$C155))-ROW($A$5)))*0.9^($A156-INDEX($A$6:A155,SUMPRODUCT(MAX(ROW($C$6:$C155)*($C156=$C$6:$C155))-ROW($A$5)))),0))</f>
        <v>0.18484219265870566</v>
      </c>
      <c r="G156" s="64">
        <f>INDEX('Exercise list'!$Y$5:$Y$102,MATCH(C156,'Exercise list'!$C$5:$C$102,0))</f>
        <v>2</v>
      </c>
      <c r="H156" s="115">
        <f t="shared" si="98"/>
        <v>6.0279347952718165E-2</v>
      </c>
      <c r="I156" s="6">
        <f t="shared" si="99"/>
        <v>3</v>
      </c>
      <c r="J156" s="6" cm="1">
        <f t="array" ref="J156">IF(B156="","",INDEX('Exercise list'!$D$5:$D$102,B156))</f>
        <v>0</v>
      </c>
      <c r="K156" s="12">
        <v>41</v>
      </c>
      <c r="L156" s="74" t="str" cm="1">
        <f t="array" ref="L156">IF(K156="","",INDEX('Exercise list'!$C$5:$C$102,K156))</f>
        <v>Dumbbell walking lunges</v>
      </c>
      <c r="M156" s="6">
        <v>44</v>
      </c>
      <c r="N156" s="75" t="str" cm="1">
        <f t="array" ref="N156">IF(M156="","",INDEX('Exercise list'!$C$5:$C$102,M156))</f>
        <v>Leg presses</v>
      </c>
      <c r="P156">
        <f>IFERROR(INDEX('Exercise list'!$E$5:$X$102,MATCH($C156,'Exercise list'!$C$5:$C$102,0),MATCH(P$5,'Exercise list'!$E$4:$X$4,0)),0)</f>
        <v>0.8</v>
      </c>
      <c r="Q156">
        <f>IFERROR(INDEX('Exercise list'!$E$5:$X$102,MATCH($C156,'Exercise list'!$C$5:$C$102,0),MATCH(Q$5,'Exercise list'!$E$4:$X$4,0)),0)</f>
        <v>0</v>
      </c>
      <c r="R156">
        <f>IFERROR(INDEX('Exercise list'!$E$5:$X$102,MATCH($C156,'Exercise list'!$C$5:$C$102,0),MATCH(R$5,'Exercise list'!$E$4:$X$4,0)),0)</f>
        <v>0</v>
      </c>
      <c r="S156">
        <f>IFERROR(INDEX('Exercise list'!$E$5:$X$102,MATCH($C156,'Exercise list'!$C$5:$C$102,0),MATCH(S$5,'Exercise list'!$E$4:$X$4,0)),0)</f>
        <v>0</v>
      </c>
      <c r="T156">
        <f>IFERROR(INDEX('Exercise list'!$E$5:$X$102,MATCH($C156,'Exercise list'!$C$5:$C$102,0),MATCH(T$5,'Exercise list'!$E$4:$X$4,0)),0)</f>
        <v>0</v>
      </c>
      <c r="U156">
        <f>IFERROR(INDEX('Exercise list'!$E$5:$X$102,MATCH($C156,'Exercise list'!$C$5:$C$102,0),MATCH(U$5,'Exercise list'!$E$4:$X$4,0)),0)</f>
        <v>0</v>
      </c>
      <c r="V156">
        <f>IFERROR(INDEX('Exercise list'!$E$5:$X$102,MATCH($C156,'Exercise list'!$C$5:$C$102,0),MATCH(V$5,'Exercise list'!$E$4:$X$4,0)),0)</f>
        <v>0.8</v>
      </c>
      <c r="W156">
        <f>IFERROR(INDEX('Exercise list'!$E$5:$X$102,MATCH($C156,'Exercise list'!$C$5:$C$102,0),MATCH(W$5,'Exercise list'!$E$4:$X$4,0)),0)</f>
        <v>0</v>
      </c>
      <c r="X156">
        <f>IFERROR(INDEX('Exercise list'!$E$5:$X$102,MATCH($C156,'Exercise list'!$C$5:$C$102,0),MATCH(X$5,'Exercise list'!$E$4:$X$4,0)),0)</f>
        <v>0</v>
      </c>
      <c r="Y156">
        <f>IFERROR(INDEX('Exercise list'!$E$5:$X$102,MATCH($C156,'Exercise list'!$C$5:$C$102,0),MATCH(Y$5,'Exercise list'!$E$4:$X$4,0)),0)</f>
        <v>0.8</v>
      </c>
      <c r="Z156">
        <f>IFERROR(INDEX('Exercise list'!$E$5:$X$102,MATCH($C156,'Exercise list'!$C$5:$C$102,0),MATCH(Z$5,'Exercise list'!$E$4:$X$4,0)),0)</f>
        <v>0.5</v>
      </c>
      <c r="AA156">
        <f>IFERROR(INDEX('Exercise list'!$E$5:$X$102,MATCH($C156,'Exercise list'!$C$5:$C$102,0),MATCH(AA$5,'Exercise list'!$E$4:$X$4,0)),0)</f>
        <v>0</v>
      </c>
      <c r="AB156">
        <f>IFERROR(INDEX('Exercise list'!$E$5:$X$102,MATCH($C156,'Exercise list'!$C$5:$C$102,0),MATCH(AB$5,'Exercise list'!$E$4:$X$4,0)),0)</f>
        <v>0</v>
      </c>
      <c r="AC156">
        <f>IFERROR(INDEX('Exercise list'!$E$5:$X$102,MATCH($C156,'Exercise list'!$C$5:$C$102,0),MATCH(AC$5,'Exercise list'!$E$4:$X$4,0)),0)</f>
        <v>0</v>
      </c>
      <c r="AD156">
        <f>IFERROR(INDEX('Exercise list'!$E$5:$X$102,MATCH($C156,'Exercise list'!$C$5:$C$102,0),MATCH(AD$5,'Exercise list'!$E$4:$X$4,0)),0)</f>
        <v>0</v>
      </c>
      <c r="AE156">
        <f>IFERROR(INDEX('Exercise list'!$E$5:$X$102,MATCH($C156,'Exercise list'!$C$5:$C$102,0),MATCH(AE$5,'Exercise list'!$E$4:$X$4,0)),0)</f>
        <v>0</v>
      </c>
      <c r="AF156">
        <f>IFERROR(INDEX('Exercise list'!$E$5:$X$102,MATCH($C156,'Exercise list'!$C$5:$C$102,0),MATCH(AF$5,'Exercise list'!$E$4:$X$4,0)),0)</f>
        <v>0</v>
      </c>
      <c r="AG156">
        <f>IFERROR(INDEX('Exercise list'!$E$5:$X$102,MATCH($C156,'Exercise list'!$C$5:$C$102,0),MATCH(AG$5,'Exercise list'!$E$4:$X$4,0)),0)</f>
        <v>0</v>
      </c>
      <c r="AH156">
        <f>IFERROR(INDEX('Exercise list'!$E$5:$X$102,MATCH($C156,'Exercise list'!$C$5:$C$102,0),MATCH(AH$5,'Exercise list'!$E$4:$X$4,0)),0)</f>
        <v>0</v>
      </c>
      <c r="AI156">
        <f>IFERROR(INDEX('Exercise list'!$E$5:$X$102,MATCH($C156,'Exercise list'!$C$5:$C$102,0),MATCH(AI$5,'Exercise list'!$E$4:$X$4,0)),0)</f>
        <v>0</v>
      </c>
      <c r="AK156">
        <f>IF(OR($J156=1,COUNTIFS($A$5:$A155,"&gt;="&amp;$A156-1,$A$5:$A155,"&lt;="&amp;$A156,$B$5:$B155,$B156)&gt;0,MIN(1-'Exercise list'!E$2,IF($A156=$A155,AK155,1))-P156&lt;0),-1,MIN(1,IF($A156=$A155,AK155,1)-P156+$D$2))</f>
        <v>1</v>
      </c>
      <c r="AL156">
        <f>IF(OR($J156=1,COUNTIFS($A$5:$A155,"&gt;="&amp;$A156-1,$A$5:$A155,"&lt;="&amp;$A156,$B$5:$B155,$B156)&gt;0,MIN(1-'Exercise list'!F$2,IF($A156=$A155,AL155,1))-Q156&lt;0),-1,MIN(1,IF($A156=$A155,AL155,1)-Q156+$D$2))</f>
        <v>1</v>
      </c>
      <c r="AM156">
        <f>IF(OR($J156=1,COUNTIFS($A$5:$A155,"&gt;="&amp;$A156-1,$A$5:$A155,"&lt;="&amp;$A156,$B$5:$B155,$B156)&gt;0,MIN(1-'Exercise list'!G$2,IF($A156=$A155,AM155,1))-R156&lt;0),-1,MIN(1,IF($A156=$A155,AM155,1)-R156+$D$2))</f>
        <v>1</v>
      </c>
      <c r="AN156">
        <f>IF(OR($J156=1,COUNTIFS($A$5:$A155,"&gt;="&amp;$A156-1,$A$5:$A155,"&lt;="&amp;$A156,$B$5:$B155,$B156)&gt;0,MIN(1-'Exercise list'!H$2,IF($A156=$A155,AN155,1))-S156&lt;0),-1,MIN(1,IF($A156=$A155,AN155,1)-S156+$D$2))</f>
        <v>1</v>
      </c>
      <c r="AO156">
        <f>IF(OR($J156=1,COUNTIFS($A$5:$A155,"&gt;="&amp;$A156-1,$A$5:$A155,"&lt;="&amp;$A156,$B$5:$B155,$B156)&gt;0,MIN(1-'Exercise list'!I$2,IF($A156=$A155,AO155,1))-T156&lt;0),-1,MIN(1,IF($A156=$A155,AO155,1)-T156+$D$2))</f>
        <v>1</v>
      </c>
      <c r="AP156">
        <f>IF(OR($J156=1,COUNTIFS($A$5:$A155,"&gt;="&amp;$A156-1,$A$5:$A155,"&lt;="&amp;$A156,$B$5:$B155,$B156)&gt;0,MIN(1-'Exercise list'!J$2,IF($A156=$A155,AP155,1))-U156&lt;0),-1,MIN(1,IF($A156=$A155,AP155,1)-U156+$D$2))</f>
        <v>1</v>
      </c>
      <c r="AQ156">
        <f>IF(OR($J156=1,COUNTIFS($A$5:$A155,"&gt;="&amp;$A156-1,$A$5:$A155,"&lt;="&amp;$A156,$B$5:$B155,$B156)&gt;0,MIN(1-'Exercise list'!K$2,IF($A156=$A155,AQ155,1))-V156&lt;0),-1,MIN(1,IF($A156=$A155,AQ155,1)-V156+$D$2))</f>
        <v>1</v>
      </c>
      <c r="AR156">
        <f>IF(OR($J156=1,COUNTIFS($A$5:$A155,"&gt;="&amp;$A156-1,$A$5:$A155,"&lt;="&amp;$A156,$B$5:$B155,$B156)&gt;0,MIN(1-'Exercise list'!L$2,IF($A156=$A155,AR155,1))-W156&lt;0),-1,MIN(1,IF($A156=$A155,AR155,1)-W156+$D$2))</f>
        <v>1</v>
      </c>
      <c r="AS156">
        <f>IF(OR($J156=1,COUNTIFS($A$5:$A155,"&gt;="&amp;$A156-1,$A$5:$A155,"&lt;="&amp;$A156,$B$5:$B155,$B156)&gt;0,MIN(1-'Exercise list'!M$2,IF($A156=$A155,AS155,1))-X156&lt;0),-1,MIN(1,IF($A156=$A155,AS155,1)-X156+$D$2))</f>
        <v>1</v>
      </c>
      <c r="AT156">
        <f>IF(OR($J156=1,COUNTIFS($A$5:$A155,"&gt;="&amp;$A156-1,$A$5:$A155,"&lt;="&amp;$A156,$B$5:$B155,$B156)&gt;0,MIN(1-'Exercise list'!N$2,IF($A156=$A155,AT155,1))-Y156&lt;0),-1,MIN(1,IF($A156=$A155,AT155,1)-Y156+$D$2))</f>
        <v>1</v>
      </c>
      <c r="AU156">
        <f>IF(OR($J156=1,COUNTIFS($A$5:$A155,"&gt;="&amp;$A156-1,$A$5:$A155,"&lt;="&amp;$A156,$B$5:$B155,$B156)&gt;0,MIN(1-'Exercise list'!O$2,IF($A156=$A155,AU155,1))-Z156&lt;0),-1,MIN(1,IF($A156=$A155,AU155,1)-Z156+$D$2))</f>
        <v>1</v>
      </c>
      <c r="AV156">
        <f>IF(OR($J156=1,COUNTIFS($A$5:$A155,"&gt;="&amp;$A156-1,$A$5:$A155,"&lt;="&amp;$A156,$B$5:$B155,$B156)&gt;0,MIN(1-'Exercise list'!P$2,IF($A156=$A155,AV155,1))-AA156&lt;0),-1,MIN(1,IF($A156=$A155,AV155,1)-AA156+$D$2))</f>
        <v>1</v>
      </c>
      <c r="AW156">
        <f>IF(OR($J156=1,COUNTIFS($A$5:$A155,"&gt;="&amp;$A156-1,$A$5:$A155,"&lt;="&amp;$A156,$B$5:$B155,$B156)&gt;0,MIN(1-'Exercise list'!Q$2,IF($A156=$A155,AW155,1))-AB156&lt;0),-1,MIN(1,IF($A156=$A155,AW155,1)-AB156+$D$2))</f>
        <v>1</v>
      </c>
      <c r="AX156">
        <f>IF(OR($J156=1,COUNTIFS($A$5:$A155,"&gt;="&amp;$A156-1,$A$5:$A155,"&lt;="&amp;$A156,$B$5:$B155,$B156)&gt;0,MIN(1-'Exercise list'!R$2,IF($A156=$A155,AX155,1))-AC156&lt;0),-1,MIN(1,IF($A156=$A155,AX155,1)-AC156+$D$2))</f>
        <v>1</v>
      </c>
      <c r="AY156">
        <f>IF(OR($J156=1,COUNTIFS($A$5:$A155,"&gt;="&amp;$A156-1,$A$5:$A155,"&lt;="&amp;$A156,$B$5:$B155,$B156)&gt;0,MIN(1-'Exercise list'!S$2,IF($A156=$A155,AY155,1))-AD156&lt;0),-1,MIN(1,IF($A156=$A155,AY155,1)-AD156+$D$2))</f>
        <v>1</v>
      </c>
      <c r="AZ156">
        <f>IF(OR($J156=1,COUNTIFS($A$5:$A155,"&gt;="&amp;$A156-1,$A$5:$A155,"&lt;="&amp;$A156,$B$5:$B155,$B156)&gt;0,MIN(1-'Exercise list'!T$2,IF($A156=$A155,AZ155,1))-AE156&lt;0),-1,MIN(1,IF($A156=$A155,AZ155,1)-AE156+$D$2))</f>
        <v>1</v>
      </c>
      <c r="BA156">
        <f>IF(OR($J156=1,COUNTIFS($A$5:$A155,"&gt;="&amp;$A156-1,$A$5:$A155,"&lt;="&amp;$A156,$B$5:$B155,$B156)&gt;0,MIN(1-'Exercise list'!U$2,IF($A156=$A155,BA155,1))-AF156&lt;0),-1,MIN(1,IF($A156=$A155,BA155,1)-AF156+$D$2))</f>
        <v>1</v>
      </c>
      <c r="BB156">
        <f>IF(OR($J156=1,COUNTIFS($A$5:$A155,"&gt;="&amp;$A156-1,$A$5:$A155,"&lt;="&amp;$A156,$B$5:$B155,$B156)&gt;0,MIN(1-'Exercise list'!V$2,IF($A156=$A155,BB155,1))-AG156&lt;0),-1,MIN(1,IF($A156=$A155,BB155,1)-AG156+$D$2))</f>
        <v>1</v>
      </c>
      <c r="BC156">
        <f>IF(OR($J156=1,COUNTIFS($A$5:$A155,"&gt;="&amp;$A156-1,$A$5:$A155,"&lt;="&amp;$A156,$B$5:$B155,$B156)&gt;0,MIN(1-'Exercise list'!W$2,IF($A156=$A155,BC155,1))-AH156&lt;0),-1,MIN(1,IF($A156=$A155,BC155,1)-AH156+$D$2))</f>
        <v>1</v>
      </c>
      <c r="BD156">
        <f>IF(OR($J156=1,COUNTIFS($A$5:$A155,"&gt;="&amp;$A156-1,$A$5:$A155,"&lt;="&amp;$A156,$B$5:$B155,$B156)&gt;0,MIN(1-'Exercise list'!X$2,IF($A156=$A155,BD155,1))-AI156&lt;0),-1,MIN(1,IF($A156=$A155,BD155,1)-AI156+$D$2))</f>
        <v>1</v>
      </c>
      <c r="BF156" s="16">
        <f t="shared" si="100"/>
        <v>0.19186348955202662</v>
      </c>
      <c r="BG156" s="16">
        <f t="shared" si="101"/>
        <v>0.22690869061967867</v>
      </c>
      <c r="BH156" s="16">
        <f t="shared" si="102"/>
        <v>0.16110837747262449</v>
      </c>
      <c r="BI156" s="16">
        <f t="shared" si="103"/>
        <v>0.14286443785692954</v>
      </c>
      <c r="BJ156" s="16">
        <f t="shared" si="104"/>
        <v>8.1425187536903795E-2</v>
      </c>
      <c r="BK156" s="16">
        <f t="shared" si="105"/>
        <v>9.6692614932096507E-2</v>
      </c>
      <c r="BL156" s="16">
        <f t="shared" si="106"/>
        <v>0.20066732056925912</v>
      </c>
      <c r="BM156" s="16">
        <f t="shared" si="107"/>
        <v>5.0386364519118933E-3</v>
      </c>
      <c r="BN156" s="16">
        <f t="shared" si="108"/>
        <v>0.12326106298128955</v>
      </c>
      <c r="BO156" s="16">
        <f t="shared" si="109"/>
        <v>0.27528515668549158</v>
      </c>
      <c r="BP156" s="16">
        <f t="shared" si="110"/>
        <v>0.32208948237887891</v>
      </c>
      <c r="BQ156" s="16">
        <f t="shared" si="111"/>
        <v>0.1292365766152124</v>
      </c>
      <c r="BR156" s="16">
        <f t="shared" si="112"/>
        <v>0.17013197304159999</v>
      </c>
      <c r="BS156" s="16">
        <f t="shared" si="113"/>
        <v>3.8516780067179068E-2</v>
      </c>
      <c r="BT156" s="16">
        <f t="shared" si="114"/>
        <v>0.12699670286176709</v>
      </c>
      <c r="BU156" s="16">
        <f t="shared" si="115"/>
        <v>0.11441113512050217</v>
      </c>
      <c r="BV156" s="16">
        <f t="shared" si="116"/>
        <v>0.14700967240849952</v>
      </c>
      <c r="BW156" s="16">
        <f t="shared" si="117"/>
        <v>7.1370792669297564E-2</v>
      </c>
      <c r="BX156" s="16">
        <f t="shared" si="118"/>
        <v>7.2256202922013332E-2</v>
      </c>
      <c r="BY156" s="16">
        <f t="shared" si="119"/>
        <v>4.4688947446799278E-2</v>
      </c>
      <c r="CA156" s="16">
        <f t="shared" si="141"/>
        <v>1.1234528239822406E-2</v>
      </c>
      <c r="CB156" s="16">
        <f t="shared" si="122"/>
        <v>0</v>
      </c>
      <c r="CC156" s="16">
        <f t="shared" si="123"/>
        <v>0</v>
      </c>
      <c r="CD156" s="16">
        <f t="shared" si="124"/>
        <v>0</v>
      </c>
      <c r="CE156" s="16">
        <f t="shared" si="125"/>
        <v>2.0123821359020716E-2</v>
      </c>
      <c r="CF156" s="16">
        <f t="shared" si="126"/>
        <v>0.20795441175567703</v>
      </c>
      <c r="CG156" s="16">
        <f t="shared" si="127"/>
        <v>0</v>
      </c>
      <c r="CH156" s="16">
        <f t="shared" si="128"/>
        <v>9.6510372444012615E-2</v>
      </c>
      <c r="CI156" s="16">
        <f t="shared" si="129"/>
        <v>7.9836954810559468E-2</v>
      </c>
      <c r="CJ156" s="16">
        <f t="shared" si="130"/>
        <v>0</v>
      </c>
      <c r="CK156" s="16">
        <f t="shared" si="131"/>
        <v>0</v>
      </c>
      <c r="CL156" s="16">
        <f t="shared" si="132"/>
        <v>0</v>
      </c>
      <c r="CM156" s="16">
        <f t="shared" si="133"/>
        <v>3.2966044750249029E-2</v>
      </c>
      <c r="CN156" s="16">
        <f t="shared" si="134"/>
        <v>6.3032228828745443E-2</v>
      </c>
      <c r="CO156" s="16">
        <f t="shared" si="135"/>
        <v>0</v>
      </c>
      <c r="CP156" s="16">
        <f t="shared" si="136"/>
        <v>0</v>
      </c>
      <c r="CQ156" s="16">
        <f t="shared" si="137"/>
        <v>5.6088345383349503E-2</v>
      </c>
      <c r="CR156" s="16">
        <f t="shared" si="138"/>
        <v>3.0178216226626947E-2</v>
      </c>
      <c r="CS156" s="16">
        <f t="shared" si="139"/>
        <v>2.9292805973911179E-2</v>
      </c>
      <c r="CT156" s="16">
        <f t="shared" si="140"/>
        <v>5.6860061449125233E-2</v>
      </c>
    </row>
    <row r="157" spans="1:99" x14ac:dyDescent="0.25">
      <c r="A157" s="13">
        <v>45094</v>
      </c>
      <c r="B157" s="14">
        <v>41</v>
      </c>
      <c r="C157" s="15" t="str" cm="1">
        <f t="array" ref="C157">IF(B157="","",INDEX('Exercise list'!$C$5:$C$102,B157))</f>
        <v>Dumbbell walking lunges</v>
      </c>
      <c r="D157" s="12">
        <f t="shared" si="97"/>
        <v>1</v>
      </c>
      <c r="E157" s="107">
        <f t="shared" si="120"/>
        <v>0</v>
      </c>
      <c r="F157" s="63" cm="1">
        <f t="array" ref="F157">IF(B157="","",0.1+IFERROR(INDEX($F$6:$F156,SUMPRODUCT(MAX(ROW($C$6:$C156)*($C157=$C$6:$C156))-ROW($A$5)))*0.9^($A157-INDEX($A$6:A156,SUMPRODUCT(MAX(ROW($C$6:$C156)*($C157=$C$6:$C156))-ROW($A$5)))),0))</f>
        <v>0.14656670800287866</v>
      </c>
      <c r="G157" s="64">
        <f>INDEX('Exercise list'!$Y$5:$Y$102,MATCH(C157,'Exercise list'!$C$5:$C$102,0))</f>
        <v>2</v>
      </c>
      <c r="H157" s="115">
        <f t="shared" si="98"/>
        <v>6.2611916698349521E-2</v>
      </c>
      <c r="I157" s="6">
        <f t="shared" si="99"/>
        <v>4</v>
      </c>
      <c r="J157" s="6" cm="1">
        <f t="array" ref="J157">IF(B157="","",INDEX('Exercise list'!$D$5:$D$102,B157))</f>
        <v>0</v>
      </c>
      <c r="K157" s="12">
        <v>44</v>
      </c>
      <c r="L157" s="74" t="str" cm="1">
        <f t="array" ref="L157">IF(K157="","",INDEX('Exercise list'!$C$5:$C$102,K157))</f>
        <v>Leg presses</v>
      </c>
      <c r="M157" s="6">
        <v>48</v>
      </c>
      <c r="N157" s="75" t="str" cm="1">
        <f t="array" ref="N157">IF(M157="","",INDEX('Exercise list'!$C$5:$C$102,M157))</f>
        <v>Barbell overhead presses</v>
      </c>
      <c r="P157">
        <f>IFERROR(INDEX('Exercise list'!$E$5:$X$102,MATCH($C157,'Exercise list'!$C$5:$C$102,0),MATCH(P$5,'Exercise list'!$E$4:$X$4,0)),0)</f>
        <v>0</v>
      </c>
      <c r="Q157">
        <f>IFERROR(INDEX('Exercise list'!$E$5:$X$102,MATCH($C157,'Exercise list'!$C$5:$C$102,0),MATCH(Q$5,'Exercise list'!$E$4:$X$4,0)),0)</f>
        <v>0</v>
      </c>
      <c r="R157">
        <f>IFERROR(INDEX('Exercise list'!$E$5:$X$102,MATCH($C157,'Exercise list'!$C$5:$C$102,0),MATCH(R$5,'Exercise list'!$E$4:$X$4,0)),0)</f>
        <v>0</v>
      </c>
      <c r="S157">
        <f>IFERROR(INDEX('Exercise list'!$E$5:$X$102,MATCH($C157,'Exercise list'!$C$5:$C$102,0),MATCH(S$5,'Exercise list'!$E$4:$X$4,0)),0)</f>
        <v>0</v>
      </c>
      <c r="T157">
        <f>IFERROR(INDEX('Exercise list'!$E$5:$X$102,MATCH($C157,'Exercise list'!$C$5:$C$102,0),MATCH(T$5,'Exercise list'!$E$4:$X$4,0)),0)</f>
        <v>0.5</v>
      </c>
      <c r="U157">
        <f>IFERROR(INDEX('Exercise list'!$E$5:$X$102,MATCH($C157,'Exercise list'!$C$5:$C$102,0),MATCH(U$5,'Exercise list'!$E$4:$X$4,0)),0)</f>
        <v>0</v>
      </c>
      <c r="V157">
        <f>IFERROR(INDEX('Exercise list'!$E$5:$X$102,MATCH($C157,'Exercise list'!$C$5:$C$102,0),MATCH(V$5,'Exercise list'!$E$4:$X$4,0)),0)</f>
        <v>0</v>
      </c>
      <c r="W157">
        <f>IFERROR(INDEX('Exercise list'!$E$5:$X$102,MATCH($C157,'Exercise list'!$C$5:$C$102,0),MATCH(W$5,'Exercise list'!$E$4:$X$4,0)),0)</f>
        <v>0</v>
      </c>
      <c r="X157">
        <f>IFERROR(INDEX('Exercise list'!$E$5:$X$102,MATCH($C157,'Exercise list'!$C$5:$C$102,0),MATCH(X$5,'Exercise list'!$E$4:$X$4,0)),0)</f>
        <v>0</v>
      </c>
      <c r="Y157">
        <f>IFERROR(INDEX('Exercise list'!$E$5:$X$102,MATCH($C157,'Exercise list'!$C$5:$C$102,0),MATCH(Y$5,'Exercise list'!$E$4:$X$4,0)),0)</f>
        <v>0</v>
      </c>
      <c r="Z157">
        <f>IFERROR(INDEX('Exercise list'!$E$5:$X$102,MATCH($C157,'Exercise list'!$C$5:$C$102,0),MATCH(Z$5,'Exercise list'!$E$4:$X$4,0)),0)</f>
        <v>0</v>
      </c>
      <c r="AA157">
        <f>IFERROR(INDEX('Exercise list'!$E$5:$X$102,MATCH($C157,'Exercise list'!$C$5:$C$102,0),MATCH(AA$5,'Exercise list'!$E$4:$X$4,0)),0)</f>
        <v>0</v>
      </c>
      <c r="AB157">
        <f>IFERROR(INDEX('Exercise list'!$E$5:$X$102,MATCH($C157,'Exercise list'!$C$5:$C$102,0),MATCH(AB$5,'Exercise list'!$E$4:$X$4,0)),0)</f>
        <v>0</v>
      </c>
      <c r="AC157">
        <f>IFERROR(INDEX('Exercise list'!$E$5:$X$102,MATCH($C157,'Exercise list'!$C$5:$C$102,0),MATCH(AC$5,'Exercise list'!$E$4:$X$4,0)),0)</f>
        <v>0</v>
      </c>
      <c r="AD157">
        <f>IFERROR(INDEX('Exercise list'!$E$5:$X$102,MATCH($C157,'Exercise list'!$C$5:$C$102,0),MATCH(AD$5,'Exercise list'!$E$4:$X$4,0)),0)</f>
        <v>0.9</v>
      </c>
      <c r="AE157">
        <f>IFERROR(INDEX('Exercise list'!$E$5:$X$102,MATCH($C157,'Exercise list'!$C$5:$C$102,0),MATCH(AE$5,'Exercise list'!$E$4:$X$4,0)),0)</f>
        <v>0.7</v>
      </c>
      <c r="AF157">
        <f>IFERROR(INDEX('Exercise list'!$E$5:$X$102,MATCH($C157,'Exercise list'!$C$5:$C$102,0),MATCH(AF$5,'Exercise list'!$E$4:$X$4,0)),0)</f>
        <v>0.8</v>
      </c>
      <c r="AG157">
        <f>IFERROR(INDEX('Exercise list'!$E$5:$X$102,MATCH($C157,'Exercise list'!$C$5:$C$102,0),MATCH(AG$5,'Exercise list'!$E$4:$X$4,0)),0)</f>
        <v>0.5</v>
      </c>
      <c r="AH157">
        <f>IFERROR(INDEX('Exercise list'!$E$5:$X$102,MATCH($C157,'Exercise list'!$C$5:$C$102,0),MATCH(AH$5,'Exercise list'!$E$4:$X$4,0)),0)</f>
        <v>0.6</v>
      </c>
      <c r="AI157">
        <f>IFERROR(INDEX('Exercise list'!$E$5:$X$102,MATCH($C157,'Exercise list'!$C$5:$C$102,0),MATCH(AI$5,'Exercise list'!$E$4:$X$4,0)),0)</f>
        <v>0.6</v>
      </c>
      <c r="AK157">
        <f>IF(OR($J157=1,COUNTIFS($A$5:$A156,"&gt;="&amp;$A157-1,$A$5:$A156,"&lt;="&amp;$A157,$B$5:$B156,$B157)&gt;0,MIN(1-'Exercise list'!E$2,IF($A157=$A156,AK156,1))-P157&lt;0),-1,MIN(1,IF($A157=$A156,AK156,1)-P157+$D$2))</f>
        <v>1</v>
      </c>
      <c r="AL157">
        <f>IF(OR($J157=1,COUNTIFS($A$5:$A156,"&gt;="&amp;$A157-1,$A$5:$A156,"&lt;="&amp;$A157,$B$5:$B156,$B157)&gt;0,MIN(1-'Exercise list'!F$2,IF($A157=$A156,AL156,1))-Q157&lt;0),-1,MIN(1,IF($A157=$A156,AL156,1)-Q157+$D$2))</f>
        <v>1</v>
      </c>
      <c r="AM157">
        <f>IF(OR($J157=1,COUNTIFS($A$5:$A156,"&gt;="&amp;$A157-1,$A$5:$A156,"&lt;="&amp;$A157,$B$5:$B156,$B157)&gt;0,MIN(1-'Exercise list'!G$2,IF($A157=$A156,AM156,1))-R157&lt;0),-1,MIN(1,IF($A157=$A156,AM156,1)-R157+$D$2))</f>
        <v>1</v>
      </c>
      <c r="AN157">
        <f>IF(OR($J157=1,COUNTIFS($A$5:$A156,"&gt;="&amp;$A157-1,$A$5:$A156,"&lt;="&amp;$A157,$B$5:$B156,$B157)&gt;0,MIN(1-'Exercise list'!H$2,IF($A157=$A156,AN156,1))-S157&lt;0),-1,MIN(1,IF($A157=$A156,AN156,1)-S157+$D$2))</f>
        <v>1</v>
      </c>
      <c r="AO157">
        <f>IF(OR($J157=1,COUNTIFS($A$5:$A156,"&gt;="&amp;$A157-1,$A$5:$A156,"&lt;="&amp;$A157,$B$5:$B156,$B157)&gt;0,MIN(1-'Exercise list'!I$2,IF($A157=$A156,AO156,1))-T157&lt;0),-1,MIN(1,IF($A157=$A156,AO156,1)-T157+$D$2))</f>
        <v>1</v>
      </c>
      <c r="AP157">
        <f>IF(OR($J157=1,COUNTIFS($A$5:$A156,"&gt;="&amp;$A157-1,$A$5:$A156,"&lt;="&amp;$A157,$B$5:$B156,$B157)&gt;0,MIN(1-'Exercise list'!J$2,IF($A157=$A156,AP156,1))-U157&lt;0),-1,MIN(1,IF($A157=$A156,AP156,1)-U157+$D$2))</f>
        <v>1</v>
      </c>
      <c r="AQ157">
        <f>IF(OR($J157=1,COUNTIFS($A$5:$A156,"&gt;="&amp;$A157-1,$A$5:$A156,"&lt;="&amp;$A157,$B$5:$B156,$B157)&gt;0,MIN(1-'Exercise list'!K$2,IF($A157=$A156,AQ156,1))-V157&lt;0),-1,MIN(1,IF($A157=$A156,AQ156,1)-V157+$D$2))</f>
        <v>1</v>
      </c>
      <c r="AR157">
        <f>IF(OR($J157=1,COUNTIFS($A$5:$A156,"&gt;="&amp;$A157-1,$A$5:$A156,"&lt;="&amp;$A157,$B$5:$B156,$B157)&gt;0,MIN(1-'Exercise list'!L$2,IF($A157=$A156,AR156,1))-W157&lt;0),-1,MIN(1,IF($A157=$A156,AR156,1)-W157+$D$2))</f>
        <v>1</v>
      </c>
      <c r="AS157">
        <f>IF(OR($J157=1,COUNTIFS($A$5:$A156,"&gt;="&amp;$A157-1,$A$5:$A156,"&lt;="&amp;$A157,$B$5:$B156,$B157)&gt;0,MIN(1-'Exercise list'!M$2,IF($A157=$A156,AS156,1))-X157&lt;0),-1,MIN(1,IF($A157=$A156,AS156,1)-X157+$D$2))</f>
        <v>1</v>
      </c>
      <c r="AT157">
        <f>IF(OR($J157=1,COUNTIFS($A$5:$A156,"&gt;="&amp;$A157-1,$A$5:$A156,"&lt;="&amp;$A157,$B$5:$B156,$B157)&gt;0,MIN(1-'Exercise list'!N$2,IF($A157=$A156,AT156,1))-Y157&lt;0),-1,MIN(1,IF($A157=$A156,AT156,1)-Y157+$D$2))</f>
        <v>1</v>
      </c>
      <c r="AU157">
        <f>IF(OR($J157=1,COUNTIFS($A$5:$A156,"&gt;="&amp;$A157-1,$A$5:$A156,"&lt;="&amp;$A157,$B$5:$B156,$B157)&gt;0,MIN(1-'Exercise list'!O$2,IF($A157=$A156,AU156,1))-Z157&lt;0),-1,MIN(1,IF($A157=$A156,AU156,1)-Z157+$D$2))</f>
        <v>1</v>
      </c>
      <c r="AV157">
        <f>IF(OR($J157=1,COUNTIFS($A$5:$A156,"&gt;="&amp;$A157-1,$A$5:$A156,"&lt;="&amp;$A157,$B$5:$B156,$B157)&gt;0,MIN(1-'Exercise list'!P$2,IF($A157=$A156,AV156,1))-AA157&lt;0),-1,MIN(1,IF($A157=$A156,AV156,1)-AA157+$D$2))</f>
        <v>1</v>
      </c>
      <c r="AW157">
        <f>IF(OR($J157=1,COUNTIFS($A$5:$A156,"&gt;="&amp;$A157-1,$A$5:$A156,"&lt;="&amp;$A157,$B$5:$B156,$B157)&gt;0,MIN(1-'Exercise list'!Q$2,IF($A157=$A156,AW156,1))-AB157&lt;0),-1,MIN(1,IF($A157=$A156,AW156,1)-AB157+$D$2))</f>
        <v>1</v>
      </c>
      <c r="AX157">
        <f>IF(OR($J157=1,COUNTIFS($A$5:$A156,"&gt;="&amp;$A157-1,$A$5:$A156,"&lt;="&amp;$A157,$B$5:$B156,$B157)&gt;0,MIN(1-'Exercise list'!R$2,IF($A157=$A156,AX156,1))-AC157&lt;0),-1,MIN(1,IF($A157=$A156,AX156,1)-AC157+$D$2))</f>
        <v>1</v>
      </c>
      <c r="AY157">
        <f>IF(OR($J157=1,COUNTIFS($A$5:$A156,"&gt;="&amp;$A157-1,$A$5:$A156,"&lt;="&amp;$A157,$B$5:$B156,$B157)&gt;0,MIN(1-'Exercise list'!S$2,IF($A157=$A156,AY156,1))-AD157&lt;0),-1,MIN(1,IF($A157=$A156,AY156,1)-AD157+$D$2))</f>
        <v>1</v>
      </c>
      <c r="AZ157">
        <f>IF(OR($J157=1,COUNTIFS($A$5:$A156,"&gt;="&amp;$A157-1,$A$5:$A156,"&lt;="&amp;$A157,$B$5:$B156,$B157)&gt;0,MIN(1-'Exercise list'!T$2,IF($A157=$A156,AZ156,1))-AE157&lt;0),-1,MIN(1,IF($A157=$A156,AZ156,1)-AE157+$D$2))</f>
        <v>1</v>
      </c>
      <c r="BA157">
        <f>IF(OR($J157=1,COUNTIFS($A$5:$A156,"&gt;="&amp;$A157-1,$A$5:$A156,"&lt;="&amp;$A157,$B$5:$B156,$B157)&gt;0,MIN(1-'Exercise list'!U$2,IF($A157=$A156,BA156,1))-AF157&lt;0),-1,MIN(1,IF($A157=$A156,BA156,1)-AF157+$D$2))</f>
        <v>1</v>
      </c>
      <c r="BB157">
        <f>IF(OR($J157=1,COUNTIFS($A$5:$A156,"&gt;="&amp;$A157-1,$A$5:$A156,"&lt;="&amp;$A157,$B$5:$B156,$B157)&gt;0,MIN(1-'Exercise list'!V$2,IF($A157=$A156,BB156,1))-AG157&lt;0),-1,MIN(1,IF($A157=$A156,BB156,1)-AG157+$D$2))</f>
        <v>1</v>
      </c>
      <c r="BC157">
        <f>IF(OR($J157=1,COUNTIFS($A$5:$A156,"&gt;="&amp;$A157-1,$A$5:$A156,"&lt;="&amp;$A157,$B$5:$B156,$B157)&gt;0,MIN(1-'Exercise list'!W$2,IF($A157=$A156,BC156,1))-AH157&lt;0),-1,MIN(1,IF($A157=$A156,BC156,1)-AH157+$D$2))</f>
        <v>1</v>
      </c>
      <c r="BD157">
        <f>IF(OR($J157=1,COUNTIFS($A$5:$A156,"&gt;="&amp;$A157-1,$A$5:$A156,"&lt;="&amp;$A157,$B$5:$B156,$B157)&gt;0,MIN(1-'Exercise list'!X$2,IF($A157=$A156,BD156,1))-AI157&lt;0),-1,MIN(1,IF($A157=$A156,BD156,1)-AI157+$D$2))</f>
        <v>1</v>
      </c>
      <c r="BF157" s="16">
        <f t="shared" si="100"/>
        <v>0.18227031507442529</v>
      </c>
      <c r="BG157" s="16">
        <f t="shared" si="101"/>
        <v>0.21556325608869473</v>
      </c>
      <c r="BH157" s="16">
        <f t="shared" si="102"/>
        <v>0.15305295859899326</v>
      </c>
      <c r="BI157" s="16">
        <f t="shared" si="103"/>
        <v>0.13572121596408304</v>
      </c>
      <c r="BJ157" s="16">
        <f t="shared" si="104"/>
        <v>0.10235392816005862</v>
      </c>
      <c r="BK157" s="16">
        <f t="shared" si="105"/>
        <v>9.1857984185491681E-2</v>
      </c>
      <c r="BL157" s="16">
        <f t="shared" si="106"/>
        <v>0.19063395454079615</v>
      </c>
      <c r="BM157" s="16">
        <f t="shared" si="107"/>
        <v>4.786704629316298E-3</v>
      </c>
      <c r="BN157" s="16">
        <f t="shared" si="108"/>
        <v>0.11709800983222507</v>
      </c>
      <c r="BO157" s="16">
        <f t="shared" si="109"/>
        <v>0.26152089885121699</v>
      </c>
      <c r="BP157" s="16">
        <f t="shared" si="110"/>
        <v>0.30598500825993497</v>
      </c>
      <c r="BQ157" s="16">
        <f t="shared" si="111"/>
        <v>0.12277474778445177</v>
      </c>
      <c r="BR157" s="16">
        <f t="shared" si="112"/>
        <v>0.16162537438951999</v>
      </c>
      <c r="BS157" s="16">
        <f t="shared" si="113"/>
        <v>3.6590941063820111E-2</v>
      </c>
      <c r="BT157" s="16">
        <f t="shared" si="114"/>
        <v>0.16564686771867873</v>
      </c>
      <c r="BU157" s="16">
        <f t="shared" si="115"/>
        <v>0.14369057836447705</v>
      </c>
      <c r="BV157" s="16">
        <f t="shared" si="116"/>
        <v>0.17965918878807455</v>
      </c>
      <c r="BW157" s="16">
        <f t="shared" si="117"/>
        <v>9.2802253035832671E-2</v>
      </c>
      <c r="BX157" s="16">
        <f t="shared" si="118"/>
        <v>9.8643392775912664E-2</v>
      </c>
      <c r="BY157" s="16">
        <f t="shared" si="119"/>
        <v>7.2454500074459305E-2</v>
      </c>
      <c r="CA157" s="16">
        <f t="shared" si="141"/>
        <v>2.7709838864868302E-2</v>
      </c>
      <c r="CB157" s="16">
        <f t="shared" si="122"/>
        <v>0</v>
      </c>
      <c r="CC157" s="16">
        <f t="shared" si="123"/>
        <v>0</v>
      </c>
      <c r="CD157" s="16">
        <f t="shared" si="124"/>
        <v>0</v>
      </c>
      <c r="CE157" s="16">
        <f t="shared" si="125"/>
        <v>2.6361488095881791E-3</v>
      </c>
      <c r="CF157" s="16">
        <f t="shared" si="126"/>
        <v>0.22311224672344876</v>
      </c>
      <c r="CG157" s="16">
        <f t="shared" si="127"/>
        <v>0</v>
      </c>
      <c r="CH157" s="16">
        <f t="shared" si="128"/>
        <v>0.1002033723403305</v>
      </c>
      <c r="CI157" s="16">
        <f t="shared" si="129"/>
        <v>9.2882144107068521E-2</v>
      </c>
      <c r="CJ157" s="16">
        <f t="shared" si="130"/>
        <v>0</v>
      </c>
      <c r="CK157" s="16">
        <f t="shared" si="131"/>
        <v>0</v>
      </c>
      <c r="CL157" s="16">
        <f t="shared" si="132"/>
        <v>0</v>
      </c>
      <c r="CM157" s="16">
        <f t="shared" si="133"/>
        <v>4.8354779549773602E-2</v>
      </c>
      <c r="CN157" s="16">
        <f t="shared" si="134"/>
        <v>6.8399135905826691E-2</v>
      </c>
      <c r="CO157" s="16">
        <f t="shared" si="135"/>
        <v>0</v>
      </c>
      <c r="CP157" s="16">
        <f t="shared" si="136"/>
        <v>0</v>
      </c>
      <c r="CQ157" s="16">
        <f t="shared" si="137"/>
        <v>3.0320965151219043E-2</v>
      </c>
      <c r="CR157" s="16">
        <f t="shared" si="138"/>
        <v>1.2187823933814124E-2</v>
      </c>
      <c r="CS157" s="16">
        <f t="shared" si="139"/>
        <v>6.3466841937341312E-3</v>
      </c>
      <c r="CT157" s="16">
        <f t="shared" si="140"/>
        <v>3.253557689518749E-2</v>
      </c>
    </row>
    <row r="158" spans="1:99" x14ac:dyDescent="0.25">
      <c r="A158" s="20">
        <v>45094</v>
      </c>
      <c r="B158" s="21">
        <v>3</v>
      </c>
      <c r="C158" s="22" t="str" cm="1">
        <f t="array" ref="C158">IF(B158="","",INDEX('Exercise list'!$C$5:$C$102,B158))</f>
        <v>Rowing machine</v>
      </c>
      <c r="D158" s="17">
        <f t="shared" si="97"/>
        <v>1</v>
      </c>
      <c r="E158" s="108">
        <f t="shared" si="120"/>
        <v>16.950980004257751</v>
      </c>
      <c r="F158" s="65" cm="1">
        <f t="array" ref="F158">IF(B158="","",0.1+IFERROR(INDEX($F$6:$F157,SUMPRODUCT(MAX(ROW($C$6:$C157)*($C158=$C$6:$C157))-ROW($A$5)))*0.9^($A158-INDEX($A$6:A157,SUMPRODUCT(MAX(ROW($C$6:$C157)*($C158=$C$6:$C157))-ROW($A$5)))),0))</f>
        <v>0.1294555981879176</v>
      </c>
      <c r="G158" s="25">
        <f>INDEX('Exercise list'!$Y$5:$Y$102,MATCH(C158,'Exercise list'!$C$5:$C$102,0))</f>
        <v>3</v>
      </c>
      <c r="H158" s="116">
        <f t="shared" si="98"/>
        <v>6.2611916698349521E-2</v>
      </c>
      <c r="I158" s="18">
        <f t="shared" si="99"/>
        <v>5</v>
      </c>
      <c r="J158" s="18" cm="1">
        <f t="array" ref="J158">IF(B158="","",INDEX('Exercise list'!$D$5:$D$102,B158))</f>
        <v>0</v>
      </c>
      <c r="K158" s="17">
        <v>4</v>
      </c>
      <c r="L158" s="51" t="str" cm="1">
        <f t="array" ref="L158">IF(K158="","",INDEX('Exercise list'!$C$5:$C$102,K158))</f>
        <v>Stair climbing machine</v>
      </c>
      <c r="M158" s="18">
        <v>1</v>
      </c>
      <c r="N158" s="76" t="str" cm="1">
        <f t="array" ref="N158">IF(M158="","",INDEX('Exercise list'!$C$5:$C$102,M158))</f>
        <v>Cycling machine</v>
      </c>
      <c r="O158" s="19"/>
      <c r="P158" s="19">
        <f>IFERROR(INDEX('Exercise list'!$E$5:$X$102,MATCH($C158,'Exercise list'!$C$5:$C$102,0),MATCH(P$5,'Exercise list'!$E$4:$X$4,0)),0)</f>
        <v>0</v>
      </c>
      <c r="Q158" s="19">
        <f>IFERROR(INDEX('Exercise list'!$E$5:$X$102,MATCH($C158,'Exercise list'!$C$5:$C$102,0),MATCH(Q$5,'Exercise list'!$E$4:$X$4,0)),0)</f>
        <v>1</v>
      </c>
      <c r="R158" s="19">
        <f>IFERROR(INDEX('Exercise list'!$E$5:$X$102,MATCH($C158,'Exercise list'!$C$5:$C$102,0),MATCH(R$5,'Exercise list'!$E$4:$X$4,0)),0)</f>
        <v>0.7</v>
      </c>
      <c r="S158" s="19">
        <f>IFERROR(INDEX('Exercise list'!$E$5:$X$102,MATCH($C158,'Exercise list'!$C$5:$C$102,0),MATCH(S$5,'Exercise list'!$E$4:$X$4,0)),0)</f>
        <v>0.7</v>
      </c>
      <c r="T158" s="19">
        <f>IFERROR(INDEX('Exercise list'!$E$5:$X$102,MATCH($C158,'Exercise list'!$C$5:$C$102,0),MATCH(T$5,'Exercise list'!$E$4:$X$4,0)),0)</f>
        <v>0.7</v>
      </c>
      <c r="U158" s="19">
        <f>IFERROR(INDEX('Exercise list'!$E$5:$X$102,MATCH($C158,'Exercise list'!$C$5:$C$102,0),MATCH(U$5,'Exercise list'!$E$4:$X$4,0)),0)</f>
        <v>0</v>
      </c>
      <c r="V158" s="19">
        <f>IFERROR(INDEX('Exercise list'!$E$5:$X$102,MATCH($C158,'Exercise list'!$C$5:$C$102,0),MATCH(V$5,'Exercise list'!$E$4:$X$4,0)),0)</f>
        <v>0</v>
      </c>
      <c r="W158" s="19">
        <f>IFERROR(INDEX('Exercise list'!$E$5:$X$102,MATCH($C158,'Exercise list'!$C$5:$C$102,0),MATCH(W$5,'Exercise list'!$E$4:$X$4,0)),0)</f>
        <v>0</v>
      </c>
      <c r="X158" s="19">
        <f>IFERROR(INDEX('Exercise list'!$E$5:$X$102,MATCH($C158,'Exercise list'!$C$5:$C$102,0),MATCH(X$5,'Exercise list'!$E$4:$X$4,0)),0)</f>
        <v>0.5</v>
      </c>
      <c r="Y158" s="19">
        <f>IFERROR(INDEX('Exercise list'!$E$5:$X$102,MATCH($C158,'Exercise list'!$C$5:$C$102,0),MATCH(Y$5,'Exercise list'!$E$4:$X$4,0)),0)</f>
        <v>0</v>
      </c>
      <c r="Z158" s="19">
        <f>IFERROR(INDEX('Exercise list'!$E$5:$X$102,MATCH($C158,'Exercise list'!$C$5:$C$102,0),MATCH(Z$5,'Exercise list'!$E$4:$X$4,0)),0)</f>
        <v>0.7</v>
      </c>
      <c r="AA158" s="19">
        <f>IFERROR(INDEX('Exercise list'!$E$5:$X$102,MATCH($C158,'Exercise list'!$C$5:$C$102,0),MATCH(AA$5,'Exercise list'!$E$4:$X$4,0)),0)</f>
        <v>0</v>
      </c>
      <c r="AB158" s="19">
        <f>IFERROR(INDEX('Exercise list'!$E$5:$X$102,MATCH($C158,'Exercise list'!$C$5:$C$102,0),MATCH(AB$5,'Exercise list'!$E$4:$X$4,0)),0)</f>
        <v>0.5</v>
      </c>
      <c r="AC158" s="19">
        <f>IFERROR(INDEX('Exercise list'!$E$5:$X$102,MATCH($C158,'Exercise list'!$C$5:$C$102,0),MATCH(AC$5,'Exercise list'!$E$4:$X$4,0)),0)</f>
        <v>0</v>
      </c>
      <c r="AD158" s="19">
        <f>IFERROR(INDEX('Exercise list'!$E$5:$X$102,MATCH($C158,'Exercise list'!$C$5:$C$102,0),MATCH(AD$5,'Exercise list'!$E$4:$X$4,0)),0)</f>
        <v>0.7</v>
      </c>
      <c r="AE158" s="19">
        <f>IFERROR(INDEX('Exercise list'!$E$5:$X$102,MATCH($C158,'Exercise list'!$C$5:$C$102,0),MATCH(AE$5,'Exercise list'!$E$4:$X$4,0)),0)</f>
        <v>0.7</v>
      </c>
      <c r="AF158" s="19">
        <f>IFERROR(INDEX('Exercise list'!$E$5:$X$102,MATCH($C158,'Exercise list'!$C$5:$C$102,0),MATCH(AF$5,'Exercise list'!$E$4:$X$4,0)),0)</f>
        <v>0.9</v>
      </c>
      <c r="AG158" s="19">
        <f>IFERROR(INDEX('Exercise list'!$E$5:$X$102,MATCH($C158,'Exercise list'!$C$5:$C$102,0),MATCH(AG$5,'Exercise list'!$E$4:$X$4,0)),0)</f>
        <v>0</v>
      </c>
      <c r="AH158" s="19">
        <f>IFERROR(INDEX('Exercise list'!$E$5:$X$102,MATCH($C158,'Exercise list'!$C$5:$C$102,0),MATCH(AH$5,'Exercise list'!$E$4:$X$4,0)),0)</f>
        <v>0</v>
      </c>
      <c r="AI158" s="19">
        <f>IFERROR(INDEX('Exercise list'!$E$5:$X$102,MATCH($C158,'Exercise list'!$C$5:$C$102,0),MATCH(AI$5,'Exercise list'!$E$4:$X$4,0)),0)</f>
        <v>0</v>
      </c>
      <c r="AJ158" s="19"/>
      <c r="AK158" s="19">
        <f>IF(OR($J158=1,COUNTIFS($A$5:$A157,"&gt;="&amp;$A158-1,$A$5:$A157,"&lt;="&amp;$A158,$B$5:$B157,$B158)&gt;0,MIN(1-'Exercise list'!E$2,IF($A158=$A157,AK157,1))-P158&lt;0),-1,MIN(1,IF($A158=$A157,AK157,1)-P158+$D$2))</f>
        <v>1</v>
      </c>
      <c r="AL158" s="19">
        <f>IF(OR($J158=1,COUNTIFS($A$5:$A157,"&gt;="&amp;$A158-1,$A$5:$A157,"&lt;="&amp;$A158,$B$5:$B157,$B158)&gt;0,MIN(1-'Exercise list'!F$2,IF($A158=$A157,AL157,1))-Q158&lt;0),-1,MIN(1,IF($A158=$A157,AL157,1)-Q158+$D$2))</f>
        <v>1</v>
      </c>
      <c r="AM158" s="19">
        <f>IF(OR($J158=1,COUNTIFS($A$5:$A157,"&gt;="&amp;$A158-1,$A$5:$A157,"&lt;="&amp;$A158,$B$5:$B157,$B158)&gt;0,MIN(1-'Exercise list'!G$2,IF($A158=$A157,AM157,1))-R158&lt;0),-1,MIN(1,IF($A158=$A157,AM157,1)-R158+$D$2))</f>
        <v>1</v>
      </c>
      <c r="AN158" s="19">
        <f>IF(OR($J158=1,COUNTIFS($A$5:$A157,"&gt;="&amp;$A158-1,$A$5:$A157,"&lt;="&amp;$A158,$B$5:$B157,$B158)&gt;0,MIN(1-'Exercise list'!H$2,IF($A158=$A157,AN157,1))-S158&lt;0),-1,MIN(1,IF($A158=$A157,AN157,1)-S158+$D$2))</f>
        <v>1</v>
      </c>
      <c r="AO158" s="19">
        <f>IF(OR($J158=1,COUNTIFS($A$5:$A157,"&gt;="&amp;$A158-1,$A$5:$A157,"&lt;="&amp;$A158,$B$5:$B157,$B158)&gt;0,MIN(1-'Exercise list'!I$2,IF($A158=$A157,AO157,1))-T158&lt;0),-1,MIN(1,IF($A158=$A157,AO157,1)-T158+$D$2))</f>
        <v>1</v>
      </c>
      <c r="AP158" s="19">
        <f>IF(OR($J158=1,COUNTIFS($A$5:$A157,"&gt;="&amp;$A158-1,$A$5:$A157,"&lt;="&amp;$A158,$B$5:$B157,$B158)&gt;0,MIN(1-'Exercise list'!J$2,IF($A158=$A157,AP157,1))-U158&lt;0),-1,MIN(1,IF($A158=$A157,AP157,1)-U158+$D$2))</f>
        <v>1</v>
      </c>
      <c r="AQ158" s="19">
        <f>IF(OR($J158=1,COUNTIFS($A$5:$A157,"&gt;="&amp;$A158-1,$A$5:$A157,"&lt;="&amp;$A158,$B$5:$B157,$B158)&gt;0,MIN(1-'Exercise list'!K$2,IF($A158=$A157,AQ157,1))-V158&lt;0),-1,MIN(1,IF($A158=$A157,AQ157,1)-V158+$D$2))</f>
        <v>1</v>
      </c>
      <c r="AR158" s="19">
        <f>IF(OR($J158=1,COUNTIFS($A$5:$A157,"&gt;="&amp;$A158-1,$A$5:$A157,"&lt;="&amp;$A158,$B$5:$B157,$B158)&gt;0,MIN(1-'Exercise list'!L$2,IF($A158=$A157,AR157,1))-W158&lt;0),-1,MIN(1,IF($A158=$A157,AR157,1)-W158+$D$2))</f>
        <v>1</v>
      </c>
      <c r="AS158" s="19">
        <f>IF(OR($J158=1,COUNTIFS($A$5:$A157,"&gt;="&amp;$A158-1,$A$5:$A157,"&lt;="&amp;$A158,$B$5:$B157,$B158)&gt;0,MIN(1-'Exercise list'!M$2,IF($A158=$A157,AS157,1))-X158&lt;0),-1,MIN(1,IF($A158=$A157,AS157,1)-X158+$D$2))</f>
        <v>1</v>
      </c>
      <c r="AT158" s="19">
        <f>IF(OR($J158=1,COUNTIFS($A$5:$A157,"&gt;="&amp;$A158-1,$A$5:$A157,"&lt;="&amp;$A158,$B$5:$B157,$B158)&gt;0,MIN(1-'Exercise list'!N$2,IF($A158=$A157,AT157,1))-Y158&lt;0),-1,MIN(1,IF($A158=$A157,AT157,1)-Y158+$D$2))</f>
        <v>1</v>
      </c>
      <c r="AU158" s="19">
        <f>IF(OR($J158=1,COUNTIFS($A$5:$A157,"&gt;="&amp;$A158-1,$A$5:$A157,"&lt;="&amp;$A158,$B$5:$B157,$B158)&gt;0,MIN(1-'Exercise list'!O$2,IF($A158=$A157,AU157,1))-Z158&lt;0),-1,MIN(1,IF($A158=$A157,AU157,1)-Z158+$D$2))</f>
        <v>1</v>
      </c>
      <c r="AV158" s="19">
        <f>IF(OR($J158=1,COUNTIFS($A$5:$A157,"&gt;="&amp;$A158-1,$A$5:$A157,"&lt;="&amp;$A158,$B$5:$B157,$B158)&gt;0,MIN(1-'Exercise list'!P$2,IF($A158=$A157,AV157,1))-AA158&lt;0),-1,MIN(1,IF($A158=$A157,AV157,1)-AA158+$D$2))</f>
        <v>1</v>
      </c>
      <c r="AW158" s="19">
        <f>IF(OR($J158=1,COUNTIFS($A$5:$A157,"&gt;="&amp;$A158-1,$A$5:$A157,"&lt;="&amp;$A158,$B$5:$B157,$B158)&gt;0,MIN(1-'Exercise list'!Q$2,IF($A158=$A157,AW157,1))-AB158&lt;0),-1,MIN(1,IF($A158=$A157,AW157,1)-AB158+$D$2))</f>
        <v>1</v>
      </c>
      <c r="AX158" s="19">
        <f>IF(OR($J158=1,COUNTIFS($A$5:$A157,"&gt;="&amp;$A158-1,$A$5:$A157,"&lt;="&amp;$A158,$B$5:$B157,$B158)&gt;0,MIN(1-'Exercise list'!R$2,IF($A158=$A157,AX157,1))-AC158&lt;0),-1,MIN(1,IF($A158=$A157,AX157,1)-AC158+$D$2))</f>
        <v>1</v>
      </c>
      <c r="AY158" s="19">
        <f>IF(OR($J158=1,COUNTIFS($A$5:$A157,"&gt;="&amp;$A158-1,$A$5:$A157,"&lt;="&amp;$A158,$B$5:$B157,$B158)&gt;0,MIN(1-'Exercise list'!S$2,IF($A158=$A157,AY157,1))-AD158&lt;0),-1,MIN(1,IF($A158=$A157,AY157,1)-AD158+$D$2))</f>
        <v>1</v>
      </c>
      <c r="AZ158" s="19">
        <f>IF(OR($J158=1,COUNTIFS($A$5:$A157,"&gt;="&amp;$A158-1,$A$5:$A157,"&lt;="&amp;$A158,$B$5:$B157,$B158)&gt;0,MIN(1-'Exercise list'!T$2,IF($A158=$A157,AZ157,1))-AE158&lt;0),-1,MIN(1,IF($A158=$A157,AZ157,1)-AE158+$D$2))</f>
        <v>1</v>
      </c>
      <c r="BA158" s="19">
        <f>IF(OR($J158=1,COUNTIFS($A$5:$A157,"&gt;="&amp;$A158-1,$A$5:$A157,"&lt;="&amp;$A158,$B$5:$B157,$B158)&gt;0,MIN(1-'Exercise list'!U$2,IF($A158=$A157,BA157,1))-AF158&lt;0),-1,MIN(1,IF($A158=$A157,BA157,1)-AF158+$D$2))</f>
        <v>1</v>
      </c>
      <c r="BB158" s="19">
        <f>IF(OR($J158=1,COUNTIFS($A$5:$A157,"&gt;="&amp;$A158-1,$A$5:$A157,"&lt;="&amp;$A158,$B$5:$B157,$B158)&gt;0,MIN(1-'Exercise list'!V$2,IF($A158=$A157,BB157,1))-AG158&lt;0),-1,MIN(1,IF($A158=$A157,BB157,1)-AG158+$D$2))</f>
        <v>1</v>
      </c>
      <c r="BC158" s="19">
        <f>IF(OR($J158=1,COUNTIFS($A$5:$A157,"&gt;="&amp;$A158-1,$A$5:$A157,"&lt;="&amp;$A158,$B$5:$B157,$B158)&gt;0,MIN(1-'Exercise list'!W$2,IF($A158=$A157,BC157,1))-AH158&lt;0),-1,MIN(1,IF($A158=$A157,BC157,1)-AH158+$D$2))</f>
        <v>1</v>
      </c>
      <c r="BD158" s="19">
        <f>IF(OR($J158=1,COUNTIFS($A$5:$A157,"&gt;="&amp;$A158-1,$A$5:$A157,"&lt;="&amp;$A158,$B$5:$B157,$B158)&gt;0,MIN(1-'Exercise list'!X$2,IF($A158=$A157,BD157,1))-AI158&lt;0),-1,MIN(1,IF($A158=$A157,BD157,1)-AI158+$D$2))</f>
        <v>1</v>
      </c>
      <c r="BE158" s="19"/>
      <c r="BF158" s="23">
        <f t="shared" si="100"/>
        <v>0.18227031507442529</v>
      </c>
      <c r="BG158" s="23">
        <f t="shared" si="101"/>
        <v>0.21556325608869473</v>
      </c>
      <c r="BH158" s="23">
        <f t="shared" si="102"/>
        <v>0.15305295859899326</v>
      </c>
      <c r="BI158" s="23">
        <f t="shared" si="103"/>
        <v>0.13572121596408304</v>
      </c>
      <c r="BJ158" s="23">
        <f t="shared" si="104"/>
        <v>0.10235392816005862</v>
      </c>
      <c r="BK158" s="23">
        <f t="shared" si="105"/>
        <v>9.1857984185491681E-2</v>
      </c>
      <c r="BL158" s="23">
        <f t="shared" si="106"/>
        <v>0.19063395454079615</v>
      </c>
      <c r="BM158" s="23">
        <f t="shared" si="107"/>
        <v>4.786704629316298E-3</v>
      </c>
      <c r="BN158" s="23">
        <f t="shared" si="108"/>
        <v>0.11709800983222507</v>
      </c>
      <c r="BO158" s="23">
        <f t="shared" si="109"/>
        <v>0.26152089885121699</v>
      </c>
      <c r="BP158" s="23">
        <f t="shared" si="110"/>
        <v>0.30598500825993497</v>
      </c>
      <c r="BQ158" s="23">
        <f t="shared" si="111"/>
        <v>0.12277474778445177</v>
      </c>
      <c r="BR158" s="23">
        <f t="shared" si="112"/>
        <v>0.16162537438951999</v>
      </c>
      <c r="BS158" s="23">
        <f t="shared" si="113"/>
        <v>3.6590941063820111E-2</v>
      </c>
      <c r="BT158" s="23">
        <f t="shared" si="114"/>
        <v>0.16564686771867873</v>
      </c>
      <c r="BU158" s="23">
        <f t="shared" si="115"/>
        <v>0.14369057836447705</v>
      </c>
      <c r="BV158" s="23">
        <f t="shared" si="116"/>
        <v>0.17965918878807455</v>
      </c>
      <c r="BW158" s="23">
        <f t="shared" si="117"/>
        <v>9.2802253035832671E-2</v>
      </c>
      <c r="BX158" s="23">
        <f t="shared" si="118"/>
        <v>9.8643392775912664E-2</v>
      </c>
      <c r="BY158" s="23">
        <f t="shared" si="119"/>
        <v>7.2454500074459305E-2</v>
      </c>
      <c r="BZ158" s="19"/>
      <c r="CA158" s="23">
        <f t="shared" si="141"/>
        <v>2.7709838864868302E-2</v>
      </c>
      <c r="CB158" s="23">
        <f t="shared" si="122"/>
        <v>0</v>
      </c>
      <c r="CC158" s="23">
        <f t="shared" si="123"/>
        <v>0</v>
      </c>
      <c r="CD158" s="23">
        <f t="shared" si="124"/>
        <v>0</v>
      </c>
      <c r="CE158" s="23">
        <f t="shared" si="125"/>
        <v>2.6361488095881791E-3</v>
      </c>
      <c r="CF158" s="23">
        <f t="shared" si="126"/>
        <v>0.22311224672344876</v>
      </c>
      <c r="CG158" s="23">
        <f t="shared" si="127"/>
        <v>0</v>
      </c>
      <c r="CH158" s="23">
        <f t="shared" si="128"/>
        <v>0.1002033723403305</v>
      </c>
      <c r="CI158" s="23">
        <f t="shared" si="129"/>
        <v>9.2882144107068521E-2</v>
      </c>
      <c r="CJ158" s="23">
        <f t="shared" si="130"/>
        <v>0</v>
      </c>
      <c r="CK158" s="23">
        <f t="shared" si="131"/>
        <v>0</v>
      </c>
      <c r="CL158" s="23">
        <f t="shared" si="132"/>
        <v>0</v>
      </c>
      <c r="CM158" s="23">
        <f t="shared" si="133"/>
        <v>4.8354779549773602E-2</v>
      </c>
      <c r="CN158" s="23">
        <f t="shared" si="134"/>
        <v>6.8399135905826691E-2</v>
      </c>
      <c r="CO158" s="23">
        <f t="shared" si="135"/>
        <v>0</v>
      </c>
      <c r="CP158" s="23">
        <f t="shared" si="136"/>
        <v>0</v>
      </c>
      <c r="CQ158" s="23">
        <f t="shared" si="137"/>
        <v>3.0320965151219043E-2</v>
      </c>
      <c r="CR158" s="23">
        <f t="shared" si="138"/>
        <v>1.2187823933814124E-2</v>
      </c>
      <c r="CS158" s="23">
        <f t="shared" si="139"/>
        <v>6.3466841937341312E-3</v>
      </c>
      <c r="CT158" s="23">
        <f t="shared" si="140"/>
        <v>3.253557689518749E-2</v>
      </c>
      <c r="CU158" s="19"/>
    </row>
    <row r="159" spans="1:99" x14ac:dyDescent="0.25">
      <c r="A159" s="13">
        <v>45096</v>
      </c>
      <c r="B159" s="14">
        <v>16</v>
      </c>
      <c r="C159" s="15" t="str" cm="1">
        <f t="array" ref="C159">IF(B159="","",INDEX('Exercise list'!$C$5:$C$102,B159))</f>
        <v>Pull-ups</v>
      </c>
      <c r="D159" s="12">
        <f t="shared" si="97"/>
        <v>1</v>
      </c>
      <c r="E159" s="107">
        <f t="shared" si="120"/>
        <v>0</v>
      </c>
      <c r="F159" s="63" cm="1">
        <f t="array" ref="F159">IF(B159="","",0.1+IFERROR(INDEX($F$6:$F158,SUMPRODUCT(MAX(ROW($C$6:$C158)*($C159=$C$6:$C158))-ROW($A$5)))*0.9^($A159-INDEX($A$6:A158,SUMPRODUCT(MAX(ROW($C$6:$C158)*($C159=$C$6:$C158))-ROW($A$5)))),0))</f>
        <v>0.20213386252805951</v>
      </c>
      <c r="G159" s="64">
        <f>INDEX('Exercise list'!$Y$5:$Y$102,MATCH(C159,'Exercise list'!$C$5:$C$102,0))</f>
        <v>3</v>
      </c>
      <c r="H159" s="115">
        <f t="shared" si="98"/>
        <v>6.5320715443160621E-2</v>
      </c>
      <c r="I159" s="42">
        <f t="shared" si="99"/>
        <v>1</v>
      </c>
      <c r="J159" s="6" cm="1">
        <f t="array" ref="J159">IF(B159="","",INDEX('Exercise list'!$D$5:$D$102,B159))</f>
        <v>0</v>
      </c>
      <c r="K159" s="12">
        <v>48</v>
      </c>
      <c r="L159" s="74" t="str" cm="1">
        <f t="array" ref="L159">IF(K159="","",INDEX('Exercise list'!$C$5:$C$102,K159))</f>
        <v>Barbell overhead presses</v>
      </c>
      <c r="M159" s="6">
        <v>25</v>
      </c>
      <c r="N159" s="75" t="str" cm="1">
        <f t="array" ref="N159">IF(M159="","",INDEX('Exercise list'!$C$5:$C$102,M159))</f>
        <v>Dumbbell decline bench presses</v>
      </c>
      <c r="P159">
        <f>IFERROR(INDEX('Exercise list'!$E$5:$X$102,MATCH($C159,'Exercise list'!$C$5:$C$102,0),MATCH(P$5,'Exercise list'!$E$4:$X$4,0)),0)</f>
        <v>0</v>
      </c>
      <c r="Q159">
        <f>IFERROR(INDEX('Exercise list'!$E$5:$X$102,MATCH($C159,'Exercise list'!$C$5:$C$102,0),MATCH(Q$5,'Exercise list'!$E$4:$X$4,0)),0)</f>
        <v>1</v>
      </c>
      <c r="R159">
        <f>IFERROR(INDEX('Exercise list'!$E$5:$X$102,MATCH($C159,'Exercise list'!$C$5:$C$102,0),MATCH(R$5,'Exercise list'!$E$4:$X$4,0)),0)</f>
        <v>0.5</v>
      </c>
      <c r="S159">
        <f>IFERROR(INDEX('Exercise list'!$E$5:$X$102,MATCH($C159,'Exercise list'!$C$5:$C$102,0),MATCH(S$5,'Exercise list'!$E$4:$X$4,0)),0)</f>
        <v>0.5</v>
      </c>
      <c r="T159">
        <f>IFERROR(INDEX('Exercise list'!$E$5:$X$102,MATCH($C159,'Exercise list'!$C$5:$C$102,0),MATCH(T$5,'Exercise list'!$E$4:$X$4,0)),0)</f>
        <v>0</v>
      </c>
      <c r="U159">
        <f>IFERROR(INDEX('Exercise list'!$E$5:$X$102,MATCH($C159,'Exercise list'!$C$5:$C$102,0),MATCH(U$5,'Exercise list'!$E$4:$X$4,0)),0)</f>
        <v>0</v>
      </c>
      <c r="V159">
        <f>IFERROR(INDEX('Exercise list'!$E$5:$X$102,MATCH($C159,'Exercise list'!$C$5:$C$102,0),MATCH(V$5,'Exercise list'!$E$4:$X$4,0)),0)</f>
        <v>0</v>
      </c>
      <c r="W159">
        <f>IFERROR(INDEX('Exercise list'!$E$5:$X$102,MATCH($C159,'Exercise list'!$C$5:$C$102,0),MATCH(W$5,'Exercise list'!$E$4:$X$4,0)),0)</f>
        <v>0</v>
      </c>
      <c r="X159">
        <f>IFERROR(INDEX('Exercise list'!$E$5:$X$102,MATCH($C159,'Exercise list'!$C$5:$C$102,0),MATCH(X$5,'Exercise list'!$E$4:$X$4,0)),0)</f>
        <v>0</v>
      </c>
      <c r="Y159">
        <f>IFERROR(INDEX('Exercise list'!$E$5:$X$102,MATCH($C159,'Exercise list'!$C$5:$C$102,0),MATCH(Y$5,'Exercise list'!$E$4:$X$4,0)),0)</f>
        <v>0</v>
      </c>
      <c r="Z159">
        <f>IFERROR(INDEX('Exercise list'!$E$5:$X$102,MATCH($C159,'Exercise list'!$C$5:$C$102,0),MATCH(Z$5,'Exercise list'!$E$4:$X$4,0)),0)</f>
        <v>1</v>
      </c>
      <c r="AA159">
        <f>IFERROR(INDEX('Exercise list'!$E$5:$X$102,MATCH($C159,'Exercise list'!$C$5:$C$102,0),MATCH(AA$5,'Exercise list'!$E$4:$X$4,0)),0)</f>
        <v>0</v>
      </c>
      <c r="AB159">
        <f>IFERROR(INDEX('Exercise list'!$E$5:$X$102,MATCH($C159,'Exercise list'!$C$5:$C$102,0),MATCH(AB$5,'Exercise list'!$E$4:$X$4,0)),0)</f>
        <v>0</v>
      </c>
      <c r="AC159">
        <f>IFERROR(INDEX('Exercise list'!$E$5:$X$102,MATCH($C159,'Exercise list'!$C$5:$C$102,0),MATCH(AC$5,'Exercise list'!$E$4:$X$4,0)),0)</f>
        <v>0</v>
      </c>
      <c r="AD159">
        <f>IFERROR(INDEX('Exercise list'!$E$5:$X$102,MATCH($C159,'Exercise list'!$C$5:$C$102,0),MATCH(AD$5,'Exercise list'!$E$4:$X$4,0)),0)</f>
        <v>0</v>
      </c>
      <c r="AE159">
        <f>IFERROR(INDEX('Exercise list'!$E$5:$X$102,MATCH($C159,'Exercise list'!$C$5:$C$102,0),MATCH(AE$5,'Exercise list'!$E$4:$X$4,0)),0)</f>
        <v>0</v>
      </c>
      <c r="AF159">
        <f>IFERROR(INDEX('Exercise list'!$E$5:$X$102,MATCH($C159,'Exercise list'!$C$5:$C$102,0),MATCH(AF$5,'Exercise list'!$E$4:$X$4,0)),0)</f>
        <v>0</v>
      </c>
      <c r="AG159">
        <f>IFERROR(INDEX('Exercise list'!$E$5:$X$102,MATCH($C159,'Exercise list'!$C$5:$C$102,0),MATCH(AG$5,'Exercise list'!$E$4:$X$4,0)),0)</f>
        <v>0</v>
      </c>
      <c r="AH159">
        <f>IFERROR(INDEX('Exercise list'!$E$5:$X$102,MATCH($C159,'Exercise list'!$C$5:$C$102,0),MATCH(AH$5,'Exercise list'!$E$4:$X$4,0)),0)</f>
        <v>0</v>
      </c>
      <c r="AI159">
        <f>IFERROR(INDEX('Exercise list'!$E$5:$X$102,MATCH($C159,'Exercise list'!$C$5:$C$102,0),MATCH(AI$5,'Exercise list'!$E$4:$X$4,0)),0)</f>
        <v>0</v>
      </c>
      <c r="AK159">
        <f>IF(OR($J159=1,COUNTIFS($A$5:$A158,"&gt;="&amp;$A159-1,$A$5:$A158,"&lt;="&amp;$A159,$B$5:$B158,$B159)&gt;0,MIN(1-'Exercise list'!E$2,IF($A159=$A158,AK158,1))-P159&lt;0),-1,MIN(1,IF($A159=$A158,AK158,1)-P159+$D$2))</f>
        <v>1</v>
      </c>
      <c r="AL159">
        <f>IF(OR($J159=1,COUNTIFS($A$5:$A158,"&gt;="&amp;$A159-1,$A$5:$A158,"&lt;="&amp;$A159,$B$5:$B158,$B159)&gt;0,MIN(1-'Exercise list'!F$2,IF($A159=$A158,AL158,1))-Q159&lt;0),-1,MIN(1,IF($A159=$A158,AL158,1)-Q159+$D$2))</f>
        <v>1</v>
      </c>
      <c r="AM159">
        <f>IF(OR($J159=1,COUNTIFS($A$5:$A158,"&gt;="&amp;$A159-1,$A$5:$A158,"&lt;="&amp;$A159,$B$5:$B158,$B159)&gt;0,MIN(1-'Exercise list'!G$2,IF($A159=$A158,AM158,1))-R159&lt;0),-1,MIN(1,IF($A159=$A158,AM158,1)-R159+$D$2))</f>
        <v>1</v>
      </c>
      <c r="AN159">
        <f>IF(OR($J159=1,COUNTIFS($A$5:$A158,"&gt;="&amp;$A159-1,$A$5:$A158,"&lt;="&amp;$A159,$B$5:$B158,$B159)&gt;0,MIN(1-'Exercise list'!H$2,IF($A159=$A158,AN158,1))-S159&lt;0),-1,MIN(1,IF($A159=$A158,AN158,1)-S159+$D$2))</f>
        <v>1</v>
      </c>
      <c r="AO159">
        <f>IF(OR($J159=1,COUNTIFS($A$5:$A158,"&gt;="&amp;$A159-1,$A$5:$A158,"&lt;="&amp;$A159,$B$5:$B158,$B159)&gt;0,MIN(1-'Exercise list'!I$2,IF($A159=$A158,AO158,1))-T159&lt;0),-1,MIN(1,IF($A159=$A158,AO158,1)-T159+$D$2))</f>
        <v>1</v>
      </c>
      <c r="AP159">
        <f>IF(OR($J159=1,COUNTIFS($A$5:$A158,"&gt;="&amp;$A159-1,$A$5:$A158,"&lt;="&amp;$A159,$B$5:$B158,$B159)&gt;0,MIN(1-'Exercise list'!J$2,IF($A159=$A158,AP158,1))-U159&lt;0),-1,MIN(1,IF($A159=$A158,AP158,1)-U159+$D$2))</f>
        <v>1</v>
      </c>
      <c r="AQ159">
        <f>IF(OR($J159=1,COUNTIFS($A$5:$A158,"&gt;="&amp;$A159-1,$A$5:$A158,"&lt;="&amp;$A159,$B$5:$B158,$B159)&gt;0,MIN(1-'Exercise list'!K$2,IF($A159=$A158,AQ158,1))-V159&lt;0),-1,MIN(1,IF($A159=$A158,AQ158,1)-V159+$D$2))</f>
        <v>1</v>
      </c>
      <c r="AR159">
        <f>IF(OR($J159=1,COUNTIFS($A$5:$A158,"&gt;="&amp;$A159-1,$A$5:$A158,"&lt;="&amp;$A159,$B$5:$B158,$B159)&gt;0,MIN(1-'Exercise list'!L$2,IF($A159=$A158,AR158,1))-W159&lt;0),-1,MIN(1,IF($A159=$A158,AR158,1)-W159+$D$2))</f>
        <v>1</v>
      </c>
      <c r="AS159">
        <f>IF(OR($J159=1,COUNTIFS($A$5:$A158,"&gt;="&amp;$A159-1,$A$5:$A158,"&lt;="&amp;$A159,$B$5:$B158,$B159)&gt;0,MIN(1-'Exercise list'!M$2,IF($A159=$A158,AS158,1))-X159&lt;0),-1,MIN(1,IF($A159=$A158,AS158,1)-X159+$D$2))</f>
        <v>1</v>
      </c>
      <c r="AT159">
        <f>IF(OR($J159=1,COUNTIFS($A$5:$A158,"&gt;="&amp;$A159-1,$A$5:$A158,"&lt;="&amp;$A159,$B$5:$B158,$B159)&gt;0,MIN(1-'Exercise list'!N$2,IF($A159=$A158,AT158,1))-Y159&lt;0),-1,MIN(1,IF($A159=$A158,AT158,1)-Y159+$D$2))</f>
        <v>1</v>
      </c>
      <c r="AU159">
        <f>IF(OR($J159=1,COUNTIFS($A$5:$A158,"&gt;="&amp;$A159-1,$A$5:$A158,"&lt;="&amp;$A159,$B$5:$B158,$B159)&gt;0,MIN(1-'Exercise list'!O$2,IF($A159=$A158,AU158,1))-Z159&lt;0),-1,MIN(1,IF($A159=$A158,AU158,1)-Z159+$D$2))</f>
        <v>1</v>
      </c>
      <c r="AV159">
        <f>IF(OR($J159=1,COUNTIFS($A$5:$A158,"&gt;="&amp;$A159-1,$A$5:$A158,"&lt;="&amp;$A159,$B$5:$B158,$B159)&gt;0,MIN(1-'Exercise list'!P$2,IF($A159=$A158,AV158,1))-AA159&lt;0),-1,MIN(1,IF($A159=$A158,AV158,1)-AA159+$D$2))</f>
        <v>1</v>
      </c>
      <c r="AW159">
        <f>IF(OR($J159=1,COUNTIFS($A$5:$A158,"&gt;="&amp;$A159-1,$A$5:$A158,"&lt;="&amp;$A159,$B$5:$B158,$B159)&gt;0,MIN(1-'Exercise list'!Q$2,IF($A159=$A158,AW158,1))-AB159&lt;0),-1,MIN(1,IF($A159=$A158,AW158,1)-AB159+$D$2))</f>
        <v>1</v>
      </c>
      <c r="AX159">
        <f>IF(OR($J159=1,COUNTIFS($A$5:$A158,"&gt;="&amp;$A159-1,$A$5:$A158,"&lt;="&amp;$A159,$B$5:$B158,$B159)&gt;0,MIN(1-'Exercise list'!R$2,IF($A159=$A158,AX158,1))-AC159&lt;0),-1,MIN(1,IF($A159=$A158,AX158,1)-AC159+$D$2))</f>
        <v>1</v>
      </c>
      <c r="AY159">
        <f>IF(OR($J159=1,COUNTIFS($A$5:$A158,"&gt;="&amp;$A159-1,$A$5:$A158,"&lt;="&amp;$A159,$B$5:$B158,$B159)&gt;0,MIN(1-'Exercise list'!S$2,IF($A159=$A158,AY158,1))-AD159&lt;0),-1,MIN(1,IF($A159=$A158,AY158,1)-AD159+$D$2))</f>
        <v>1</v>
      </c>
      <c r="AZ159">
        <f>IF(OR($J159=1,COUNTIFS($A$5:$A158,"&gt;="&amp;$A159-1,$A$5:$A158,"&lt;="&amp;$A159,$B$5:$B158,$B159)&gt;0,MIN(1-'Exercise list'!T$2,IF($A159=$A158,AZ158,1))-AE159&lt;0),-1,MIN(1,IF($A159=$A158,AZ158,1)-AE159+$D$2))</f>
        <v>1</v>
      </c>
      <c r="BA159">
        <f>IF(OR($J159=1,COUNTIFS($A$5:$A158,"&gt;="&amp;$A159-1,$A$5:$A158,"&lt;="&amp;$A159,$B$5:$B158,$B159)&gt;0,MIN(1-'Exercise list'!U$2,IF($A159=$A158,BA158,1))-AF159&lt;0),-1,MIN(1,IF($A159=$A158,BA158,1)-AF159+$D$2))</f>
        <v>1</v>
      </c>
      <c r="BB159">
        <f>IF(OR($J159=1,COUNTIFS($A$5:$A158,"&gt;="&amp;$A159-1,$A$5:$A158,"&lt;="&amp;$A159,$B$5:$B158,$B159)&gt;0,MIN(1-'Exercise list'!V$2,IF($A159=$A158,BB158,1))-AG159&lt;0),-1,MIN(1,IF($A159=$A158,BB158,1)-AG159+$D$2))</f>
        <v>1</v>
      </c>
      <c r="BC159">
        <f>IF(OR($J159=1,COUNTIFS($A$5:$A158,"&gt;="&amp;$A159-1,$A$5:$A158,"&lt;="&amp;$A159,$B$5:$B158,$B159)&gt;0,MIN(1-'Exercise list'!W$2,IF($A159=$A158,BC158,1))-AH159&lt;0),-1,MIN(1,IF($A159=$A158,BC158,1)-AH159+$D$2))</f>
        <v>1</v>
      </c>
      <c r="BD159">
        <f>IF(OR($J159=1,COUNTIFS($A$5:$A158,"&gt;="&amp;$A159-1,$A$5:$A158,"&lt;="&amp;$A159,$B$5:$B158,$B159)&gt;0,MIN(1-'Exercise list'!X$2,IF($A159=$A158,BD158,1))-AI159&lt;0),-1,MIN(1,IF($A159=$A158,BD158,1)-AI159+$D$2))</f>
        <v>1</v>
      </c>
      <c r="BF159" s="16">
        <f t="shared" si="100"/>
        <v>0.17315679932070402</v>
      </c>
      <c r="BG159" s="16">
        <f t="shared" si="101"/>
        <v>0.25478509328425997</v>
      </c>
      <c r="BH159" s="16">
        <f t="shared" si="102"/>
        <v>0.1704003106690436</v>
      </c>
      <c r="BI159" s="16">
        <f t="shared" si="103"/>
        <v>0.15393515516587888</v>
      </c>
      <c r="BJ159" s="16">
        <f t="shared" si="104"/>
        <v>9.7236231752055674E-2</v>
      </c>
      <c r="BK159" s="16">
        <f t="shared" si="105"/>
        <v>8.72650849762171E-2</v>
      </c>
      <c r="BL159" s="16">
        <f t="shared" si="106"/>
        <v>0.18110225681375633</v>
      </c>
      <c r="BM159" s="16">
        <f t="shared" si="107"/>
        <v>4.5473693978504825E-3</v>
      </c>
      <c r="BN159" s="16">
        <f t="shared" si="108"/>
        <v>0.11124310934061381</v>
      </c>
      <c r="BO159" s="16">
        <f t="shared" si="109"/>
        <v>0.24844485390865612</v>
      </c>
      <c r="BP159" s="16">
        <f t="shared" si="110"/>
        <v>0.34068575784693822</v>
      </c>
      <c r="BQ159" s="16">
        <f t="shared" si="111"/>
        <v>0.11663601039522918</v>
      </c>
      <c r="BR159" s="16">
        <f t="shared" si="112"/>
        <v>0.15354410567004398</v>
      </c>
      <c r="BS159" s="16">
        <f t="shared" si="113"/>
        <v>3.4761394010629103E-2</v>
      </c>
      <c r="BT159" s="16">
        <f t="shared" si="114"/>
        <v>0.15736452433274478</v>
      </c>
      <c r="BU159" s="16">
        <f t="shared" si="115"/>
        <v>0.13650604944625319</v>
      </c>
      <c r="BV159" s="16">
        <f t="shared" si="116"/>
        <v>0.1706762293486708</v>
      </c>
      <c r="BW159" s="16">
        <f t="shared" si="117"/>
        <v>8.8162140384041035E-2</v>
      </c>
      <c r="BX159" s="16">
        <f t="shared" si="118"/>
        <v>9.3711223137117022E-2</v>
      </c>
      <c r="BY159" s="16">
        <f t="shared" si="119"/>
        <v>6.8831775070736331E-2</v>
      </c>
      <c r="CA159" s="16">
        <f t="shared" si="141"/>
        <v>3.7435458032735958E-2</v>
      </c>
      <c r="CB159" s="16">
        <f t="shared" si="122"/>
        <v>0</v>
      </c>
      <c r="CC159" s="16">
        <f t="shared" si="123"/>
        <v>0</v>
      </c>
      <c r="CD159" s="16">
        <f t="shared" si="124"/>
        <v>0</v>
      </c>
      <c r="CE159" s="16">
        <f t="shared" si="125"/>
        <v>8.0598969246643143E-3</v>
      </c>
      <c r="CF159" s="16">
        <f t="shared" si="126"/>
        <v>0.22862330105394285</v>
      </c>
      <c r="CG159" s="16">
        <f t="shared" si="127"/>
        <v>0</v>
      </c>
      <c r="CH159" s="16">
        <f t="shared" si="128"/>
        <v>0.1007487592788695</v>
      </c>
      <c r="CI159" s="16">
        <f t="shared" si="129"/>
        <v>9.9349148012826169E-2</v>
      </c>
      <c r="CJ159" s="16">
        <f t="shared" si="130"/>
        <v>0</v>
      </c>
      <c r="CK159" s="16">
        <f t="shared" si="131"/>
        <v>0</v>
      </c>
      <c r="CL159" s="16">
        <f t="shared" si="132"/>
        <v>0</v>
      </c>
      <c r="CM159" s="16">
        <f t="shared" si="133"/>
        <v>5.7048151683395998E-2</v>
      </c>
      <c r="CN159" s="16">
        <f t="shared" si="134"/>
        <v>7.0534734666090892E-2</v>
      </c>
      <c r="CO159" s="16">
        <f t="shared" si="135"/>
        <v>0</v>
      </c>
      <c r="CP159" s="16">
        <f t="shared" si="136"/>
        <v>0</v>
      </c>
      <c r="CQ159" s="16">
        <f t="shared" si="137"/>
        <v>3.9916028004769177E-2</v>
      </c>
      <c r="CR159" s="16">
        <f t="shared" si="138"/>
        <v>1.7133988292678953E-2</v>
      </c>
      <c r="CS159" s="16">
        <f t="shared" si="139"/>
        <v>1.1584905539602966E-2</v>
      </c>
      <c r="CT159" s="16">
        <f t="shared" si="140"/>
        <v>3.6464353605983657E-2</v>
      </c>
    </row>
    <row r="160" spans="1:99" x14ac:dyDescent="0.25">
      <c r="A160" s="13">
        <v>45096</v>
      </c>
      <c r="B160" s="14">
        <v>48</v>
      </c>
      <c r="C160" s="15" t="str" cm="1">
        <f t="array" ref="C160">IF(B160="","",INDEX('Exercise list'!$C$5:$C$102,B160))</f>
        <v>Barbell overhead presses</v>
      </c>
      <c r="D160" s="12">
        <f t="shared" si="97"/>
        <v>1</v>
      </c>
      <c r="E160" s="107">
        <f t="shared" si="120"/>
        <v>0</v>
      </c>
      <c r="F160" s="63" cm="1">
        <f t="array" ref="F160">IF(B160="","",0.1+IFERROR(INDEX($F$6:$F159,SUMPRODUCT(MAX(ROW($C$6:$C159)*($C160=$C$6:$C159))-ROW($A$5)))*0.9^($A160-INDEX($A$6:A159,SUMPRODUCT(MAX(ROW($C$6:$C159)*($C160=$C$6:$C159))-ROW($A$5)))),0))</f>
        <v>0.25647348207884224</v>
      </c>
      <c r="G160" s="64">
        <f>INDEX('Exercise list'!$Y$5:$Y$102,MATCH(C160,'Exercise list'!$C$5:$C$102,0))</f>
        <v>3</v>
      </c>
      <c r="H160" s="115">
        <f t="shared" si="98"/>
        <v>6.0834915522680125E-2</v>
      </c>
      <c r="I160" s="6">
        <f t="shared" si="99"/>
        <v>2</v>
      </c>
      <c r="J160" s="6" cm="1">
        <f t="array" ref="J160">IF(B160="","",INDEX('Exercise list'!$D$5:$D$102,B160))</f>
        <v>0</v>
      </c>
      <c r="K160" s="12">
        <v>25</v>
      </c>
      <c r="L160" s="74" t="str" cm="1">
        <f t="array" ref="L160">IF(K160="","",INDEX('Exercise list'!$C$5:$C$102,K160))</f>
        <v>Dumbbell decline bench presses</v>
      </c>
      <c r="M160" s="6">
        <v>18</v>
      </c>
      <c r="N160" s="75" t="str" cm="1">
        <f t="array" ref="N160">IF(M160="","",INDEX('Exercise list'!$C$5:$C$102,M160))</f>
        <v>Dumbbell curls</v>
      </c>
      <c r="P160">
        <f>IFERROR(INDEX('Exercise list'!$E$5:$X$102,MATCH($C160,'Exercise list'!$C$5:$C$102,0),MATCH(P$5,'Exercise list'!$E$4:$X$4,0)),0)</f>
        <v>0</v>
      </c>
      <c r="Q160">
        <f>IFERROR(INDEX('Exercise list'!$E$5:$X$102,MATCH($C160,'Exercise list'!$C$5:$C$102,0),MATCH(Q$5,'Exercise list'!$E$4:$X$4,0)),0)</f>
        <v>0</v>
      </c>
      <c r="R160">
        <f>IFERROR(INDEX('Exercise list'!$E$5:$X$102,MATCH($C160,'Exercise list'!$C$5:$C$102,0),MATCH(R$5,'Exercise list'!$E$4:$X$4,0)),0)</f>
        <v>0</v>
      </c>
      <c r="S160">
        <f>IFERROR(INDEX('Exercise list'!$E$5:$X$102,MATCH($C160,'Exercise list'!$C$5:$C$102,0),MATCH(S$5,'Exercise list'!$E$4:$X$4,0)),0)</f>
        <v>0</v>
      </c>
      <c r="T160">
        <f>IFERROR(INDEX('Exercise list'!$E$5:$X$102,MATCH($C160,'Exercise list'!$C$5:$C$102,0),MATCH(T$5,'Exercise list'!$E$4:$X$4,0)),0)</f>
        <v>0</v>
      </c>
      <c r="U160">
        <f>IFERROR(INDEX('Exercise list'!$E$5:$X$102,MATCH($C160,'Exercise list'!$C$5:$C$102,0),MATCH(U$5,'Exercise list'!$E$4:$X$4,0)),0)</f>
        <v>0.7</v>
      </c>
      <c r="V160">
        <f>IFERROR(INDEX('Exercise list'!$E$5:$X$102,MATCH($C160,'Exercise list'!$C$5:$C$102,0),MATCH(V$5,'Exercise list'!$E$4:$X$4,0)),0)</f>
        <v>0.9</v>
      </c>
      <c r="W160">
        <f>IFERROR(INDEX('Exercise list'!$E$5:$X$102,MATCH($C160,'Exercise list'!$C$5:$C$102,0),MATCH(W$5,'Exercise list'!$E$4:$X$4,0)),0)</f>
        <v>0</v>
      </c>
      <c r="X160">
        <f>IFERROR(INDEX('Exercise list'!$E$5:$X$102,MATCH($C160,'Exercise list'!$C$5:$C$102,0),MATCH(X$5,'Exercise list'!$E$4:$X$4,0)),0)</f>
        <v>0</v>
      </c>
      <c r="Y160">
        <f>IFERROR(INDEX('Exercise list'!$E$5:$X$102,MATCH($C160,'Exercise list'!$C$5:$C$102,0),MATCH(Y$5,'Exercise list'!$E$4:$X$4,0)),0)</f>
        <v>0.7</v>
      </c>
      <c r="Z160">
        <f>IFERROR(INDEX('Exercise list'!$E$5:$X$102,MATCH($C160,'Exercise list'!$C$5:$C$102,0),MATCH(Z$5,'Exercise list'!$E$4:$X$4,0)),0)</f>
        <v>0</v>
      </c>
      <c r="AA160">
        <f>IFERROR(INDEX('Exercise list'!$E$5:$X$102,MATCH($C160,'Exercise list'!$C$5:$C$102,0),MATCH(AA$5,'Exercise list'!$E$4:$X$4,0)),0)</f>
        <v>0</v>
      </c>
      <c r="AB160">
        <f>IFERROR(INDEX('Exercise list'!$E$5:$X$102,MATCH($C160,'Exercise list'!$C$5:$C$102,0),MATCH(AB$5,'Exercise list'!$E$4:$X$4,0)),0)</f>
        <v>0</v>
      </c>
      <c r="AC160">
        <f>IFERROR(INDEX('Exercise list'!$E$5:$X$102,MATCH($C160,'Exercise list'!$C$5:$C$102,0),MATCH(AC$5,'Exercise list'!$E$4:$X$4,0)),0)</f>
        <v>0</v>
      </c>
      <c r="AD160">
        <f>IFERROR(INDEX('Exercise list'!$E$5:$X$102,MATCH($C160,'Exercise list'!$C$5:$C$102,0),MATCH(AD$5,'Exercise list'!$E$4:$X$4,0)),0)</f>
        <v>0</v>
      </c>
      <c r="AE160">
        <f>IFERROR(INDEX('Exercise list'!$E$5:$X$102,MATCH($C160,'Exercise list'!$C$5:$C$102,0),MATCH(AE$5,'Exercise list'!$E$4:$X$4,0)),0)</f>
        <v>0</v>
      </c>
      <c r="AF160">
        <f>IFERROR(INDEX('Exercise list'!$E$5:$X$102,MATCH($C160,'Exercise list'!$C$5:$C$102,0),MATCH(AF$5,'Exercise list'!$E$4:$X$4,0)),0)</f>
        <v>0</v>
      </c>
      <c r="AG160">
        <f>IFERROR(INDEX('Exercise list'!$E$5:$X$102,MATCH($C160,'Exercise list'!$C$5:$C$102,0),MATCH(AG$5,'Exercise list'!$E$4:$X$4,0)),0)</f>
        <v>0</v>
      </c>
      <c r="AH160">
        <f>IFERROR(INDEX('Exercise list'!$E$5:$X$102,MATCH($C160,'Exercise list'!$C$5:$C$102,0),MATCH(AH$5,'Exercise list'!$E$4:$X$4,0)),0)</f>
        <v>0</v>
      </c>
      <c r="AI160">
        <f>IFERROR(INDEX('Exercise list'!$E$5:$X$102,MATCH($C160,'Exercise list'!$C$5:$C$102,0),MATCH(AI$5,'Exercise list'!$E$4:$X$4,0)),0)</f>
        <v>0</v>
      </c>
      <c r="AK160">
        <f>IF(OR($J160=1,COUNTIFS($A$5:$A159,"&gt;="&amp;$A160-1,$A$5:$A159,"&lt;="&amp;$A160,$B$5:$B159,$B160)&gt;0,MIN(1-'Exercise list'!E$2,IF($A160=$A159,AK159,1))-P160&lt;0),-1,MIN(1,IF($A160=$A159,AK159,1)-P160+$D$2))</f>
        <v>1</v>
      </c>
      <c r="AL160">
        <f>IF(OR($J160=1,COUNTIFS($A$5:$A159,"&gt;="&amp;$A160-1,$A$5:$A159,"&lt;="&amp;$A160,$B$5:$B159,$B160)&gt;0,MIN(1-'Exercise list'!F$2,IF($A160=$A159,AL159,1))-Q160&lt;0),-1,MIN(1,IF($A160=$A159,AL159,1)-Q160+$D$2))</f>
        <v>1</v>
      </c>
      <c r="AM160">
        <f>IF(OR($J160=1,COUNTIFS($A$5:$A159,"&gt;="&amp;$A160-1,$A$5:$A159,"&lt;="&amp;$A160,$B$5:$B159,$B160)&gt;0,MIN(1-'Exercise list'!G$2,IF($A160=$A159,AM159,1))-R160&lt;0),-1,MIN(1,IF($A160=$A159,AM159,1)-R160+$D$2))</f>
        <v>1</v>
      </c>
      <c r="AN160">
        <f>IF(OR($J160=1,COUNTIFS($A$5:$A159,"&gt;="&amp;$A160-1,$A$5:$A159,"&lt;="&amp;$A160,$B$5:$B159,$B160)&gt;0,MIN(1-'Exercise list'!H$2,IF($A160=$A159,AN159,1))-S160&lt;0),-1,MIN(1,IF($A160=$A159,AN159,1)-S160+$D$2))</f>
        <v>1</v>
      </c>
      <c r="AO160">
        <f>IF(OR($J160=1,COUNTIFS($A$5:$A159,"&gt;="&amp;$A160-1,$A$5:$A159,"&lt;="&amp;$A160,$B$5:$B159,$B160)&gt;0,MIN(1-'Exercise list'!I$2,IF($A160=$A159,AO159,1))-T160&lt;0),-1,MIN(1,IF($A160=$A159,AO159,1)-T160+$D$2))</f>
        <v>1</v>
      </c>
      <c r="AP160">
        <f>IF(OR($J160=1,COUNTIFS($A$5:$A159,"&gt;="&amp;$A160-1,$A$5:$A159,"&lt;="&amp;$A160,$B$5:$B159,$B160)&gt;0,MIN(1-'Exercise list'!J$2,IF($A160=$A159,AP159,1))-U160&lt;0),-1,MIN(1,IF($A160=$A159,AP159,1)-U160+$D$2))</f>
        <v>1</v>
      </c>
      <c r="AQ160">
        <f>IF(OR($J160=1,COUNTIFS($A$5:$A159,"&gt;="&amp;$A160-1,$A$5:$A159,"&lt;="&amp;$A160,$B$5:$B159,$B160)&gt;0,MIN(1-'Exercise list'!K$2,IF($A160=$A159,AQ159,1))-V160&lt;0),-1,MIN(1,IF($A160=$A159,AQ159,1)-V160+$D$2))</f>
        <v>1</v>
      </c>
      <c r="AR160">
        <f>IF(OR($J160=1,COUNTIFS($A$5:$A159,"&gt;="&amp;$A160-1,$A$5:$A159,"&lt;="&amp;$A160,$B$5:$B159,$B160)&gt;0,MIN(1-'Exercise list'!L$2,IF($A160=$A159,AR159,1))-W160&lt;0),-1,MIN(1,IF($A160=$A159,AR159,1)-W160+$D$2))</f>
        <v>1</v>
      </c>
      <c r="AS160">
        <f>IF(OR($J160=1,COUNTIFS($A$5:$A159,"&gt;="&amp;$A160-1,$A$5:$A159,"&lt;="&amp;$A160,$B$5:$B159,$B160)&gt;0,MIN(1-'Exercise list'!M$2,IF($A160=$A159,AS159,1))-X160&lt;0),-1,MIN(1,IF($A160=$A159,AS159,1)-X160+$D$2))</f>
        <v>1</v>
      </c>
      <c r="AT160">
        <f>IF(OR($J160=1,COUNTIFS($A$5:$A159,"&gt;="&amp;$A160-1,$A$5:$A159,"&lt;="&amp;$A160,$B$5:$B159,$B160)&gt;0,MIN(1-'Exercise list'!N$2,IF($A160=$A159,AT159,1))-Y160&lt;0),-1,MIN(1,IF($A160=$A159,AT159,1)-Y160+$D$2))</f>
        <v>1</v>
      </c>
      <c r="AU160">
        <f>IF(OR($J160=1,COUNTIFS($A$5:$A159,"&gt;="&amp;$A160-1,$A$5:$A159,"&lt;="&amp;$A160,$B$5:$B159,$B160)&gt;0,MIN(1-'Exercise list'!O$2,IF($A160=$A159,AU159,1))-Z160&lt;0),-1,MIN(1,IF($A160=$A159,AU159,1)-Z160+$D$2))</f>
        <v>1</v>
      </c>
      <c r="AV160">
        <f>IF(OR($J160=1,COUNTIFS($A$5:$A159,"&gt;="&amp;$A160-1,$A$5:$A159,"&lt;="&amp;$A160,$B$5:$B159,$B160)&gt;0,MIN(1-'Exercise list'!P$2,IF($A160=$A159,AV159,1))-AA160&lt;0),-1,MIN(1,IF($A160=$A159,AV159,1)-AA160+$D$2))</f>
        <v>1</v>
      </c>
      <c r="AW160">
        <f>IF(OR($J160=1,COUNTIFS($A$5:$A159,"&gt;="&amp;$A160-1,$A$5:$A159,"&lt;="&amp;$A160,$B$5:$B159,$B160)&gt;0,MIN(1-'Exercise list'!Q$2,IF($A160=$A159,AW159,1))-AB160&lt;0),-1,MIN(1,IF($A160=$A159,AW159,1)-AB160+$D$2))</f>
        <v>1</v>
      </c>
      <c r="AX160">
        <f>IF(OR($J160=1,COUNTIFS($A$5:$A159,"&gt;="&amp;$A160-1,$A$5:$A159,"&lt;="&amp;$A160,$B$5:$B159,$B160)&gt;0,MIN(1-'Exercise list'!R$2,IF($A160=$A159,AX159,1))-AC160&lt;0),-1,MIN(1,IF($A160=$A159,AX159,1)-AC160+$D$2))</f>
        <v>1</v>
      </c>
      <c r="AY160">
        <f>IF(OR($J160=1,COUNTIFS($A$5:$A159,"&gt;="&amp;$A160-1,$A$5:$A159,"&lt;="&amp;$A160,$B$5:$B159,$B160)&gt;0,MIN(1-'Exercise list'!S$2,IF($A160=$A159,AY159,1))-AD160&lt;0),-1,MIN(1,IF($A160=$A159,AY159,1)-AD160+$D$2))</f>
        <v>1</v>
      </c>
      <c r="AZ160">
        <f>IF(OR($J160=1,COUNTIFS($A$5:$A159,"&gt;="&amp;$A160-1,$A$5:$A159,"&lt;="&amp;$A160,$B$5:$B159,$B160)&gt;0,MIN(1-'Exercise list'!T$2,IF($A160=$A159,AZ159,1))-AE160&lt;0),-1,MIN(1,IF($A160=$A159,AZ159,1)-AE160+$D$2))</f>
        <v>1</v>
      </c>
      <c r="BA160">
        <f>IF(OR($J160=1,COUNTIFS($A$5:$A159,"&gt;="&amp;$A160-1,$A$5:$A159,"&lt;="&amp;$A160,$B$5:$B159,$B160)&gt;0,MIN(1-'Exercise list'!U$2,IF($A160=$A159,BA159,1))-AF160&lt;0),-1,MIN(1,IF($A160=$A159,BA159,1)-AF160+$D$2))</f>
        <v>1</v>
      </c>
      <c r="BB160">
        <f>IF(OR($J160=1,COUNTIFS($A$5:$A159,"&gt;="&amp;$A160-1,$A$5:$A159,"&lt;="&amp;$A160,$B$5:$B159,$B160)&gt;0,MIN(1-'Exercise list'!V$2,IF($A160=$A159,BB159,1))-AG160&lt;0),-1,MIN(1,IF($A160=$A159,BB159,1)-AG160+$D$2))</f>
        <v>1</v>
      </c>
      <c r="BC160">
        <f>IF(OR($J160=1,COUNTIFS($A$5:$A159,"&gt;="&amp;$A160-1,$A$5:$A159,"&lt;="&amp;$A160,$B$5:$B159,$B160)&gt;0,MIN(1-'Exercise list'!W$2,IF($A160=$A159,BC159,1))-AH160&lt;0),-1,MIN(1,IF($A160=$A159,BC159,1)-AH160+$D$2))</f>
        <v>1</v>
      </c>
      <c r="BD160">
        <f>IF(OR($J160=1,COUNTIFS($A$5:$A159,"&gt;="&amp;$A160-1,$A$5:$A159,"&lt;="&amp;$A160,$B$5:$B159,$B160)&gt;0,MIN(1-'Exercise list'!X$2,IF($A160=$A159,BD159,1))-AI160&lt;0),-1,MIN(1,IF($A160=$A159,BD159,1)-AI160+$D$2))</f>
        <v>1</v>
      </c>
      <c r="BF160" s="16">
        <f t="shared" si="100"/>
        <v>0.16449895935466882</v>
      </c>
      <c r="BG160" s="16">
        <f t="shared" si="101"/>
        <v>0.24204583862004694</v>
      </c>
      <c r="BH160" s="16">
        <f t="shared" si="102"/>
        <v>0.16188029513559141</v>
      </c>
      <c r="BI160" s="16">
        <f t="shared" si="103"/>
        <v>0.14623839740758493</v>
      </c>
      <c r="BJ160" s="16">
        <f t="shared" si="104"/>
        <v>9.2374420164452881E-2</v>
      </c>
      <c r="BK160" s="16">
        <f t="shared" si="105"/>
        <v>0.11790183072740623</v>
      </c>
      <c r="BL160" s="16">
        <f t="shared" si="106"/>
        <v>0.21704714397306851</v>
      </c>
      <c r="BM160" s="16">
        <f t="shared" si="107"/>
        <v>4.3200009279579579E-3</v>
      </c>
      <c r="BN160" s="16">
        <f t="shared" si="108"/>
        <v>0.10568095387358312</v>
      </c>
      <c r="BO160" s="16">
        <f t="shared" si="109"/>
        <v>0.2710226112132233</v>
      </c>
      <c r="BP160" s="16">
        <f t="shared" si="110"/>
        <v>0.32365146995459132</v>
      </c>
      <c r="BQ160" s="16">
        <f t="shared" si="111"/>
        <v>0.11080420987546771</v>
      </c>
      <c r="BR160" s="16">
        <f t="shared" si="112"/>
        <v>0.14586690038654176</v>
      </c>
      <c r="BS160" s="16">
        <f t="shared" si="113"/>
        <v>3.3023324310097649E-2</v>
      </c>
      <c r="BT160" s="16">
        <f t="shared" si="114"/>
        <v>0.14949629811610754</v>
      </c>
      <c r="BU160" s="16">
        <f t="shared" si="115"/>
        <v>0.12968074697394052</v>
      </c>
      <c r="BV160" s="16">
        <f t="shared" si="116"/>
        <v>0.16214241788123726</v>
      </c>
      <c r="BW160" s="16">
        <f t="shared" si="117"/>
        <v>8.3754033364838984E-2</v>
      </c>
      <c r="BX160" s="16">
        <f t="shared" si="118"/>
        <v>8.902566198026117E-2</v>
      </c>
      <c r="BY160" s="16">
        <f t="shared" si="119"/>
        <v>6.5390186317199506E-2</v>
      </c>
      <c r="CA160" s="16">
        <f t="shared" si="141"/>
        <v>4.4082203649617652E-2</v>
      </c>
      <c r="CB160" s="16">
        <f t="shared" si="122"/>
        <v>0</v>
      </c>
      <c r="CC160" s="16">
        <f t="shared" si="123"/>
        <v>0</v>
      </c>
      <c r="CD160" s="16">
        <f t="shared" si="124"/>
        <v>0</v>
      </c>
      <c r="CE160" s="16">
        <f t="shared" si="125"/>
        <v>1.1916161337690356E-2</v>
      </c>
      <c r="CF160" s="16">
        <f t="shared" si="126"/>
        <v>0.19496991377902351</v>
      </c>
      <c r="CG160" s="16">
        <f t="shared" si="127"/>
        <v>0</v>
      </c>
      <c r="CH160" s="16">
        <f t="shared" si="128"/>
        <v>9.9970580574185286E-2</v>
      </c>
      <c r="CI160" s="16">
        <f t="shared" si="129"/>
        <v>0.10290020913070336</v>
      </c>
      <c r="CJ160" s="16">
        <f t="shared" si="130"/>
        <v>0</v>
      </c>
      <c r="CK160" s="16">
        <f t="shared" si="131"/>
        <v>0</v>
      </c>
      <c r="CL160" s="16">
        <f t="shared" si="132"/>
        <v>0</v>
      </c>
      <c r="CM160" s="16">
        <f t="shared" si="133"/>
        <v>6.2714262617744709E-2</v>
      </c>
      <c r="CN160" s="16">
        <f t="shared" si="134"/>
        <v>7.1267257192045588E-2</v>
      </c>
      <c r="CO160" s="16">
        <f t="shared" si="135"/>
        <v>0</v>
      </c>
      <c r="CP160" s="16">
        <f t="shared" si="136"/>
        <v>0</v>
      </c>
      <c r="CQ160" s="16">
        <f t="shared" si="137"/>
        <v>4.6438745123049213E-2</v>
      </c>
      <c r="CR160" s="16">
        <f t="shared" si="138"/>
        <v>2.0536548137304253E-2</v>
      </c>
      <c r="CS160" s="16">
        <f t="shared" si="139"/>
        <v>1.5264919521882067E-2</v>
      </c>
      <c r="CT160" s="16">
        <f t="shared" si="140"/>
        <v>3.8900395184943731E-2</v>
      </c>
    </row>
    <row r="161" spans="1:99" x14ac:dyDescent="0.25">
      <c r="A161" s="13">
        <v>45096</v>
      </c>
      <c r="B161" s="14">
        <v>25</v>
      </c>
      <c r="C161" s="15" t="str" cm="1">
        <f t="array" ref="C161">IF(B161="","",INDEX('Exercise list'!$C$5:$C$102,B161))</f>
        <v>Dumbbell decline bench presses</v>
      </c>
      <c r="D161" s="12">
        <f t="shared" si="97"/>
        <v>1</v>
      </c>
      <c r="E161" s="107">
        <f t="shared" si="120"/>
        <v>0</v>
      </c>
      <c r="F161" s="63" cm="1">
        <f t="array" ref="F161">IF(B161="","",0.1+IFERROR(INDEX($F$6:$F160,SUMPRODUCT(MAX(ROW($C$6:$C160)*($C161=$C$6:$C160))-ROW($A$5)))*0.9^($A161-INDEX($A$6:A160,SUMPRODUCT(MAX(ROW($C$6:$C160)*($C161=$C$6:$C160))-ROW($A$5)))),0))</f>
        <v>0.17871497370030404</v>
      </c>
      <c r="G161" s="64">
        <f>INDEX('Exercise list'!$Y$5:$Y$102,MATCH(C161,'Exercise list'!$C$5:$C$102,0))</f>
        <v>2</v>
      </c>
      <c r="H161" s="115">
        <f t="shared" si="98"/>
        <v>6.2953173677183963E-2</v>
      </c>
      <c r="I161" s="6">
        <f t="shared" si="99"/>
        <v>3</v>
      </c>
      <c r="J161" s="6" cm="1">
        <f t="array" ref="J161">IF(B161="","",INDEX('Exercise list'!$D$5:$D$102,B161))</f>
        <v>0</v>
      </c>
      <c r="K161" s="12">
        <v>18</v>
      </c>
      <c r="L161" s="74" t="str" cm="1">
        <f t="array" ref="L161">IF(K161="","",INDEX('Exercise list'!$C$5:$C$102,K161))</f>
        <v>Dumbbell curls</v>
      </c>
      <c r="M161" s="6">
        <v>11</v>
      </c>
      <c r="N161" s="75" t="str" cm="1">
        <f t="array" ref="N161">IF(M161="","",INDEX('Exercise list'!$C$5:$C$102,M161))</f>
        <v>Chin-ups</v>
      </c>
      <c r="P161">
        <f>IFERROR(INDEX('Exercise list'!$E$5:$X$102,MATCH($C161,'Exercise list'!$C$5:$C$102,0),MATCH(P$5,'Exercise list'!$E$4:$X$4,0)),0)</f>
        <v>1</v>
      </c>
      <c r="Q161">
        <f>IFERROR(INDEX('Exercise list'!$E$5:$X$102,MATCH($C161,'Exercise list'!$C$5:$C$102,0),MATCH(Q$5,'Exercise list'!$E$4:$X$4,0)),0)</f>
        <v>0</v>
      </c>
      <c r="R161">
        <f>IFERROR(INDEX('Exercise list'!$E$5:$X$102,MATCH($C161,'Exercise list'!$C$5:$C$102,0),MATCH(R$5,'Exercise list'!$E$4:$X$4,0)),0)</f>
        <v>0</v>
      </c>
      <c r="S161">
        <f>IFERROR(INDEX('Exercise list'!$E$5:$X$102,MATCH($C161,'Exercise list'!$C$5:$C$102,0),MATCH(S$5,'Exercise list'!$E$4:$X$4,0)),0)</f>
        <v>0</v>
      </c>
      <c r="T161">
        <f>IFERROR(INDEX('Exercise list'!$E$5:$X$102,MATCH($C161,'Exercise list'!$C$5:$C$102,0),MATCH(T$5,'Exercise list'!$E$4:$X$4,0)),0)</f>
        <v>0</v>
      </c>
      <c r="U161">
        <f>IFERROR(INDEX('Exercise list'!$E$5:$X$102,MATCH($C161,'Exercise list'!$C$5:$C$102,0),MATCH(U$5,'Exercise list'!$E$4:$X$4,0)),0)</f>
        <v>0</v>
      </c>
      <c r="V161">
        <f>IFERROR(INDEX('Exercise list'!$E$5:$X$102,MATCH($C161,'Exercise list'!$C$5:$C$102,0),MATCH(V$5,'Exercise list'!$E$4:$X$4,0)),0)</f>
        <v>0.5</v>
      </c>
      <c r="W161">
        <f>IFERROR(INDEX('Exercise list'!$E$5:$X$102,MATCH($C161,'Exercise list'!$C$5:$C$102,0),MATCH(W$5,'Exercise list'!$E$4:$X$4,0)),0)</f>
        <v>0</v>
      </c>
      <c r="X161">
        <f>IFERROR(INDEX('Exercise list'!$E$5:$X$102,MATCH($C161,'Exercise list'!$C$5:$C$102,0),MATCH(X$5,'Exercise list'!$E$4:$X$4,0)),0)</f>
        <v>0</v>
      </c>
      <c r="Y161">
        <f>IFERROR(INDEX('Exercise list'!$E$5:$X$102,MATCH($C161,'Exercise list'!$C$5:$C$102,0),MATCH(Y$5,'Exercise list'!$E$4:$X$4,0)),0)</f>
        <v>1</v>
      </c>
      <c r="Z161">
        <f>IFERROR(INDEX('Exercise list'!$E$5:$X$102,MATCH($C161,'Exercise list'!$C$5:$C$102,0),MATCH(Z$5,'Exercise list'!$E$4:$X$4,0)),0)</f>
        <v>0.5</v>
      </c>
      <c r="AA161">
        <f>IFERROR(INDEX('Exercise list'!$E$5:$X$102,MATCH($C161,'Exercise list'!$C$5:$C$102,0),MATCH(AA$5,'Exercise list'!$E$4:$X$4,0)),0)</f>
        <v>0</v>
      </c>
      <c r="AB161">
        <f>IFERROR(INDEX('Exercise list'!$E$5:$X$102,MATCH($C161,'Exercise list'!$C$5:$C$102,0),MATCH(AB$5,'Exercise list'!$E$4:$X$4,0)),0)</f>
        <v>0</v>
      </c>
      <c r="AC161">
        <f>IFERROR(INDEX('Exercise list'!$E$5:$X$102,MATCH($C161,'Exercise list'!$C$5:$C$102,0),MATCH(AC$5,'Exercise list'!$E$4:$X$4,0)),0)</f>
        <v>0</v>
      </c>
      <c r="AD161">
        <f>IFERROR(INDEX('Exercise list'!$E$5:$X$102,MATCH($C161,'Exercise list'!$C$5:$C$102,0),MATCH(AD$5,'Exercise list'!$E$4:$X$4,0)),0)</f>
        <v>0</v>
      </c>
      <c r="AE161">
        <f>IFERROR(INDEX('Exercise list'!$E$5:$X$102,MATCH($C161,'Exercise list'!$C$5:$C$102,0),MATCH(AE$5,'Exercise list'!$E$4:$X$4,0)),0)</f>
        <v>0</v>
      </c>
      <c r="AF161">
        <f>IFERROR(INDEX('Exercise list'!$E$5:$X$102,MATCH($C161,'Exercise list'!$C$5:$C$102,0),MATCH(AF$5,'Exercise list'!$E$4:$X$4,0)),0)</f>
        <v>0</v>
      </c>
      <c r="AG161">
        <f>IFERROR(INDEX('Exercise list'!$E$5:$X$102,MATCH($C161,'Exercise list'!$C$5:$C$102,0),MATCH(AG$5,'Exercise list'!$E$4:$X$4,0)),0)</f>
        <v>0</v>
      </c>
      <c r="AH161">
        <f>IFERROR(INDEX('Exercise list'!$E$5:$X$102,MATCH($C161,'Exercise list'!$C$5:$C$102,0),MATCH(AH$5,'Exercise list'!$E$4:$X$4,0)),0)</f>
        <v>0</v>
      </c>
      <c r="AI161">
        <f>IFERROR(INDEX('Exercise list'!$E$5:$X$102,MATCH($C161,'Exercise list'!$C$5:$C$102,0),MATCH(AI$5,'Exercise list'!$E$4:$X$4,0)),0)</f>
        <v>0</v>
      </c>
      <c r="AK161">
        <f>IF(OR($J161=1,COUNTIFS($A$5:$A160,"&gt;="&amp;$A161-1,$A$5:$A160,"&lt;="&amp;$A161,$B$5:$B160,$B161)&gt;0,MIN(1-'Exercise list'!E$2,IF($A161=$A160,AK160,1))-P161&lt;0),-1,MIN(1,IF($A161=$A160,AK160,1)-P161+$D$2))</f>
        <v>1</v>
      </c>
      <c r="AL161">
        <f>IF(OR($J161=1,COUNTIFS($A$5:$A160,"&gt;="&amp;$A161-1,$A$5:$A160,"&lt;="&amp;$A161,$B$5:$B160,$B161)&gt;0,MIN(1-'Exercise list'!F$2,IF($A161=$A160,AL160,1))-Q161&lt;0),-1,MIN(1,IF($A161=$A160,AL160,1)-Q161+$D$2))</f>
        <v>1</v>
      </c>
      <c r="AM161">
        <f>IF(OR($J161=1,COUNTIFS($A$5:$A160,"&gt;="&amp;$A161-1,$A$5:$A160,"&lt;="&amp;$A161,$B$5:$B160,$B161)&gt;0,MIN(1-'Exercise list'!G$2,IF($A161=$A160,AM160,1))-R161&lt;0),-1,MIN(1,IF($A161=$A160,AM160,1)-R161+$D$2))</f>
        <v>1</v>
      </c>
      <c r="AN161">
        <f>IF(OR($J161=1,COUNTIFS($A$5:$A160,"&gt;="&amp;$A161-1,$A$5:$A160,"&lt;="&amp;$A161,$B$5:$B160,$B161)&gt;0,MIN(1-'Exercise list'!H$2,IF($A161=$A160,AN160,1))-S161&lt;0),-1,MIN(1,IF($A161=$A160,AN160,1)-S161+$D$2))</f>
        <v>1</v>
      </c>
      <c r="AO161">
        <f>IF(OR($J161=1,COUNTIFS($A$5:$A160,"&gt;="&amp;$A161-1,$A$5:$A160,"&lt;="&amp;$A161,$B$5:$B160,$B161)&gt;0,MIN(1-'Exercise list'!I$2,IF($A161=$A160,AO160,1))-T161&lt;0),-1,MIN(1,IF($A161=$A160,AO160,1)-T161+$D$2))</f>
        <v>1</v>
      </c>
      <c r="AP161">
        <f>IF(OR($J161=1,COUNTIFS($A$5:$A160,"&gt;="&amp;$A161-1,$A$5:$A160,"&lt;="&amp;$A161,$B$5:$B160,$B161)&gt;0,MIN(1-'Exercise list'!J$2,IF($A161=$A160,AP160,1))-U161&lt;0),-1,MIN(1,IF($A161=$A160,AP160,1)-U161+$D$2))</f>
        <v>1</v>
      </c>
      <c r="AQ161">
        <f>IF(OR($J161=1,COUNTIFS($A$5:$A160,"&gt;="&amp;$A161-1,$A$5:$A160,"&lt;="&amp;$A161,$B$5:$B160,$B161)&gt;0,MIN(1-'Exercise list'!K$2,IF($A161=$A160,AQ160,1))-V161&lt;0),-1,MIN(1,IF($A161=$A160,AQ160,1)-V161+$D$2))</f>
        <v>1</v>
      </c>
      <c r="AR161">
        <f>IF(OR($J161=1,COUNTIFS($A$5:$A160,"&gt;="&amp;$A161-1,$A$5:$A160,"&lt;="&amp;$A161,$B$5:$B160,$B161)&gt;0,MIN(1-'Exercise list'!L$2,IF($A161=$A160,AR160,1))-W161&lt;0),-1,MIN(1,IF($A161=$A160,AR160,1)-W161+$D$2))</f>
        <v>1</v>
      </c>
      <c r="AS161">
        <f>IF(OR($J161=1,COUNTIFS($A$5:$A160,"&gt;="&amp;$A161-1,$A$5:$A160,"&lt;="&amp;$A161,$B$5:$B160,$B161)&gt;0,MIN(1-'Exercise list'!M$2,IF($A161=$A160,AS160,1))-X161&lt;0),-1,MIN(1,IF($A161=$A160,AS160,1)-X161+$D$2))</f>
        <v>1</v>
      </c>
      <c r="AT161">
        <f>IF(OR($J161=1,COUNTIFS($A$5:$A160,"&gt;="&amp;$A161-1,$A$5:$A160,"&lt;="&amp;$A161,$B$5:$B160,$B161)&gt;0,MIN(1-'Exercise list'!N$2,IF($A161=$A160,AT160,1))-Y161&lt;0),-1,MIN(1,IF($A161=$A160,AT160,1)-Y161+$D$2))</f>
        <v>1</v>
      </c>
      <c r="AU161">
        <f>IF(OR($J161=1,COUNTIFS($A$5:$A160,"&gt;="&amp;$A161-1,$A$5:$A160,"&lt;="&amp;$A161,$B$5:$B160,$B161)&gt;0,MIN(1-'Exercise list'!O$2,IF($A161=$A160,AU160,1))-Z161&lt;0),-1,MIN(1,IF($A161=$A160,AU160,1)-Z161+$D$2))</f>
        <v>1</v>
      </c>
      <c r="AV161">
        <f>IF(OR($J161=1,COUNTIFS($A$5:$A160,"&gt;="&amp;$A161-1,$A$5:$A160,"&lt;="&amp;$A161,$B$5:$B160,$B161)&gt;0,MIN(1-'Exercise list'!P$2,IF($A161=$A160,AV160,1))-AA161&lt;0),-1,MIN(1,IF($A161=$A160,AV160,1)-AA161+$D$2))</f>
        <v>1</v>
      </c>
      <c r="AW161">
        <f>IF(OR($J161=1,COUNTIFS($A$5:$A160,"&gt;="&amp;$A161-1,$A$5:$A160,"&lt;="&amp;$A161,$B$5:$B160,$B161)&gt;0,MIN(1-'Exercise list'!Q$2,IF($A161=$A160,AW160,1))-AB161&lt;0),-1,MIN(1,IF($A161=$A160,AW160,1)-AB161+$D$2))</f>
        <v>1</v>
      </c>
      <c r="AX161">
        <f>IF(OR($J161=1,COUNTIFS($A$5:$A160,"&gt;="&amp;$A161-1,$A$5:$A160,"&lt;="&amp;$A161,$B$5:$B160,$B161)&gt;0,MIN(1-'Exercise list'!R$2,IF($A161=$A160,AX160,1))-AC161&lt;0),-1,MIN(1,IF($A161=$A160,AX160,1)-AC161+$D$2))</f>
        <v>1</v>
      </c>
      <c r="AY161">
        <f>IF(OR($J161=1,COUNTIFS($A$5:$A160,"&gt;="&amp;$A161-1,$A$5:$A160,"&lt;="&amp;$A161,$B$5:$B160,$B161)&gt;0,MIN(1-'Exercise list'!S$2,IF($A161=$A160,AY160,1))-AD161&lt;0),-1,MIN(1,IF($A161=$A160,AY160,1)-AD161+$D$2))</f>
        <v>1</v>
      </c>
      <c r="AZ161">
        <f>IF(OR($J161=1,COUNTIFS($A$5:$A160,"&gt;="&amp;$A161-1,$A$5:$A160,"&lt;="&amp;$A161,$B$5:$B160,$B161)&gt;0,MIN(1-'Exercise list'!T$2,IF($A161=$A160,AZ160,1))-AE161&lt;0),-1,MIN(1,IF($A161=$A160,AZ160,1)-AE161+$D$2))</f>
        <v>1</v>
      </c>
      <c r="BA161">
        <f>IF(OR($J161=1,COUNTIFS($A$5:$A160,"&gt;="&amp;$A161-1,$A$5:$A160,"&lt;="&amp;$A161,$B$5:$B160,$B161)&gt;0,MIN(1-'Exercise list'!U$2,IF($A161=$A160,BA160,1))-AF161&lt;0),-1,MIN(1,IF($A161=$A160,BA160,1)-AF161+$D$2))</f>
        <v>1</v>
      </c>
      <c r="BB161">
        <f>IF(OR($J161=1,COUNTIFS($A$5:$A160,"&gt;="&amp;$A161-1,$A$5:$A160,"&lt;="&amp;$A161,$B$5:$B160,$B161)&gt;0,MIN(1-'Exercise list'!V$2,IF($A161=$A160,BB160,1))-AG161&lt;0),-1,MIN(1,IF($A161=$A160,BB160,1)-AG161+$D$2))</f>
        <v>1</v>
      </c>
      <c r="BC161">
        <f>IF(OR($J161=1,COUNTIFS($A$5:$A160,"&gt;="&amp;$A161-1,$A$5:$A160,"&lt;="&amp;$A161,$B$5:$B160,$B161)&gt;0,MIN(1-'Exercise list'!W$2,IF($A161=$A160,BC160,1))-AH161&lt;0),-1,MIN(1,IF($A161=$A160,BC160,1)-AH161+$D$2))</f>
        <v>1</v>
      </c>
      <c r="BD161">
        <f>IF(OR($J161=1,COUNTIFS($A$5:$A160,"&gt;="&amp;$A161-1,$A$5:$A160,"&lt;="&amp;$A161,$B$5:$B160,$B161)&gt;0,MIN(1-'Exercise list'!X$2,IF($A161=$A160,BD160,1))-AI161&lt;0),-1,MIN(1,IF($A161=$A160,BD160,1)-AI161+$D$2))</f>
        <v>1</v>
      </c>
      <c r="BF161" s="16">
        <f t="shared" si="100"/>
        <v>0.20627401138693535</v>
      </c>
      <c r="BG161" s="16">
        <f t="shared" si="101"/>
        <v>0.2299435466890446</v>
      </c>
      <c r="BH161" s="16">
        <f t="shared" si="102"/>
        <v>0.15378628037881184</v>
      </c>
      <c r="BI161" s="16">
        <f t="shared" si="103"/>
        <v>0.13892647753720569</v>
      </c>
      <c r="BJ161" s="16">
        <f t="shared" si="104"/>
        <v>8.775569915623023E-2</v>
      </c>
      <c r="BK161" s="16">
        <f t="shared" si="105"/>
        <v>0.11200673919103592</v>
      </c>
      <c r="BL161" s="16">
        <f t="shared" si="106"/>
        <v>0.23119478677441507</v>
      </c>
      <c r="BM161" s="16">
        <f t="shared" si="107"/>
        <v>4.1040008815600602E-3</v>
      </c>
      <c r="BN161" s="16">
        <f t="shared" si="108"/>
        <v>0.10039690617990396</v>
      </c>
      <c r="BO161" s="16">
        <f t="shared" si="109"/>
        <v>0.30747148065256213</v>
      </c>
      <c r="BP161" s="16">
        <f t="shared" si="110"/>
        <v>0.33246889645686178</v>
      </c>
      <c r="BQ161" s="16">
        <f t="shared" si="111"/>
        <v>0.10526399938169433</v>
      </c>
      <c r="BR161" s="16">
        <f t="shared" si="112"/>
        <v>0.13857355536721466</v>
      </c>
      <c r="BS161" s="16">
        <f t="shared" si="113"/>
        <v>3.1372158094592761E-2</v>
      </c>
      <c r="BT161" s="16">
        <f t="shared" si="114"/>
        <v>0.14202148321030217</v>
      </c>
      <c r="BU161" s="16">
        <f t="shared" si="115"/>
        <v>0.1231967096252435</v>
      </c>
      <c r="BV161" s="16">
        <f t="shared" si="116"/>
        <v>0.15403529698717539</v>
      </c>
      <c r="BW161" s="16">
        <f t="shared" si="117"/>
        <v>7.9566331696597034E-2</v>
      </c>
      <c r="BX161" s="16">
        <f t="shared" si="118"/>
        <v>8.4574378881248108E-2</v>
      </c>
      <c r="BY161" s="16">
        <f t="shared" si="119"/>
        <v>6.2120677001339525E-2</v>
      </c>
      <c r="CA161" s="16">
        <f t="shared" si="141"/>
        <v>2.9892045782479448E-3</v>
      </c>
      <c r="CB161" s="16">
        <f t="shared" si="122"/>
        <v>0</v>
      </c>
      <c r="CC161" s="16">
        <f t="shared" si="123"/>
        <v>0</v>
      </c>
      <c r="CD161" s="16">
        <f t="shared" si="124"/>
        <v>0</v>
      </c>
      <c r="CE161" s="16">
        <f t="shared" si="125"/>
        <v>1.6875908826361419E-2</v>
      </c>
      <c r="CF161" s="16">
        <f t="shared" si="126"/>
        <v>0.20188808475673903</v>
      </c>
      <c r="CG161" s="16">
        <f t="shared" si="127"/>
        <v>0</v>
      </c>
      <c r="CH161" s="16">
        <f t="shared" si="128"/>
        <v>0.10052760710103159</v>
      </c>
      <c r="CI161" s="16">
        <f t="shared" si="129"/>
        <v>0.10886630978527934</v>
      </c>
      <c r="CJ161" s="16">
        <f t="shared" si="130"/>
        <v>0</v>
      </c>
      <c r="CK161" s="16">
        <f t="shared" si="131"/>
        <v>0</v>
      </c>
      <c r="CL161" s="16">
        <f t="shared" si="132"/>
        <v>0</v>
      </c>
      <c r="CM161" s="16">
        <f t="shared" si="133"/>
        <v>7.0689660597968634E-2</v>
      </c>
      <c r="CN161" s="16">
        <f t="shared" si="134"/>
        <v>7.3259449887998887E-2</v>
      </c>
      <c r="CO161" s="16">
        <f t="shared" si="135"/>
        <v>0</v>
      </c>
      <c r="CP161" s="16">
        <f t="shared" si="136"/>
        <v>0</v>
      </c>
      <c r="CQ161" s="16">
        <f t="shared" si="137"/>
        <v>5.5227918978007912E-2</v>
      </c>
      <c r="CR161" s="16">
        <f t="shared" si="138"/>
        <v>2.5065276285994614E-2</v>
      </c>
      <c r="CS161" s="16">
        <f t="shared" si="139"/>
        <v>2.0057229101343541E-2</v>
      </c>
      <c r="CT161" s="16">
        <f t="shared" si="140"/>
        <v>4.2510930981252124E-2</v>
      </c>
    </row>
    <row r="162" spans="1:99" x14ac:dyDescent="0.25">
      <c r="A162" s="13">
        <v>45096</v>
      </c>
      <c r="B162" s="14">
        <v>18</v>
      </c>
      <c r="C162" s="15" t="str" cm="1">
        <f t="array" ref="C162">IF(B162="","",INDEX('Exercise list'!$C$5:$C$102,B162))</f>
        <v>Dumbbell curls</v>
      </c>
      <c r="D162" s="12">
        <f t="shared" si="97"/>
        <v>1</v>
      </c>
      <c r="E162" s="107">
        <f t="shared" si="120"/>
        <v>0</v>
      </c>
      <c r="F162" s="63" cm="1">
        <f t="array" ref="F162">IF(B162="","",0.1+IFERROR(INDEX($F$6:$F161,SUMPRODUCT(MAX(ROW($C$6:$C161)*($C162=$C$6:$C161))-ROW($A$5)))*0.9^($A162-INDEX($A$6:A161,SUMPRODUCT(MAX(ROW($C$6:$C161)*($C162=$C$6:$C161))-ROW($A$5)))),0))</f>
        <v>0.1</v>
      </c>
      <c r="G162" s="64">
        <f>INDEX('Exercise list'!$Y$5:$Y$102,MATCH(C162,'Exercise list'!$C$5:$C$102,0))</f>
        <v>1</v>
      </c>
      <c r="H162" s="115">
        <f t="shared" si="98"/>
        <v>5.8400619814837434E-2</v>
      </c>
      <c r="I162" s="6">
        <f t="shared" si="99"/>
        <v>4</v>
      </c>
      <c r="J162" s="6" cm="1">
        <f t="array" ref="J162">IF(B162="","",INDEX('Exercise list'!$D$5:$D$102,B162))</f>
        <v>0</v>
      </c>
      <c r="K162" s="12">
        <v>28</v>
      </c>
      <c r="L162" s="74" t="str" cm="1">
        <f t="array" ref="L162">IF(K162="","",INDEX('Exercise list'!$C$5:$C$102,K162))</f>
        <v>Cable standing oblique twists</v>
      </c>
      <c r="M162" s="6">
        <v>8</v>
      </c>
      <c r="N162" s="75" t="str" cm="1">
        <f t="array" ref="N162">IF(M162="","",INDEX('Exercise list'!$C$5:$C$102,M162))</f>
        <v>Barbell deadlifts</v>
      </c>
      <c r="P162">
        <f>IFERROR(INDEX('Exercise list'!$E$5:$X$102,MATCH($C162,'Exercise list'!$C$5:$C$102,0),MATCH(P$5,'Exercise list'!$E$4:$X$4,0)),0)</f>
        <v>0</v>
      </c>
      <c r="Q162">
        <f>IFERROR(INDEX('Exercise list'!$E$5:$X$102,MATCH($C162,'Exercise list'!$C$5:$C$102,0),MATCH(Q$5,'Exercise list'!$E$4:$X$4,0)),0)</f>
        <v>0</v>
      </c>
      <c r="R162">
        <f>IFERROR(INDEX('Exercise list'!$E$5:$X$102,MATCH($C162,'Exercise list'!$C$5:$C$102,0),MATCH(R$5,'Exercise list'!$E$4:$X$4,0)),0)</f>
        <v>0</v>
      </c>
      <c r="S162">
        <f>IFERROR(INDEX('Exercise list'!$E$5:$X$102,MATCH($C162,'Exercise list'!$C$5:$C$102,0),MATCH(S$5,'Exercise list'!$E$4:$X$4,0)),0)</f>
        <v>0</v>
      </c>
      <c r="T162">
        <f>IFERROR(INDEX('Exercise list'!$E$5:$X$102,MATCH($C162,'Exercise list'!$C$5:$C$102,0),MATCH(T$5,'Exercise list'!$E$4:$X$4,0)),0)</f>
        <v>0</v>
      </c>
      <c r="U162">
        <f>IFERROR(INDEX('Exercise list'!$E$5:$X$102,MATCH($C162,'Exercise list'!$C$5:$C$102,0),MATCH(U$5,'Exercise list'!$E$4:$X$4,0)),0)</f>
        <v>0</v>
      </c>
      <c r="V162">
        <f>IFERROR(INDEX('Exercise list'!$E$5:$X$102,MATCH($C162,'Exercise list'!$C$5:$C$102,0),MATCH(V$5,'Exercise list'!$E$4:$X$4,0)),0)</f>
        <v>0</v>
      </c>
      <c r="W162">
        <f>IFERROR(INDEX('Exercise list'!$E$5:$X$102,MATCH($C162,'Exercise list'!$C$5:$C$102,0),MATCH(W$5,'Exercise list'!$E$4:$X$4,0)),0)</f>
        <v>0</v>
      </c>
      <c r="X162">
        <f>IFERROR(INDEX('Exercise list'!$E$5:$X$102,MATCH($C162,'Exercise list'!$C$5:$C$102,0),MATCH(X$5,'Exercise list'!$E$4:$X$4,0)),0)</f>
        <v>1</v>
      </c>
      <c r="Y162">
        <f>IFERROR(INDEX('Exercise list'!$E$5:$X$102,MATCH($C162,'Exercise list'!$C$5:$C$102,0),MATCH(Y$5,'Exercise list'!$E$4:$X$4,0)),0)</f>
        <v>0</v>
      </c>
      <c r="Z162">
        <f>IFERROR(INDEX('Exercise list'!$E$5:$X$102,MATCH($C162,'Exercise list'!$C$5:$C$102,0),MATCH(Z$5,'Exercise list'!$E$4:$X$4,0)),0)</f>
        <v>0</v>
      </c>
      <c r="AA162">
        <f>IFERROR(INDEX('Exercise list'!$E$5:$X$102,MATCH($C162,'Exercise list'!$C$5:$C$102,0),MATCH(AA$5,'Exercise list'!$E$4:$X$4,0)),0)</f>
        <v>0</v>
      </c>
      <c r="AB162">
        <f>IFERROR(INDEX('Exercise list'!$E$5:$X$102,MATCH($C162,'Exercise list'!$C$5:$C$102,0),MATCH(AB$5,'Exercise list'!$E$4:$X$4,0)),0)</f>
        <v>0</v>
      </c>
      <c r="AC162">
        <f>IFERROR(INDEX('Exercise list'!$E$5:$X$102,MATCH($C162,'Exercise list'!$C$5:$C$102,0),MATCH(AC$5,'Exercise list'!$E$4:$X$4,0)),0)</f>
        <v>0</v>
      </c>
      <c r="AD162">
        <f>IFERROR(INDEX('Exercise list'!$E$5:$X$102,MATCH($C162,'Exercise list'!$C$5:$C$102,0),MATCH(AD$5,'Exercise list'!$E$4:$X$4,0)),0)</f>
        <v>0</v>
      </c>
      <c r="AE162">
        <f>IFERROR(INDEX('Exercise list'!$E$5:$X$102,MATCH($C162,'Exercise list'!$C$5:$C$102,0),MATCH(AE$5,'Exercise list'!$E$4:$X$4,0)),0)</f>
        <v>0</v>
      </c>
      <c r="AF162">
        <f>IFERROR(INDEX('Exercise list'!$E$5:$X$102,MATCH($C162,'Exercise list'!$C$5:$C$102,0),MATCH(AF$5,'Exercise list'!$E$4:$X$4,0)),0)</f>
        <v>0</v>
      </c>
      <c r="AG162">
        <f>IFERROR(INDEX('Exercise list'!$E$5:$X$102,MATCH($C162,'Exercise list'!$C$5:$C$102,0),MATCH(AG$5,'Exercise list'!$E$4:$X$4,0)),0)</f>
        <v>0</v>
      </c>
      <c r="AH162">
        <f>IFERROR(INDEX('Exercise list'!$E$5:$X$102,MATCH($C162,'Exercise list'!$C$5:$C$102,0),MATCH(AH$5,'Exercise list'!$E$4:$X$4,0)),0)</f>
        <v>0</v>
      </c>
      <c r="AI162">
        <f>IFERROR(INDEX('Exercise list'!$E$5:$X$102,MATCH($C162,'Exercise list'!$C$5:$C$102,0),MATCH(AI$5,'Exercise list'!$E$4:$X$4,0)),0)</f>
        <v>0</v>
      </c>
      <c r="AK162">
        <f>IF(OR($J162=1,COUNTIFS($A$5:$A161,"&gt;="&amp;$A162-1,$A$5:$A161,"&lt;="&amp;$A162,$B$5:$B161,$B162)&gt;0,MIN(1-'Exercise list'!E$2,IF($A162=$A161,AK161,1))-P162&lt;0),-1,MIN(1,IF($A162=$A161,AK161,1)-P162+$D$2))</f>
        <v>1</v>
      </c>
      <c r="AL162">
        <f>IF(OR($J162=1,COUNTIFS($A$5:$A161,"&gt;="&amp;$A162-1,$A$5:$A161,"&lt;="&amp;$A162,$B$5:$B161,$B162)&gt;0,MIN(1-'Exercise list'!F$2,IF($A162=$A161,AL161,1))-Q162&lt;0),-1,MIN(1,IF($A162=$A161,AL161,1)-Q162+$D$2))</f>
        <v>1</v>
      </c>
      <c r="AM162">
        <f>IF(OR($J162=1,COUNTIFS($A$5:$A161,"&gt;="&amp;$A162-1,$A$5:$A161,"&lt;="&amp;$A162,$B$5:$B161,$B162)&gt;0,MIN(1-'Exercise list'!G$2,IF($A162=$A161,AM161,1))-R162&lt;0),-1,MIN(1,IF($A162=$A161,AM161,1)-R162+$D$2))</f>
        <v>1</v>
      </c>
      <c r="AN162">
        <f>IF(OR($J162=1,COUNTIFS($A$5:$A161,"&gt;="&amp;$A162-1,$A$5:$A161,"&lt;="&amp;$A162,$B$5:$B161,$B162)&gt;0,MIN(1-'Exercise list'!H$2,IF($A162=$A161,AN161,1))-S162&lt;0),-1,MIN(1,IF($A162=$A161,AN161,1)-S162+$D$2))</f>
        <v>1</v>
      </c>
      <c r="AO162">
        <f>IF(OR($J162=1,COUNTIFS($A$5:$A161,"&gt;="&amp;$A162-1,$A$5:$A161,"&lt;="&amp;$A162,$B$5:$B161,$B162)&gt;0,MIN(1-'Exercise list'!I$2,IF($A162=$A161,AO161,1))-T162&lt;0),-1,MIN(1,IF($A162=$A161,AO161,1)-T162+$D$2))</f>
        <v>1</v>
      </c>
      <c r="AP162">
        <f>IF(OR($J162=1,COUNTIFS($A$5:$A161,"&gt;="&amp;$A162-1,$A$5:$A161,"&lt;="&amp;$A162,$B$5:$B161,$B162)&gt;0,MIN(1-'Exercise list'!J$2,IF($A162=$A161,AP161,1))-U162&lt;0),-1,MIN(1,IF($A162=$A161,AP161,1)-U162+$D$2))</f>
        <v>1</v>
      </c>
      <c r="AQ162">
        <f>IF(OR($J162=1,COUNTIFS($A$5:$A161,"&gt;="&amp;$A162-1,$A$5:$A161,"&lt;="&amp;$A162,$B$5:$B161,$B162)&gt;0,MIN(1-'Exercise list'!K$2,IF($A162=$A161,AQ161,1))-V162&lt;0),-1,MIN(1,IF($A162=$A161,AQ161,1)-V162+$D$2))</f>
        <v>1</v>
      </c>
      <c r="AR162">
        <f>IF(OR($J162=1,COUNTIFS($A$5:$A161,"&gt;="&amp;$A162-1,$A$5:$A161,"&lt;="&amp;$A162,$B$5:$B161,$B162)&gt;0,MIN(1-'Exercise list'!L$2,IF($A162=$A161,AR161,1))-W162&lt;0),-1,MIN(1,IF($A162=$A161,AR161,1)-W162+$D$2))</f>
        <v>1</v>
      </c>
      <c r="AS162">
        <f>IF(OR($J162=1,COUNTIFS($A$5:$A161,"&gt;="&amp;$A162-1,$A$5:$A161,"&lt;="&amp;$A162,$B$5:$B161,$B162)&gt;0,MIN(1-'Exercise list'!M$2,IF($A162=$A161,AS161,1))-X162&lt;0),-1,MIN(1,IF($A162=$A161,AS161,1)-X162+$D$2))</f>
        <v>1</v>
      </c>
      <c r="AT162">
        <f>IF(OR($J162=1,COUNTIFS($A$5:$A161,"&gt;="&amp;$A162-1,$A$5:$A161,"&lt;="&amp;$A162,$B$5:$B161,$B162)&gt;0,MIN(1-'Exercise list'!N$2,IF($A162=$A161,AT161,1))-Y162&lt;0),-1,MIN(1,IF($A162=$A161,AT161,1)-Y162+$D$2))</f>
        <v>1</v>
      </c>
      <c r="AU162">
        <f>IF(OR($J162=1,COUNTIFS($A$5:$A161,"&gt;="&amp;$A162-1,$A$5:$A161,"&lt;="&amp;$A162,$B$5:$B161,$B162)&gt;0,MIN(1-'Exercise list'!O$2,IF($A162=$A161,AU161,1))-Z162&lt;0),-1,MIN(1,IF($A162=$A161,AU161,1)-Z162+$D$2))</f>
        <v>1</v>
      </c>
      <c r="AV162">
        <f>IF(OR($J162=1,COUNTIFS($A$5:$A161,"&gt;="&amp;$A162-1,$A$5:$A161,"&lt;="&amp;$A162,$B$5:$B161,$B162)&gt;0,MIN(1-'Exercise list'!P$2,IF($A162=$A161,AV161,1))-AA162&lt;0),-1,MIN(1,IF($A162=$A161,AV161,1)-AA162+$D$2))</f>
        <v>1</v>
      </c>
      <c r="AW162">
        <f>IF(OR($J162=1,COUNTIFS($A$5:$A161,"&gt;="&amp;$A162-1,$A$5:$A161,"&lt;="&amp;$A162,$B$5:$B161,$B162)&gt;0,MIN(1-'Exercise list'!Q$2,IF($A162=$A161,AW161,1))-AB162&lt;0),-1,MIN(1,IF($A162=$A161,AW161,1)-AB162+$D$2))</f>
        <v>1</v>
      </c>
      <c r="AX162">
        <f>IF(OR($J162=1,COUNTIFS($A$5:$A161,"&gt;="&amp;$A162-1,$A$5:$A161,"&lt;="&amp;$A162,$B$5:$B161,$B162)&gt;0,MIN(1-'Exercise list'!R$2,IF($A162=$A161,AX161,1))-AC162&lt;0),-1,MIN(1,IF($A162=$A161,AX161,1)-AC162+$D$2))</f>
        <v>1</v>
      </c>
      <c r="AY162">
        <f>IF(OR($J162=1,COUNTIFS($A$5:$A161,"&gt;="&amp;$A162-1,$A$5:$A161,"&lt;="&amp;$A162,$B$5:$B161,$B162)&gt;0,MIN(1-'Exercise list'!S$2,IF($A162=$A161,AY161,1))-AD162&lt;0),-1,MIN(1,IF($A162=$A161,AY161,1)-AD162+$D$2))</f>
        <v>1</v>
      </c>
      <c r="AZ162">
        <f>IF(OR($J162=1,COUNTIFS($A$5:$A161,"&gt;="&amp;$A162-1,$A$5:$A161,"&lt;="&amp;$A162,$B$5:$B161,$B162)&gt;0,MIN(1-'Exercise list'!T$2,IF($A162=$A161,AZ161,1))-AE162&lt;0),-1,MIN(1,IF($A162=$A161,AZ161,1)-AE162+$D$2))</f>
        <v>1</v>
      </c>
      <c r="BA162">
        <f>IF(OR($J162=1,COUNTIFS($A$5:$A161,"&gt;="&amp;$A162-1,$A$5:$A161,"&lt;="&amp;$A162,$B$5:$B161,$B162)&gt;0,MIN(1-'Exercise list'!U$2,IF($A162=$A161,BA161,1))-AF162&lt;0),-1,MIN(1,IF($A162=$A161,BA161,1)-AF162+$D$2))</f>
        <v>1</v>
      </c>
      <c r="BB162">
        <f>IF(OR($J162=1,COUNTIFS($A$5:$A161,"&gt;="&amp;$A162-1,$A$5:$A161,"&lt;="&amp;$A162,$B$5:$B161,$B162)&gt;0,MIN(1-'Exercise list'!V$2,IF($A162=$A161,BB161,1))-AG162&lt;0),-1,MIN(1,IF($A162=$A161,BB161,1)-AG162+$D$2))</f>
        <v>1</v>
      </c>
      <c r="BC162">
        <f>IF(OR($J162=1,COUNTIFS($A$5:$A161,"&gt;="&amp;$A162-1,$A$5:$A161,"&lt;="&amp;$A162,$B$5:$B161,$B162)&gt;0,MIN(1-'Exercise list'!W$2,IF($A162=$A161,BC161,1))-AH162&lt;0),-1,MIN(1,IF($A162=$A161,BC161,1)-AH162+$D$2))</f>
        <v>1</v>
      </c>
      <c r="BD162">
        <f>IF(OR($J162=1,COUNTIFS($A$5:$A161,"&gt;="&amp;$A162-1,$A$5:$A161,"&lt;="&amp;$A162,$B$5:$B161,$B162)&gt;0,MIN(1-'Exercise list'!X$2,IF($A162=$A161,BD161,1))-AI162&lt;0),-1,MIN(1,IF($A162=$A161,BD161,1)-AI162+$D$2))</f>
        <v>1</v>
      </c>
      <c r="BF162" s="16">
        <f t="shared" si="100"/>
        <v>0.19596031081758858</v>
      </c>
      <c r="BG162" s="16">
        <f t="shared" si="101"/>
        <v>0.21844636935459236</v>
      </c>
      <c r="BH162" s="16">
        <f t="shared" si="102"/>
        <v>0.14609696635987124</v>
      </c>
      <c r="BI162" s="16">
        <f t="shared" si="103"/>
        <v>0.13198015366034541</v>
      </c>
      <c r="BJ162" s="16">
        <f t="shared" si="104"/>
        <v>8.3367914198418713E-2</v>
      </c>
      <c r="BK162" s="16">
        <f t="shared" si="105"/>
        <v>0.10640640223148412</v>
      </c>
      <c r="BL162" s="16">
        <f t="shared" si="106"/>
        <v>0.21963504743569431</v>
      </c>
      <c r="BM162" s="16">
        <f t="shared" si="107"/>
        <v>3.8988008374820568E-3</v>
      </c>
      <c r="BN162" s="16">
        <f t="shared" si="108"/>
        <v>0.14537706087090876</v>
      </c>
      <c r="BO162" s="16">
        <f t="shared" si="109"/>
        <v>0.29209790661993401</v>
      </c>
      <c r="BP162" s="16">
        <f t="shared" si="110"/>
        <v>0.31584545163401867</v>
      </c>
      <c r="BQ162" s="16">
        <f t="shared" si="111"/>
        <v>0.1000007994126096</v>
      </c>
      <c r="BR162" s="16">
        <f t="shared" si="112"/>
        <v>0.13164487759885393</v>
      </c>
      <c r="BS162" s="16">
        <f t="shared" si="113"/>
        <v>2.9803550189863123E-2</v>
      </c>
      <c r="BT162" s="16">
        <f t="shared" si="114"/>
        <v>0.13492040904978705</v>
      </c>
      <c r="BU162" s="16">
        <f t="shared" si="115"/>
        <v>0.11703687414398131</v>
      </c>
      <c r="BV162" s="16">
        <f t="shared" si="116"/>
        <v>0.14633353213781661</v>
      </c>
      <c r="BW162" s="16">
        <f t="shared" si="117"/>
        <v>7.5588015111767173E-2</v>
      </c>
      <c r="BX162" s="16">
        <f t="shared" si="118"/>
        <v>8.0345659937185704E-2</v>
      </c>
      <c r="BY162" s="16">
        <f t="shared" si="119"/>
        <v>5.9014643151272549E-2</v>
      </c>
      <c r="CA162" s="16">
        <f t="shared" si="141"/>
        <v>6.5434480530392747E-3</v>
      </c>
      <c r="CB162" s="16">
        <f t="shared" si="122"/>
        <v>0</v>
      </c>
      <c r="CC162" s="16">
        <f t="shared" si="123"/>
        <v>0</v>
      </c>
      <c r="CD162" s="16">
        <f t="shared" si="124"/>
        <v>0</v>
      </c>
      <c r="CE162" s="16">
        <f t="shared" si="125"/>
        <v>1.7883965236895213E-2</v>
      </c>
      <c r="CF162" s="16">
        <f t="shared" si="126"/>
        <v>0.1973492360744577</v>
      </c>
      <c r="CG162" s="16">
        <f t="shared" si="127"/>
        <v>0</v>
      </c>
      <c r="CH162" s="16">
        <f t="shared" si="128"/>
        <v>9.7353078597831877E-2</v>
      </c>
      <c r="CI162" s="16">
        <f t="shared" si="129"/>
        <v>5.7126697999719089E-2</v>
      </c>
      <c r="CJ162" s="16">
        <f t="shared" si="130"/>
        <v>0</v>
      </c>
      <c r="CK162" s="16">
        <f t="shared" si="131"/>
        <v>0</v>
      </c>
      <c r="CL162" s="16">
        <f t="shared" si="132"/>
        <v>1.2510800227043262E-3</v>
      </c>
      <c r="CM162" s="16">
        <f t="shared" si="133"/>
        <v>7.0858881271773921E-2</v>
      </c>
      <c r="CN162" s="16">
        <f t="shared" si="134"/>
        <v>7.1448329245450803E-2</v>
      </c>
      <c r="CO162" s="16">
        <f t="shared" si="135"/>
        <v>0</v>
      </c>
      <c r="CP162" s="16">
        <f t="shared" si="136"/>
        <v>0</v>
      </c>
      <c r="CQ162" s="16">
        <f t="shared" si="137"/>
        <v>5.6170226732811246E-2</v>
      </c>
      <c r="CR162" s="16">
        <f t="shared" si="138"/>
        <v>2.5663864323546753E-2</v>
      </c>
      <c r="CS162" s="16">
        <f t="shared" si="139"/>
        <v>2.0906219498128223E-2</v>
      </c>
      <c r="CT162" s="16">
        <f t="shared" si="140"/>
        <v>4.2237236284041378E-2</v>
      </c>
    </row>
    <row r="163" spans="1:99" x14ac:dyDescent="0.25">
      <c r="A163" s="20">
        <v>45096</v>
      </c>
      <c r="B163" s="21">
        <v>4</v>
      </c>
      <c r="C163" s="22" t="str" cm="1">
        <f t="array" ref="C163">IF(B163="","",INDEX('Exercise list'!$C$5:$C$102,B163))</f>
        <v>Stair climbing machine</v>
      </c>
      <c r="D163" s="17">
        <f t="shared" ref="D163:D226" si="142">IF(C163="","",MIN(AK163:BD163))</f>
        <v>1</v>
      </c>
      <c r="E163" s="108">
        <f t="shared" si="120"/>
        <v>10</v>
      </c>
      <c r="F163" s="65" cm="1">
        <f t="array" ref="F163">IF(B163="","",0.1+IFERROR(INDEX($F$6:$F162,SUMPRODUCT(MAX(ROW($C$6:$C162)*($C163=$C$6:$C162))-ROW($A$5)))*0.9^($A163-INDEX($A$6:A162,SUMPRODUCT(MAX(ROW($C$6:$C162)*($C163=$C$6:$C162))-ROW($A$5)))),0))</f>
        <v>0.17123780598947436</v>
      </c>
      <c r="G163" s="25">
        <f>INDEX('Exercise list'!$Y$5:$Y$102,MATCH(C163,'Exercise list'!$C$5:$C$102,0))</f>
        <v>3</v>
      </c>
      <c r="H163" s="116">
        <f t="shared" ref="H163:H226" si="143">SQRT(SUMPRODUCT(CA163:CT163,CA163:CT163)/20)</f>
        <v>5.8400619814837434E-2</v>
      </c>
      <c r="I163" s="18">
        <f t="shared" ref="I163:I226" si="144">IF(A163&gt;A162,1,IF(A163&gt;A161,2,IF(A163&gt;A160,3,IF(A163&gt;A159,4,5))))</f>
        <v>5</v>
      </c>
      <c r="J163" s="18" cm="1">
        <f t="array" ref="J163">IF(B163="","",INDEX('Exercise list'!$D$5:$D$102,B163))</f>
        <v>0</v>
      </c>
      <c r="K163" s="17">
        <v>3</v>
      </c>
      <c r="L163" s="51" t="str" cm="1">
        <f t="array" ref="L163">IF(K163="","",INDEX('Exercise list'!$C$5:$C$102,K163))</f>
        <v>Rowing machine</v>
      </c>
      <c r="M163" s="18">
        <v>1</v>
      </c>
      <c r="N163" s="76" t="str" cm="1">
        <f t="array" ref="N163">IF(M163="","",INDEX('Exercise list'!$C$5:$C$102,M163))</f>
        <v>Cycling machine</v>
      </c>
      <c r="O163" s="19"/>
      <c r="P163" s="19">
        <f>IFERROR(INDEX('Exercise list'!$E$5:$X$102,MATCH($C163,'Exercise list'!$C$5:$C$102,0),MATCH(P$5,'Exercise list'!$E$4:$X$4,0)),0)</f>
        <v>0</v>
      </c>
      <c r="Q163" s="19">
        <f>IFERROR(INDEX('Exercise list'!$E$5:$X$102,MATCH($C163,'Exercise list'!$C$5:$C$102,0),MATCH(Q$5,'Exercise list'!$E$4:$X$4,0)),0)</f>
        <v>0</v>
      </c>
      <c r="R163" s="19">
        <f>IFERROR(INDEX('Exercise list'!$E$5:$X$102,MATCH($C163,'Exercise list'!$C$5:$C$102,0),MATCH(R$5,'Exercise list'!$E$4:$X$4,0)),0)</f>
        <v>0</v>
      </c>
      <c r="S163" s="19">
        <f>IFERROR(INDEX('Exercise list'!$E$5:$X$102,MATCH($C163,'Exercise list'!$C$5:$C$102,0),MATCH(S$5,'Exercise list'!$E$4:$X$4,0)),0)</f>
        <v>0</v>
      </c>
      <c r="T163" s="19">
        <f>IFERROR(INDEX('Exercise list'!$E$5:$X$102,MATCH($C163,'Exercise list'!$C$5:$C$102,0),MATCH(T$5,'Exercise list'!$E$4:$X$4,0)),0)</f>
        <v>0</v>
      </c>
      <c r="U163" s="19">
        <f>IFERROR(INDEX('Exercise list'!$E$5:$X$102,MATCH($C163,'Exercise list'!$C$5:$C$102,0),MATCH(U$5,'Exercise list'!$E$4:$X$4,0)),0)</f>
        <v>0</v>
      </c>
      <c r="V163" s="19">
        <f>IFERROR(INDEX('Exercise list'!$E$5:$X$102,MATCH($C163,'Exercise list'!$C$5:$C$102,0),MATCH(V$5,'Exercise list'!$E$4:$X$4,0)),0)</f>
        <v>0</v>
      </c>
      <c r="W163" s="19">
        <f>IFERROR(INDEX('Exercise list'!$E$5:$X$102,MATCH($C163,'Exercise list'!$C$5:$C$102,0),MATCH(W$5,'Exercise list'!$E$4:$X$4,0)),0)</f>
        <v>0</v>
      </c>
      <c r="X163" s="19">
        <f>IFERROR(INDEX('Exercise list'!$E$5:$X$102,MATCH($C163,'Exercise list'!$C$5:$C$102,0),MATCH(X$5,'Exercise list'!$E$4:$X$4,0)),0)</f>
        <v>0</v>
      </c>
      <c r="Y163" s="19">
        <f>IFERROR(INDEX('Exercise list'!$E$5:$X$102,MATCH($C163,'Exercise list'!$C$5:$C$102,0),MATCH(Y$5,'Exercise list'!$E$4:$X$4,0)),0)</f>
        <v>0</v>
      </c>
      <c r="Z163" s="19">
        <f>IFERROR(INDEX('Exercise list'!$E$5:$X$102,MATCH($C163,'Exercise list'!$C$5:$C$102,0),MATCH(Z$5,'Exercise list'!$E$4:$X$4,0)),0)</f>
        <v>0</v>
      </c>
      <c r="AA163" s="19">
        <f>IFERROR(INDEX('Exercise list'!$E$5:$X$102,MATCH($C163,'Exercise list'!$C$5:$C$102,0),MATCH(AA$5,'Exercise list'!$E$4:$X$4,0)),0)</f>
        <v>0</v>
      </c>
      <c r="AB163" s="19">
        <f>IFERROR(INDEX('Exercise list'!$E$5:$X$102,MATCH($C163,'Exercise list'!$C$5:$C$102,0),MATCH(AB$5,'Exercise list'!$E$4:$X$4,0)),0)</f>
        <v>0</v>
      </c>
      <c r="AC163" s="19">
        <f>IFERROR(INDEX('Exercise list'!$E$5:$X$102,MATCH($C163,'Exercise list'!$C$5:$C$102,0),MATCH(AC$5,'Exercise list'!$E$4:$X$4,0)),0)</f>
        <v>0</v>
      </c>
      <c r="AD163" s="19">
        <f>IFERROR(INDEX('Exercise list'!$E$5:$X$102,MATCH($C163,'Exercise list'!$C$5:$C$102,0),MATCH(AD$5,'Exercise list'!$E$4:$X$4,0)),0)</f>
        <v>1</v>
      </c>
      <c r="AE163" s="19">
        <f>IFERROR(INDEX('Exercise list'!$E$5:$X$102,MATCH($C163,'Exercise list'!$C$5:$C$102,0),MATCH(AE$5,'Exercise list'!$E$4:$X$4,0)),0)</f>
        <v>0.7</v>
      </c>
      <c r="AF163" s="19">
        <f>IFERROR(INDEX('Exercise list'!$E$5:$X$102,MATCH($C163,'Exercise list'!$C$5:$C$102,0),MATCH(AF$5,'Exercise list'!$E$4:$X$4,0)),0)</f>
        <v>0.7</v>
      </c>
      <c r="AG163" s="19">
        <f>IFERROR(INDEX('Exercise list'!$E$5:$X$102,MATCH($C163,'Exercise list'!$C$5:$C$102,0),MATCH(AG$5,'Exercise list'!$E$4:$X$4,0)),0)</f>
        <v>1</v>
      </c>
      <c r="AH163" s="19">
        <f>IFERROR(INDEX('Exercise list'!$E$5:$X$102,MATCH($C163,'Exercise list'!$C$5:$C$102,0),MATCH(AH$5,'Exercise list'!$E$4:$X$4,0)),0)</f>
        <v>0.5</v>
      </c>
      <c r="AI163" s="19">
        <f>IFERROR(INDEX('Exercise list'!$E$5:$X$102,MATCH($C163,'Exercise list'!$C$5:$C$102,0),MATCH(AI$5,'Exercise list'!$E$4:$X$4,0)),0)</f>
        <v>0</v>
      </c>
      <c r="AJ163" s="19"/>
      <c r="AK163" s="19">
        <f>IF(OR($J163=1,COUNTIFS($A$5:$A162,"&gt;="&amp;$A163-1,$A$5:$A162,"&lt;="&amp;$A163,$B$5:$B162,$B163)&gt;0,MIN(1-'Exercise list'!E$2,IF($A163=$A162,AK162,1))-P163&lt;0),-1,MIN(1,IF($A163=$A162,AK162,1)-P163+$D$2))</f>
        <v>1</v>
      </c>
      <c r="AL163" s="19">
        <f>IF(OR($J163=1,COUNTIFS($A$5:$A162,"&gt;="&amp;$A163-1,$A$5:$A162,"&lt;="&amp;$A163,$B$5:$B162,$B163)&gt;0,MIN(1-'Exercise list'!F$2,IF($A163=$A162,AL162,1))-Q163&lt;0),-1,MIN(1,IF($A163=$A162,AL162,1)-Q163+$D$2))</f>
        <v>1</v>
      </c>
      <c r="AM163" s="19">
        <f>IF(OR($J163=1,COUNTIFS($A$5:$A162,"&gt;="&amp;$A163-1,$A$5:$A162,"&lt;="&amp;$A163,$B$5:$B162,$B163)&gt;0,MIN(1-'Exercise list'!G$2,IF($A163=$A162,AM162,1))-R163&lt;0),-1,MIN(1,IF($A163=$A162,AM162,1)-R163+$D$2))</f>
        <v>1</v>
      </c>
      <c r="AN163" s="19">
        <f>IF(OR($J163=1,COUNTIFS($A$5:$A162,"&gt;="&amp;$A163-1,$A$5:$A162,"&lt;="&amp;$A163,$B$5:$B162,$B163)&gt;0,MIN(1-'Exercise list'!H$2,IF($A163=$A162,AN162,1))-S163&lt;0),-1,MIN(1,IF($A163=$A162,AN162,1)-S163+$D$2))</f>
        <v>1</v>
      </c>
      <c r="AO163" s="19">
        <f>IF(OR($J163=1,COUNTIFS($A$5:$A162,"&gt;="&amp;$A163-1,$A$5:$A162,"&lt;="&amp;$A163,$B$5:$B162,$B163)&gt;0,MIN(1-'Exercise list'!I$2,IF($A163=$A162,AO162,1))-T163&lt;0),-1,MIN(1,IF($A163=$A162,AO162,1)-T163+$D$2))</f>
        <v>1</v>
      </c>
      <c r="AP163" s="19">
        <f>IF(OR($J163=1,COUNTIFS($A$5:$A162,"&gt;="&amp;$A163-1,$A$5:$A162,"&lt;="&amp;$A163,$B$5:$B162,$B163)&gt;0,MIN(1-'Exercise list'!J$2,IF($A163=$A162,AP162,1))-U163&lt;0),-1,MIN(1,IF($A163=$A162,AP162,1)-U163+$D$2))</f>
        <v>1</v>
      </c>
      <c r="AQ163" s="19">
        <f>IF(OR($J163=1,COUNTIFS($A$5:$A162,"&gt;="&amp;$A163-1,$A$5:$A162,"&lt;="&amp;$A163,$B$5:$B162,$B163)&gt;0,MIN(1-'Exercise list'!K$2,IF($A163=$A162,AQ162,1))-V163&lt;0),-1,MIN(1,IF($A163=$A162,AQ162,1)-V163+$D$2))</f>
        <v>1</v>
      </c>
      <c r="AR163" s="19">
        <f>IF(OR($J163=1,COUNTIFS($A$5:$A162,"&gt;="&amp;$A163-1,$A$5:$A162,"&lt;="&amp;$A163,$B$5:$B162,$B163)&gt;0,MIN(1-'Exercise list'!L$2,IF($A163=$A162,AR162,1))-W163&lt;0),-1,MIN(1,IF($A163=$A162,AR162,1)-W163+$D$2))</f>
        <v>1</v>
      </c>
      <c r="AS163" s="19">
        <f>IF(OR($J163=1,COUNTIFS($A$5:$A162,"&gt;="&amp;$A163-1,$A$5:$A162,"&lt;="&amp;$A163,$B$5:$B162,$B163)&gt;0,MIN(1-'Exercise list'!M$2,IF($A163=$A162,AS162,1))-X163&lt;0),-1,MIN(1,IF($A163=$A162,AS162,1)-X163+$D$2))</f>
        <v>1</v>
      </c>
      <c r="AT163" s="19">
        <f>IF(OR($J163=1,COUNTIFS($A$5:$A162,"&gt;="&amp;$A163-1,$A$5:$A162,"&lt;="&amp;$A163,$B$5:$B162,$B163)&gt;0,MIN(1-'Exercise list'!N$2,IF($A163=$A162,AT162,1))-Y163&lt;0),-1,MIN(1,IF($A163=$A162,AT162,1)-Y163+$D$2))</f>
        <v>1</v>
      </c>
      <c r="AU163" s="19">
        <f>IF(OR($J163=1,COUNTIFS($A$5:$A162,"&gt;="&amp;$A163-1,$A$5:$A162,"&lt;="&amp;$A163,$B$5:$B162,$B163)&gt;0,MIN(1-'Exercise list'!O$2,IF($A163=$A162,AU162,1))-Z163&lt;0),-1,MIN(1,IF($A163=$A162,AU162,1)-Z163+$D$2))</f>
        <v>1</v>
      </c>
      <c r="AV163" s="19">
        <f>IF(OR($J163=1,COUNTIFS($A$5:$A162,"&gt;="&amp;$A163-1,$A$5:$A162,"&lt;="&amp;$A163,$B$5:$B162,$B163)&gt;0,MIN(1-'Exercise list'!P$2,IF($A163=$A162,AV162,1))-AA163&lt;0),-1,MIN(1,IF($A163=$A162,AV162,1)-AA163+$D$2))</f>
        <v>1</v>
      </c>
      <c r="AW163" s="19">
        <f>IF(OR($J163=1,COUNTIFS($A$5:$A162,"&gt;="&amp;$A163-1,$A$5:$A162,"&lt;="&amp;$A163,$B$5:$B162,$B163)&gt;0,MIN(1-'Exercise list'!Q$2,IF($A163=$A162,AW162,1))-AB163&lt;0),-1,MIN(1,IF($A163=$A162,AW162,1)-AB163+$D$2))</f>
        <v>1</v>
      </c>
      <c r="AX163" s="19">
        <f>IF(OR($J163=1,COUNTIFS($A$5:$A162,"&gt;="&amp;$A163-1,$A$5:$A162,"&lt;="&amp;$A163,$B$5:$B162,$B163)&gt;0,MIN(1-'Exercise list'!R$2,IF($A163=$A162,AX162,1))-AC163&lt;0),-1,MIN(1,IF($A163=$A162,AX162,1)-AC163+$D$2))</f>
        <v>1</v>
      </c>
      <c r="AY163" s="19">
        <f>IF(OR($J163=1,COUNTIFS($A$5:$A162,"&gt;="&amp;$A163-1,$A$5:$A162,"&lt;="&amp;$A163,$B$5:$B162,$B163)&gt;0,MIN(1-'Exercise list'!S$2,IF($A163=$A162,AY162,1))-AD163&lt;0),-1,MIN(1,IF($A163=$A162,AY162,1)-AD163+$D$2))</f>
        <v>1</v>
      </c>
      <c r="AZ163" s="19">
        <f>IF(OR($J163=1,COUNTIFS($A$5:$A162,"&gt;="&amp;$A163-1,$A$5:$A162,"&lt;="&amp;$A163,$B$5:$B162,$B163)&gt;0,MIN(1-'Exercise list'!T$2,IF($A163=$A162,AZ162,1))-AE163&lt;0),-1,MIN(1,IF($A163=$A162,AZ162,1)-AE163+$D$2))</f>
        <v>1</v>
      </c>
      <c r="BA163" s="19">
        <f>IF(OR($J163=1,COUNTIFS($A$5:$A162,"&gt;="&amp;$A163-1,$A$5:$A162,"&lt;="&amp;$A163,$B$5:$B162,$B163)&gt;0,MIN(1-'Exercise list'!U$2,IF($A163=$A162,BA162,1))-AF163&lt;0),-1,MIN(1,IF($A163=$A162,BA162,1)-AF163+$D$2))</f>
        <v>1</v>
      </c>
      <c r="BB163" s="19">
        <f>IF(OR($J163=1,COUNTIFS($A$5:$A162,"&gt;="&amp;$A163-1,$A$5:$A162,"&lt;="&amp;$A163,$B$5:$B162,$B163)&gt;0,MIN(1-'Exercise list'!V$2,IF($A163=$A162,BB162,1))-AG163&lt;0),-1,MIN(1,IF($A163=$A162,BB162,1)-AG163+$D$2))</f>
        <v>1</v>
      </c>
      <c r="BC163" s="19">
        <f>IF(OR($J163=1,COUNTIFS($A$5:$A162,"&gt;="&amp;$A163-1,$A$5:$A162,"&lt;="&amp;$A163,$B$5:$B162,$B163)&gt;0,MIN(1-'Exercise list'!W$2,IF($A163=$A162,BC162,1))-AH163&lt;0),-1,MIN(1,IF($A163=$A162,BC162,1)-AH163+$D$2))</f>
        <v>1</v>
      </c>
      <c r="BD163" s="19">
        <f>IF(OR($J163=1,COUNTIFS($A$5:$A162,"&gt;="&amp;$A163-1,$A$5:$A162,"&lt;="&amp;$A163,$B$5:$B162,$B163)&gt;0,MIN(1-'Exercise list'!X$2,IF($A163=$A162,BD162,1))-AI163&lt;0),-1,MIN(1,IF($A163=$A162,BD162,1)-AI163+$D$2))</f>
        <v>1</v>
      </c>
      <c r="BE163" s="19"/>
      <c r="BF163" s="23">
        <f t="shared" ref="BF163:BF226" si="145">IF($B163&lt;6,BF162,$AN$2*P163+(1-$AN$2)*BF162)</f>
        <v>0.19596031081758858</v>
      </c>
      <c r="BG163" s="23">
        <f t="shared" ref="BG163:BG226" si="146">IF($B163&lt;6,BG162,$AN$2*Q163+(1-$AN$2)*BG162)</f>
        <v>0.21844636935459236</v>
      </c>
      <c r="BH163" s="23">
        <f t="shared" ref="BH163:BH226" si="147">IF($B163&lt;6,BH162,$AN$2*R163+(1-$AN$2)*BH162)</f>
        <v>0.14609696635987124</v>
      </c>
      <c r="BI163" s="23">
        <f t="shared" ref="BI163:BI226" si="148">IF($B163&lt;6,BI162,$AN$2*S163+(1-$AN$2)*BI162)</f>
        <v>0.13198015366034541</v>
      </c>
      <c r="BJ163" s="23">
        <f t="shared" ref="BJ163:BJ226" si="149">IF($B163&lt;6,BJ162,$AN$2*T163+(1-$AN$2)*BJ162)</f>
        <v>8.3367914198418713E-2</v>
      </c>
      <c r="BK163" s="23">
        <f t="shared" ref="BK163:BK226" si="150">IF($B163&lt;6,BK162,$AN$2*U163+(1-$AN$2)*BK162)</f>
        <v>0.10640640223148412</v>
      </c>
      <c r="BL163" s="23">
        <f t="shared" ref="BL163:BL226" si="151">IF($B163&lt;6,BL162,$AN$2*V163+(1-$AN$2)*BL162)</f>
        <v>0.21963504743569431</v>
      </c>
      <c r="BM163" s="23">
        <f t="shared" ref="BM163:BM226" si="152">IF($B163&lt;6,BM162,$AN$2*W163+(1-$AN$2)*BM162)</f>
        <v>3.8988008374820568E-3</v>
      </c>
      <c r="BN163" s="23">
        <f t="shared" ref="BN163:BN226" si="153">IF($B163&lt;6,BN162,$AN$2*X163+(1-$AN$2)*BN162)</f>
        <v>0.14537706087090876</v>
      </c>
      <c r="BO163" s="23">
        <f t="shared" ref="BO163:BO226" si="154">IF($B163&lt;6,BO162,$AN$2*Y163+(1-$AN$2)*BO162)</f>
        <v>0.29209790661993401</v>
      </c>
      <c r="BP163" s="23">
        <f t="shared" ref="BP163:BP226" si="155">IF($B163&lt;6,BP162,$AN$2*Z163+(1-$AN$2)*BP162)</f>
        <v>0.31584545163401867</v>
      </c>
      <c r="BQ163" s="23">
        <f t="shared" ref="BQ163:BQ226" si="156">IF($B163&lt;6,BQ162,$AN$2*AA163+(1-$AN$2)*BQ162)</f>
        <v>0.1000007994126096</v>
      </c>
      <c r="BR163" s="23">
        <f t="shared" ref="BR163:BR226" si="157">IF($B163&lt;6,BR162,$AN$2*AB163+(1-$AN$2)*BR162)</f>
        <v>0.13164487759885393</v>
      </c>
      <c r="BS163" s="23">
        <f t="shared" ref="BS163:BS226" si="158">IF($B163&lt;6,BS162,$AN$2*AC163+(1-$AN$2)*BS162)</f>
        <v>2.9803550189863123E-2</v>
      </c>
      <c r="BT163" s="23">
        <f t="shared" ref="BT163:BT226" si="159">IF($B163&lt;6,BT162,$AN$2*AD163+(1-$AN$2)*BT162)</f>
        <v>0.13492040904978705</v>
      </c>
      <c r="BU163" s="23">
        <f t="shared" ref="BU163:BU226" si="160">IF($B163&lt;6,BU162,$AN$2*AE163+(1-$AN$2)*BU162)</f>
        <v>0.11703687414398131</v>
      </c>
      <c r="BV163" s="23">
        <f t="shared" ref="BV163:BV226" si="161">IF($B163&lt;6,BV162,$AN$2*AF163+(1-$AN$2)*BV162)</f>
        <v>0.14633353213781661</v>
      </c>
      <c r="BW163" s="23">
        <f t="shared" ref="BW163:BW226" si="162">IF($B163&lt;6,BW162,$AN$2*AG163+(1-$AN$2)*BW162)</f>
        <v>7.5588015111767173E-2</v>
      </c>
      <c r="BX163" s="23">
        <f t="shared" ref="BX163:BX226" si="163">IF($B163&lt;6,BX162,$AN$2*AH163+(1-$AN$2)*BX162)</f>
        <v>8.0345659937185704E-2</v>
      </c>
      <c r="BY163" s="23">
        <f t="shared" ref="BY163:BY226" si="164">IF($B163&lt;6,BY162,$AN$2*AI163+(1-$AN$2)*BY162)</f>
        <v>5.9014643151272549E-2</v>
      </c>
      <c r="BZ163" s="19"/>
      <c r="CA163" s="23">
        <f t="shared" si="141"/>
        <v>6.5434480530392747E-3</v>
      </c>
      <c r="CB163" s="23">
        <f t="shared" si="122"/>
        <v>0</v>
      </c>
      <c r="CC163" s="23">
        <f t="shared" si="123"/>
        <v>0</v>
      </c>
      <c r="CD163" s="23">
        <f t="shared" si="124"/>
        <v>0</v>
      </c>
      <c r="CE163" s="23">
        <f t="shared" si="125"/>
        <v>1.7883965236895213E-2</v>
      </c>
      <c r="CF163" s="23">
        <f t="shared" si="126"/>
        <v>0.1973492360744577</v>
      </c>
      <c r="CG163" s="23">
        <f t="shared" si="127"/>
        <v>0</v>
      </c>
      <c r="CH163" s="23">
        <f t="shared" si="128"/>
        <v>9.7353078597831877E-2</v>
      </c>
      <c r="CI163" s="23">
        <f t="shared" si="129"/>
        <v>5.7126697999719089E-2</v>
      </c>
      <c r="CJ163" s="23">
        <f t="shared" si="130"/>
        <v>0</v>
      </c>
      <c r="CK163" s="23">
        <f t="shared" si="131"/>
        <v>0</v>
      </c>
      <c r="CL163" s="23">
        <f t="shared" si="132"/>
        <v>1.2510800227043262E-3</v>
      </c>
      <c r="CM163" s="23">
        <f t="shared" si="133"/>
        <v>7.0858881271773921E-2</v>
      </c>
      <c r="CN163" s="23">
        <f t="shared" si="134"/>
        <v>7.1448329245450803E-2</v>
      </c>
      <c r="CO163" s="23">
        <f t="shared" si="135"/>
        <v>0</v>
      </c>
      <c r="CP163" s="23">
        <f t="shared" si="136"/>
        <v>0</v>
      </c>
      <c r="CQ163" s="23">
        <f t="shared" si="137"/>
        <v>5.6170226732811246E-2</v>
      </c>
      <c r="CR163" s="23">
        <f t="shared" si="138"/>
        <v>2.5663864323546753E-2</v>
      </c>
      <c r="CS163" s="23">
        <f t="shared" si="139"/>
        <v>2.0906219498128223E-2</v>
      </c>
      <c r="CT163" s="23">
        <f t="shared" si="140"/>
        <v>4.2237236284041378E-2</v>
      </c>
      <c r="CU163" s="19"/>
    </row>
    <row r="164" spans="1:99" x14ac:dyDescent="0.25">
      <c r="A164" s="13"/>
      <c r="B164" s="14"/>
      <c r="C164" s="15" t="str" cm="1">
        <f t="array" ref="C164">IF(B164="","",INDEX('Exercise list'!$C$5:$C$102,B164))</f>
        <v/>
      </c>
      <c r="D164" s="12" t="str">
        <f t="shared" si="142"/>
        <v/>
      </c>
      <c r="E164" s="107" t="str">
        <f t="shared" ref="E164:E227" si="165">IF(C164="","",IFERROR(
(1+9*(F164-$F$3)/($F$4-$F$3))^$F$2*
IF(B164&lt;=5,1,
(1+9*(G164-$G$3)/($G$4-$G$3))^$G$2*
(1+9*(H164-$H$3)/($H$4-$H$3))^$H$2),
0))</f>
        <v/>
      </c>
      <c r="F164" s="63" t="str" cm="1">
        <f t="array" ref="F164">IF(B164="","",0.1+IFERROR(INDEX($F$6:$F163,SUMPRODUCT(MAX(ROW($C$6:$C163)*($C164=$C$6:$C163))-ROW($A$5)))*0.9^($A164-INDEX($A$6:A163,SUMPRODUCT(MAX(ROW($C$6:$C163)*($C164=$C$6:$C163))-ROW($A$5)))),0))</f>
        <v/>
      </c>
      <c r="G164" s="64" t="e">
        <f>INDEX('Exercise list'!$Y$5:$Y$102,MATCH(C164,'Exercise list'!$C$5:$C$102,0))</f>
        <v>#N/A</v>
      </c>
      <c r="H164" s="115">
        <f t="shared" si="143"/>
        <v>0</v>
      </c>
      <c r="I164" s="42">
        <f t="shared" si="144"/>
        <v>5</v>
      </c>
      <c r="J164" s="6" t="str" cm="1">
        <f t="array" ref="J164">IF(B164="","",INDEX('Exercise list'!$D$5:$D$102,B164))</f>
        <v/>
      </c>
      <c r="K164" s="12">
        <v>25</v>
      </c>
      <c r="L164" s="74" t="str" cm="1">
        <f t="array" ref="L164">IF(K164="","",INDEX('Exercise list'!$C$5:$C$102,K164))</f>
        <v>Dumbbell decline bench presses</v>
      </c>
      <c r="M164" s="6">
        <v>10</v>
      </c>
      <c r="N164" s="75" t="str" cm="1">
        <f t="array" ref="N164">IF(M164="","",INDEX('Exercise list'!$C$5:$C$102,M164))</f>
        <v>Cable seated rows</v>
      </c>
      <c r="P164">
        <f>IFERROR(INDEX('Exercise list'!$E$5:$X$102,MATCH($C164,'Exercise list'!$C$5:$C$102,0),MATCH(P$5,'Exercise list'!$E$4:$X$4,0)),0)</f>
        <v>0</v>
      </c>
      <c r="Q164">
        <f>IFERROR(INDEX('Exercise list'!$E$5:$X$102,MATCH($C164,'Exercise list'!$C$5:$C$102,0),MATCH(Q$5,'Exercise list'!$E$4:$X$4,0)),0)</f>
        <v>0</v>
      </c>
      <c r="R164">
        <f>IFERROR(INDEX('Exercise list'!$E$5:$X$102,MATCH($C164,'Exercise list'!$C$5:$C$102,0),MATCH(R$5,'Exercise list'!$E$4:$X$4,0)),0)</f>
        <v>0</v>
      </c>
      <c r="S164">
        <f>IFERROR(INDEX('Exercise list'!$E$5:$X$102,MATCH($C164,'Exercise list'!$C$5:$C$102,0),MATCH(S$5,'Exercise list'!$E$4:$X$4,0)),0)</f>
        <v>0</v>
      </c>
      <c r="T164">
        <f>IFERROR(INDEX('Exercise list'!$E$5:$X$102,MATCH($C164,'Exercise list'!$C$5:$C$102,0),MATCH(T$5,'Exercise list'!$E$4:$X$4,0)),0)</f>
        <v>0</v>
      </c>
      <c r="U164">
        <f>IFERROR(INDEX('Exercise list'!$E$5:$X$102,MATCH($C164,'Exercise list'!$C$5:$C$102,0),MATCH(U$5,'Exercise list'!$E$4:$X$4,0)),0)</f>
        <v>0</v>
      </c>
      <c r="V164">
        <f>IFERROR(INDEX('Exercise list'!$E$5:$X$102,MATCH($C164,'Exercise list'!$C$5:$C$102,0),MATCH(V$5,'Exercise list'!$E$4:$X$4,0)),0)</f>
        <v>0</v>
      </c>
      <c r="W164">
        <f>IFERROR(INDEX('Exercise list'!$E$5:$X$102,MATCH($C164,'Exercise list'!$C$5:$C$102,0),MATCH(W$5,'Exercise list'!$E$4:$X$4,0)),0)</f>
        <v>0</v>
      </c>
      <c r="X164">
        <f>IFERROR(INDEX('Exercise list'!$E$5:$X$102,MATCH($C164,'Exercise list'!$C$5:$C$102,0),MATCH(X$5,'Exercise list'!$E$4:$X$4,0)),0)</f>
        <v>0</v>
      </c>
      <c r="Y164">
        <f>IFERROR(INDEX('Exercise list'!$E$5:$X$102,MATCH($C164,'Exercise list'!$C$5:$C$102,0),MATCH(Y$5,'Exercise list'!$E$4:$X$4,0)),0)</f>
        <v>0</v>
      </c>
      <c r="Z164">
        <f>IFERROR(INDEX('Exercise list'!$E$5:$X$102,MATCH($C164,'Exercise list'!$C$5:$C$102,0),MATCH(Z$5,'Exercise list'!$E$4:$X$4,0)),0)</f>
        <v>0</v>
      </c>
      <c r="AA164">
        <f>IFERROR(INDEX('Exercise list'!$E$5:$X$102,MATCH($C164,'Exercise list'!$C$5:$C$102,0),MATCH(AA$5,'Exercise list'!$E$4:$X$4,0)),0)</f>
        <v>0</v>
      </c>
      <c r="AB164">
        <f>IFERROR(INDEX('Exercise list'!$E$5:$X$102,MATCH($C164,'Exercise list'!$C$5:$C$102,0),MATCH(AB$5,'Exercise list'!$E$4:$X$4,0)),0)</f>
        <v>0</v>
      </c>
      <c r="AC164">
        <f>IFERROR(INDEX('Exercise list'!$E$5:$X$102,MATCH($C164,'Exercise list'!$C$5:$C$102,0),MATCH(AC$5,'Exercise list'!$E$4:$X$4,0)),0)</f>
        <v>0</v>
      </c>
      <c r="AD164">
        <f>IFERROR(INDEX('Exercise list'!$E$5:$X$102,MATCH($C164,'Exercise list'!$C$5:$C$102,0),MATCH(AD$5,'Exercise list'!$E$4:$X$4,0)),0)</f>
        <v>0</v>
      </c>
      <c r="AE164">
        <f>IFERROR(INDEX('Exercise list'!$E$5:$X$102,MATCH($C164,'Exercise list'!$C$5:$C$102,0),MATCH(AE$5,'Exercise list'!$E$4:$X$4,0)),0)</f>
        <v>0</v>
      </c>
      <c r="AF164">
        <f>IFERROR(INDEX('Exercise list'!$E$5:$X$102,MATCH($C164,'Exercise list'!$C$5:$C$102,0),MATCH(AF$5,'Exercise list'!$E$4:$X$4,0)),0)</f>
        <v>0</v>
      </c>
      <c r="AG164">
        <f>IFERROR(INDEX('Exercise list'!$E$5:$X$102,MATCH($C164,'Exercise list'!$C$5:$C$102,0),MATCH(AG$5,'Exercise list'!$E$4:$X$4,0)),0)</f>
        <v>0</v>
      </c>
      <c r="AH164">
        <f>IFERROR(INDEX('Exercise list'!$E$5:$X$102,MATCH($C164,'Exercise list'!$C$5:$C$102,0),MATCH(AH$5,'Exercise list'!$E$4:$X$4,0)),0)</f>
        <v>0</v>
      </c>
      <c r="AI164">
        <f>IFERROR(INDEX('Exercise list'!$E$5:$X$102,MATCH($C164,'Exercise list'!$C$5:$C$102,0),MATCH(AI$5,'Exercise list'!$E$4:$X$4,0)),0)</f>
        <v>0</v>
      </c>
      <c r="AK164">
        <f>IF(OR($J164=1,COUNTIFS($A$5:$A163,"&gt;="&amp;$A164-1,$A$5:$A163,"&lt;="&amp;$A164,$B$5:$B163,$B164)&gt;0,MIN(1-'Exercise list'!E$2,IF($A164=$A163,AK163,1))-P164&lt;0),-1,MIN(1,IF($A164=$A163,AK163,1)-P164+$D$2))</f>
        <v>1</v>
      </c>
      <c r="AL164">
        <f>IF(OR($J164=1,COUNTIFS($A$5:$A163,"&gt;="&amp;$A164-1,$A$5:$A163,"&lt;="&amp;$A164,$B$5:$B163,$B164)&gt;0,MIN(1-'Exercise list'!F$2,IF($A164=$A163,AL163,1))-Q164&lt;0),-1,MIN(1,IF($A164=$A163,AL163,1)-Q164+$D$2))</f>
        <v>1</v>
      </c>
      <c r="AM164">
        <f>IF(OR($J164=1,COUNTIFS($A$5:$A163,"&gt;="&amp;$A164-1,$A$5:$A163,"&lt;="&amp;$A164,$B$5:$B163,$B164)&gt;0,MIN(1-'Exercise list'!G$2,IF($A164=$A163,AM163,1))-R164&lt;0),-1,MIN(1,IF($A164=$A163,AM163,1)-R164+$D$2))</f>
        <v>1</v>
      </c>
      <c r="AN164">
        <f>IF(OR($J164=1,COUNTIFS($A$5:$A163,"&gt;="&amp;$A164-1,$A$5:$A163,"&lt;="&amp;$A164,$B$5:$B163,$B164)&gt;0,MIN(1-'Exercise list'!H$2,IF($A164=$A163,AN163,1))-S164&lt;0),-1,MIN(1,IF($A164=$A163,AN163,1)-S164+$D$2))</f>
        <v>1</v>
      </c>
      <c r="AO164">
        <f>IF(OR($J164=1,COUNTIFS($A$5:$A163,"&gt;="&amp;$A164-1,$A$5:$A163,"&lt;="&amp;$A164,$B$5:$B163,$B164)&gt;0,MIN(1-'Exercise list'!I$2,IF($A164=$A163,AO163,1))-T164&lt;0),-1,MIN(1,IF($A164=$A163,AO163,1)-T164+$D$2))</f>
        <v>1</v>
      </c>
      <c r="AP164">
        <f>IF(OR($J164=1,COUNTIFS($A$5:$A163,"&gt;="&amp;$A164-1,$A$5:$A163,"&lt;="&amp;$A164,$B$5:$B163,$B164)&gt;0,MIN(1-'Exercise list'!J$2,IF($A164=$A163,AP163,1))-U164&lt;0),-1,MIN(1,IF($A164=$A163,AP163,1)-U164+$D$2))</f>
        <v>1</v>
      </c>
      <c r="AQ164">
        <f>IF(OR($J164=1,COUNTIFS($A$5:$A163,"&gt;="&amp;$A164-1,$A$5:$A163,"&lt;="&amp;$A164,$B$5:$B163,$B164)&gt;0,MIN(1-'Exercise list'!K$2,IF($A164=$A163,AQ163,1))-V164&lt;0),-1,MIN(1,IF($A164=$A163,AQ163,1)-V164+$D$2))</f>
        <v>1</v>
      </c>
      <c r="AR164">
        <f>IF(OR($J164=1,COUNTIFS($A$5:$A163,"&gt;="&amp;$A164-1,$A$5:$A163,"&lt;="&amp;$A164,$B$5:$B163,$B164)&gt;0,MIN(1-'Exercise list'!L$2,IF($A164=$A163,AR163,1))-W164&lt;0),-1,MIN(1,IF($A164=$A163,AR163,1)-W164+$D$2))</f>
        <v>1</v>
      </c>
      <c r="AS164">
        <f>IF(OR($J164=1,COUNTIFS($A$5:$A163,"&gt;="&amp;$A164-1,$A$5:$A163,"&lt;="&amp;$A164,$B$5:$B163,$B164)&gt;0,MIN(1-'Exercise list'!M$2,IF($A164=$A163,AS163,1))-X164&lt;0),-1,MIN(1,IF($A164=$A163,AS163,1)-X164+$D$2))</f>
        <v>1</v>
      </c>
      <c r="AT164">
        <f>IF(OR($J164=1,COUNTIFS($A$5:$A163,"&gt;="&amp;$A164-1,$A$5:$A163,"&lt;="&amp;$A164,$B$5:$B163,$B164)&gt;0,MIN(1-'Exercise list'!N$2,IF($A164=$A163,AT163,1))-Y164&lt;0),-1,MIN(1,IF($A164=$A163,AT163,1)-Y164+$D$2))</f>
        <v>1</v>
      </c>
      <c r="AU164">
        <f>IF(OR($J164=1,COUNTIFS($A$5:$A163,"&gt;="&amp;$A164-1,$A$5:$A163,"&lt;="&amp;$A164,$B$5:$B163,$B164)&gt;0,MIN(1-'Exercise list'!O$2,IF($A164=$A163,AU163,1))-Z164&lt;0),-1,MIN(1,IF($A164=$A163,AU163,1)-Z164+$D$2))</f>
        <v>1</v>
      </c>
      <c r="AV164">
        <f>IF(OR($J164=1,COUNTIFS($A$5:$A163,"&gt;="&amp;$A164-1,$A$5:$A163,"&lt;="&amp;$A164,$B$5:$B163,$B164)&gt;0,MIN(1-'Exercise list'!P$2,IF($A164=$A163,AV163,1))-AA164&lt;0),-1,MIN(1,IF($A164=$A163,AV163,1)-AA164+$D$2))</f>
        <v>1</v>
      </c>
      <c r="AW164">
        <f>IF(OR($J164=1,COUNTIFS($A$5:$A163,"&gt;="&amp;$A164-1,$A$5:$A163,"&lt;="&amp;$A164,$B$5:$B163,$B164)&gt;0,MIN(1-'Exercise list'!Q$2,IF($A164=$A163,AW163,1))-AB164&lt;0),-1,MIN(1,IF($A164=$A163,AW163,1)-AB164+$D$2))</f>
        <v>1</v>
      </c>
      <c r="AX164">
        <f>IF(OR($J164=1,COUNTIFS($A$5:$A163,"&gt;="&amp;$A164-1,$A$5:$A163,"&lt;="&amp;$A164,$B$5:$B163,$B164)&gt;0,MIN(1-'Exercise list'!R$2,IF($A164=$A163,AX163,1))-AC164&lt;0),-1,MIN(1,IF($A164=$A163,AX163,1)-AC164+$D$2))</f>
        <v>1</v>
      </c>
      <c r="AY164">
        <f>IF(OR($J164=1,COUNTIFS($A$5:$A163,"&gt;="&amp;$A164-1,$A$5:$A163,"&lt;="&amp;$A164,$B$5:$B163,$B164)&gt;0,MIN(1-'Exercise list'!S$2,IF($A164=$A163,AY163,1))-AD164&lt;0),-1,MIN(1,IF($A164=$A163,AY163,1)-AD164+$D$2))</f>
        <v>1</v>
      </c>
      <c r="AZ164">
        <f>IF(OR($J164=1,COUNTIFS($A$5:$A163,"&gt;="&amp;$A164-1,$A$5:$A163,"&lt;="&amp;$A164,$B$5:$B163,$B164)&gt;0,MIN(1-'Exercise list'!T$2,IF($A164=$A163,AZ163,1))-AE164&lt;0),-1,MIN(1,IF($A164=$A163,AZ163,1)-AE164+$D$2))</f>
        <v>1</v>
      </c>
      <c r="BA164">
        <f>IF(OR($J164=1,COUNTIFS($A$5:$A163,"&gt;="&amp;$A164-1,$A$5:$A163,"&lt;="&amp;$A164,$B$5:$B163,$B164)&gt;0,MIN(1-'Exercise list'!U$2,IF($A164=$A163,BA163,1))-AF164&lt;0),-1,MIN(1,IF($A164=$A163,BA163,1)-AF164+$D$2))</f>
        <v>1</v>
      </c>
      <c r="BB164">
        <f>IF(OR($J164=1,COUNTIFS($A$5:$A163,"&gt;="&amp;$A164-1,$A$5:$A163,"&lt;="&amp;$A164,$B$5:$B163,$B164)&gt;0,MIN(1-'Exercise list'!V$2,IF($A164=$A163,BB163,1))-AG164&lt;0),-1,MIN(1,IF($A164=$A163,BB163,1)-AG164+$D$2))</f>
        <v>1</v>
      </c>
      <c r="BC164">
        <f>IF(OR($J164=1,COUNTIFS($A$5:$A163,"&gt;="&amp;$A164-1,$A$5:$A163,"&lt;="&amp;$A164,$B$5:$B163,$B164)&gt;0,MIN(1-'Exercise list'!W$2,IF($A164=$A163,BC163,1))-AH164&lt;0),-1,MIN(1,IF($A164=$A163,BC163,1)-AH164+$D$2))</f>
        <v>1</v>
      </c>
      <c r="BD164">
        <f>IF(OR($J164=1,COUNTIFS($A$5:$A163,"&gt;="&amp;$A164-1,$A$5:$A163,"&lt;="&amp;$A164,$B$5:$B163,$B164)&gt;0,MIN(1-'Exercise list'!X$2,IF($A164=$A163,BD163,1))-AI164&lt;0),-1,MIN(1,IF($A164=$A163,BD163,1)-AI164+$D$2))</f>
        <v>1</v>
      </c>
      <c r="BF164" s="16">
        <f t="shared" si="145"/>
        <v>0.19596031081758858</v>
      </c>
      <c r="BG164" s="16">
        <f t="shared" si="146"/>
        <v>0.21844636935459236</v>
      </c>
      <c r="BH164" s="16">
        <f t="shared" si="147"/>
        <v>0.14609696635987124</v>
      </c>
      <c r="BI164" s="16">
        <f t="shared" si="148"/>
        <v>0.13198015366034541</v>
      </c>
      <c r="BJ164" s="16">
        <f t="shared" si="149"/>
        <v>8.3367914198418713E-2</v>
      </c>
      <c r="BK164" s="16">
        <f t="shared" si="150"/>
        <v>0.10640640223148412</v>
      </c>
      <c r="BL164" s="16">
        <f t="shared" si="151"/>
        <v>0.21963504743569431</v>
      </c>
      <c r="BM164" s="16">
        <f t="shared" si="152"/>
        <v>3.8988008374820568E-3</v>
      </c>
      <c r="BN164" s="16">
        <f t="shared" si="153"/>
        <v>0.14537706087090876</v>
      </c>
      <c r="BO164" s="16">
        <f t="shared" si="154"/>
        <v>0.29209790661993401</v>
      </c>
      <c r="BP164" s="16">
        <f t="shared" si="155"/>
        <v>0.31584545163401867</v>
      </c>
      <c r="BQ164" s="16">
        <f t="shared" si="156"/>
        <v>0.1000007994126096</v>
      </c>
      <c r="BR164" s="16">
        <f t="shared" si="157"/>
        <v>0.13164487759885393</v>
      </c>
      <c r="BS164" s="16">
        <f t="shared" si="158"/>
        <v>2.9803550189863123E-2</v>
      </c>
      <c r="BT164" s="16">
        <f t="shared" si="159"/>
        <v>0.13492040904978705</v>
      </c>
      <c r="BU164" s="16">
        <f t="shared" si="160"/>
        <v>0.11703687414398131</v>
      </c>
      <c r="BV164" s="16">
        <f t="shared" si="161"/>
        <v>0.14633353213781661</v>
      </c>
      <c r="BW164" s="16">
        <f t="shared" si="162"/>
        <v>7.5588015111767173E-2</v>
      </c>
      <c r="BX164" s="16">
        <f t="shared" si="163"/>
        <v>8.0345659937185704E-2</v>
      </c>
      <c r="BY164" s="16">
        <f t="shared" si="164"/>
        <v>5.9014643151272549E-2</v>
      </c>
      <c r="CA164" s="16" t="str">
        <f t="shared" si="141"/>
        <v/>
      </c>
      <c r="CB164" s="16" t="str">
        <f t="shared" si="122"/>
        <v/>
      </c>
      <c r="CC164" s="16" t="str">
        <f t="shared" si="123"/>
        <v/>
      </c>
      <c r="CD164" s="16" t="str">
        <f t="shared" si="124"/>
        <v/>
      </c>
      <c r="CE164" s="16" t="str">
        <f t="shared" si="125"/>
        <v/>
      </c>
      <c r="CF164" s="16" t="str">
        <f t="shared" si="126"/>
        <v/>
      </c>
      <c r="CG164" s="16" t="str">
        <f t="shared" si="127"/>
        <v/>
      </c>
      <c r="CH164" s="16" t="str">
        <f t="shared" si="128"/>
        <v/>
      </c>
      <c r="CI164" s="16" t="str">
        <f t="shared" si="129"/>
        <v/>
      </c>
      <c r="CJ164" s="16" t="str">
        <f t="shared" si="130"/>
        <v/>
      </c>
      <c r="CK164" s="16" t="str">
        <f t="shared" si="131"/>
        <v/>
      </c>
      <c r="CL164" s="16" t="str">
        <f t="shared" si="132"/>
        <v/>
      </c>
      <c r="CM164" s="16" t="str">
        <f t="shared" si="133"/>
        <v/>
      </c>
      <c r="CN164" s="16" t="str">
        <f t="shared" si="134"/>
        <v/>
      </c>
      <c r="CO164" s="16" t="str">
        <f t="shared" si="135"/>
        <v/>
      </c>
      <c r="CP164" s="16" t="str">
        <f t="shared" si="136"/>
        <v/>
      </c>
      <c r="CQ164" s="16" t="str">
        <f t="shared" si="137"/>
        <v/>
      </c>
      <c r="CR164" s="16" t="str">
        <f t="shared" si="138"/>
        <v/>
      </c>
      <c r="CS164" s="16" t="str">
        <f t="shared" si="139"/>
        <v/>
      </c>
      <c r="CT164" s="16" t="str">
        <f t="shared" si="140"/>
        <v/>
      </c>
    </row>
    <row r="165" spans="1:99" x14ac:dyDescent="0.25">
      <c r="A165" s="13"/>
      <c r="B165" s="14"/>
      <c r="C165" s="15" t="str" cm="1">
        <f t="array" ref="C165">IF(B165="","",INDEX('Exercise list'!$C$5:$C$102,B165))</f>
        <v/>
      </c>
      <c r="D165" s="12" t="str">
        <f t="shared" si="142"/>
        <v/>
      </c>
      <c r="E165" s="107" t="str">
        <f t="shared" si="165"/>
        <v/>
      </c>
      <c r="F165" s="63" t="str" cm="1">
        <f t="array" ref="F165">IF(B165="","",0.1+IFERROR(INDEX($F$6:$F164,SUMPRODUCT(MAX(ROW($C$6:$C164)*($C165=$C$6:$C164))-ROW($A$5)))*0.9^($A165-INDEX($A$6:A164,SUMPRODUCT(MAX(ROW($C$6:$C164)*($C165=$C$6:$C164))-ROW($A$5)))),0))</f>
        <v/>
      </c>
      <c r="G165" s="64" t="e">
        <f>INDEX('Exercise list'!$Y$5:$Y$102,MATCH(C165,'Exercise list'!$C$5:$C$102,0))</f>
        <v>#N/A</v>
      </c>
      <c r="H165" s="115">
        <f t="shared" si="143"/>
        <v>0</v>
      </c>
      <c r="I165" s="6">
        <f t="shared" si="144"/>
        <v>5</v>
      </c>
      <c r="J165" s="6" t="str" cm="1">
        <f t="array" ref="J165">IF(B165="","",INDEX('Exercise list'!$D$5:$D$102,B165))</f>
        <v/>
      </c>
      <c r="K165" s="12">
        <v>48</v>
      </c>
      <c r="L165" s="74" t="str" cm="1">
        <f t="array" ref="L165">IF(K165="","",INDEX('Exercise list'!$C$5:$C$102,K165))</f>
        <v>Barbell overhead presses</v>
      </c>
      <c r="M165" s="6">
        <v>55</v>
      </c>
      <c r="N165" s="75" t="str" cm="1">
        <f t="array" ref="N165">IF(M165="","",INDEX('Exercise list'!$C$5:$C$102,M165))</f>
        <v>Egyptian cable lateral raises</v>
      </c>
      <c r="P165">
        <f>IFERROR(INDEX('Exercise list'!$E$5:$X$102,MATCH($C165,'Exercise list'!$C$5:$C$102,0),MATCH(P$5,'Exercise list'!$E$4:$X$4,0)),0)</f>
        <v>0</v>
      </c>
      <c r="Q165">
        <f>IFERROR(INDEX('Exercise list'!$E$5:$X$102,MATCH($C165,'Exercise list'!$C$5:$C$102,0),MATCH(Q$5,'Exercise list'!$E$4:$X$4,0)),0)</f>
        <v>0</v>
      </c>
      <c r="R165">
        <f>IFERROR(INDEX('Exercise list'!$E$5:$X$102,MATCH($C165,'Exercise list'!$C$5:$C$102,0),MATCH(R$5,'Exercise list'!$E$4:$X$4,0)),0)</f>
        <v>0</v>
      </c>
      <c r="S165">
        <f>IFERROR(INDEX('Exercise list'!$E$5:$X$102,MATCH($C165,'Exercise list'!$C$5:$C$102,0),MATCH(S$5,'Exercise list'!$E$4:$X$4,0)),0)</f>
        <v>0</v>
      </c>
      <c r="T165">
        <f>IFERROR(INDEX('Exercise list'!$E$5:$X$102,MATCH($C165,'Exercise list'!$C$5:$C$102,0),MATCH(T$5,'Exercise list'!$E$4:$X$4,0)),0)</f>
        <v>0</v>
      </c>
      <c r="U165">
        <f>IFERROR(INDEX('Exercise list'!$E$5:$X$102,MATCH($C165,'Exercise list'!$C$5:$C$102,0),MATCH(U$5,'Exercise list'!$E$4:$X$4,0)),0)</f>
        <v>0</v>
      </c>
      <c r="V165">
        <f>IFERROR(INDEX('Exercise list'!$E$5:$X$102,MATCH($C165,'Exercise list'!$C$5:$C$102,0),MATCH(V$5,'Exercise list'!$E$4:$X$4,0)),0)</f>
        <v>0</v>
      </c>
      <c r="W165">
        <f>IFERROR(INDEX('Exercise list'!$E$5:$X$102,MATCH($C165,'Exercise list'!$C$5:$C$102,0),MATCH(W$5,'Exercise list'!$E$4:$X$4,0)),0)</f>
        <v>0</v>
      </c>
      <c r="X165">
        <f>IFERROR(INDEX('Exercise list'!$E$5:$X$102,MATCH($C165,'Exercise list'!$C$5:$C$102,0),MATCH(X$5,'Exercise list'!$E$4:$X$4,0)),0)</f>
        <v>0</v>
      </c>
      <c r="Y165">
        <f>IFERROR(INDEX('Exercise list'!$E$5:$X$102,MATCH($C165,'Exercise list'!$C$5:$C$102,0),MATCH(Y$5,'Exercise list'!$E$4:$X$4,0)),0)</f>
        <v>0</v>
      </c>
      <c r="Z165">
        <f>IFERROR(INDEX('Exercise list'!$E$5:$X$102,MATCH($C165,'Exercise list'!$C$5:$C$102,0),MATCH(Z$5,'Exercise list'!$E$4:$X$4,0)),0)</f>
        <v>0</v>
      </c>
      <c r="AA165">
        <f>IFERROR(INDEX('Exercise list'!$E$5:$X$102,MATCH($C165,'Exercise list'!$C$5:$C$102,0),MATCH(AA$5,'Exercise list'!$E$4:$X$4,0)),0)</f>
        <v>0</v>
      </c>
      <c r="AB165">
        <f>IFERROR(INDEX('Exercise list'!$E$5:$X$102,MATCH($C165,'Exercise list'!$C$5:$C$102,0),MATCH(AB$5,'Exercise list'!$E$4:$X$4,0)),0)</f>
        <v>0</v>
      </c>
      <c r="AC165">
        <f>IFERROR(INDEX('Exercise list'!$E$5:$X$102,MATCH($C165,'Exercise list'!$C$5:$C$102,0),MATCH(AC$5,'Exercise list'!$E$4:$X$4,0)),0)</f>
        <v>0</v>
      </c>
      <c r="AD165">
        <f>IFERROR(INDEX('Exercise list'!$E$5:$X$102,MATCH($C165,'Exercise list'!$C$5:$C$102,0),MATCH(AD$5,'Exercise list'!$E$4:$X$4,0)),0)</f>
        <v>0</v>
      </c>
      <c r="AE165">
        <f>IFERROR(INDEX('Exercise list'!$E$5:$X$102,MATCH($C165,'Exercise list'!$C$5:$C$102,0),MATCH(AE$5,'Exercise list'!$E$4:$X$4,0)),0)</f>
        <v>0</v>
      </c>
      <c r="AF165">
        <f>IFERROR(INDEX('Exercise list'!$E$5:$X$102,MATCH($C165,'Exercise list'!$C$5:$C$102,0),MATCH(AF$5,'Exercise list'!$E$4:$X$4,0)),0)</f>
        <v>0</v>
      </c>
      <c r="AG165">
        <f>IFERROR(INDEX('Exercise list'!$E$5:$X$102,MATCH($C165,'Exercise list'!$C$5:$C$102,0),MATCH(AG$5,'Exercise list'!$E$4:$X$4,0)),0)</f>
        <v>0</v>
      </c>
      <c r="AH165">
        <f>IFERROR(INDEX('Exercise list'!$E$5:$X$102,MATCH($C165,'Exercise list'!$C$5:$C$102,0),MATCH(AH$5,'Exercise list'!$E$4:$X$4,0)),0)</f>
        <v>0</v>
      </c>
      <c r="AI165">
        <f>IFERROR(INDEX('Exercise list'!$E$5:$X$102,MATCH($C165,'Exercise list'!$C$5:$C$102,0),MATCH(AI$5,'Exercise list'!$E$4:$X$4,0)),0)</f>
        <v>0</v>
      </c>
      <c r="AK165">
        <f>IF(OR($J165=1,COUNTIFS($A$5:$A164,"&gt;="&amp;$A165-1,$A$5:$A164,"&lt;="&amp;$A165,$B$5:$B164,$B165)&gt;0,MIN(1-'Exercise list'!E$2,IF($A165=$A164,AK164,1))-P165&lt;0),-1,MIN(1,IF($A165=$A164,AK164,1)-P165+$D$2))</f>
        <v>1</v>
      </c>
      <c r="AL165">
        <f>IF(OR($J165=1,COUNTIFS($A$5:$A164,"&gt;="&amp;$A165-1,$A$5:$A164,"&lt;="&amp;$A165,$B$5:$B164,$B165)&gt;0,MIN(1-'Exercise list'!F$2,IF($A165=$A164,AL164,1))-Q165&lt;0),-1,MIN(1,IF($A165=$A164,AL164,1)-Q165+$D$2))</f>
        <v>1</v>
      </c>
      <c r="AM165">
        <f>IF(OR($J165=1,COUNTIFS($A$5:$A164,"&gt;="&amp;$A165-1,$A$5:$A164,"&lt;="&amp;$A165,$B$5:$B164,$B165)&gt;0,MIN(1-'Exercise list'!G$2,IF($A165=$A164,AM164,1))-R165&lt;0),-1,MIN(1,IF($A165=$A164,AM164,1)-R165+$D$2))</f>
        <v>1</v>
      </c>
      <c r="AN165">
        <f>IF(OR($J165=1,COUNTIFS($A$5:$A164,"&gt;="&amp;$A165-1,$A$5:$A164,"&lt;="&amp;$A165,$B$5:$B164,$B165)&gt;0,MIN(1-'Exercise list'!H$2,IF($A165=$A164,AN164,1))-S165&lt;0),-1,MIN(1,IF($A165=$A164,AN164,1)-S165+$D$2))</f>
        <v>1</v>
      </c>
      <c r="AO165">
        <f>IF(OR($J165=1,COUNTIFS($A$5:$A164,"&gt;="&amp;$A165-1,$A$5:$A164,"&lt;="&amp;$A165,$B$5:$B164,$B165)&gt;0,MIN(1-'Exercise list'!I$2,IF($A165=$A164,AO164,1))-T165&lt;0),-1,MIN(1,IF($A165=$A164,AO164,1)-T165+$D$2))</f>
        <v>1</v>
      </c>
      <c r="AP165">
        <f>IF(OR($J165=1,COUNTIFS($A$5:$A164,"&gt;="&amp;$A165-1,$A$5:$A164,"&lt;="&amp;$A165,$B$5:$B164,$B165)&gt;0,MIN(1-'Exercise list'!J$2,IF($A165=$A164,AP164,1))-U165&lt;0),-1,MIN(1,IF($A165=$A164,AP164,1)-U165+$D$2))</f>
        <v>1</v>
      </c>
      <c r="AQ165">
        <f>IF(OR($J165=1,COUNTIFS($A$5:$A164,"&gt;="&amp;$A165-1,$A$5:$A164,"&lt;="&amp;$A165,$B$5:$B164,$B165)&gt;0,MIN(1-'Exercise list'!K$2,IF($A165=$A164,AQ164,1))-V165&lt;0),-1,MIN(1,IF($A165=$A164,AQ164,1)-V165+$D$2))</f>
        <v>1</v>
      </c>
      <c r="AR165">
        <f>IF(OR($J165=1,COUNTIFS($A$5:$A164,"&gt;="&amp;$A165-1,$A$5:$A164,"&lt;="&amp;$A165,$B$5:$B164,$B165)&gt;0,MIN(1-'Exercise list'!L$2,IF($A165=$A164,AR164,1))-W165&lt;0),-1,MIN(1,IF($A165=$A164,AR164,1)-W165+$D$2))</f>
        <v>1</v>
      </c>
      <c r="AS165">
        <f>IF(OR($J165=1,COUNTIFS($A$5:$A164,"&gt;="&amp;$A165-1,$A$5:$A164,"&lt;="&amp;$A165,$B$5:$B164,$B165)&gt;0,MIN(1-'Exercise list'!M$2,IF($A165=$A164,AS164,1))-X165&lt;0),-1,MIN(1,IF($A165=$A164,AS164,1)-X165+$D$2))</f>
        <v>1</v>
      </c>
      <c r="AT165">
        <f>IF(OR($J165=1,COUNTIFS($A$5:$A164,"&gt;="&amp;$A165-1,$A$5:$A164,"&lt;="&amp;$A165,$B$5:$B164,$B165)&gt;0,MIN(1-'Exercise list'!N$2,IF($A165=$A164,AT164,1))-Y165&lt;0),-1,MIN(1,IF($A165=$A164,AT164,1)-Y165+$D$2))</f>
        <v>1</v>
      </c>
      <c r="AU165">
        <f>IF(OR($J165=1,COUNTIFS($A$5:$A164,"&gt;="&amp;$A165-1,$A$5:$A164,"&lt;="&amp;$A165,$B$5:$B164,$B165)&gt;0,MIN(1-'Exercise list'!O$2,IF($A165=$A164,AU164,1))-Z165&lt;0),-1,MIN(1,IF($A165=$A164,AU164,1)-Z165+$D$2))</f>
        <v>1</v>
      </c>
      <c r="AV165">
        <f>IF(OR($J165=1,COUNTIFS($A$5:$A164,"&gt;="&amp;$A165-1,$A$5:$A164,"&lt;="&amp;$A165,$B$5:$B164,$B165)&gt;0,MIN(1-'Exercise list'!P$2,IF($A165=$A164,AV164,1))-AA165&lt;0),-1,MIN(1,IF($A165=$A164,AV164,1)-AA165+$D$2))</f>
        <v>1</v>
      </c>
      <c r="AW165">
        <f>IF(OR($J165=1,COUNTIFS($A$5:$A164,"&gt;="&amp;$A165-1,$A$5:$A164,"&lt;="&amp;$A165,$B$5:$B164,$B165)&gt;0,MIN(1-'Exercise list'!Q$2,IF($A165=$A164,AW164,1))-AB165&lt;0),-1,MIN(1,IF($A165=$A164,AW164,1)-AB165+$D$2))</f>
        <v>1</v>
      </c>
      <c r="AX165">
        <f>IF(OR($J165=1,COUNTIFS($A$5:$A164,"&gt;="&amp;$A165-1,$A$5:$A164,"&lt;="&amp;$A165,$B$5:$B164,$B165)&gt;0,MIN(1-'Exercise list'!R$2,IF($A165=$A164,AX164,1))-AC165&lt;0),-1,MIN(1,IF($A165=$A164,AX164,1)-AC165+$D$2))</f>
        <v>1</v>
      </c>
      <c r="AY165">
        <f>IF(OR($J165=1,COUNTIFS($A$5:$A164,"&gt;="&amp;$A165-1,$A$5:$A164,"&lt;="&amp;$A165,$B$5:$B164,$B165)&gt;0,MIN(1-'Exercise list'!S$2,IF($A165=$A164,AY164,1))-AD165&lt;0),-1,MIN(1,IF($A165=$A164,AY164,1)-AD165+$D$2))</f>
        <v>1</v>
      </c>
      <c r="AZ165">
        <f>IF(OR($J165=1,COUNTIFS($A$5:$A164,"&gt;="&amp;$A165-1,$A$5:$A164,"&lt;="&amp;$A165,$B$5:$B164,$B165)&gt;0,MIN(1-'Exercise list'!T$2,IF($A165=$A164,AZ164,1))-AE165&lt;0),-1,MIN(1,IF($A165=$A164,AZ164,1)-AE165+$D$2))</f>
        <v>1</v>
      </c>
      <c r="BA165">
        <f>IF(OR($J165=1,COUNTIFS($A$5:$A164,"&gt;="&amp;$A165-1,$A$5:$A164,"&lt;="&amp;$A165,$B$5:$B164,$B165)&gt;0,MIN(1-'Exercise list'!U$2,IF($A165=$A164,BA164,1))-AF165&lt;0),-1,MIN(1,IF($A165=$A164,BA164,1)-AF165+$D$2))</f>
        <v>1</v>
      </c>
      <c r="BB165">
        <f>IF(OR($J165=1,COUNTIFS($A$5:$A164,"&gt;="&amp;$A165-1,$A$5:$A164,"&lt;="&amp;$A165,$B$5:$B164,$B165)&gt;0,MIN(1-'Exercise list'!V$2,IF($A165=$A164,BB164,1))-AG165&lt;0),-1,MIN(1,IF($A165=$A164,BB164,1)-AG165+$D$2))</f>
        <v>1</v>
      </c>
      <c r="BC165">
        <f>IF(OR($J165=1,COUNTIFS($A$5:$A164,"&gt;="&amp;$A165-1,$A$5:$A164,"&lt;="&amp;$A165,$B$5:$B164,$B165)&gt;0,MIN(1-'Exercise list'!W$2,IF($A165=$A164,BC164,1))-AH165&lt;0),-1,MIN(1,IF($A165=$A164,BC164,1)-AH165+$D$2))</f>
        <v>1</v>
      </c>
      <c r="BD165">
        <f>IF(OR($J165=1,COUNTIFS($A$5:$A164,"&gt;="&amp;$A165-1,$A$5:$A164,"&lt;="&amp;$A165,$B$5:$B164,$B165)&gt;0,MIN(1-'Exercise list'!X$2,IF($A165=$A164,BD164,1))-AI165&lt;0),-1,MIN(1,IF($A165=$A164,BD164,1)-AI165+$D$2))</f>
        <v>1</v>
      </c>
      <c r="BF165" s="16">
        <f t="shared" si="145"/>
        <v>0.19596031081758858</v>
      </c>
      <c r="BG165" s="16">
        <f t="shared" si="146"/>
        <v>0.21844636935459236</v>
      </c>
      <c r="BH165" s="16">
        <f t="shared" si="147"/>
        <v>0.14609696635987124</v>
      </c>
      <c r="BI165" s="16">
        <f t="shared" si="148"/>
        <v>0.13198015366034541</v>
      </c>
      <c r="BJ165" s="16">
        <f t="shared" si="149"/>
        <v>8.3367914198418713E-2</v>
      </c>
      <c r="BK165" s="16">
        <f t="shared" si="150"/>
        <v>0.10640640223148412</v>
      </c>
      <c r="BL165" s="16">
        <f t="shared" si="151"/>
        <v>0.21963504743569431</v>
      </c>
      <c r="BM165" s="16">
        <f t="shared" si="152"/>
        <v>3.8988008374820568E-3</v>
      </c>
      <c r="BN165" s="16">
        <f t="shared" si="153"/>
        <v>0.14537706087090876</v>
      </c>
      <c r="BO165" s="16">
        <f t="shared" si="154"/>
        <v>0.29209790661993401</v>
      </c>
      <c r="BP165" s="16">
        <f t="shared" si="155"/>
        <v>0.31584545163401867</v>
      </c>
      <c r="BQ165" s="16">
        <f t="shared" si="156"/>
        <v>0.1000007994126096</v>
      </c>
      <c r="BR165" s="16">
        <f t="shared" si="157"/>
        <v>0.13164487759885393</v>
      </c>
      <c r="BS165" s="16">
        <f t="shared" si="158"/>
        <v>2.9803550189863123E-2</v>
      </c>
      <c r="BT165" s="16">
        <f t="shared" si="159"/>
        <v>0.13492040904978705</v>
      </c>
      <c r="BU165" s="16">
        <f t="shared" si="160"/>
        <v>0.11703687414398131</v>
      </c>
      <c r="BV165" s="16">
        <f t="shared" si="161"/>
        <v>0.14633353213781661</v>
      </c>
      <c r="BW165" s="16">
        <f t="shared" si="162"/>
        <v>7.5588015111767173E-2</v>
      </c>
      <c r="BX165" s="16">
        <f t="shared" si="163"/>
        <v>8.0345659937185704E-2</v>
      </c>
      <c r="BY165" s="16">
        <f t="shared" si="164"/>
        <v>5.9014643151272549E-2</v>
      </c>
      <c r="CA165" s="16" t="str">
        <f t="shared" si="141"/>
        <v/>
      </c>
      <c r="CB165" s="16" t="str">
        <f t="shared" si="122"/>
        <v/>
      </c>
      <c r="CC165" s="16" t="str">
        <f t="shared" si="123"/>
        <v/>
      </c>
      <c r="CD165" s="16" t="str">
        <f t="shared" si="124"/>
        <v/>
      </c>
      <c r="CE165" s="16" t="str">
        <f t="shared" si="125"/>
        <v/>
      </c>
      <c r="CF165" s="16" t="str">
        <f t="shared" si="126"/>
        <v/>
      </c>
      <c r="CG165" s="16" t="str">
        <f t="shared" si="127"/>
        <v/>
      </c>
      <c r="CH165" s="16" t="str">
        <f t="shared" si="128"/>
        <v/>
      </c>
      <c r="CI165" s="16" t="str">
        <f t="shared" si="129"/>
        <v/>
      </c>
      <c r="CJ165" s="16" t="str">
        <f t="shared" si="130"/>
        <v/>
      </c>
      <c r="CK165" s="16" t="str">
        <f t="shared" si="131"/>
        <v/>
      </c>
      <c r="CL165" s="16" t="str">
        <f t="shared" si="132"/>
        <v/>
      </c>
      <c r="CM165" s="16" t="str">
        <f t="shared" si="133"/>
        <v/>
      </c>
      <c r="CN165" s="16" t="str">
        <f t="shared" si="134"/>
        <v/>
      </c>
      <c r="CO165" s="16" t="str">
        <f t="shared" si="135"/>
        <v/>
      </c>
      <c r="CP165" s="16" t="str">
        <f t="shared" si="136"/>
        <v/>
      </c>
      <c r="CQ165" s="16" t="str">
        <f t="shared" si="137"/>
        <v/>
      </c>
      <c r="CR165" s="16" t="str">
        <f t="shared" si="138"/>
        <v/>
      </c>
      <c r="CS165" s="16" t="str">
        <f t="shared" si="139"/>
        <v/>
      </c>
      <c r="CT165" s="16" t="str">
        <f t="shared" si="140"/>
        <v/>
      </c>
    </row>
    <row r="166" spans="1:99" x14ac:dyDescent="0.25">
      <c r="A166" s="13"/>
      <c r="B166" s="14"/>
      <c r="C166" s="15" t="str" cm="1">
        <f t="array" ref="C166">IF(B166="","",INDEX('Exercise list'!$C$5:$C$102,B166))</f>
        <v/>
      </c>
      <c r="D166" s="12" t="str">
        <f t="shared" si="142"/>
        <v/>
      </c>
      <c r="E166" s="107" t="str">
        <f t="shared" si="165"/>
        <v/>
      </c>
      <c r="F166" s="63" t="str" cm="1">
        <f t="array" ref="F166">IF(B166="","",0.1+IFERROR(INDEX($F$6:$F165,SUMPRODUCT(MAX(ROW($C$6:$C165)*($C166=$C$6:$C165))-ROW($A$5)))*0.9^($A166-INDEX($A$6:A165,SUMPRODUCT(MAX(ROW($C$6:$C165)*($C166=$C$6:$C165))-ROW($A$5)))),0))</f>
        <v/>
      </c>
      <c r="G166" s="64" t="e">
        <f>INDEX('Exercise list'!$Y$5:$Y$102,MATCH(C166,'Exercise list'!$C$5:$C$102,0))</f>
        <v>#N/A</v>
      </c>
      <c r="H166" s="115">
        <f t="shared" si="143"/>
        <v>0</v>
      </c>
      <c r="I166" s="6">
        <f t="shared" si="144"/>
        <v>5</v>
      </c>
      <c r="J166" s="6" t="str" cm="1">
        <f t="array" ref="J166">IF(B166="","",INDEX('Exercise list'!$D$5:$D$102,B166))</f>
        <v/>
      </c>
      <c r="K166" s="12">
        <v>55</v>
      </c>
      <c r="L166" s="74" t="str" cm="1">
        <f t="array" ref="L166">IF(K166="","",INDEX('Exercise list'!$C$5:$C$102,K166))</f>
        <v>Egyptian cable lateral raises</v>
      </c>
      <c r="M166" s="6">
        <v>19</v>
      </c>
      <c r="N166" s="75" t="str" cm="1">
        <f t="array" ref="N166">IF(M166="","",INDEX('Exercise list'!$C$5:$C$102,M166))</f>
        <v>EZ bar biceps curls</v>
      </c>
      <c r="P166">
        <f>IFERROR(INDEX('Exercise list'!$E$5:$X$102,MATCH($C166,'Exercise list'!$C$5:$C$102,0),MATCH(P$5,'Exercise list'!$E$4:$X$4,0)),0)</f>
        <v>0</v>
      </c>
      <c r="Q166">
        <f>IFERROR(INDEX('Exercise list'!$E$5:$X$102,MATCH($C166,'Exercise list'!$C$5:$C$102,0),MATCH(Q$5,'Exercise list'!$E$4:$X$4,0)),0)</f>
        <v>0</v>
      </c>
      <c r="R166">
        <f>IFERROR(INDEX('Exercise list'!$E$5:$X$102,MATCH($C166,'Exercise list'!$C$5:$C$102,0),MATCH(R$5,'Exercise list'!$E$4:$X$4,0)),0)</f>
        <v>0</v>
      </c>
      <c r="S166">
        <f>IFERROR(INDEX('Exercise list'!$E$5:$X$102,MATCH($C166,'Exercise list'!$C$5:$C$102,0),MATCH(S$5,'Exercise list'!$E$4:$X$4,0)),0)</f>
        <v>0</v>
      </c>
      <c r="T166">
        <f>IFERROR(INDEX('Exercise list'!$E$5:$X$102,MATCH($C166,'Exercise list'!$C$5:$C$102,0),MATCH(T$5,'Exercise list'!$E$4:$X$4,0)),0)</f>
        <v>0</v>
      </c>
      <c r="U166">
        <f>IFERROR(INDEX('Exercise list'!$E$5:$X$102,MATCH($C166,'Exercise list'!$C$5:$C$102,0),MATCH(U$5,'Exercise list'!$E$4:$X$4,0)),0)</f>
        <v>0</v>
      </c>
      <c r="V166">
        <f>IFERROR(INDEX('Exercise list'!$E$5:$X$102,MATCH($C166,'Exercise list'!$C$5:$C$102,0),MATCH(V$5,'Exercise list'!$E$4:$X$4,0)),0)</f>
        <v>0</v>
      </c>
      <c r="W166">
        <f>IFERROR(INDEX('Exercise list'!$E$5:$X$102,MATCH($C166,'Exercise list'!$C$5:$C$102,0),MATCH(W$5,'Exercise list'!$E$4:$X$4,0)),0)</f>
        <v>0</v>
      </c>
      <c r="X166">
        <f>IFERROR(INDEX('Exercise list'!$E$5:$X$102,MATCH($C166,'Exercise list'!$C$5:$C$102,0),MATCH(X$5,'Exercise list'!$E$4:$X$4,0)),0)</f>
        <v>0</v>
      </c>
      <c r="Y166">
        <f>IFERROR(INDEX('Exercise list'!$E$5:$X$102,MATCH($C166,'Exercise list'!$C$5:$C$102,0),MATCH(Y$5,'Exercise list'!$E$4:$X$4,0)),0)</f>
        <v>0</v>
      </c>
      <c r="Z166">
        <f>IFERROR(INDEX('Exercise list'!$E$5:$X$102,MATCH($C166,'Exercise list'!$C$5:$C$102,0),MATCH(Z$5,'Exercise list'!$E$4:$X$4,0)),0)</f>
        <v>0</v>
      </c>
      <c r="AA166">
        <f>IFERROR(INDEX('Exercise list'!$E$5:$X$102,MATCH($C166,'Exercise list'!$C$5:$C$102,0),MATCH(AA$5,'Exercise list'!$E$4:$X$4,0)),0)</f>
        <v>0</v>
      </c>
      <c r="AB166">
        <f>IFERROR(INDEX('Exercise list'!$E$5:$X$102,MATCH($C166,'Exercise list'!$C$5:$C$102,0),MATCH(AB$5,'Exercise list'!$E$4:$X$4,0)),0)</f>
        <v>0</v>
      </c>
      <c r="AC166">
        <f>IFERROR(INDEX('Exercise list'!$E$5:$X$102,MATCH($C166,'Exercise list'!$C$5:$C$102,0),MATCH(AC$5,'Exercise list'!$E$4:$X$4,0)),0)</f>
        <v>0</v>
      </c>
      <c r="AD166">
        <f>IFERROR(INDEX('Exercise list'!$E$5:$X$102,MATCH($C166,'Exercise list'!$C$5:$C$102,0),MATCH(AD$5,'Exercise list'!$E$4:$X$4,0)),0)</f>
        <v>0</v>
      </c>
      <c r="AE166">
        <f>IFERROR(INDEX('Exercise list'!$E$5:$X$102,MATCH($C166,'Exercise list'!$C$5:$C$102,0),MATCH(AE$5,'Exercise list'!$E$4:$X$4,0)),0)</f>
        <v>0</v>
      </c>
      <c r="AF166">
        <f>IFERROR(INDEX('Exercise list'!$E$5:$X$102,MATCH($C166,'Exercise list'!$C$5:$C$102,0),MATCH(AF$5,'Exercise list'!$E$4:$X$4,0)),0)</f>
        <v>0</v>
      </c>
      <c r="AG166">
        <f>IFERROR(INDEX('Exercise list'!$E$5:$X$102,MATCH($C166,'Exercise list'!$C$5:$C$102,0),MATCH(AG$5,'Exercise list'!$E$4:$X$4,0)),0)</f>
        <v>0</v>
      </c>
      <c r="AH166">
        <f>IFERROR(INDEX('Exercise list'!$E$5:$X$102,MATCH($C166,'Exercise list'!$C$5:$C$102,0),MATCH(AH$5,'Exercise list'!$E$4:$X$4,0)),0)</f>
        <v>0</v>
      </c>
      <c r="AI166">
        <f>IFERROR(INDEX('Exercise list'!$E$5:$X$102,MATCH($C166,'Exercise list'!$C$5:$C$102,0),MATCH(AI$5,'Exercise list'!$E$4:$X$4,0)),0)</f>
        <v>0</v>
      </c>
      <c r="AK166">
        <f>IF(OR($J166=1,COUNTIFS($A$5:$A165,"&gt;="&amp;$A166-1,$A$5:$A165,"&lt;="&amp;$A166,$B$5:$B165,$B166)&gt;0,MIN(1-'Exercise list'!E$2,IF($A166=$A165,AK165,1))-P166&lt;0),-1,MIN(1,IF($A166=$A165,AK165,1)-P166+$D$2))</f>
        <v>1</v>
      </c>
      <c r="AL166">
        <f>IF(OR($J166=1,COUNTIFS($A$5:$A165,"&gt;="&amp;$A166-1,$A$5:$A165,"&lt;="&amp;$A166,$B$5:$B165,$B166)&gt;0,MIN(1-'Exercise list'!F$2,IF($A166=$A165,AL165,1))-Q166&lt;0),-1,MIN(1,IF($A166=$A165,AL165,1)-Q166+$D$2))</f>
        <v>1</v>
      </c>
      <c r="AM166">
        <f>IF(OR($J166=1,COUNTIFS($A$5:$A165,"&gt;="&amp;$A166-1,$A$5:$A165,"&lt;="&amp;$A166,$B$5:$B165,$B166)&gt;0,MIN(1-'Exercise list'!G$2,IF($A166=$A165,AM165,1))-R166&lt;0),-1,MIN(1,IF($A166=$A165,AM165,1)-R166+$D$2))</f>
        <v>1</v>
      </c>
      <c r="AN166">
        <f>IF(OR($J166=1,COUNTIFS($A$5:$A165,"&gt;="&amp;$A166-1,$A$5:$A165,"&lt;="&amp;$A166,$B$5:$B165,$B166)&gt;0,MIN(1-'Exercise list'!H$2,IF($A166=$A165,AN165,1))-S166&lt;0),-1,MIN(1,IF($A166=$A165,AN165,1)-S166+$D$2))</f>
        <v>1</v>
      </c>
      <c r="AO166">
        <f>IF(OR($J166=1,COUNTIFS($A$5:$A165,"&gt;="&amp;$A166-1,$A$5:$A165,"&lt;="&amp;$A166,$B$5:$B165,$B166)&gt;0,MIN(1-'Exercise list'!I$2,IF($A166=$A165,AO165,1))-T166&lt;0),-1,MIN(1,IF($A166=$A165,AO165,1)-T166+$D$2))</f>
        <v>1</v>
      </c>
      <c r="AP166">
        <f>IF(OR($J166=1,COUNTIFS($A$5:$A165,"&gt;="&amp;$A166-1,$A$5:$A165,"&lt;="&amp;$A166,$B$5:$B165,$B166)&gt;0,MIN(1-'Exercise list'!J$2,IF($A166=$A165,AP165,1))-U166&lt;0),-1,MIN(1,IF($A166=$A165,AP165,1)-U166+$D$2))</f>
        <v>1</v>
      </c>
      <c r="AQ166">
        <f>IF(OR($J166=1,COUNTIFS($A$5:$A165,"&gt;="&amp;$A166-1,$A$5:$A165,"&lt;="&amp;$A166,$B$5:$B165,$B166)&gt;0,MIN(1-'Exercise list'!K$2,IF($A166=$A165,AQ165,1))-V166&lt;0),-1,MIN(1,IF($A166=$A165,AQ165,1)-V166+$D$2))</f>
        <v>1</v>
      </c>
      <c r="AR166">
        <f>IF(OR($J166=1,COUNTIFS($A$5:$A165,"&gt;="&amp;$A166-1,$A$5:$A165,"&lt;="&amp;$A166,$B$5:$B165,$B166)&gt;0,MIN(1-'Exercise list'!L$2,IF($A166=$A165,AR165,1))-W166&lt;0),-1,MIN(1,IF($A166=$A165,AR165,1)-W166+$D$2))</f>
        <v>1</v>
      </c>
      <c r="AS166">
        <f>IF(OR($J166=1,COUNTIFS($A$5:$A165,"&gt;="&amp;$A166-1,$A$5:$A165,"&lt;="&amp;$A166,$B$5:$B165,$B166)&gt;0,MIN(1-'Exercise list'!M$2,IF($A166=$A165,AS165,1))-X166&lt;0),-1,MIN(1,IF($A166=$A165,AS165,1)-X166+$D$2))</f>
        <v>1</v>
      </c>
      <c r="AT166">
        <f>IF(OR($J166=1,COUNTIFS($A$5:$A165,"&gt;="&amp;$A166-1,$A$5:$A165,"&lt;="&amp;$A166,$B$5:$B165,$B166)&gt;0,MIN(1-'Exercise list'!N$2,IF($A166=$A165,AT165,1))-Y166&lt;0),-1,MIN(1,IF($A166=$A165,AT165,1)-Y166+$D$2))</f>
        <v>1</v>
      </c>
      <c r="AU166">
        <f>IF(OR($J166=1,COUNTIFS($A$5:$A165,"&gt;="&amp;$A166-1,$A$5:$A165,"&lt;="&amp;$A166,$B$5:$B165,$B166)&gt;0,MIN(1-'Exercise list'!O$2,IF($A166=$A165,AU165,1))-Z166&lt;0),-1,MIN(1,IF($A166=$A165,AU165,1)-Z166+$D$2))</f>
        <v>1</v>
      </c>
      <c r="AV166">
        <f>IF(OR($J166=1,COUNTIFS($A$5:$A165,"&gt;="&amp;$A166-1,$A$5:$A165,"&lt;="&amp;$A166,$B$5:$B165,$B166)&gt;0,MIN(1-'Exercise list'!P$2,IF($A166=$A165,AV165,1))-AA166&lt;0),-1,MIN(1,IF($A166=$A165,AV165,1)-AA166+$D$2))</f>
        <v>1</v>
      </c>
      <c r="AW166">
        <f>IF(OR($J166=1,COUNTIFS($A$5:$A165,"&gt;="&amp;$A166-1,$A$5:$A165,"&lt;="&amp;$A166,$B$5:$B165,$B166)&gt;0,MIN(1-'Exercise list'!Q$2,IF($A166=$A165,AW165,1))-AB166&lt;0),-1,MIN(1,IF($A166=$A165,AW165,1)-AB166+$D$2))</f>
        <v>1</v>
      </c>
      <c r="AX166">
        <f>IF(OR($J166=1,COUNTIFS($A$5:$A165,"&gt;="&amp;$A166-1,$A$5:$A165,"&lt;="&amp;$A166,$B$5:$B165,$B166)&gt;0,MIN(1-'Exercise list'!R$2,IF($A166=$A165,AX165,1))-AC166&lt;0),-1,MIN(1,IF($A166=$A165,AX165,1)-AC166+$D$2))</f>
        <v>1</v>
      </c>
      <c r="AY166">
        <f>IF(OR($J166=1,COUNTIFS($A$5:$A165,"&gt;="&amp;$A166-1,$A$5:$A165,"&lt;="&amp;$A166,$B$5:$B165,$B166)&gt;0,MIN(1-'Exercise list'!S$2,IF($A166=$A165,AY165,1))-AD166&lt;0),-1,MIN(1,IF($A166=$A165,AY165,1)-AD166+$D$2))</f>
        <v>1</v>
      </c>
      <c r="AZ166">
        <f>IF(OR($J166=1,COUNTIFS($A$5:$A165,"&gt;="&amp;$A166-1,$A$5:$A165,"&lt;="&amp;$A166,$B$5:$B165,$B166)&gt;0,MIN(1-'Exercise list'!T$2,IF($A166=$A165,AZ165,1))-AE166&lt;0),-1,MIN(1,IF($A166=$A165,AZ165,1)-AE166+$D$2))</f>
        <v>1</v>
      </c>
      <c r="BA166">
        <f>IF(OR($J166=1,COUNTIFS($A$5:$A165,"&gt;="&amp;$A166-1,$A$5:$A165,"&lt;="&amp;$A166,$B$5:$B165,$B166)&gt;0,MIN(1-'Exercise list'!U$2,IF($A166=$A165,BA165,1))-AF166&lt;0),-1,MIN(1,IF($A166=$A165,BA165,1)-AF166+$D$2))</f>
        <v>1</v>
      </c>
      <c r="BB166">
        <f>IF(OR($J166=1,COUNTIFS($A$5:$A165,"&gt;="&amp;$A166-1,$A$5:$A165,"&lt;="&amp;$A166,$B$5:$B165,$B166)&gt;0,MIN(1-'Exercise list'!V$2,IF($A166=$A165,BB165,1))-AG166&lt;0),-1,MIN(1,IF($A166=$A165,BB165,1)-AG166+$D$2))</f>
        <v>1</v>
      </c>
      <c r="BC166">
        <f>IF(OR($J166=1,COUNTIFS($A$5:$A165,"&gt;="&amp;$A166-1,$A$5:$A165,"&lt;="&amp;$A166,$B$5:$B165,$B166)&gt;0,MIN(1-'Exercise list'!W$2,IF($A166=$A165,BC165,1))-AH166&lt;0),-1,MIN(1,IF($A166=$A165,BC165,1)-AH166+$D$2))</f>
        <v>1</v>
      </c>
      <c r="BD166">
        <f>IF(OR($J166=1,COUNTIFS($A$5:$A165,"&gt;="&amp;$A166-1,$A$5:$A165,"&lt;="&amp;$A166,$B$5:$B165,$B166)&gt;0,MIN(1-'Exercise list'!X$2,IF($A166=$A165,BD165,1))-AI166&lt;0),-1,MIN(1,IF($A166=$A165,BD165,1)-AI166+$D$2))</f>
        <v>1</v>
      </c>
      <c r="BF166" s="16">
        <f t="shared" si="145"/>
        <v>0.19596031081758858</v>
      </c>
      <c r="BG166" s="16">
        <f t="shared" si="146"/>
        <v>0.21844636935459236</v>
      </c>
      <c r="BH166" s="16">
        <f t="shared" si="147"/>
        <v>0.14609696635987124</v>
      </c>
      <c r="BI166" s="16">
        <f t="shared" si="148"/>
        <v>0.13198015366034541</v>
      </c>
      <c r="BJ166" s="16">
        <f t="shared" si="149"/>
        <v>8.3367914198418713E-2</v>
      </c>
      <c r="BK166" s="16">
        <f t="shared" si="150"/>
        <v>0.10640640223148412</v>
      </c>
      <c r="BL166" s="16">
        <f t="shared" si="151"/>
        <v>0.21963504743569431</v>
      </c>
      <c r="BM166" s="16">
        <f t="shared" si="152"/>
        <v>3.8988008374820568E-3</v>
      </c>
      <c r="BN166" s="16">
        <f t="shared" si="153"/>
        <v>0.14537706087090876</v>
      </c>
      <c r="BO166" s="16">
        <f t="shared" si="154"/>
        <v>0.29209790661993401</v>
      </c>
      <c r="BP166" s="16">
        <f t="shared" si="155"/>
        <v>0.31584545163401867</v>
      </c>
      <c r="BQ166" s="16">
        <f t="shared" si="156"/>
        <v>0.1000007994126096</v>
      </c>
      <c r="BR166" s="16">
        <f t="shared" si="157"/>
        <v>0.13164487759885393</v>
      </c>
      <c r="BS166" s="16">
        <f t="shared" si="158"/>
        <v>2.9803550189863123E-2</v>
      </c>
      <c r="BT166" s="16">
        <f t="shared" si="159"/>
        <v>0.13492040904978705</v>
      </c>
      <c r="BU166" s="16">
        <f t="shared" si="160"/>
        <v>0.11703687414398131</v>
      </c>
      <c r="BV166" s="16">
        <f t="shared" si="161"/>
        <v>0.14633353213781661</v>
      </c>
      <c r="BW166" s="16">
        <f t="shared" si="162"/>
        <v>7.5588015111767173E-2</v>
      </c>
      <c r="BX166" s="16">
        <f t="shared" si="163"/>
        <v>8.0345659937185704E-2</v>
      </c>
      <c r="BY166" s="16">
        <f t="shared" si="164"/>
        <v>5.9014643151272549E-2</v>
      </c>
      <c r="CA166" s="16" t="str">
        <f t="shared" si="141"/>
        <v/>
      </c>
      <c r="CB166" s="16" t="str">
        <f t="shared" si="122"/>
        <v/>
      </c>
      <c r="CC166" s="16" t="str">
        <f t="shared" si="123"/>
        <v/>
      </c>
      <c r="CD166" s="16" t="str">
        <f t="shared" si="124"/>
        <v/>
      </c>
      <c r="CE166" s="16" t="str">
        <f t="shared" si="125"/>
        <v/>
      </c>
      <c r="CF166" s="16" t="str">
        <f t="shared" si="126"/>
        <v/>
      </c>
      <c r="CG166" s="16" t="str">
        <f t="shared" si="127"/>
        <v/>
      </c>
      <c r="CH166" s="16" t="str">
        <f t="shared" si="128"/>
        <v/>
      </c>
      <c r="CI166" s="16" t="str">
        <f t="shared" si="129"/>
        <v/>
      </c>
      <c r="CJ166" s="16" t="str">
        <f t="shared" si="130"/>
        <v/>
      </c>
      <c r="CK166" s="16" t="str">
        <f t="shared" si="131"/>
        <v/>
      </c>
      <c r="CL166" s="16" t="str">
        <f t="shared" si="132"/>
        <v/>
      </c>
      <c r="CM166" s="16" t="str">
        <f t="shared" si="133"/>
        <v/>
      </c>
      <c r="CN166" s="16" t="str">
        <f t="shared" si="134"/>
        <v/>
      </c>
      <c r="CO166" s="16" t="str">
        <f t="shared" si="135"/>
        <v/>
      </c>
      <c r="CP166" s="16" t="str">
        <f t="shared" si="136"/>
        <v/>
      </c>
      <c r="CQ166" s="16" t="str">
        <f t="shared" si="137"/>
        <v/>
      </c>
      <c r="CR166" s="16" t="str">
        <f t="shared" si="138"/>
        <v/>
      </c>
      <c r="CS166" s="16" t="str">
        <f t="shared" si="139"/>
        <v/>
      </c>
      <c r="CT166" s="16" t="str">
        <f t="shared" si="140"/>
        <v/>
      </c>
    </row>
    <row r="167" spans="1:99" x14ac:dyDescent="0.25">
      <c r="A167" s="13"/>
      <c r="B167" s="14"/>
      <c r="C167" s="15" t="str" cm="1">
        <f t="array" ref="C167">IF(B167="","",INDEX('Exercise list'!$C$5:$C$102,B167))</f>
        <v/>
      </c>
      <c r="D167" s="12" t="str">
        <f t="shared" si="142"/>
        <v/>
      </c>
      <c r="E167" s="107" t="str">
        <f t="shared" si="165"/>
        <v/>
      </c>
      <c r="F167" s="63" t="str" cm="1">
        <f t="array" ref="F167">IF(B167="","",0.1+IFERROR(INDEX($F$6:$F166,SUMPRODUCT(MAX(ROW($C$6:$C166)*($C167=$C$6:$C166))-ROW($A$5)))*0.9^($A167-INDEX($A$6:A166,SUMPRODUCT(MAX(ROW($C$6:$C166)*($C167=$C$6:$C166))-ROW($A$5)))),0))</f>
        <v/>
      </c>
      <c r="G167" s="64" t="e">
        <f>INDEX('Exercise list'!$Y$5:$Y$102,MATCH(C167,'Exercise list'!$C$5:$C$102,0))</f>
        <v>#N/A</v>
      </c>
      <c r="H167" s="115">
        <f t="shared" si="143"/>
        <v>0</v>
      </c>
      <c r="I167" s="6">
        <f t="shared" si="144"/>
        <v>5</v>
      </c>
      <c r="J167" s="6" t="str" cm="1">
        <f t="array" ref="J167">IF(B167="","",INDEX('Exercise list'!$D$5:$D$102,B167))</f>
        <v/>
      </c>
      <c r="K167" s="12">
        <v>8</v>
      </c>
      <c r="L167" s="74" t="str" cm="1">
        <f t="array" ref="L167">IF(K167="","",INDEX('Exercise list'!$C$5:$C$102,K167))</f>
        <v>Barbell deadlifts</v>
      </c>
      <c r="M167" s="6">
        <v>48</v>
      </c>
      <c r="N167" s="75" t="str" cm="1">
        <f t="array" ref="N167">IF(M167="","",INDEX('Exercise list'!$C$5:$C$102,M167))</f>
        <v>Barbell overhead presses</v>
      </c>
      <c r="P167">
        <f>IFERROR(INDEX('Exercise list'!$E$5:$X$102,MATCH($C167,'Exercise list'!$C$5:$C$102,0),MATCH(P$5,'Exercise list'!$E$4:$X$4,0)),0)</f>
        <v>0</v>
      </c>
      <c r="Q167">
        <f>IFERROR(INDEX('Exercise list'!$E$5:$X$102,MATCH($C167,'Exercise list'!$C$5:$C$102,0),MATCH(Q$5,'Exercise list'!$E$4:$X$4,0)),0)</f>
        <v>0</v>
      </c>
      <c r="R167">
        <f>IFERROR(INDEX('Exercise list'!$E$5:$X$102,MATCH($C167,'Exercise list'!$C$5:$C$102,0),MATCH(R$5,'Exercise list'!$E$4:$X$4,0)),0)</f>
        <v>0</v>
      </c>
      <c r="S167">
        <f>IFERROR(INDEX('Exercise list'!$E$5:$X$102,MATCH($C167,'Exercise list'!$C$5:$C$102,0),MATCH(S$5,'Exercise list'!$E$4:$X$4,0)),0)</f>
        <v>0</v>
      </c>
      <c r="T167">
        <f>IFERROR(INDEX('Exercise list'!$E$5:$X$102,MATCH($C167,'Exercise list'!$C$5:$C$102,0),MATCH(T$5,'Exercise list'!$E$4:$X$4,0)),0)</f>
        <v>0</v>
      </c>
      <c r="U167">
        <f>IFERROR(INDEX('Exercise list'!$E$5:$X$102,MATCH($C167,'Exercise list'!$C$5:$C$102,0),MATCH(U$5,'Exercise list'!$E$4:$X$4,0)),0)</f>
        <v>0</v>
      </c>
      <c r="V167">
        <f>IFERROR(INDEX('Exercise list'!$E$5:$X$102,MATCH($C167,'Exercise list'!$C$5:$C$102,0),MATCH(V$5,'Exercise list'!$E$4:$X$4,0)),0)</f>
        <v>0</v>
      </c>
      <c r="W167">
        <f>IFERROR(INDEX('Exercise list'!$E$5:$X$102,MATCH($C167,'Exercise list'!$C$5:$C$102,0),MATCH(W$5,'Exercise list'!$E$4:$X$4,0)),0)</f>
        <v>0</v>
      </c>
      <c r="X167">
        <f>IFERROR(INDEX('Exercise list'!$E$5:$X$102,MATCH($C167,'Exercise list'!$C$5:$C$102,0),MATCH(X$5,'Exercise list'!$E$4:$X$4,0)),0)</f>
        <v>0</v>
      </c>
      <c r="Y167">
        <f>IFERROR(INDEX('Exercise list'!$E$5:$X$102,MATCH($C167,'Exercise list'!$C$5:$C$102,0),MATCH(Y$5,'Exercise list'!$E$4:$X$4,0)),0)</f>
        <v>0</v>
      </c>
      <c r="Z167">
        <f>IFERROR(INDEX('Exercise list'!$E$5:$X$102,MATCH($C167,'Exercise list'!$C$5:$C$102,0),MATCH(Z$5,'Exercise list'!$E$4:$X$4,0)),0)</f>
        <v>0</v>
      </c>
      <c r="AA167">
        <f>IFERROR(INDEX('Exercise list'!$E$5:$X$102,MATCH($C167,'Exercise list'!$C$5:$C$102,0),MATCH(AA$5,'Exercise list'!$E$4:$X$4,0)),0)</f>
        <v>0</v>
      </c>
      <c r="AB167">
        <f>IFERROR(INDEX('Exercise list'!$E$5:$X$102,MATCH($C167,'Exercise list'!$C$5:$C$102,0),MATCH(AB$5,'Exercise list'!$E$4:$X$4,0)),0)</f>
        <v>0</v>
      </c>
      <c r="AC167">
        <f>IFERROR(INDEX('Exercise list'!$E$5:$X$102,MATCH($C167,'Exercise list'!$C$5:$C$102,0),MATCH(AC$5,'Exercise list'!$E$4:$X$4,0)),0)</f>
        <v>0</v>
      </c>
      <c r="AD167">
        <f>IFERROR(INDEX('Exercise list'!$E$5:$X$102,MATCH($C167,'Exercise list'!$C$5:$C$102,0),MATCH(AD$5,'Exercise list'!$E$4:$X$4,0)),0)</f>
        <v>0</v>
      </c>
      <c r="AE167">
        <f>IFERROR(INDEX('Exercise list'!$E$5:$X$102,MATCH($C167,'Exercise list'!$C$5:$C$102,0),MATCH(AE$5,'Exercise list'!$E$4:$X$4,0)),0)</f>
        <v>0</v>
      </c>
      <c r="AF167">
        <f>IFERROR(INDEX('Exercise list'!$E$5:$X$102,MATCH($C167,'Exercise list'!$C$5:$C$102,0),MATCH(AF$5,'Exercise list'!$E$4:$X$4,0)),0)</f>
        <v>0</v>
      </c>
      <c r="AG167">
        <f>IFERROR(INDEX('Exercise list'!$E$5:$X$102,MATCH($C167,'Exercise list'!$C$5:$C$102,0),MATCH(AG$5,'Exercise list'!$E$4:$X$4,0)),0)</f>
        <v>0</v>
      </c>
      <c r="AH167">
        <f>IFERROR(INDEX('Exercise list'!$E$5:$X$102,MATCH($C167,'Exercise list'!$C$5:$C$102,0),MATCH(AH$5,'Exercise list'!$E$4:$X$4,0)),0)</f>
        <v>0</v>
      </c>
      <c r="AI167">
        <f>IFERROR(INDEX('Exercise list'!$E$5:$X$102,MATCH($C167,'Exercise list'!$C$5:$C$102,0),MATCH(AI$5,'Exercise list'!$E$4:$X$4,0)),0)</f>
        <v>0</v>
      </c>
      <c r="AK167">
        <f>IF(OR($J167=1,COUNTIFS($A$5:$A166,"&gt;="&amp;$A167-1,$A$5:$A166,"&lt;="&amp;$A167,$B$5:$B166,$B167)&gt;0,MIN(1-'Exercise list'!E$2,IF($A167=$A166,AK166,1))-P167&lt;0),-1,MIN(1,IF($A167=$A166,AK166,1)-P167+$D$2))</f>
        <v>1</v>
      </c>
      <c r="AL167">
        <f>IF(OR($J167=1,COUNTIFS($A$5:$A166,"&gt;="&amp;$A167-1,$A$5:$A166,"&lt;="&amp;$A167,$B$5:$B166,$B167)&gt;0,MIN(1-'Exercise list'!F$2,IF($A167=$A166,AL166,1))-Q167&lt;0),-1,MIN(1,IF($A167=$A166,AL166,1)-Q167+$D$2))</f>
        <v>1</v>
      </c>
      <c r="AM167">
        <f>IF(OR($J167=1,COUNTIFS($A$5:$A166,"&gt;="&amp;$A167-1,$A$5:$A166,"&lt;="&amp;$A167,$B$5:$B166,$B167)&gt;0,MIN(1-'Exercise list'!G$2,IF($A167=$A166,AM166,1))-R167&lt;0),-1,MIN(1,IF($A167=$A166,AM166,1)-R167+$D$2))</f>
        <v>1</v>
      </c>
      <c r="AN167">
        <f>IF(OR($J167=1,COUNTIFS($A$5:$A166,"&gt;="&amp;$A167-1,$A$5:$A166,"&lt;="&amp;$A167,$B$5:$B166,$B167)&gt;0,MIN(1-'Exercise list'!H$2,IF($A167=$A166,AN166,1))-S167&lt;0),-1,MIN(1,IF($A167=$A166,AN166,1)-S167+$D$2))</f>
        <v>1</v>
      </c>
      <c r="AO167">
        <f>IF(OR($J167=1,COUNTIFS($A$5:$A166,"&gt;="&amp;$A167-1,$A$5:$A166,"&lt;="&amp;$A167,$B$5:$B166,$B167)&gt;0,MIN(1-'Exercise list'!I$2,IF($A167=$A166,AO166,1))-T167&lt;0),-1,MIN(1,IF($A167=$A166,AO166,1)-T167+$D$2))</f>
        <v>1</v>
      </c>
      <c r="AP167">
        <f>IF(OR($J167=1,COUNTIFS($A$5:$A166,"&gt;="&amp;$A167-1,$A$5:$A166,"&lt;="&amp;$A167,$B$5:$B166,$B167)&gt;0,MIN(1-'Exercise list'!J$2,IF($A167=$A166,AP166,1))-U167&lt;0),-1,MIN(1,IF($A167=$A166,AP166,1)-U167+$D$2))</f>
        <v>1</v>
      </c>
      <c r="AQ167">
        <f>IF(OR($J167=1,COUNTIFS($A$5:$A166,"&gt;="&amp;$A167-1,$A$5:$A166,"&lt;="&amp;$A167,$B$5:$B166,$B167)&gt;0,MIN(1-'Exercise list'!K$2,IF($A167=$A166,AQ166,1))-V167&lt;0),-1,MIN(1,IF($A167=$A166,AQ166,1)-V167+$D$2))</f>
        <v>1</v>
      </c>
      <c r="AR167">
        <f>IF(OR($J167=1,COUNTIFS($A$5:$A166,"&gt;="&amp;$A167-1,$A$5:$A166,"&lt;="&amp;$A167,$B$5:$B166,$B167)&gt;0,MIN(1-'Exercise list'!L$2,IF($A167=$A166,AR166,1))-W167&lt;0),-1,MIN(1,IF($A167=$A166,AR166,1)-W167+$D$2))</f>
        <v>1</v>
      </c>
      <c r="AS167">
        <f>IF(OR($J167=1,COUNTIFS($A$5:$A166,"&gt;="&amp;$A167-1,$A$5:$A166,"&lt;="&amp;$A167,$B$5:$B166,$B167)&gt;0,MIN(1-'Exercise list'!M$2,IF($A167=$A166,AS166,1))-X167&lt;0),-1,MIN(1,IF($A167=$A166,AS166,1)-X167+$D$2))</f>
        <v>1</v>
      </c>
      <c r="AT167">
        <f>IF(OR($J167=1,COUNTIFS($A$5:$A166,"&gt;="&amp;$A167-1,$A$5:$A166,"&lt;="&amp;$A167,$B$5:$B166,$B167)&gt;0,MIN(1-'Exercise list'!N$2,IF($A167=$A166,AT166,1))-Y167&lt;0),-1,MIN(1,IF($A167=$A166,AT166,1)-Y167+$D$2))</f>
        <v>1</v>
      </c>
      <c r="AU167">
        <f>IF(OR($J167=1,COUNTIFS($A$5:$A166,"&gt;="&amp;$A167-1,$A$5:$A166,"&lt;="&amp;$A167,$B$5:$B166,$B167)&gt;0,MIN(1-'Exercise list'!O$2,IF($A167=$A166,AU166,1))-Z167&lt;0),-1,MIN(1,IF($A167=$A166,AU166,1)-Z167+$D$2))</f>
        <v>1</v>
      </c>
      <c r="AV167">
        <f>IF(OR($J167=1,COUNTIFS($A$5:$A166,"&gt;="&amp;$A167-1,$A$5:$A166,"&lt;="&amp;$A167,$B$5:$B166,$B167)&gt;0,MIN(1-'Exercise list'!P$2,IF($A167=$A166,AV166,1))-AA167&lt;0),-1,MIN(1,IF($A167=$A166,AV166,1)-AA167+$D$2))</f>
        <v>1</v>
      </c>
      <c r="AW167">
        <f>IF(OR($J167=1,COUNTIFS($A$5:$A166,"&gt;="&amp;$A167-1,$A$5:$A166,"&lt;="&amp;$A167,$B$5:$B166,$B167)&gt;0,MIN(1-'Exercise list'!Q$2,IF($A167=$A166,AW166,1))-AB167&lt;0),-1,MIN(1,IF($A167=$A166,AW166,1)-AB167+$D$2))</f>
        <v>1</v>
      </c>
      <c r="AX167">
        <f>IF(OR($J167=1,COUNTIFS($A$5:$A166,"&gt;="&amp;$A167-1,$A$5:$A166,"&lt;="&amp;$A167,$B$5:$B166,$B167)&gt;0,MIN(1-'Exercise list'!R$2,IF($A167=$A166,AX166,1))-AC167&lt;0),-1,MIN(1,IF($A167=$A166,AX166,1)-AC167+$D$2))</f>
        <v>1</v>
      </c>
      <c r="AY167">
        <f>IF(OR($J167=1,COUNTIFS($A$5:$A166,"&gt;="&amp;$A167-1,$A$5:$A166,"&lt;="&amp;$A167,$B$5:$B166,$B167)&gt;0,MIN(1-'Exercise list'!S$2,IF($A167=$A166,AY166,1))-AD167&lt;0),-1,MIN(1,IF($A167=$A166,AY166,1)-AD167+$D$2))</f>
        <v>1</v>
      </c>
      <c r="AZ167">
        <f>IF(OR($J167=1,COUNTIFS($A$5:$A166,"&gt;="&amp;$A167-1,$A$5:$A166,"&lt;="&amp;$A167,$B$5:$B166,$B167)&gt;0,MIN(1-'Exercise list'!T$2,IF($A167=$A166,AZ166,1))-AE167&lt;0),-1,MIN(1,IF($A167=$A166,AZ166,1)-AE167+$D$2))</f>
        <v>1</v>
      </c>
      <c r="BA167">
        <f>IF(OR($J167=1,COUNTIFS($A$5:$A166,"&gt;="&amp;$A167-1,$A$5:$A166,"&lt;="&amp;$A167,$B$5:$B166,$B167)&gt;0,MIN(1-'Exercise list'!U$2,IF($A167=$A166,BA166,1))-AF167&lt;0),-1,MIN(1,IF($A167=$A166,BA166,1)-AF167+$D$2))</f>
        <v>1</v>
      </c>
      <c r="BB167">
        <f>IF(OR($J167=1,COUNTIFS($A$5:$A166,"&gt;="&amp;$A167-1,$A$5:$A166,"&lt;="&amp;$A167,$B$5:$B166,$B167)&gt;0,MIN(1-'Exercise list'!V$2,IF($A167=$A166,BB166,1))-AG167&lt;0),-1,MIN(1,IF($A167=$A166,BB166,1)-AG167+$D$2))</f>
        <v>1</v>
      </c>
      <c r="BC167">
        <f>IF(OR($J167=1,COUNTIFS($A$5:$A166,"&gt;="&amp;$A167-1,$A$5:$A166,"&lt;="&amp;$A167,$B$5:$B166,$B167)&gt;0,MIN(1-'Exercise list'!W$2,IF($A167=$A166,BC166,1))-AH167&lt;0),-1,MIN(1,IF($A167=$A166,BC166,1)-AH167+$D$2))</f>
        <v>1</v>
      </c>
      <c r="BD167">
        <f>IF(OR($J167=1,COUNTIFS($A$5:$A166,"&gt;="&amp;$A167-1,$A$5:$A166,"&lt;="&amp;$A167,$B$5:$B166,$B167)&gt;0,MIN(1-'Exercise list'!X$2,IF($A167=$A166,BD166,1))-AI167&lt;0),-1,MIN(1,IF($A167=$A166,BD166,1)-AI167+$D$2))</f>
        <v>1</v>
      </c>
      <c r="BF167" s="16">
        <f t="shared" si="145"/>
        <v>0.19596031081758858</v>
      </c>
      <c r="BG167" s="16">
        <f t="shared" si="146"/>
        <v>0.21844636935459236</v>
      </c>
      <c r="BH167" s="16">
        <f t="shared" si="147"/>
        <v>0.14609696635987124</v>
      </c>
      <c r="BI167" s="16">
        <f t="shared" si="148"/>
        <v>0.13198015366034541</v>
      </c>
      <c r="BJ167" s="16">
        <f t="shared" si="149"/>
        <v>8.3367914198418713E-2</v>
      </c>
      <c r="BK167" s="16">
        <f t="shared" si="150"/>
        <v>0.10640640223148412</v>
      </c>
      <c r="BL167" s="16">
        <f t="shared" si="151"/>
        <v>0.21963504743569431</v>
      </c>
      <c r="BM167" s="16">
        <f t="shared" si="152"/>
        <v>3.8988008374820568E-3</v>
      </c>
      <c r="BN167" s="16">
        <f t="shared" si="153"/>
        <v>0.14537706087090876</v>
      </c>
      <c r="BO167" s="16">
        <f t="shared" si="154"/>
        <v>0.29209790661993401</v>
      </c>
      <c r="BP167" s="16">
        <f t="shared" si="155"/>
        <v>0.31584545163401867</v>
      </c>
      <c r="BQ167" s="16">
        <f t="shared" si="156"/>
        <v>0.1000007994126096</v>
      </c>
      <c r="BR167" s="16">
        <f t="shared" si="157"/>
        <v>0.13164487759885393</v>
      </c>
      <c r="BS167" s="16">
        <f t="shared" si="158"/>
        <v>2.9803550189863123E-2</v>
      </c>
      <c r="BT167" s="16">
        <f t="shared" si="159"/>
        <v>0.13492040904978705</v>
      </c>
      <c r="BU167" s="16">
        <f t="shared" si="160"/>
        <v>0.11703687414398131</v>
      </c>
      <c r="BV167" s="16">
        <f t="shared" si="161"/>
        <v>0.14633353213781661</v>
      </c>
      <c r="BW167" s="16">
        <f t="shared" si="162"/>
        <v>7.5588015111767173E-2</v>
      </c>
      <c r="BX167" s="16">
        <f t="shared" si="163"/>
        <v>8.0345659937185704E-2</v>
      </c>
      <c r="BY167" s="16">
        <f t="shared" si="164"/>
        <v>5.9014643151272549E-2</v>
      </c>
      <c r="CA167" s="16" t="str">
        <f t="shared" si="141"/>
        <v/>
      </c>
      <c r="CB167" s="16" t="str">
        <f t="shared" si="122"/>
        <v/>
      </c>
      <c r="CC167" s="16" t="str">
        <f t="shared" si="123"/>
        <v/>
      </c>
      <c r="CD167" s="16" t="str">
        <f t="shared" si="124"/>
        <v/>
      </c>
      <c r="CE167" s="16" t="str">
        <f t="shared" si="125"/>
        <v/>
      </c>
      <c r="CF167" s="16" t="str">
        <f t="shared" si="126"/>
        <v/>
      </c>
      <c r="CG167" s="16" t="str">
        <f t="shared" si="127"/>
        <v/>
      </c>
      <c r="CH167" s="16" t="str">
        <f t="shared" si="128"/>
        <v/>
      </c>
      <c r="CI167" s="16" t="str">
        <f t="shared" si="129"/>
        <v/>
      </c>
      <c r="CJ167" s="16" t="str">
        <f t="shared" si="130"/>
        <v/>
      </c>
      <c r="CK167" s="16" t="str">
        <f t="shared" si="131"/>
        <v/>
      </c>
      <c r="CL167" s="16" t="str">
        <f t="shared" si="132"/>
        <v/>
      </c>
      <c r="CM167" s="16" t="str">
        <f t="shared" si="133"/>
        <v/>
      </c>
      <c r="CN167" s="16" t="str">
        <f t="shared" si="134"/>
        <v/>
      </c>
      <c r="CO167" s="16" t="str">
        <f t="shared" si="135"/>
        <v/>
      </c>
      <c r="CP167" s="16" t="str">
        <f t="shared" si="136"/>
        <v/>
      </c>
      <c r="CQ167" s="16" t="str">
        <f t="shared" si="137"/>
        <v/>
      </c>
      <c r="CR167" s="16" t="str">
        <f t="shared" si="138"/>
        <v/>
      </c>
      <c r="CS167" s="16" t="str">
        <f t="shared" si="139"/>
        <v/>
      </c>
      <c r="CT167" s="16" t="str">
        <f t="shared" si="140"/>
        <v/>
      </c>
    </row>
    <row r="168" spans="1:99" x14ac:dyDescent="0.25">
      <c r="A168" s="20"/>
      <c r="B168" s="21"/>
      <c r="C168" s="22" t="str" cm="1">
        <f t="array" ref="C168">IF(B168="","",INDEX('Exercise list'!$C$5:$C$102,B168))</f>
        <v/>
      </c>
      <c r="D168" s="17" t="str">
        <f t="shared" si="142"/>
        <v/>
      </c>
      <c r="E168" s="108" t="str">
        <f t="shared" si="165"/>
        <v/>
      </c>
      <c r="F168" s="65" t="str" cm="1">
        <f t="array" ref="F168">IF(B168="","",0.1+IFERROR(INDEX($F$6:$F167,SUMPRODUCT(MAX(ROW($C$6:$C167)*($C168=$C$6:$C167))-ROW($A$5)))*0.9^($A168-INDEX($A$6:A167,SUMPRODUCT(MAX(ROW($C$6:$C167)*($C168=$C$6:$C167))-ROW($A$5)))),0))</f>
        <v/>
      </c>
      <c r="G168" s="25" t="e">
        <f>INDEX('Exercise list'!$Y$5:$Y$102,MATCH(C168,'Exercise list'!$C$5:$C$102,0))</f>
        <v>#N/A</v>
      </c>
      <c r="H168" s="116">
        <f t="shared" si="143"/>
        <v>0</v>
      </c>
      <c r="I168" s="18">
        <f t="shared" si="144"/>
        <v>5</v>
      </c>
      <c r="J168" s="18" t="str" cm="1">
        <f t="array" ref="J168">IF(B168="","",INDEX('Exercise list'!$D$5:$D$102,B168))</f>
        <v/>
      </c>
      <c r="K168" s="17">
        <v>1</v>
      </c>
      <c r="L168" s="51" t="str" cm="1">
        <f t="array" ref="L168">IF(K168="","",INDEX('Exercise list'!$C$5:$C$102,K168))</f>
        <v>Cycling machine</v>
      </c>
      <c r="M168" s="18">
        <v>2</v>
      </c>
      <c r="N168" s="76" t="str" cm="1">
        <f t="array" ref="N168">IF(M168="","",INDEX('Exercise list'!$C$5:$C$102,M168))</f>
        <v>Lateral elliptical machine</v>
      </c>
      <c r="O168" s="19"/>
      <c r="P168" s="19">
        <f>IFERROR(INDEX('Exercise list'!$E$5:$X$102,MATCH($C168,'Exercise list'!$C$5:$C$102,0),MATCH(P$5,'Exercise list'!$E$4:$X$4,0)),0)</f>
        <v>0</v>
      </c>
      <c r="Q168" s="19">
        <f>IFERROR(INDEX('Exercise list'!$E$5:$X$102,MATCH($C168,'Exercise list'!$C$5:$C$102,0),MATCH(Q$5,'Exercise list'!$E$4:$X$4,0)),0)</f>
        <v>0</v>
      </c>
      <c r="R168" s="19">
        <f>IFERROR(INDEX('Exercise list'!$E$5:$X$102,MATCH($C168,'Exercise list'!$C$5:$C$102,0),MATCH(R$5,'Exercise list'!$E$4:$X$4,0)),0)</f>
        <v>0</v>
      </c>
      <c r="S168" s="19">
        <f>IFERROR(INDEX('Exercise list'!$E$5:$X$102,MATCH($C168,'Exercise list'!$C$5:$C$102,0),MATCH(S$5,'Exercise list'!$E$4:$X$4,0)),0)</f>
        <v>0</v>
      </c>
      <c r="T168" s="19">
        <f>IFERROR(INDEX('Exercise list'!$E$5:$X$102,MATCH($C168,'Exercise list'!$C$5:$C$102,0),MATCH(T$5,'Exercise list'!$E$4:$X$4,0)),0)</f>
        <v>0</v>
      </c>
      <c r="U168" s="19">
        <f>IFERROR(INDEX('Exercise list'!$E$5:$X$102,MATCH($C168,'Exercise list'!$C$5:$C$102,0),MATCH(U$5,'Exercise list'!$E$4:$X$4,0)),0)</f>
        <v>0</v>
      </c>
      <c r="V168" s="19">
        <f>IFERROR(INDEX('Exercise list'!$E$5:$X$102,MATCH($C168,'Exercise list'!$C$5:$C$102,0),MATCH(V$5,'Exercise list'!$E$4:$X$4,0)),0)</f>
        <v>0</v>
      </c>
      <c r="W168" s="19">
        <f>IFERROR(INDEX('Exercise list'!$E$5:$X$102,MATCH($C168,'Exercise list'!$C$5:$C$102,0),MATCH(W$5,'Exercise list'!$E$4:$X$4,0)),0)</f>
        <v>0</v>
      </c>
      <c r="X168" s="19">
        <f>IFERROR(INDEX('Exercise list'!$E$5:$X$102,MATCH($C168,'Exercise list'!$C$5:$C$102,0),MATCH(X$5,'Exercise list'!$E$4:$X$4,0)),0)</f>
        <v>0</v>
      </c>
      <c r="Y168" s="19">
        <f>IFERROR(INDEX('Exercise list'!$E$5:$X$102,MATCH($C168,'Exercise list'!$C$5:$C$102,0),MATCH(Y$5,'Exercise list'!$E$4:$X$4,0)),0)</f>
        <v>0</v>
      </c>
      <c r="Z168" s="19">
        <f>IFERROR(INDEX('Exercise list'!$E$5:$X$102,MATCH($C168,'Exercise list'!$C$5:$C$102,0),MATCH(Z$5,'Exercise list'!$E$4:$X$4,0)),0)</f>
        <v>0</v>
      </c>
      <c r="AA168" s="19">
        <f>IFERROR(INDEX('Exercise list'!$E$5:$X$102,MATCH($C168,'Exercise list'!$C$5:$C$102,0),MATCH(AA$5,'Exercise list'!$E$4:$X$4,0)),0)</f>
        <v>0</v>
      </c>
      <c r="AB168" s="19">
        <f>IFERROR(INDEX('Exercise list'!$E$5:$X$102,MATCH($C168,'Exercise list'!$C$5:$C$102,0),MATCH(AB$5,'Exercise list'!$E$4:$X$4,0)),0)</f>
        <v>0</v>
      </c>
      <c r="AC168" s="19">
        <f>IFERROR(INDEX('Exercise list'!$E$5:$X$102,MATCH($C168,'Exercise list'!$C$5:$C$102,0),MATCH(AC$5,'Exercise list'!$E$4:$X$4,0)),0)</f>
        <v>0</v>
      </c>
      <c r="AD168" s="19">
        <f>IFERROR(INDEX('Exercise list'!$E$5:$X$102,MATCH($C168,'Exercise list'!$C$5:$C$102,0),MATCH(AD$5,'Exercise list'!$E$4:$X$4,0)),0)</f>
        <v>0</v>
      </c>
      <c r="AE168" s="19">
        <f>IFERROR(INDEX('Exercise list'!$E$5:$X$102,MATCH($C168,'Exercise list'!$C$5:$C$102,0),MATCH(AE$5,'Exercise list'!$E$4:$X$4,0)),0)</f>
        <v>0</v>
      </c>
      <c r="AF168" s="19">
        <f>IFERROR(INDEX('Exercise list'!$E$5:$X$102,MATCH($C168,'Exercise list'!$C$5:$C$102,0),MATCH(AF$5,'Exercise list'!$E$4:$X$4,0)),0)</f>
        <v>0</v>
      </c>
      <c r="AG168" s="19">
        <f>IFERROR(INDEX('Exercise list'!$E$5:$X$102,MATCH($C168,'Exercise list'!$C$5:$C$102,0),MATCH(AG$5,'Exercise list'!$E$4:$X$4,0)),0)</f>
        <v>0</v>
      </c>
      <c r="AH168" s="19">
        <f>IFERROR(INDEX('Exercise list'!$E$5:$X$102,MATCH($C168,'Exercise list'!$C$5:$C$102,0),MATCH(AH$5,'Exercise list'!$E$4:$X$4,0)),0)</f>
        <v>0</v>
      </c>
      <c r="AI168" s="19">
        <f>IFERROR(INDEX('Exercise list'!$E$5:$X$102,MATCH($C168,'Exercise list'!$C$5:$C$102,0),MATCH(AI$5,'Exercise list'!$E$4:$X$4,0)),0)</f>
        <v>0</v>
      </c>
      <c r="AJ168" s="19"/>
      <c r="AK168" s="19">
        <f>IF(OR($J168=1,COUNTIFS($A$5:$A167,"&gt;="&amp;$A168-1,$A$5:$A167,"&lt;="&amp;$A168,$B$5:$B167,$B168)&gt;0,MIN(1-'Exercise list'!E$2,IF($A168=$A167,AK167,1))-P168&lt;0),-1,MIN(1,IF($A168=$A167,AK167,1)-P168+$D$2))</f>
        <v>1</v>
      </c>
      <c r="AL168" s="19">
        <f>IF(OR($J168=1,COUNTIFS($A$5:$A167,"&gt;="&amp;$A168-1,$A$5:$A167,"&lt;="&amp;$A168,$B$5:$B167,$B168)&gt;0,MIN(1-'Exercise list'!F$2,IF($A168=$A167,AL167,1))-Q168&lt;0),-1,MIN(1,IF($A168=$A167,AL167,1)-Q168+$D$2))</f>
        <v>1</v>
      </c>
      <c r="AM168" s="19">
        <f>IF(OR($J168=1,COUNTIFS($A$5:$A167,"&gt;="&amp;$A168-1,$A$5:$A167,"&lt;="&amp;$A168,$B$5:$B167,$B168)&gt;0,MIN(1-'Exercise list'!G$2,IF($A168=$A167,AM167,1))-R168&lt;0),-1,MIN(1,IF($A168=$A167,AM167,1)-R168+$D$2))</f>
        <v>1</v>
      </c>
      <c r="AN168" s="19">
        <f>IF(OR($J168=1,COUNTIFS($A$5:$A167,"&gt;="&amp;$A168-1,$A$5:$A167,"&lt;="&amp;$A168,$B$5:$B167,$B168)&gt;0,MIN(1-'Exercise list'!H$2,IF($A168=$A167,AN167,1))-S168&lt;0),-1,MIN(1,IF($A168=$A167,AN167,1)-S168+$D$2))</f>
        <v>1</v>
      </c>
      <c r="AO168" s="19">
        <f>IF(OR($J168=1,COUNTIFS($A$5:$A167,"&gt;="&amp;$A168-1,$A$5:$A167,"&lt;="&amp;$A168,$B$5:$B167,$B168)&gt;0,MIN(1-'Exercise list'!I$2,IF($A168=$A167,AO167,1))-T168&lt;0),-1,MIN(1,IF($A168=$A167,AO167,1)-T168+$D$2))</f>
        <v>1</v>
      </c>
      <c r="AP168" s="19">
        <f>IF(OR($J168=1,COUNTIFS($A$5:$A167,"&gt;="&amp;$A168-1,$A$5:$A167,"&lt;="&amp;$A168,$B$5:$B167,$B168)&gt;0,MIN(1-'Exercise list'!J$2,IF($A168=$A167,AP167,1))-U168&lt;0),-1,MIN(1,IF($A168=$A167,AP167,1)-U168+$D$2))</f>
        <v>1</v>
      </c>
      <c r="AQ168" s="19">
        <f>IF(OR($J168=1,COUNTIFS($A$5:$A167,"&gt;="&amp;$A168-1,$A$5:$A167,"&lt;="&amp;$A168,$B$5:$B167,$B168)&gt;0,MIN(1-'Exercise list'!K$2,IF($A168=$A167,AQ167,1))-V168&lt;0),-1,MIN(1,IF($A168=$A167,AQ167,1)-V168+$D$2))</f>
        <v>1</v>
      </c>
      <c r="AR168" s="19">
        <f>IF(OR($J168=1,COUNTIFS($A$5:$A167,"&gt;="&amp;$A168-1,$A$5:$A167,"&lt;="&amp;$A168,$B$5:$B167,$B168)&gt;0,MIN(1-'Exercise list'!L$2,IF($A168=$A167,AR167,1))-W168&lt;0),-1,MIN(1,IF($A168=$A167,AR167,1)-W168+$D$2))</f>
        <v>1</v>
      </c>
      <c r="AS168" s="19">
        <f>IF(OR($J168=1,COUNTIFS($A$5:$A167,"&gt;="&amp;$A168-1,$A$5:$A167,"&lt;="&amp;$A168,$B$5:$B167,$B168)&gt;0,MIN(1-'Exercise list'!M$2,IF($A168=$A167,AS167,1))-X168&lt;0),-1,MIN(1,IF($A168=$A167,AS167,1)-X168+$D$2))</f>
        <v>1</v>
      </c>
      <c r="AT168" s="19">
        <f>IF(OR($J168=1,COUNTIFS($A$5:$A167,"&gt;="&amp;$A168-1,$A$5:$A167,"&lt;="&amp;$A168,$B$5:$B167,$B168)&gt;0,MIN(1-'Exercise list'!N$2,IF($A168=$A167,AT167,1))-Y168&lt;0),-1,MIN(1,IF($A168=$A167,AT167,1)-Y168+$D$2))</f>
        <v>1</v>
      </c>
      <c r="AU168" s="19">
        <f>IF(OR($J168=1,COUNTIFS($A$5:$A167,"&gt;="&amp;$A168-1,$A$5:$A167,"&lt;="&amp;$A168,$B$5:$B167,$B168)&gt;0,MIN(1-'Exercise list'!O$2,IF($A168=$A167,AU167,1))-Z168&lt;0),-1,MIN(1,IF($A168=$A167,AU167,1)-Z168+$D$2))</f>
        <v>1</v>
      </c>
      <c r="AV168" s="19">
        <f>IF(OR($J168=1,COUNTIFS($A$5:$A167,"&gt;="&amp;$A168-1,$A$5:$A167,"&lt;="&amp;$A168,$B$5:$B167,$B168)&gt;0,MIN(1-'Exercise list'!P$2,IF($A168=$A167,AV167,1))-AA168&lt;0),-1,MIN(1,IF($A168=$A167,AV167,1)-AA168+$D$2))</f>
        <v>1</v>
      </c>
      <c r="AW168" s="19">
        <f>IF(OR($J168=1,COUNTIFS($A$5:$A167,"&gt;="&amp;$A168-1,$A$5:$A167,"&lt;="&amp;$A168,$B$5:$B167,$B168)&gt;0,MIN(1-'Exercise list'!Q$2,IF($A168=$A167,AW167,1))-AB168&lt;0),-1,MIN(1,IF($A168=$A167,AW167,1)-AB168+$D$2))</f>
        <v>1</v>
      </c>
      <c r="AX168" s="19">
        <f>IF(OR($J168=1,COUNTIFS($A$5:$A167,"&gt;="&amp;$A168-1,$A$5:$A167,"&lt;="&amp;$A168,$B$5:$B167,$B168)&gt;0,MIN(1-'Exercise list'!R$2,IF($A168=$A167,AX167,1))-AC168&lt;0),-1,MIN(1,IF($A168=$A167,AX167,1)-AC168+$D$2))</f>
        <v>1</v>
      </c>
      <c r="AY168" s="19">
        <f>IF(OR($J168=1,COUNTIFS($A$5:$A167,"&gt;="&amp;$A168-1,$A$5:$A167,"&lt;="&amp;$A168,$B$5:$B167,$B168)&gt;0,MIN(1-'Exercise list'!S$2,IF($A168=$A167,AY167,1))-AD168&lt;0),-1,MIN(1,IF($A168=$A167,AY167,1)-AD168+$D$2))</f>
        <v>1</v>
      </c>
      <c r="AZ168" s="19">
        <f>IF(OR($J168=1,COUNTIFS($A$5:$A167,"&gt;="&amp;$A168-1,$A$5:$A167,"&lt;="&amp;$A168,$B$5:$B167,$B168)&gt;0,MIN(1-'Exercise list'!T$2,IF($A168=$A167,AZ167,1))-AE168&lt;0),-1,MIN(1,IF($A168=$A167,AZ167,1)-AE168+$D$2))</f>
        <v>1</v>
      </c>
      <c r="BA168" s="19">
        <f>IF(OR($J168=1,COUNTIFS($A$5:$A167,"&gt;="&amp;$A168-1,$A$5:$A167,"&lt;="&amp;$A168,$B$5:$B167,$B168)&gt;0,MIN(1-'Exercise list'!U$2,IF($A168=$A167,BA167,1))-AF168&lt;0),-1,MIN(1,IF($A168=$A167,BA167,1)-AF168+$D$2))</f>
        <v>1</v>
      </c>
      <c r="BB168" s="19">
        <f>IF(OR($J168=1,COUNTIFS($A$5:$A167,"&gt;="&amp;$A168-1,$A$5:$A167,"&lt;="&amp;$A168,$B$5:$B167,$B168)&gt;0,MIN(1-'Exercise list'!V$2,IF($A168=$A167,BB167,1))-AG168&lt;0),-1,MIN(1,IF($A168=$A167,BB167,1)-AG168+$D$2))</f>
        <v>1</v>
      </c>
      <c r="BC168" s="19">
        <f>IF(OR($J168=1,COUNTIFS($A$5:$A167,"&gt;="&amp;$A168-1,$A$5:$A167,"&lt;="&amp;$A168,$B$5:$B167,$B168)&gt;0,MIN(1-'Exercise list'!W$2,IF($A168=$A167,BC167,1))-AH168&lt;0),-1,MIN(1,IF($A168=$A167,BC167,1)-AH168+$D$2))</f>
        <v>1</v>
      </c>
      <c r="BD168" s="19">
        <f>IF(OR($J168=1,COUNTIFS($A$5:$A167,"&gt;="&amp;$A168-1,$A$5:$A167,"&lt;="&amp;$A168,$B$5:$B167,$B168)&gt;0,MIN(1-'Exercise list'!X$2,IF($A168=$A167,BD167,1))-AI168&lt;0),-1,MIN(1,IF($A168=$A167,BD167,1)-AI168+$D$2))</f>
        <v>1</v>
      </c>
      <c r="BE168" s="19"/>
      <c r="BF168" s="23">
        <f t="shared" si="145"/>
        <v>0.19596031081758858</v>
      </c>
      <c r="BG168" s="23">
        <f t="shared" si="146"/>
        <v>0.21844636935459236</v>
      </c>
      <c r="BH168" s="23">
        <f t="shared" si="147"/>
        <v>0.14609696635987124</v>
      </c>
      <c r="BI168" s="23">
        <f t="shared" si="148"/>
        <v>0.13198015366034541</v>
      </c>
      <c r="BJ168" s="23">
        <f t="shared" si="149"/>
        <v>8.3367914198418713E-2</v>
      </c>
      <c r="BK168" s="23">
        <f t="shared" si="150"/>
        <v>0.10640640223148412</v>
      </c>
      <c r="BL168" s="23">
        <f t="shared" si="151"/>
        <v>0.21963504743569431</v>
      </c>
      <c r="BM168" s="23">
        <f t="shared" si="152"/>
        <v>3.8988008374820568E-3</v>
      </c>
      <c r="BN168" s="23">
        <f t="shared" si="153"/>
        <v>0.14537706087090876</v>
      </c>
      <c r="BO168" s="23">
        <f t="shared" si="154"/>
        <v>0.29209790661993401</v>
      </c>
      <c r="BP168" s="23">
        <f t="shared" si="155"/>
        <v>0.31584545163401867</v>
      </c>
      <c r="BQ168" s="23">
        <f t="shared" si="156"/>
        <v>0.1000007994126096</v>
      </c>
      <c r="BR168" s="23">
        <f t="shared" si="157"/>
        <v>0.13164487759885393</v>
      </c>
      <c r="BS168" s="23">
        <f t="shared" si="158"/>
        <v>2.9803550189863123E-2</v>
      </c>
      <c r="BT168" s="23">
        <f t="shared" si="159"/>
        <v>0.13492040904978705</v>
      </c>
      <c r="BU168" s="23">
        <f t="shared" si="160"/>
        <v>0.11703687414398131</v>
      </c>
      <c r="BV168" s="23">
        <f t="shared" si="161"/>
        <v>0.14633353213781661</v>
      </c>
      <c r="BW168" s="23">
        <f t="shared" si="162"/>
        <v>7.5588015111767173E-2</v>
      </c>
      <c r="BX168" s="23">
        <f t="shared" si="163"/>
        <v>8.0345659937185704E-2</v>
      </c>
      <c r="BY168" s="23">
        <f t="shared" si="164"/>
        <v>5.9014643151272549E-2</v>
      </c>
      <c r="BZ168" s="19"/>
      <c r="CA168" s="23" t="str">
        <f t="shared" si="141"/>
        <v/>
      </c>
      <c r="CB168" s="23" t="str">
        <f t="shared" si="122"/>
        <v/>
      </c>
      <c r="CC168" s="23" t="str">
        <f t="shared" si="123"/>
        <v/>
      </c>
      <c r="CD168" s="23" t="str">
        <f t="shared" si="124"/>
        <v/>
      </c>
      <c r="CE168" s="23" t="str">
        <f t="shared" si="125"/>
        <v/>
      </c>
      <c r="CF168" s="23" t="str">
        <f t="shared" si="126"/>
        <v/>
      </c>
      <c r="CG168" s="23" t="str">
        <f t="shared" si="127"/>
        <v/>
      </c>
      <c r="CH168" s="23" t="str">
        <f t="shared" si="128"/>
        <v/>
      </c>
      <c r="CI168" s="23" t="str">
        <f t="shared" si="129"/>
        <v/>
      </c>
      <c r="CJ168" s="23" t="str">
        <f t="shared" si="130"/>
        <v/>
      </c>
      <c r="CK168" s="23" t="str">
        <f t="shared" si="131"/>
        <v/>
      </c>
      <c r="CL168" s="23" t="str">
        <f t="shared" si="132"/>
        <v/>
      </c>
      <c r="CM168" s="23" t="str">
        <f t="shared" si="133"/>
        <v/>
      </c>
      <c r="CN168" s="23" t="str">
        <f t="shared" si="134"/>
        <v/>
      </c>
      <c r="CO168" s="23" t="str">
        <f t="shared" si="135"/>
        <v/>
      </c>
      <c r="CP168" s="23" t="str">
        <f t="shared" si="136"/>
        <v/>
      </c>
      <c r="CQ168" s="23" t="str">
        <f t="shared" si="137"/>
        <v/>
      </c>
      <c r="CR168" s="23" t="str">
        <f t="shared" si="138"/>
        <v/>
      </c>
      <c r="CS168" s="23" t="str">
        <f t="shared" si="139"/>
        <v/>
      </c>
      <c r="CT168" s="23" t="str">
        <f t="shared" si="140"/>
        <v/>
      </c>
      <c r="CU168" s="19"/>
    </row>
    <row r="169" spans="1:99" x14ac:dyDescent="0.25">
      <c r="A169" s="13"/>
      <c r="B169" s="14"/>
      <c r="C169" s="15" t="str" cm="1">
        <f t="array" ref="C169">IF(B169="","",INDEX('Exercise list'!$C$5:$C$102,B169))</f>
        <v/>
      </c>
      <c r="D169" s="12" t="str">
        <f t="shared" si="142"/>
        <v/>
      </c>
      <c r="E169" s="107" t="str">
        <f t="shared" si="165"/>
        <v/>
      </c>
      <c r="F169" s="63" t="str" cm="1">
        <f t="array" ref="F169">IF(B169="","",0.1+IFERROR(INDEX($F$6:$F168,SUMPRODUCT(MAX(ROW($C$6:$C168)*($C169=$C$6:$C168))-ROW($A$5)))*0.9^($A169-INDEX($A$6:A168,SUMPRODUCT(MAX(ROW($C$6:$C168)*($C169=$C$6:$C168))-ROW($A$5)))),0))</f>
        <v/>
      </c>
      <c r="G169" s="64" t="e">
        <f>INDEX('Exercise list'!$Y$5:$Y$102,MATCH(C169,'Exercise list'!$C$5:$C$102,0))</f>
        <v>#N/A</v>
      </c>
      <c r="H169" s="115">
        <f t="shared" si="143"/>
        <v>0</v>
      </c>
      <c r="I169" s="42">
        <f t="shared" si="144"/>
        <v>5</v>
      </c>
      <c r="J169" s="6" t="str" cm="1">
        <f t="array" ref="J169">IF(B169="","",INDEX('Exercise list'!$D$5:$D$102,B169))</f>
        <v/>
      </c>
      <c r="K169" s="12">
        <v>25</v>
      </c>
      <c r="L169" s="74" t="str" cm="1">
        <f t="array" ref="L169">IF(K169="","",INDEX('Exercise list'!$C$5:$C$102,K169))</f>
        <v>Dumbbell decline bench presses</v>
      </c>
      <c r="M169" s="6">
        <v>8</v>
      </c>
      <c r="N169" s="75" t="str" cm="1">
        <f t="array" ref="N169">IF(M169="","",INDEX('Exercise list'!$C$5:$C$102,M169))</f>
        <v>Barbell deadlifts</v>
      </c>
      <c r="P169">
        <f>IFERROR(INDEX('Exercise list'!$E$5:$X$102,MATCH($C169,'Exercise list'!$C$5:$C$102,0),MATCH(P$5,'Exercise list'!$E$4:$X$4,0)),0)</f>
        <v>0</v>
      </c>
      <c r="Q169">
        <f>IFERROR(INDEX('Exercise list'!$E$5:$X$102,MATCH($C169,'Exercise list'!$C$5:$C$102,0),MATCH(Q$5,'Exercise list'!$E$4:$X$4,0)),0)</f>
        <v>0</v>
      </c>
      <c r="R169">
        <f>IFERROR(INDEX('Exercise list'!$E$5:$X$102,MATCH($C169,'Exercise list'!$C$5:$C$102,0),MATCH(R$5,'Exercise list'!$E$4:$X$4,0)),0)</f>
        <v>0</v>
      </c>
      <c r="S169">
        <f>IFERROR(INDEX('Exercise list'!$E$5:$X$102,MATCH($C169,'Exercise list'!$C$5:$C$102,0),MATCH(S$5,'Exercise list'!$E$4:$X$4,0)),0)</f>
        <v>0</v>
      </c>
      <c r="T169">
        <f>IFERROR(INDEX('Exercise list'!$E$5:$X$102,MATCH($C169,'Exercise list'!$C$5:$C$102,0),MATCH(T$5,'Exercise list'!$E$4:$X$4,0)),0)</f>
        <v>0</v>
      </c>
      <c r="U169">
        <f>IFERROR(INDEX('Exercise list'!$E$5:$X$102,MATCH($C169,'Exercise list'!$C$5:$C$102,0),MATCH(U$5,'Exercise list'!$E$4:$X$4,0)),0)</f>
        <v>0</v>
      </c>
      <c r="V169">
        <f>IFERROR(INDEX('Exercise list'!$E$5:$X$102,MATCH($C169,'Exercise list'!$C$5:$C$102,0),MATCH(V$5,'Exercise list'!$E$4:$X$4,0)),0)</f>
        <v>0</v>
      </c>
      <c r="W169">
        <f>IFERROR(INDEX('Exercise list'!$E$5:$X$102,MATCH($C169,'Exercise list'!$C$5:$C$102,0),MATCH(W$5,'Exercise list'!$E$4:$X$4,0)),0)</f>
        <v>0</v>
      </c>
      <c r="X169">
        <f>IFERROR(INDEX('Exercise list'!$E$5:$X$102,MATCH($C169,'Exercise list'!$C$5:$C$102,0),MATCH(X$5,'Exercise list'!$E$4:$X$4,0)),0)</f>
        <v>0</v>
      </c>
      <c r="Y169">
        <f>IFERROR(INDEX('Exercise list'!$E$5:$X$102,MATCH($C169,'Exercise list'!$C$5:$C$102,0),MATCH(Y$5,'Exercise list'!$E$4:$X$4,0)),0)</f>
        <v>0</v>
      </c>
      <c r="Z169">
        <f>IFERROR(INDEX('Exercise list'!$E$5:$X$102,MATCH($C169,'Exercise list'!$C$5:$C$102,0),MATCH(Z$5,'Exercise list'!$E$4:$X$4,0)),0)</f>
        <v>0</v>
      </c>
      <c r="AA169">
        <f>IFERROR(INDEX('Exercise list'!$E$5:$X$102,MATCH($C169,'Exercise list'!$C$5:$C$102,0),MATCH(AA$5,'Exercise list'!$E$4:$X$4,0)),0)</f>
        <v>0</v>
      </c>
      <c r="AB169">
        <f>IFERROR(INDEX('Exercise list'!$E$5:$X$102,MATCH($C169,'Exercise list'!$C$5:$C$102,0),MATCH(AB$5,'Exercise list'!$E$4:$X$4,0)),0)</f>
        <v>0</v>
      </c>
      <c r="AC169">
        <f>IFERROR(INDEX('Exercise list'!$E$5:$X$102,MATCH($C169,'Exercise list'!$C$5:$C$102,0),MATCH(AC$5,'Exercise list'!$E$4:$X$4,0)),0)</f>
        <v>0</v>
      </c>
      <c r="AD169">
        <f>IFERROR(INDEX('Exercise list'!$E$5:$X$102,MATCH($C169,'Exercise list'!$C$5:$C$102,0),MATCH(AD$5,'Exercise list'!$E$4:$X$4,0)),0)</f>
        <v>0</v>
      </c>
      <c r="AE169">
        <f>IFERROR(INDEX('Exercise list'!$E$5:$X$102,MATCH($C169,'Exercise list'!$C$5:$C$102,0),MATCH(AE$5,'Exercise list'!$E$4:$X$4,0)),0)</f>
        <v>0</v>
      </c>
      <c r="AF169">
        <f>IFERROR(INDEX('Exercise list'!$E$5:$X$102,MATCH($C169,'Exercise list'!$C$5:$C$102,0),MATCH(AF$5,'Exercise list'!$E$4:$X$4,0)),0)</f>
        <v>0</v>
      </c>
      <c r="AG169">
        <f>IFERROR(INDEX('Exercise list'!$E$5:$X$102,MATCH($C169,'Exercise list'!$C$5:$C$102,0),MATCH(AG$5,'Exercise list'!$E$4:$X$4,0)),0)</f>
        <v>0</v>
      </c>
      <c r="AH169">
        <f>IFERROR(INDEX('Exercise list'!$E$5:$X$102,MATCH($C169,'Exercise list'!$C$5:$C$102,0),MATCH(AH$5,'Exercise list'!$E$4:$X$4,0)),0)</f>
        <v>0</v>
      </c>
      <c r="AI169">
        <f>IFERROR(INDEX('Exercise list'!$E$5:$X$102,MATCH($C169,'Exercise list'!$C$5:$C$102,0),MATCH(AI$5,'Exercise list'!$E$4:$X$4,0)),0)</f>
        <v>0</v>
      </c>
      <c r="AK169">
        <f>IF(OR($J169=1,COUNTIFS($A$5:$A168,"&gt;="&amp;$A169-1,$A$5:$A168,"&lt;="&amp;$A169,$B$5:$B168,$B169)&gt;0,MIN(1-'Exercise list'!E$2,IF($A169=$A168,AK168,1))-P169&lt;0),-1,MIN(1,IF($A169=$A168,AK168,1)-P169+$D$2))</f>
        <v>1</v>
      </c>
      <c r="AL169">
        <f>IF(OR($J169=1,COUNTIFS($A$5:$A168,"&gt;="&amp;$A169-1,$A$5:$A168,"&lt;="&amp;$A169,$B$5:$B168,$B169)&gt;0,MIN(1-'Exercise list'!F$2,IF($A169=$A168,AL168,1))-Q169&lt;0),-1,MIN(1,IF($A169=$A168,AL168,1)-Q169+$D$2))</f>
        <v>1</v>
      </c>
      <c r="AM169">
        <f>IF(OR($J169=1,COUNTIFS($A$5:$A168,"&gt;="&amp;$A169-1,$A$5:$A168,"&lt;="&amp;$A169,$B$5:$B168,$B169)&gt;0,MIN(1-'Exercise list'!G$2,IF($A169=$A168,AM168,1))-R169&lt;0),-1,MIN(1,IF($A169=$A168,AM168,1)-R169+$D$2))</f>
        <v>1</v>
      </c>
      <c r="AN169">
        <f>IF(OR($J169=1,COUNTIFS($A$5:$A168,"&gt;="&amp;$A169-1,$A$5:$A168,"&lt;="&amp;$A169,$B$5:$B168,$B169)&gt;0,MIN(1-'Exercise list'!H$2,IF($A169=$A168,AN168,1))-S169&lt;0),-1,MIN(1,IF($A169=$A168,AN168,1)-S169+$D$2))</f>
        <v>1</v>
      </c>
      <c r="AO169">
        <f>IF(OR($J169=1,COUNTIFS($A$5:$A168,"&gt;="&amp;$A169-1,$A$5:$A168,"&lt;="&amp;$A169,$B$5:$B168,$B169)&gt;0,MIN(1-'Exercise list'!I$2,IF($A169=$A168,AO168,1))-T169&lt;0),-1,MIN(1,IF($A169=$A168,AO168,1)-T169+$D$2))</f>
        <v>1</v>
      </c>
      <c r="AP169">
        <f>IF(OR($J169=1,COUNTIFS($A$5:$A168,"&gt;="&amp;$A169-1,$A$5:$A168,"&lt;="&amp;$A169,$B$5:$B168,$B169)&gt;0,MIN(1-'Exercise list'!J$2,IF($A169=$A168,AP168,1))-U169&lt;0),-1,MIN(1,IF($A169=$A168,AP168,1)-U169+$D$2))</f>
        <v>1</v>
      </c>
      <c r="AQ169">
        <f>IF(OR($J169=1,COUNTIFS($A$5:$A168,"&gt;="&amp;$A169-1,$A$5:$A168,"&lt;="&amp;$A169,$B$5:$B168,$B169)&gt;0,MIN(1-'Exercise list'!K$2,IF($A169=$A168,AQ168,1))-V169&lt;0),-1,MIN(1,IF($A169=$A168,AQ168,1)-V169+$D$2))</f>
        <v>1</v>
      </c>
      <c r="AR169">
        <f>IF(OR($J169=1,COUNTIFS($A$5:$A168,"&gt;="&amp;$A169-1,$A$5:$A168,"&lt;="&amp;$A169,$B$5:$B168,$B169)&gt;0,MIN(1-'Exercise list'!L$2,IF($A169=$A168,AR168,1))-W169&lt;0),-1,MIN(1,IF($A169=$A168,AR168,1)-W169+$D$2))</f>
        <v>1</v>
      </c>
      <c r="AS169">
        <f>IF(OR($J169=1,COUNTIFS($A$5:$A168,"&gt;="&amp;$A169-1,$A$5:$A168,"&lt;="&amp;$A169,$B$5:$B168,$B169)&gt;0,MIN(1-'Exercise list'!M$2,IF($A169=$A168,AS168,1))-X169&lt;0),-1,MIN(1,IF($A169=$A168,AS168,1)-X169+$D$2))</f>
        <v>1</v>
      </c>
      <c r="AT169">
        <f>IF(OR($J169=1,COUNTIFS($A$5:$A168,"&gt;="&amp;$A169-1,$A$5:$A168,"&lt;="&amp;$A169,$B$5:$B168,$B169)&gt;0,MIN(1-'Exercise list'!N$2,IF($A169=$A168,AT168,1))-Y169&lt;0),-1,MIN(1,IF($A169=$A168,AT168,1)-Y169+$D$2))</f>
        <v>1</v>
      </c>
      <c r="AU169">
        <f>IF(OR($J169=1,COUNTIFS($A$5:$A168,"&gt;="&amp;$A169-1,$A$5:$A168,"&lt;="&amp;$A169,$B$5:$B168,$B169)&gt;0,MIN(1-'Exercise list'!O$2,IF($A169=$A168,AU168,1))-Z169&lt;0),-1,MIN(1,IF($A169=$A168,AU168,1)-Z169+$D$2))</f>
        <v>1</v>
      </c>
      <c r="AV169">
        <f>IF(OR($J169=1,COUNTIFS($A$5:$A168,"&gt;="&amp;$A169-1,$A$5:$A168,"&lt;="&amp;$A169,$B$5:$B168,$B169)&gt;0,MIN(1-'Exercise list'!P$2,IF($A169=$A168,AV168,1))-AA169&lt;0),-1,MIN(1,IF($A169=$A168,AV168,1)-AA169+$D$2))</f>
        <v>1</v>
      </c>
      <c r="AW169">
        <f>IF(OR($J169=1,COUNTIFS($A$5:$A168,"&gt;="&amp;$A169-1,$A$5:$A168,"&lt;="&amp;$A169,$B$5:$B168,$B169)&gt;0,MIN(1-'Exercise list'!Q$2,IF($A169=$A168,AW168,1))-AB169&lt;0),-1,MIN(1,IF($A169=$A168,AW168,1)-AB169+$D$2))</f>
        <v>1</v>
      </c>
      <c r="AX169">
        <f>IF(OR($J169=1,COUNTIFS($A$5:$A168,"&gt;="&amp;$A169-1,$A$5:$A168,"&lt;="&amp;$A169,$B$5:$B168,$B169)&gt;0,MIN(1-'Exercise list'!R$2,IF($A169=$A168,AX168,1))-AC169&lt;0),-1,MIN(1,IF($A169=$A168,AX168,1)-AC169+$D$2))</f>
        <v>1</v>
      </c>
      <c r="AY169">
        <f>IF(OR($J169=1,COUNTIFS($A$5:$A168,"&gt;="&amp;$A169-1,$A$5:$A168,"&lt;="&amp;$A169,$B$5:$B168,$B169)&gt;0,MIN(1-'Exercise list'!S$2,IF($A169=$A168,AY168,1))-AD169&lt;0),-1,MIN(1,IF($A169=$A168,AY168,1)-AD169+$D$2))</f>
        <v>1</v>
      </c>
      <c r="AZ169">
        <f>IF(OR($J169=1,COUNTIFS($A$5:$A168,"&gt;="&amp;$A169-1,$A$5:$A168,"&lt;="&amp;$A169,$B$5:$B168,$B169)&gt;0,MIN(1-'Exercise list'!T$2,IF($A169=$A168,AZ168,1))-AE169&lt;0),-1,MIN(1,IF($A169=$A168,AZ168,1)-AE169+$D$2))</f>
        <v>1</v>
      </c>
      <c r="BA169">
        <f>IF(OR($J169=1,COUNTIFS($A$5:$A168,"&gt;="&amp;$A169-1,$A$5:$A168,"&lt;="&amp;$A169,$B$5:$B168,$B169)&gt;0,MIN(1-'Exercise list'!U$2,IF($A169=$A168,BA168,1))-AF169&lt;0),-1,MIN(1,IF($A169=$A168,BA168,1)-AF169+$D$2))</f>
        <v>1</v>
      </c>
      <c r="BB169">
        <f>IF(OR($J169=1,COUNTIFS($A$5:$A168,"&gt;="&amp;$A169-1,$A$5:$A168,"&lt;="&amp;$A169,$B$5:$B168,$B169)&gt;0,MIN(1-'Exercise list'!V$2,IF($A169=$A168,BB168,1))-AG169&lt;0),-1,MIN(1,IF($A169=$A168,BB168,1)-AG169+$D$2))</f>
        <v>1</v>
      </c>
      <c r="BC169">
        <f>IF(OR($J169=1,COUNTIFS($A$5:$A168,"&gt;="&amp;$A169-1,$A$5:$A168,"&lt;="&amp;$A169,$B$5:$B168,$B169)&gt;0,MIN(1-'Exercise list'!W$2,IF($A169=$A168,BC168,1))-AH169&lt;0),-1,MIN(1,IF($A169=$A168,BC168,1)-AH169+$D$2))</f>
        <v>1</v>
      </c>
      <c r="BD169">
        <f>IF(OR($J169=1,COUNTIFS($A$5:$A168,"&gt;="&amp;$A169-1,$A$5:$A168,"&lt;="&amp;$A169,$B$5:$B168,$B169)&gt;0,MIN(1-'Exercise list'!X$2,IF($A169=$A168,BD168,1))-AI169&lt;0),-1,MIN(1,IF($A169=$A168,BD168,1)-AI169+$D$2))</f>
        <v>1</v>
      </c>
      <c r="BF169" s="16">
        <f t="shared" si="145"/>
        <v>0.19596031081758858</v>
      </c>
      <c r="BG169" s="16">
        <f t="shared" si="146"/>
        <v>0.21844636935459236</v>
      </c>
      <c r="BH169" s="16">
        <f t="shared" si="147"/>
        <v>0.14609696635987124</v>
      </c>
      <c r="BI169" s="16">
        <f t="shared" si="148"/>
        <v>0.13198015366034541</v>
      </c>
      <c r="BJ169" s="16">
        <f t="shared" si="149"/>
        <v>8.3367914198418713E-2</v>
      </c>
      <c r="BK169" s="16">
        <f t="shared" si="150"/>
        <v>0.10640640223148412</v>
      </c>
      <c r="BL169" s="16">
        <f t="shared" si="151"/>
        <v>0.21963504743569431</v>
      </c>
      <c r="BM169" s="16">
        <f t="shared" si="152"/>
        <v>3.8988008374820568E-3</v>
      </c>
      <c r="BN169" s="16">
        <f t="shared" si="153"/>
        <v>0.14537706087090876</v>
      </c>
      <c r="BO169" s="16">
        <f t="shared" si="154"/>
        <v>0.29209790661993401</v>
      </c>
      <c r="BP169" s="16">
        <f t="shared" si="155"/>
        <v>0.31584545163401867</v>
      </c>
      <c r="BQ169" s="16">
        <f t="shared" si="156"/>
        <v>0.1000007994126096</v>
      </c>
      <c r="BR169" s="16">
        <f t="shared" si="157"/>
        <v>0.13164487759885393</v>
      </c>
      <c r="BS169" s="16">
        <f t="shared" si="158"/>
        <v>2.9803550189863123E-2</v>
      </c>
      <c r="BT169" s="16">
        <f t="shared" si="159"/>
        <v>0.13492040904978705</v>
      </c>
      <c r="BU169" s="16">
        <f t="shared" si="160"/>
        <v>0.11703687414398131</v>
      </c>
      <c r="BV169" s="16">
        <f t="shared" si="161"/>
        <v>0.14633353213781661</v>
      </c>
      <c r="BW169" s="16">
        <f t="shared" si="162"/>
        <v>7.5588015111767173E-2</v>
      </c>
      <c r="BX169" s="16">
        <f t="shared" si="163"/>
        <v>8.0345659937185704E-2</v>
      </c>
      <c r="BY169" s="16">
        <f t="shared" si="164"/>
        <v>5.9014643151272549E-2</v>
      </c>
      <c r="CA169" s="16" t="str">
        <f t="shared" si="141"/>
        <v/>
      </c>
      <c r="CB169" s="16" t="str">
        <f t="shared" si="122"/>
        <v/>
      </c>
      <c r="CC169" s="16" t="str">
        <f t="shared" si="123"/>
        <v/>
      </c>
      <c r="CD169" s="16" t="str">
        <f t="shared" si="124"/>
        <v/>
      </c>
      <c r="CE169" s="16" t="str">
        <f t="shared" si="125"/>
        <v/>
      </c>
      <c r="CF169" s="16" t="str">
        <f t="shared" si="126"/>
        <v/>
      </c>
      <c r="CG169" s="16" t="str">
        <f t="shared" si="127"/>
        <v/>
      </c>
      <c r="CH169" s="16" t="str">
        <f t="shared" si="128"/>
        <v/>
      </c>
      <c r="CI169" s="16" t="str">
        <f t="shared" si="129"/>
        <v/>
      </c>
      <c r="CJ169" s="16" t="str">
        <f t="shared" si="130"/>
        <v/>
      </c>
      <c r="CK169" s="16" t="str">
        <f t="shared" si="131"/>
        <v/>
      </c>
      <c r="CL169" s="16" t="str">
        <f t="shared" si="132"/>
        <v/>
      </c>
      <c r="CM169" s="16" t="str">
        <f t="shared" si="133"/>
        <v/>
      </c>
      <c r="CN169" s="16" t="str">
        <f t="shared" si="134"/>
        <v/>
      </c>
      <c r="CO169" s="16" t="str">
        <f t="shared" si="135"/>
        <v/>
      </c>
      <c r="CP169" s="16" t="str">
        <f t="shared" si="136"/>
        <v/>
      </c>
      <c r="CQ169" s="16" t="str">
        <f t="shared" si="137"/>
        <v/>
      </c>
      <c r="CR169" s="16" t="str">
        <f t="shared" si="138"/>
        <v/>
      </c>
      <c r="CS169" s="16" t="str">
        <f t="shared" si="139"/>
        <v/>
      </c>
      <c r="CT169" s="16" t="str">
        <f t="shared" si="140"/>
        <v/>
      </c>
    </row>
    <row r="170" spans="1:99" x14ac:dyDescent="0.25">
      <c r="A170" s="13"/>
      <c r="B170" s="14"/>
      <c r="C170" s="15" t="str" cm="1">
        <f t="array" ref="C170">IF(B170="","",INDEX('Exercise list'!$C$5:$C$102,B170))</f>
        <v/>
      </c>
      <c r="D170" s="12" t="str">
        <f t="shared" si="142"/>
        <v/>
      </c>
      <c r="E170" s="107" t="str">
        <f t="shared" si="165"/>
        <v/>
      </c>
      <c r="F170" s="63" t="str" cm="1">
        <f t="array" ref="F170">IF(B170="","",0.1+IFERROR(INDEX($F$6:$F169,SUMPRODUCT(MAX(ROW($C$6:$C169)*($C170=$C$6:$C169))-ROW($A$5)))*0.9^($A170-INDEX($A$6:A169,SUMPRODUCT(MAX(ROW($C$6:$C169)*($C170=$C$6:$C169))-ROW($A$5)))),0))</f>
        <v/>
      </c>
      <c r="G170" s="64" t="e">
        <f>INDEX('Exercise list'!$Y$5:$Y$102,MATCH(C170,'Exercise list'!$C$5:$C$102,0))</f>
        <v>#N/A</v>
      </c>
      <c r="H170" s="115">
        <f t="shared" si="143"/>
        <v>0</v>
      </c>
      <c r="I170" s="6">
        <f t="shared" si="144"/>
        <v>5</v>
      </c>
      <c r="J170" s="6" t="str" cm="1">
        <f t="array" ref="J170">IF(B170="","",INDEX('Exercise list'!$D$5:$D$102,B170))</f>
        <v/>
      </c>
      <c r="K170" s="12">
        <v>19</v>
      </c>
      <c r="L170" s="74" t="str" cm="1">
        <f t="array" ref="L170">IF(K170="","",INDEX('Exercise list'!$C$5:$C$102,K170))</f>
        <v>EZ bar biceps curls</v>
      </c>
      <c r="M170" s="6">
        <v>29</v>
      </c>
      <c r="N170" s="75" t="str" cm="1">
        <f t="array" ref="N170">IF(M170="","",INDEX('Exercise list'!$C$5:$C$102,M170))</f>
        <v>Hanging leg raises</v>
      </c>
      <c r="P170">
        <f>IFERROR(INDEX('Exercise list'!$E$5:$X$102,MATCH($C170,'Exercise list'!$C$5:$C$102,0),MATCH(P$5,'Exercise list'!$E$4:$X$4,0)),0)</f>
        <v>0</v>
      </c>
      <c r="Q170">
        <f>IFERROR(INDEX('Exercise list'!$E$5:$X$102,MATCH($C170,'Exercise list'!$C$5:$C$102,0),MATCH(Q$5,'Exercise list'!$E$4:$X$4,0)),0)</f>
        <v>0</v>
      </c>
      <c r="R170">
        <f>IFERROR(INDEX('Exercise list'!$E$5:$X$102,MATCH($C170,'Exercise list'!$C$5:$C$102,0),MATCH(R$5,'Exercise list'!$E$4:$X$4,0)),0)</f>
        <v>0</v>
      </c>
      <c r="S170">
        <f>IFERROR(INDEX('Exercise list'!$E$5:$X$102,MATCH($C170,'Exercise list'!$C$5:$C$102,0),MATCH(S$5,'Exercise list'!$E$4:$X$4,0)),0)</f>
        <v>0</v>
      </c>
      <c r="T170">
        <f>IFERROR(INDEX('Exercise list'!$E$5:$X$102,MATCH($C170,'Exercise list'!$C$5:$C$102,0),MATCH(T$5,'Exercise list'!$E$4:$X$4,0)),0)</f>
        <v>0</v>
      </c>
      <c r="U170">
        <f>IFERROR(INDEX('Exercise list'!$E$5:$X$102,MATCH($C170,'Exercise list'!$C$5:$C$102,0),MATCH(U$5,'Exercise list'!$E$4:$X$4,0)),0)</f>
        <v>0</v>
      </c>
      <c r="V170">
        <f>IFERROR(INDEX('Exercise list'!$E$5:$X$102,MATCH($C170,'Exercise list'!$C$5:$C$102,0),MATCH(V$5,'Exercise list'!$E$4:$X$4,0)),0)</f>
        <v>0</v>
      </c>
      <c r="W170">
        <f>IFERROR(INDEX('Exercise list'!$E$5:$X$102,MATCH($C170,'Exercise list'!$C$5:$C$102,0),MATCH(W$5,'Exercise list'!$E$4:$X$4,0)),0)</f>
        <v>0</v>
      </c>
      <c r="X170">
        <f>IFERROR(INDEX('Exercise list'!$E$5:$X$102,MATCH($C170,'Exercise list'!$C$5:$C$102,0),MATCH(X$5,'Exercise list'!$E$4:$X$4,0)),0)</f>
        <v>0</v>
      </c>
      <c r="Y170">
        <f>IFERROR(INDEX('Exercise list'!$E$5:$X$102,MATCH($C170,'Exercise list'!$C$5:$C$102,0),MATCH(Y$5,'Exercise list'!$E$4:$X$4,0)),0)</f>
        <v>0</v>
      </c>
      <c r="Z170">
        <f>IFERROR(INDEX('Exercise list'!$E$5:$X$102,MATCH($C170,'Exercise list'!$C$5:$C$102,0),MATCH(Z$5,'Exercise list'!$E$4:$X$4,0)),0)</f>
        <v>0</v>
      </c>
      <c r="AA170">
        <f>IFERROR(INDEX('Exercise list'!$E$5:$X$102,MATCH($C170,'Exercise list'!$C$5:$C$102,0),MATCH(AA$5,'Exercise list'!$E$4:$X$4,0)),0)</f>
        <v>0</v>
      </c>
      <c r="AB170">
        <f>IFERROR(INDEX('Exercise list'!$E$5:$X$102,MATCH($C170,'Exercise list'!$C$5:$C$102,0),MATCH(AB$5,'Exercise list'!$E$4:$X$4,0)),0)</f>
        <v>0</v>
      </c>
      <c r="AC170">
        <f>IFERROR(INDEX('Exercise list'!$E$5:$X$102,MATCH($C170,'Exercise list'!$C$5:$C$102,0),MATCH(AC$5,'Exercise list'!$E$4:$X$4,0)),0)</f>
        <v>0</v>
      </c>
      <c r="AD170">
        <f>IFERROR(INDEX('Exercise list'!$E$5:$X$102,MATCH($C170,'Exercise list'!$C$5:$C$102,0),MATCH(AD$5,'Exercise list'!$E$4:$X$4,0)),0)</f>
        <v>0</v>
      </c>
      <c r="AE170">
        <f>IFERROR(INDEX('Exercise list'!$E$5:$X$102,MATCH($C170,'Exercise list'!$C$5:$C$102,0),MATCH(AE$5,'Exercise list'!$E$4:$X$4,0)),0)</f>
        <v>0</v>
      </c>
      <c r="AF170">
        <f>IFERROR(INDEX('Exercise list'!$E$5:$X$102,MATCH($C170,'Exercise list'!$C$5:$C$102,0),MATCH(AF$5,'Exercise list'!$E$4:$X$4,0)),0)</f>
        <v>0</v>
      </c>
      <c r="AG170">
        <f>IFERROR(INDEX('Exercise list'!$E$5:$X$102,MATCH($C170,'Exercise list'!$C$5:$C$102,0),MATCH(AG$5,'Exercise list'!$E$4:$X$4,0)),0)</f>
        <v>0</v>
      </c>
      <c r="AH170">
        <f>IFERROR(INDEX('Exercise list'!$E$5:$X$102,MATCH($C170,'Exercise list'!$C$5:$C$102,0),MATCH(AH$5,'Exercise list'!$E$4:$X$4,0)),0)</f>
        <v>0</v>
      </c>
      <c r="AI170">
        <f>IFERROR(INDEX('Exercise list'!$E$5:$X$102,MATCH($C170,'Exercise list'!$C$5:$C$102,0),MATCH(AI$5,'Exercise list'!$E$4:$X$4,0)),0)</f>
        <v>0</v>
      </c>
      <c r="AK170">
        <f>IF(OR($J170=1,COUNTIFS($A$5:$A169,"&gt;="&amp;$A170-1,$A$5:$A169,"&lt;="&amp;$A170,$B$5:$B169,$B170)&gt;0,MIN(1-'Exercise list'!E$2,IF($A170=$A169,AK169,1))-P170&lt;0),-1,MIN(1,IF($A170=$A169,AK169,1)-P170+$D$2))</f>
        <v>1</v>
      </c>
      <c r="AL170">
        <f>IF(OR($J170=1,COUNTIFS($A$5:$A169,"&gt;="&amp;$A170-1,$A$5:$A169,"&lt;="&amp;$A170,$B$5:$B169,$B170)&gt;0,MIN(1-'Exercise list'!F$2,IF($A170=$A169,AL169,1))-Q170&lt;0),-1,MIN(1,IF($A170=$A169,AL169,1)-Q170+$D$2))</f>
        <v>1</v>
      </c>
      <c r="AM170">
        <f>IF(OR($J170=1,COUNTIFS($A$5:$A169,"&gt;="&amp;$A170-1,$A$5:$A169,"&lt;="&amp;$A170,$B$5:$B169,$B170)&gt;0,MIN(1-'Exercise list'!G$2,IF($A170=$A169,AM169,1))-R170&lt;0),-1,MIN(1,IF($A170=$A169,AM169,1)-R170+$D$2))</f>
        <v>1</v>
      </c>
      <c r="AN170">
        <f>IF(OR($J170=1,COUNTIFS($A$5:$A169,"&gt;="&amp;$A170-1,$A$5:$A169,"&lt;="&amp;$A170,$B$5:$B169,$B170)&gt;0,MIN(1-'Exercise list'!H$2,IF($A170=$A169,AN169,1))-S170&lt;0),-1,MIN(1,IF($A170=$A169,AN169,1)-S170+$D$2))</f>
        <v>1</v>
      </c>
      <c r="AO170">
        <f>IF(OR($J170=1,COUNTIFS($A$5:$A169,"&gt;="&amp;$A170-1,$A$5:$A169,"&lt;="&amp;$A170,$B$5:$B169,$B170)&gt;0,MIN(1-'Exercise list'!I$2,IF($A170=$A169,AO169,1))-T170&lt;0),-1,MIN(1,IF($A170=$A169,AO169,1)-T170+$D$2))</f>
        <v>1</v>
      </c>
      <c r="AP170">
        <f>IF(OR($J170=1,COUNTIFS($A$5:$A169,"&gt;="&amp;$A170-1,$A$5:$A169,"&lt;="&amp;$A170,$B$5:$B169,$B170)&gt;0,MIN(1-'Exercise list'!J$2,IF($A170=$A169,AP169,1))-U170&lt;0),-1,MIN(1,IF($A170=$A169,AP169,1)-U170+$D$2))</f>
        <v>1</v>
      </c>
      <c r="AQ170">
        <f>IF(OR($J170=1,COUNTIFS($A$5:$A169,"&gt;="&amp;$A170-1,$A$5:$A169,"&lt;="&amp;$A170,$B$5:$B169,$B170)&gt;0,MIN(1-'Exercise list'!K$2,IF($A170=$A169,AQ169,1))-V170&lt;0),-1,MIN(1,IF($A170=$A169,AQ169,1)-V170+$D$2))</f>
        <v>1</v>
      </c>
      <c r="AR170">
        <f>IF(OR($J170=1,COUNTIFS($A$5:$A169,"&gt;="&amp;$A170-1,$A$5:$A169,"&lt;="&amp;$A170,$B$5:$B169,$B170)&gt;0,MIN(1-'Exercise list'!L$2,IF($A170=$A169,AR169,1))-W170&lt;0),-1,MIN(1,IF($A170=$A169,AR169,1)-W170+$D$2))</f>
        <v>1</v>
      </c>
      <c r="AS170">
        <f>IF(OR($J170=1,COUNTIFS($A$5:$A169,"&gt;="&amp;$A170-1,$A$5:$A169,"&lt;="&amp;$A170,$B$5:$B169,$B170)&gt;0,MIN(1-'Exercise list'!M$2,IF($A170=$A169,AS169,1))-X170&lt;0),-1,MIN(1,IF($A170=$A169,AS169,1)-X170+$D$2))</f>
        <v>1</v>
      </c>
      <c r="AT170">
        <f>IF(OR($J170=1,COUNTIFS($A$5:$A169,"&gt;="&amp;$A170-1,$A$5:$A169,"&lt;="&amp;$A170,$B$5:$B169,$B170)&gt;0,MIN(1-'Exercise list'!N$2,IF($A170=$A169,AT169,1))-Y170&lt;0),-1,MIN(1,IF($A170=$A169,AT169,1)-Y170+$D$2))</f>
        <v>1</v>
      </c>
      <c r="AU170">
        <f>IF(OR($J170=1,COUNTIFS($A$5:$A169,"&gt;="&amp;$A170-1,$A$5:$A169,"&lt;="&amp;$A170,$B$5:$B169,$B170)&gt;0,MIN(1-'Exercise list'!O$2,IF($A170=$A169,AU169,1))-Z170&lt;0),-1,MIN(1,IF($A170=$A169,AU169,1)-Z170+$D$2))</f>
        <v>1</v>
      </c>
      <c r="AV170">
        <f>IF(OR($J170=1,COUNTIFS($A$5:$A169,"&gt;="&amp;$A170-1,$A$5:$A169,"&lt;="&amp;$A170,$B$5:$B169,$B170)&gt;0,MIN(1-'Exercise list'!P$2,IF($A170=$A169,AV169,1))-AA170&lt;0),-1,MIN(1,IF($A170=$A169,AV169,1)-AA170+$D$2))</f>
        <v>1</v>
      </c>
      <c r="AW170">
        <f>IF(OR($J170=1,COUNTIFS($A$5:$A169,"&gt;="&amp;$A170-1,$A$5:$A169,"&lt;="&amp;$A170,$B$5:$B169,$B170)&gt;0,MIN(1-'Exercise list'!Q$2,IF($A170=$A169,AW169,1))-AB170&lt;0),-1,MIN(1,IF($A170=$A169,AW169,1)-AB170+$D$2))</f>
        <v>1</v>
      </c>
      <c r="AX170">
        <f>IF(OR($J170=1,COUNTIFS($A$5:$A169,"&gt;="&amp;$A170-1,$A$5:$A169,"&lt;="&amp;$A170,$B$5:$B169,$B170)&gt;0,MIN(1-'Exercise list'!R$2,IF($A170=$A169,AX169,1))-AC170&lt;0),-1,MIN(1,IF($A170=$A169,AX169,1)-AC170+$D$2))</f>
        <v>1</v>
      </c>
      <c r="AY170">
        <f>IF(OR($J170=1,COUNTIFS($A$5:$A169,"&gt;="&amp;$A170-1,$A$5:$A169,"&lt;="&amp;$A170,$B$5:$B169,$B170)&gt;0,MIN(1-'Exercise list'!S$2,IF($A170=$A169,AY169,1))-AD170&lt;0),-1,MIN(1,IF($A170=$A169,AY169,1)-AD170+$D$2))</f>
        <v>1</v>
      </c>
      <c r="AZ170">
        <f>IF(OR($J170=1,COUNTIFS($A$5:$A169,"&gt;="&amp;$A170-1,$A$5:$A169,"&lt;="&amp;$A170,$B$5:$B169,$B170)&gt;0,MIN(1-'Exercise list'!T$2,IF($A170=$A169,AZ169,1))-AE170&lt;0),-1,MIN(1,IF($A170=$A169,AZ169,1)-AE170+$D$2))</f>
        <v>1</v>
      </c>
      <c r="BA170">
        <f>IF(OR($J170=1,COUNTIFS($A$5:$A169,"&gt;="&amp;$A170-1,$A$5:$A169,"&lt;="&amp;$A170,$B$5:$B169,$B170)&gt;0,MIN(1-'Exercise list'!U$2,IF($A170=$A169,BA169,1))-AF170&lt;0),-1,MIN(1,IF($A170=$A169,BA169,1)-AF170+$D$2))</f>
        <v>1</v>
      </c>
      <c r="BB170">
        <f>IF(OR($J170=1,COUNTIFS($A$5:$A169,"&gt;="&amp;$A170-1,$A$5:$A169,"&lt;="&amp;$A170,$B$5:$B169,$B170)&gt;0,MIN(1-'Exercise list'!V$2,IF($A170=$A169,BB169,1))-AG170&lt;0),-1,MIN(1,IF($A170=$A169,BB169,1)-AG170+$D$2))</f>
        <v>1</v>
      </c>
      <c r="BC170">
        <f>IF(OR($J170=1,COUNTIFS($A$5:$A169,"&gt;="&amp;$A170-1,$A$5:$A169,"&lt;="&amp;$A170,$B$5:$B169,$B170)&gt;0,MIN(1-'Exercise list'!W$2,IF($A170=$A169,BC169,1))-AH170&lt;0),-1,MIN(1,IF($A170=$A169,BC169,1)-AH170+$D$2))</f>
        <v>1</v>
      </c>
      <c r="BD170">
        <f>IF(OR($J170=1,COUNTIFS($A$5:$A169,"&gt;="&amp;$A170-1,$A$5:$A169,"&lt;="&amp;$A170,$B$5:$B169,$B170)&gt;0,MIN(1-'Exercise list'!X$2,IF($A170=$A169,BD169,1))-AI170&lt;0),-1,MIN(1,IF($A170=$A169,BD169,1)-AI170+$D$2))</f>
        <v>1</v>
      </c>
      <c r="BF170" s="16">
        <f t="shared" si="145"/>
        <v>0.19596031081758858</v>
      </c>
      <c r="BG170" s="16">
        <f t="shared" si="146"/>
        <v>0.21844636935459236</v>
      </c>
      <c r="BH170" s="16">
        <f t="shared" si="147"/>
        <v>0.14609696635987124</v>
      </c>
      <c r="BI170" s="16">
        <f t="shared" si="148"/>
        <v>0.13198015366034541</v>
      </c>
      <c r="BJ170" s="16">
        <f t="shared" si="149"/>
        <v>8.3367914198418713E-2</v>
      </c>
      <c r="BK170" s="16">
        <f t="shared" si="150"/>
        <v>0.10640640223148412</v>
      </c>
      <c r="BL170" s="16">
        <f t="shared" si="151"/>
        <v>0.21963504743569431</v>
      </c>
      <c r="BM170" s="16">
        <f t="shared" si="152"/>
        <v>3.8988008374820568E-3</v>
      </c>
      <c r="BN170" s="16">
        <f t="shared" si="153"/>
        <v>0.14537706087090876</v>
      </c>
      <c r="BO170" s="16">
        <f t="shared" si="154"/>
        <v>0.29209790661993401</v>
      </c>
      <c r="BP170" s="16">
        <f t="shared" si="155"/>
        <v>0.31584545163401867</v>
      </c>
      <c r="BQ170" s="16">
        <f t="shared" si="156"/>
        <v>0.1000007994126096</v>
      </c>
      <c r="BR170" s="16">
        <f t="shared" si="157"/>
        <v>0.13164487759885393</v>
      </c>
      <c r="BS170" s="16">
        <f t="shared" si="158"/>
        <v>2.9803550189863123E-2</v>
      </c>
      <c r="BT170" s="16">
        <f t="shared" si="159"/>
        <v>0.13492040904978705</v>
      </c>
      <c r="BU170" s="16">
        <f t="shared" si="160"/>
        <v>0.11703687414398131</v>
      </c>
      <c r="BV170" s="16">
        <f t="shared" si="161"/>
        <v>0.14633353213781661</v>
      </c>
      <c r="BW170" s="16">
        <f t="shared" si="162"/>
        <v>7.5588015111767173E-2</v>
      </c>
      <c r="BX170" s="16">
        <f t="shared" si="163"/>
        <v>8.0345659937185704E-2</v>
      </c>
      <c r="BY170" s="16">
        <f t="shared" si="164"/>
        <v>5.9014643151272549E-2</v>
      </c>
      <c r="CA170" s="16" t="str">
        <f t="shared" si="141"/>
        <v/>
      </c>
      <c r="CB170" s="16" t="str">
        <f t="shared" si="122"/>
        <v/>
      </c>
      <c r="CC170" s="16" t="str">
        <f t="shared" si="123"/>
        <v/>
      </c>
      <c r="CD170" s="16" t="str">
        <f t="shared" si="124"/>
        <v/>
      </c>
      <c r="CE170" s="16" t="str">
        <f t="shared" si="125"/>
        <v/>
      </c>
      <c r="CF170" s="16" t="str">
        <f t="shared" si="126"/>
        <v/>
      </c>
      <c r="CG170" s="16" t="str">
        <f t="shared" si="127"/>
        <v/>
      </c>
      <c r="CH170" s="16" t="str">
        <f t="shared" si="128"/>
        <v/>
      </c>
      <c r="CI170" s="16" t="str">
        <f t="shared" si="129"/>
        <v/>
      </c>
      <c r="CJ170" s="16" t="str">
        <f t="shared" si="130"/>
        <v/>
      </c>
      <c r="CK170" s="16" t="str">
        <f t="shared" si="131"/>
        <v/>
      </c>
      <c r="CL170" s="16" t="str">
        <f t="shared" si="132"/>
        <v/>
      </c>
      <c r="CM170" s="16" t="str">
        <f t="shared" si="133"/>
        <v/>
      </c>
      <c r="CN170" s="16" t="str">
        <f t="shared" si="134"/>
        <v/>
      </c>
      <c r="CO170" s="16" t="str">
        <f t="shared" si="135"/>
        <v/>
      </c>
      <c r="CP170" s="16" t="str">
        <f t="shared" si="136"/>
        <v/>
      </c>
      <c r="CQ170" s="16" t="str">
        <f t="shared" si="137"/>
        <v/>
      </c>
      <c r="CR170" s="16" t="str">
        <f t="shared" si="138"/>
        <v/>
      </c>
      <c r="CS170" s="16" t="str">
        <f t="shared" si="139"/>
        <v/>
      </c>
      <c r="CT170" s="16" t="str">
        <f t="shared" si="140"/>
        <v/>
      </c>
    </row>
    <row r="171" spans="1:99" x14ac:dyDescent="0.25">
      <c r="A171" s="13"/>
      <c r="B171" s="14"/>
      <c r="C171" s="15" t="str" cm="1">
        <f t="array" ref="C171">IF(B171="","",INDEX('Exercise list'!$C$5:$C$102,B171))</f>
        <v/>
      </c>
      <c r="D171" s="12" t="str">
        <f t="shared" si="142"/>
        <v/>
      </c>
      <c r="E171" s="107" t="str">
        <f t="shared" si="165"/>
        <v/>
      </c>
      <c r="F171" s="63" t="str" cm="1">
        <f t="array" ref="F171">IF(B171="","",0.1+IFERROR(INDEX($F$6:$F170,SUMPRODUCT(MAX(ROW($C$6:$C170)*($C171=$C$6:$C170))-ROW($A$5)))*0.9^($A171-INDEX($A$6:A170,SUMPRODUCT(MAX(ROW($C$6:$C170)*($C171=$C$6:$C170))-ROW($A$5)))),0))</f>
        <v/>
      </c>
      <c r="G171" s="64" t="e">
        <f>INDEX('Exercise list'!$Y$5:$Y$102,MATCH(C171,'Exercise list'!$C$5:$C$102,0))</f>
        <v>#N/A</v>
      </c>
      <c r="H171" s="115">
        <f t="shared" si="143"/>
        <v>0</v>
      </c>
      <c r="I171" s="6">
        <f t="shared" si="144"/>
        <v>5</v>
      </c>
      <c r="J171" s="6" t="str" cm="1">
        <f t="array" ref="J171">IF(B171="","",INDEX('Exercise list'!$D$5:$D$102,B171))</f>
        <v/>
      </c>
      <c r="K171" s="12">
        <v>55</v>
      </c>
      <c r="L171" s="74" t="str" cm="1">
        <f t="array" ref="L171">IF(K171="","",INDEX('Exercise list'!$C$5:$C$102,K171))</f>
        <v>Egyptian cable lateral raises</v>
      </c>
      <c r="M171" s="6">
        <v>19</v>
      </c>
      <c r="N171" s="75" t="str" cm="1">
        <f t="array" ref="N171">IF(M171="","",INDEX('Exercise list'!$C$5:$C$102,M171))</f>
        <v>EZ bar biceps curls</v>
      </c>
      <c r="P171">
        <f>IFERROR(INDEX('Exercise list'!$E$5:$X$102,MATCH($C171,'Exercise list'!$C$5:$C$102,0),MATCH(P$5,'Exercise list'!$E$4:$X$4,0)),0)</f>
        <v>0</v>
      </c>
      <c r="Q171">
        <f>IFERROR(INDEX('Exercise list'!$E$5:$X$102,MATCH($C171,'Exercise list'!$C$5:$C$102,0),MATCH(Q$5,'Exercise list'!$E$4:$X$4,0)),0)</f>
        <v>0</v>
      </c>
      <c r="R171">
        <f>IFERROR(INDEX('Exercise list'!$E$5:$X$102,MATCH($C171,'Exercise list'!$C$5:$C$102,0),MATCH(R$5,'Exercise list'!$E$4:$X$4,0)),0)</f>
        <v>0</v>
      </c>
      <c r="S171">
        <f>IFERROR(INDEX('Exercise list'!$E$5:$X$102,MATCH($C171,'Exercise list'!$C$5:$C$102,0),MATCH(S$5,'Exercise list'!$E$4:$X$4,0)),0)</f>
        <v>0</v>
      </c>
      <c r="T171">
        <f>IFERROR(INDEX('Exercise list'!$E$5:$X$102,MATCH($C171,'Exercise list'!$C$5:$C$102,0),MATCH(T$5,'Exercise list'!$E$4:$X$4,0)),0)</f>
        <v>0</v>
      </c>
      <c r="U171">
        <f>IFERROR(INDEX('Exercise list'!$E$5:$X$102,MATCH($C171,'Exercise list'!$C$5:$C$102,0),MATCH(U$5,'Exercise list'!$E$4:$X$4,0)),0)</f>
        <v>0</v>
      </c>
      <c r="V171">
        <f>IFERROR(INDEX('Exercise list'!$E$5:$X$102,MATCH($C171,'Exercise list'!$C$5:$C$102,0),MATCH(V$5,'Exercise list'!$E$4:$X$4,0)),0)</f>
        <v>0</v>
      </c>
      <c r="W171">
        <f>IFERROR(INDEX('Exercise list'!$E$5:$X$102,MATCH($C171,'Exercise list'!$C$5:$C$102,0),MATCH(W$5,'Exercise list'!$E$4:$X$4,0)),0)</f>
        <v>0</v>
      </c>
      <c r="X171">
        <f>IFERROR(INDEX('Exercise list'!$E$5:$X$102,MATCH($C171,'Exercise list'!$C$5:$C$102,0),MATCH(X$5,'Exercise list'!$E$4:$X$4,0)),0)</f>
        <v>0</v>
      </c>
      <c r="Y171">
        <f>IFERROR(INDEX('Exercise list'!$E$5:$X$102,MATCH($C171,'Exercise list'!$C$5:$C$102,0),MATCH(Y$5,'Exercise list'!$E$4:$X$4,0)),0)</f>
        <v>0</v>
      </c>
      <c r="Z171">
        <f>IFERROR(INDEX('Exercise list'!$E$5:$X$102,MATCH($C171,'Exercise list'!$C$5:$C$102,0),MATCH(Z$5,'Exercise list'!$E$4:$X$4,0)),0)</f>
        <v>0</v>
      </c>
      <c r="AA171">
        <f>IFERROR(INDEX('Exercise list'!$E$5:$X$102,MATCH($C171,'Exercise list'!$C$5:$C$102,0),MATCH(AA$5,'Exercise list'!$E$4:$X$4,0)),0)</f>
        <v>0</v>
      </c>
      <c r="AB171">
        <f>IFERROR(INDEX('Exercise list'!$E$5:$X$102,MATCH($C171,'Exercise list'!$C$5:$C$102,0),MATCH(AB$5,'Exercise list'!$E$4:$X$4,0)),0)</f>
        <v>0</v>
      </c>
      <c r="AC171">
        <f>IFERROR(INDEX('Exercise list'!$E$5:$X$102,MATCH($C171,'Exercise list'!$C$5:$C$102,0),MATCH(AC$5,'Exercise list'!$E$4:$X$4,0)),0)</f>
        <v>0</v>
      </c>
      <c r="AD171">
        <f>IFERROR(INDEX('Exercise list'!$E$5:$X$102,MATCH($C171,'Exercise list'!$C$5:$C$102,0),MATCH(AD$5,'Exercise list'!$E$4:$X$4,0)),0)</f>
        <v>0</v>
      </c>
      <c r="AE171">
        <f>IFERROR(INDEX('Exercise list'!$E$5:$X$102,MATCH($C171,'Exercise list'!$C$5:$C$102,0),MATCH(AE$5,'Exercise list'!$E$4:$X$4,0)),0)</f>
        <v>0</v>
      </c>
      <c r="AF171">
        <f>IFERROR(INDEX('Exercise list'!$E$5:$X$102,MATCH($C171,'Exercise list'!$C$5:$C$102,0),MATCH(AF$5,'Exercise list'!$E$4:$X$4,0)),0)</f>
        <v>0</v>
      </c>
      <c r="AG171">
        <f>IFERROR(INDEX('Exercise list'!$E$5:$X$102,MATCH($C171,'Exercise list'!$C$5:$C$102,0),MATCH(AG$5,'Exercise list'!$E$4:$X$4,0)),0)</f>
        <v>0</v>
      </c>
      <c r="AH171">
        <f>IFERROR(INDEX('Exercise list'!$E$5:$X$102,MATCH($C171,'Exercise list'!$C$5:$C$102,0),MATCH(AH$5,'Exercise list'!$E$4:$X$4,0)),0)</f>
        <v>0</v>
      </c>
      <c r="AI171">
        <f>IFERROR(INDEX('Exercise list'!$E$5:$X$102,MATCH($C171,'Exercise list'!$C$5:$C$102,0),MATCH(AI$5,'Exercise list'!$E$4:$X$4,0)),0)</f>
        <v>0</v>
      </c>
      <c r="AK171">
        <f>IF(OR($J171=1,COUNTIFS($A$5:$A170,"&gt;="&amp;$A171-1,$A$5:$A170,"&lt;="&amp;$A171,$B$5:$B170,$B171)&gt;0,MIN(1-'Exercise list'!E$2,IF($A171=$A170,AK170,1))-P171&lt;0),-1,MIN(1,IF($A171=$A170,AK170,1)-P171+$D$2))</f>
        <v>1</v>
      </c>
      <c r="AL171">
        <f>IF(OR($J171=1,COUNTIFS($A$5:$A170,"&gt;="&amp;$A171-1,$A$5:$A170,"&lt;="&amp;$A171,$B$5:$B170,$B171)&gt;0,MIN(1-'Exercise list'!F$2,IF($A171=$A170,AL170,1))-Q171&lt;0),-1,MIN(1,IF($A171=$A170,AL170,1)-Q171+$D$2))</f>
        <v>1</v>
      </c>
      <c r="AM171">
        <f>IF(OR($J171=1,COUNTIFS($A$5:$A170,"&gt;="&amp;$A171-1,$A$5:$A170,"&lt;="&amp;$A171,$B$5:$B170,$B171)&gt;0,MIN(1-'Exercise list'!G$2,IF($A171=$A170,AM170,1))-R171&lt;0),-1,MIN(1,IF($A171=$A170,AM170,1)-R171+$D$2))</f>
        <v>1</v>
      </c>
      <c r="AN171">
        <f>IF(OR($J171=1,COUNTIFS($A$5:$A170,"&gt;="&amp;$A171-1,$A$5:$A170,"&lt;="&amp;$A171,$B$5:$B170,$B171)&gt;0,MIN(1-'Exercise list'!H$2,IF($A171=$A170,AN170,1))-S171&lt;0),-1,MIN(1,IF($A171=$A170,AN170,1)-S171+$D$2))</f>
        <v>1</v>
      </c>
      <c r="AO171">
        <f>IF(OR($J171=1,COUNTIFS($A$5:$A170,"&gt;="&amp;$A171-1,$A$5:$A170,"&lt;="&amp;$A171,$B$5:$B170,$B171)&gt;0,MIN(1-'Exercise list'!I$2,IF($A171=$A170,AO170,1))-T171&lt;0),-1,MIN(1,IF($A171=$A170,AO170,1)-T171+$D$2))</f>
        <v>1</v>
      </c>
      <c r="AP171">
        <f>IF(OR($J171=1,COUNTIFS($A$5:$A170,"&gt;="&amp;$A171-1,$A$5:$A170,"&lt;="&amp;$A171,$B$5:$B170,$B171)&gt;0,MIN(1-'Exercise list'!J$2,IF($A171=$A170,AP170,1))-U171&lt;0),-1,MIN(1,IF($A171=$A170,AP170,1)-U171+$D$2))</f>
        <v>1</v>
      </c>
      <c r="AQ171">
        <f>IF(OR($J171=1,COUNTIFS($A$5:$A170,"&gt;="&amp;$A171-1,$A$5:$A170,"&lt;="&amp;$A171,$B$5:$B170,$B171)&gt;0,MIN(1-'Exercise list'!K$2,IF($A171=$A170,AQ170,1))-V171&lt;0),-1,MIN(1,IF($A171=$A170,AQ170,1)-V171+$D$2))</f>
        <v>1</v>
      </c>
      <c r="AR171">
        <f>IF(OR($J171=1,COUNTIFS($A$5:$A170,"&gt;="&amp;$A171-1,$A$5:$A170,"&lt;="&amp;$A171,$B$5:$B170,$B171)&gt;0,MIN(1-'Exercise list'!L$2,IF($A171=$A170,AR170,1))-W171&lt;0),-1,MIN(1,IF($A171=$A170,AR170,1)-W171+$D$2))</f>
        <v>1</v>
      </c>
      <c r="AS171">
        <f>IF(OR($J171=1,COUNTIFS($A$5:$A170,"&gt;="&amp;$A171-1,$A$5:$A170,"&lt;="&amp;$A171,$B$5:$B170,$B171)&gt;0,MIN(1-'Exercise list'!M$2,IF($A171=$A170,AS170,1))-X171&lt;0),-1,MIN(1,IF($A171=$A170,AS170,1)-X171+$D$2))</f>
        <v>1</v>
      </c>
      <c r="AT171">
        <f>IF(OR($J171=1,COUNTIFS($A$5:$A170,"&gt;="&amp;$A171-1,$A$5:$A170,"&lt;="&amp;$A171,$B$5:$B170,$B171)&gt;0,MIN(1-'Exercise list'!N$2,IF($A171=$A170,AT170,1))-Y171&lt;0),-1,MIN(1,IF($A171=$A170,AT170,1)-Y171+$D$2))</f>
        <v>1</v>
      </c>
      <c r="AU171">
        <f>IF(OR($J171=1,COUNTIFS($A$5:$A170,"&gt;="&amp;$A171-1,$A$5:$A170,"&lt;="&amp;$A171,$B$5:$B170,$B171)&gt;0,MIN(1-'Exercise list'!O$2,IF($A171=$A170,AU170,1))-Z171&lt;0),-1,MIN(1,IF($A171=$A170,AU170,1)-Z171+$D$2))</f>
        <v>1</v>
      </c>
      <c r="AV171">
        <f>IF(OR($J171=1,COUNTIFS($A$5:$A170,"&gt;="&amp;$A171-1,$A$5:$A170,"&lt;="&amp;$A171,$B$5:$B170,$B171)&gt;0,MIN(1-'Exercise list'!P$2,IF($A171=$A170,AV170,1))-AA171&lt;0),-1,MIN(1,IF($A171=$A170,AV170,1)-AA171+$D$2))</f>
        <v>1</v>
      </c>
      <c r="AW171">
        <f>IF(OR($J171=1,COUNTIFS($A$5:$A170,"&gt;="&amp;$A171-1,$A$5:$A170,"&lt;="&amp;$A171,$B$5:$B170,$B171)&gt;0,MIN(1-'Exercise list'!Q$2,IF($A171=$A170,AW170,1))-AB171&lt;0),-1,MIN(1,IF($A171=$A170,AW170,1)-AB171+$D$2))</f>
        <v>1</v>
      </c>
      <c r="AX171">
        <f>IF(OR($J171=1,COUNTIFS($A$5:$A170,"&gt;="&amp;$A171-1,$A$5:$A170,"&lt;="&amp;$A171,$B$5:$B170,$B171)&gt;0,MIN(1-'Exercise list'!R$2,IF($A171=$A170,AX170,1))-AC171&lt;0),-1,MIN(1,IF($A171=$A170,AX170,1)-AC171+$D$2))</f>
        <v>1</v>
      </c>
      <c r="AY171">
        <f>IF(OR($J171=1,COUNTIFS($A$5:$A170,"&gt;="&amp;$A171-1,$A$5:$A170,"&lt;="&amp;$A171,$B$5:$B170,$B171)&gt;0,MIN(1-'Exercise list'!S$2,IF($A171=$A170,AY170,1))-AD171&lt;0),-1,MIN(1,IF($A171=$A170,AY170,1)-AD171+$D$2))</f>
        <v>1</v>
      </c>
      <c r="AZ171">
        <f>IF(OR($J171=1,COUNTIFS($A$5:$A170,"&gt;="&amp;$A171-1,$A$5:$A170,"&lt;="&amp;$A171,$B$5:$B170,$B171)&gt;0,MIN(1-'Exercise list'!T$2,IF($A171=$A170,AZ170,1))-AE171&lt;0),-1,MIN(1,IF($A171=$A170,AZ170,1)-AE171+$D$2))</f>
        <v>1</v>
      </c>
      <c r="BA171">
        <f>IF(OR($J171=1,COUNTIFS($A$5:$A170,"&gt;="&amp;$A171-1,$A$5:$A170,"&lt;="&amp;$A171,$B$5:$B170,$B171)&gt;0,MIN(1-'Exercise list'!U$2,IF($A171=$A170,BA170,1))-AF171&lt;0),-1,MIN(1,IF($A171=$A170,BA170,1)-AF171+$D$2))</f>
        <v>1</v>
      </c>
      <c r="BB171">
        <f>IF(OR($J171=1,COUNTIFS($A$5:$A170,"&gt;="&amp;$A171-1,$A$5:$A170,"&lt;="&amp;$A171,$B$5:$B170,$B171)&gt;0,MIN(1-'Exercise list'!V$2,IF($A171=$A170,BB170,1))-AG171&lt;0),-1,MIN(1,IF($A171=$A170,BB170,1)-AG171+$D$2))</f>
        <v>1</v>
      </c>
      <c r="BC171">
        <f>IF(OR($J171=1,COUNTIFS($A$5:$A170,"&gt;="&amp;$A171-1,$A$5:$A170,"&lt;="&amp;$A171,$B$5:$B170,$B171)&gt;0,MIN(1-'Exercise list'!W$2,IF($A171=$A170,BC170,1))-AH171&lt;0),-1,MIN(1,IF($A171=$A170,BC170,1)-AH171+$D$2))</f>
        <v>1</v>
      </c>
      <c r="BD171">
        <f>IF(OR($J171=1,COUNTIFS($A$5:$A170,"&gt;="&amp;$A171-1,$A$5:$A170,"&lt;="&amp;$A171,$B$5:$B170,$B171)&gt;0,MIN(1-'Exercise list'!X$2,IF($A171=$A170,BD170,1))-AI171&lt;0),-1,MIN(1,IF($A171=$A170,BD170,1)-AI171+$D$2))</f>
        <v>1</v>
      </c>
      <c r="BF171" s="16">
        <f t="shared" si="145"/>
        <v>0.19596031081758858</v>
      </c>
      <c r="BG171" s="16">
        <f t="shared" si="146"/>
        <v>0.21844636935459236</v>
      </c>
      <c r="BH171" s="16">
        <f t="shared" si="147"/>
        <v>0.14609696635987124</v>
      </c>
      <c r="BI171" s="16">
        <f t="shared" si="148"/>
        <v>0.13198015366034541</v>
      </c>
      <c r="BJ171" s="16">
        <f t="shared" si="149"/>
        <v>8.3367914198418713E-2</v>
      </c>
      <c r="BK171" s="16">
        <f t="shared" si="150"/>
        <v>0.10640640223148412</v>
      </c>
      <c r="BL171" s="16">
        <f t="shared" si="151"/>
        <v>0.21963504743569431</v>
      </c>
      <c r="BM171" s="16">
        <f t="shared" si="152"/>
        <v>3.8988008374820568E-3</v>
      </c>
      <c r="BN171" s="16">
        <f t="shared" si="153"/>
        <v>0.14537706087090876</v>
      </c>
      <c r="BO171" s="16">
        <f t="shared" si="154"/>
        <v>0.29209790661993401</v>
      </c>
      <c r="BP171" s="16">
        <f t="shared" si="155"/>
        <v>0.31584545163401867</v>
      </c>
      <c r="BQ171" s="16">
        <f t="shared" si="156"/>
        <v>0.1000007994126096</v>
      </c>
      <c r="BR171" s="16">
        <f t="shared" si="157"/>
        <v>0.13164487759885393</v>
      </c>
      <c r="BS171" s="16">
        <f t="shared" si="158"/>
        <v>2.9803550189863123E-2</v>
      </c>
      <c r="BT171" s="16">
        <f t="shared" si="159"/>
        <v>0.13492040904978705</v>
      </c>
      <c r="BU171" s="16">
        <f t="shared" si="160"/>
        <v>0.11703687414398131</v>
      </c>
      <c r="BV171" s="16">
        <f t="shared" si="161"/>
        <v>0.14633353213781661</v>
      </c>
      <c r="BW171" s="16">
        <f t="shared" si="162"/>
        <v>7.5588015111767173E-2</v>
      </c>
      <c r="BX171" s="16">
        <f t="shared" si="163"/>
        <v>8.0345659937185704E-2</v>
      </c>
      <c r="BY171" s="16">
        <f t="shared" si="164"/>
        <v>5.9014643151272549E-2</v>
      </c>
      <c r="CA171" s="16" t="str">
        <f t="shared" si="141"/>
        <v/>
      </c>
      <c r="CB171" s="16" t="str">
        <f t="shared" si="122"/>
        <v/>
      </c>
      <c r="CC171" s="16" t="str">
        <f t="shared" si="123"/>
        <v/>
      </c>
      <c r="CD171" s="16" t="str">
        <f t="shared" si="124"/>
        <v/>
      </c>
      <c r="CE171" s="16" t="str">
        <f t="shared" si="125"/>
        <v/>
      </c>
      <c r="CF171" s="16" t="str">
        <f t="shared" si="126"/>
        <v/>
      </c>
      <c r="CG171" s="16" t="str">
        <f t="shared" si="127"/>
        <v/>
      </c>
      <c r="CH171" s="16" t="str">
        <f t="shared" si="128"/>
        <v/>
      </c>
      <c r="CI171" s="16" t="str">
        <f t="shared" si="129"/>
        <v/>
      </c>
      <c r="CJ171" s="16" t="str">
        <f t="shared" si="130"/>
        <v/>
      </c>
      <c r="CK171" s="16" t="str">
        <f t="shared" si="131"/>
        <v/>
      </c>
      <c r="CL171" s="16" t="str">
        <f t="shared" si="132"/>
        <v/>
      </c>
      <c r="CM171" s="16" t="str">
        <f t="shared" si="133"/>
        <v/>
      </c>
      <c r="CN171" s="16" t="str">
        <f t="shared" si="134"/>
        <v/>
      </c>
      <c r="CO171" s="16" t="str">
        <f t="shared" si="135"/>
        <v/>
      </c>
      <c r="CP171" s="16" t="str">
        <f t="shared" si="136"/>
        <v/>
      </c>
      <c r="CQ171" s="16" t="str">
        <f t="shared" si="137"/>
        <v/>
      </c>
      <c r="CR171" s="16" t="str">
        <f t="shared" si="138"/>
        <v/>
      </c>
      <c r="CS171" s="16" t="str">
        <f t="shared" si="139"/>
        <v/>
      </c>
      <c r="CT171" s="16" t="str">
        <f t="shared" si="140"/>
        <v/>
      </c>
    </row>
    <row r="172" spans="1:99" x14ac:dyDescent="0.25">
      <c r="A172" s="13"/>
      <c r="B172" s="14"/>
      <c r="C172" s="15" t="str" cm="1">
        <f t="array" ref="C172">IF(B172="","",INDEX('Exercise list'!$C$5:$C$102,B172))</f>
        <v/>
      </c>
      <c r="D172" s="12" t="str">
        <f t="shared" si="142"/>
        <v/>
      </c>
      <c r="E172" s="107" t="str">
        <f t="shared" si="165"/>
        <v/>
      </c>
      <c r="F172" s="63" t="str" cm="1">
        <f t="array" ref="F172">IF(B172="","",0.1+IFERROR(INDEX($F$6:$F171,SUMPRODUCT(MAX(ROW($C$6:$C171)*($C172=$C$6:$C171))-ROW($A$5)))*0.9^($A172-INDEX($A$6:A171,SUMPRODUCT(MAX(ROW($C$6:$C171)*($C172=$C$6:$C171))-ROW($A$5)))),0))</f>
        <v/>
      </c>
      <c r="G172" s="64" t="e">
        <f>INDEX('Exercise list'!$Y$5:$Y$102,MATCH(C172,'Exercise list'!$C$5:$C$102,0))</f>
        <v>#N/A</v>
      </c>
      <c r="H172" s="115">
        <f t="shared" si="143"/>
        <v>0</v>
      </c>
      <c r="I172" s="6">
        <f t="shared" si="144"/>
        <v>5</v>
      </c>
      <c r="J172" s="6" t="str" cm="1">
        <f t="array" ref="J172">IF(B172="","",INDEX('Exercise list'!$D$5:$D$102,B172))</f>
        <v/>
      </c>
      <c r="K172" s="12">
        <v>19</v>
      </c>
      <c r="L172" s="74" t="str" cm="1">
        <f t="array" ref="L172">IF(K172="","",INDEX('Exercise list'!$C$5:$C$102,K172))</f>
        <v>EZ bar biceps curls</v>
      </c>
      <c r="M172" s="6">
        <v>18</v>
      </c>
      <c r="N172" s="75" t="str" cm="1">
        <f t="array" ref="N172">IF(M172="","",INDEX('Exercise list'!$C$5:$C$102,M172))</f>
        <v>Dumbbell curls</v>
      </c>
      <c r="P172">
        <f>IFERROR(INDEX('Exercise list'!$E$5:$X$102,MATCH($C172,'Exercise list'!$C$5:$C$102,0),MATCH(P$5,'Exercise list'!$E$4:$X$4,0)),0)</f>
        <v>0</v>
      </c>
      <c r="Q172">
        <f>IFERROR(INDEX('Exercise list'!$E$5:$X$102,MATCH($C172,'Exercise list'!$C$5:$C$102,0),MATCH(Q$5,'Exercise list'!$E$4:$X$4,0)),0)</f>
        <v>0</v>
      </c>
      <c r="R172">
        <f>IFERROR(INDEX('Exercise list'!$E$5:$X$102,MATCH($C172,'Exercise list'!$C$5:$C$102,0),MATCH(R$5,'Exercise list'!$E$4:$X$4,0)),0)</f>
        <v>0</v>
      </c>
      <c r="S172">
        <f>IFERROR(INDEX('Exercise list'!$E$5:$X$102,MATCH($C172,'Exercise list'!$C$5:$C$102,0),MATCH(S$5,'Exercise list'!$E$4:$X$4,0)),0)</f>
        <v>0</v>
      </c>
      <c r="T172">
        <f>IFERROR(INDEX('Exercise list'!$E$5:$X$102,MATCH($C172,'Exercise list'!$C$5:$C$102,0),MATCH(T$5,'Exercise list'!$E$4:$X$4,0)),0)</f>
        <v>0</v>
      </c>
      <c r="U172">
        <f>IFERROR(INDEX('Exercise list'!$E$5:$X$102,MATCH($C172,'Exercise list'!$C$5:$C$102,0),MATCH(U$5,'Exercise list'!$E$4:$X$4,0)),0)</f>
        <v>0</v>
      </c>
      <c r="V172">
        <f>IFERROR(INDEX('Exercise list'!$E$5:$X$102,MATCH($C172,'Exercise list'!$C$5:$C$102,0),MATCH(V$5,'Exercise list'!$E$4:$X$4,0)),0)</f>
        <v>0</v>
      </c>
      <c r="W172">
        <f>IFERROR(INDEX('Exercise list'!$E$5:$X$102,MATCH($C172,'Exercise list'!$C$5:$C$102,0),MATCH(W$5,'Exercise list'!$E$4:$X$4,0)),0)</f>
        <v>0</v>
      </c>
      <c r="X172">
        <f>IFERROR(INDEX('Exercise list'!$E$5:$X$102,MATCH($C172,'Exercise list'!$C$5:$C$102,0),MATCH(X$5,'Exercise list'!$E$4:$X$4,0)),0)</f>
        <v>0</v>
      </c>
      <c r="Y172">
        <f>IFERROR(INDEX('Exercise list'!$E$5:$X$102,MATCH($C172,'Exercise list'!$C$5:$C$102,0),MATCH(Y$5,'Exercise list'!$E$4:$X$4,0)),0)</f>
        <v>0</v>
      </c>
      <c r="Z172">
        <f>IFERROR(INDEX('Exercise list'!$E$5:$X$102,MATCH($C172,'Exercise list'!$C$5:$C$102,0),MATCH(Z$5,'Exercise list'!$E$4:$X$4,0)),0)</f>
        <v>0</v>
      </c>
      <c r="AA172">
        <f>IFERROR(INDEX('Exercise list'!$E$5:$X$102,MATCH($C172,'Exercise list'!$C$5:$C$102,0),MATCH(AA$5,'Exercise list'!$E$4:$X$4,0)),0)</f>
        <v>0</v>
      </c>
      <c r="AB172">
        <f>IFERROR(INDEX('Exercise list'!$E$5:$X$102,MATCH($C172,'Exercise list'!$C$5:$C$102,0),MATCH(AB$5,'Exercise list'!$E$4:$X$4,0)),0)</f>
        <v>0</v>
      </c>
      <c r="AC172">
        <f>IFERROR(INDEX('Exercise list'!$E$5:$X$102,MATCH($C172,'Exercise list'!$C$5:$C$102,0),MATCH(AC$5,'Exercise list'!$E$4:$X$4,0)),0)</f>
        <v>0</v>
      </c>
      <c r="AD172">
        <f>IFERROR(INDEX('Exercise list'!$E$5:$X$102,MATCH($C172,'Exercise list'!$C$5:$C$102,0),MATCH(AD$5,'Exercise list'!$E$4:$X$4,0)),0)</f>
        <v>0</v>
      </c>
      <c r="AE172">
        <f>IFERROR(INDEX('Exercise list'!$E$5:$X$102,MATCH($C172,'Exercise list'!$C$5:$C$102,0),MATCH(AE$5,'Exercise list'!$E$4:$X$4,0)),0)</f>
        <v>0</v>
      </c>
      <c r="AF172">
        <f>IFERROR(INDEX('Exercise list'!$E$5:$X$102,MATCH($C172,'Exercise list'!$C$5:$C$102,0),MATCH(AF$5,'Exercise list'!$E$4:$X$4,0)),0)</f>
        <v>0</v>
      </c>
      <c r="AG172">
        <f>IFERROR(INDEX('Exercise list'!$E$5:$X$102,MATCH($C172,'Exercise list'!$C$5:$C$102,0),MATCH(AG$5,'Exercise list'!$E$4:$X$4,0)),0)</f>
        <v>0</v>
      </c>
      <c r="AH172">
        <f>IFERROR(INDEX('Exercise list'!$E$5:$X$102,MATCH($C172,'Exercise list'!$C$5:$C$102,0),MATCH(AH$5,'Exercise list'!$E$4:$X$4,0)),0)</f>
        <v>0</v>
      </c>
      <c r="AI172">
        <f>IFERROR(INDEX('Exercise list'!$E$5:$X$102,MATCH($C172,'Exercise list'!$C$5:$C$102,0),MATCH(AI$5,'Exercise list'!$E$4:$X$4,0)),0)</f>
        <v>0</v>
      </c>
      <c r="AK172">
        <f>IF(OR($J172=1,COUNTIFS($A$5:$A171,"&gt;="&amp;$A172-1,$A$5:$A171,"&lt;="&amp;$A172,$B$5:$B171,$B172)&gt;0,MIN(1-'Exercise list'!E$2,IF($A172=$A171,AK171,1))-P172&lt;0),-1,MIN(1,IF($A172=$A171,AK171,1)-P172+$D$2))</f>
        <v>1</v>
      </c>
      <c r="AL172">
        <f>IF(OR($J172=1,COUNTIFS($A$5:$A171,"&gt;="&amp;$A172-1,$A$5:$A171,"&lt;="&amp;$A172,$B$5:$B171,$B172)&gt;0,MIN(1-'Exercise list'!F$2,IF($A172=$A171,AL171,1))-Q172&lt;0),-1,MIN(1,IF($A172=$A171,AL171,1)-Q172+$D$2))</f>
        <v>1</v>
      </c>
      <c r="AM172">
        <f>IF(OR($J172=1,COUNTIFS($A$5:$A171,"&gt;="&amp;$A172-1,$A$5:$A171,"&lt;="&amp;$A172,$B$5:$B171,$B172)&gt;0,MIN(1-'Exercise list'!G$2,IF($A172=$A171,AM171,1))-R172&lt;0),-1,MIN(1,IF($A172=$A171,AM171,1)-R172+$D$2))</f>
        <v>1</v>
      </c>
      <c r="AN172">
        <f>IF(OR($J172=1,COUNTIFS($A$5:$A171,"&gt;="&amp;$A172-1,$A$5:$A171,"&lt;="&amp;$A172,$B$5:$B171,$B172)&gt;0,MIN(1-'Exercise list'!H$2,IF($A172=$A171,AN171,1))-S172&lt;0),-1,MIN(1,IF($A172=$A171,AN171,1)-S172+$D$2))</f>
        <v>1</v>
      </c>
      <c r="AO172">
        <f>IF(OR($J172=1,COUNTIFS($A$5:$A171,"&gt;="&amp;$A172-1,$A$5:$A171,"&lt;="&amp;$A172,$B$5:$B171,$B172)&gt;0,MIN(1-'Exercise list'!I$2,IF($A172=$A171,AO171,1))-T172&lt;0),-1,MIN(1,IF($A172=$A171,AO171,1)-T172+$D$2))</f>
        <v>1</v>
      </c>
      <c r="AP172">
        <f>IF(OR($J172=1,COUNTIFS($A$5:$A171,"&gt;="&amp;$A172-1,$A$5:$A171,"&lt;="&amp;$A172,$B$5:$B171,$B172)&gt;0,MIN(1-'Exercise list'!J$2,IF($A172=$A171,AP171,1))-U172&lt;0),-1,MIN(1,IF($A172=$A171,AP171,1)-U172+$D$2))</f>
        <v>1</v>
      </c>
      <c r="AQ172">
        <f>IF(OR($J172=1,COUNTIFS($A$5:$A171,"&gt;="&amp;$A172-1,$A$5:$A171,"&lt;="&amp;$A172,$B$5:$B171,$B172)&gt;0,MIN(1-'Exercise list'!K$2,IF($A172=$A171,AQ171,1))-V172&lt;0),-1,MIN(1,IF($A172=$A171,AQ171,1)-V172+$D$2))</f>
        <v>1</v>
      </c>
      <c r="AR172">
        <f>IF(OR($J172=1,COUNTIFS($A$5:$A171,"&gt;="&amp;$A172-1,$A$5:$A171,"&lt;="&amp;$A172,$B$5:$B171,$B172)&gt;0,MIN(1-'Exercise list'!L$2,IF($A172=$A171,AR171,1))-W172&lt;0),-1,MIN(1,IF($A172=$A171,AR171,1)-W172+$D$2))</f>
        <v>1</v>
      </c>
      <c r="AS172">
        <f>IF(OR($J172=1,COUNTIFS($A$5:$A171,"&gt;="&amp;$A172-1,$A$5:$A171,"&lt;="&amp;$A172,$B$5:$B171,$B172)&gt;0,MIN(1-'Exercise list'!M$2,IF($A172=$A171,AS171,1))-X172&lt;0),-1,MIN(1,IF($A172=$A171,AS171,1)-X172+$D$2))</f>
        <v>1</v>
      </c>
      <c r="AT172">
        <f>IF(OR($J172=1,COUNTIFS($A$5:$A171,"&gt;="&amp;$A172-1,$A$5:$A171,"&lt;="&amp;$A172,$B$5:$B171,$B172)&gt;0,MIN(1-'Exercise list'!N$2,IF($A172=$A171,AT171,1))-Y172&lt;0),-1,MIN(1,IF($A172=$A171,AT171,1)-Y172+$D$2))</f>
        <v>1</v>
      </c>
      <c r="AU172">
        <f>IF(OR($J172=1,COUNTIFS($A$5:$A171,"&gt;="&amp;$A172-1,$A$5:$A171,"&lt;="&amp;$A172,$B$5:$B171,$B172)&gt;0,MIN(1-'Exercise list'!O$2,IF($A172=$A171,AU171,1))-Z172&lt;0),-1,MIN(1,IF($A172=$A171,AU171,1)-Z172+$D$2))</f>
        <v>1</v>
      </c>
      <c r="AV172">
        <f>IF(OR($J172=1,COUNTIFS($A$5:$A171,"&gt;="&amp;$A172-1,$A$5:$A171,"&lt;="&amp;$A172,$B$5:$B171,$B172)&gt;0,MIN(1-'Exercise list'!P$2,IF($A172=$A171,AV171,1))-AA172&lt;0),-1,MIN(1,IF($A172=$A171,AV171,1)-AA172+$D$2))</f>
        <v>1</v>
      </c>
      <c r="AW172">
        <f>IF(OR($J172=1,COUNTIFS($A$5:$A171,"&gt;="&amp;$A172-1,$A$5:$A171,"&lt;="&amp;$A172,$B$5:$B171,$B172)&gt;0,MIN(1-'Exercise list'!Q$2,IF($A172=$A171,AW171,1))-AB172&lt;0),-1,MIN(1,IF($A172=$A171,AW171,1)-AB172+$D$2))</f>
        <v>1</v>
      </c>
      <c r="AX172">
        <f>IF(OR($J172=1,COUNTIFS($A$5:$A171,"&gt;="&amp;$A172-1,$A$5:$A171,"&lt;="&amp;$A172,$B$5:$B171,$B172)&gt;0,MIN(1-'Exercise list'!R$2,IF($A172=$A171,AX171,1))-AC172&lt;0),-1,MIN(1,IF($A172=$A171,AX171,1)-AC172+$D$2))</f>
        <v>1</v>
      </c>
      <c r="AY172">
        <f>IF(OR($J172=1,COUNTIFS($A$5:$A171,"&gt;="&amp;$A172-1,$A$5:$A171,"&lt;="&amp;$A172,$B$5:$B171,$B172)&gt;0,MIN(1-'Exercise list'!S$2,IF($A172=$A171,AY171,1))-AD172&lt;0),-1,MIN(1,IF($A172=$A171,AY171,1)-AD172+$D$2))</f>
        <v>1</v>
      </c>
      <c r="AZ172">
        <f>IF(OR($J172=1,COUNTIFS($A$5:$A171,"&gt;="&amp;$A172-1,$A$5:$A171,"&lt;="&amp;$A172,$B$5:$B171,$B172)&gt;0,MIN(1-'Exercise list'!T$2,IF($A172=$A171,AZ171,1))-AE172&lt;0),-1,MIN(1,IF($A172=$A171,AZ171,1)-AE172+$D$2))</f>
        <v>1</v>
      </c>
      <c r="BA172">
        <f>IF(OR($J172=1,COUNTIFS($A$5:$A171,"&gt;="&amp;$A172-1,$A$5:$A171,"&lt;="&amp;$A172,$B$5:$B171,$B172)&gt;0,MIN(1-'Exercise list'!U$2,IF($A172=$A171,BA171,1))-AF172&lt;0),-1,MIN(1,IF($A172=$A171,BA171,1)-AF172+$D$2))</f>
        <v>1</v>
      </c>
      <c r="BB172">
        <f>IF(OR($J172=1,COUNTIFS($A$5:$A171,"&gt;="&amp;$A172-1,$A$5:$A171,"&lt;="&amp;$A172,$B$5:$B171,$B172)&gt;0,MIN(1-'Exercise list'!V$2,IF($A172=$A171,BB171,1))-AG172&lt;0),-1,MIN(1,IF($A172=$A171,BB171,1)-AG172+$D$2))</f>
        <v>1</v>
      </c>
      <c r="BC172">
        <f>IF(OR($J172=1,COUNTIFS($A$5:$A171,"&gt;="&amp;$A172-1,$A$5:$A171,"&lt;="&amp;$A172,$B$5:$B171,$B172)&gt;0,MIN(1-'Exercise list'!W$2,IF($A172=$A171,BC171,1))-AH172&lt;0),-1,MIN(1,IF($A172=$A171,BC171,1)-AH172+$D$2))</f>
        <v>1</v>
      </c>
      <c r="BD172">
        <f>IF(OR($J172=1,COUNTIFS($A$5:$A171,"&gt;="&amp;$A172-1,$A$5:$A171,"&lt;="&amp;$A172,$B$5:$B171,$B172)&gt;0,MIN(1-'Exercise list'!X$2,IF($A172=$A171,BD171,1))-AI172&lt;0),-1,MIN(1,IF($A172=$A171,BD171,1)-AI172+$D$2))</f>
        <v>1</v>
      </c>
      <c r="BF172" s="16">
        <f t="shared" si="145"/>
        <v>0.19596031081758858</v>
      </c>
      <c r="BG172" s="16">
        <f t="shared" si="146"/>
        <v>0.21844636935459236</v>
      </c>
      <c r="BH172" s="16">
        <f t="shared" si="147"/>
        <v>0.14609696635987124</v>
      </c>
      <c r="BI172" s="16">
        <f t="shared" si="148"/>
        <v>0.13198015366034541</v>
      </c>
      <c r="BJ172" s="16">
        <f t="shared" si="149"/>
        <v>8.3367914198418713E-2</v>
      </c>
      <c r="BK172" s="16">
        <f t="shared" si="150"/>
        <v>0.10640640223148412</v>
      </c>
      <c r="BL172" s="16">
        <f t="shared" si="151"/>
        <v>0.21963504743569431</v>
      </c>
      <c r="BM172" s="16">
        <f t="shared" si="152"/>
        <v>3.8988008374820568E-3</v>
      </c>
      <c r="BN172" s="16">
        <f t="shared" si="153"/>
        <v>0.14537706087090876</v>
      </c>
      <c r="BO172" s="16">
        <f t="shared" si="154"/>
        <v>0.29209790661993401</v>
      </c>
      <c r="BP172" s="16">
        <f t="shared" si="155"/>
        <v>0.31584545163401867</v>
      </c>
      <c r="BQ172" s="16">
        <f t="shared" si="156"/>
        <v>0.1000007994126096</v>
      </c>
      <c r="BR172" s="16">
        <f t="shared" si="157"/>
        <v>0.13164487759885393</v>
      </c>
      <c r="BS172" s="16">
        <f t="shared" si="158"/>
        <v>2.9803550189863123E-2</v>
      </c>
      <c r="BT172" s="16">
        <f t="shared" si="159"/>
        <v>0.13492040904978705</v>
      </c>
      <c r="BU172" s="16">
        <f t="shared" si="160"/>
        <v>0.11703687414398131</v>
      </c>
      <c r="BV172" s="16">
        <f t="shared" si="161"/>
        <v>0.14633353213781661</v>
      </c>
      <c r="BW172" s="16">
        <f t="shared" si="162"/>
        <v>7.5588015111767173E-2</v>
      </c>
      <c r="BX172" s="16">
        <f t="shared" si="163"/>
        <v>8.0345659937185704E-2</v>
      </c>
      <c r="BY172" s="16">
        <f t="shared" si="164"/>
        <v>5.9014643151272549E-2</v>
      </c>
      <c r="CA172" s="16" t="str">
        <f t="shared" si="141"/>
        <v/>
      </c>
      <c r="CB172" s="16" t="str">
        <f t="shared" si="122"/>
        <v/>
      </c>
      <c r="CC172" s="16" t="str">
        <f t="shared" si="123"/>
        <v/>
      </c>
      <c r="CD172" s="16" t="str">
        <f t="shared" si="124"/>
        <v/>
      </c>
      <c r="CE172" s="16" t="str">
        <f t="shared" si="125"/>
        <v/>
      </c>
      <c r="CF172" s="16" t="str">
        <f t="shared" si="126"/>
        <v/>
      </c>
      <c r="CG172" s="16" t="str">
        <f t="shared" si="127"/>
        <v/>
      </c>
      <c r="CH172" s="16" t="str">
        <f t="shared" si="128"/>
        <v/>
      </c>
      <c r="CI172" s="16" t="str">
        <f t="shared" si="129"/>
        <v/>
      </c>
      <c r="CJ172" s="16" t="str">
        <f t="shared" si="130"/>
        <v/>
      </c>
      <c r="CK172" s="16" t="str">
        <f t="shared" si="131"/>
        <v/>
      </c>
      <c r="CL172" s="16" t="str">
        <f t="shared" si="132"/>
        <v/>
      </c>
      <c r="CM172" s="16" t="str">
        <f t="shared" si="133"/>
        <v/>
      </c>
      <c r="CN172" s="16" t="str">
        <f t="shared" si="134"/>
        <v/>
      </c>
      <c r="CO172" s="16" t="str">
        <f t="shared" si="135"/>
        <v/>
      </c>
      <c r="CP172" s="16" t="str">
        <f t="shared" si="136"/>
        <v/>
      </c>
      <c r="CQ172" s="16" t="str">
        <f t="shared" si="137"/>
        <v/>
      </c>
      <c r="CR172" s="16" t="str">
        <f t="shared" si="138"/>
        <v/>
      </c>
      <c r="CS172" s="16" t="str">
        <f t="shared" si="139"/>
        <v/>
      </c>
      <c r="CT172" s="16" t="str">
        <f t="shared" si="140"/>
        <v/>
      </c>
    </row>
    <row r="173" spans="1:99" x14ac:dyDescent="0.25">
      <c r="A173" s="20"/>
      <c r="B173" s="21"/>
      <c r="C173" s="22" t="str" cm="1">
        <f t="array" ref="C173">IF(B173="","",INDEX('Exercise list'!$C$5:$C$102,B173))</f>
        <v/>
      </c>
      <c r="D173" s="17" t="str">
        <f t="shared" si="142"/>
        <v/>
      </c>
      <c r="E173" s="108" t="str">
        <f t="shared" si="165"/>
        <v/>
      </c>
      <c r="F173" s="65" t="str" cm="1">
        <f t="array" ref="F173">IF(B173="","",0.1+IFERROR(INDEX($F$6:$F172,SUMPRODUCT(MAX(ROW($C$6:$C172)*($C173=$C$6:$C172))-ROW($A$5)))*0.9^($A173-INDEX($A$6:A172,SUMPRODUCT(MAX(ROW($C$6:$C172)*($C173=$C$6:$C172))-ROW($A$5)))),0))</f>
        <v/>
      </c>
      <c r="G173" s="25" t="e">
        <f>INDEX('Exercise list'!$Y$5:$Y$102,MATCH(C173,'Exercise list'!$C$5:$C$102,0))</f>
        <v>#N/A</v>
      </c>
      <c r="H173" s="116">
        <f t="shared" si="143"/>
        <v>0</v>
      </c>
      <c r="I173" s="18">
        <f t="shared" si="144"/>
        <v>5</v>
      </c>
      <c r="J173" s="18" t="str" cm="1">
        <f t="array" ref="J173">IF(B173="","",INDEX('Exercise list'!$D$5:$D$102,B173))</f>
        <v/>
      </c>
      <c r="K173" s="17">
        <v>2</v>
      </c>
      <c r="L173" s="51" t="str" cm="1">
        <f t="array" ref="L173">IF(K173="","",INDEX('Exercise list'!$C$5:$C$102,K173))</f>
        <v>Lateral elliptical machine</v>
      </c>
      <c r="M173" s="18">
        <v>5</v>
      </c>
      <c r="N173" s="76" t="str" cm="1">
        <f t="array" ref="N173">IF(M173="","",INDEX('Exercise list'!$C$5:$C$102,M173))</f>
        <v>Treadmill running</v>
      </c>
      <c r="O173" s="19"/>
      <c r="P173" s="19">
        <f>IFERROR(INDEX('Exercise list'!$E$5:$X$102,MATCH($C173,'Exercise list'!$C$5:$C$102,0),MATCH(P$5,'Exercise list'!$E$4:$X$4,0)),0)</f>
        <v>0</v>
      </c>
      <c r="Q173" s="19">
        <f>IFERROR(INDEX('Exercise list'!$E$5:$X$102,MATCH($C173,'Exercise list'!$C$5:$C$102,0),MATCH(Q$5,'Exercise list'!$E$4:$X$4,0)),0)</f>
        <v>0</v>
      </c>
      <c r="R173" s="19">
        <f>IFERROR(INDEX('Exercise list'!$E$5:$X$102,MATCH($C173,'Exercise list'!$C$5:$C$102,0),MATCH(R$5,'Exercise list'!$E$4:$X$4,0)),0)</f>
        <v>0</v>
      </c>
      <c r="S173" s="19">
        <f>IFERROR(INDEX('Exercise list'!$E$5:$X$102,MATCH($C173,'Exercise list'!$C$5:$C$102,0),MATCH(S$5,'Exercise list'!$E$4:$X$4,0)),0)</f>
        <v>0</v>
      </c>
      <c r="T173" s="19">
        <f>IFERROR(INDEX('Exercise list'!$E$5:$X$102,MATCH($C173,'Exercise list'!$C$5:$C$102,0),MATCH(T$5,'Exercise list'!$E$4:$X$4,0)),0)</f>
        <v>0</v>
      </c>
      <c r="U173" s="19">
        <f>IFERROR(INDEX('Exercise list'!$E$5:$X$102,MATCH($C173,'Exercise list'!$C$5:$C$102,0),MATCH(U$5,'Exercise list'!$E$4:$X$4,0)),0)</f>
        <v>0</v>
      </c>
      <c r="V173" s="19">
        <f>IFERROR(INDEX('Exercise list'!$E$5:$X$102,MATCH($C173,'Exercise list'!$C$5:$C$102,0),MATCH(V$5,'Exercise list'!$E$4:$X$4,0)),0)</f>
        <v>0</v>
      </c>
      <c r="W173" s="19">
        <f>IFERROR(INDEX('Exercise list'!$E$5:$X$102,MATCH($C173,'Exercise list'!$C$5:$C$102,0),MATCH(W$5,'Exercise list'!$E$4:$X$4,0)),0)</f>
        <v>0</v>
      </c>
      <c r="X173" s="19">
        <f>IFERROR(INDEX('Exercise list'!$E$5:$X$102,MATCH($C173,'Exercise list'!$C$5:$C$102,0),MATCH(X$5,'Exercise list'!$E$4:$X$4,0)),0)</f>
        <v>0</v>
      </c>
      <c r="Y173" s="19">
        <f>IFERROR(INDEX('Exercise list'!$E$5:$X$102,MATCH($C173,'Exercise list'!$C$5:$C$102,0),MATCH(Y$5,'Exercise list'!$E$4:$X$4,0)),0)</f>
        <v>0</v>
      </c>
      <c r="Z173" s="19">
        <f>IFERROR(INDEX('Exercise list'!$E$5:$X$102,MATCH($C173,'Exercise list'!$C$5:$C$102,0),MATCH(Z$5,'Exercise list'!$E$4:$X$4,0)),0)</f>
        <v>0</v>
      </c>
      <c r="AA173" s="19">
        <f>IFERROR(INDEX('Exercise list'!$E$5:$X$102,MATCH($C173,'Exercise list'!$C$5:$C$102,0),MATCH(AA$5,'Exercise list'!$E$4:$X$4,0)),0)</f>
        <v>0</v>
      </c>
      <c r="AB173" s="19">
        <f>IFERROR(INDEX('Exercise list'!$E$5:$X$102,MATCH($C173,'Exercise list'!$C$5:$C$102,0),MATCH(AB$5,'Exercise list'!$E$4:$X$4,0)),0)</f>
        <v>0</v>
      </c>
      <c r="AC173" s="19">
        <f>IFERROR(INDEX('Exercise list'!$E$5:$X$102,MATCH($C173,'Exercise list'!$C$5:$C$102,0),MATCH(AC$5,'Exercise list'!$E$4:$X$4,0)),0)</f>
        <v>0</v>
      </c>
      <c r="AD173" s="19">
        <f>IFERROR(INDEX('Exercise list'!$E$5:$X$102,MATCH($C173,'Exercise list'!$C$5:$C$102,0),MATCH(AD$5,'Exercise list'!$E$4:$X$4,0)),0)</f>
        <v>0</v>
      </c>
      <c r="AE173" s="19">
        <f>IFERROR(INDEX('Exercise list'!$E$5:$X$102,MATCH($C173,'Exercise list'!$C$5:$C$102,0),MATCH(AE$5,'Exercise list'!$E$4:$X$4,0)),0)</f>
        <v>0</v>
      </c>
      <c r="AF173" s="19">
        <f>IFERROR(INDEX('Exercise list'!$E$5:$X$102,MATCH($C173,'Exercise list'!$C$5:$C$102,0),MATCH(AF$5,'Exercise list'!$E$4:$X$4,0)),0)</f>
        <v>0</v>
      </c>
      <c r="AG173" s="19">
        <f>IFERROR(INDEX('Exercise list'!$E$5:$X$102,MATCH($C173,'Exercise list'!$C$5:$C$102,0),MATCH(AG$5,'Exercise list'!$E$4:$X$4,0)),0)</f>
        <v>0</v>
      </c>
      <c r="AH173" s="19">
        <f>IFERROR(INDEX('Exercise list'!$E$5:$X$102,MATCH($C173,'Exercise list'!$C$5:$C$102,0),MATCH(AH$5,'Exercise list'!$E$4:$X$4,0)),0)</f>
        <v>0</v>
      </c>
      <c r="AI173" s="19">
        <f>IFERROR(INDEX('Exercise list'!$E$5:$X$102,MATCH($C173,'Exercise list'!$C$5:$C$102,0),MATCH(AI$5,'Exercise list'!$E$4:$X$4,0)),0)</f>
        <v>0</v>
      </c>
      <c r="AJ173" s="19"/>
      <c r="AK173" s="19">
        <f>IF(OR($J173=1,COUNTIFS($A$5:$A172,"&gt;="&amp;$A173-1,$A$5:$A172,"&lt;="&amp;$A173,$B$5:$B172,$B173)&gt;0,MIN(1-'Exercise list'!E$2,IF($A173=$A172,AK172,1))-P173&lt;0),-1,MIN(1,IF($A173=$A172,AK172,1)-P173+$D$2))</f>
        <v>1</v>
      </c>
      <c r="AL173" s="19">
        <f>IF(OR($J173=1,COUNTIFS($A$5:$A172,"&gt;="&amp;$A173-1,$A$5:$A172,"&lt;="&amp;$A173,$B$5:$B172,$B173)&gt;0,MIN(1-'Exercise list'!F$2,IF($A173=$A172,AL172,1))-Q173&lt;0),-1,MIN(1,IF($A173=$A172,AL172,1)-Q173+$D$2))</f>
        <v>1</v>
      </c>
      <c r="AM173" s="19">
        <f>IF(OR($J173=1,COUNTIFS($A$5:$A172,"&gt;="&amp;$A173-1,$A$5:$A172,"&lt;="&amp;$A173,$B$5:$B172,$B173)&gt;0,MIN(1-'Exercise list'!G$2,IF($A173=$A172,AM172,1))-R173&lt;0),-1,MIN(1,IF($A173=$A172,AM172,1)-R173+$D$2))</f>
        <v>1</v>
      </c>
      <c r="AN173" s="19">
        <f>IF(OR($J173=1,COUNTIFS($A$5:$A172,"&gt;="&amp;$A173-1,$A$5:$A172,"&lt;="&amp;$A173,$B$5:$B172,$B173)&gt;0,MIN(1-'Exercise list'!H$2,IF($A173=$A172,AN172,1))-S173&lt;0),-1,MIN(1,IF($A173=$A172,AN172,1)-S173+$D$2))</f>
        <v>1</v>
      </c>
      <c r="AO173" s="19">
        <f>IF(OR($J173=1,COUNTIFS($A$5:$A172,"&gt;="&amp;$A173-1,$A$5:$A172,"&lt;="&amp;$A173,$B$5:$B172,$B173)&gt;0,MIN(1-'Exercise list'!I$2,IF($A173=$A172,AO172,1))-T173&lt;0),-1,MIN(1,IF($A173=$A172,AO172,1)-T173+$D$2))</f>
        <v>1</v>
      </c>
      <c r="AP173" s="19">
        <f>IF(OR($J173=1,COUNTIFS($A$5:$A172,"&gt;="&amp;$A173-1,$A$5:$A172,"&lt;="&amp;$A173,$B$5:$B172,$B173)&gt;0,MIN(1-'Exercise list'!J$2,IF($A173=$A172,AP172,1))-U173&lt;0),-1,MIN(1,IF($A173=$A172,AP172,1)-U173+$D$2))</f>
        <v>1</v>
      </c>
      <c r="AQ173" s="19">
        <f>IF(OR($J173=1,COUNTIFS($A$5:$A172,"&gt;="&amp;$A173-1,$A$5:$A172,"&lt;="&amp;$A173,$B$5:$B172,$B173)&gt;0,MIN(1-'Exercise list'!K$2,IF($A173=$A172,AQ172,1))-V173&lt;0),-1,MIN(1,IF($A173=$A172,AQ172,1)-V173+$D$2))</f>
        <v>1</v>
      </c>
      <c r="AR173" s="19">
        <f>IF(OR($J173=1,COUNTIFS($A$5:$A172,"&gt;="&amp;$A173-1,$A$5:$A172,"&lt;="&amp;$A173,$B$5:$B172,$B173)&gt;0,MIN(1-'Exercise list'!L$2,IF($A173=$A172,AR172,1))-W173&lt;0),-1,MIN(1,IF($A173=$A172,AR172,1)-W173+$D$2))</f>
        <v>1</v>
      </c>
      <c r="AS173" s="19">
        <f>IF(OR($J173=1,COUNTIFS($A$5:$A172,"&gt;="&amp;$A173-1,$A$5:$A172,"&lt;="&amp;$A173,$B$5:$B172,$B173)&gt;0,MIN(1-'Exercise list'!M$2,IF($A173=$A172,AS172,1))-X173&lt;0),-1,MIN(1,IF($A173=$A172,AS172,1)-X173+$D$2))</f>
        <v>1</v>
      </c>
      <c r="AT173" s="19">
        <f>IF(OR($J173=1,COUNTIFS($A$5:$A172,"&gt;="&amp;$A173-1,$A$5:$A172,"&lt;="&amp;$A173,$B$5:$B172,$B173)&gt;0,MIN(1-'Exercise list'!N$2,IF($A173=$A172,AT172,1))-Y173&lt;0),-1,MIN(1,IF($A173=$A172,AT172,1)-Y173+$D$2))</f>
        <v>1</v>
      </c>
      <c r="AU173" s="19">
        <f>IF(OR($J173=1,COUNTIFS($A$5:$A172,"&gt;="&amp;$A173-1,$A$5:$A172,"&lt;="&amp;$A173,$B$5:$B172,$B173)&gt;0,MIN(1-'Exercise list'!O$2,IF($A173=$A172,AU172,1))-Z173&lt;0),-1,MIN(1,IF($A173=$A172,AU172,1)-Z173+$D$2))</f>
        <v>1</v>
      </c>
      <c r="AV173" s="19">
        <f>IF(OR($J173=1,COUNTIFS($A$5:$A172,"&gt;="&amp;$A173-1,$A$5:$A172,"&lt;="&amp;$A173,$B$5:$B172,$B173)&gt;0,MIN(1-'Exercise list'!P$2,IF($A173=$A172,AV172,1))-AA173&lt;0),-1,MIN(1,IF($A173=$A172,AV172,1)-AA173+$D$2))</f>
        <v>1</v>
      </c>
      <c r="AW173" s="19">
        <f>IF(OR($J173=1,COUNTIFS($A$5:$A172,"&gt;="&amp;$A173-1,$A$5:$A172,"&lt;="&amp;$A173,$B$5:$B172,$B173)&gt;0,MIN(1-'Exercise list'!Q$2,IF($A173=$A172,AW172,1))-AB173&lt;0),-1,MIN(1,IF($A173=$A172,AW172,1)-AB173+$D$2))</f>
        <v>1</v>
      </c>
      <c r="AX173" s="19">
        <f>IF(OR($J173=1,COUNTIFS($A$5:$A172,"&gt;="&amp;$A173-1,$A$5:$A172,"&lt;="&amp;$A173,$B$5:$B172,$B173)&gt;0,MIN(1-'Exercise list'!R$2,IF($A173=$A172,AX172,1))-AC173&lt;0),-1,MIN(1,IF($A173=$A172,AX172,1)-AC173+$D$2))</f>
        <v>1</v>
      </c>
      <c r="AY173" s="19">
        <f>IF(OR($J173=1,COUNTIFS($A$5:$A172,"&gt;="&amp;$A173-1,$A$5:$A172,"&lt;="&amp;$A173,$B$5:$B172,$B173)&gt;0,MIN(1-'Exercise list'!S$2,IF($A173=$A172,AY172,1))-AD173&lt;0),-1,MIN(1,IF($A173=$A172,AY172,1)-AD173+$D$2))</f>
        <v>1</v>
      </c>
      <c r="AZ173" s="19">
        <f>IF(OR($J173=1,COUNTIFS($A$5:$A172,"&gt;="&amp;$A173-1,$A$5:$A172,"&lt;="&amp;$A173,$B$5:$B172,$B173)&gt;0,MIN(1-'Exercise list'!T$2,IF($A173=$A172,AZ172,1))-AE173&lt;0),-1,MIN(1,IF($A173=$A172,AZ172,1)-AE173+$D$2))</f>
        <v>1</v>
      </c>
      <c r="BA173" s="19">
        <f>IF(OR($J173=1,COUNTIFS($A$5:$A172,"&gt;="&amp;$A173-1,$A$5:$A172,"&lt;="&amp;$A173,$B$5:$B172,$B173)&gt;0,MIN(1-'Exercise list'!U$2,IF($A173=$A172,BA172,1))-AF173&lt;0),-1,MIN(1,IF($A173=$A172,BA172,1)-AF173+$D$2))</f>
        <v>1</v>
      </c>
      <c r="BB173" s="19">
        <f>IF(OR($J173=1,COUNTIFS($A$5:$A172,"&gt;="&amp;$A173-1,$A$5:$A172,"&lt;="&amp;$A173,$B$5:$B172,$B173)&gt;0,MIN(1-'Exercise list'!V$2,IF($A173=$A172,BB172,1))-AG173&lt;0),-1,MIN(1,IF($A173=$A172,BB172,1)-AG173+$D$2))</f>
        <v>1</v>
      </c>
      <c r="BC173" s="19">
        <f>IF(OR($J173=1,COUNTIFS($A$5:$A172,"&gt;="&amp;$A173-1,$A$5:$A172,"&lt;="&amp;$A173,$B$5:$B172,$B173)&gt;0,MIN(1-'Exercise list'!W$2,IF($A173=$A172,BC172,1))-AH173&lt;0),-1,MIN(1,IF($A173=$A172,BC172,1)-AH173+$D$2))</f>
        <v>1</v>
      </c>
      <c r="BD173" s="19">
        <f>IF(OR($J173=1,COUNTIFS($A$5:$A172,"&gt;="&amp;$A173-1,$A$5:$A172,"&lt;="&amp;$A173,$B$5:$B172,$B173)&gt;0,MIN(1-'Exercise list'!X$2,IF($A173=$A172,BD172,1))-AI173&lt;0),-1,MIN(1,IF($A173=$A172,BD172,1)-AI173+$D$2))</f>
        <v>1</v>
      </c>
      <c r="BE173" s="19"/>
      <c r="BF173" s="23">
        <f t="shared" si="145"/>
        <v>0.19596031081758858</v>
      </c>
      <c r="BG173" s="23">
        <f t="shared" si="146"/>
        <v>0.21844636935459236</v>
      </c>
      <c r="BH173" s="23">
        <f t="shared" si="147"/>
        <v>0.14609696635987124</v>
      </c>
      <c r="BI173" s="23">
        <f t="shared" si="148"/>
        <v>0.13198015366034541</v>
      </c>
      <c r="BJ173" s="23">
        <f t="shared" si="149"/>
        <v>8.3367914198418713E-2</v>
      </c>
      <c r="BK173" s="23">
        <f t="shared" si="150"/>
        <v>0.10640640223148412</v>
      </c>
      <c r="BL173" s="23">
        <f t="shared" si="151"/>
        <v>0.21963504743569431</v>
      </c>
      <c r="BM173" s="23">
        <f t="shared" si="152"/>
        <v>3.8988008374820568E-3</v>
      </c>
      <c r="BN173" s="23">
        <f t="shared" si="153"/>
        <v>0.14537706087090876</v>
      </c>
      <c r="BO173" s="23">
        <f t="shared" si="154"/>
        <v>0.29209790661993401</v>
      </c>
      <c r="BP173" s="23">
        <f t="shared" si="155"/>
        <v>0.31584545163401867</v>
      </c>
      <c r="BQ173" s="23">
        <f t="shared" si="156"/>
        <v>0.1000007994126096</v>
      </c>
      <c r="BR173" s="23">
        <f t="shared" si="157"/>
        <v>0.13164487759885393</v>
      </c>
      <c r="BS173" s="23">
        <f t="shared" si="158"/>
        <v>2.9803550189863123E-2</v>
      </c>
      <c r="BT173" s="23">
        <f t="shared" si="159"/>
        <v>0.13492040904978705</v>
      </c>
      <c r="BU173" s="23">
        <f t="shared" si="160"/>
        <v>0.11703687414398131</v>
      </c>
      <c r="BV173" s="23">
        <f t="shared" si="161"/>
        <v>0.14633353213781661</v>
      </c>
      <c r="BW173" s="23">
        <f t="shared" si="162"/>
        <v>7.5588015111767173E-2</v>
      </c>
      <c r="BX173" s="23">
        <f t="shared" si="163"/>
        <v>8.0345659937185704E-2</v>
      </c>
      <c r="BY173" s="23">
        <f t="shared" si="164"/>
        <v>5.9014643151272549E-2</v>
      </c>
      <c r="BZ173" s="19"/>
      <c r="CA173" s="23" t="str">
        <f t="shared" si="141"/>
        <v/>
      </c>
      <c r="CB173" s="23" t="str">
        <f t="shared" si="122"/>
        <v/>
      </c>
      <c r="CC173" s="23" t="str">
        <f t="shared" si="123"/>
        <v/>
      </c>
      <c r="CD173" s="23" t="str">
        <f t="shared" si="124"/>
        <v/>
      </c>
      <c r="CE173" s="23" t="str">
        <f t="shared" si="125"/>
        <v/>
      </c>
      <c r="CF173" s="23" t="str">
        <f t="shared" si="126"/>
        <v/>
      </c>
      <c r="CG173" s="23" t="str">
        <f t="shared" si="127"/>
        <v/>
      </c>
      <c r="CH173" s="23" t="str">
        <f t="shared" si="128"/>
        <v/>
      </c>
      <c r="CI173" s="23" t="str">
        <f t="shared" si="129"/>
        <v/>
      </c>
      <c r="CJ173" s="23" t="str">
        <f t="shared" si="130"/>
        <v/>
      </c>
      <c r="CK173" s="23" t="str">
        <f t="shared" si="131"/>
        <v/>
      </c>
      <c r="CL173" s="23" t="str">
        <f t="shared" si="132"/>
        <v/>
      </c>
      <c r="CM173" s="23" t="str">
        <f t="shared" si="133"/>
        <v/>
      </c>
      <c r="CN173" s="23" t="str">
        <f t="shared" si="134"/>
        <v/>
      </c>
      <c r="CO173" s="23" t="str">
        <f t="shared" si="135"/>
        <v/>
      </c>
      <c r="CP173" s="23" t="str">
        <f t="shared" si="136"/>
        <v/>
      </c>
      <c r="CQ173" s="23" t="str">
        <f t="shared" si="137"/>
        <v/>
      </c>
      <c r="CR173" s="23" t="str">
        <f t="shared" si="138"/>
        <v/>
      </c>
      <c r="CS173" s="23" t="str">
        <f t="shared" si="139"/>
        <v/>
      </c>
      <c r="CT173" s="23" t="str">
        <f t="shared" si="140"/>
        <v/>
      </c>
      <c r="CU173" s="19"/>
    </row>
    <row r="174" spans="1:99" x14ac:dyDescent="0.25">
      <c r="A174" s="13"/>
      <c r="B174" s="14"/>
      <c r="C174" s="15" t="str" cm="1">
        <f t="array" ref="C174">IF(B174="","",INDEX('Exercise list'!$C$5:$C$102,B174))</f>
        <v/>
      </c>
      <c r="D174" s="12" t="str">
        <f t="shared" si="142"/>
        <v/>
      </c>
      <c r="E174" s="107" t="str">
        <f t="shared" si="165"/>
        <v/>
      </c>
      <c r="F174" s="63" t="str" cm="1">
        <f t="array" ref="F174">IF(B174="","",0.1+IFERROR(INDEX($F$6:$F173,SUMPRODUCT(MAX(ROW($C$6:$C173)*($C174=$C$6:$C173))-ROW($A$5)))*0.9^($A174-INDEX($A$6:A173,SUMPRODUCT(MAX(ROW($C$6:$C173)*($C174=$C$6:$C173))-ROW($A$5)))),0))</f>
        <v/>
      </c>
      <c r="G174" s="64" t="e">
        <f>INDEX('Exercise list'!$Y$5:$Y$102,MATCH(C174,'Exercise list'!$C$5:$C$102,0))</f>
        <v>#N/A</v>
      </c>
      <c r="H174" s="115">
        <f t="shared" si="143"/>
        <v>0</v>
      </c>
      <c r="I174" s="42">
        <f t="shared" si="144"/>
        <v>5</v>
      </c>
      <c r="J174" s="6" t="str" cm="1">
        <f t="array" ref="J174">IF(B174="","",INDEX('Exercise list'!$D$5:$D$102,B174))</f>
        <v/>
      </c>
      <c r="K174" s="12">
        <v>26</v>
      </c>
      <c r="L174" s="74" t="str" cm="1">
        <f t="array" ref="L174">IF(K174="","",INDEX('Exercise list'!$C$5:$C$102,K174))</f>
        <v>Dumbbell incline bench presses</v>
      </c>
      <c r="M174" s="6">
        <v>19</v>
      </c>
      <c r="N174" s="75" t="str" cm="1">
        <f t="array" ref="N174">IF(M174="","",INDEX('Exercise list'!$C$5:$C$102,M174))</f>
        <v>EZ bar biceps curls</v>
      </c>
      <c r="P174">
        <f>IFERROR(INDEX('Exercise list'!$E$5:$X$102,MATCH($C174,'Exercise list'!$C$5:$C$102,0),MATCH(P$5,'Exercise list'!$E$4:$X$4,0)),0)</f>
        <v>0</v>
      </c>
      <c r="Q174">
        <f>IFERROR(INDEX('Exercise list'!$E$5:$X$102,MATCH($C174,'Exercise list'!$C$5:$C$102,0),MATCH(Q$5,'Exercise list'!$E$4:$X$4,0)),0)</f>
        <v>0</v>
      </c>
      <c r="R174">
        <f>IFERROR(INDEX('Exercise list'!$E$5:$X$102,MATCH($C174,'Exercise list'!$C$5:$C$102,0),MATCH(R$5,'Exercise list'!$E$4:$X$4,0)),0)</f>
        <v>0</v>
      </c>
      <c r="S174">
        <f>IFERROR(INDEX('Exercise list'!$E$5:$X$102,MATCH($C174,'Exercise list'!$C$5:$C$102,0),MATCH(S$5,'Exercise list'!$E$4:$X$4,0)),0)</f>
        <v>0</v>
      </c>
      <c r="T174">
        <f>IFERROR(INDEX('Exercise list'!$E$5:$X$102,MATCH($C174,'Exercise list'!$C$5:$C$102,0),MATCH(T$5,'Exercise list'!$E$4:$X$4,0)),0)</f>
        <v>0</v>
      </c>
      <c r="U174">
        <f>IFERROR(INDEX('Exercise list'!$E$5:$X$102,MATCH($C174,'Exercise list'!$C$5:$C$102,0),MATCH(U$5,'Exercise list'!$E$4:$X$4,0)),0)</f>
        <v>0</v>
      </c>
      <c r="V174">
        <f>IFERROR(INDEX('Exercise list'!$E$5:$X$102,MATCH($C174,'Exercise list'!$C$5:$C$102,0),MATCH(V$5,'Exercise list'!$E$4:$X$4,0)),0)</f>
        <v>0</v>
      </c>
      <c r="W174">
        <f>IFERROR(INDEX('Exercise list'!$E$5:$X$102,MATCH($C174,'Exercise list'!$C$5:$C$102,0),MATCH(W$5,'Exercise list'!$E$4:$X$4,0)),0)</f>
        <v>0</v>
      </c>
      <c r="X174">
        <f>IFERROR(INDEX('Exercise list'!$E$5:$X$102,MATCH($C174,'Exercise list'!$C$5:$C$102,0),MATCH(X$5,'Exercise list'!$E$4:$X$4,0)),0)</f>
        <v>0</v>
      </c>
      <c r="Y174">
        <f>IFERROR(INDEX('Exercise list'!$E$5:$X$102,MATCH($C174,'Exercise list'!$C$5:$C$102,0),MATCH(Y$5,'Exercise list'!$E$4:$X$4,0)),0)</f>
        <v>0</v>
      </c>
      <c r="Z174">
        <f>IFERROR(INDEX('Exercise list'!$E$5:$X$102,MATCH($C174,'Exercise list'!$C$5:$C$102,0),MATCH(Z$5,'Exercise list'!$E$4:$X$4,0)),0)</f>
        <v>0</v>
      </c>
      <c r="AA174">
        <f>IFERROR(INDEX('Exercise list'!$E$5:$X$102,MATCH($C174,'Exercise list'!$C$5:$C$102,0),MATCH(AA$5,'Exercise list'!$E$4:$X$4,0)),0)</f>
        <v>0</v>
      </c>
      <c r="AB174">
        <f>IFERROR(INDEX('Exercise list'!$E$5:$X$102,MATCH($C174,'Exercise list'!$C$5:$C$102,0),MATCH(AB$5,'Exercise list'!$E$4:$X$4,0)),0)</f>
        <v>0</v>
      </c>
      <c r="AC174">
        <f>IFERROR(INDEX('Exercise list'!$E$5:$X$102,MATCH($C174,'Exercise list'!$C$5:$C$102,0),MATCH(AC$5,'Exercise list'!$E$4:$X$4,0)),0)</f>
        <v>0</v>
      </c>
      <c r="AD174">
        <f>IFERROR(INDEX('Exercise list'!$E$5:$X$102,MATCH($C174,'Exercise list'!$C$5:$C$102,0),MATCH(AD$5,'Exercise list'!$E$4:$X$4,0)),0)</f>
        <v>0</v>
      </c>
      <c r="AE174">
        <f>IFERROR(INDEX('Exercise list'!$E$5:$X$102,MATCH($C174,'Exercise list'!$C$5:$C$102,0),MATCH(AE$5,'Exercise list'!$E$4:$X$4,0)),0)</f>
        <v>0</v>
      </c>
      <c r="AF174">
        <f>IFERROR(INDEX('Exercise list'!$E$5:$X$102,MATCH($C174,'Exercise list'!$C$5:$C$102,0),MATCH(AF$5,'Exercise list'!$E$4:$X$4,0)),0)</f>
        <v>0</v>
      </c>
      <c r="AG174">
        <f>IFERROR(INDEX('Exercise list'!$E$5:$X$102,MATCH($C174,'Exercise list'!$C$5:$C$102,0),MATCH(AG$5,'Exercise list'!$E$4:$X$4,0)),0)</f>
        <v>0</v>
      </c>
      <c r="AH174">
        <f>IFERROR(INDEX('Exercise list'!$E$5:$X$102,MATCH($C174,'Exercise list'!$C$5:$C$102,0),MATCH(AH$5,'Exercise list'!$E$4:$X$4,0)),0)</f>
        <v>0</v>
      </c>
      <c r="AI174">
        <f>IFERROR(INDEX('Exercise list'!$E$5:$X$102,MATCH($C174,'Exercise list'!$C$5:$C$102,0),MATCH(AI$5,'Exercise list'!$E$4:$X$4,0)),0)</f>
        <v>0</v>
      </c>
      <c r="AK174">
        <f>IF(OR($J174=1,COUNTIFS($A$5:$A173,"&gt;="&amp;$A174-1,$A$5:$A173,"&lt;="&amp;$A174,$B$5:$B173,$B174)&gt;0,MIN(1-'Exercise list'!E$2,IF($A174=$A173,AK173,1))-P174&lt;0),-1,MIN(1,IF($A174=$A173,AK173,1)-P174+$D$2))</f>
        <v>1</v>
      </c>
      <c r="AL174">
        <f>IF(OR($J174=1,COUNTIFS($A$5:$A173,"&gt;="&amp;$A174-1,$A$5:$A173,"&lt;="&amp;$A174,$B$5:$B173,$B174)&gt;0,MIN(1-'Exercise list'!F$2,IF($A174=$A173,AL173,1))-Q174&lt;0),-1,MIN(1,IF($A174=$A173,AL173,1)-Q174+$D$2))</f>
        <v>1</v>
      </c>
      <c r="AM174">
        <f>IF(OR($J174=1,COUNTIFS($A$5:$A173,"&gt;="&amp;$A174-1,$A$5:$A173,"&lt;="&amp;$A174,$B$5:$B173,$B174)&gt;0,MIN(1-'Exercise list'!G$2,IF($A174=$A173,AM173,1))-R174&lt;0),-1,MIN(1,IF($A174=$A173,AM173,1)-R174+$D$2))</f>
        <v>1</v>
      </c>
      <c r="AN174">
        <f>IF(OR($J174=1,COUNTIFS($A$5:$A173,"&gt;="&amp;$A174-1,$A$5:$A173,"&lt;="&amp;$A174,$B$5:$B173,$B174)&gt;0,MIN(1-'Exercise list'!H$2,IF($A174=$A173,AN173,1))-S174&lt;0),-1,MIN(1,IF($A174=$A173,AN173,1)-S174+$D$2))</f>
        <v>1</v>
      </c>
      <c r="AO174">
        <f>IF(OR($J174=1,COUNTIFS($A$5:$A173,"&gt;="&amp;$A174-1,$A$5:$A173,"&lt;="&amp;$A174,$B$5:$B173,$B174)&gt;0,MIN(1-'Exercise list'!I$2,IF($A174=$A173,AO173,1))-T174&lt;0),-1,MIN(1,IF($A174=$A173,AO173,1)-T174+$D$2))</f>
        <v>1</v>
      </c>
      <c r="AP174">
        <f>IF(OR($J174=1,COUNTIFS($A$5:$A173,"&gt;="&amp;$A174-1,$A$5:$A173,"&lt;="&amp;$A174,$B$5:$B173,$B174)&gt;0,MIN(1-'Exercise list'!J$2,IF($A174=$A173,AP173,1))-U174&lt;0),-1,MIN(1,IF($A174=$A173,AP173,1)-U174+$D$2))</f>
        <v>1</v>
      </c>
      <c r="AQ174">
        <f>IF(OR($J174=1,COUNTIFS($A$5:$A173,"&gt;="&amp;$A174-1,$A$5:$A173,"&lt;="&amp;$A174,$B$5:$B173,$B174)&gt;0,MIN(1-'Exercise list'!K$2,IF($A174=$A173,AQ173,1))-V174&lt;0),-1,MIN(1,IF($A174=$A173,AQ173,1)-V174+$D$2))</f>
        <v>1</v>
      </c>
      <c r="AR174">
        <f>IF(OR($J174=1,COUNTIFS($A$5:$A173,"&gt;="&amp;$A174-1,$A$5:$A173,"&lt;="&amp;$A174,$B$5:$B173,$B174)&gt;0,MIN(1-'Exercise list'!L$2,IF($A174=$A173,AR173,1))-W174&lt;0),-1,MIN(1,IF($A174=$A173,AR173,1)-W174+$D$2))</f>
        <v>1</v>
      </c>
      <c r="AS174">
        <f>IF(OR($J174=1,COUNTIFS($A$5:$A173,"&gt;="&amp;$A174-1,$A$5:$A173,"&lt;="&amp;$A174,$B$5:$B173,$B174)&gt;0,MIN(1-'Exercise list'!M$2,IF($A174=$A173,AS173,1))-X174&lt;0),-1,MIN(1,IF($A174=$A173,AS173,1)-X174+$D$2))</f>
        <v>1</v>
      </c>
      <c r="AT174">
        <f>IF(OR($J174=1,COUNTIFS($A$5:$A173,"&gt;="&amp;$A174-1,$A$5:$A173,"&lt;="&amp;$A174,$B$5:$B173,$B174)&gt;0,MIN(1-'Exercise list'!N$2,IF($A174=$A173,AT173,1))-Y174&lt;0),-1,MIN(1,IF($A174=$A173,AT173,1)-Y174+$D$2))</f>
        <v>1</v>
      </c>
      <c r="AU174">
        <f>IF(OR($J174=1,COUNTIFS($A$5:$A173,"&gt;="&amp;$A174-1,$A$5:$A173,"&lt;="&amp;$A174,$B$5:$B173,$B174)&gt;0,MIN(1-'Exercise list'!O$2,IF($A174=$A173,AU173,1))-Z174&lt;0),-1,MIN(1,IF($A174=$A173,AU173,1)-Z174+$D$2))</f>
        <v>1</v>
      </c>
      <c r="AV174">
        <f>IF(OR($J174=1,COUNTIFS($A$5:$A173,"&gt;="&amp;$A174-1,$A$5:$A173,"&lt;="&amp;$A174,$B$5:$B173,$B174)&gt;0,MIN(1-'Exercise list'!P$2,IF($A174=$A173,AV173,1))-AA174&lt;0),-1,MIN(1,IF($A174=$A173,AV173,1)-AA174+$D$2))</f>
        <v>1</v>
      </c>
      <c r="AW174">
        <f>IF(OR($J174=1,COUNTIFS($A$5:$A173,"&gt;="&amp;$A174-1,$A$5:$A173,"&lt;="&amp;$A174,$B$5:$B173,$B174)&gt;0,MIN(1-'Exercise list'!Q$2,IF($A174=$A173,AW173,1))-AB174&lt;0),-1,MIN(1,IF($A174=$A173,AW173,1)-AB174+$D$2))</f>
        <v>1</v>
      </c>
      <c r="AX174">
        <f>IF(OR($J174=1,COUNTIFS($A$5:$A173,"&gt;="&amp;$A174-1,$A$5:$A173,"&lt;="&amp;$A174,$B$5:$B173,$B174)&gt;0,MIN(1-'Exercise list'!R$2,IF($A174=$A173,AX173,1))-AC174&lt;0),-1,MIN(1,IF($A174=$A173,AX173,1)-AC174+$D$2))</f>
        <v>1</v>
      </c>
      <c r="AY174">
        <f>IF(OR($J174=1,COUNTIFS($A$5:$A173,"&gt;="&amp;$A174-1,$A$5:$A173,"&lt;="&amp;$A174,$B$5:$B173,$B174)&gt;0,MIN(1-'Exercise list'!S$2,IF($A174=$A173,AY173,1))-AD174&lt;0),-1,MIN(1,IF($A174=$A173,AY173,1)-AD174+$D$2))</f>
        <v>1</v>
      </c>
      <c r="AZ174">
        <f>IF(OR($J174=1,COUNTIFS($A$5:$A173,"&gt;="&amp;$A174-1,$A$5:$A173,"&lt;="&amp;$A174,$B$5:$B173,$B174)&gt;0,MIN(1-'Exercise list'!T$2,IF($A174=$A173,AZ173,1))-AE174&lt;0),-1,MIN(1,IF($A174=$A173,AZ173,1)-AE174+$D$2))</f>
        <v>1</v>
      </c>
      <c r="BA174">
        <f>IF(OR($J174=1,COUNTIFS($A$5:$A173,"&gt;="&amp;$A174-1,$A$5:$A173,"&lt;="&amp;$A174,$B$5:$B173,$B174)&gt;0,MIN(1-'Exercise list'!U$2,IF($A174=$A173,BA173,1))-AF174&lt;0),-1,MIN(1,IF($A174=$A173,BA173,1)-AF174+$D$2))</f>
        <v>1</v>
      </c>
      <c r="BB174">
        <f>IF(OR($J174=1,COUNTIFS($A$5:$A173,"&gt;="&amp;$A174-1,$A$5:$A173,"&lt;="&amp;$A174,$B$5:$B173,$B174)&gt;0,MIN(1-'Exercise list'!V$2,IF($A174=$A173,BB173,1))-AG174&lt;0),-1,MIN(1,IF($A174=$A173,BB173,1)-AG174+$D$2))</f>
        <v>1</v>
      </c>
      <c r="BC174">
        <f>IF(OR($J174=1,COUNTIFS($A$5:$A173,"&gt;="&amp;$A174-1,$A$5:$A173,"&lt;="&amp;$A174,$B$5:$B173,$B174)&gt;0,MIN(1-'Exercise list'!W$2,IF($A174=$A173,BC173,1))-AH174&lt;0),-1,MIN(1,IF($A174=$A173,BC173,1)-AH174+$D$2))</f>
        <v>1</v>
      </c>
      <c r="BD174">
        <f>IF(OR($J174=1,COUNTIFS($A$5:$A173,"&gt;="&amp;$A174-1,$A$5:$A173,"&lt;="&amp;$A174,$B$5:$B173,$B174)&gt;0,MIN(1-'Exercise list'!X$2,IF($A174=$A173,BD173,1))-AI174&lt;0),-1,MIN(1,IF($A174=$A173,BD173,1)-AI174+$D$2))</f>
        <v>1</v>
      </c>
      <c r="BF174" s="16">
        <f t="shared" si="145"/>
        <v>0.19596031081758858</v>
      </c>
      <c r="BG174" s="16">
        <f t="shared" si="146"/>
        <v>0.21844636935459236</v>
      </c>
      <c r="BH174" s="16">
        <f t="shared" si="147"/>
        <v>0.14609696635987124</v>
      </c>
      <c r="BI174" s="16">
        <f t="shared" si="148"/>
        <v>0.13198015366034541</v>
      </c>
      <c r="BJ174" s="16">
        <f t="shared" si="149"/>
        <v>8.3367914198418713E-2</v>
      </c>
      <c r="BK174" s="16">
        <f t="shared" si="150"/>
        <v>0.10640640223148412</v>
      </c>
      <c r="BL174" s="16">
        <f t="shared" si="151"/>
        <v>0.21963504743569431</v>
      </c>
      <c r="BM174" s="16">
        <f t="shared" si="152"/>
        <v>3.8988008374820568E-3</v>
      </c>
      <c r="BN174" s="16">
        <f t="shared" si="153"/>
        <v>0.14537706087090876</v>
      </c>
      <c r="BO174" s="16">
        <f t="shared" si="154"/>
        <v>0.29209790661993401</v>
      </c>
      <c r="BP174" s="16">
        <f t="shared" si="155"/>
        <v>0.31584545163401867</v>
      </c>
      <c r="BQ174" s="16">
        <f t="shared" si="156"/>
        <v>0.1000007994126096</v>
      </c>
      <c r="BR174" s="16">
        <f t="shared" si="157"/>
        <v>0.13164487759885393</v>
      </c>
      <c r="BS174" s="16">
        <f t="shared" si="158"/>
        <v>2.9803550189863123E-2</v>
      </c>
      <c r="BT174" s="16">
        <f t="shared" si="159"/>
        <v>0.13492040904978705</v>
      </c>
      <c r="BU174" s="16">
        <f t="shared" si="160"/>
        <v>0.11703687414398131</v>
      </c>
      <c r="BV174" s="16">
        <f t="shared" si="161"/>
        <v>0.14633353213781661</v>
      </c>
      <c r="BW174" s="16">
        <f t="shared" si="162"/>
        <v>7.5588015111767173E-2</v>
      </c>
      <c r="BX174" s="16">
        <f t="shared" si="163"/>
        <v>8.0345659937185704E-2</v>
      </c>
      <c r="BY174" s="16">
        <f t="shared" si="164"/>
        <v>5.9014643151272549E-2</v>
      </c>
      <c r="CA174" s="16" t="str">
        <f t="shared" si="141"/>
        <v/>
      </c>
      <c r="CB174" s="16" t="str">
        <f t="shared" si="122"/>
        <v/>
      </c>
      <c r="CC174" s="16" t="str">
        <f t="shared" si="123"/>
        <v/>
      </c>
      <c r="CD174" s="16" t="str">
        <f t="shared" si="124"/>
        <v/>
      </c>
      <c r="CE174" s="16" t="str">
        <f t="shared" si="125"/>
        <v/>
      </c>
      <c r="CF174" s="16" t="str">
        <f t="shared" si="126"/>
        <v/>
      </c>
      <c r="CG174" s="16" t="str">
        <f t="shared" si="127"/>
        <v/>
      </c>
      <c r="CH174" s="16" t="str">
        <f t="shared" si="128"/>
        <v/>
      </c>
      <c r="CI174" s="16" t="str">
        <f t="shared" si="129"/>
        <v/>
      </c>
      <c r="CJ174" s="16" t="str">
        <f t="shared" si="130"/>
        <v/>
      </c>
      <c r="CK174" s="16" t="str">
        <f t="shared" si="131"/>
        <v/>
      </c>
      <c r="CL174" s="16" t="str">
        <f t="shared" si="132"/>
        <v/>
      </c>
      <c r="CM174" s="16" t="str">
        <f t="shared" si="133"/>
        <v/>
      </c>
      <c r="CN174" s="16" t="str">
        <f t="shared" si="134"/>
        <v/>
      </c>
      <c r="CO174" s="16" t="str">
        <f t="shared" si="135"/>
        <v/>
      </c>
      <c r="CP174" s="16" t="str">
        <f t="shared" si="136"/>
        <v/>
      </c>
      <c r="CQ174" s="16" t="str">
        <f t="shared" si="137"/>
        <v/>
      </c>
      <c r="CR174" s="16" t="str">
        <f t="shared" si="138"/>
        <v/>
      </c>
      <c r="CS174" s="16" t="str">
        <f t="shared" si="139"/>
        <v/>
      </c>
      <c r="CT174" s="16" t="str">
        <f t="shared" si="140"/>
        <v/>
      </c>
    </row>
    <row r="175" spans="1:99" x14ac:dyDescent="0.25">
      <c r="A175" s="13"/>
      <c r="B175" s="14"/>
      <c r="C175" s="15" t="str" cm="1">
        <f t="array" ref="C175">IF(B175="","",INDEX('Exercise list'!$C$5:$C$102,B175))</f>
        <v/>
      </c>
      <c r="D175" s="12" t="str">
        <f t="shared" si="142"/>
        <v/>
      </c>
      <c r="E175" s="107" t="str">
        <f t="shared" si="165"/>
        <v/>
      </c>
      <c r="F175" s="63" t="str" cm="1">
        <f t="array" ref="F175">IF(B175="","",0.1+IFERROR(INDEX($F$6:$F174,SUMPRODUCT(MAX(ROW($C$6:$C174)*($C175=$C$6:$C174))-ROW($A$5)))*0.9^($A175-INDEX($A$6:A174,SUMPRODUCT(MAX(ROW($C$6:$C174)*($C175=$C$6:$C174))-ROW($A$5)))),0))</f>
        <v/>
      </c>
      <c r="G175" s="64" t="e">
        <f>INDEX('Exercise list'!$Y$5:$Y$102,MATCH(C175,'Exercise list'!$C$5:$C$102,0))</f>
        <v>#N/A</v>
      </c>
      <c r="H175" s="115">
        <f t="shared" si="143"/>
        <v>0</v>
      </c>
      <c r="I175" s="6">
        <f t="shared" si="144"/>
        <v>5</v>
      </c>
      <c r="J175" s="6" t="str" cm="1">
        <f t="array" ref="J175">IF(B175="","",INDEX('Exercise list'!$D$5:$D$102,B175))</f>
        <v/>
      </c>
      <c r="K175" s="12">
        <v>18</v>
      </c>
      <c r="L175" s="74" t="str" cm="1">
        <f t="array" ref="L175">IF(K175="","",INDEX('Exercise list'!$C$5:$C$102,K175))</f>
        <v>Dumbbell curls</v>
      </c>
      <c r="M175" s="6">
        <v>56</v>
      </c>
      <c r="N175" s="75" t="str" cm="1">
        <f t="array" ref="N175">IF(M175="","",INDEX('Exercise list'!$C$5:$C$102,M175))</f>
        <v>Standing cable reverse flyes</v>
      </c>
      <c r="P175">
        <f>IFERROR(INDEX('Exercise list'!$E$5:$X$102,MATCH($C175,'Exercise list'!$C$5:$C$102,0),MATCH(P$5,'Exercise list'!$E$4:$X$4,0)),0)</f>
        <v>0</v>
      </c>
      <c r="Q175">
        <f>IFERROR(INDEX('Exercise list'!$E$5:$X$102,MATCH($C175,'Exercise list'!$C$5:$C$102,0),MATCH(Q$5,'Exercise list'!$E$4:$X$4,0)),0)</f>
        <v>0</v>
      </c>
      <c r="R175">
        <f>IFERROR(INDEX('Exercise list'!$E$5:$X$102,MATCH($C175,'Exercise list'!$C$5:$C$102,0),MATCH(R$5,'Exercise list'!$E$4:$X$4,0)),0)</f>
        <v>0</v>
      </c>
      <c r="S175">
        <f>IFERROR(INDEX('Exercise list'!$E$5:$X$102,MATCH($C175,'Exercise list'!$C$5:$C$102,0),MATCH(S$5,'Exercise list'!$E$4:$X$4,0)),0)</f>
        <v>0</v>
      </c>
      <c r="T175">
        <f>IFERROR(INDEX('Exercise list'!$E$5:$X$102,MATCH($C175,'Exercise list'!$C$5:$C$102,0),MATCH(T$5,'Exercise list'!$E$4:$X$4,0)),0)</f>
        <v>0</v>
      </c>
      <c r="U175">
        <f>IFERROR(INDEX('Exercise list'!$E$5:$X$102,MATCH($C175,'Exercise list'!$C$5:$C$102,0),MATCH(U$5,'Exercise list'!$E$4:$X$4,0)),0)</f>
        <v>0</v>
      </c>
      <c r="V175">
        <f>IFERROR(INDEX('Exercise list'!$E$5:$X$102,MATCH($C175,'Exercise list'!$C$5:$C$102,0),MATCH(V$5,'Exercise list'!$E$4:$X$4,0)),0)</f>
        <v>0</v>
      </c>
      <c r="W175">
        <f>IFERROR(INDEX('Exercise list'!$E$5:$X$102,MATCH($C175,'Exercise list'!$C$5:$C$102,0),MATCH(W$5,'Exercise list'!$E$4:$X$4,0)),0)</f>
        <v>0</v>
      </c>
      <c r="X175">
        <f>IFERROR(INDEX('Exercise list'!$E$5:$X$102,MATCH($C175,'Exercise list'!$C$5:$C$102,0),MATCH(X$5,'Exercise list'!$E$4:$X$4,0)),0)</f>
        <v>0</v>
      </c>
      <c r="Y175">
        <f>IFERROR(INDEX('Exercise list'!$E$5:$X$102,MATCH($C175,'Exercise list'!$C$5:$C$102,0),MATCH(Y$5,'Exercise list'!$E$4:$X$4,0)),0)</f>
        <v>0</v>
      </c>
      <c r="Z175">
        <f>IFERROR(INDEX('Exercise list'!$E$5:$X$102,MATCH($C175,'Exercise list'!$C$5:$C$102,0),MATCH(Z$5,'Exercise list'!$E$4:$X$4,0)),0)</f>
        <v>0</v>
      </c>
      <c r="AA175">
        <f>IFERROR(INDEX('Exercise list'!$E$5:$X$102,MATCH($C175,'Exercise list'!$C$5:$C$102,0),MATCH(AA$5,'Exercise list'!$E$4:$X$4,0)),0)</f>
        <v>0</v>
      </c>
      <c r="AB175">
        <f>IFERROR(INDEX('Exercise list'!$E$5:$X$102,MATCH($C175,'Exercise list'!$C$5:$C$102,0),MATCH(AB$5,'Exercise list'!$E$4:$X$4,0)),0)</f>
        <v>0</v>
      </c>
      <c r="AC175">
        <f>IFERROR(INDEX('Exercise list'!$E$5:$X$102,MATCH($C175,'Exercise list'!$C$5:$C$102,0),MATCH(AC$5,'Exercise list'!$E$4:$X$4,0)),0)</f>
        <v>0</v>
      </c>
      <c r="AD175">
        <f>IFERROR(INDEX('Exercise list'!$E$5:$X$102,MATCH($C175,'Exercise list'!$C$5:$C$102,0),MATCH(AD$5,'Exercise list'!$E$4:$X$4,0)),0)</f>
        <v>0</v>
      </c>
      <c r="AE175">
        <f>IFERROR(INDEX('Exercise list'!$E$5:$X$102,MATCH($C175,'Exercise list'!$C$5:$C$102,0),MATCH(AE$5,'Exercise list'!$E$4:$X$4,0)),0)</f>
        <v>0</v>
      </c>
      <c r="AF175">
        <f>IFERROR(INDEX('Exercise list'!$E$5:$X$102,MATCH($C175,'Exercise list'!$C$5:$C$102,0),MATCH(AF$5,'Exercise list'!$E$4:$X$4,0)),0)</f>
        <v>0</v>
      </c>
      <c r="AG175">
        <f>IFERROR(INDEX('Exercise list'!$E$5:$X$102,MATCH($C175,'Exercise list'!$C$5:$C$102,0),MATCH(AG$5,'Exercise list'!$E$4:$X$4,0)),0)</f>
        <v>0</v>
      </c>
      <c r="AH175">
        <f>IFERROR(INDEX('Exercise list'!$E$5:$X$102,MATCH($C175,'Exercise list'!$C$5:$C$102,0),MATCH(AH$5,'Exercise list'!$E$4:$X$4,0)),0)</f>
        <v>0</v>
      </c>
      <c r="AI175">
        <f>IFERROR(INDEX('Exercise list'!$E$5:$X$102,MATCH($C175,'Exercise list'!$C$5:$C$102,0),MATCH(AI$5,'Exercise list'!$E$4:$X$4,0)),0)</f>
        <v>0</v>
      </c>
      <c r="AK175">
        <f>IF(OR($J175=1,COUNTIFS($A$5:$A174,"&gt;="&amp;$A175-1,$A$5:$A174,"&lt;="&amp;$A175,$B$5:$B174,$B175)&gt;0,MIN(1-'Exercise list'!E$2,IF($A175=$A174,AK174,1))-P175&lt;0),-1,MIN(1,IF($A175=$A174,AK174,1)-P175+$D$2))</f>
        <v>1</v>
      </c>
      <c r="AL175">
        <f>IF(OR($J175=1,COUNTIFS($A$5:$A174,"&gt;="&amp;$A175-1,$A$5:$A174,"&lt;="&amp;$A175,$B$5:$B174,$B175)&gt;0,MIN(1-'Exercise list'!F$2,IF($A175=$A174,AL174,1))-Q175&lt;0),-1,MIN(1,IF($A175=$A174,AL174,1)-Q175+$D$2))</f>
        <v>1</v>
      </c>
      <c r="AM175">
        <f>IF(OR($J175=1,COUNTIFS($A$5:$A174,"&gt;="&amp;$A175-1,$A$5:$A174,"&lt;="&amp;$A175,$B$5:$B174,$B175)&gt;0,MIN(1-'Exercise list'!G$2,IF($A175=$A174,AM174,1))-R175&lt;0),-1,MIN(1,IF($A175=$A174,AM174,1)-R175+$D$2))</f>
        <v>1</v>
      </c>
      <c r="AN175">
        <f>IF(OR($J175=1,COUNTIFS($A$5:$A174,"&gt;="&amp;$A175-1,$A$5:$A174,"&lt;="&amp;$A175,$B$5:$B174,$B175)&gt;0,MIN(1-'Exercise list'!H$2,IF($A175=$A174,AN174,1))-S175&lt;0),-1,MIN(1,IF($A175=$A174,AN174,1)-S175+$D$2))</f>
        <v>1</v>
      </c>
      <c r="AO175">
        <f>IF(OR($J175=1,COUNTIFS($A$5:$A174,"&gt;="&amp;$A175-1,$A$5:$A174,"&lt;="&amp;$A175,$B$5:$B174,$B175)&gt;0,MIN(1-'Exercise list'!I$2,IF($A175=$A174,AO174,1))-T175&lt;0),-1,MIN(1,IF($A175=$A174,AO174,1)-T175+$D$2))</f>
        <v>1</v>
      </c>
      <c r="AP175">
        <f>IF(OR($J175=1,COUNTIFS($A$5:$A174,"&gt;="&amp;$A175-1,$A$5:$A174,"&lt;="&amp;$A175,$B$5:$B174,$B175)&gt;0,MIN(1-'Exercise list'!J$2,IF($A175=$A174,AP174,1))-U175&lt;0),-1,MIN(1,IF($A175=$A174,AP174,1)-U175+$D$2))</f>
        <v>1</v>
      </c>
      <c r="AQ175">
        <f>IF(OR($J175=1,COUNTIFS($A$5:$A174,"&gt;="&amp;$A175-1,$A$5:$A174,"&lt;="&amp;$A175,$B$5:$B174,$B175)&gt;0,MIN(1-'Exercise list'!K$2,IF($A175=$A174,AQ174,1))-V175&lt;0),-1,MIN(1,IF($A175=$A174,AQ174,1)-V175+$D$2))</f>
        <v>1</v>
      </c>
      <c r="AR175">
        <f>IF(OR($J175=1,COUNTIFS($A$5:$A174,"&gt;="&amp;$A175-1,$A$5:$A174,"&lt;="&amp;$A175,$B$5:$B174,$B175)&gt;0,MIN(1-'Exercise list'!L$2,IF($A175=$A174,AR174,1))-W175&lt;0),-1,MIN(1,IF($A175=$A174,AR174,1)-W175+$D$2))</f>
        <v>1</v>
      </c>
      <c r="AS175">
        <f>IF(OR($J175=1,COUNTIFS($A$5:$A174,"&gt;="&amp;$A175-1,$A$5:$A174,"&lt;="&amp;$A175,$B$5:$B174,$B175)&gt;0,MIN(1-'Exercise list'!M$2,IF($A175=$A174,AS174,1))-X175&lt;0),-1,MIN(1,IF($A175=$A174,AS174,1)-X175+$D$2))</f>
        <v>1</v>
      </c>
      <c r="AT175">
        <f>IF(OR($J175=1,COUNTIFS($A$5:$A174,"&gt;="&amp;$A175-1,$A$5:$A174,"&lt;="&amp;$A175,$B$5:$B174,$B175)&gt;0,MIN(1-'Exercise list'!N$2,IF($A175=$A174,AT174,1))-Y175&lt;0),-1,MIN(1,IF($A175=$A174,AT174,1)-Y175+$D$2))</f>
        <v>1</v>
      </c>
      <c r="AU175">
        <f>IF(OR($J175=1,COUNTIFS($A$5:$A174,"&gt;="&amp;$A175-1,$A$5:$A174,"&lt;="&amp;$A175,$B$5:$B174,$B175)&gt;0,MIN(1-'Exercise list'!O$2,IF($A175=$A174,AU174,1))-Z175&lt;0),-1,MIN(1,IF($A175=$A174,AU174,1)-Z175+$D$2))</f>
        <v>1</v>
      </c>
      <c r="AV175">
        <f>IF(OR($J175=1,COUNTIFS($A$5:$A174,"&gt;="&amp;$A175-1,$A$5:$A174,"&lt;="&amp;$A175,$B$5:$B174,$B175)&gt;0,MIN(1-'Exercise list'!P$2,IF($A175=$A174,AV174,1))-AA175&lt;0),-1,MIN(1,IF($A175=$A174,AV174,1)-AA175+$D$2))</f>
        <v>1</v>
      </c>
      <c r="AW175">
        <f>IF(OR($J175=1,COUNTIFS($A$5:$A174,"&gt;="&amp;$A175-1,$A$5:$A174,"&lt;="&amp;$A175,$B$5:$B174,$B175)&gt;0,MIN(1-'Exercise list'!Q$2,IF($A175=$A174,AW174,1))-AB175&lt;0),-1,MIN(1,IF($A175=$A174,AW174,1)-AB175+$D$2))</f>
        <v>1</v>
      </c>
      <c r="AX175">
        <f>IF(OR($J175=1,COUNTIFS($A$5:$A174,"&gt;="&amp;$A175-1,$A$5:$A174,"&lt;="&amp;$A175,$B$5:$B174,$B175)&gt;0,MIN(1-'Exercise list'!R$2,IF($A175=$A174,AX174,1))-AC175&lt;0),-1,MIN(1,IF($A175=$A174,AX174,1)-AC175+$D$2))</f>
        <v>1</v>
      </c>
      <c r="AY175">
        <f>IF(OR($J175=1,COUNTIFS($A$5:$A174,"&gt;="&amp;$A175-1,$A$5:$A174,"&lt;="&amp;$A175,$B$5:$B174,$B175)&gt;0,MIN(1-'Exercise list'!S$2,IF($A175=$A174,AY174,1))-AD175&lt;0),-1,MIN(1,IF($A175=$A174,AY174,1)-AD175+$D$2))</f>
        <v>1</v>
      </c>
      <c r="AZ175">
        <f>IF(OR($J175=1,COUNTIFS($A$5:$A174,"&gt;="&amp;$A175-1,$A$5:$A174,"&lt;="&amp;$A175,$B$5:$B174,$B175)&gt;0,MIN(1-'Exercise list'!T$2,IF($A175=$A174,AZ174,1))-AE175&lt;0),-1,MIN(1,IF($A175=$A174,AZ174,1)-AE175+$D$2))</f>
        <v>1</v>
      </c>
      <c r="BA175">
        <f>IF(OR($J175=1,COUNTIFS($A$5:$A174,"&gt;="&amp;$A175-1,$A$5:$A174,"&lt;="&amp;$A175,$B$5:$B174,$B175)&gt;0,MIN(1-'Exercise list'!U$2,IF($A175=$A174,BA174,1))-AF175&lt;0),-1,MIN(1,IF($A175=$A174,BA174,1)-AF175+$D$2))</f>
        <v>1</v>
      </c>
      <c r="BB175">
        <f>IF(OR($J175=1,COUNTIFS($A$5:$A174,"&gt;="&amp;$A175-1,$A$5:$A174,"&lt;="&amp;$A175,$B$5:$B174,$B175)&gt;0,MIN(1-'Exercise list'!V$2,IF($A175=$A174,BB174,1))-AG175&lt;0),-1,MIN(1,IF($A175=$A174,BB174,1)-AG175+$D$2))</f>
        <v>1</v>
      </c>
      <c r="BC175">
        <f>IF(OR($J175=1,COUNTIFS($A$5:$A174,"&gt;="&amp;$A175-1,$A$5:$A174,"&lt;="&amp;$A175,$B$5:$B174,$B175)&gt;0,MIN(1-'Exercise list'!W$2,IF($A175=$A174,BC174,1))-AH175&lt;0),-1,MIN(1,IF($A175=$A174,BC174,1)-AH175+$D$2))</f>
        <v>1</v>
      </c>
      <c r="BD175">
        <f>IF(OR($J175=1,COUNTIFS($A$5:$A174,"&gt;="&amp;$A175-1,$A$5:$A174,"&lt;="&amp;$A175,$B$5:$B174,$B175)&gt;0,MIN(1-'Exercise list'!X$2,IF($A175=$A174,BD174,1))-AI175&lt;0),-1,MIN(1,IF($A175=$A174,BD174,1)-AI175+$D$2))</f>
        <v>1</v>
      </c>
      <c r="BF175" s="16">
        <f t="shared" si="145"/>
        <v>0.19596031081758858</v>
      </c>
      <c r="BG175" s="16">
        <f t="shared" si="146"/>
        <v>0.21844636935459236</v>
      </c>
      <c r="BH175" s="16">
        <f t="shared" si="147"/>
        <v>0.14609696635987124</v>
      </c>
      <c r="BI175" s="16">
        <f t="shared" si="148"/>
        <v>0.13198015366034541</v>
      </c>
      <c r="BJ175" s="16">
        <f t="shared" si="149"/>
        <v>8.3367914198418713E-2</v>
      </c>
      <c r="BK175" s="16">
        <f t="shared" si="150"/>
        <v>0.10640640223148412</v>
      </c>
      <c r="BL175" s="16">
        <f t="shared" si="151"/>
        <v>0.21963504743569431</v>
      </c>
      <c r="BM175" s="16">
        <f t="shared" si="152"/>
        <v>3.8988008374820568E-3</v>
      </c>
      <c r="BN175" s="16">
        <f t="shared" si="153"/>
        <v>0.14537706087090876</v>
      </c>
      <c r="BO175" s="16">
        <f t="shared" si="154"/>
        <v>0.29209790661993401</v>
      </c>
      <c r="BP175" s="16">
        <f t="shared" si="155"/>
        <v>0.31584545163401867</v>
      </c>
      <c r="BQ175" s="16">
        <f t="shared" si="156"/>
        <v>0.1000007994126096</v>
      </c>
      <c r="BR175" s="16">
        <f t="shared" si="157"/>
        <v>0.13164487759885393</v>
      </c>
      <c r="BS175" s="16">
        <f t="shared" si="158"/>
        <v>2.9803550189863123E-2</v>
      </c>
      <c r="BT175" s="16">
        <f t="shared" si="159"/>
        <v>0.13492040904978705</v>
      </c>
      <c r="BU175" s="16">
        <f t="shared" si="160"/>
        <v>0.11703687414398131</v>
      </c>
      <c r="BV175" s="16">
        <f t="shared" si="161"/>
        <v>0.14633353213781661</v>
      </c>
      <c r="BW175" s="16">
        <f t="shared" si="162"/>
        <v>7.5588015111767173E-2</v>
      </c>
      <c r="BX175" s="16">
        <f t="shared" si="163"/>
        <v>8.0345659937185704E-2</v>
      </c>
      <c r="BY175" s="16">
        <f t="shared" si="164"/>
        <v>5.9014643151272549E-2</v>
      </c>
      <c r="CA175" s="16" t="str">
        <f t="shared" si="141"/>
        <v/>
      </c>
      <c r="CB175" s="16" t="str">
        <f t="shared" si="122"/>
        <v/>
      </c>
      <c r="CC175" s="16" t="str">
        <f t="shared" si="123"/>
        <v/>
      </c>
      <c r="CD175" s="16" t="str">
        <f t="shared" si="124"/>
        <v/>
      </c>
      <c r="CE175" s="16" t="str">
        <f t="shared" si="125"/>
        <v/>
      </c>
      <c r="CF175" s="16" t="str">
        <f t="shared" si="126"/>
        <v/>
      </c>
      <c r="CG175" s="16" t="str">
        <f t="shared" si="127"/>
        <v/>
      </c>
      <c r="CH175" s="16" t="str">
        <f t="shared" si="128"/>
        <v/>
      </c>
      <c r="CI175" s="16" t="str">
        <f t="shared" si="129"/>
        <v/>
      </c>
      <c r="CJ175" s="16" t="str">
        <f t="shared" si="130"/>
        <v/>
      </c>
      <c r="CK175" s="16" t="str">
        <f t="shared" si="131"/>
        <v/>
      </c>
      <c r="CL175" s="16" t="str">
        <f t="shared" si="132"/>
        <v/>
      </c>
      <c r="CM175" s="16" t="str">
        <f t="shared" si="133"/>
        <v/>
      </c>
      <c r="CN175" s="16" t="str">
        <f t="shared" si="134"/>
        <v/>
      </c>
      <c r="CO175" s="16" t="str">
        <f t="shared" si="135"/>
        <v/>
      </c>
      <c r="CP175" s="16" t="str">
        <f t="shared" si="136"/>
        <v/>
      </c>
      <c r="CQ175" s="16" t="str">
        <f t="shared" si="137"/>
        <v/>
      </c>
      <c r="CR175" s="16" t="str">
        <f t="shared" si="138"/>
        <v/>
      </c>
      <c r="CS175" s="16" t="str">
        <f t="shared" si="139"/>
        <v/>
      </c>
      <c r="CT175" s="16" t="str">
        <f t="shared" si="140"/>
        <v/>
      </c>
    </row>
    <row r="176" spans="1:99" x14ac:dyDescent="0.25">
      <c r="A176" s="13"/>
      <c r="B176" s="14"/>
      <c r="C176" s="15" t="str" cm="1">
        <f t="array" ref="C176">IF(B176="","",INDEX('Exercise list'!$C$5:$C$102,B176))</f>
        <v/>
      </c>
      <c r="D176" s="12" t="str">
        <f t="shared" si="142"/>
        <v/>
      </c>
      <c r="E176" s="107" t="str">
        <f t="shared" si="165"/>
        <v/>
      </c>
      <c r="F176" s="63" t="str" cm="1">
        <f t="array" ref="F176">IF(B176="","",0.1+IFERROR(INDEX($F$6:$F175,SUMPRODUCT(MAX(ROW($C$6:$C175)*($C176=$C$6:$C175))-ROW($A$5)))*0.9^($A176-INDEX($A$6:A175,SUMPRODUCT(MAX(ROW($C$6:$C175)*($C176=$C$6:$C175))-ROW($A$5)))),0))</f>
        <v/>
      </c>
      <c r="G176" s="64" t="e">
        <f>INDEX('Exercise list'!$Y$5:$Y$102,MATCH(C176,'Exercise list'!$C$5:$C$102,0))</f>
        <v>#N/A</v>
      </c>
      <c r="H176" s="115">
        <f t="shared" si="143"/>
        <v>0</v>
      </c>
      <c r="I176" s="6">
        <f t="shared" si="144"/>
        <v>5</v>
      </c>
      <c r="J176" s="6" t="str" cm="1">
        <f t="array" ref="J176">IF(B176="","",INDEX('Exercise list'!$D$5:$D$102,B176))</f>
        <v/>
      </c>
      <c r="K176" s="12">
        <v>56</v>
      </c>
      <c r="L176" s="74" t="str" cm="1">
        <f t="array" ref="L176">IF(K176="","",INDEX('Exercise list'!$C$5:$C$102,K176))</f>
        <v>Standing cable reverse flyes</v>
      </c>
      <c r="M176" s="6">
        <v>38</v>
      </c>
      <c r="N176" s="75" t="str" cm="1">
        <f t="array" ref="N176">IF(M176="","",INDEX('Exercise list'!$C$5:$C$102,M176))</f>
        <v>Cable hip abductions</v>
      </c>
      <c r="P176">
        <f>IFERROR(INDEX('Exercise list'!$E$5:$X$102,MATCH($C176,'Exercise list'!$C$5:$C$102,0),MATCH(P$5,'Exercise list'!$E$4:$X$4,0)),0)</f>
        <v>0</v>
      </c>
      <c r="Q176">
        <f>IFERROR(INDEX('Exercise list'!$E$5:$X$102,MATCH($C176,'Exercise list'!$C$5:$C$102,0),MATCH(Q$5,'Exercise list'!$E$4:$X$4,0)),0)</f>
        <v>0</v>
      </c>
      <c r="R176">
        <f>IFERROR(INDEX('Exercise list'!$E$5:$X$102,MATCH($C176,'Exercise list'!$C$5:$C$102,0),MATCH(R$5,'Exercise list'!$E$4:$X$4,0)),0)</f>
        <v>0</v>
      </c>
      <c r="S176">
        <f>IFERROR(INDEX('Exercise list'!$E$5:$X$102,MATCH($C176,'Exercise list'!$C$5:$C$102,0),MATCH(S$5,'Exercise list'!$E$4:$X$4,0)),0)</f>
        <v>0</v>
      </c>
      <c r="T176">
        <f>IFERROR(INDEX('Exercise list'!$E$5:$X$102,MATCH($C176,'Exercise list'!$C$5:$C$102,0),MATCH(T$5,'Exercise list'!$E$4:$X$4,0)),0)</f>
        <v>0</v>
      </c>
      <c r="U176">
        <f>IFERROR(INDEX('Exercise list'!$E$5:$X$102,MATCH($C176,'Exercise list'!$C$5:$C$102,0),MATCH(U$5,'Exercise list'!$E$4:$X$4,0)),0)</f>
        <v>0</v>
      </c>
      <c r="V176">
        <f>IFERROR(INDEX('Exercise list'!$E$5:$X$102,MATCH($C176,'Exercise list'!$C$5:$C$102,0),MATCH(V$5,'Exercise list'!$E$4:$X$4,0)),0)</f>
        <v>0</v>
      </c>
      <c r="W176">
        <f>IFERROR(INDEX('Exercise list'!$E$5:$X$102,MATCH($C176,'Exercise list'!$C$5:$C$102,0),MATCH(W$5,'Exercise list'!$E$4:$X$4,0)),0)</f>
        <v>0</v>
      </c>
      <c r="X176">
        <f>IFERROR(INDEX('Exercise list'!$E$5:$X$102,MATCH($C176,'Exercise list'!$C$5:$C$102,0),MATCH(X$5,'Exercise list'!$E$4:$X$4,0)),0)</f>
        <v>0</v>
      </c>
      <c r="Y176">
        <f>IFERROR(INDEX('Exercise list'!$E$5:$X$102,MATCH($C176,'Exercise list'!$C$5:$C$102,0),MATCH(Y$5,'Exercise list'!$E$4:$X$4,0)),0)</f>
        <v>0</v>
      </c>
      <c r="Z176">
        <f>IFERROR(INDEX('Exercise list'!$E$5:$X$102,MATCH($C176,'Exercise list'!$C$5:$C$102,0),MATCH(Z$5,'Exercise list'!$E$4:$X$4,0)),0)</f>
        <v>0</v>
      </c>
      <c r="AA176">
        <f>IFERROR(INDEX('Exercise list'!$E$5:$X$102,MATCH($C176,'Exercise list'!$C$5:$C$102,0),MATCH(AA$5,'Exercise list'!$E$4:$X$4,0)),0)</f>
        <v>0</v>
      </c>
      <c r="AB176">
        <f>IFERROR(INDEX('Exercise list'!$E$5:$X$102,MATCH($C176,'Exercise list'!$C$5:$C$102,0),MATCH(AB$5,'Exercise list'!$E$4:$X$4,0)),0)</f>
        <v>0</v>
      </c>
      <c r="AC176">
        <f>IFERROR(INDEX('Exercise list'!$E$5:$X$102,MATCH($C176,'Exercise list'!$C$5:$C$102,0),MATCH(AC$5,'Exercise list'!$E$4:$X$4,0)),0)</f>
        <v>0</v>
      </c>
      <c r="AD176">
        <f>IFERROR(INDEX('Exercise list'!$E$5:$X$102,MATCH($C176,'Exercise list'!$C$5:$C$102,0),MATCH(AD$5,'Exercise list'!$E$4:$X$4,0)),0)</f>
        <v>0</v>
      </c>
      <c r="AE176">
        <f>IFERROR(INDEX('Exercise list'!$E$5:$X$102,MATCH($C176,'Exercise list'!$C$5:$C$102,0),MATCH(AE$5,'Exercise list'!$E$4:$X$4,0)),0)</f>
        <v>0</v>
      </c>
      <c r="AF176">
        <f>IFERROR(INDEX('Exercise list'!$E$5:$X$102,MATCH($C176,'Exercise list'!$C$5:$C$102,0),MATCH(AF$5,'Exercise list'!$E$4:$X$4,0)),0)</f>
        <v>0</v>
      </c>
      <c r="AG176">
        <f>IFERROR(INDEX('Exercise list'!$E$5:$X$102,MATCH($C176,'Exercise list'!$C$5:$C$102,0),MATCH(AG$5,'Exercise list'!$E$4:$X$4,0)),0)</f>
        <v>0</v>
      </c>
      <c r="AH176">
        <f>IFERROR(INDEX('Exercise list'!$E$5:$X$102,MATCH($C176,'Exercise list'!$C$5:$C$102,0),MATCH(AH$5,'Exercise list'!$E$4:$X$4,0)),0)</f>
        <v>0</v>
      </c>
      <c r="AI176">
        <f>IFERROR(INDEX('Exercise list'!$E$5:$X$102,MATCH($C176,'Exercise list'!$C$5:$C$102,0),MATCH(AI$5,'Exercise list'!$E$4:$X$4,0)),0)</f>
        <v>0</v>
      </c>
      <c r="AK176">
        <f>IF(OR($J176=1,COUNTIFS($A$5:$A175,"&gt;="&amp;$A176-1,$A$5:$A175,"&lt;="&amp;$A176,$B$5:$B175,$B176)&gt;0,MIN(1-'Exercise list'!E$2,IF($A176=$A175,AK175,1))-P176&lt;0),-1,MIN(1,IF($A176=$A175,AK175,1)-P176+$D$2))</f>
        <v>1</v>
      </c>
      <c r="AL176">
        <f>IF(OR($J176=1,COUNTIFS($A$5:$A175,"&gt;="&amp;$A176-1,$A$5:$A175,"&lt;="&amp;$A176,$B$5:$B175,$B176)&gt;0,MIN(1-'Exercise list'!F$2,IF($A176=$A175,AL175,1))-Q176&lt;0),-1,MIN(1,IF($A176=$A175,AL175,1)-Q176+$D$2))</f>
        <v>1</v>
      </c>
      <c r="AM176">
        <f>IF(OR($J176=1,COUNTIFS($A$5:$A175,"&gt;="&amp;$A176-1,$A$5:$A175,"&lt;="&amp;$A176,$B$5:$B175,$B176)&gt;0,MIN(1-'Exercise list'!G$2,IF($A176=$A175,AM175,1))-R176&lt;0),-1,MIN(1,IF($A176=$A175,AM175,1)-R176+$D$2))</f>
        <v>1</v>
      </c>
      <c r="AN176">
        <f>IF(OR($J176=1,COUNTIFS($A$5:$A175,"&gt;="&amp;$A176-1,$A$5:$A175,"&lt;="&amp;$A176,$B$5:$B175,$B176)&gt;0,MIN(1-'Exercise list'!H$2,IF($A176=$A175,AN175,1))-S176&lt;0),-1,MIN(1,IF($A176=$A175,AN175,1)-S176+$D$2))</f>
        <v>1</v>
      </c>
      <c r="AO176">
        <f>IF(OR($J176=1,COUNTIFS($A$5:$A175,"&gt;="&amp;$A176-1,$A$5:$A175,"&lt;="&amp;$A176,$B$5:$B175,$B176)&gt;0,MIN(1-'Exercise list'!I$2,IF($A176=$A175,AO175,1))-T176&lt;0),-1,MIN(1,IF($A176=$A175,AO175,1)-T176+$D$2))</f>
        <v>1</v>
      </c>
      <c r="AP176">
        <f>IF(OR($J176=1,COUNTIFS($A$5:$A175,"&gt;="&amp;$A176-1,$A$5:$A175,"&lt;="&amp;$A176,$B$5:$B175,$B176)&gt;0,MIN(1-'Exercise list'!J$2,IF($A176=$A175,AP175,1))-U176&lt;0),-1,MIN(1,IF($A176=$A175,AP175,1)-U176+$D$2))</f>
        <v>1</v>
      </c>
      <c r="AQ176">
        <f>IF(OR($J176=1,COUNTIFS($A$5:$A175,"&gt;="&amp;$A176-1,$A$5:$A175,"&lt;="&amp;$A176,$B$5:$B175,$B176)&gt;0,MIN(1-'Exercise list'!K$2,IF($A176=$A175,AQ175,1))-V176&lt;0),-1,MIN(1,IF($A176=$A175,AQ175,1)-V176+$D$2))</f>
        <v>1</v>
      </c>
      <c r="AR176">
        <f>IF(OR($J176=1,COUNTIFS($A$5:$A175,"&gt;="&amp;$A176-1,$A$5:$A175,"&lt;="&amp;$A176,$B$5:$B175,$B176)&gt;0,MIN(1-'Exercise list'!L$2,IF($A176=$A175,AR175,1))-W176&lt;0),-1,MIN(1,IF($A176=$A175,AR175,1)-W176+$D$2))</f>
        <v>1</v>
      </c>
      <c r="AS176">
        <f>IF(OR($J176=1,COUNTIFS($A$5:$A175,"&gt;="&amp;$A176-1,$A$5:$A175,"&lt;="&amp;$A176,$B$5:$B175,$B176)&gt;0,MIN(1-'Exercise list'!M$2,IF($A176=$A175,AS175,1))-X176&lt;0),-1,MIN(1,IF($A176=$A175,AS175,1)-X176+$D$2))</f>
        <v>1</v>
      </c>
      <c r="AT176">
        <f>IF(OR($J176=1,COUNTIFS($A$5:$A175,"&gt;="&amp;$A176-1,$A$5:$A175,"&lt;="&amp;$A176,$B$5:$B175,$B176)&gt;0,MIN(1-'Exercise list'!N$2,IF($A176=$A175,AT175,1))-Y176&lt;0),-1,MIN(1,IF($A176=$A175,AT175,1)-Y176+$D$2))</f>
        <v>1</v>
      </c>
      <c r="AU176">
        <f>IF(OR($J176=1,COUNTIFS($A$5:$A175,"&gt;="&amp;$A176-1,$A$5:$A175,"&lt;="&amp;$A176,$B$5:$B175,$B176)&gt;0,MIN(1-'Exercise list'!O$2,IF($A176=$A175,AU175,1))-Z176&lt;0),-1,MIN(1,IF($A176=$A175,AU175,1)-Z176+$D$2))</f>
        <v>1</v>
      </c>
      <c r="AV176">
        <f>IF(OR($J176=1,COUNTIFS($A$5:$A175,"&gt;="&amp;$A176-1,$A$5:$A175,"&lt;="&amp;$A176,$B$5:$B175,$B176)&gt;0,MIN(1-'Exercise list'!P$2,IF($A176=$A175,AV175,1))-AA176&lt;0),-1,MIN(1,IF($A176=$A175,AV175,1)-AA176+$D$2))</f>
        <v>1</v>
      </c>
      <c r="AW176">
        <f>IF(OR($J176=1,COUNTIFS($A$5:$A175,"&gt;="&amp;$A176-1,$A$5:$A175,"&lt;="&amp;$A176,$B$5:$B175,$B176)&gt;0,MIN(1-'Exercise list'!Q$2,IF($A176=$A175,AW175,1))-AB176&lt;0),-1,MIN(1,IF($A176=$A175,AW175,1)-AB176+$D$2))</f>
        <v>1</v>
      </c>
      <c r="AX176">
        <f>IF(OR($J176=1,COUNTIFS($A$5:$A175,"&gt;="&amp;$A176-1,$A$5:$A175,"&lt;="&amp;$A176,$B$5:$B175,$B176)&gt;0,MIN(1-'Exercise list'!R$2,IF($A176=$A175,AX175,1))-AC176&lt;0),-1,MIN(1,IF($A176=$A175,AX175,1)-AC176+$D$2))</f>
        <v>1</v>
      </c>
      <c r="AY176">
        <f>IF(OR($J176=1,COUNTIFS($A$5:$A175,"&gt;="&amp;$A176-1,$A$5:$A175,"&lt;="&amp;$A176,$B$5:$B175,$B176)&gt;0,MIN(1-'Exercise list'!S$2,IF($A176=$A175,AY175,1))-AD176&lt;0),-1,MIN(1,IF($A176=$A175,AY175,1)-AD176+$D$2))</f>
        <v>1</v>
      </c>
      <c r="AZ176">
        <f>IF(OR($J176=1,COUNTIFS($A$5:$A175,"&gt;="&amp;$A176-1,$A$5:$A175,"&lt;="&amp;$A176,$B$5:$B175,$B176)&gt;0,MIN(1-'Exercise list'!T$2,IF($A176=$A175,AZ175,1))-AE176&lt;0),-1,MIN(1,IF($A176=$A175,AZ175,1)-AE176+$D$2))</f>
        <v>1</v>
      </c>
      <c r="BA176">
        <f>IF(OR($J176=1,COUNTIFS($A$5:$A175,"&gt;="&amp;$A176-1,$A$5:$A175,"&lt;="&amp;$A176,$B$5:$B175,$B176)&gt;0,MIN(1-'Exercise list'!U$2,IF($A176=$A175,BA175,1))-AF176&lt;0),-1,MIN(1,IF($A176=$A175,BA175,1)-AF176+$D$2))</f>
        <v>1</v>
      </c>
      <c r="BB176">
        <f>IF(OR($J176=1,COUNTIFS($A$5:$A175,"&gt;="&amp;$A176-1,$A$5:$A175,"&lt;="&amp;$A176,$B$5:$B175,$B176)&gt;0,MIN(1-'Exercise list'!V$2,IF($A176=$A175,BB175,1))-AG176&lt;0),-1,MIN(1,IF($A176=$A175,BB175,1)-AG176+$D$2))</f>
        <v>1</v>
      </c>
      <c r="BC176">
        <f>IF(OR($J176=1,COUNTIFS($A$5:$A175,"&gt;="&amp;$A176-1,$A$5:$A175,"&lt;="&amp;$A176,$B$5:$B175,$B176)&gt;0,MIN(1-'Exercise list'!W$2,IF($A176=$A175,BC175,1))-AH176&lt;0),-1,MIN(1,IF($A176=$A175,BC175,1)-AH176+$D$2))</f>
        <v>1</v>
      </c>
      <c r="BD176">
        <f>IF(OR($J176=1,COUNTIFS($A$5:$A175,"&gt;="&amp;$A176-1,$A$5:$A175,"&lt;="&amp;$A176,$B$5:$B175,$B176)&gt;0,MIN(1-'Exercise list'!X$2,IF($A176=$A175,BD175,1))-AI176&lt;0),-1,MIN(1,IF($A176=$A175,BD175,1)-AI176+$D$2))</f>
        <v>1</v>
      </c>
      <c r="BF176" s="16">
        <f t="shared" si="145"/>
        <v>0.19596031081758858</v>
      </c>
      <c r="BG176" s="16">
        <f t="shared" si="146"/>
        <v>0.21844636935459236</v>
      </c>
      <c r="BH176" s="16">
        <f t="shared" si="147"/>
        <v>0.14609696635987124</v>
      </c>
      <c r="BI176" s="16">
        <f t="shared" si="148"/>
        <v>0.13198015366034541</v>
      </c>
      <c r="BJ176" s="16">
        <f t="shared" si="149"/>
        <v>8.3367914198418713E-2</v>
      </c>
      <c r="BK176" s="16">
        <f t="shared" si="150"/>
        <v>0.10640640223148412</v>
      </c>
      <c r="BL176" s="16">
        <f t="shared" si="151"/>
        <v>0.21963504743569431</v>
      </c>
      <c r="BM176" s="16">
        <f t="shared" si="152"/>
        <v>3.8988008374820568E-3</v>
      </c>
      <c r="BN176" s="16">
        <f t="shared" si="153"/>
        <v>0.14537706087090876</v>
      </c>
      <c r="BO176" s="16">
        <f t="shared" si="154"/>
        <v>0.29209790661993401</v>
      </c>
      <c r="BP176" s="16">
        <f t="shared" si="155"/>
        <v>0.31584545163401867</v>
      </c>
      <c r="BQ176" s="16">
        <f t="shared" si="156"/>
        <v>0.1000007994126096</v>
      </c>
      <c r="BR176" s="16">
        <f t="shared" si="157"/>
        <v>0.13164487759885393</v>
      </c>
      <c r="BS176" s="16">
        <f t="shared" si="158"/>
        <v>2.9803550189863123E-2</v>
      </c>
      <c r="BT176" s="16">
        <f t="shared" si="159"/>
        <v>0.13492040904978705</v>
      </c>
      <c r="BU176" s="16">
        <f t="shared" si="160"/>
        <v>0.11703687414398131</v>
      </c>
      <c r="BV176" s="16">
        <f t="shared" si="161"/>
        <v>0.14633353213781661</v>
      </c>
      <c r="BW176" s="16">
        <f t="shared" si="162"/>
        <v>7.5588015111767173E-2</v>
      </c>
      <c r="BX176" s="16">
        <f t="shared" si="163"/>
        <v>8.0345659937185704E-2</v>
      </c>
      <c r="BY176" s="16">
        <f t="shared" si="164"/>
        <v>5.9014643151272549E-2</v>
      </c>
      <c r="CA176" s="16" t="str">
        <f t="shared" si="141"/>
        <v/>
      </c>
      <c r="CB176" s="16" t="str">
        <f t="shared" si="122"/>
        <v/>
      </c>
      <c r="CC176" s="16" t="str">
        <f t="shared" si="123"/>
        <v/>
      </c>
      <c r="CD176" s="16" t="str">
        <f t="shared" si="124"/>
        <v/>
      </c>
      <c r="CE176" s="16" t="str">
        <f t="shared" si="125"/>
        <v/>
      </c>
      <c r="CF176" s="16" t="str">
        <f t="shared" si="126"/>
        <v/>
      </c>
      <c r="CG176" s="16" t="str">
        <f t="shared" si="127"/>
        <v/>
      </c>
      <c r="CH176" s="16" t="str">
        <f t="shared" si="128"/>
        <v/>
      </c>
      <c r="CI176" s="16" t="str">
        <f t="shared" si="129"/>
        <v/>
      </c>
      <c r="CJ176" s="16" t="str">
        <f t="shared" si="130"/>
        <v/>
      </c>
      <c r="CK176" s="16" t="str">
        <f t="shared" si="131"/>
        <v/>
      </c>
      <c r="CL176" s="16" t="str">
        <f t="shared" si="132"/>
        <v/>
      </c>
      <c r="CM176" s="16" t="str">
        <f t="shared" si="133"/>
        <v/>
      </c>
      <c r="CN176" s="16" t="str">
        <f t="shared" si="134"/>
        <v/>
      </c>
      <c r="CO176" s="16" t="str">
        <f t="shared" si="135"/>
        <v/>
      </c>
      <c r="CP176" s="16" t="str">
        <f t="shared" si="136"/>
        <v/>
      </c>
      <c r="CQ176" s="16" t="str">
        <f t="shared" si="137"/>
        <v/>
      </c>
      <c r="CR176" s="16" t="str">
        <f t="shared" si="138"/>
        <v/>
      </c>
      <c r="CS176" s="16" t="str">
        <f t="shared" si="139"/>
        <v/>
      </c>
      <c r="CT176" s="16" t="str">
        <f t="shared" si="140"/>
        <v/>
      </c>
    </row>
    <row r="177" spans="1:99" x14ac:dyDescent="0.25">
      <c r="A177" s="13"/>
      <c r="B177" s="14"/>
      <c r="C177" s="15" t="str" cm="1">
        <f t="array" ref="C177">IF(B177="","",INDEX('Exercise list'!$C$5:$C$102,B177))</f>
        <v/>
      </c>
      <c r="D177" s="12" t="str">
        <f t="shared" si="142"/>
        <v/>
      </c>
      <c r="E177" s="107" t="str">
        <f t="shared" si="165"/>
        <v/>
      </c>
      <c r="F177" s="63" t="str" cm="1">
        <f t="array" ref="F177">IF(B177="","",0.1+IFERROR(INDEX($F$6:$F176,SUMPRODUCT(MAX(ROW($C$6:$C176)*($C177=$C$6:$C176))-ROW($A$5)))*0.9^($A177-INDEX($A$6:A176,SUMPRODUCT(MAX(ROW($C$6:$C176)*($C177=$C$6:$C176))-ROW($A$5)))),0))</f>
        <v/>
      </c>
      <c r="G177" s="64" t="e">
        <f>INDEX('Exercise list'!$Y$5:$Y$102,MATCH(C177,'Exercise list'!$C$5:$C$102,0))</f>
        <v>#N/A</v>
      </c>
      <c r="H177" s="115">
        <f t="shared" si="143"/>
        <v>0</v>
      </c>
      <c r="I177" s="6">
        <f t="shared" si="144"/>
        <v>5</v>
      </c>
      <c r="J177" s="6" t="str" cm="1">
        <f t="array" ref="J177">IF(B177="","",INDEX('Exercise list'!$D$5:$D$102,B177))</f>
        <v/>
      </c>
      <c r="K177" s="12">
        <v>38</v>
      </c>
      <c r="L177" s="74" t="str" cm="1">
        <f t="array" ref="L177">IF(K177="","",INDEX('Exercise list'!$C$5:$C$102,K177))</f>
        <v>Cable hip abductions</v>
      </c>
      <c r="M177" s="6">
        <v>39</v>
      </c>
      <c r="N177" s="75" t="str" cm="1">
        <f t="array" ref="N177">IF(M177="","",INDEX('Exercise list'!$C$5:$C$102,M177))</f>
        <v>Cable hip adductions</v>
      </c>
      <c r="P177">
        <f>IFERROR(INDEX('Exercise list'!$E$5:$X$102,MATCH($C177,'Exercise list'!$C$5:$C$102,0),MATCH(P$5,'Exercise list'!$E$4:$X$4,0)),0)</f>
        <v>0</v>
      </c>
      <c r="Q177">
        <f>IFERROR(INDEX('Exercise list'!$E$5:$X$102,MATCH($C177,'Exercise list'!$C$5:$C$102,0),MATCH(Q$5,'Exercise list'!$E$4:$X$4,0)),0)</f>
        <v>0</v>
      </c>
      <c r="R177">
        <f>IFERROR(INDEX('Exercise list'!$E$5:$X$102,MATCH($C177,'Exercise list'!$C$5:$C$102,0),MATCH(R$5,'Exercise list'!$E$4:$X$4,0)),0)</f>
        <v>0</v>
      </c>
      <c r="S177">
        <f>IFERROR(INDEX('Exercise list'!$E$5:$X$102,MATCH($C177,'Exercise list'!$C$5:$C$102,0),MATCH(S$5,'Exercise list'!$E$4:$X$4,0)),0)</f>
        <v>0</v>
      </c>
      <c r="T177">
        <f>IFERROR(INDEX('Exercise list'!$E$5:$X$102,MATCH($C177,'Exercise list'!$C$5:$C$102,0),MATCH(T$5,'Exercise list'!$E$4:$X$4,0)),0)</f>
        <v>0</v>
      </c>
      <c r="U177">
        <f>IFERROR(INDEX('Exercise list'!$E$5:$X$102,MATCH($C177,'Exercise list'!$C$5:$C$102,0),MATCH(U$5,'Exercise list'!$E$4:$X$4,0)),0)</f>
        <v>0</v>
      </c>
      <c r="V177">
        <f>IFERROR(INDEX('Exercise list'!$E$5:$X$102,MATCH($C177,'Exercise list'!$C$5:$C$102,0),MATCH(V$5,'Exercise list'!$E$4:$X$4,0)),0)</f>
        <v>0</v>
      </c>
      <c r="W177">
        <f>IFERROR(INDEX('Exercise list'!$E$5:$X$102,MATCH($C177,'Exercise list'!$C$5:$C$102,0),MATCH(W$5,'Exercise list'!$E$4:$X$4,0)),0)</f>
        <v>0</v>
      </c>
      <c r="X177">
        <f>IFERROR(INDEX('Exercise list'!$E$5:$X$102,MATCH($C177,'Exercise list'!$C$5:$C$102,0),MATCH(X$5,'Exercise list'!$E$4:$X$4,0)),0)</f>
        <v>0</v>
      </c>
      <c r="Y177">
        <f>IFERROR(INDEX('Exercise list'!$E$5:$X$102,MATCH($C177,'Exercise list'!$C$5:$C$102,0),MATCH(Y$5,'Exercise list'!$E$4:$X$4,0)),0)</f>
        <v>0</v>
      </c>
      <c r="Z177">
        <f>IFERROR(INDEX('Exercise list'!$E$5:$X$102,MATCH($C177,'Exercise list'!$C$5:$C$102,0),MATCH(Z$5,'Exercise list'!$E$4:$X$4,0)),0)</f>
        <v>0</v>
      </c>
      <c r="AA177">
        <f>IFERROR(INDEX('Exercise list'!$E$5:$X$102,MATCH($C177,'Exercise list'!$C$5:$C$102,0),MATCH(AA$5,'Exercise list'!$E$4:$X$4,0)),0)</f>
        <v>0</v>
      </c>
      <c r="AB177">
        <f>IFERROR(INDEX('Exercise list'!$E$5:$X$102,MATCH($C177,'Exercise list'!$C$5:$C$102,0),MATCH(AB$5,'Exercise list'!$E$4:$X$4,0)),0)</f>
        <v>0</v>
      </c>
      <c r="AC177">
        <f>IFERROR(INDEX('Exercise list'!$E$5:$X$102,MATCH($C177,'Exercise list'!$C$5:$C$102,0),MATCH(AC$5,'Exercise list'!$E$4:$X$4,0)),0)</f>
        <v>0</v>
      </c>
      <c r="AD177">
        <f>IFERROR(INDEX('Exercise list'!$E$5:$X$102,MATCH($C177,'Exercise list'!$C$5:$C$102,0),MATCH(AD$5,'Exercise list'!$E$4:$X$4,0)),0)</f>
        <v>0</v>
      </c>
      <c r="AE177">
        <f>IFERROR(INDEX('Exercise list'!$E$5:$X$102,MATCH($C177,'Exercise list'!$C$5:$C$102,0),MATCH(AE$5,'Exercise list'!$E$4:$X$4,0)),0)</f>
        <v>0</v>
      </c>
      <c r="AF177">
        <f>IFERROR(INDEX('Exercise list'!$E$5:$X$102,MATCH($C177,'Exercise list'!$C$5:$C$102,0),MATCH(AF$5,'Exercise list'!$E$4:$X$4,0)),0)</f>
        <v>0</v>
      </c>
      <c r="AG177">
        <f>IFERROR(INDEX('Exercise list'!$E$5:$X$102,MATCH($C177,'Exercise list'!$C$5:$C$102,0),MATCH(AG$5,'Exercise list'!$E$4:$X$4,0)),0)</f>
        <v>0</v>
      </c>
      <c r="AH177">
        <f>IFERROR(INDEX('Exercise list'!$E$5:$X$102,MATCH($C177,'Exercise list'!$C$5:$C$102,0),MATCH(AH$5,'Exercise list'!$E$4:$X$4,0)),0)</f>
        <v>0</v>
      </c>
      <c r="AI177">
        <f>IFERROR(INDEX('Exercise list'!$E$5:$X$102,MATCH($C177,'Exercise list'!$C$5:$C$102,0),MATCH(AI$5,'Exercise list'!$E$4:$X$4,0)),0)</f>
        <v>0</v>
      </c>
      <c r="AK177">
        <f>IF(OR($J177=1,COUNTIFS($A$5:$A176,"&gt;="&amp;$A177-1,$A$5:$A176,"&lt;="&amp;$A177,$B$5:$B176,$B177)&gt;0,MIN(1-'Exercise list'!E$2,IF($A177=$A176,AK176,1))-P177&lt;0),-1,MIN(1,IF($A177=$A176,AK176,1)-P177+$D$2))</f>
        <v>1</v>
      </c>
      <c r="AL177">
        <f>IF(OR($J177=1,COUNTIFS($A$5:$A176,"&gt;="&amp;$A177-1,$A$5:$A176,"&lt;="&amp;$A177,$B$5:$B176,$B177)&gt;0,MIN(1-'Exercise list'!F$2,IF($A177=$A176,AL176,1))-Q177&lt;0),-1,MIN(1,IF($A177=$A176,AL176,1)-Q177+$D$2))</f>
        <v>1</v>
      </c>
      <c r="AM177">
        <f>IF(OR($J177=1,COUNTIFS($A$5:$A176,"&gt;="&amp;$A177-1,$A$5:$A176,"&lt;="&amp;$A177,$B$5:$B176,$B177)&gt;0,MIN(1-'Exercise list'!G$2,IF($A177=$A176,AM176,1))-R177&lt;0),-1,MIN(1,IF($A177=$A176,AM176,1)-R177+$D$2))</f>
        <v>1</v>
      </c>
      <c r="AN177">
        <f>IF(OR($J177=1,COUNTIFS($A$5:$A176,"&gt;="&amp;$A177-1,$A$5:$A176,"&lt;="&amp;$A177,$B$5:$B176,$B177)&gt;0,MIN(1-'Exercise list'!H$2,IF($A177=$A176,AN176,1))-S177&lt;0),-1,MIN(1,IF($A177=$A176,AN176,1)-S177+$D$2))</f>
        <v>1</v>
      </c>
      <c r="AO177">
        <f>IF(OR($J177=1,COUNTIFS($A$5:$A176,"&gt;="&amp;$A177-1,$A$5:$A176,"&lt;="&amp;$A177,$B$5:$B176,$B177)&gt;0,MIN(1-'Exercise list'!I$2,IF($A177=$A176,AO176,1))-T177&lt;0),-1,MIN(1,IF($A177=$A176,AO176,1)-T177+$D$2))</f>
        <v>1</v>
      </c>
      <c r="AP177">
        <f>IF(OR($J177=1,COUNTIFS($A$5:$A176,"&gt;="&amp;$A177-1,$A$5:$A176,"&lt;="&amp;$A177,$B$5:$B176,$B177)&gt;0,MIN(1-'Exercise list'!J$2,IF($A177=$A176,AP176,1))-U177&lt;0),-1,MIN(1,IF($A177=$A176,AP176,1)-U177+$D$2))</f>
        <v>1</v>
      </c>
      <c r="AQ177">
        <f>IF(OR($J177=1,COUNTIFS($A$5:$A176,"&gt;="&amp;$A177-1,$A$5:$A176,"&lt;="&amp;$A177,$B$5:$B176,$B177)&gt;0,MIN(1-'Exercise list'!K$2,IF($A177=$A176,AQ176,1))-V177&lt;0),-1,MIN(1,IF($A177=$A176,AQ176,1)-V177+$D$2))</f>
        <v>1</v>
      </c>
      <c r="AR177">
        <f>IF(OR($J177=1,COUNTIFS($A$5:$A176,"&gt;="&amp;$A177-1,$A$5:$A176,"&lt;="&amp;$A177,$B$5:$B176,$B177)&gt;0,MIN(1-'Exercise list'!L$2,IF($A177=$A176,AR176,1))-W177&lt;0),-1,MIN(1,IF($A177=$A176,AR176,1)-W177+$D$2))</f>
        <v>1</v>
      </c>
      <c r="AS177">
        <f>IF(OR($J177=1,COUNTIFS($A$5:$A176,"&gt;="&amp;$A177-1,$A$5:$A176,"&lt;="&amp;$A177,$B$5:$B176,$B177)&gt;0,MIN(1-'Exercise list'!M$2,IF($A177=$A176,AS176,1))-X177&lt;0),-1,MIN(1,IF($A177=$A176,AS176,1)-X177+$D$2))</f>
        <v>1</v>
      </c>
      <c r="AT177">
        <f>IF(OR($J177=1,COUNTIFS($A$5:$A176,"&gt;="&amp;$A177-1,$A$5:$A176,"&lt;="&amp;$A177,$B$5:$B176,$B177)&gt;0,MIN(1-'Exercise list'!N$2,IF($A177=$A176,AT176,1))-Y177&lt;0),-1,MIN(1,IF($A177=$A176,AT176,1)-Y177+$D$2))</f>
        <v>1</v>
      </c>
      <c r="AU177">
        <f>IF(OR($J177=1,COUNTIFS($A$5:$A176,"&gt;="&amp;$A177-1,$A$5:$A176,"&lt;="&amp;$A177,$B$5:$B176,$B177)&gt;0,MIN(1-'Exercise list'!O$2,IF($A177=$A176,AU176,1))-Z177&lt;0),-1,MIN(1,IF($A177=$A176,AU176,1)-Z177+$D$2))</f>
        <v>1</v>
      </c>
      <c r="AV177">
        <f>IF(OR($J177=1,COUNTIFS($A$5:$A176,"&gt;="&amp;$A177-1,$A$5:$A176,"&lt;="&amp;$A177,$B$5:$B176,$B177)&gt;0,MIN(1-'Exercise list'!P$2,IF($A177=$A176,AV176,1))-AA177&lt;0),-1,MIN(1,IF($A177=$A176,AV176,1)-AA177+$D$2))</f>
        <v>1</v>
      </c>
      <c r="AW177">
        <f>IF(OR($J177=1,COUNTIFS($A$5:$A176,"&gt;="&amp;$A177-1,$A$5:$A176,"&lt;="&amp;$A177,$B$5:$B176,$B177)&gt;0,MIN(1-'Exercise list'!Q$2,IF($A177=$A176,AW176,1))-AB177&lt;0),-1,MIN(1,IF($A177=$A176,AW176,1)-AB177+$D$2))</f>
        <v>1</v>
      </c>
      <c r="AX177">
        <f>IF(OR($J177=1,COUNTIFS($A$5:$A176,"&gt;="&amp;$A177-1,$A$5:$A176,"&lt;="&amp;$A177,$B$5:$B176,$B177)&gt;0,MIN(1-'Exercise list'!R$2,IF($A177=$A176,AX176,1))-AC177&lt;0),-1,MIN(1,IF($A177=$A176,AX176,1)-AC177+$D$2))</f>
        <v>1</v>
      </c>
      <c r="AY177">
        <f>IF(OR($J177=1,COUNTIFS($A$5:$A176,"&gt;="&amp;$A177-1,$A$5:$A176,"&lt;="&amp;$A177,$B$5:$B176,$B177)&gt;0,MIN(1-'Exercise list'!S$2,IF($A177=$A176,AY176,1))-AD177&lt;0),-1,MIN(1,IF($A177=$A176,AY176,1)-AD177+$D$2))</f>
        <v>1</v>
      </c>
      <c r="AZ177">
        <f>IF(OR($J177=1,COUNTIFS($A$5:$A176,"&gt;="&amp;$A177-1,$A$5:$A176,"&lt;="&amp;$A177,$B$5:$B176,$B177)&gt;0,MIN(1-'Exercise list'!T$2,IF($A177=$A176,AZ176,1))-AE177&lt;0),-1,MIN(1,IF($A177=$A176,AZ176,1)-AE177+$D$2))</f>
        <v>1</v>
      </c>
      <c r="BA177">
        <f>IF(OR($J177=1,COUNTIFS($A$5:$A176,"&gt;="&amp;$A177-1,$A$5:$A176,"&lt;="&amp;$A177,$B$5:$B176,$B177)&gt;0,MIN(1-'Exercise list'!U$2,IF($A177=$A176,BA176,1))-AF177&lt;0),-1,MIN(1,IF($A177=$A176,BA176,1)-AF177+$D$2))</f>
        <v>1</v>
      </c>
      <c r="BB177">
        <f>IF(OR($J177=1,COUNTIFS($A$5:$A176,"&gt;="&amp;$A177-1,$A$5:$A176,"&lt;="&amp;$A177,$B$5:$B176,$B177)&gt;0,MIN(1-'Exercise list'!V$2,IF($A177=$A176,BB176,1))-AG177&lt;0),-1,MIN(1,IF($A177=$A176,BB176,1)-AG177+$D$2))</f>
        <v>1</v>
      </c>
      <c r="BC177">
        <f>IF(OR($J177=1,COUNTIFS($A$5:$A176,"&gt;="&amp;$A177-1,$A$5:$A176,"&lt;="&amp;$A177,$B$5:$B176,$B177)&gt;0,MIN(1-'Exercise list'!W$2,IF($A177=$A176,BC176,1))-AH177&lt;0),-1,MIN(1,IF($A177=$A176,BC176,1)-AH177+$D$2))</f>
        <v>1</v>
      </c>
      <c r="BD177">
        <f>IF(OR($J177=1,COUNTIFS($A$5:$A176,"&gt;="&amp;$A177-1,$A$5:$A176,"&lt;="&amp;$A177,$B$5:$B176,$B177)&gt;0,MIN(1-'Exercise list'!X$2,IF($A177=$A176,BD176,1))-AI177&lt;0),-1,MIN(1,IF($A177=$A176,BD176,1)-AI177+$D$2))</f>
        <v>1</v>
      </c>
      <c r="BF177" s="16">
        <f t="shared" si="145"/>
        <v>0.19596031081758858</v>
      </c>
      <c r="BG177" s="16">
        <f t="shared" si="146"/>
        <v>0.21844636935459236</v>
      </c>
      <c r="BH177" s="16">
        <f t="shared" si="147"/>
        <v>0.14609696635987124</v>
      </c>
      <c r="BI177" s="16">
        <f t="shared" si="148"/>
        <v>0.13198015366034541</v>
      </c>
      <c r="BJ177" s="16">
        <f t="shared" si="149"/>
        <v>8.3367914198418713E-2</v>
      </c>
      <c r="BK177" s="16">
        <f t="shared" si="150"/>
        <v>0.10640640223148412</v>
      </c>
      <c r="BL177" s="16">
        <f t="shared" si="151"/>
        <v>0.21963504743569431</v>
      </c>
      <c r="BM177" s="16">
        <f t="shared" si="152"/>
        <v>3.8988008374820568E-3</v>
      </c>
      <c r="BN177" s="16">
        <f t="shared" si="153"/>
        <v>0.14537706087090876</v>
      </c>
      <c r="BO177" s="16">
        <f t="shared" si="154"/>
        <v>0.29209790661993401</v>
      </c>
      <c r="BP177" s="16">
        <f t="shared" si="155"/>
        <v>0.31584545163401867</v>
      </c>
      <c r="BQ177" s="16">
        <f t="shared" si="156"/>
        <v>0.1000007994126096</v>
      </c>
      <c r="BR177" s="16">
        <f t="shared" si="157"/>
        <v>0.13164487759885393</v>
      </c>
      <c r="BS177" s="16">
        <f t="shared" si="158"/>
        <v>2.9803550189863123E-2</v>
      </c>
      <c r="BT177" s="16">
        <f t="shared" si="159"/>
        <v>0.13492040904978705</v>
      </c>
      <c r="BU177" s="16">
        <f t="shared" si="160"/>
        <v>0.11703687414398131</v>
      </c>
      <c r="BV177" s="16">
        <f t="shared" si="161"/>
        <v>0.14633353213781661</v>
      </c>
      <c r="BW177" s="16">
        <f t="shared" si="162"/>
        <v>7.5588015111767173E-2</v>
      </c>
      <c r="BX177" s="16">
        <f t="shared" si="163"/>
        <v>8.0345659937185704E-2</v>
      </c>
      <c r="BY177" s="16">
        <f t="shared" si="164"/>
        <v>5.9014643151272549E-2</v>
      </c>
      <c r="CA177" s="16" t="str">
        <f t="shared" si="141"/>
        <v/>
      </c>
      <c r="CB177" s="16" t="str">
        <f t="shared" si="122"/>
        <v/>
      </c>
      <c r="CC177" s="16" t="str">
        <f t="shared" si="123"/>
        <v/>
      </c>
      <c r="CD177" s="16" t="str">
        <f t="shared" si="124"/>
        <v/>
      </c>
      <c r="CE177" s="16" t="str">
        <f t="shared" si="125"/>
        <v/>
      </c>
      <c r="CF177" s="16" t="str">
        <f t="shared" si="126"/>
        <v/>
      </c>
      <c r="CG177" s="16" t="str">
        <f t="shared" si="127"/>
        <v/>
      </c>
      <c r="CH177" s="16" t="str">
        <f t="shared" si="128"/>
        <v/>
      </c>
      <c r="CI177" s="16" t="str">
        <f t="shared" si="129"/>
        <v/>
      </c>
      <c r="CJ177" s="16" t="str">
        <f t="shared" si="130"/>
        <v/>
      </c>
      <c r="CK177" s="16" t="str">
        <f t="shared" si="131"/>
        <v/>
      </c>
      <c r="CL177" s="16" t="str">
        <f t="shared" si="132"/>
        <v/>
      </c>
      <c r="CM177" s="16" t="str">
        <f t="shared" si="133"/>
        <v/>
      </c>
      <c r="CN177" s="16" t="str">
        <f t="shared" si="134"/>
        <v/>
      </c>
      <c r="CO177" s="16" t="str">
        <f t="shared" si="135"/>
        <v/>
      </c>
      <c r="CP177" s="16" t="str">
        <f t="shared" si="136"/>
        <v/>
      </c>
      <c r="CQ177" s="16" t="str">
        <f t="shared" si="137"/>
        <v/>
      </c>
      <c r="CR177" s="16" t="str">
        <f t="shared" si="138"/>
        <v/>
      </c>
      <c r="CS177" s="16" t="str">
        <f t="shared" si="139"/>
        <v/>
      </c>
      <c r="CT177" s="16" t="str">
        <f t="shared" si="140"/>
        <v/>
      </c>
    </row>
    <row r="178" spans="1:99" x14ac:dyDescent="0.25">
      <c r="A178" s="20"/>
      <c r="B178" s="21"/>
      <c r="C178" s="22" t="str" cm="1">
        <f t="array" ref="C178">IF(B178="","",INDEX('Exercise list'!$C$5:$C$102,B178))</f>
        <v/>
      </c>
      <c r="D178" s="17" t="str">
        <f t="shared" si="142"/>
        <v/>
      </c>
      <c r="E178" s="108" t="str">
        <f t="shared" si="165"/>
        <v/>
      </c>
      <c r="F178" s="65" t="str" cm="1">
        <f t="array" ref="F178">IF(B178="","",0.1+IFERROR(INDEX($F$6:$F177,SUMPRODUCT(MAX(ROW($C$6:$C177)*($C178=$C$6:$C177))-ROW($A$5)))*0.9^($A178-INDEX($A$6:A177,SUMPRODUCT(MAX(ROW($C$6:$C177)*($C178=$C$6:$C177))-ROW($A$5)))),0))</f>
        <v/>
      </c>
      <c r="G178" s="25" t="e">
        <f>INDEX('Exercise list'!$Y$5:$Y$102,MATCH(C178,'Exercise list'!$C$5:$C$102,0))</f>
        <v>#N/A</v>
      </c>
      <c r="H178" s="116">
        <f t="shared" si="143"/>
        <v>0</v>
      </c>
      <c r="I178" s="18">
        <f t="shared" si="144"/>
        <v>5</v>
      </c>
      <c r="J178" s="18" t="str" cm="1">
        <f t="array" ref="J178">IF(B178="","",INDEX('Exercise list'!$D$5:$D$102,B178))</f>
        <v/>
      </c>
      <c r="K178" s="17">
        <v>5</v>
      </c>
      <c r="L178" s="51" t="str" cm="1">
        <f t="array" ref="L178">IF(K178="","",INDEX('Exercise list'!$C$5:$C$102,K178))</f>
        <v>Treadmill running</v>
      </c>
      <c r="M178" s="18">
        <v>4</v>
      </c>
      <c r="N178" s="76" t="str" cm="1">
        <f t="array" ref="N178">IF(M178="","",INDEX('Exercise list'!$C$5:$C$102,M178))</f>
        <v>Stair climbing machine</v>
      </c>
      <c r="O178" s="19"/>
      <c r="P178" s="19">
        <f>IFERROR(INDEX('Exercise list'!$E$5:$X$102,MATCH($C178,'Exercise list'!$C$5:$C$102,0),MATCH(P$5,'Exercise list'!$E$4:$X$4,0)),0)</f>
        <v>0</v>
      </c>
      <c r="Q178" s="19">
        <f>IFERROR(INDEX('Exercise list'!$E$5:$X$102,MATCH($C178,'Exercise list'!$C$5:$C$102,0),MATCH(Q$5,'Exercise list'!$E$4:$X$4,0)),0)</f>
        <v>0</v>
      </c>
      <c r="R178" s="19">
        <f>IFERROR(INDEX('Exercise list'!$E$5:$X$102,MATCH($C178,'Exercise list'!$C$5:$C$102,0),MATCH(R$5,'Exercise list'!$E$4:$X$4,0)),0)</f>
        <v>0</v>
      </c>
      <c r="S178" s="19">
        <f>IFERROR(INDEX('Exercise list'!$E$5:$X$102,MATCH($C178,'Exercise list'!$C$5:$C$102,0),MATCH(S$5,'Exercise list'!$E$4:$X$4,0)),0)</f>
        <v>0</v>
      </c>
      <c r="T178" s="19">
        <f>IFERROR(INDEX('Exercise list'!$E$5:$X$102,MATCH($C178,'Exercise list'!$C$5:$C$102,0),MATCH(T$5,'Exercise list'!$E$4:$X$4,0)),0)</f>
        <v>0</v>
      </c>
      <c r="U178" s="19">
        <f>IFERROR(INDEX('Exercise list'!$E$5:$X$102,MATCH($C178,'Exercise list'!$C$5:$C$102,0),MATCH(U$5,'Exercise list'!$E$4:$X$4,0)),0)</f>
        <v>0</v>
      </c>
      <c r="V178" s="19">
        <f>IFERROR(INDEX('Exercise list'!$E$5:$X$102,MATCH($C178,'Exercise list'!$C$5:$C$102,0),MATCH(V$5,'Exercise list'!$E$4:$X$4,0)),0)</f>
        <v>0</v>
      </c>
      <c r="W178" s="19">
        <f>IFERROR(INDEX('Exercise list'!$E$5:$X$102,MATCH($C178,'Exercise list'!$C$5:$C$102,0),MATCH(W$5,'Exercise list'!$E$4:$X$4,0)),0)</f>
        <v>0</v>
      </c>
      <c r="X178" s="19">
        <f>IFERROR(INDEX('Exercise list'!$E$5:$X$102,MATCH($C178,'Exercise list'!$C$5:$C$102,0),MATCH(X$5,'Exercise list'!$E$4:$X$4,0)),0)</f>
        <v>0</v>
      </c>
      <c r="Y178" s="19">
        <f>IFERROR(INDEX('Exercise list'!$E$5:$X$102,MATCH($C178,'Exercise list'!$C$5:$C$102,0),MATCH(Y$5,'Exercise list'!$E$4:$X$4,0)),0)</f>
        <v>0</v>
      </c>
      <c r="Z178" s="19">
        <f>IFERROR(INDEX('Exercise list'!$E$5:$X$102,MATCH($C178,'Exercise list'!$C$5:$C$102,0),MATCH(Z$5,'Exercise list'!$E$4:$X$4,0)),0)</f>
        <v>0</v>
      </c>
      <c r="AA178" s="19">
        <f>IFERROR(INDEX('Exercise list'!$E$5:$X$102,MATCH($C178,'Exercise list'!$C$5:$C$102,0),MATCH(AA$5,'Exercise list'!$E$4:$X$4,0)),0)</f>
        <v>0</v>
      </c>
      <c r="AB178" s="19">
        <f>IFERROR(INDEX('Exercise list'!$E$5:$X$102,MATCH($C178,'Exercise list'!$C$5:$C$102,0),MATCH(AB$5,'Exercise list'!$E$4:$X$4,0)),0)</f>
        <v>0</v>
      </c>
      <c r="AC178" s="19">
        <f>IFERROR(INDEX('Exercise list'!$E$5:$X$102,MATCH($C178,'Exercise list'!$C$5:$C$102,0),MATCH(AC$5,'Exercise list'!$E$4:$X$4,0)),0)</f>
        <v>0</v>
      </c>
      <c r="AD178" s="19">
        <f>IFERROR(INDEX('Exercise list'!$E$5:$X$102,MATCH($C178,'Exercise list'!$C$5:$C$102,0),MATCH(AD$5,'Exercise list'!$E$4:$X$4,0)),0)</f>
        <v>0</v>
      </c>
      <c r="AE178" s="19">
        <f>IFERROR(INDEX('Exercise list'!$E$5:$X$102,MATCH($C178,'Exercise list'!$C$5:$C$102,0),MATCH(AE$5,'Exercise list'!$E$4:$X$4,0)),0)</f>
        <v>0</v>
      </c>
      <c r="AF178" s="19">
        <f>IFERROR(INDEX('Exercise list'!$E$5:$X$102,MATCH($C178,'Exercise list'!$C$5:$C$102,0),MATCH(AF$5,'Exercise list'!$E$4:$X$4,0)),0)</f>
        <v>0</v>
      </c>
      <c r="AG178" s="19">
        <f>IFERROR(INDEX('Exercise list'!$E$5:$X$102,MATCH($C178,'Exercise list'!$C$5:$C$102,0),MATCH(AG$5,'Exercise list'!$E$4:$X$4,0)),0)</f>
        <v>0</v>
      </c>
      <c r="AH178" s="19">
        <f>IFERROR(INDEX('Exercise list'!$E$5:$X$102,MATCH($C178,'Exercise list'!$C$5:$C$102,0),MATCH(AH$5,'Exercise list'!$E$4:$X$4,0)),0)</f>
        <v>0</v>
      </c>
      <c r="AI178" s="19">
        <f>IFERROR(INDEX('Exercise list'!$E$5:$X$102,MATCH($C178,'Exercise list'!$C$5:$C$102,0),MATCH(AI$5,'Exercise list'!$E$4:$X$4,0)),0)</f>
        <v>0</v>
      </c>
      <c r="AJ178" s="19"/>
      <c r="AK178" s="19">
        <f>IF(OR($J178=1,COUNTIFS($A$5:$A177,"&gt;="&amp;$A178-1,$A$5:$A177,"&lt;="&amp;$A178,$B$5:$B177,$B178)&gt;0,MIN(1-'Exercise list'!E$2,IF($A178=$A177,AK177,1))-P178&lt;0),-1,MIN(1,IF($A178=$A177,AK177,1)-P178+$D$2))</f>
        <v>1</v>
      </c>
      <c r="AL178" s="19">
        <f>IF(OR($J178=1,COUNTIFS($A$5:$A177,"&gt;="&amp;$A178-1,$A$5:$A177,"&lt;="&amp;$A178,$B$5:$B177,$B178)&gt;0,MIN(1-'Exercise list'!F$2,IF($A178=$A177,AL177,1))-Q178&lt;0),-1,MIN(1,IF($A178=$A177,AL177,1)-Q178+$D$2))</f>
        <v>1</v>
      </c>
      <c r="AM178" s="19">
        <f>IF(OR($J178=1,COUNTIFS($A$5:$A177,"&gt;="&amp;$A178-1,$A$5:$A177,"&lt;="&amp;$A178,$B$5:$B177,$B178)&gt;0,MIN(1-'Exercise list'!G$2,IF($A178=$A177,AM177,1))-R178&lt;0),-1,MIN(1,IF($A178=$A177,AM177,1)-R178+$D$2))</f>
        <v>1</v>
      </c>
      <c r="AN178" s="19">
        <f>IF(OR($J178=1,COUNTIFS($A$5:$A177,"&gt;="&amp;$A178-1,$A$5:$A177,"&lt;="&amp;$A178,$B$5:$B177,$B178)&gt;0,MIN(1-'Exercise list'!H$2,IF($A178=$A177,AN177,1))-S178&lt;0),-1,MIN(1,IF($A178=$A177,AN177,1)-S178+$D$2))</f>
        <v>1</v>
      </c>
      <c r="AO178" s="19">
        <f>IF(OR($J178=1,COUNTIFS($A$5:$A177,"&gt;="&amp;$A178-1,$A$5:$A177,"&lt;="&amp;$A178,$B$5:$B177,$B178)&gt;0,MIN(1-'Exercise list'!I$2,IF($A178=$A177,AO177,1))-T178&lt;0),-1,MIN(1,IF($A178=$A177,AO177,1)-T178+$D$2))</f>
        <v>1</v>
      </c>
      <c r="AP178" s="19">
        <f>IF(OR($J178=1,COUNTIFS($A$5:$A177,"&gt;="&amp;$A178-1,$A$5:$A177,"&lt;="&amp;$A178,$B$5:$B177,$B178)&gt;0,MIN(1-'Exercise list'!J$2,IF($A178=$A177,AP177,1))-U178&lt;0),-1,MIN(1,IF($A178=$A177,AP177,1)-U178+$D$2))</f>
        <v>1</v>
      </c>
      <c r="AQ178" s="19">
        <f>IF(OR($J178=1,COUNTIFS($A$5:$A177,"&gt;="&amp;$A178-1,$A$5:$A177,"&lt;="&amp;$A178,$B$5:$B177,$B178)&gt;0,MIN(1-'Exercise list'!K$2,IF($A178=$A177,AQ177,1))-V178&lt;0),-1,MIN(1,IF($A178=$A177,AQ177,1)-V178+$D$2))</f>
        <v>1</v>
      </c>
      <c r="AR178" s="19">
        <f>IF(OR($J178=1,COUNTIFS($A$5:$A177,"&gt;="&amp;$A178-1,$A$5:$A177,"&lt;="&amp;$A178,$B$5:$B177,$B178)&gt;0,MIN(1-'Exercise list'!L$2,IF($A178=$A177,AR177,1))-W178&lt;0),-1,MIN(1,IF($A178=$A177,AR177,1)-W178+$D$2))</f>
        <v>1</v>
      </c>
      <c r="AS178" s="19">
        <f>IF(OR($J178=1,COUNTIFS($A$5:$A177,"&gt;="&amp;$A178-1,$A$5:$A177,"&lt;="&amp;$A178,$B$5:$B177,$B178)&gt;0,MIN(1-'Exercise list'!M$2,IF($A178=$A177,AS177,1))-X178&lt;0),-1,MIN(1,IF($A178=$A177,AS177,1)-X178+$D$2))</f>
        <v>1</v>
      </c>
      <c r="AT178" s="19">
        <f>IF(OR($J178=1,COUNTIFS($A$5:$A177,"&gt;="&amp;$A178-1,$A$5:$A177,"&lt;="&amp;$A178,$B$5:$B177,$B178)&gt;0,MIN(1-'Exercise list'!N$2,IF($A178=$A177,AT177,1))-Y178&lt;0),-1,MIN(1,IF($A178=$A177,AT177,1)-Y178+$D$2))</f>
        <v>1</v>
      </c>
      <c r="AU178" s="19">
        <f>IF(OR($J178=1,COUNTIFS($A$5:$A177,"&gt;="&amp;$A178-1,$A$5:$A177,"&lt;="&amp;$A178,$B$5:$B177,$B178)&gt;0,MIN(1-'Exercise list'!O$2,IF($A178=$A177,AU177,1))-Z178&lt;0),-1,MIN(1,IF($A178=$A177,AU177,1)-Z178+$D$2))</f>
        <v>1</v>
      </c>
      <c r="AV178" s="19">
        <f>IF(OR($J178=1,COUNTIFS($A$5:$A177,"&gt;="&amp;$A178-1,$A$5:$A177,"&lt;="&amp;$A178,$B$5:$B177,$B178)&gt;0,MIN(1-'Exercise list'!P$2,IF($A178=$A177,AV177,1))-AA178&lt;0),-1,MIN(1,IF($A178=$A177,AV177,1)-AA178+$D$2))</f>
        <v>1</v>
      </c>
      <c r="AW178" s="19">
        <f>IF(OR($J178=1,COUNTIFS($A$5:$A177,"&gt;="&amp;$A178-1,$A$5:$A177,"&lt;="&amp;$A178,$B$5:$B177,$B178)&gt;0,MIN(1-'Exercise list'!Q$2,IF($A178=$A177,AW177,1))-AB178&lt;0),-1,MIN(1,IF($A178=$A177,AW177,1)-AB178+$D$2))</f>
        <v>1</v>
      </c>
      <c r="AX178" s="19">
        <f>IF(OR($J178=1,COUNTIFS($A$5:$A177,"&gt;="&amp;$A178-1,$A$5:$A177,"&lt;="&amp;$A178,$B$5:$B177,$B178)&gt;0,MIN(1-'Exercise list'!R$2,IF($A178=$A177,AX177,1))-AC178&lt;0),-1,MIN(1,IF($A178=$A177,AX177,1)-AC178+$D$2))</f>
        <v>1</v>
      </c>
      <c r="AY178" s="19">
        <f>IF(OR($J178=1,COUNTIFS($A$5:$A177,"&gt;="&amp;$A178-1,$A$5:$A177,"&lt;="&amp;$A178,$B$5:$B177,$B178)&gt;0,MIN(1-'Exercise list'!S$2,IF($A178=$A177,AY177,1))-AD178&lt;0),-1,MIN(1,IF($A178=$A177,AY177,1)-AD178+$D$2))</f>
        <v>1</v>
      </c>
      <c r="AZ178" s="19">
        <f>IF(OR($J178=1,COUNTIFS($A$5:$A177,"&gt;="&amp;$A178-1,$A$5:$A177,"&lt;="&amp;$A178,$B$5:$B177,$B178)&gt;0,MIN(1-'Exercise list'!T$2,IF($A178=$A177,AZ177,1))-AE178&lt;0),-1,MIN(1,IF($A178=$A177,AZ177,1)-AE178+$D$2))</f>
        <v>1</v>
      </c>
      <c r="BA178" s="19">
        <f>IF(OR($J178=1,COUNTIFS($A$5:$A177,"&gt;="&amp;$A178-1,$A$5:$A177,"&lt;="&amp;$A178,$B$5:$B177,$B178)&gt;0,MIN(1-'Exercise list'!U$2,IF($A178=$A177,BA177,1))-AF178&lt;0),-1,MIN(1,IF($A178=$A177,BA177,1)-AF178+$D$2))</f>
        <v>1</v>
      </c>
      <c r="BB178" s="19">
        <f>IF(OR($J178=1,COUNTIFS($A$5:$A177,"&gt;="&amp;$A178-1,$A$5:$A177,"&lt;="&amp;$A178,$B$5:$B177,$B178)&gt;0,MIN(1-'Exercise list'!V$2,IF($A178=$A177,BB177,1))-AG178&lt;0),-1,MIN(1,IF($A178=$A177,BB177,1)-AG178+$D$2))</f>
        <v>1</v>
      </c>
      <c r="BC178" s="19">
        <f>IF(OR($J178=1,COUNTIFS($A$5:$A177,"&gt;="&amp;$A178-1,$A$5:$A177,"&lt;="&amp;$A178,$B$5:$B177,$B178)&gt;0,MIN(1-'Exercise list'!W$2,IF($A178=$A177,BC177,1))-AH178&lt;0),-1,MIN(1,IF($A178=$A177,BC177,1)-AH178+$D$2))</f>
        <v>1</v>
      </c>
      <c r="BD178" s="19">
        <f>IF(OR($J178=1,COUNTIFS($A$5:$A177,"&gt;="&amp;$A178-1,$A$5:$A177,"&lt;="&amp;$A178,$B$5:$B177,$B178)&gt;0,MIN(1-'Exercise list'!X$2,IF($A178=$A177,BD177,1))-AI178&lt;0),-1,MIN(1,IF($A178=$A177,BD177,1)-AI178+$D$2))</f>
        <v>1</v>
      </c>
      <c r="BE178" s="19"/>
      <c r="BF178" s="23">
        <f t="shared" si="145"/>
        <v>0.19596031081758858</v>
      </c>
      <c r="BG178" s="23">
        <f t="shared" si="146"/>
        <v>0.21844636935459236</v>
      </c>
      <c r="BH178" s="23">
        <f t="shared" si="147"/>
        <v>0.14609696635987124</v>
      </c>
      <c r="BI178" s="23">
        <f t="shared" si="148"/>
        <v>0.13198015366034541</v>
      </c>
      <c r="BJ178" s="23">
        <f t="shared" si="149"/>
        <v>8.3367914198418713E-2</v>
      </c>
      <c r="BK178" s="23">
        <f t="shared" si="150"/>
        <v>0.10640640223148412</v>
      </c>
      <c r="BL178" s="23">
        <f t="shared" si="151"/>
        <v>0.21963504743569431</v>
      </c>
      <c r="BM178" s="23">
        <f t="shared" si="152"/>
        <v>3.8988008374820568E-3</v>
      </c>
      <c r="BN178" s="23">
        <f t="shared" si="153"/>
        <v>0.14537706087090876</v>
      </c>
      <c r="BO178" s="23">
        <f t="shared" si="154"/>
        <v>0.29209790661993401</v>
      </c>
      <c r="BP178" s="23">
        <f t="shared" si="155"/>
        <v>0.31584545163401867</v>
      </c>
      <c r="BQ178" s="23">
        <f t="shared" si="156"/>
        <v>0.1000007994126096</v>
      </c>
      <c r="BR178" s="23">
        <f t="shared" si="157"/>
        <v>0.13164487759885393</v>
      </c>
      <c r="BS178" s="23">
        <f t="shared" si="158"/>
        <v>2.9803550189863123E-2</v>
      </c>
      <c r="BT178" s="23">
        <f t="shared" si="159"/>
        <v>0.13492040904978705</v>
      </c>
      <c r="BU178" s="23">
        <f t="shared" si="160"/>
        <v>0.11703687414398131</v>
      </c>
      <c r="BV178" s="23">
        <f t="shared" si="161"/>
        <v>0.14633353213781661</v>
      </c>
      <c r="BW178" s="23">
        <f t="shared" si="162"/>
        <v>7.5588015111767173E-2</v>
      </c>
      <c r="BX178" s="23">
        <f t="shared" si="163"/>
        <v>8.0345659937185704E-2</v>
      </c>
      <c r="BY178" s="23">
        <f t="shared" si="164"/>
        <v>5.9014643151272549E-2</v>
      </c>
      <c r="BZ178" s="19"/>
      <c r="CA178" s="23" t="str">
        <f t="shared" si="141"/>
        <v/>
      </c>
      <c r="CB178" s="23" t="str">
        <f t="shared" si="122"/>
        <v/>
      </c>
      <c r="CC178" s="23" t="str">
        <f t="shared" si="123"/>
        <v/>
      </c>
      <c r="CD178" s="23" t="str">
        <f t="shared" si="124"/>
        <v/>
      </c>
      <c r="CE178" s="23" t="str">
        <f t="shared" si="125"/>
        <v/>
      </c>
      <c r="CF178" s="23" t="str">
        <f t="shared" si="126"/>
        <v/>
      </c>
      <c r="CG178" s="23" t="str">
        <f t="shared" si="127"/>
        <v/>
      </c>
      <c r="CH178" s="23" t="str">
        <f t="shared" si="128"/>
        <v/>
      </c>
      <c r="CI178" s="23" t="str">
        <f t="shared" si="129"/>
        <v/>
      </c>
      <c r="CJ178" s="23" t="str">
        <f t="shared" si="130"/>
        <v/>
      </c>
      <c r="CK178" s="23" t="str">
        <f t="shared" si="131"/>
        <v/>
      </c>
      <c r="CL178" s="23" t="str">
        <f t="shared" si="132"/>
        <v/>
      </c>
      <c r="CM178" s="23" t="str">
        <f t="shared" si="133"/>
        <v/>
      </c>
      <c r="CN178" s="23" t="str">
        <f t="shared" si="134"/>
        <v/>
      </c>
      <c r="CO178" s="23" t="str">
        <f t="shared" si="135"/>
        <v/>
      </c>
      <c r="CP178" s="23" t="str">
        <f t="shared" si="136"/>
        <v/>
      </c>
      <c r="CQ178" s="23" t="str">
        <f t="shared" si="137"/>
        <v/>
      </c>
      <c r="CR178" s="23" t="str">
        <f t="shared" si="138"/>
        <v/>
      </c>
      <c r="CS178" s="23" t="str">
        <f t="shared" si="139"/>
        <v/>
      </c>
      <c r="CT178" s="23" t="str">
        <f t="shared" si="140"/>
        <v/>
      </c>
      <c r="CU178" s="19"/>
    </row>
    <row r="179" spans="1:99" x14ac:dyDescent="0.25">
      <c r="A179" s="13"/>
      <c r="B179" s="14"/>
      <c r="C179" s="15" t="str" cm="1">
        <f t="array" ref="C179">IF(B179="","",INDEX('Exercise list'!$C$5:$C$102,B179))</f>
        <v/>
      </c>
      <c r="D179" s="12" t="str">
        <f t="shared" si="142"/>
        <v/>
      </c>
      <c r="E179" s="107" t="str">
        <f t="shared" si="165"/>
        <v/>
      </c>
      <c r="F179" s="63" t="str" cm="1">
        <f t="array" ref="F179">IF(B179="","",0.1+IFERROR(INDEX($F$6:$F178,SUMPRODUCT(MAX(ROW($C$6:$C178)*($C179=$C$6:$C178))-ROW($A$5)))*0.9^($A179-INDEX($A$6:A178,SUMPRODUCT(MAX(ROW($C$6:$C178)*($C179=$C$6:$C178))-ROW($A$5)))),0))</f>
        <v/>
      </c>
      <c r="G179" s="64" t="e">
        <f>INDEX('Exercise list'!$Y$5:$Y$102,MATCH(C179,'Exercise list'!$C$5:$C$102,0))</f>
        <v>#N/A</v>
      </c>
      <c r="H179" s="115">
        <f t="shared" si="143"/>
        <v>0</v>
      </c>
      <c r="I179" s="42">
        <f t="shared" si="144"/>
        <v>5</v>
      </c>
      <c r="J179" s="6" t="str" cm="1">
        <f t="array" ref="J179">IF(B179="","",INDEX('Exercise list'!$D$5:$D$102,B179))</f>
        <v/>
      </c>
      <c r="K179" s="12">
        <v>11</v>
      </c>
      <c r="L179" s="74" t="str" cm="1">
        <f t="array" ref="L179">IF(K179="","",INDEX('Exercise list'!$C$5:$C$102,K179))</f>
        <v>Chin-ups</v>
      </c>
      <c r="M179" s="6">
        <v>41</v>
      </c>
      <c r="N179" s="75" t="str" cm="1">
        <f t="array" ref="N179">IF(M179="","",INDEX('Exercise list'!$C$5:$C$102,M179))</f>
        <v>Dumbbell walking lunges</v>
      </c>
      <c r="P179">
        <f>IFERROR(INDEX('Exercise list'!$E$5:$X$102,MATCH($C179,'Exercise list'!$C$5:$C$102,0),MATCH(P$5,'Exercise list'!$E$4:$X$4,0)),0)</f>
        <v>0</v>
      </c>
      <c r="Q179">
        <f>IFERROR(INDEX('Exercise list'!$E$5:$X$102,MATCH($C179,'Exercise list'!$C$5:$C$102,0),MATCH(Q$5,'Exercise list'!$E$4:$X$4,0)),0)</f>
        <v>0</v>
      </c>
      <c r="R179">
        <f>IFERROR(INDEX('Exercise list'!$E$5:$X$102,MATCH($C179,'Exercise list'!$C$5:$C$102,0),MATCH(R$5,'Exercise list'!$E$4:$X$4,0)),0)</f>
        <v>0</v>
      </c>
      <c r="S179">
        <f>IFERROR(INDEX('Exercise list'!$E$5:$X$102,MATCH($C179,'Exercise list'!$C$5:$C$102,0),MATCH(S$5,'Exercise list'!$E$4:$X$4,0)),0)</f>
        <v>0</v>
      </c>
      <c r="T179">
        <f>IFERROR(INDEX('Exercise list'!$E$5:$X$102,MATCH($C179,'Exercise list'!$C$5:$C$102,0),MATCH(T$5,'Exercise list'!$E$4:$X$4,0)),0)</f>
        <v>0</v>
      </c>
      <c r="U179">
        <f>IFERROR(INDEX('Exercise list'!$E$5:$X$102,MATCH($C179,'Exercise list'!$C$5:$C$102,0),MATCH(U$5,'Exercise list'!$E$4:$X$4,0)),0)</f>
        <v>0</v>
      </c>
      <c r="V179">
        <f>IFERROR(INDEX('Exercise list'!$E$5:$X$102,MATCH($C179,'Exercise list'!$C$5:$C$102,0),MATCH(V$5,'Exercise list'!$E$4:$X$4,0)),0)</f>
        <v>0</v>
      </c>
      <c r="W179">
        <f>IFERROR(INDEX('Exercise list'!$E$5:$X$102,MATCH($C179,'Exercise list'!$C$5:$C$102,0),MATCH(W$5,'Exercise list'!$E$4:$X$4,0)),0)</f>
        <v>0</v>
      </c>
      <c r="X179">
        <f>IFERROR(INDEX('Exercise list'!$E$5:$X$102,MATCH($C179,'Exercise list'!$C$5:$C$102,0),MATCH(X$5,'Exercise list'!$E$4:$X$4,0)),0)</f>
        <v>0</v>
      </c>
      <c r="Y179">
        <f>IFERROR(INDEX('Exercise list'!$E$5:$X$102,MATCH($C179,'Exercise list'!$C$5:$C$102,0),MATCH(Y$5,'Exercise list'!$E$4:$X$4,0)),0)</f>
        <v>0</v>
      </c>
      <c r="Z179">
        <f>IFERROR(INDEX('Exercise list'!$E$5:$X$102,MATCH($C179,'Exercise list'!$C$5:$C$102,0),MATCH(Z$5,'Exercise list'!$E$4:$X$4,0)),0)</f>
        <v>0</v>
      </c>
      <c r="AA179">
        <f>IFERROR(INDEX('Exercise list'!$E$5:$X$102,MATCH($C179,'Exercise list'!$C$5:$C$102,0),MATCH(AA$5,'Exercise list'!$E$4:$X$4,0)),0)</f>
        <v>0</v>
      </c>
      <c r="AB179">
        <f>IFERROR(INDEX('Exercise list'!$E$5:$X$102,MATCH($C179,'Exercise list'!$C$5:$C$102,0),MATCH(AB$5,'Exercise list'!$E$4:$X$4,0)),0)</f>
        <v>0</v>
      </c>
      <c r="AC179">
        <f>IFERROR(INDEX('Exercise list'!$E$5:$X$102,MATCH($C179,'Exercise list'!$C$5:$C$102,0),MATCH(AC$5,'Exercise list'!$E$4:$X$4,0)),0)</f>
        <v>0</v>
      </c>
      <c r="AD179">
        <f>IFERROR(INDEX('Exercise list'!$E$5:$X$102,MATCH($C179,'Exercise list'!$C$5:$C$102,0),MATCH(AD$5,'Exercise list'!$E$4:$X$4,0)),0)</f>
        <v>0</v>
      </c>
      <c r="AE179">
        <f>IFERROR(INDEX('Exercise list'!$E$5:$X$102,MATCH($C179,'Exercise list'!$C$5:$C$102,0),MATCH(AE$5,'Exercise list'!$E$4:$X$4,0)),0)</f>
        <v>0</v>
      </c>
      <c r="AF179">
        <f>IFERROR(INDEX('Exercise list'!$E$5:$X$102,MATCH($C179,'Exercise list'!$C$5:$C$102,0),MATCH(AF$5,'Exercise list'!$E$4:$X$4,0)),0)</f>
        <v>0</v>
      </c>
      <c r="AG179">
        <f>IFERROR(INDEX('Exercise list'!$E$5:$X$102,MATCH($C179,'Exercise list'!$C$5:$C$102,0),MATCH(AG$5,'Exercise list'!$E$4:$X$4,0)),0)</f>
        <v>0</v>
      </c>
      <c r="AH179">
        <f>IFERROR(INDEX('Exercise list'!$E$5:$X$102,MATCH($C179,'Exercise list'!$C$5:$C$102,0),MATCH(AH$5,'Exercise list'!$E$4:$X$4,0)),0)</f>
        <v>0</v>
      </c>
      <c r="AI179">
        <f>IFERROR(INDEX('Exercise list'!$E$5:$X$102,MATCH($C179,'Exercise list'!$C$5:$C$102,0),MATCH(AI$5,'Exercise list'!$E$4:$X$4,0)),0)</f>
        <v>0</v>
      </c>
      <c r="AK179">
        <f>IF(OR($J179=1,COUNTIFS($A$5:$A178,"&gt;="&amp;$A179-1,$A$5:$A178,"&lt;="&amp;$A179,$B$5:$B178,$B179)&gt;0,MIN(1-'Exercise list'!E$2,IF($A179=$A178,AK178,1))-P179&lt;0),-1,MIN(1,IF($A179=$A178,AK178,1)-P179+$D$2))</f>
        <v>1</v>
      </c>
      <c r="AL179">
        <f>IF(OR($J179=1,COUNTIFS($A$5:$A178,"&gt;="&amp;$A179-1,$A$5:$A178,"&lt;="&amp;$A179,$B$5:$B178,$B179)&gt;0,MIN(1-'Exercise list'!F$2,IF($A179=$A178,AL178,1))-Q179&lt;0),-1,MIN(1,IF($A179=$A178,AL178,1)-Q179+$D$2))</f>
        <v>1</v>
      </c>
      <c r="AM179">
        <f>IF(OR($J179=1,COUNTIFS($A$5:$A178,"&gt;="&amp;$A179-1,$A$5:$A178,"&lt;="&amp;$A179,$B$5:$B178,$B179)&gt;0,MIN(1-'Exercise list'!G$2,IF($A179=$A178,AM178,1))-R179&lt;0),-1,MIN(1,IF($A179=$A178,AM178,1)-R179+$D$2))</f>
        <v>1</v>
      </c>
      <c r="AN179">
        <f>IF(OR($J179=1,COUNTIFS($A$5:$A178,"&gt;="&amp;$A179-1,$A$5:$A178,"&lt;="&amp;$A179,$B$5:$B178,$B179)&gt;0,MIN(1-'Exercise list'!H$2,IF($A179=$A178,AN178,1))-S179&lt;0),-1,MIN(1,IF($A179=$A178,AN178,1)-S179+$D$2))</f>
        <v>1</v>
      </c>
      <c r="AO179">
        <f>IF(OR($J179=1,COUNTIFS($A$5:$A178,"&gt;="&amp;$A179-1,$A$5:$A178,"&lt;="&amp;$A179,$B$5:$B178,$B179)&gt;0,MIN(1-'Exercise list'!I$2,IF($A179=$A178,AO178,1))-T179&lt;0),-1,MIN(1,IF($A179=$A178,AO178,1)-T179+$D$2))</f>
        <v>1</v>
      </c>
      <c r="AP179">
        <f>IF(OR($J179=1,COUNTIFS($A$5:$A178,"&gt;="&amp;$A179-1,$A$5:$A178,"&lt;="&amp;$A179,$B$5:$B178,$B179)&gt;0,MIN(1-'Exercise list'!J$2,IF($A179=$A178,AP178,1))-U179&lt;0),-1,MIN(1,IF($A179=$A178,AP178,1)-U179+$D$2))</f>
        <v>1</v>
      </c>
      <c r="AQ179">
        <f>IF(OR($J179=1,COUNTIFS($A$5:$A178,"&gt;="&amp;$A179-1,$A$5:$A178,"&lt;="&amp;$A179,$B$5:$B178,$B179)&gt;0,MIN(1-'Exercise list'!K$2,IF($A179=$A178,AQ178,1))-V179&lt;0),-1,MIN(1,IF($A179=$A178,AQ178,1)-V179+$D$2))</f>
        <v>1</v>
      </c>
      <c r="AR179">
        <f>IF(OR($J179=1,COUNTIFS($A$5:$A178,"&gt;="&amp;$A179-1,$A$5:$A178,"&lt;="&amp;$A179,$B$5:$B178,$B179)&gt;0,MIN(1-'Exercise list'!L$2,IF($A179=$A178,AR178,1))-W179&lt;0),-1,MIN(1,IF($A179=$A178,AR178,1)-W179+$D$2))</f>
        <v>1</v>
      </c>
      <c r="AS179">
        <f>IF(OR($J179=1,COUNTIFS($A$5:$A178,"&gt;="&amp;$A179-1,$A$5:$A178,"&lt;="&amp;$A179,$B$5:$B178,$B179)&gt;0,MIN(1-'Exercise list'!M$2,IF($A179=$A178,AS178,1))-X179&lt;0),-1,MIN(1,IF($A179=$A178,AS178,1)-X179+$D$2))</f>
        <v>1</v>
      </c>
      <c r="AT179">
        <f>IF(OR($J179=1,COUNTIFS($A$5:$A178,"&gt;="&amp;$A179-1,$A$5:$A178,"&lt;="&amp;$A179,$B$5:$B178,$B179)&gt;0,MIN(1-'Exercise list'!N$2,IF($A179=$A178,AT178,1))-Y179&lt;0),-1,MIN(1,IF($A179=$A178,AT178,1)-Y179+$D$2))</f>
        <v>1</v>
      </c>
      <c r="AU179">
        <f>IF(OR($J179=1,COUNTIFS($A$5:$A178,"&gt;="&amp;$A179-1,$A$5:$A178,"&lt;="&amp;$A179,$B$5:$B178,$B179)&gt;0,MIN(1-'Exercise list'!O$2,IF($A179=$A178,AU178,1))-Z179&lt;0),-1,MIN(1,IF($A179=$A178,AU178,1)-Z179+$D$2))</f>
        <v>1</v>
      </c>
      <c r="AV179">
        <f>IF(OR($J179=1,COUNTIFS($A$5:$A178,"&gt;="&amp;$A179-1,$A$5:$A178,"&lt;="&amp;$A179,$B$5:$B178,$B179)&gt;0,MIN(1-'Exercise list'!P$2,IF($A179=$A178,AV178,1))-AA179&lt;0),-1,MIN(1,IF($A179=$A178,AV178,1)-AA179+$D$2))</f>
        <v>1</v>
      </c>
      <c r="AW179">
        <f>IF(OR($J179=1,COUNTIFS($A$5:$A178,"&gt;="&amp;$A179-1,$A$5:$A178,"&lt;="&amp;$A179,$B$5:$B178,$B179)&gt;0,MIN(1-'Exercise list'!Q$2,IF($A179=$A178,AW178,1))-AB179&lt;0),-1,MIN(1,IF($A179=$A178,AW178,1)-AB179+$D$2))</f>
        <v>1</v>
      </c>
      <c r="AX179">
        <f>IF(OR($J179=1,COUNTIFS($A$5:$A178,"&gt;="&amp;$A179-1,$A$5:$A178,"&lt;="&amp;$A179,$B$5:$B178,$B179)&gt;0,MIN(1-'Exercise list'!R$2,IF($A179=$A178,AX178,1))-AC179&lt;0),-1,MIN(1,IF($A179=$A178,AX178,1)-AC179+$D$2))</f>
        <v>1</v>
      </c>
      <c r="AY179">
        <f>IF(OR($J179=1,COUNTIFS($A$5:$A178,"&gt;="&amp;$A179-1,$A$5:$A178,"&lt;="&amp;$A179,$B$5:$B178,$B179)&gt;0,MIN(1-'Exercise list'!S$2,IF($A179=$A178,AY178,1))-AD179&lt;0),-1,MIN(1,IF($A179=$A178,AY178,1)-AD179+$D$2))</f>
        <v>1</v>
      </c>
      <c r="AZ179">
        <f>IF(OR($J179=1,COUNTIFS($A$5:$A178,"&gt;="&amp;$A179-1,$A$5:$A178,"&lt;="&amp;$A179,$B$5:$B178,$B179)&gt;0,MIN(1-'Exercise list'!T$2,IF($A179=$A178,AZ178,1))-AE179&lt;0),-1,MIN(1,IF($A179=$A178,AZ178,1)-AE179+$D$2))</f>
        <v>1</v>
      </c>
      <c r="BA179">
        <f>IF(OR($J179=1,COUNTIFS($A$5:$A178,"&gt;="&amp;$A179-1,$A$5:$A178,"&lt;="&amp;$A179,$B$5:$B178,$B179)&gt;0,MIN(1-'Exercise list'!U$2,IF($A179=$A178,BA178,1))-AF179&lt;0),-1,MIN(1,IF($A179=$A178,BA178,1)-AF179+$D$2))</f>
        <v>1</v>
      </c>
      <c r="BB179">
        <f>IF(OR($J179=1,COUNTIFS($A$5:$A178,"&gt;="&amp;$A179-1,$A$5:$A178,"&lt;="&amp;$A179,$B$5:$B178,$B179)&gt;0,MIN(1-'Exercise list'!V$2,IF($A179=$A178,BB178,1))-AG179&lt;0),-1,MIN(1,IF($A179=$A178,BB178,1)-AG179+$D$2))</f>
        <v>1</v>
      </c>
      <c r="BC179">
        <f>IF(OR($J179=1,COUNTIFS($A$5:$A178,"&gt;="&amp;$A179-1,$A$5:$A178,"&lt;="&amp;$A179,$B$5:$B178,$B179)&gt;0,MIN(1-'Exercise list'!W$2,IF($A179=$A178,BC178,1))-AH179&lt;0),-1,MIN(1,IF($A179=$A178,BC178,1)-AH179+$D$2))</f>
        <v>1</v>
      </c>
      <c r="BD179">
        <f>IF(OR($J179=1,COUNTIFS($A$5:$A178,"&gt;="&amp;$A179-1,$A$5:$A178,"&lt;="&amp;$A179,$B$5:$B178,$B179)&gt;0,MIN(1-'Exercise list'!X$2,IF($A179=$A178,BD178,1))-AI179&lt;0),-1,MIN(1,IF($A179=$A178,BD178,1)-AI179+$D$2))</f>
        <v>1</v>
      </c>
      <c r="BF179" s="16">
        <f t="shared" si="145"/>
        <v>0.19596031081758858</v>
      </c>
      <c r="BG179" s="16">
        <f t="shared" si="146"/>
        <v>0.21844636935459236</v>
      </c>
      <c r="BH179" s="16">
        <f t="shared" si="147"/>
        <v>0.14609696635987124</v>
      </c>
      <c r="BI179" s="16">
        <f t="shared" si="148"/>
        <v>0.13198015366034541</v>
      </c>
      <c r="BJ179" s="16">
        <f t="shared" si="149"/>
        <v>8.3367914198418713E-2</v>
      </c>
      <c r="BK179" s="16">
        <f t="shared" si="150"/>
        <v>0.10640640223148412</v>
      </c>
      <c r="BL179" s="16">
        <f t="shared" si="151"/>
        <v>0.21963504743569431</v>
      </c>
      <c r="BM179" s="16">
        <f t="shared" si="152"/>
        <v>3.8988008374820568E-3</v>
      </c>
      <c r="BN179" s="16">
        <f t="shared" si="153"/>
        <v>0.14537706087090876</v>
      </c>
      <c r="BO179" s="16">
        <f t="shared" si="154"/>
        <v>0.29209790661993401</v>
      </c>
      <c r="BP179" s="16">
        <f t="shared" si="155"/>
        <v>0.31584545163401867</v>
      </c>
      <c r="BQ179" s="16">
        <f t="shared" si="156"/>
        <v>0.1000007994126096</v>
      </c>
      <c r="BR179" s="16">
        <f t="shared" si="157"/>
        <v>0.13164487759885393</v>
      </c>
      <c r="BS179" s="16">
        <f t="shared" si="158"/>
        <v>2.9803550189863123E-2</v>
      </c>
      <c r="BT179" s="16">
        <f t="shared" si="159"/>
        <v>0.13492040904978705</v>
      </c>
      <c r="BU179" s="16">
        <f t="shared" si="160"/>
        <v>0.11703687414398131</v>
      </c>
      <c r="BV179" s="16">
        <f t="shared" si="161"/>
        <v>0.14633353213781661</v>
      </c>
      <c r="BW179" s="16">
        <f t="shared" si="162"/>
        <v>7.5588015111767173E-2</v>
      </c>
      <c r="BX179" s="16">
        <f t="shared" si="163"/>
        <v>8.0345659937185704E-2</v>
      </c>
      <c r="BY179" s="16">
        <f t="shared" si="164"/>
        <v>5.9014643151272549E-2</v>
      </c>
      <c r="CA179" s="16" t="str">
        <f t="shared" si="141"/>
        <v/>
      </c>
      <c r="CB179" s="16" t="str">
        <f t="shared" si="122"/>
        <v/>
      </c>
      <c r="CC179" s="16" t="str">
        <f t="shared" si="123"/>
        <v/>
      </c>
      <c r="CD179" s="16" t="str">
        <f t="shared" si="124"/>
        <v/>
      </c>
      <c r="CE179" s="16" t="str">
        <f t="shared" si="125"/>
        <v/>
      </c>
      <c r="CF179" s="16" t="str">
        <f t="shared" si="126"/>
        <v/>
      </c>
      <c r="CG179" s="16" t="str">
        <f t="shared" si="127"/>
        <v/>
      </c>
      <c r="CH179" s="16" t="str">
        <f t="shared" si="128"/>
        <v/>
      </c>
      <c r="CI179" s="16" t="str">
        <f t="shared" si="129"/>
        <v/>
      </c>
      <c r="CJ179" s="16" t="str">
        <f t="shared" si="130"/>
        <v/>
      </c>
      <c r="CK179" s="16" t="str">
        <f t="shared" si="131"/>
        <v/>
      </c>
      <c r="CL179" s="16" t="str">
        <f t="shared" si="132"/>
        <v/>
      </c>
      <c r="CM179" s="16" t="str">
        <f t="shared" si="133"/>
        <v/>
      </c>
      <c r="CN179" s="16" t="str">
        <f t="shared" si="134"/>
        <v/>
      </c>
      <c r="CO179" s="16" t="str">
        <f t="shared" si="135"/>
        <v/>
      </c>
      <c r="CP179" s="16" t="str">
        <f t="shared" si="136"/>
        <v/>
      </c>
      <c r="CQ179" s="16" t="str">
        <f t="shared" si="137"/>
        <v/>
      </c>
      <c r="CR179" s="16" t="str">
        <f t="shared" si="138"/>
        <v/>
      </c>
      <c r="CS179" s="16" t="str">
        <f t="shared" si="139"/>
        <v/>
      </c>
      <c r="CT179" s="16" t="str">
        <f t="shared" si="140"/>
        <v/>
      </c>
    </row>
    <row r="180" spans="1:99" x14ac:dyDescent="0.25">
      <c r="A180" s="13"/>
      <c r="B180" s="14"/>
      <c r="C180" s="15" t="str" cm="1">
        <f t="array" ref="C180">IF(B180="","",INDEX('Exercise list'!$C$5:$C$102,B180))</f>
        <v/>
      </c>
      <c r="D180" s="12" t="str">
        <f t="shared" si="142"/>
        <v/>
      </c>
      <c r="E180" s="107" t="str">
        <f t="shared" si="165"/>
        <v/>
      </c>
      <c r="F180" s="63" t="str" cm="1">
        <f t="array" ref="F180">IF(B180="","",0.1+IFERROR(INDEX($F$6:$F179,SUMPRODUCT(MAX(ROW($C$6:$C179)*($C180=$C$6:$C179))-ROW($A$5)))*0.9^($A180-INDEX($A$6:A179,SUMPRODUCT(MAX(ROW($C$6:$C179)*($C180=$C$6:$C179))-ROW($A$5)))),0))</f>
        <v/>
      </c>
      <c r="G180" s="64" t="e">
        <f>INDEX('Exercise list'!$Y$5:$Y$102,MATCH(C180,'Exercise list'!$C$5:$C$102,0))</f>
        <v>#N/A</v>
      </c>
      <c r="H180" s="115">
        <f t="shared" si="143"/>
        <v>0</v>
      </c>
      <c r="I180" s="6">
        <f t="shared" si="144"/>
        <v>5</v>
      </c>
      <c r="J180" s="6" t="str" cm="1">
        <f t="array" ref="J180">IF(B180="","",INDEX('Exercise list'!$D$5:$D$102,B180))</f>
        <v/>
      </c>
      <c r="K180" s="12">
        <v>59</v>
      </c>
      <c r="L180" s="74" t="str" cm="1">
        <f t="array" ref="L180">IF(K180="","",INDEX('Exercise list'!$C$5:$C$102,K180))</f>
        <v>Triceps dips</v>
      </c>
      <c r="M180" s="6">
        <v>31</v>
      </c>
      <c r="N180" s="75" t="str" cm="1">
        <f t="array" ref="N180">IF(M180="","",INDEX('Exercise list'!$C$5:$C$102,M180))</f>
        <v>Weighted decline crunches</v>
      </c>
      <c r="P180">
        <f>IFERROR(INDEX('Exercise list'!$E$5:$X$102,MATCH($C180,'Exercise list'!$C$5:$C$102,0),MATCH(P$5,'Exercise list'!$E$4:$X$4,0)),0)</f>
        <v>0</v>
      </c>
      <c r="Q180">
        <f>IFERROR(INDEX('Exercise list'!$E$5:$X$102,MATCH($C180,'Exercise list'!$C$5:$C$102,0),MATCH(Q$5,'Exercise list'!$E$4:$X$4,0)),0)</f>
        <v>0</v>
      </c>
      <c r="R180">
        <f>IFERROR(INDEX('Exercise list'!$E$5:$X$102,MATCH($C180,'Exercise list'!$C$5:$C$102,0),MATCH(R$5,'Exercise list'!$E$4:$X$4,0)),0)</f>
        <v>0</v>
      </c>
      <c r="S180">
        <f>IFERROR(INDEX('Exercise list'!$E$5:$X$102,MATCH($C180,'Exercise list'!$C$5:$C$102,0),MATCH(S$5,'Exercise list'!$E$4:$X$4,0)),0)</f>
        <v>0</v>
      </c>
      <c r="T180">
        <f>IFERROR(INDEX('Exercise list'!$E$5:$X$102,MATCH($C180,'Exercise list'!$C$5:$C$102,0),MATCH(T$5,'Exercise list'!$E$4:$X$4,0)),0)</f>
        <v>0</v>
      </c>
      <c r="U180">
        <f>IFERROR(INDEX('Exercise list'!$E$5:$X$102,MATCH($C180,'Exercise list'!$C$5:$C$102,0),MATCH(U$5,'Exercise list'!$E$4:$X$4,0)),0)</f>
        <v>0</v>
      </c>
      <c r="V180">
        <f>IFERROR(INDEX('Exercise list'!$E$5:$X$102,MATCH($C180,'Exercise list'!$C$5:$C$102,0),MATCH(V$5,'Exercise list'!$E$4:$X$4,0)),0)</f>
        <v>0</v>
      </c>
      <c r="W180">
        <f>IFERROR(INDEX('Exercise list'!$E$5:$X$102,MATCH($C180,'Exercise list'!$C$5:$C$102,0),MATCH(W$5,'Exercise list'!$E$4:$X$4,0)),0)</f>
        <v>0</v>
      </c>
      <c r="X180">
        <f>IFERROR(INDEX('Exercise list'!$E$5:$X$102,MATCH($C180,'Exercise list'!$C$5:$C$102,0),MATCH(X$5,'Exercise list'!$E$4:$X$4,0)),0)</f>
        <v>0</v>
      </c>
      <c r="Y180">
        <f>IFERROR(INDEX('Exercise list'!$E$5:$X$102,MATCH($C180,'Exercise list'!$C$5:$C$102,0),MATCH(Y$5,'Exercise list'!$E$4:$X$4,0)),0)</f>
        <v>0</v>
      </c>
      <c r="Z180">
        <f>IFERROR(INDEX('Exercise list'!$E$5:$X$102,MATCH($C180,'Exercise list'!$C$5:$C$102,0),MATCH(Z$5,'Exercise list'!$E$4:$X$4,0)),0)</f>
        <v>0</v>
      </c>
      <c r="AA180">
        <f>IFERROR(INDEX('Exercise list'!$E$5:$X$102,MATCH($C180,'Exercise list'!$C$5:$C$102,0),MATCH(AA$5,'Exercise list'!$E$4:$X$4,0)),0)</f>
        <v>0</v>
      </c>
      <c r="AB180">
        <f>IFERROR(INDEX('Exercise list'!$E$5:$X$102,MATCH($C180,'Exercise list'!$C$5:$C$102,0),MATCH(AB$5,'Exercise list'!$E$4:$X$4,0)),0)</f>
        <v>0</v>
      </c>
      <c r="AC180">
        <f>IFERROR(INDEX('Exercise list'!$E$5:$X$102,MATCH($C180,'Exercise list'!$C$5:$C$102,0),MATCH(AC$5,'Exercise list'!$E$4:$X$4,0)),0)</f>
        <v>0</v>
      </c>
      <c r="AD180">
        <f>IFERROR(INDEX('Exercise list'!$E$5:$X$102,MATCH($C180,'Exercise list'!$C$5:$C$102,0),MATCH(AD$5,'Exercise list'!$E$4:$X$4,0)),0)</f>
        <v>0</v>
      </c>
      <c r="AE180">
        <f>IFERROR(INDEX('Exercise list'!$E$5:$X$102,MATCH($C180,'Exercise list'!$C$5:$C$102,0),MATCH(AE$5,'Exercise list'!$E$4:$X$4,0)),0)</f>
        <v>0</v>
      </c>
      <c r="AF180">
        <f>IFERROR(INDEX('Exercise list'!$E$5:$X$102,MATCH($C180,'Exercise list'!$C$5:$C$102,0),MATCH(AF$5,'Exercise list'!$E$4:$X$4,0)),0)</f>
        <v>0</v>
      </c>
      <c r="AG180">
        <f>IFERROR(INDEX('Exercise list'!$E$5:$X$102,MATCH($C180,'Exercise list'!$C$5:$C$102,0),MATCH(AG$5,'Exercise list'!$E$4:$X$4,0)),0)</f>
        <v>0</v>
      </c>
      <c r="AH180">
        <f>IFERROR(INDEX('Exercise list'!$E$5:$X$102,MATCH($C180,'Exercise list'!$C$5:$C$102,0),MATCH(AH$5,'Exercise list'!$E$4:$X$4,0)),0)</f>
        <v>0</v>
      </c>
      <c r="AI180">
        <f>IFERROR(INDEX('Exercise list'!$E$5:$X$102,MATCH($C180,'Exercise list'!$C$5:$C$102,0),MATCH(AI$5,'Exercise list'!$E$4:$X$4,0)),0)</f>
        <v>0</v>
      </c>
      <c r="AK180">
        <f>IF(OR($J180=1,COUNTIFS($A$5:$A179,"&gt;="&amp;$A180-1,$A$5:$A179,"&lt;="&amp;$A180,$B$5:$B179,$B180)&gt;0,MIN(1-'Exercise list'!E$2,IF($A180=$A179,AK179,1))-P180&lt;0),-1,MIN(1,IF($A180=$A179,AK179,1)-P180+$D$2))</f>
        <v>1</v>
      </c>
      <c r="AL180">
        <f>IF(OR($J180=1,COUNTIFS($A$5:$A179,"&gt;="&amp;$A180-1,$A$5:$A179,"&lt;="&amp;$A180,$B$5:$B179,$B180)&gt;0,MIN(1-'Exercise list'!F$2,IF($A180=$A179,AL179,1))-Q180&lt;0),-1,MIN(1,IF($A180=$A179,AL179,1)-Q180+$D$2))</f>
        <v>1</v>
      </c>
      <c r="AM180">
        <f>IF(OR($J180=1,COUNTIFS($A$5:$A179,"&gt;="&amp;$A180-1,$A$5:$A179,"&lt;="&amp;$A180,$B$5:$B179,$B180)&gt;0,MIN(1-'Exercise list'!G$2,IF($A180=$A179,AM179,1))-R180&lt;0),-1,MIN(1,IF($A180=$A179,AM179,1)-R180+$D$2))</f>
        <v>1</v>
      </c>
      <c r="AN180">
        <f>IF(OR($J180=1,COUNTIFS($A$5:$A179,"&gt;="&amp;$A180-1,$A$5:$A179,"&lt;="&amp;$A180,$B$5:$B179,$B180)&gt;0,MIN(1-'Exercise list'!H$2,IF($A180=$A179,AN179,1))-S180&lt;0),-1,MIN(1,IF($A180=$A179,AN179,1)-S180+$D$2))</f>
        <v>1</v>
      </c>
      <c r="AO180">
        <f>IF(OR($J180=1,COUNTIFS($A$5:$A179,"&gt;="&amp;$A180-1,$A$5:$A179,"&lt;="&amp;$A180,$B$5:$B179,$B180)&gt;0,MIN(1-'Exercise list'!I$2,IF($A180=$A179,AO179,1))-T180&lt;0),-1,MIN(1,IF($A180=$A179,AO179,1)-T180+$D$2))</f>
        <v>1</v>
      </c>
      <c r="AP180">
        <f>IF(OR($J180=1,COUNTIFS($A$5:$A179,"&gt;="&amp;$A180-1,$A$5:$A179,"&lt;="&amp;$A180,$B$5:$B179,$B180)&gt;0,MIN(1-'Exercise list'!J$2,IF($A180=$A179,AP179,1))-U180&lt;0),-1,MIN(1,IF($A180=$A179,AP179,1)-U180+$D$2))</f>
        <v>1</v>
      </c>
      <c r="AQ180">
        <f>IF(OR($J180=1,COUNTIFS($A$5:$A179,"&gt;="&amp;$A180-1,$A$5:$A179,"&lt;="&amp;$A180,$B$5:$B179,$B180)&gt;0,MIN(1-'Exercise list'!K$2,IF($A180=$A179,AQ179,1))-V180&lt;0),-1,MIN(1,IF($A180=$A179,AQ179,1)-V180+$D$2))</f>
        <v>1</v>
      </c>
      <c r="AR180">
        <f>IF(OR($J180=1,COUNTIFS($A$5:$A179,"&gt;="&amp;$A180-1,$A$5:$A179,"&lt;="&amp;$A180,$B$5:$B179,$B180)&gt;0,MIN(1-'Exercise list'!L$2,IF($A180=$A179,AR179,1))-W180&lt;0),-1,MIN(1,IF($A180=$A179,AR179,1)-W180+$D$2))</f>
        <v>1</v>
      </c>
      <c r="AS180">
        <f>IF(OR($J180=1,COUNTIFS($A$5:$A179,"&gt;="&amp;$A180-1,$A$5:$A179,"&lt;="&amp;$A180,$B$5:$B179,$B180)&gt;0,MIN(1-'Exercise list'!M$2,IF($A180=$A179,AS179,1))-X180&lt;0),-1,MIN(1,IF($A180=$A179,AS179,1)-X180+$D$2))</f>
        <v>1</v>
      </c>
      <c r="AT180">
        <f>IF(OR($J180=1,COUNTIFS($A$5:$A179,"&gt;="&amp;$A180-1,$A$5:$A179,"&lt;="&amp;$A180,$B$5:$B179,$B180)&gt;0,MIN(1-'Exercise list'!N$2,IF($A180=$A179,AT179,1))-Y180&lt;0),-1,MIN(1,IF($A180=$A179,AT179,1)-Y180+$D$2))</f>
        <v>1</v>
      </c>
      <c r="AU180">
        <f>IF(OR($J180=1,COUNTIFS($A$5:$A179,"&gt;="&amp;$A180-1,$A$5:$A179,"&lt;="&amp;$A180,$B$5:$B179,$B180)&gt;0,MIN(1-'Exercise list'!O$2,IF($A180=$A179,AU179,1))-Z180&lt;0),-1,MIN(1,IF($A180=$A179,AU179,1)-Z180+$D$2))</f>
        <v>1</v>
      </c>
      <c r="AV180">
        <f>IF(OR($J180=1,COUNTIFS($A$5:$A179,"&gt;="&amp;$A180-1,$A$5:$A179,"&lt;="&amp;$A180,$B$5:$B179,$B180)&gt;0,MIN(1-'Exercise list'!P$2,IF($A180=$A179,AV179,1))-AA180&lt;0),-1,MIN(1,IF($A180=$A179,AV179,1)-AA180+$D$2))</f>
        <v>1</v>
      </c>
      <c r="AW180">
        <f>IF(OR($J180=1,COUNTIFS($A$5:$A179,"&gt;="&amp;$A180-1,$A$5:$A179,"&lt;="&amp;$A180,$B$5:$B179,$B180)&gt;0,MIN(1-'Exercise list'!Q$2,IF($A180=$A179,AW179,1))-AB180&lt;0),-1,MIN(1,IF($A180=$A179,AW179,1)-AB180+$D$2))</f>
        <v>1</v>
      </c>
      <c r="AX180">
        <f>IF(OR($J180=1,COUNTIFS($A$5:$A179,"&gt;="&amp;$A180-1,$A$5:$A179,"&lt;="&amp;$A180,$B$5:$B179,$B180)&gt;0,MIN(1-'Exercise list'!R$2,IF($A180=$A179,AX179,1))-AC180&lt;0),-1,MIN(1,IF($A180=$A179,AX179,1)-AC180+$D$2))</f>
        <v>1</v>
      </c>
      <c r="AY180">
        <f>IF(OR($J180=1,COUNTIFS($A$5:$A179,"&gt;="&amp;$A180-1,$A$5:$A179,"&lt;="&amp;$A180,$B$5:$B179,$B180)&gt;0,MIN(1-'Exercise list'!S$2,IF($A180=$A179,AY179,1))-AD180&lt;0),-1,MIN(1,IF($A180=$A179,AY179,1)-AD180+$D$2))</f>
        <v>1</v>
      </c>
      <c r="AZ180">
        <f>IF(OR($J180=1,COUNTIFS($A$5:$A179,"&gt;="&amp;$A180-1,$A$5:$A179,"&lt;="&amp;$A180,$B$5:$B179,$B180)&gt;0,MIN(1-'Exercise list'!T$2,IF($A180=$A179,AZ179,1))-AE180&lt;0),-1,MIN(1,IF($A180=$A179,AZ179,1)-AE180+$D$2))</f>
        <v>1</v>
      </c>
      <c r="BA180">
        <f>IF(OR($J180=1,COUNTIFS($A$5:$A179,"&gt;="&amp;$A180-1,$A$5:$A179,"&lt;="&amp;$A180,$B$5:$B179,$B180)&gt;0,MIN(1-'Exercise list'!U$2,IF($A180=$A179,BA179,1))-AF180&lt;0),-1,MIN(1,IF($A180=$A179,BA179,1)-AF180+$D$2))</f>
        <v>1</v>
      </c>
      <c r="BB180">
        <f>IF(OR($J180=1,COUNTIFS($A$5:$A179,"&gt;="&amp;$A180-1,$A$5:$A179,"&lt;="&amp;$A180,$B$5:$B179,$B180)&gt;0,MIN(1-'Exercise list'!V$2,IF($A180=$A179,BB179,1))-AG180&lt;0),-1,MIN(1,IF($A180=$A179,BB179,1)-AG180+$D$2))</f>
        <v>1</v>
      </c>
      <c r="BC180">
        <f>IF(OR($J180=1,COUNTIFS($A$5:$A179,"&gt;="&amp;$A180-1,$A$5:$A179,"&lt;="&amp;$A180,$B$5:$B179,$B180)&gt;0,MIN(1-'Exercise list'!W$2,IF($A180=$A179,BC179,1))-AH180&lt;0),-1,MIN(1,IF($A180=$A179,BC179,1)-AH180+$D$2))</f>
        <v>1</v>
      </c>
      <c r="BD180">
        <f>IF(OR($J180=1,COUNTIFS($A$5:$A179,"&gt;="&amp;$A180-1,$A$5:$A179,"&lt;="&amp;$A180,$B$5:$B179,$B180)&gt;0,MIN(1-'Exercise list'!X$2,IF($A180=$A179,BD179,1))-AI180&lt;0),-1,MIN(1,IF($A180=$A179,BD179,1)-AI180+$D$2))</f>
        <v>1</v>
      </c>
      <c r="BF180" s="16">
        <f t="shared" si="145"/>
        <v>0.19596031081758858</v>
      </c>
      <c r="BG180" s="16">
        <f t="shared" si="146"/>
        <v>0.21844636935459236</v>
      </c>
      <c r="BH180" s="16">
        <f t="shared" si="147"/>
        <v>0.14609696635987124</v>
      </c>
      <c r="BI180" s="16">
        <f t="shared" si="148"/>
        <v>0.13198015366034541</v>
      </c>
      <c r="BJ180" s="16">
        <f t="shared" si="149"/>
        <v>8.3367914198418713E-2</v>
      </c>
      <c r="BK180" s="16">
        <f t="shared" si="150"/>
        <v>0.10640640223148412</v>
      </c>
      <c r="BL180" s="16">
        <f t="shared" si="151"/>
        <v>0.21963504743569431</v>
      </c>
      <c r="BM180" s="16">
        <f t="shared" si="152"/>
        <v>3.8988008374820568E-3</v>
      </c>
      <c r="BN180" s="16">
        <f t="shared" si="153"/>
        <v>0.14537706087090876</v>
      </c>
      <c r="BO180" s="16">
        <f t="shared" si="154"/>
        <v>0.29209790661993401</v>
      </c>
      <c r="BP180" s="16">
        <f t="shared" si="155"/>
        <v>0.31584545163401867</v>
      </c>
      <c r="BQ180" s="16">
        <f t="shared" si="156"/>
        <v>0.1000007994126096</v>
      </c>
      <c r="BR180" s="16">
        <f t="shared" si="157"/>
        <v>0.13164487759885393</v>
      </c>
      <c r="BS180" s="16">
        <f t="shared" si="158"/>
        <v>2.9803550189863123E-2</v>
      </c>
      <c r="BT180" s="16">
        <f t="shared" si="159"/>
        <v>0.13492040904978705</v>
      </c>
      <c r="BU180" s="16">
        <f t="shared" si="160"/>
        <v>0.11703687414398131</v>
      </c>
      <c r="BV180" s="16">
        <f t="shared" si="161"/>
        <v>0.14633353213781661</v>
      </c>
      <c r="BW180" s="16">
        <f t="shared" si="162"/>
        <v>7.5588015111767173E-2</v>
      </c>
      <c r="BX180" s="16">
        <f t="shared" si="163"/>
        <v>8.0345659937185704E-2</v>
      </c>
      <c r="BY180" s="16">
        <f t="shared" si="164"/>
        <v>5.9014643151272549E-2</v>
      </c>
      <c r="CA180" s="16" t="str">
        <f t="shared" si="141"/>
        <v/>
      </c>
      <c r="CB180" s="16" t="str">
        <f t="shared" si="122"/>
        <v/>
      </c>
      <c r="CC180" s="16" t="str">
        <f t="shared" si="123"/>
        <v/>
      </c>
      <c r="CD180" s="16" t="str">
        <f t="shared" si="124"/>
        <v/>
      </c>
      <c r="CE180" s="16" t="str">
        <f t="shared" si="125"/>
        <v/>
      </c>
      <c r="CF180" s="16" t="str">
        <f t="shared" si="126"/>
        <v/>
      </c>
      <c r="CG180" s="16" t="str">
        <f t="shared" si="127"/>
        <v/>
      </c>
      <c r="CH180" s="16" t="str">
        <f t="shared" si="128"/>
        <v/>
      </c>
      <c r="CI180" s="16" t="str">
        <f t="shared" si="129"/>
        <v/>
      </c>
      <c r="CJ180" s="16" t="str">
        <f t="shared" si="130"/>
        <v/>
      </c>
      <c r="CK180" s="16" t="str">
        <f t="shared" si="131"/>
        <v/>
      </c>
      <c r="CL180" s="16" t="str">
        <f t="shared" si="132"/>
        <v/>
      </c>
      <c r="CM180" s="16" t="str">
        <f t="shared" si="133"/>
        <v/>
      </c>
      <c r="CN180" s="16" t="str">
        <f t="shared" si="134"/>
        <v/>
      </c>
      <c r="CO180" s="16" t="str">
        <f t="shared" si="135"/>
        <v/>
      </c>
      <c r="CP180" s="16" t="str">
        <f t="shared" si="136"/>
        <v/>
      </c>
      <c r="CQ180" s="16" t="str">
        <f t="shared" si="137"/>
        <v/>
      </c>
      <c r="CR180" s="16" t="str">
        <f t="shared" si="138"/>
        <v/>
      </c>
      <c r="CS180" s="16" t="str">
        <f t="shared" si="139"/>
        <v/>
      </c>
      <c r="CT180" s="16" t="str">
        <f t="shared" si="140"/>
        <v/>
      </c>
    </row>
    <row r="181" spans="1:99" x14ac:dyDescent="0.25">
      <c r="A181" s="13"/>
      <c r="B181" s="14"/>
      <c r="C181" s="15" t="str" cm="1">
        <f t="array" ref="C181">IF(B181="","",INDEX('Exercise list'!$C$5:$C$102,B181))</f>
        <v/>
      </c>
      <c r="D181" s="12" t="str">
        <f t="shared" si="142"/>
        <v/>
      </c>
      <c r="E181" s="107" t="str">
        <f t="shared" si="165"/>
        <v/>
      </c>
      <c r="F181" s="63" t="str" cm="1">
        <f t="array" ref="F181">IF(B181="","",0.1+IFERROR(INDEX($F$6:$F180,SUMPRODUCT(MAX(ROW($C$6:$C180)*($C181=$C$6:$C180))-ROW($A$5)))*0.9^($A181-INDEX($A$6:A180,SUMPRODUCT(MAX(ROW($C$6:$C180)*($C181=$C$6:$C180))-ROW($A$5)))),0))</f>
        <v/>
      </c>
      <c r="G181" s="64" t="e">
        <f>INDEX('Exercise list'!$Y$5:$Y$102,MATCH(C181,'Exercise list'!$C$5:$C$102,0))</f>
        <v>#N/A</v>
      </c>
      <c r="H181" s="115">
        <f t="shared" si="143"/>
        <v>0</v>
      </c>
      <c r="I181" s="6">
        <f t="shared" si="144"/>
        <v>5</v>
      </c>
      <c r="J181" s="6" t="str" cm="1">
        <f t="array" ref="J181">IF(B181="","",INDEX('Exercise list'!$D$5:$D$102,B181))</f>
        <v/>
      </c>
      <c r="K181" s="12">
        <v>38</v>
      </c>
      <c r="L181" s="74" t="str" cm="1">
        <f t="array" ref="L181">IF(K181="","",INDEX('Exercise list'!$C$5:$C$102,K181))</f>
        <v>Cable hip abductions</v>
      </c>
      <c r="M181" s="6">
        <v>45</v>
      </c>
      <c r="N181" s="75" t="str" cm="1">
        <f t="array" ref="N181">IF(M181="","",INDEX('Exercise list'!$C$5:$C$102,M181))</f>
        <v>Machine seated leg curls</v>
      </c>
      <c r="P181">
        <f>IFERROR(INDEX('Exercise list'!$E$5:$X$102,MATCH($C181,'Exercise list'!$C$5:$C$102,0),MATCH(P$5,'Exercise list'!$E$4:$X$4,0)),0)</f>
        <v>0</v>
      </c>
      <c r="Q181">
        <f>IFERROR(INDEX('Exercise list'!$E$5:$X$102,MATCH($C181,'Exercise list'!$C$5:$C$102,0),MATCH(Q$5,'Exercise list'!$E$4:$X$4,0)),0)</f>
        <v>0</v>
      </c>
      <c r="R181">
        <f>IFERROR(INDEX('Exercise list'!$E$5:$X$102,MATCH($C181,'Exercise list'!$C$5:$C$102,0),MATCH(R$5,'Exercise list'!$E$4:$X$4,0)),0)</f>
        <v>0</v>
      </c>
      <c r="S181">
        <f>IFERROR(INDEX('Exercise list'!$E$5:$X$102,MATCH($C181,'Exercise list'!$C$5:$C$102,0),MATCH(S$5,'Exercise list'!$E$4:$X$4,0)),0)</f>
        <v>0</v>
      </c>
      <c r="T181">
        <f>IFERROR(INDEX('Exercise list'!$E$5:$X$102,MATCH($C181,'Exercise list'!$C$5:$C$102,0),MATCH(T$5,'Exercise list'!$E$4:$X$4,0)),0)</f>
        <v>0</v>
      </c>
      <c r="U181">
        <f>IFERROR(INDEX('Exercise list'!$E$5:$X$102,MATCH($C181,'Exercise list'!$C$5:$C$102,0),MATCH(U$5,'Exercise list'!$E$4:$X$4,0)),0)</f>
        <v>0</v>
      </c>
      <c r="V181">
        <f>IFERROR(INDEX('Exercise list'!$E$5:$X$102,MATCH($C181,'Exercise list'!$C$5:$C$102,0),MATCH(V$5,'Exercise list'!$E$4:$X$4,0)),0)</f>
        <v>0</v>
      </c>
      <c r="W181">
        <f>IFERROR(INDEX('Exercise list'!$E$5:$X$102,MATCH($C181,'Exercise list'!$C$5:$C$102,0),MATCH(W$5,'Exercise list'!$E$4:$X$4,0)),0)</f>
        <v>0</v>
      </c>
      <c r="X181">
        <f>IFERROR(INDEX('Exercise list'!$E$5:$X$102,MATCH($C181,'Exercise list'!$C$5:$C$102,0),MATCH(X$5,'Exercise list'!$E$4:$X$4,0)),0)</f>
        <v>0</v>
      </c>
      <c r="Y181">
        <f>IFERROR(INDEX('Exercise list'!$E$5:$X$102,MATCH($C181,'Exercise list'!$C$5:$C$102,0),MATCH(Y$5,'Exercise list'!$E$4:$X$4,0)),0)</f>
        <v>0</v>
      </c>
      <c r="Z181">
        <f>IFERROR(INDEX('Exercise list'!$E$5:$X$102,MATCH($C181,'Exercise list'!$C$5:$C$102,0),MATCH(Z$5,'Exercise list'!$E$4:$X$4,0)),0)</f>
        <v>0</v>
      </c>
      <c r="AA181">
        <f>IFERROR(INDEX('Exercise list'!$E$5:$X$102,MATCH($C181,'Exercise list'!$C$5:$C$102,0),MATCH(AA$5,'Exercise list'!$E$4:$X$4,0)),0)</f>
        <v>0</v>
      </c>
      <c r="AB181">
        <f>IFERROR(INDEX('Exercise list'!$E$5:$X$102,MATCH($C181,'Exercise list'!$C$5:$C$102,0),MATCH(AB$5,'Exercise list'!$E$4:$X$4,0)),0)</f>
        <v>0</v>
      </c>
      <c r="AC181">
        <f>IFERROR(INDEX('Exercise list'!$E$5:$X$102,MATCH($C181,'Exercise list'!$C$5:$C$102,0),MATCH(AC$5,'Exercise list'!$E$4:$X$4,0)),0)</f>
        <v>0</v>
      </c>
      <c r="AD181">
        <f>IFERROR(INDEX('Exercise list'!$E$5:$X$102,MATCH($C181,'Exercise list'!$C$5:$C$102,0),MATCH(AD$5,'Exercise list'!$E$4:$X$4,0)),0)</f>
        <v>0</v>
      </c>
      <c r="AE181">
        <f>IFERROR(INDEX('Exercise list'!$E$5:$X$102,MATCH($C181,'Exercise list'!$C$5:$C$102,0),MATCH(AE$5,'Exercise list'!$E$4:$X$4,0)),0)</f>
        <v>0</v>
      </c>
      <c r="AF181">
        <f>IFERROR(INDEX('Exercise list'!$E$5:$X$102,MATCH($C181,'Exercise list'!$C$5:$C$102,0),MATCH(AF$5,'Exercise list'!$E$4:$X$4,0)),0)</f>
        <v>0</v>
      </c>
      <c r="AG181">
        <f>IFERROR(INDEX('Exercise list'!$E$5:$X$102,MATCH($C181,'Exercise list'!$C$5:$C$102,0),MATCH(AG$5,'Exercise list'!$E$4:$X$4,0)),0)</f>
        <v>0</v>
      </c>
      <c r="AH181">
        <f>IFERROR(INDEX('Exercise list'!$E$5:$X$102,MATCH($C181,'Exercise list'!$C$5:$C$102,0),MATCH(AH$5,'Exercise list'!$E$4:$X$4,0)),0)</f>
        <v>0</v>
      </c>
      <c r="AI181">
        <f>IFERROR(INDEX('Exercise list'!$E$5:$X$102,MATCH($C181,'Exercise list'!$C$5:$C$102,0),MATCH(AI$5,'Exercise list'!$E$4:$X$4,0)),0)</f>
        <v>0</v>
      </c>
      <c r="AK181">
        <f>IF(OR($J181=1,COUNTIFS($A$5:$A180,"&gt;="&amp;$A181-1,$A$5:$A180,"&lt;="&amp;$A181,$B$5:$B180,$B181)&gt;0,MIN(1-'Exercise list'!E$2,IF($A181=$A180,AK180,1))-P181&lt;0),-1,MIN(1,IF($A181=$A180,AK180,1)-P181+$D$2))</f>
        <v>1</v>
      </c>
      <c r="AL181">
        <f>IF(OR($J181=1,COUNTIFS($A$5:$A180,"&gt;="&amp;$A181-1,$A$5:$A180,"&lt;="&amp;$A181,$B$5:$B180,$B181)&gt;0,MIN(1-'Exercise list'!F$2,IF($A181=$A180,AL180,1))-Q181&lt;0),-1,MIN(1,IF($A181=$A180,AL180,1)-Q181+$D$2))</f>
        <v>1</v>
      </c>
      <c r="AM181">
        <f>IF(OR($J181=1,COUNTIFS($A$5:$A180,"&gt;="&amp;$A181-1,$A$5:$A180,"&lt;="&amp;$A181,$B$5:$B180,$B181)&gt;0,MIN(1-'Exercise list'!G$2,IF($A181=$A180,AM180,1))-R181&lt;0),-1,MIN(1,IF($A181=$A180,AM180,1)-R181+$D$2))</f>
        <v>1</v>
      </c>
      <c r="AN181">
        <f>IF(OR($J181=1,COUNTIFS($A$5:$A180,"&gt;="&amp;$A181-1,$A$5:$A180,"&lt;="&amp;$A181,$B$5:$B180,$B181)&gt;0,MIN(1-'Exercise list'!H$2,IF($A181=$A180,AN180,1))-S181&lt;0),-1,MIN(1,IF($A181=$A180,AN180,1)-S181+$D$2))</f>
        <v>1</v>
      </c>
      <c r="AO181">
        <f>IF(OR($J181=1,COUNTIFS($A$5:$A180,"&gt;="&amp;$A181-1,$A$5:$A180,"&lt;="&amp;$A181,$B$5:$B180,$B181)&gt;0,MIN(1-'Exercise list'!I$2,IF($A181=$A180,AO180,1))-T181&lt;0),-1,MIN(1,IF($A181=$A180,AO180,1)-T181+$D$2))</f>
        <v>1</v>
      </c>
      <c r="AP181">
        <f>IF(OR($J181=1,COUNTIFS($A$5:$A180,"&gt;="&amp;$A181-1,$A$5:$A180,"&lt;="&amp;$A181,$B$5:$B180,$B181)&gt;0,MIN(1-'Exercise list'!J$2,IF($A181=$A180,AP180,1))-U181&lt;0),-1,MIN(1,IF($A181=$A180,AP180,1)-U181+$D$2))</f>
        <v>1</v>
      </c>
      <c r="AQ181">
        <f>IF(OR($J181=1,COUNTIFS($A$5:$A180,"&gt;="&amp;$A181-1,$A$5:$A180,"&lt;="&amp;$A181,$B$5:$B180,$B181)&gt;0,MIN(1-'Exercise list'!K$2,IF($A181=$A180,AQ180,1))-V181&lt;0),-1,MIN(1,IF($A181=$A180,AQ180,1)-V181+$D$2))</f>
        <v>1</v>
      </c>
      <c r="AR181">
        <f>IF(OR($J181=1,COUNTIFS($A$5:$A180,"&gt;="&amp;$A181-1,$A$5:$A180,"&lt;="&amp;$A181,$B$5:$B180,$B181)&gt;0,MIN(1-'Exercise list'!L$2,IF($A181=$A180,AR180,1))-W181&lt;0),-1,MIN(1,IF($A181=$A180,AR180,1)-W181+$D$2))</f>
        <v>1</v>
      </c>
      <c r="AS181">
        <f>IF(OR($J181=1,COUNTIFS($A$5:$A180,"&gt;="&amp;$A181-1,$A$5:$A180,"&lt;="&amp;$A181,$B$5:$B180,$B181)&gt;0,MIN(1-'Exercise list'!M$2,IF($A181=$A180,AS180,1))-X181&lt;0),-1,MIN(1,IF($A181=$A180,AS180,1)-X181+$D$2))</f>
        <v>1</v>
      </c>
      <c r="AT181">
        <f>IF(OR($J181=1,COUNTIFS($A$5:$A180,"&gt;="&amp;$A181-1,$A$5:$A180,"&lt;="&amp;$A181,$B$5:$B180,$B181)&gt;0,MIN(1-'Exercise list'!N$2,IF($A181=$A180,AT180,1))-Y181&lt;0),-1,MIN(1,IF($A181=$A180,AT180,1)-Y181+$D$2))</f>
        <v>1</v>
      </c>
      <c r="AU181">
        <f>IF(OR($J181=1,COUNTIFS($A$5:$A180,"&gt;="&amp;$A181-1,$A$5:$A180,"&lt;="&amp;$A181,$B$5:$B180,$B181)&gt;0,MIN(1-'Exercise list'!O$2,IF($A181=$A180,AU180,1))-Z181&lt;0),-1,MIN(1,IF($A181=$A180,AU180,1)-Z181+$D$2))</f>
        <v>1</v>
      </c>
      <c r="AV181">
        <f>IF(OR($J181=1,COUNTIFS($A$5:$A180,"&gt;="&amp;$A181-1,$A$5:$A180,"&lt;="&amp;$A181,$B$5:$B180,$B181)&gt;0,MIN(1-'Exercise list'!P$2,IF($A181=$A180,AV180,1))-AA181&lt;0),-1,MIN(1,IF($A181=$A180,AV180,1)-AA181+$D$2))</f>
        <v>1</v>
      </c>
      <c r="AW181">
        <f>IF(OR($J181=1,COUNTIFS($A$5:$A180,"&gt;="&amp;$A181-1,$A$5:$A180,"&lt;="&amp;$A181,$B$5:$B180,$B181)&gt;0,MIN(1-'Exercise list'!Q$2,IF($A181=$A180,AW180,1))-AB181&lt;0),-1,MIN(1,IF($A181=$A180,AW180,1)-AB181+$D$2))</f>
        <v>1</v>
      </c>
      <c r="AX181">
        <f>IF(OR($J181=1,COUNTIFS($A$5:$A180,"&gt;="&amp;$A181-1,$A$5:$A180,"&lt;="&amp;$A181,$B$5:$B180,$B181)&gt;0,MIN(1-'Exercise list'!R$2,IF($A181=$A180,AX180,1))-AC181&lt;0),-1,MIN(1,IF($A181=$A180,AX180,1)-AC181+$D$2))</f>
        <v>1</v>
      </c>
      <c r="AY181">
        <f>IF(OR($J181=1,COUNTIFS($A$5:$A180,"&gt;="&amp;$A181-1,$A$5:$A180,"&lt;="&amp;$A181,$B$5:$B180,$B181)&gt;0,MIN(1-'Exercise list'!S$2,IF($A181=$A180,AY180,1))-AD181&lt;0),-1,MIN(1,IF($A181=$A180,AY180,1)-AD181+$D$2))</f>
        <v>1</v>
      </c>
      <c r="AZ181">
        <f>IF(OR($J181=1,COUNTIFS($A$5:$A180,"&gt;="&amp;$A181-1,$A$5:$A180,"&lt;="&amp;$A181,$B$5:$B180,$B181)&gt;0,MIN(1-'Exercise list'!T$2,IF($A181=$A180,AZ180,1))-AE181&lt;0),-1,MIN(1,IF($A181=$A180,AZ180,1)-AE181+$D$2))</f>
        <v>1</v>
      </c>
      <c r="BA181">
        <f>IF(OR($J181=1,COUNTIFS($A$5:$A180,"&gt;="&amp;$A181-1,$A$5:$A180,"&lt;="&amp;$A181,$B$5:$B180,$B181)&gt;0,MIN(1-'Exercise list'!U$2,IF($A181=$A180,BA180,1))-AF181&lt;0),-1,MIN(1,IF($A181=$A180,BA180,1)-AF181+$D$2))</f>
        <v>1</v>
      </c>
      <c r="BB181">
        <f>IF(OR($J181=1,COUNTIFS($A$5:$A180,"&gt;="&amp;$A181-1,$A$5:$A180,"&lt;="&amp;$A181,$B$5:$B180,$B181)&gt;0,MIN(1-'Exercise list'!V$2,IF($A181=$A180,BB180,1))-AG181&lt;0),-1,MIN(1,IF($A181=$A180,BB180,1)-AG181+$D$2))</f>
        <v>1</v>
      </c>
      <c r="BC181">
        <f>IF(OR($J181=1,COUNTIFS($A$5:$A180,"&gt;="&amp;$A181-1,$A$5:$A180,"&lt;="&amp;$A181,$B$5:$B180,$B181)&gt;0,MIN(1-'Exercise list'!W$2,IF($A181=$A180,BC180,1))-AH181&lt;0),-1,MIN(1,IF($A181=$A180,BC180,1)-AH181+$D$2))</f>
        <v>1</v>
      </c>
      <c r="BD181">
        <f>IF(OR($J181=1,COUNTIFS($A$5:$A180,"&gt;="&amp;$A181-1,$A$5:$A180,"&lt;="&amp;$A181,$B$5:$B180,$B181)&gt;0,MIN(1-'Exercise list'!X$2,IF($A181=$A180,BD180,1))-AI181&lt;0),-1,MIN(1,IF($A181=$A180,BD180,1)-AI181+$D$2))</f>
        <v>1</v>
      </c>
      <c r="BF181" s="16">
        <f t="shared" si="145"/>
        <v>0.19596031081758858</v>
      </c>
      <c r="BG181" s="16">
        <f t="shared" si="146"/>
        <v>0.21844636935459236</v>
      </c>
      <c r="BH181" s="16">
        <f t="shared" si="147"/>
        <v>0.14609696635987124</v>
      </c>
      <c r="BI181" s="16">
        <f t="shared" si="148"/>
        <v>0.13198015366034541</v>
      </c>
      <c r="BJ181" s="16">
        <f t="shared" si="149"/>
        <v>8.3367914198418713E-2</v>
      </c>
      <c r="BK181" s="16">
        <f t="shared" si="150"/>
        <v>0.10640640223148412</v>
      </c>
      <c r="BL181" s="16">
        <f t="shared" si="151"/>
        <v>0.21963504743569431</v>
      </c>
      <c r="BM181" s="16">
        <f t="shared" si="152"/>
        <v>3.8988008374820568E-3</v>
      </c>
      <c r="BN181" s="16">
        <f t="shared" si="153"/>
        <v>0.14537706087090876</v>
      </c>
      <c r="BO181" s="16">
        <f t="shared" si="154"/>
        <v>0.29209790661993401</v>
      </c>
      <c r="BP181" s="16">
        <f t="shared" si="155"/>
        <v>0.31584545163401867</v>
      </c>
      <c r="BQ181" s="16">
        <f t="shared" si="156"/>
        <v>0.1000007994126096</v>
      </c>
      <c r="BR181" s="16">
        <f t="shared" si="157"/>
        <v>0.13164487759885393</v>
      </c>
      <c r="BS181" s="16">
        <f t="shared" si="158"/>
        <v>2.9803550189863123E-2</v>
      </c>
      <c r="BT181" s="16">
        <f t="shared" si="159"/>
        <v>0.13492040904978705</v>
      </c>
      <c r="BU181" s="16">
        <f t="shared" si="160"/>
        <v>0.11703687414398131</v>
      </c>
      <c r="BV181" s="16">
        <f t="shared" si="161"/>
        <v>0.14633353213781661</v>
      </c>
      <c r="BW181" s="16">
        <f t="shared" si="162"/>
        <v>7.5588015111767173E-2</v>
      </c>
      <c r="BX181" s="16">
        <f t="shared" si="163"/>
        <v>8.0345659937185704E-2</v>
      </c>
      <c r="BY181" s="16">
        <f t="shared" si="164"/>
        <v>5.9014643151272549E-2</v>
      </c>
      <c r="CA181" s="16" t="str">
        <f t="shared" si="141"/>
        <v/>
      </c>
      <c r="CB181" s="16" t="str">
        <f t="shared" si="122"/>
        <v/>
      </c>
      <c r="CC181" s="16" t="str">
        <f t="shared" si="123"/>
        <v/>
      </c>
      <c r="CD181" s="16" t="str">
        <f t="shared" si="124"/>
        <v/>
      </c>
      <c r="CE181" s="16" t="str">
        <f t="shared" si="125"/>
        <v/>
      </c>
      <c r="CF181" s="16" t="str">
        <f t="shared" si="126"/>
        <v/>
      </c>
      <c r="CG181" s="16" t="str">
        <f t="shared" si="127"/>
        <v/>
      </c>
      <c r="CH181" s="16" t="str">
        <f t="shared" si="128"/>
        <v/>
      </c>
      <c r="CI181" s="16" t="str">
        <f t="shared" si="129"/>
        <v/>
      </c>
      <c r="CJ181" s="16" t="str">
        <f t="shared" si="130"/>
        <v/>
      </c>
      <c r="CK181" s="16" t="str">
        <f t="shared" si="131"/>
        <v/>
      </c>
      <c r="CL181" s="16" t="str">
        <f t="shared" si="132"/>
        <v/>
      </c>
      <c r="CM181" s="16" t="str">
        <f t="shared" si="133"/>
        <v/>
      </c>
      <c r="CN181" s="16" t="str">
        <f t="shared" si="134"/>
        <v/>
      </c>
      <c r="CO181" s="16" t="str">
        <f t="shared" si="135"/>
        <v/>
      </c>
      <c r="CP181" s="16" t="str">
        <f t="shared" si="136"/>
        <v/>
      </c>
      <c r="CQ181" s="16" t="str">
        <f t="shared" si="137"/>
        <v/>
      </c>
      <c r="CR181" s="16" t="str">
        <f t="shared" si="138"/>
        <v/>
      </c>
      <c r="CS181" s="16" t="str">
        <f t="shared" si="139"/>
        <v/>
      </c>
      <c r="CT181" s="16" t="str">
        <f t="shared" si="140"/>
        <v/>
      </c>
    </row>
    <row r="182" spans="1:99" x14ac:dyDescent="0.25">
      <c r="A182" s="13"/>
      <c r="B182" s="14"/>
      <c r="C182" s="15" t="str" cm="1">
        <f t="array" ref="C182">IF(B182="","",INDEX('Exercise list'!$C$5:$C$102,B182))</f>
        <v/>
      </c>
      <c r="D182" s="12" t="str">
        <f t="shared" si="142"/>
        <v/>
      </c>
      <c r="E182" s="107" t="str">
        <f t="shared" si="165"/>
        <v/>
      </c>
      <c r="F182" s="63" t="str" cm="1">
        <f t="array" ref="F182">IF(B182="","",0.1+IFERROR(INDEX($F$6:$F181,SUMPRODUCT(MAX(ROW($C$6:$C181)*($C182=$C$6:$C181))-ROW($A$5)))*0.9^($A182-INDEX($A$6:A181,SUMPRODUCT(MAX(ROW($C$6:$C181)*($C182=$C$6:$C181))-ROW($A$5)))),0))</f>
        <v/>
      </c>
      <c r="G182" s="64" t="e">
        <f>INDEX('Exercise list'!$Y$5:$Y$102,MATCH(C182,'Exercise list'!$C$5:$C$102,0))</f>
        <v>#N/A</v>
      </c>
      <c r="H182" s="115">
        <f t="shared" si="143"/>
        <v>0</v>
      </c>
      <c r="I182" s="6">
        <f t="shared" si="144"/>
        <v>5</v>
      </c>
      <c r="J182" s="6" t="str" cm="1">
        <f t="array" ref="J182">IF(B182="","",INDEX('Exercise list'!$D$5:$D$102,B182))</f>
        <v/>
      </c>
      <c r="K182" s="12">
        <v>8</v>
      </c>
      <c r="L182" s="74" t="str" cm="1">
        <f t="array" ref="L182">IF(K182="","",INDEX('Exercise list'!$C$5:$C$102,K182))</f>
        <v>Barbell deadlifts</v>
      </c>
      <c r="M182" s="6">
        <v>44</v>
      </c>
      <c r="N182" s="75" t="str" cm="1">
        <f t="array" ref="N182">IF(M182="","",INDEX('Exercise list'!$C$5:$C$102,M182))</f>
        <v>Leg presses</v>
      </c>
      <c r="P182">
        <f>IFERROR(INDEX('Exercise list'!$E$5:$X$102,MATCH($C182,'Exercise list'!$C$5:$C$102,0),MATCH(P$5,'Exercise list'!$E$4:$X$4,0)),0)</f>
        <v>0</v>
      </c>
      <c r="Q182">
        <f>IFERROR(INDEX('Exercise list'!$E$5:$X$102,MATCH($C182,'Exercise list'!$C$5:$C$102,0),MATCH(Q$5,'Exercise list'!$E$4:$X$4,0)),0)</f>
        <v>0</v>
      </c>
      <c r="R182">
        <f>IFERROR(INDEX('Exercise list'!$E$5:$X$102,MATCH($C182,'Exercise list'!$C$5:$C$102,0),MATCH(R$5,'Exercise list'!$E$4:$X$4,0)),0)</f>
        <v>0</v>
      </c>
      <c r="S182">
        <f>IFERROR(INDEX('Exercise list'!$E$5:$X$102,MATCH($C182,'Exercise list'!$C$5:$C$102,0),MATCH(S$5,'Exercise list'!$E$4:$X$4,0)),0)</f>
        <v>0</v>
      </c>
      <c r="T182">
        <f>IFERROR(INDEX('Exercise list'!$E$5:$X$102,MATCH($C182,'Exercise list'!$C$5:$C$102,0),MATCH(T$5,'Exercise list'!$E$4:$X$4,0)),0)</f>
        <v>0</v>
      </c>
      <c r="U182">
        <f>IFERROR(INDEX('Exercise list'!$E$5:$X$102,MATCH($C182,'Exercise list'!$C$5:$C$102,0),MATCH(U$5,'Exercise list'!$E$4:$X$4,0)),0)</f>
        <v>0</v>
      </c>
      <c r="V182">
        <f>IFERROR(INDEX('Exercise list'!$E$5:$X$102,MATCH($C182,'Exercise list'!$C$5:$C$102,0),MATCH(V$5,'Exercise list'!$E$4:$X$4,0)),0)</f>
        <v>0</v>
      </c>
      <c r="W182">
        <f>IFERROR(INDEX('Exercise list'!$E$5:$X$102,MATCH($C182,'Exercise list'!$C$5:$C$102,0),MATCH(W$5,'Exercise list'!$E$4:$X$4,0)),0)</f>
        <v>0</v>
      </c>
      <c r="X182">
        <f>IFERROR(INDEX('Exercise list'!$E$5:$X$102,MATCH($C182,'Exercise list'!$C$5:$C$102,0),MATCH(X$5,'Exercise list'!$E$4:$X$4,0)),0)</f>
        <v>0</v>
      </c>
      <c r="Y182">
        <f>IFERROR(INDEX('Exercise list'!$E$5:$X$102,MATCH($C182,'Exercise list'!$C$5:$C$102,0),MATCH(Y$5,'Exercise list'!$E$4:$X$4,0)),0)</f>
        <v>0</v>
      </c>
      <c r="Z182">
        <f>IFERROR(INDEX('Exercise list'!$E$5:$X$102,MATCH($C182,'Exercise list'!$C$5:$C$102,0),MATCH(Z$5,'Exercise list'!$E$4:$X$4,0)),0)</f>
        <v>0</v>
      </c>
      <c r="AA182">
        <f>IFERROR(INDEX('Exercise list'!$E$5:$X$102,MATCH($C182,'Exercise list'!$C$5:$C$102,0),MATCH(AA$5,'Exercise list'!$E$4:$X$4,0)),0)</f>
        <v>0</v>
      </c>
      <c r="AB182">
        <f>IFERROR(INDEX('Exercise list'!$E$5:$X$102,MATCH($C182,'Exercise list'!$C$5:$C$102,0),MATCH(AB$5,'Exercise list'!$E$4:$X$4,0)),0)</f>
        <v>0</v>
      </c>
      <c r="AC182">
        <f>IFERROR(INDEX('Exercise list'!$E$5:$X$102,MATCH($C182,'Exercise list'!$C$5:$C$102,0),MATCH(AC$5,'Exercise list'!$E$4:$X$4,0)),0)</f>
        <v>0</v>
      </c>
      <c r="AD182">
        <f>IFERROR(INDEX('Exercise list'!$E$5:$X$102,MATCH($C182,'Exercise list'!$C$5:$C$102,0),MATCH(AD$5,'Exercise list'!$E$4:$X$4,0)),0)</f>
        <v>0</v>
      </c>
      <c r="AE182">
        <f>IFERROR(INDEX('Exercise list'!$E$5:$X$102,MATCH($C182,'Exercise list'!$C$5:$C$102,0),MATCH(AE$5,'Exercise list'!$E$4:$X$4,0)),0)</f>
        <v>0</v>
      </c>
      <c r="AF182">
        <f>IFERROR(INDEX('Exercise list'!$E$5:$X$102,MATCH($C182,'Exercise list'!$C$5:$C$102,0),MATCH(AF$5,'Exercise list'!$E$4:$X$4,0)),0)</f>
        <v>0</v>
      </c>
      <c r="AG182">
        <f>IFERROR(INDEX('Exercise list'!$E$5:$X$102,MATCH($C182,'Exercise list'!$C$5:$C$102,0),MATCH(AG$5,'Exercise list'!$E$4:$X$4,0)),0)</f>
        <v>0</v>
      </c>
      <c r="AH182">
        <f>IFERROR(INDEX('Exercise list'!$E$5:$X$102,MATCH($C182,'Exercise list'!$C$5:$C$102,0),MATCH(AH$5,'Exercise list'!$E$4:$X$4,0)),0)</f>
        <v>0</v>
      </c>
      <c r="AI182">
        <f>IFERROR(INDEX('Exercise list'!$E$5:$X$102,MATCH($C182,'Exercise list'!$C$5:$C$102,0),MATCH(AI$5,'Exercise list'!$E$4:$X$4,0)),0)</f>
        <v>0</v>
      </c>
      <c r="AK182">
        <f>IF(OR($J182=1,COUNTIFS($A$5:$A181,"&gt;="&amp;$A182-1,$A$5:$A181,"&lt;="&amp;$A182,$B$5:$B181,$B182)&gt;0,MIN(1-'Exercise list'!E$2,IF($A182=$A181,AK181,1))-P182&lt;0),-1,MIN(1,IF($A182=$A181,AK181,1)-P182+$D$2))</f>
        <v>1</v>
      </c>
      <c r="AL182">
        <f>IF(OR($J182=1,COUNTIFS($A$5:$A181,"&gt;="&amp;$A182-1,$A$5:$A181,"&lt;="&amp;$A182,$B$5:$B181,$B182)&gt;0,MIN(1-'Exercise list'!F$2,IF($A182=$A181,AL181,1))-Q182&lt;0),-1,MIN(1,IF($A182=$A181,AL181,1)-Q182+$D$2))</f>
        <v>1</v>
      </c>
      <c r="AM182">
        <f>IF(OR($J182=1,COUNTIFS($A$5:$A181,"&gt;="&amp;$A182-1,$A$5:$A181,"&lt;="&amp;$A182,$B$5:$B181,$B182)&gt;0,MIN(1-'Exercise list'!G$2,IF($A182=$A181,AM181,1))-R182&lt;0),-1,MIN(1,IF($A182=$A181,AM181,1)-R182+$D$2))</f>
        <v>1</v>
      </c>
      <c r="AN182">
        <f>IF(OR($J182=1,COUNTIFS($A$5:$A181,"&gt;="&amp;$A182-1,$A$5:$A181,"&lt;="&amp;$A182,$B$5:$B181,$B182)&gt;0,MIN(1-'Exercise list'!H$2,IF($A182=$A181,AN181,1))-S182&lt;0),-1,MIN(1,IF($A182=$A181,AN181,1)-S182+$D$2))</f>
        <v>1</v>
      </c>
      <c r="AO182">
        <f>IF(OR($J182=1,COUNTIFS($A$5:$A181,"&gt;="&amp;$A182-1,$A$5:$A181,"&lt;="&amp;$A182,$B$5:$B181,$B182)&gt;0,MIN(1-'Exercise list'!I$2,IF($A182=$A181,AO181,1))-T182&lt;0),-1,MIN(1,IF($A182=$A181,AO181,1)-T182+$D$2))</f>
        <v>1</v>
      </c>
      <c r="AP182">
        <f>IF(OR($J182=1,COUNTIFS($A$5:$A181,"&gt;="&amp;$A182-1,$A$5:$A181,"&lt;="&amp;$A182,$B$5:$B181,$B182)&gt;0,MIN(1-'Exercise list'!J$2,IF($A182=$A181,AP181,1))-U182&lt;0),-1,MIN(1,IF($A182=$A181,AP181,1)-U182+$D$2))</f>
        <v>1</v>
      </c>
      <c r="AQ182">
        <f>IF(OR($J182=1,COUNTIFS($A$5:$A181,"&gt;="&amp;$A182-1,$A$5:$A181,"&lt;="&amp;$A182,$B$5:$B181,$B182)&gt;0,MIN(1-'Exercise list'!K$2,IF($A182=$A181,AQ181,1))-V182&lt;0),-1,MIN(1,IF($A182=$A181,AQ181,1)-V182+$D$2))</f>
        <v>1</v>
      </c>
      <c r="AR182">
        <f>IF(OR($J182=1,COUNTIFS($A$5:$A181,"&gt;="&amp;$A182-1,$A$5:$A181,"&lt;="&amp;$A182,$B$5:$B181,$B182)&gt;0,MIN(1-'Exercise list'!L$2,IF($A182=$A181,AR181,1))-W182&lt;0),-1,MIN(1,IF($A182=$A181,AR181,1)-W182+$D$2))</f>
        <v>1</v>
      </c>
      <c r="AS182">
        <f>IF(OR($J182=1,COUNTIFS($A$5:$A181,"&gt;="&amp;$A182-1,$A$5:$A181,"&lt;="&amp;$A182,$B$5:$B181,$B182)&gt;0,MIN(1-'Exercise list'!M$2,IF($A182=$A181,AS181,1))-X182&lt;0),-1,MIN(1,IF($A182=$A181,AS181,1)-X182+$D$2))</f>
        <v>1</v>
      </c>
      <c r="AT182">
        <f>IF(OR($J182=1,COUNTIFS($A$5:$A181,"&gt;="&amp;$A182-1,$A$5:$A181,"&lt;="&amp;$A182,$B$5:$B181,$B182)&gt;0,MIN(1-'Exercise list'!N$2,IF($A182=$A181,AT181,1))-Y182&lt;0),-1,MIN(1,IF($A182=$A181,AT181,1)-Y182+$D$2))</f>
        <v>1</v>
      </c>
      <c r="AU182">
        <f>IF(OR($J182=1,COUNTIFS($A$5:$A181,"&gt;="&amp;$A182-1,$A$5:$A181,"&lt;="&amp;$A182,$B$5:$B181,$B182)&gt;0,MIN(1-'Exercise list'!O$2,IF($A182=$A181,AU181,1))-Z182&lt;0),-1,MIN(1,IF($A182=$A181,AU181,1)-Z182+$D$2))</f>
        <v>1</v>
      </c>
      <c r="AV182">
        <f>IF(OR($J182=1,COUNTIFS($A$5:$A181,"&gt;="&amp;$A182-1,$A$5:$A181,"&lt;="&amp;$A182,$B$5:$B181,$B182)&gt;0,MIN(1-'Exercise list'!P$2,IF($A182=$A181,AV181,1))-AA182&lt;0),-1,MIN(1,IF($A182=$A181,AV181,1)-AA182+$D$2))</f>
        <v>1</v>
      </c>
      <c r="AW182">
        <f>IF(OR($J182=1,COUNTIFS($A$5:$A181,"&gt;="&amp;$A182-1,$A$5:$A181,"&lt;="&amp;$A182,$B$5:$B181,$B182)&gt;0,MIN(1-'Exercise list'!Q$2,IF($A182=$A181,AW181,1))-AB182&lt;0),-1,MIN(1,IF($A182=$A181,AW181,1)-AB182+$D$2))</f>
        <v>1</v>
      </c>
      <c r="AX182">
        <f>IF(OR($J182=1,COUNTIFS($A$5:$A181,"&gt;="&amp;$A182-1,$A$5:$A181,"&lt;="&amp;$A182,$B$5:$B181,$B182)&gt;0,MIN(1-'Exercise list'!R$2,IF($A182=$A181,AX181,1))-AC182&lt;0),-1,MIN(1,IF($A182=$A181,AX181,1)-AC182+$D$2))</f>
        <v>1</v>
      </c>
      <c r="AY182">
        <f>IF(OR($J182=1,COUNTIFS($A$5:$A181,"&gt;="&amp;$A182-1,$A$5:$A181,"&lt;="&amp;$A182,$B$5:$B181,$B182)&gt;0,MIN(1-'Exercise list'!S$2,IF($A182=$A181,AY181,1))-AD182&lt;0),-1,MIN(1,IF($A182=$A181,AY181,1)-AD182+$D$2))</f>
        <v>1</v>
      </c>
      <c r="AZ182">
        <f>IF(OR($J182=1,COUNTIFS($A$5:$A181,"&gt;="&amp;$A182-1,$A$5:$A181,"&lt;="&amp;$A182,$B$5:$B181,$B182)&gt;0,MIN(1-'Exercise list'!T$2,IF($A182=$A181,AZ181,1))-AE182&lt;0),-1,MIN(1,IF($A182=$A181,AZ181,1)-AE182+$D$2))</f>
        <v>1</v>
      </c>
      <c r="BA182">
        <f>IF(OR($J182=1,COUNTIFS($A$5:$A181,"&gt;="&amp;$A182-1,$A$5:$A181,"&lt;="&amp;$A182,$B$5:$B181,$B182)&gt;0,MIN(1-'Exercise list'!U$2,IF($A182=$A181,BA181,1))-AF182&lt;0),-1,MIN(1,IF($A182=$A181,BA181,1)-AF182+$D$2))</f>
        <v>1</v>
      </c>
      <c r="BB182">
        <f>IF(OR($J182=1,COUNTIFS($A$5:$A181,"&gt;="&amp;$A182-1,$A$5:$A181,"&lt;="&amp;$A182,$B$5:$B181,$B182)&gt;0,MIN(1-'Exercise list'!V$2,IF($A182=$A181,BB181,1))-AG182&lt;0),-1,MIN(1,IF($A182=$A181,BB181,1)-AG182+$D$2))</f>
        <v>1</v>
      </c>
      <c r="BC182">
        <f>IF(OR($J182=1,COUNTIFS($A$5:$A181,"&gt;="&amp;$A182-1,$A$5:$A181,"&lt;="&amp;$A182,$B$5:$B181,$B182)&gt;0,MIN(1-'Exercise list'!W$2,IF($A182=$A181,BC181,1))-AH182&lt;0),-1,MIN(1,IF($A182=$A181,BC181,1)-AH182+$D$2))</f>
        <v>1</v>
      </c>
      <c r="BD182">
        <f>IF(OR($J182=1,COUNTIFS($A$5:$A181,"&gt;="&amp;$A182-1,$A$5:$A181,"&lt;="&amp;$A182,$B$5:$B181,$B182)&gt;0,MIN(1-'Exercise list'!X$2,IF($A182=$A181,BD181,1))-AI182&lt;0),-1,MIN(1,IF($A182=$A181,BD181,1)-AI182+$D$2))</f>
        <v>1</v>
      </c>
      <c r="BF182" s="16">
        <f t="shared" si="145"/>
        <v>0.19596031081758858</v>
      </c>
      <c r="BG182" s="16">
        <f t="shared" si="146"/>
        <v>0.21844636935459236</v>
      </c>
      <c r="BH182" s="16">
        <f t="shared" si="147"/>
        <v>0.14609696635987124</v>
      </c>
      <c r="BI182" s="16">
        <f t="shared" si="148"/>
        <v>0.13198015366034541</v>
      </c>
      <c r="BJ182" s="16">
        <f t="shared" si="149"/>
        <v>8.3367914198418713E-2</v>
      </c>
      <c r="BK182" s="16">
        <f t="shared" si="150"/>
        <v>0.10640640223148412</v>
      </c>
      <c r="BL182" s="16">
        <f t="shared" si="151"/>
        <v>0.21963504743569431</v>
      </c>
      <c r="BM182" s="16">
        <f t="shared" si="152"/>
        <v>3.8988008374820568E-3</v>
      </c>
      <c r="BN182" s="16">
        <f t="shared" si="153"/>
        <v>0.14537706087090876</v>
      </c>
      <c r="BO182" s="16">
        <f t="shared" si="154"/>
        <v>0.29209790661993401</v>
      </c>
      <c r="BP182" s="16">
        <f t="shared" si="155"/>
        <v>0.31584545163401867</v>
      </c>
      <c r="BQ182" s="16">
        <f t="shared" si="156"/>
        <v>0.1000007994126096</v>
      </c>
      <c r="BR182" s="16">
        <f t="shared" si="157"/>
        <v>0.13164487759885393</v>
      </c>
      <c r="BS182" s="16">
        <f t="shared" si="158"/>
        <v>2.9803550189863123E-2</v>
      </c>
      <c r="BT182" s="16">
        <f t="shared" si="159"/>
        <v>0.13492040904978705</v>
      </c>
      <c r="BU182" s="16">
        <f t="shared" si="160"/>
        <v>0.11703687414398131</v>
      </c>
      <c r="BV182" s="16">
        <f t="shared" si="161"/>
        <v>0.14633353213781661</v>
      </c>
      <c r="BW182" s="16">
        <f t="shared" si="162"/>
        <v>7.5588015111767173E-2</v>
      </c>
      <c r="BX182" s="16">
        <f t="shared" si="163"/>
        <v>8.0345659937185704E-2</v>
      </c>
      <c r="BY182" s="16">
        <f t="shared" si="164"/>
        <v>5.9014643151272549E-2</v>
      </c>
      <c r="CA182" s="16" t="str">
        <f t="shared" si="141"/>
        <v/>
      </c>
      <c r="CB182" s="16" t="str">
        <f t="shared" si="122"/>
        <v/>
      </c>
      <c r="CC182" s="16" t="str">
        <f t="shared" si="123"/>
        <v/>
      </c>
      <c r="CD182" s="16" t="str">
        <f t="shared" si="124"/>
        <v/>
      </c>
      <c r="CE182" s="16" t="str">
        <f t="shared" si="125"/>
        <v/>
      </c>
      <c r="CF182" s="16" t="str">
        <f t="shared" si="126"/>
        <v/>
      </c>
      <c r="CG182" s="16" t="str">
        <f t="shared" si="127"/>
        <v/>
      </c>
      <c r="CH182" s="16" t="str">
        <f t="shared" si="128"/>
        <v/>
      </c>
      <c r="CI182" s="16" t="str">
        <f t="shared" si="129"/>
        <v/>
      </c>
      <c r="CJ182" s="16" t="str">
        <f t="shared" si="130"/>
        <v/>
      </c>
      <c r="CK182" s="16" t="str">
        <f t="shared" si="131"/>
        <v/>
      </c>
      <c r="CL182" s="16" t="str">
        <f t="shared" si="132"/>
        <v/>
      </c>
      <c r="CM182" s="16" t="str">
        <f t="shared" si="133"/>
        <v/>
      </c>
      <c r="CN182" s="16" t="str">
        <f t="shared" si="134"/>
        <v/>
      </c>
      <c r="CO182" s="16" t="str">
        <f t="shared" si="135"/>
        <v/>
      </c>
      <c r="CP182" s="16" t="str">
        <f t="shared" si="136"/>
        <v/>
      </c>
      <c r="CQ182" s="16" t="str">
        <f t="shared" si="137"/>
        <v/>
      </c>
      <c r="CR182" s="16" t="str">
        <f t="shared" si="138"/>
        <v/>
      </c>
      <c r="CS182" s="16" t="str">
        <f t="shared" si="139"/>
        <v/>
      </c>
      <c r="CT182" s="16" t="str">
        <f t="shared" si="140"/>
        <v/>
      </c>
    </row>
    <row r="183" spans="1:99" x14ac:dyDescent="0.25">
      <c r="A183" s="20"/>
      <c r="B183" s="21"/>
      <c r="C183" s="22" t="str" cm="1">
        <f t="array" ref="C183">IF(B183="","",INDEX('Exercise list'!$C$5:$C$102,B183))</f>
        <v/>
      </c>
      <c r="D183" s="17" t="str">
        <f t="shared" si="142"/>
        <v/>
      </c>
      <c r="E183" s="108" t="str">
        <f t="shared" si="165"/>
        <v/>
      </c>
      <c r="F183" s="65" t="str" cm="1">
        <f t="array" ref="F183">IF(B183="","",0.1+IFERROR(INDEX($F$6:$F182,SUMPRODUCT(MAX(ROW($C$6:$C182)*($C183=$C$6:$C182))-ROW($A$5)))*0.9^($A183-INDEX($A$6:A182,SUMPRODUCT(MAX(ROW($C$6:$C182)*($C183=$C$6:$C182))-ROW($A$5)))),0))</f>
        <v/>
      </c>
      <c r="G183" s="25" t="e">
        <f>INDEX('Exercise list'!$Y$5:$Y$102,MATCH(C183,'Exercise list'!$C$5:$C$102,0))</f>
        <v>#N/A</v>
      </c>
      <c r="H183" s="116">
        <f t="shared" si="143"/>
        <v>0</v>
      </c>
      <c r="I183" s="18">
        <f t="shared" si="144"/>
        <v>5</v>
      </c>
      <c r="J183" s="18" t="str" cm="1">
        <f t="array" ref="J183">IF(B183="","",INDEX('Exercise list'!$D$5:$D$102,B183))</f>
        <v/>
      </c>
      <c r="K183" s="17">
        <v>4</v>
      </c>
      <c r="L183" s="51" t="str" cm="1">
        <f t="array" ref="L183">IF(K183="","",INDEX('Exercise list'!$C$5:$C$102,K183))</f>
        <v>Stair climbing machine</v>
      </c>
      <c r="M183" s="18">
        <v>3</v>
      </c>
      <c r="N183" s="76" t="str" cm="1">
        <f t="array" ref="N183">IF(M183="","",INDEX('Exercise list'!$C$5:$C$102,M183))</f>
        <v>Rowing machine</v>
      </c>
      <c r="O183" s="19"/>
      <c r="P183" s="19">
        <f>IFERROR(INDEX('Exercise list'!$E$5:$X$102,MATCH($C183,'Exercise list'!$C$5:$C$102,0),MATCH(P$5,'Exercise list'!$E$4:$X$4,0)),0)</f>
        <v>0</v>
      </c>
      <c r="Q183" s="19">
        <f>IFERROR(INDEX('Exercise list'!$E$5:$X$102,MATCH($C183,'Exercise list'!$C$5:$C$102,0),MATCH(Q$5,'Exercise list'!$E$4:$X$4,0)),0)</f>
        <v>0</v>
      </c>
      <c r="R183" s="19">
        <f>IFERROR(INDEX('Exercise list'!$E$5:$X$102,MATCH($C183,'Exercise list'!$C$5:$C$102,0),MATCH(R$5,'Exercise list'!$E$4:$X$4,0)),0)</f>
        <v>0</v>
      </c>
      <c r="S183" s="19">
        <f>IFERROR(INDEX('Exercise list'!$E$5:$X$102,MATCH($C183,'Exercise list'!$C$5:$C$102,0),MATCH(S$5,'Exercise list'!$E$4:$X$4,0)),0)</f>
        <v>0</v>
      </c>
      <c r="T183" s="19">
        <f>IFERROR(INDEX('Exercise list'!$E$5:$X$102,MATCH($C183,'Exercise list'!$C$5:$C$102,0),MATCH(T$5,'Exercise list'!$E$4:$X$4,0)),0)</f>
        <v>0</v>
      </c>
      <c r="U183" s="19">
        <f>IFERROR(INDEX('Exercise list'!$E$5:$X$102,MATCH($C183,'Exercise list'!$C$5:$C$102,0),MATCH(U$5,'Exercise list'!$E$4:$X$4,0)),0)</f>
        <v>0</v>
      </c>
      <c r="V183" s="19">
        <f>IFERROR(INDEX('Exercise list'!$E$5:$X$102,MATCH($C183,'Exercise list'!$C$5:$C$102,0),MATCH(V$5,'Exercise list'!$E$4:$X$4,0)),0)</f>
        <v>0</v>
      </c>
      <c r="W183" s="19">
        <f>IFERROR(INDEX('Exercise list'!$E$5:$X$102,MATCH($C183,'Exercise list'!$C$5:$C$102,0),MATCH(W$5,'Exercise list'!$E$4:$X$4,0)),0)</f>
        <v>0</v>
      </c>
      <c r="X183" s="19">
        <f>IFERROR(INDEX('Exercise list'!$E$5:$X$102,MATCH($C183,'Exercise list'!$C$5:$C$102,0),MATCH(X$5,'Exercise list'!$E$4:$X$4,0)),0)</f>
        <v>0</v>
      </c>
      <c r="Y183" s="19">
        <f>IFERROR(INDEX('Exercise list'!$E$5:$X$102,MATCH($C183,'Exercise list'!$C$5:$C$102,0),MATCH(Y$5,'Exercise list'!$E$4:$X$4,0)),0)</f>
        <v>0</v>
      </c>
      <c r="Z183" s="19">
        <f>IFERROR(INDEX('Exercise list'!$E$5:$X$102,MATCH($C183,'Exercise list'!$C$5:$C$102,0),MATCH(Z$5,'Exercise list'!$E$4:$X$4,0)),0)</f>
        <v>0</v>
      </c>
      <c r="AA183" s="19">
        <f>IFERROR(INDEX('Exercise list'!$E$5:$X$102,MATCH($C183,'Exercise list'!$C$5:$C$102,0),MATCH(AA$5,'Exercise list'!$E$4:$X$4,0)),0)</f>
        <v>0</v>
      </c>
      <c r="AB183" s="19">
        <f>IFERROR(INDEX('Exercise list'!$E$5:$X$102,MATCH($C183,'Exercise list'!$C$5:$C$102,0),MATCH(AB$5,'Exercise list'!$E$4:$X$4,0)),0)</f>
        <v>0</v>
      </c>
      <c r="AC183" s="19">
        <f>IFERROR(INDEX('Exercise list'!$E$5:$X$102,MATCH($C183,'Exercise list'!$C$5:$C$102,0),MATCH(AC$5,'Exercise list'!$E$4:$X$4,0)),0)</f>
        <v>0</v>
      </c>
      <c r="AD183" s="19">
        <f>IFERROR(INDEX('Exercise list'!$E$5:$X$102,MATCH($C183,'Exercise list'!$C$5:$C$102,0),MATCH(AD$5,'Exercise list'!$E$4:$X$4,0)),0)</f>
        <v>0</v>
      </c>
      <c r="AE183" s="19">
        <f>IFERROR(INDEX('Exercise list'!$E$5:$X$102,MATCH($C183,'Exercise list'!$C$5:$C$102,0),MATCH(AE$5,'Exercise list'!$E$4:$X$4,0)),0)</f>
        <v>0</v>
      </c>
      <c r="AF183" s="19">
        <f>IFERROR(INDEX('Exercise list'!$E$5:$X$102,MATCH($C183,'Exercise list'!$C$5:$C$102,0),MATCH(AF$5,'Exercise list'!$E$4:$X$4,0)),0)</f>
        <v>0</v>
      </c>
      <c r="AG183" s="19">
        <f>IFERROR(INDEX('Exercise list'!$E$5:$X$102,MATCH($C183,'Exercise list'!$C$5:$C$102,0),MATCH(AG$5,'Exercise list'!$E$4:$X$4,0)),0)</f>
        <v>0</v>
      </c>
      <c r="AH183" s="19">
        <f>IFERROR(INDEX('Exercise list'!$E$5:$X$102,MATCH($C183,'Exercise list'!$C$5:$C$102,0),MATCH(AH$5,'Exercise list'!$E$4:$X$4,0)),0)</f>
        <v>0</v>
      </c>
      <c r="AI183" s="19">
        <f>IFERROR(INDEX('Exercise list'!$E$5:$X$102,MATCH($C183,'Exercise list'!$C$5:$C$102,0),MATCH(AI$5,'Exercise list'!$E$4:$X$4,0)),0)</f>
        <v>0</v>
      </c>
      <c r="AJ183" s="19"/>
      <c r="AK183" s="19">
        <f>IF(OR($J183=1,COUNTIFS($A$5:$A182,"&gt;="&amp;$A183-1,$A$5:$A182,"&lt;="&amp;$A183,$B$5:$B182,$B183)&gt;0,MIN(1-'Exercise list'!E$2,IF($A183=$A182,AK182,1))-P183&lt;0),-1,MIN(1,IF($A183=$A182,AK182,1)-P183+$D$2))</f>
        <v>1</v>
      </c>
      <c r="AL183" s="19">
        <f>IF(OR($J183=1,COUNTIFS($A$5:$A182,"&gt;="&amp;$A183-1,$A$5:$A182,"&lt;="&amp;$A183,$B$5:$B182,$B183)&gt;0,MIN(1-'Exercise list'!F$2,IF($A183=$A182,AL182,1))-Q183&lt;0),-1,MIN(1,IF($A183=$A182,AL182,1)-Q183+$D$2))</f>
        <v>1</v>
      </c>
      <c r="AM183" s="19">
        <f>IF(OR($J183=1,COUNTIFS($A$5:$A182,"&gt;="&amp;$A183-1,$A$5:$A182,"&lt;="&amp;$A183,$B$5:$B182,$B183)&gt;0,MIN(1-'Exercise list'!G$2,IF($A183=$A182,AM182,1))-R183&lt;0),-1,MIN(1,IF($A183=$A182,AM182,1)-R183+$D$2))</f>
        <v>1</v>
      </c>
      <c r="AN183" s="19">
        <f>IF(OR($J183=1,COUNTIFS($A$5:$A182,"&gt;="&amp;$A183-1,$A$5:$A182,"&lt;="&amp;$A183,$B$5:$B182,$B183)&gt;0,MIN(1-'Exercise list'!H$2,IF($A183=$A182,AN182,1))-S183&lt;0),-1,MIN(1,IF($A183=$A182,AN182,1)-S183+$D$2))</f>
        <v>1</v>
      </c>
      <c r="AO183" s="19">
        <f>IF(OR($J183=1,COUNTIFS($A$5:$A182,"&gt;="&amp;$A183-1,$A$5:$A182,"&lt;="&amp;$A183,$B$5:$B182,$B183)&gt;0,MIN(1-'Exercise list'!I$2,IF($A183=$A182,AO182,1))-T183&lt;0),-1,MIN(1,IF($A183=$A182,AO182,1)-T183+$D$2))</f>
        <v>1</v>
      </c>
      <c r="AP183" s="19">
        <f>IF(OR($J183=1,COUNTIFS($A$5:$A182,"&gt;="&amp;$A183-1,$A$5:$A182,"&lt;="&amp;$A183,$B$5:$B182,$B183)&gt;0,MIN(1-'Exercise list'!J$2,IF($A183=$A182,AP182,1))-U183&lt;0),-1,MIN(1,IF($A183=$A182,AP182,1)-U183+$D$2))</f>
        <v>1</v>
      </c>
      <c r="AQ183" s="19">
        <f>IF(OR($J183=1,COUNTIFS($A$5:$A182,"&gt;="&amp;$A183-1,$A$5:$A182,"&lt;="&amp;$A183,$B$5:$B182,$B183)&gt;0,MIN(1-'Exercise list'!K$2,IF($A183=$A182,AQ182,1))-V183&lt;0),-1,MIN(1,IF($A183=$A182,AQ182,1)-V183+$D$2))</f>
        <v>1</v>
      </c>
      <c r="AR183" s="19">
        <f>IF(OR($J183=1,COUNTIFS($A$5:$A182,"&gt;="&amp;$A183-1,$A$5:$A182,"&lt;="&amp;$A183,$B$5:$B182,$B183)&gt;0,MIN(1-'Exercise list'!L$2,IF($A183=$A182,AR182,1))-W183&lt;0),-1,MIN(1,IF($A183=$A182,AR182,1)-W183+$D$2))</f>
        <v>1</v>
      </c>
      <c r="AS183" s="19">
        <f>IF(OR($J183=1,COUNTIFS($A$5:$A182,"&gt;="&amp;$A183-1,$A$5:$A182,"&lt;="&amp;$A183,$B$5:$B182,$B183)&gt;0,MIN(1-'Exercise list'!M$2,IF($A183=$A182,AS182,1))-X183&lt;0),-1,MIN(1,IF($A183=$A182,AS182,1)-X183+$D$2))</f>
        <v>1</v>
      </c>
      <c r="AT183" s="19">
        <f>IF(OR($J183=1,COUNTIFS($A$5:$A182,"&gt;="&amp;$A183-1,$A$5:$A182,"&lt;="&amp;$A183,$B$5:$B182,$B183)&gt;0,MIN(1-'Exercise list'!N$2,IF($A183=$A182,AT182,1))-Y183&lt;0),-1,MIN(1,IF($A183=$A182,AT182,1)-Y183+$D$2))</f>
        <v>1</v>
      </c>
      <c r="AU183" s="19">
        <f>IF(OR($J183=1,COUNTIFS($A$5:$A182,"&gt;="&amp;$A183-1,$A$5:$A182,"&lt;="&amp;$A183,$B$5:$B182,$B183)&gt;0,MIN(1-'Exercise list'!O$2,IF($A183=$A182,AU182,1))-Z183&lt;0),-1,MIN(1,IF($A183=$A182,AU182,1)-Z183+$D$2))</f>
        <v>1</v>
      </c>
      <c r="AV183" s="19">
        <f>IF(OR($J183=1,COUNTIFS($A$5:$A182,"&gt;="&amp;$A183-1,$A$5:$A182,"&lt;="&amp;$A183,$B$5:$B182,$B183)&gt;0,MIN(1-'Exercise list'!P$2,IF($A183=$A182,AV182,1))-AA183&lt;0),-1,MIN(1,IF($A183=$A182,AV182,1)-AA183+$D$2))</f>
        <v>1</v>
      </c>
      <c r="AW183" s="19">
        <f>IF(OR($J183=1,COUNTIFS($A$5:$A182,"&gt;="&amp;$A183-1,$A$5:$A182,"&lt;="&amp;$A183,$B$5:$B182,$B183)&gt;0,MIN(1-'Exercise list'!Q$2,IF($A183=$A182,AW182,1))-AB183&lt;0),-1,MIN(1,IF($A183=$A182,AW182,1)-AB183+$D$2))</f>
        <v>1</v>
      </c>
      <c r="AX183" s="19">
        <f>IF(OR($J183=1,COUNTIFS($A$5:$A182,"&gt;="&amp;$A183-1,$A$5:$A182,"&lt;="&amp;$A183,$B$5:$B182,$B183)&gt;0,MIN(1-'Exercise list'!R$2,IF($A183=$A182,AX182,1))-AC183&lt;0),-1,MIN(1,IF($A183=$A182,AX182,1)-AC183+$D$2))</f>
        <v>1</v>
      </c>
      <c r="AY183" s="19">
        <f>IF(OR($J183=1,COUNTIFS($A$5:$A182,"&gt;="&amp;$A183-1,$A$5:$A182,"&lt;="&amp;$A183,$B$5:$B182,$B183)&gt;0,MIN(1-'Exercise list'!S$2,IF($A183=$A182,AY182,1))-AD183&lt;0),-1,MIN(1,IF($A183=$A182,AY182,1)-AD183+$D$2))</f>
        <v>1</v>
      </c>
      <c r="AZ183" s="19">
        <f>IF(OR($J183=1,COUNTIFS($A$5:$A182,"&gt;="&amp;$A183-1,$A$5:$A182,"&lt;="&amp;$A183,$B$5:$B182,$B183)&gt;0,MIN(1-'Exercise list'!T$2,IF($A183=$A182,AZ182,1))-AE183&lt;0),-1,MIN(1,IF($A183=$A182,AZ182,1)-AE183+$D$2))</f>
        <v>1</v>
      </c>
      <c r="BA183" s="19">
        <f>IF(OR($J183=1,COUNTIFS($A$5:$A182,"&gt;="&amp;$A183-1,$A$5:$A182,"&lt;="&amp;$A183,$B$5:$B182,$B183)&gt;0,MIN(1-'Exercise list'!U$2,IF($A183=$A182,BA182,1))-AF183&lt;0),-1,MIN(1,IF($A183=$A182,BA182,1)-AF183+$D$2))</f>
        <v>1</v>
      </c>
      <c r="BB183" s="19">
        <f>IF(OR($J183=1,COUNTIFS($A$5:$A182,"&gt;="&amp;$A183-1,$A$5:$A182,"&lt;="&amp;$A183,$B$5:$B182,$B183)&gt;0,MIN(1-'Exercise list'!V$2,IF($A183=$A182,BB182,1))-AG183&lt;0),-1,MIN(1,IF($A183=$A182,BB182,1)-AG183+$D$2))</f>
        <v>1</v>
      </c>
      <c r="BC183" s="19">
        <f>IF(OR($J183=1,COUNTIFS($A$5:$A182,"&gt;="&amp;$A183-1,$A$5:$A182,"&lt;="&amp;$A183,$B$5:$B182,$B183)&gt;0,MIN(1-'Exercise list'!W$2,IF($A183=$A182,BC182,1))-AH183&lt;0),-1,MIN(1,IF($A183=$A182,BC182,1)-AH183+$D$2))</f>
        <v>1</v>
      </c>
      <c r="BD183" s="19">
        <f>IF(OR($J183=1,COUNTIFS($A$5:$A182,"&gt;="&amp;$A183-1,$A$5:$A182,"&lt;="&amp;$A183,$B$5:$B182,$B183)&gt;0,MIN(1-'Exercise list'!X$2,IF($A183=$A182,BD182,1))-AI183&lt;0),-1,MIN(1,IF($A183=$A182,BD182,1)-AI183+$D$2))</f>
        <v>1</v>
      </c>
      <c r="BE183" s="19"/>
      <c r="BF183" s="23">
        <f t="shared" si="145"/>
        <v>0.19596031081758858</v>
      </c>
      <c r="BG183" s="23">
        <f t="shared" si="146"/>
        <v>0.21844636935459236</v>
      </c>
      <c r="BH183" s="23">
        <f t="shared" si="147"/>
        <v>0.14609696635987124</v>
      </c>
      <c r="BI183" s="23">
        <f t="shared" si="148"/>
        <v>0.13198015366034541</v>
      </c>
      <c r="BJ183" s="23">
        <f t="shared" si="149"/>
        <v>8.3367914198418713E-2</v>
      </c>
      <c r="BK183" s="23">
        <f t="shared" si="150"/>
        <v>0.10640640223148412</v>
      </c>
      <c r="BL183" s="23">
        <f t="shared" si="151"/>
        <v>0.21963504743569431</v>
      </c>
      <c r="BM183" s="23">
        <f t="shared" si="152"/>
        <v>3.8988008374820568E-3</v>
      </c>
      <c r="BN183" s="23">
        <f t="shared" si="153"/>
        <v>0.14537706087090876</v>
      </c>
      <c r="BO183" s="23">
        <f t="shared" si="154"/>
        <v>0.29209790661993401</v>
      </c>
      <c r="BP183" s="23">
        <f t="shared" si="155"/>
        <v>0.31584545163401867</v>
      </c>
      <c r="BQ183" s="23">
        <f t="shared" si="156"/>
        <v>0.1000007994126096</v>
      </c>
      <c r="BR183" s="23">
        <f t="shared" si="157"/>
        <v>0.13164487759885393</v>
      </c>
      <c r="BS183" s="23">
        <f t="shared" si="158"/>
        <v>2.9803550189863123E-2</v>
      </c>
      <c r="BT183" s="23">
        <f t="shared" si="159"/>
        <v>0.13492040904978705</v>
      </c>
      <c r="BU183" s="23">
        <f t="shared" si="160"/>
        <v>0.11703687414398131</v>
      </c>
      <c r="BV183" s="23">
        <f t="shared" si="161"/>
        <v>0.14633353213781661</v>
      </c>
      <c r="BW183" s="23">
        <f t="shared" si="162"/>
        <v>7.5588015111767173E-2</v>
      </c>
      <c r="BX183" s="23">
        <f t="shared" si="163"/>
        <v>8.0345659937185704E-2</v>
      </c>
      <c r="BY183" s="23">
        <f t="shared" si="164"/>
        <v>5.9014643151272549E-2</v>
      </c>
      <c r="BZ183" s="19"/>
      <c r="CA183" s="23" t="str">
        <f t="shared" si="141"/>
        <v/>
      </c>
      <c r="CB183" s="23" t="str">
        <f t="shared" si="122"/>
        <v/>
      </c>
      <c r="CC183" s="23" t="str">
        <f t="shared" si="123"/>
        <v/>
      </c>
      <c r="CD183" s="23" t="str">
        <f t="shared" si="124"/>
        <v/>
      </c>
      <c r="CE183" s="23" t="str">
        <f t="shared" si="125"/>
        <v/>
      </c>
      <c r="CF183" s="23" t="str">
        <f t="shared" si="126"/>
        <v/>
      </c>
      <c r="CG183" s="23" t="str">
        <f t="shared" si="127"/>
        <v/>
      </c>
      <c r="CH183" s="23" t="str">
        <f t="shared" si="128"/>
        <v/>
      </c>
      <c r="CI183" s="23" t="str">
        <f t="shared" si="129"/>
        <v/>
      </c>
      <c r="CJ183" s="23" t="str">
        <f t="shared" si="130"/>
        <v/>
      </c>
      <c r="CK183" s="23" t="str">
        <f t="shared" si="131"/>
        <v/>
      </c>
      <c r="CL183" s="23" t="str">
        <f t="shared" si="132"/>
        <v/>
      </c>
      <c r="CM183" s="23" t="str">
        <f t="shared" si="133"/>
        <v/>
      </c>
      <c r="CN183" s="23" t="str">
        <f t="shared" si="134"/>
        <v/>
      </c>
      <c r="CO183" s="23" t="str">
        <f t="shared" si="135"/>
        <v/>
      </c>
      <c r="CP183" s="23" t="str">
        <f t="shared" si="136"/>
        <v/>
      </c>
      <c r="CQ183" s="23" t="str">
        <f t="shared" si="137"/>
        <v/>
      </c>
      <c r="CR183" s="23" t="str">
        <f t="shared" si="138"/>
        <v/>
      </c>
      <c r="CS183" s="23" t="str">
        <f t="shared" si="139"/>
        <v/>
      </c>
      <c r="CT183" s="23" t="str">
        <f t="shared" si="140"/>
        <v/>
      </c>
      <c r="CU183" s="19"/>
    </row>
    <row r="184" spans="1:99" x14ac:dyDescent="0.25">
      <c r="A184" s="13"/>
      <c r="B184" s="14"/>
      <c r="C184" s="15" t="str" cm="1">
        <f t="array" ref="C184">IF(B184="","",INDEX('Exercise list'!$C$5:$C$102,B184))</f>
        <v/>
      </c>
      <c r="D184" s="12" t="str">
        <f t="shared" si="142"/>
        <v/>
      </c>
      <c r="E184" s="107" t="str">
        <f t="shared" si="165"/>
        <v/>
      </c>
      <c r="F184" s="63" t="str" cm="1">
        <f t="array" ref="F184">IF(B184="","",0.1+IFERROR(INDEX($F$6:$F183,SUMPRODUCT(MAX(ROW($C$6:$C183)*($C184=$C$6:$C183))-ROW($A$5)))*0.9^($A184-INDEX($A$6:A183,SUMPRODUCT(MAX(ROW($C$6:$C183)*($C184=$C$6:$C183))-ROW($A$5)))),0))</f>
        <v/>
      </c>
      <c r="G184" s="64" t="e">
        <f>INDEX('Exercise list'!$Y$5:$Y$102,MATCH(C184,'Exercise list'!$C$5:$C$102,0))</f>
        <v>#N/A</v>
      </c>
      <c r="H184" s="115">
        <f t="shared" si="143"/>
        <v>0</v>
      </c>
      <c r="I184" s="42">
        <f t="shared" si="144"/>
        <v>5</v>
      </c>
      <c r="J184" s="6" t="str" cm="1">
        <f t="array" ref="J184">IF(B184="","",INDEX('Exercise list'!$D$5:$D$102,B184))</f>
        <v/>
      </c>
      <c r="K184" s="12">
        <v>25</v>
      </c>
      <c r="L184" s="74" t="str" cm="1">
        <f t="array" ref="L184">IF(K184="","",INDEX('Exercise list'!$C$5:$C$102,K184))</f>
        <v>Dumbbell decline bench presses</v>
      </c>
      <c r="M184" s="6">
        <v>10</v>
      </c>
      <c r="N184" s="75" t="str" cm="1">
        <f t="array" ref="N184">IF(M184="","",INDEX('Exercise list'!$C$5:$C$102,M184))</f>
        <v>Cable seated rows</v>
      </c>
      <c r="P184">
        <f>IFERROR(INDEX('Exercise list'!$E$5:$X$102,MATCH($C184,'Exercise list'!$C$5:$C$102,0),MATCH(P$5,'Exercise list'!$E$4:$X$4,0)),0)</f>
        <v>0</v>
      </c>
      <c r="Q184">
        <f>IFERROR(INDEX('Exercise list'!$E$5:$X$102,MATCH($C184,'Exercise list'!$C$5:$C$102,0),MATCH(Q$5,'Exercise list'!$E$4:$X$4,0)),0)</f>
        <v>0</v>
      </c>
      <c r="R184">
        <f>IFERROR(INDEX('Exercise list'!$E$5:$X$102,MATCH($C184,'Exercise list'!$C$5:$C$102,0),MATCH(R$5,'Exercise list'!$E$4:$X$4,0)),0)</f>
        <v>0</v>
      </c>
      <c r="S184">
        <f>IFERROR(INDEX('Exercise list'!$E$5:$X$102,MATCH($C184,'Exercise list'!$C$5:$C$102,0),MATCH(S$5,'Exercise list'!$E$4:$X$4,0)),0)</f>
        <v>0</v>
      </c>
      <c r="T184">
        <f>IFERROR(INDEX('Exercise list'!$E$5:$X$102,MATCH($C184,'Exercise list'!$C$5:$C$102,0),MATCH(T$5,'Exercise list'!$E$4:$X$4,0)),0)</f>
        <v>0</v>
      </c>
      <c r="U184">
        <f>IFERROR(INDEX('Exercise list'!$E$5:$X$102,MATCH($C184,'Exercise list'!$C$5:$C$102,0),MATCH(U$5,'Exercise list'!$E$4:$X$4,0)),0)</f>
        <v>0</v>
      </c>
      <c r="V184">
        <f>IFERROR(INDEX('Exercise list'!$E$5:$X$102,MATCH($C184,'Exercise list'!$C$5:$C$102,0),MATCH(V$5,'Exercise list'!$E$4:$X$4,0)),0)</f>
        <v>0</v>
      </c>
      <c r="W184">
        <f>IFERROR(INDEX('Exercise list'!$E$5:$X$102,MATCH($C184,'Exercise list'!$C$5:$C$102,0),MATCH(W$5,'Exercise list'!$E$4:$X$4,0)),0)</f>
        <v>0</v>
      </c>
      <c r="X184">
        <f>IFERROR(INDEX('Exercise list'!$E$5:$X$102,MATCH($C184,'Exercise list'!$C$5:$C$102,0),MATCH(X$5,'Exercise list'!$E$4:$X$4,0)),0)</f>
        <v>0</v>
      </c>
      <c r="Y184">
        <f>IFERROR(INDEX('Exercise list'!$E$5:$X$102,MATCH($C184,'Exercise list'!$C$5:$C$102,0),MATCH(Y$5,'Exercise list'!$E$4:$X$4,0)),0)</f>
        <v>0</v>
      </c>
      <c r="Z184">
        <f>IFERROR(INDEX('Exercise list'!$E$5:$X$102,MATCH($C184,'Exercise list'!$C$5:$C$102,0),MATCH(Z$5,'Exercise list'!$E$4:$X$4,0)),0)</f>
        <v>0</v>
      </c>
      <c r="AA184">
        <f>IFERROR(INDEX('Exercise list'!$E$5:$X$102,MATCH($C184,'Exercise list'!$C$5:$C$102,0),MATCH(AA$5,'Exercise list'!$E$4:$X$4,0)),0)</f>
        <v>0</v>
      </c>
      <c r="AB184">
        <f>IFERROR(INDEX('Exercise list'!$E$5:$X$102,MATCH($C184,'Exercise list'!$C$5:$C$102,0),MATCH(AB$5,'Exercise list'!$E$4:$X$4,0)),0)</f>
        <v>0</v>
      </c>
      <c r="AC184">
        <f>IFERROR(INDEX('Exercise list'!$E$5:$X$102,MATCH($C184,'Exercise list'!$C$5:$C$102,0),MATCH(AC$5,'Exercise list'!$E$4:$X$4,0)),0)</f>
        <v>0</v>
      </c>
      <c r="AD184">
        <f>IFERROR(INDEX('Exercise list'!$E$5:$X$102,MATCH($C184,'Exercise list'!$C$5:$C$102,0),MATCH(AD$5,'Exercise list'!$E$4:$X$4,0)),0)</f>
        <v>0</v>
      </c>
      <c r="AE184">
        <f>IFERROR(INDEX('Exercise list'!$E$5:$X$102,MATCH($C184,'Exercise list'!$C$5:$C$102,0),MATCH(AE$5,'Exercise list'!$E$4:$X$4,0)),0)</f>
        <v>0</v>
      </c>
      <c r="AF184">
        <f>IFERROR(INDEX('Exercise list'!$E$5:$X$102,MATCH($C184,'Exercise list'!$C$5:$C$102,0),MATCH(AF$5,'Exercise list'!$E$4:$X$4,0)),0)</f>
        <v>0</v>
      </c>
      <c r="AG184">
        <f>IFERROR(INDEX('Exercise list'!$E$5:$X$102,MATCH($C184,'Exercise list'!$C$5:$C$102,0),MATCH(AG$5,'Exercise list'!$E$4:$X$4,0)),0)</f>
        <v>0</v>
      </c>
      <c r="AH184">
        <f>IFERROR(INDEX('Exercise list'!$E$5:$X$102,MATCH($C184,'Exercise list'!$C$5:$C$102,0),MATCH(AH$5,'Exercise list'!$E$4:$X$4,0)),0)</f>
        <v>0</v>
      </c>
      <c r="AI184">
        <f>IFERROR(INDEX('Exercise list'!$E$5:$X$102,MATCH($C184,'Exercise list'!$C$5:$C$102,0),MATCH(AI$5,'Exercise list'!$E$4:$X$4,0)),0)</f>
        <v>0</v>
      </c>
      <c r="AK184">
        <f>IF(OR($J184=1,COUNTIFS($A$5:$A183,"&gt;="&amp;$A184-1,$A$5:$A183,"&lt;="&amp;$A184,$B$5:$B183,$B184)&gt;0,MIN(1-'Exercise list'!E$2,IF($A184=$A183,AK183,1))-P184&lt;0),-1,MIN(1,IF($A184=$A183,AK183,1)-P184+$D$2))</f>
        <v>1</v>
      </c>
      <c r="AL184">
        <f>IF(OR($J184=1,COUNTIFS($A$5:$A183,"&gt;="&amp;$A184-1,$A$5:$A183,"&lt;="&amp;$A184,$B$5:$B183,$B184)&gt;0,MIN(1-'Exercise list'!F$2,IF($A184=$A183,AL183,1))-Q184&lt;0),-1,MIN(1,IF($A184=$A183,AL183,1)-Q184+$D$2))</f>
        <v>1</v>
      </c>
      <c r="AM184">
        <f>IF(OR($J184=1,COUNTIFS($A$5:$A183,"&gt;="&amp;$A184-1,$A$5:$A183,"&lt;="&amp;$A184,$B$5:$B183,$B184)&gt;0,MIN(1-'Exercise list'!G$2,IF($A184=$A183,AM183,1))-R184&lt;0),-1,MIN(1,IF($A184=$A183,AM183,1)-R184+$D$2))</f>
        <v>1</v>
      </c>
      <c r="AN184">
        <f>IF(OR($J184=1,COUNTIFS($A$5:$A183,"&gt;="&amp;$A184-1,$A$5:$A183,"&lt;="&amp;$A184,$B$5:$B183,$B184)&gt;0,MIN(1-'Exercise list'!H$2,IF($A184=$A183,AN183,1))-S184&lt;0),-1,MIN(1,IF($A184=$A183,AN183,1)-S184+$D$2))</f>
        <v>1</v>
      </c>
      <c r="AO184">
        <f>IF(OR($J184=1,COUNTIFS($A$5:$A183,"&gt;="&amp;$A184-1,$A$5:$A183,"&lt;="&amp;$A184,$B$5:$B183,$B184)&gt;0,MIN(1-'Exercise list'!I$2,IF($A184=$A183,AO183,1))-T184&lt;0),-1,MIN(1,IF($A184=$A183,AO183,1)-T184+$D$2))</f>
        <v>1</v>
      </c>
      <c r="AP184">
        <f>IF(OR($J184=1,COUNTIFS($A$5:$A183,"&gt;="&amp;$A184-1,$A$5:$A183,"&lt;="&amp;$A184,$B$5:$B183,$B184)&gt;0,MIN(1-'Exercise list'!J$2,IF($A184=$A183,AP183,1))-U184&lt;0),-1,MIN(1,IF($A184=$A183,AP183,1)-U184+$D$2))</f>
        <v>1</v>
      </c>
      <c r="AQ184">
        <f>IF(OR($J184=1,COUNTIFS($A$5:$A183,"&gt;="&amp;$A184-1,$A$5:$A183,"&lt;="&amp;$A184,$B$5:$B183,$B184)&gt;0,MIN(1-'Exercise list'!K$2,IF($A184=$A183,AQ183,1))-V184&lt;0),-1,MIN(1,IF($A184=$A183,AQ183,1)-V184+$D$2))</f>
        <v>1</v>
      </c>
      <c r="AR184">
        <f>IF(OR($J184=1,COUNTIFS($A$5:$A183,"&gt;="&amp;$A184-1,$A$5:$A183,"&lt;="&amp;$A184,$B$5:$B183,$B184)&gt;0,MIN(1-'Exercise list'!L$2,IF($A184=$A183,AR183,1))-W184&lt;0),-1,MIN(1,IF($A184=$A183,AR183,1)-W184+$D$2))</f>
        <v>1</v>
      </c>
      <c r="AS184">
        <f>IF(OR($J184=1,COUNTIFS($A$5:$A183,"&gt;="&amp;$A184-1,$A$5:$A183,"&lt;="&amp;$A184,$B$5:$B183,$B184)&gt;0,MIN(1-'Exercise list'!M$2,IF($A184=$A183,AS183,1))-X184&lt;0),-1,MIN(1,IF($A184=$A183,AS183,1)-X184+$D$2))</f>
        <v>1</v>
      </c>
      <c r="AT184">
        <f>IF(OR($J184=1,COUNTIFS($A$5:$A183,"&gt;="&amp;$A184-1,$A$5:$A183,"&lt;="&amp;$A184,$B$5:$B183,$B184)&gt;0,MIN(1-'Exercise list'!N$2,IF($A184=$A183,AT183,1))-Y184&lt;0),-1,MIN(1,IF($A184=$A183,AT183,1)-Y184+$D$2))</f>
        <v>1</v>
      </c>
      <c r="AU184">
        <f>IF(OR($J184=1,COUNTIFS($A$5:$A183,"&gt;="&amp;$A184-1,$A$5:$A183,"&lt;="&amp;$A184,$B$5:$B183,$B184)&gt;0,MIN(1-'Exercise list'!O$2,IF($A184=$A183,AU183,1))-Z184&lt;0),-1,MIN(1,IF($A184=$A183,AU183,1)-Z184+$D$2))</f>
        <v>1</v>
      </c>
      <c r="AV184">
        <f>IF(OR($J184=1,COUNTIFS($A$5:$A183,"&gt;="&amp;$A184-1,$A$5:$A183,"&lt;="&amp;$A184,$B$5:$B183,$B184)&gt;0,MIN(1-'Exercise list'!P$2,IF($A184=$A183,AV183,1))-AA184&lt;0),-1,MIN(1,IF($A184=$A183,AV183,1)-AA184+$D$2))</f>
        <v>1</v>
      </c>
      <c r="AW184">
        <f>IF(OR($J184=1,COUNTIFS($A$5:$A183,"&gt;="&amp;$A184-1,$A$5:$A183,"&lt;="&amp;$A184,$B$5:$B183,$B184)&gt;0,MIN(1-'Exercise list'!Q$2,IF($A184=$A183,AW183,1))-AB184&lt;0),-1,MIN(1,IF($A184=$A183,AW183,1)-AB184+$D$2))</f>
        <v>1</v>
      </c>
      <c r="AX184">
        <f>IF(OR($J184=1,COUNTIFS($A$5:$A183,"&gt;="&amp;$A184-1,$A$5:$A183,"&lt;="&amp;$A184,$B$5:$B183,$B184)&gt;0,MIN(1-'Exercise list'!R$2,IF($A184=$A183,AX183,1))-AC184&lt;0),-1,MIN(1,IF($A184=$A183,AX183,1)-AC184+$D$2))</f>
        <v>1</v>
      </c>
      <c r="AY184">
        <f>IF(OR($J184=1,COUNTIFS($A$5:$A183,"&gt;="&amp;$A184-1,$A$5:$A183,"&lt;="&amp;$A184,$B$5:$B183,$B184)&gt;0,MIN(1-'Exercise list'!S$2,IF($A184=$A183,AY183,1))-AD184&lt;0),-1,MIN(1,IF($A184=$A183,AY183,1)-AD184+$D$2))</f>
        <v>1</v>
      </c>
      <c r="AZ184">
        <f>IF(OR($J184=1,COUNTIFS($A$5:$A183,"&gt;="&amp;$A184-1,$A$5:$A183,"&lt;="&amp;$A184,$B$5:$B183,$B184)&gt;0,MIN(1-'Exercise list'!T$2,IF($A184=$A183,AZ183,1))-AE184&lt;0),-1,MIN(1,IF($A184=$A183,AZ183,1)-AE184+$D$2))</f>
        <v>1</v>
      </c>
      <c r="BA184">
        <f>IF(OR($J184=1,COUNTIFS($A$5:$A183,"&gt;="&amp;$A184-1,$A$5:$A183,"&lt;="&amp;$A184,$B$5:$B183,$B184)&gt;0,MIN(1-'Exercise list'!U$2,IF($A184=$A183,BA183,1))-AF184&lt;0),-1,MIN(1,IF($A184=$A183,BA183,1)-AF184+$D$2))</f>
        <v>1</v>
      </c>
      <c r="BB184">
        <f>IF(OR($J184=1,COUNTIFS($A$5:$A183,"&gt;="&amp;$A184-1,$A$5:$A183,"&lt;="&amp;$A184,$B$5:$B183,$B184)&gt;0,MIN(1-'Exercise list'!V$2,IF($A184=$A183,BB183,1))-AG184&lt;0),-1,MIN(1,IF($A184=$A183,BB183,1)-AG184+$D$2))</f>
        <v>1</v>
      </c>
      <c r="BC184">
        <f>IF(OR($J184=1,COUNTIFS($A$5:$A183,"&gt;="&amp;$A184-1,$A$5:$A183,"&lt;="&amp;$A184,$B$5:$B183,$B184)&gt;0,MIN(1-'Exercise list'!W$2,IF($A184=$A183,BC183,1))-AH184&lt;0),-1,MIN(1,IF($A184=$A183,BC183,1)-AH184+$D$2))</f>
        <v>1</v>
      </c>
      <c r="BD184">
        <f>IF(OR($J184=1,COUNTIFS($A$5:$A183,"&gt;="&amp;$A184-1,$A$5:$A183,"&lt;="&amp;$A184,$B$5:$B183,$B184)&gt;0,MIN(1-'Exercise list'!X$2,IF($A184=$A183,BD183,1))-AI184&lt;0),-1,MIN(1,IF($A184=$A183,BD183,1)-AI184+$D$2))</f>
        <v>1</v>
      </c>
      <c r="BF184" s="16">
        <f t="shared" si="145"/>
        <v>0.19596031081758858</v>
      </c>
      <c r="BG184" s="16">
        <f t="shared" si="146"/>
        <v>0.21844636935459236</v>
      </c>
      <c r="BH184" s="16">
        <f t="shared" si="147"/>
        <v>0.14609696635987124</v>
      </c>
      <c r="BI184" s="16">
        <f t="shared" si="148"/>
        <v>0.13198015366034541</v>
      </c>
      <c r="BJ184" s="16">
        <f t="shared" si="149"/>
        <v>8.3367914198418713E-2</v>
      </c>
      <c r="BK184" s="16">
        <f t="shared" si="150"/>
        <v>0.10640640223148412</v>
      </c>
      <c r="BL184" s="16">
        <f t="shared" si="151"/>
        <v>0.21963504743569431</v>
      </c>
      <c r="BM184" s="16">
        <f t="shared" si="152"/>
        <v>3.8988008374820568E-3</v>
      </c>
      <c r="BN184" s="16">
        <f t="shared" si="153"/>
        <v>0.14537706087090876</v>
      </c>
      <c r="BO184" s="16">
        <f t="shared" si="154"/>
        <v>0.29209790661993401</v>
      </c>
      <c r="BP184" s="16">
        <f t="shared" si="155"/>
        <v>0.31584545163401867</v>
      </c>
      <c r="BQ184" s="16">
        <f t="shared" si="156"/>
        <v>0.1000007994126096</v>
      </c>
      <c r="BR184" s="16">
        <f t="shared" si="157"/>
        <v>0.13164487759885393</v>
      </c>
      <c r="BS184" s="16">
        <f t="shared" si="158"/>
        <v>2.9803550189863123E-2</v>
      </c>
      <c r="BT184" s="16">
        <f t="shared" si="159"/>
        <v>0.13492040904978705</v>
      </c>
      <c r="BU184" s="16">
        <f t="shared" si="160"/>
        <v>0.11703687414398131</v>
      </c>
      <c r="BV184" s="16">
        <f t="shared" si="161"/>
        <v>0.14633353213781661</v>
      </c>
      <c r="BW184" s="16">
        <f t="shared" si="162"/>
        <v>7.5588015111767173E-2</v>
      </c>
      <c r="BX184" s="16">
        <f t="shared" si="163"/>
        <v>8.0345659937185704E-2</v>
      </c>
      <c r="BY184" s="16">
        <f t="shared" si="164"/>
        <v>5.9014643151272549E-2</v>
      </c>
      <c r="CA184" s="16" t="str">
        <f t="shared" si="141"/>
        <v/>
      </c>
      <c r="CB184" s="16" t="str">
        <f t="shared" si="122"/>
        <v/>
      </c>
      <c r="CC184" s="16" t="str">
        <f t="shared" si="123"/>
        <v/>
      </c>
      <c r="CD184" s="16" t="str">
        <f t="shared" si="124"/>
        <v/>
      </c>
      <c r="CE184" s="16" t="str">
        <f t="shared" si="125"/>
        <v/>
      </c>
      <c r="CF184" s="16" t="str">
        <f t="shared" si="126"/>
        <v/>
      </c>
      <c r="CG184" s="16" t="str">
        <f t="shared" si="127"/>
        <v/>
      </c>
      <c r="CH184" s="16" t="str">
        <f t="shared" si="128"/>
        <v/>
      </c>
      <c r="CI184" s="16" t="str">
        <f t="shared" si="129"/>
        <v/>
      </c>
      <c r="CJ184" s="16" t="str">
        <f t="shared" si="130"/>
        <v/>
      </c>
      <c r="CK184" s="16" t="str">
        <f t="shared" si="131"/>
        <v/>
      </c>
      <c r="CL184" s="16" t="str">
        <f t="shared" si="132"/>
        <v/>
      </c>
      <c r="CM184" s="16" t="str">
        <f t="shared" si="133"/>
        <v/>
      </c>
      <c r="CN184" s="16" t="str">
        <f t="shared" si="134"/>
        <v/>
      </c>
      <c r="CO184" s="16" t="str">
        <f t="shared" si="135"/>
        <v/>
      </c>
      <c r="CP184" s="16" t="str">
        <f t="shared" si="136"/>
        <v/>
      </c>
      <c r="CQ184" s="16" t="str">
        <f t="shared" si="137"/>
        <v/>
      </c>
      <c r="CR184" s="16" t="str">
        <f t="shared" si="138"/>
        <v/>
      </c>
      <c r="CS184" s="16" t="str">
        <f t="shared" si="139"/>
        <v/>
      </c>
      <c r="CT184" s="16" t="str">
        <f t="shared" si="140"/>
        <v/>
      </c>
    </row>
    <row r="185" spans="1:99" x14ac:dyDescent="0.25">
      <c r="A185" s="13"/>
      <c r="B185" s="14"/>
      <c r="C185" s="15" t="str" cm="1">
        <f t="array" ref="C185">IF(B185="","",INDEX('Exercise list'!$C$5:$C$102,B185))</f>
        <v/>
      </c>
      <c r="D185" s="12" t="str">
        <f t="shared" si="142"/>
        <v/>
      </c>
      <c r="E185" s="107" t="str">
        <f t="shared" si="165"/>
        <v/>
      </c>
      <c r="F185" s="63" t="str" cm="1">
        <f t="array" ref="F185">IF(B185="","",0.1+IFERROR(INDEX($F$6:$F184,SUMPRODUCT(MAX(ROW($C$6:$C184)*($C185=$C$6:$C184))-ROW($A$5)))*0.9^($A185-INDEX($A$6:A184,SUMPRODUCT(MAX(ROW($C$6:$C184)*($C185=$C$6:$C184))-ROW($A$5)))),0))</f>
        <v/>
      </c>
      <c r="G185" s="64" t="e">
        <f>INDEX('Exercise list'!$Y$5:$Y$102,MATCH(C185,'Exercise list'!$C$5:$C$102,0))</f>
        <v>#N/A</v>
      </c>
      <c r="H185" s="115">
        <f t="shared" si="143"/>
        <v>0</v>
      </c>
      <c r="I185" s="6">
        <f t="shared" si="144"/>
        <v>5</v>
      </c>
      <c r="J185" s="6" t="str" cm="1">
        <f t="array" ref="J185">IF(B185="","",INDEX('Exercise list'!$D$5:$D$102,B185))</f>
        <v/>
      </c>
      <c r="K185" s="12">
        <v>59</v>
      </c>
      <c r="L185" s="74" t="str" cm="1">
        <f t="array" ref="L185">IF(K185="","",INDEX('Exercise list'!$C$5:$C$102,K185))</f>
        <v>Triceps dips</v>
      </c>
      <c r="M185" s="6">
        <v>38</v>
      </c>
      <c r="N185" s="75" t="str" cm="1">
        <f t="array" ref="N185">IF(M185="","",INDEX('Exercise list'!$C$5:$C$102,M185))</f>
        <v>Cable hip abductions</v>
      </c>
      <c r="P185">
        <f>IFERROR(INDEX('Exercise list'!$E$5:$X$102,MATCH($C185,'Exercise list'!$C$5:$C$102,0),MATCH(P$5,'Exercise list'!$E$4:$X$4,0)),0)</f>
        <v>0</v>
      </c>
      <c r="Q185">
        <f>IFERROR(INDEX('Exercise list'!$E$5:$X$102,MATCH($C185,'Exercise list'!$C$5:$C$102,0),MATCH(Q$5,'Exercise list'!$E$4:$X$4,0)),0)</f>
        <v>0</v>
      </c>
      <c r="R185">
        <f>IFERROR(INDEX('Exercise list'!$E$5:$X$102,MATCH($C185,'Exercise list'!$C$5:$C$102,0),MATCH(R$5,'Exercise list'!$E$4:$X$4,0)),0)</f>
        <v>0</v>
      </c>
      <c r="S185">
        <f>IFERROR(INDEX('Exercise list'!$E$5:$X$102,MATCH($C185,'Exercise list'!$C$5:$C$102,0),MATCH(S$5,'Exercise list'!$E$4:$X$4,0)),0)</f>
        <v>0</v>
      </c>
      <c r="T185">
        <f>IFERROR(INDEX('Exercise list'!$E$5:$X$102,MATCH($C185,'Exercise list'!$C$5:$C$102,0),MATCH(T$5,'Exercise list'!$E$4:$X$4,0)),0)</f>
        <v>0</v>
      </c>
      <c r="U185">
        <f>IFERROR(INDEX('Exercise list'!$E$5:$X$102,MATCH($C185,'Exercise list'!$C$5:$C$102,0),MATCH(U$5,'Exercise list'!$E$4:$X$4,0)),0)</f>
        <v>0</v>
      </c>
      <c r="V185">
        <f>IFERROR(INDEX('Exercise list'!$E$5:$X$102,MATCH($C185,'Exercise list'!$C$5:$C$102,0),MATCH(V$5,'Exercise list'!$E$4:$X$4,0)),0)</f>
        <v>0</v>
      </c>
      <c r="W185">
        <f>IFERROR(INDEX('Exercise list'!$E$5:$X$102,MATCH($C185,'Exercise list'!$C$5:$C$102,0),MATCH(W$5,'Exercise list'!$E$4:$X$4,0)),0)</f>
        <v>0</v>
      </c>
      <c r="X185">
        <f>IFERROR(INDEX('Exercise list'!$E$5:$X$102,MATCH($C185,'Exercise list'!$C$5:$C$102,0),MATCH(X$5,'Exercise list'!$E$4:$X$4,0)),0)</f>
        <v>0</v>
      </c>
      <c r="Y185">
        <f>IFERROR(INDEX('Exercise list'!$E$5:$X$102,MATCH($C185,'Exercise list'!$C$5:$C$102,0),MATCH(Y$5,'Exercise list'!$E$4:$X$4,0)),0)</f>
        <v>0</v>
      </c>
      <c r="Z185">
        <f>IFERROR(INDEX('Exercise list'!$E$5:$X$102,MATCH($C185,'Exercise list'!$C$5:$C$102,0),MATCH(Z$5,'Exercise list'!$E$4:$X$4,0)),0)</f>
        <v>0</v>
      </c>
      <c r="AA185">
        <f>IFERROR(INDEX('Exercise list'!$E$5:$X$102,MATCH($C185,'Exercise list'!$C$5:$C$102,0),MATCH(AA$5,'Exercise list'!$E$4:$X$4,0)),0)</f>
        <v>0</v>
      </c>
      <c r="AB185">
        <f>IFERROR(INDEX('Exercise list'!$E$5:$X$102,MATCH($C185,'Exercise list'!$C$5:$C$102,0),MATCH(AB$5,'Exercise list'!$E$4:$X$4,0)),0)</f>
        <v>0</v>
      </c>
      <c r="AC185">
        <f>IFERROR(INDEX('Exercise list'!$E$5:$X$102,MATCH($C185,'Exercise list'!$C$5:$C$102,0),MATCH(AC$5,'Exercise list'!$E$4:$X$4,0)),0)</f>
        <v>0</v>
      </c>
      <c r="AD185">
        <f>IFERROR(INDEX('Exercise list'!$E$5:$X$102,MATCH($C185,'Exercise list'!$C$5:$C$102,0),MATCH(AD$5,'Exercise list'!$E$4:$X$4,0)),0)</f>
        <v>0</v>
      </c>
      <c r="AE185">
        <f>IFERROR(INDEX('Exercise list'!$E$5:$X$102,MATCH($C185,'Exercise list'!$C$5:$C$102,0),MATCH(AE$5,'Exercise list'!$E$4:$X$4,0)),0)</f>
        <v>0</v>
      </c>
      <c r="AF185">
        <f>IFERROR(INDEX('Exercise list'!$E$5:$X$102,MATCH($C185,'Exercise list'!$C$5:$C$102,0),MATCH(AF$5,'Exercise list'!$E$4:$X$4,0)),0)</f>
        <v>0</v>
      </c>
      <c r="AG185">
        <f>IFERROR(INDEX('Exercise list'!$E$5:$X$102,MATCH($C185,'Exercise list'!$C$5:$C$102,0),MATCH(AG$5,'Exercise list'!$E$4:$X$4,0)),0)</f>
        <v>0</v>
      </c>
      <c r="AH185">
        <f>IFERROR(INDEX('Exercise list'!$E$5:$X$102,MATCH($C185,'Exercise list'!$C$5:$C$102,0),MATCH(AH$5,'Exercise list'!$E$4:$X$4,0)),0)</f>
        <v>0</v>
      </c>
      <c r="AI185">
        <f>IFERROR(INDEX('Exercise list'!$E$5:$X$102,MATCH($C185,'Exercise list'!$C$5:$C$102,0),MATCH(AI$5,'Exercise list'!$E$4:$X$4,0)),0)</f>
        <v>0</v>
      </c>
      <c r="AK185">
        <f>IF(OR($J185=1,COUNTIFS($A$5:$A184,"&gt;="&amp;$A185-1,$A$5:$A184,"&lt;="&amp;$A185,$B$5:$B184,$B185)&gt;0,MIN(1-'Exercise list'!E$2,IF($A185=$A184,AK184,1))-P185&lt;0),-1,MIN(1,IF($A185=$A184,AK184,1)-P185+$D$2))</f>
        <v>1</v>
      </c>
      <c r="AL185">
        <f>IF(OR($J185=1,COUNTIFS($A$5:$A184,"&gt;="&amp;$A185-1,$A$5:$A184,"&lt;="&amp;$A185,$B$5:$B184,$B185)&gt;0,MIN(1-'Exercise list'!F$2,IF($A185=$A184,AL184,1))-Q185&lt;0),-1,MIN(1,IF($A185=$A184,AL184,1)-Q185+$D$2))</f>
        <v>1</v>
      </c>
      <c r="AM185">
        <f>IF(OR($J185=1,COUNTIFS($A$5:$A184,"&gt;="&amp;$A185-1,$A$5:$A184,"&lt;="&amp;$A185,$B$5:$B184,$B185)&gt;0,MIN(1-'Exercise list'!G$2,IF($A185=$A184,AM184,1))-R185&lt;0),-1,MIN(1,IF($A185=$A184,AM184,1)-R185+$D$2))</f>
        <v>1</v>
      </c>
      <c r="AN185">
        <f>IF(OR($J185=1,COUNTIFS($A$5:$A184,"&gt;="&amp;$A185-1,$A$5:$A184,"&lt;="&amp;$A185,$B$5:$B184,$B185)&gt;0,MIN(1-'Exercise list'!H$2,IF($A185=$A184,AN184,1))-S185&lt;0),-1,MIN(1,IF($A185=$A184,AN184,1)-S185+$D$2))</f>
        <v>1</v>
      </c>
      <c r="AO185">
        <f>IF(OR($J185=1,COUNTIFS($A$5:$A184,"&gt;="&amp;$A185-1,$A$5:$A184,"&lt;="&amp;$A185,$B$5:$B184,$B185)&gt;0,MIN(1-'Exercise list'!I$2,IF($A185=$A184,AO184,1))-T185&lt;0),-1,MIN(1,IF($A185=$A184,AO184,1)-T185+$D$2))</f>
        <v>1</v>
      </c>
      <c r="AP185">
        <f>IF(OR($J185=1,COUNTIFS($A$5:$A184,"&gt;="&amp;$A185-1,$A$5:$A184,"&lt;="&amp;$A185,$B$5:$B184,$B185)&gt;0,MIN(1-'Exercise list'!J$2,IF($A185=$A184,AP184,1))-U185&lt;0),-1,MIN(1,IF($A185=$A184,AP184,1)-U185+$D$2))</f>
        <v>1</v>
      </c>
      <c r="AQ185">
        <f>IF(OR($J185=1,COUNTIFS($A$5:$A184,"&gt;="&amp;$A185-1,$A$5:$A184,"&lt;="&amp;$A185,$B$5:$B184,$B185)&gt;0,MIN(1-'Exercise list'!K$2,IF($A185=$A184,AQ184,1))-V185&lt;0),-1,MIN(1,IF($A185=$A184,AQ184,1)-V185+$D$2))</f>
        <v>1</v>
      </c>
      <c r="AR185">
        <f>IF(OR($J185=1,COUNTIFS($A$5:$A184,"&gt;="&amp;$A185-1,$A$5:$A184,"&lt;="&amp;$A185,$B$5:$B184,$B185)&gt;0,MIN(1-'Exercise list'!L$2,IF($A185=$A184,AR184,1))-W185&lt;0),-1,MIN(1,IF($A185=$A184,AR184,1)-W185+$D$2))</f>
        <v>1</v>
      </c>
      <c r="AS185">
        <f>IF(OR($J185=1,COUNTIFS($A$5:$A184,"&gt;="&amp;$A185-1,$A$5:$A184,"&lt;="&amp;$A185,$B$5:$B184,$B185)&gt;0,MIN(1-'Exercise list'!M$2,IF($A185=$A184,AS184,1))-X185&lt;0),-1,MIN(1,IF($A185=$A184,AS184,1)-X185+$D$2))</f>
        <v>1</v>
      </c>
      <c r="AT185">
        <f>IF(OR($J185=1,COUNTIFS($A$5:$A184,"&gt;="&amp;$A185-1,$A$5:$A184,"&lt;="&amp;$A185,$B$5:$B184,$B185)&gt;0,MIN(1-'Exercise list'!N$2,IF($A185=$A184,AT184,1))-Y185&lt;0),-1,MIN(1,IF($A185=$A184,AT184,1)-Y185+$D$2))</f>
        <v>1</v>
      </c>
      <c r="AU185">
        <f>IF(OR($J185=1,COUNTIFS($A$5:$A184,"&gt;="&amp;$A185-1,$A$5:$A184,"&lt;="&amp;$A185,$B$5:$B184,$B185)&gt;0,MIN(1-'Exercise list'!O$2,IF($A185=$A184,AU184,1))-Z185&lt;0),-1,MIN(1,IF($A185=$A184,AU184,1)-Z185+$D$2))</f>
        <v>1</v>
      </c>
      <c r="AV185">
        <f>IF(OR($J185=1,COUNTIFS($A$5:$A184,"&gt;="&amp;$A185-1,$A$5:$A184,"&lt;="&amp;$A185,$B$5:$B184,$B185)&gt;0,MIN(1-'Exercise list'!P$2,IF($A185=$A184,AV184,1))-AA185&lt;0),-1,MIN(1,IF($A185=$A184,AV184,1)-AA185+$D$2))</f>
        <v>1</v>
      </c>
      <c r="AW185">
        <f>IF(OR($J185=1,COUNTIFS($A$5:$A184,"&gt;="&amp;$A185-1,$A$5:$A184,"&lt;="&amp;$A185,$B$5:$B184,$B185)&gt;0,MIN(1-'Exercise list'!Q$2,IF($A185=$A184,AW184,1))-AB185&lt;0),-1,MIN(1,IF($A185=$A184,AW184,1)-AB185+$D$2))</f>
        <v>1</v>
      </c>
      <c r="AX185">
        <f>IF(OR($J185=1,COUNTIFS($A$5:$A184,"&gt;="&amp;$A185-1,$A$5:$A184,"&lt;="&amp;$A185,$B$5:$B184,$B185)&gt;0,MIN(1-'Exercise list'!R$2,IF($A185=$A184,AX184,1))-AC185&lt;0),-1,MIN(1,IF($A185=$A184,AX184,1)-AC185+$D$2))</f>
        <v>1</v>
      </c>
      <c r="AY185">
        <f>IF(OR($J185=1,COUNTIFS($A$5:$A184,"&gt;="&amp;$A185-1,$A$5:$A184,"&lt;="&amp;$A185,$B$5:$B184,$B185)&gt;0,MIN(1-'Exercise list'!S$2,IF($A185=$A184,AY184,1))-AD185&lt;0),-1,MIN(1,IF($A185=$A184,AY184,1)-AD185+$D$2))</f>
        <v>1</v>
      </c>
      <c r="AZ185">
        <f>IF(OR($J185=1,COUNTIFS($A$5:$A184,"&gt;="&amp;$A185-1,$A$5:$A184,"&lt;="&amp;$A185,$B$5:$B184,$B185)&gt;0,MIN(1-'Exercise list'!T$2,IF($A185=$A184,AZ184,1))-AE185&lt;0),-1,MIN(1,IF($A185=$A184,AZ184,1)-AE185+$D$2))</f>
        <v>1</v>
      </c>
      <c r="BA185">
        <f>IF(OR($J185=1,COUNTIFS($A$5:$A184,"&gt;="&amp;$A185-1,$A$5:$A184,"&lt;="&amp;$A185,$B$5:$B184,$B185)&gt;0,MIN(1-'Exercise list'!U$2,IF($A185=$A184,BA184,1))-AF185&lt;0),-1,MIN(1,IF($A185=$A184,BA184,1)-AF185+$D$2))</f>
        <v>1</v>
      </c>
      <c r="BB185">
        <f>IF(OR($J185=1,COUNTIFS($A$5:$A184,"&gt;="&amp;$A185-1,$A$5:$A184,"&lt;="&amp;$A185,$B$5:$B184,$B185)&gt;0,MIN(1-'Exercise list'!V$2,IF($A185=$A184,BB184,1))-AG185&lt;0),-1,MIN(1,IF($A185=$A184,BB184,1)-AG185+$D$2))</f>
        <v>1</v>
      </c>
      <c r="BC185">
        <f>IF(OR($J185=1,COUNTIFS($A$5:$A184,"&gt;="&amp;$A185-1,$A$5:$A184,"&lt;="&amp;$A185,$B$5:$B184,$B185)&gt;0,MIN(1-'Exercise list'!W$2,IF($A185=$A184,BC184,1))-AH185&lt;0),-1,MIN(1,IF($A185=$A184,BC184,1)-AH185+$D$2))</f>
        <v>1</v>
      </c>
      <c r="BD185">
        <f>IF(OR($J185=1,COUNTIFS($A$5:$A184,"&gt;="&amp;$A185-1,$A$5:$A184,"&lt;="&amp;$A185,$B$5:$B184,$B185)&gt;0,MIN(1-'Exercise list'!X$2,IF($A185=$A184,BD184,1))-AI185&lt;0),-1,MIN(1,IF($A185=$A184,BD184,1)-AI185+$D$2))</f>
        <v>1</v>
      </c>
      <c r="BF185" s="16">
        <f t="shared" si="145"/>
        <v>0.19596031081758858</v>
      </c>
      <c r="BG185" s="16">
        <f t="shared" si="146"/>
        <v>0.21844636935459236</v>
      </c>
      <c r="BH185" s="16">
        <f t="shared" si="147"/>
        <v>0.14609696635987124</v>
      </c>
      <c r="BI185" s="16">
        <f t="shared" si="148"/>
        <v>0.13198015366034541</v>
      </c>
      <c r="BJ185" s="16">
        <f t="shared" si="149"/>
        <v>8.3367914198418713E-2</v>
      </c>
      <c r="BK185" s="16">
        <f t="shared" si="150"/>
        <v>0.10640640223148412</v>
      </c>
      <c r="BL185" s="16">
        <f t="shared" si="151"/>
        <v>0.21963504743569431</v>
      </c>
      <c r="BM185" s="16">
        <f t="shared" si="152"/>
        <v>3.8988008374820568E-3</v>
      </c>
      <c r="BN185" s="16">
        <f t="shared" si="153"/>
        <v>0.14537706087090876</v>
      </c>
      <c r="BO185" s="16">
        <f t="shared" si="154"/>
        <v>0.29209790661993401</v>
      </c>
      <c r="BP185" s="16">
        <f t="shared" si="155"/>
        <v>0.31584545163401867</v>
      </c>
      <c r="BQ185" s="16">
        <f t="shared" si="156"/>
        <v>0.1000007994126096</v>
      </c>
      <c r="BR185" s="16">
        <f t="shared" si="157"/>
        <v>0.13164487759885393</v>
      </c>
      <c r="BS185" s="16">
        <f t="shared" si="158"/>
        <v>2.9803550189863123E-2</v>
      </c>
      <c r="BT185" s="16">
        <f t="shared" si="159"/>
        <v>0.13492040904978705</v>
      </c>
      <c r="BU185" s="16">
        <f t="shared" si="160"/>
        <v>0.11703687414398131</v>
      </c>
      <c r="BV185" s="16">
        <f t="shared" si="161"/>
        <v>0.14633353213781661</v>
      </c>
      <c r="BW185" s="16">
        <f t="shared" si="162"/>
        <v>7.5588015111767173E-2</v>
      </c>
      <c r="BX185" s="16">
        <f t="shared" si="163"/>
        <v>8.0345659937185704E-2</v>
      </c>
      <c r="BY185" s="16">
        <f t="shared" si="164"/>
        <v>5.9014643151272549E-2</v>
      </c>
      <c r="CA185" s="16" t="str">
        <f t="shared" si="141"/>
        <v/>
      </c>
      <c r="CB185" s="16" t="str">
        <f t="shared" si="122"/>
        <v/>
      </c>
      <c r="CC185" s="16" t="str">
        <f t="shared" si="123"/>
        <v/>
      </c>
      <c r="CD185" s="16" t="str">
        <f t="shared" si="124"/>
        <v/>
      </c>
      <c r="CE185" s="16" t="str">
        <f t="shared" si="125"/>
        <v/>
      </c>
      <c r="CF185" s="16" t="str">
        <f t="shared" si="126"/>
        <v/>
      </c>
      <c r="CG185" s="16" t="str">
        <f t="shared" si="127"/>
        <v/>
      </c>
      <c r="CH185" s="16" t="str">
        <f t="shared" si="128"/>
        <v/>
      </c>
      <c r="CI185" s="16" t="str">
        <f t="shared" si="129"/>
        <v/>
      </c>
      <c r="CJ185" s="16" t="str">
        <f t="shared" si="130"/>
        <v/>
      </c>
      <c r="CK185" s="16" t="str">
        <f t="shared" si="131"/>
        <v/>
      </c>
      <c r="CL185" s="16" t="str">
        <f t="shared" si="132"/>
        <v/>
      </c>
      <c r="CM185" s="16" t="str">
        <f t="shared" si="133"/>
        <v/>
      </c>
      <c r="CN185" s="16" t="str">
        <f t="shared" si="134"/>
        <v/>
      </c>
      <c r="CO185" s="16" t="str">
        <f t="shared" si="135"/>
        <v/>
      </c>
      <c r="CP185" s="16" t="str">
        <f t="shared" si="136"/>
        <v/>
      </c>
      <c r="CQ185" s="16" t="str">
        <f t="shared" si="137"/>
        <v/>
      </c>
      <c r="CR185" s="16" t="str">
        <f t="shared" si="138"/>
        <v/>
      </c>
      <c r="CS185" s="16" t="str">
        <f t="shared" si="139"/>
        <v/>
      </c>
      <c r="CT185" s="16" t="str">
        <f t="shared" si="140"/>
        <v/>
      </c>
    </row>
    <row r="186" spans="1:99" x14ac:dyDescent="0.25">
      <c r="A186" s="13"/>
      <c r="B186" s="14"/>
      <c r="C186" s="15" t="str" cm="1">
        <f t="array" ref="C186">IF(B186="","",INDEX('Exercise list'!$C$5:$C$102,B186))</f>
        <v/>
      </c>
      <c r="D186" s="12" t="str">
        <f t="shared" si="142"/>
        <v/>
      </c>
      <c r="E186" s="107" t="str">
        <f t="shared" si="165"/>
        <v/>
      </c>
      <c r="F186" s="63" t="str" cm="1">
        <f t="array" ref="F186">IF(B186="","",0.1+IFERROR(INDEX($F$6:$F185,SUMPRODUCT(MAX(ROW($C$6:$C185)*($C186=$C$6:$C185))-ROW($A$5)))*0.9^($A186-INDEX($A$6:A185,SUMPRODUCT(MAX(ROW($C$6:$C185)*($C186=$C$6:$C185))-ROW($A$5)))),0))</f>
        <v/>
      </c>
      <c r="G186" s="64" t="e">
        <f>INDEX('Exercise list'!$Y$5:$Y$102,MATCH(C186,'Exercise list'!$C$5:$C$102,0))</f>
        <v>#N/A</v>
      </c>
      <c r="H186" s="115">
        <f t="shared" si="143"/>
        <v>0</v>
      </c>
      <c r="I186" s="6">
        <f t="shared" si="144"/>
        <v>5</v>
      </c>
      <c r="J186" s="6" t="str" cm="1">
        <f t="array" ref="J186">IF(B186="","",INDEX('Exercise list'!$D$5:$D$102,B186))</f>
        <v/>
      </c>
      <c r="K186" s="12">
        <v>59</v>
      </c>
      <c r="L186" s="74" t="str" cm="1">
        <f t="array" ref="L186">IF(K186="","",INDEX('Exercise list'!$C$5:$C$102,K186))</f>
        <v>Triceps dips</v>
      </c>
      <c r="M186" s="6">
        <v>40</v>
      </c>
      <c r="N186" s="75" t="str" cm="1">
        <f t="array" ref="N186">IF(M186="","",INDEX('Exercise list'!$C$5:$C$102,M186))</f>
        <v>Calf presses</v>
      </c>
      <c r="P186">
        <f>IFERROR(INDEX('Exercise list'!$E$5:$X$102,MATCH($C186,'Exercise list'!$C$5:$C$102,0),MATCH(P$5,'Exercise list'!$E$4:$X$4,0)),0)</f>
        <v>0</v>
      </c>
      <c r="Q186">
        <f>IFERROR(INDEX('Exercise list'!$E$5:$X$102,MATCH($C186,'Exercise list'!$C$5:$C$102,0),MATCH(Q$5,'Exercise list'!$E$4:$X$4,0)),0)</f>
        <v>0</v>
      </c>
      <c r="R186">
        <f>IFERROR(INDEX('Exercise list'!$E$5:$X$102,MATCH($C186,'Exercise list'!$C$5:$C$102,0),MATCH(R$5,'Exercise list'!$E$4:$X$4,0)),0)</f>
        <v>0</v>
      </c>
      <c r="S186">
        <f>IFERROR(INDEX('Exercise list'!$E$5:$X$102,MATCH($C186,'Exercise list'!$C$5:$C$102,0),MATCH(S$5,'Exercise list'!$E$4:$X$4,0)),0)</f>
        <v>0</v>
      </c>
      <c r="T186">
        <f>IFERROR(INDEX('Exercise list'!$E$5:$X$102,MATCH($C186,'Exercise list'!$C$5:$C$102,0),MATCH(T$5,'Exercise list'!$E$4:$X$4,0)),0)</f>
        <v>0</v>
      </c>
      <c r="U186">
        <f>IFERROR(INDEX('Exercise list'!$E$5:$X$102,MATCH($C186,'Exercise list'!$C$5:$C$102,0),MATCH(U$5,'Exercise list'!$E$4:$X$4,0)),0)</f>
        <v>0</v>
      </c>
      <c r="V186">
        <f>IFERROR(INDEX('Exercise list'!$E$5:$X$102,MATCH($C186,'Exercise list'!$C$5:$C$102,0),MATCH(V$5,'Exercise list'!$E$4:$X$4,0)),0)</f>
        <v>0</v>
      </c>
      <c r="W186">
        <f>IFERROR(INDEX('Exercise list'!$E$5:$X$102,MATCH($C186,'Exercise list'!$C$5:$C$102,0),MATCH(W$5,'Exercise list'!$E$4:$X$4,0)),0)</f>
        <v>0</v>
      </c>
      <c r="X186">
        <f>IFERROR(INDEX('Exercise list'!$E$5:$X$102,MATCH($C186,'Exercise list'!$C$5:$C$102,0),MATCH(X$5,'Exercise list'!$E$4:$X$4,0)),0)</f>
        <v>0</v>
      </c>
      <c r="Y186">
        <f>IFERROR(INDEX('Exercise list'!$E$5:$X$102,MATCH($C186,'Exercise list'!$C$5:$C$102,0),MATCH(Y$5,'Exercise list'!$E$4:$X$4,0)),0)</f>
        <v>0</v>
      </c>
      <c r="Z186">
        <f>IFERROR(INDEX('Exercise list'!$E$5:$X$102,MATCH($C186,'Exercise list'!$C$5:$C$102,0),MATCH(Z$5,'Exercise list'!$E$4:$X$4,0)),0)</f>
        <v>0</v>
      </c>
      <c r="AA186">
        <f>IFERROR(INDEX('Exercise list'!$E$5:$X$102,MATCH($C186,'Exercise list'!$C$5:$C$102,0),MATCH(AA$5,'Exercise list'!$E$4:$X$4,0)),0)</f>
        <v>0</v>
      </c>
      <c r="AB186">
        <f>IFERROR(INDEX('Exercise list'!$E$5:$X$102,MATCH($C186,'Exercise list'!$C$5:$C$102,0),MATCH(AB$5,'Exercise list'!$E$4:$X$4,0)),0)</f>
        <v>0</v>
      </c>
      <c r="AC186">
        <f>IFERROR(INDEX('Exercise list'!$E$5:$X$102,MATCH($C186,'Exercise list'!$C$5:$C$102,0),MATCH(AC$5,'Exercise list'!$E$4:$X$4,0)),0)</f>
        <v>0</v>
      </c>
      <c r="AD186">
        <f>IFERROR(INDEX('Exercise list'!$E$5:$X$102,MATCH($C186,'Exercise list'!$C$5:$C$102,0),MATCH(AD$5,'Exercise list'!$E$4:$X$4,0)),0)</f>
        <v>0</v>
      </c>
      <c r="AE186">
        <f>IFERROR(INDEX('Exercise list'!$E$5:$X$102,MATCH($C186,'Exercise list'!$C$5:$C$102,0),MATCH(AE$5,'Exercise list'!$E$4:$X$4,0)),0)</f>
        <v>0</v>
      </c>
      <c r="AF186">
        <f>IFERROR(INDEX('Exercise list'!$E$5:$X$102,MATCH($C186,'Exercise list'!$C$5:$C$102,0),MATCH(AF$5,'Exercise list'!$E$4:$X$4,0)),0)</f>
        <v>0</v>
      </c>
      <c r="AG186">
        <f>IFERROR(INDEX('Exercise list'!$E$5:$X$102,MATCH($C186,'Exercise list'!$C$5:$C$102,0),MATCH(AG$5,'Exercise list'!$E$4:$X$4,0)),0)</f>
        <v>0</v>
      </c>
      <c r="AH186">
        <f>IFERROR(INDEX('Exercise list'!$E$5:$X$102,MATCH($C186,'Exercise list'!$C$5:$C$102,0),MATCH(AH$5,'Exercise list'!$E$4:$X$4,0)),0)</f>
        <v>0</v>
      </c>
      <c r="AI186">
        <f>IFERROR(INDEX('Exercise list'!$E$5:$X$102,MATCH($C186,'Exercise list'!$C$5:$C$102,0),MATCH(AI$5,'Exercise list'!$E$4:$X$4,0)),0)</f>
        <v>0</v>
      </c>
      <c r="AK186">
        <f>IF(OR($J186=1,COUNTIFS($A$5:$A185,"&gt;="&amp;$A186-1,$A$5:$A185,"&lt;="&amp;$A186,$B$5:$B185,$B186)&gt;0,MIN(1-'Exercise list'!E$2,IF($A186=$A185,AK185,1))-P186&lt;0),-1,MIN(1,IF($A186=$A185,AK185,1)-P186+$D$2))</f>
        <v>1</v>
      </c>
      <c r="AL186">
        <f>IF(OR($J186=1,COUNTIFS($A$5:$A185,"&gt;="&amp;$A186-1,$A$5:$A185,"&lt;="&amp;$A186,$B$5:$B185,$B186)&gt;0,MIN(1-'Exercise list'!F$2,IF($A186=$A185,AL185,1))-Q186&lt;0),-1,MIN(1,IF($A186=$A185,AL185,1)-Q186+$D$2))</f>
        <v>1</v>
      </c>
      <c r="AM186">
        <f>IF(OR($J186=1,COUNTIFS($A$5:$A185,"&gt;="&amp;$A186-1,$A$5:$A185,"&lt;="&amp;$A186,$B$5:$B185,$B186)&gt;0,MIN(1-'Exercise list'!G$2,IF($A186=$A185,AM185,1))-R186&lt;0),-1,MIN(1,IF($A186=$A185,AM185,1)-R186+$D$2))</f>
        <v>1</v>
      </c>
      <c r="AN186">
        <f>IF(OR($J186=1,COUNTIFS($A$5:$A185,"&gt;="&amp;$A186-1,$A$5:$A185,"&lt;="&amp;$A186,$B$5:$B185,$B186)&gt;0,MIN(1-'Exercise list'!H$2,IF($A186=$A185,AN185,1))-S186&lt;0),-1,MIN(1,IF($A186=$A185,AN185,1)-S186+$D$2))</f>
        <v>1</v>
      </c>
      <c r="AO186">
        <f>IF(OR($J186=1,COUNTIFS($A$5:$A185,"&gt;="&amp;$A186-1,$A$5:$A185,"&lt;="&amp;$A186,$B$5:$B185,$B186)&gt;0,MIN(1-'Exercise list'!I$2,IF($A186=$A185,AO185,1))-T186&lt;0),-1,MIN(1,IF($A186=$A185,AO185,1)-T186+$D$2))</f>
        <v>1</v>
      </c>
      <c r="AP186">
        <f>IF(OR($J186=1,COUNTIFS($A$5:$A185,"&gt;="&amp;$A186-1,$A$5:$A185,"&lt;="&amp;$A186,$B$5:$B185,$B186)&gt;0,MIN(1-'Exercise list'!J$2,IF($A186=$A185,AP185,1))-U186&lt;0),-1,MIN(1,IF($A186=$A185,AP185,1)-U186+$D$2))</f>
        <v>1</v>
      </c>
      <c r="AQ186">
        <f>IF(OR($J186=1,COUNTIFS($A$5:$A185,"&gt;="&amp;$A186-1,$A$5:$A185,"&lt;="&amp;$A186,$B$5:$B185,$B186)&gt;0,MIN(1-'Exercise list'!K$2,IF($A186=$A185,AQ185,1))-V186&lt;0),-1,MIN(1,IF($A186=$A185,AQ185,1)-V186+$D$2))</f>
        <v>1</v>
      </c>
      <c r="AR186">
        <f>IF(OR($J186=1,COUNTIFS($A$5:$A185,"&gt;="&amp;$A186-1,$A$5:$A185,"&lt;="&amp;$A186,$B$5:$B185,$B186)&gt;0,MIN(1-'Exercise list'!L$2,IF($A186=$A185,AR185,1))-W186&lt;0),-1,MIN(1,IF($A186=$A185,AR185,1)-W186+$D$2))</f>
        <v>1</v>
      </c>
      <c r="AS186">
        <f>IF(OR($J186=1,COUNTIFS($A$5:$A185,"&gt;="&amp;$A186-1,$A$5:$A185,"&lt;="&amp;$A186,$B$5:$B185,$B186)&gt;0,MIN(1-'Exercise list'!M$2,IF($A186=$A185,AS185,1))-X186&lt;0),-1,MIN(1,IF($A186=$A185,AS185,1)-X186+$D$2))</f>
        <v>1</v>
      </c>
      <c r="AT186">
        <f>IF(OR($J186=1,COUNTIFS($A$5:$A185,"&gt;="&amp;$A186-1,$A$5:$A185,"&lt;="&amp;$A186,$B$5:$B185,$B186)&gt;0,MIN(1-'Exercise list'!N$2,IF($A186=$A185,AT185,1))-Y186&lt;0),-1,MIN(1,IF($A186=$A185,AT185,1)-Y186+$D$2))</f>
        <v>1</v>
      </c>
      <c r="AU186">
        <f>IF(OR($J186=1,COUNTIFS($A$5:$A185,"&gt;="&amp;$A186-1,$A$5:$A185,"&lt;="&amp;$A186,$B$5:$B185,$B186)&gt;0,MIN(1-'Exercise list'!O$2,IF($A186=$A185,AU185,1))-Z186&lt;0),-1,MIN(1,IF($A186=$A185,AU185,1)-Z186+$D$2))</f>
        <v>1</v>
      </c>
      <c r="AV186">
        <f>IF(OR($J186=1,COUNTIFS($A$5:$A185,"&gt;="&amp;$A186-1,$A$5:$A185,"&lt;="&amp;$A186,$B$5:$B185,$B186)&gt;0,MIN(1-'Exercise list'!P$2,IF($A186=$A185,AV185,1))-AA186&lt;0),-1,MIN(1,IF($A186=$A185,AV185,1)-AA186+$D$2))</f>
        <v>1</v>
      </c>
      <c r="AW186">
        <f>IF(OR($J186=1,COUNTIFS($A$5:$A185,"&gt;="&amp;$A186-1,$A$5:$A185,"&lt;="&amp;$A186,$B$5:$B185,$B186)&gt;0,MIN(1-'Exercise list'!Q$2,IF($A186=$A185,AW185,1))-AB186&lt;0),-1,MIN(1,IF($A186=$A185,AW185,1)-AB186+$D$2))</f>
        <v>1</v>
      </c>
      <c r="AX186">
        <f>IF(OR($J186=1,COUNTIFS($A$5:$A185,"&gt;="&amp;$A186-1,$A$5:$A185,"&lt;="&amp;$A186,$B$5:$B185,$B186)&gt;0,MIN(1-'Exercise list'!R$2,IF($A186=$A185,AX185,1))-AC186&lt;0),-1,MIN(1,IF($A186=$A185,AX185,1)-AC186+$D$2))</f>
        <v>1</v>
      </c>
      <c r="AY186">
        <f>IF(OR($J186=1,COUNTIFS($A$5:$A185,"&gt;="&amp;$A186-1,$A$5:$A185,"&lt;="&amp;$A186,$B$5:$B185,$B186)&gt;0,MIN(1-'Exercise list'!S$2,IF($A186=$A185,AY185,1))-AD186&lt;0),-1,MIN(1,IF($A186=$A185,AY185,1)-AD186+$D$2))</f>
        <v>1</v>
      </c>
      <c r="AZ186">
        <f>IF(OR($J186=1,COUNTIFS($A$5:$A185,"&gt;="&amp;$A186-1,$A$5:$A185,"&lt;="&amp;$A186,$B$5:$B185,$B186)&gt;0,MIN(1-'Exercise list'!T$2,IF($A186=$A185,AZ185,1))-AE186&lt;0),-1,MIN(1,IF($A186=$A185,AZ185,1)-AE186+$D$2))</f>
        <v>1</v>
      </c>
      <c r="BA186">
        <f>IF(OR($J186=1,COUNTIFS($A$5:$A185,"&gt;="&amp;$A186-1,$A$5:$A185,"&lt;="&amp;$A186,$B$5:$B185,$B186)&gt;0,MIN(1-'Exercise list'!U$2,IF($A186=$A185,BA185,1))-AF186&lt;0),-1,MIN(1,IF($A186=$A185,BA185,1)-AF186+$D$2))</f>
        <v>1</v>
      </c>
      <c r="BB186">
        <f>IF(OR($J186=1,COUNTIFS($A$5:$A185,"&gt;="&amp;$A186-1,$A$5:$A185,"&lt;="&amp;$A186,$B$5:$B185,$B186)&gt;0,MIN(1-'Exercise list'!V$2,IF($A186=$A185,BB185,1))-AG186&lt;0),-1,MIN(1,IF($A186=$A185,BB185,1)-AG186+$D$2))</f>
        <v>1</v>
      </c>
      <c r="BC186">
        <f>IF(OR($J186=1,COUNTIFS($A$5:$A185,"&gt;="&amp;$A186-1,$A$5:$A185,"&lt;="&amp;$A186,$B$5:$B185,$B186)&gt;0,MIN(1-'Exercise list'!W$2,IF($A186=$A185,BC185,1))-AH186&lt;0),-1,MIN(1,IF($A186=$A185,BC185,1)-AH186+$D$2))</f>
        <v>1</v>
      </c>
      <c r="BD186">
        <f>IF(OR($J186=1,COUNTIFS($A$5:$A185,"&gt;="&amp;$A186-1,$A$5:$A185,"&lt;="&amp;$A186,$B$5:$B185,$B186)&gt;0,MIN(1-'Exercise list'!X$2,IF($A186=$A185,BD185,1))-AI186&lt;0),-1,MIN(1,IF($A186=$A185,BD185,1)-AI186+$D$2))</f>
        <v>1</v>
      </c>
      <c r="BF186" s="16">
        <f t="shared" si="145"/>
        <v>0.19596031081758858</v>
      </c>
      <c r="BG186" s="16">
        <f t="shared" si="146"/>
        <v>0.21844636935459236</v>
      </c>
      <c r="BH186" s="16">
        <f t="shared" si="147"/>
        <v>0.14609696635987124</v>
      </c>
      <c r="BI186" s="16">
        <f t="shared" si="148"/>
        <v>0.13198015366034541</v>
      </c>
      <c r="BJ186" s="16">
        <f t="shared" si="149"/>
        <v>8.3367914198418713E-2</v>
      </c>
      <c r="BK186" s="16">
        <f t="shared" si="150"/>
        <v>0.10640640223148412</v>
      </c>
      <c r="BL186" s="16">
        <f t="shared" si="151"/>
        <v>0.21963504743569431</v>
      </c>
      <c r="BM186" s="16">
        <f t="shared" si="152"/>
        <v>3.8988008374820568E-3</v>
      </c>
      <c r="BN186" s="16">
        <f t="shared" si="153"/>
        <v>0.14537706087090876</v>
      </c>
      <c r="BO186" s="16">
        <f t="shared" si="154"/>
        <v>0.29209790661993401</v>
      </c>
      <c r="BP186" s="16">
        <f t="shared" si="155"/>
        <v>0.31584545163401867</v>
      </c>
      <c r="BQ186" s="16">
        <f t="shared" si="156"/>
        <v>0.1000007994126096</v>
      </c>
      <c r="BR186" s="16">
        <f t="shared" si="157"/>
        <v>0.13164487759885393</v>
      </c>
      <c r="BS186" s="16">
        <f t="shared" si="158"/>
        <v>2.9803550189863123E-2</v>
      </c>
      <c r="BT186" s="16">
        <f t="shared" si="159"/>
        <v>0.13492040904978705</v>
      </c>
      <c r="BU186" s="16">
        <f t="shared" si="160"/>
        <v>0.11703687414398131</v>
      </c>
      <c r="BV186" s="16">
        <f t="shared" si="161"/>
        <v>0.14633353213781661</v>
      </c>
      <c r="BW186" s="16">
        <f t="shared" si="162"/>
        <v>7.5588015111767173E-2</v>
      </c>
      <c r="BX186" s="16">
        <f t="shared" si="163"/>
        <v>8.0345659937185704E-2</v>
      </c>
      <c r="BY186" s="16">
        <f t="shared" si="164"/>
        <v>5.9014643151272549E-2</v>
      </c>
      <c r="CA186" s="16" t="str">
        <f t="shared" si="141"/>
        <v/>
      </c>
      <c r="CB186" s="16" t="str">
        <f t="shared" si="122"/>
        <v/>
      </c>
      <c r="CC186" s="16" t="str">
        <f t="shared" si="123"/>
        <v/>
      </c>
      <c r="CD186" s="16" t="str">
        <f t="shared" si="124"/>
        <v/>
      </c>
      <c r="CE186" s="16" t="str">
        <f t="shared" si="125"/>
        <v/>
      </c>
      <c r="CF186" s="16" t="str">
        <f t="shared" si="126"/>
        <v/>
      </c>
      <c r="CG186" s="16" t="str">
        <f t="shared" si="127"/>
        <v/>
      </c>
      <c r="CH186" s="16" t="str">
        <f t="shared" si="128"/>
        <v/>
      </c>
      <c r="CI186" s="16" t="str">
        <f t="shared" si="129"/>
        <v/>
      </c>
      <c r="CJ186" s="16" t="str">
        <f t="shared" si="130"/>
        <v/>
      </c>
      <c r="CK186" s="16" t="str">
        <f t="shared" si="131"/>
        <v/>
      </c>
      <c r="CL186" s="16" t="str">
        <f t="shared" si="132"/>
        <v/>
      </c>
      <c r="CM186" s="16" t="str">
        <f t="shared" si="133"/>
        <v/>
      </c>
      <c r="CN186" s="16" t="str">
        <f t="shared" si="134"/>
        <v/>
      </c>
      <c r="CO186" s="16" t="str">
        <f t="shared" si="135"/>
        <v/>
      </c>
      <c r="CP186" s="16" t="str">
        <f t="shared" si="136"/>
        <v/>
      </c>
      <c r="CQ186" s="16" t="str">
        <f t="shared" si="137"/>
        <v/>
      </c>
      <c r="CR186" s="16" t="str">
        <f t="shared" si="138"/>
        <v/>
      </c>
      <c r="CS186" s="16" t="str">
        <f t="shared" si="139"/>
        <v/>
      </c>
      <c r="CT186" s="16" t="str">
        <f t="shared" si="140"/>
        <v/>
      </c>
    </row>
    <row r="187" spans="1:99" x14ac:dyDescent="0.25">
      <c r="A187" s="13"/>
      <c r="B187" s="14"/>
      <c r="C187" s="15" t="str" cm="1">
        <f t="array" ref="C187">IF(B187="","",INDEX('Exercise list'!$C$5:$C$102,B187))</f>
        <v/>
      </c>
      <c r="D187" s="12" t="str">
        <f t="shared" si="142"/>
        <v/>
      </c>
      <c r="E187" s="107" t="str">
        <f t="shared" si="165"/>
        <v/>
      </c>
      <c r="F187" s="63" t="str" cm="1">
        <f t="array" ref="F187">IF(B187="","",0.1+IFERROR(INDEX($F$6:$F186,SUMPRODUCT(MAX(ROW($C$6:$C186)*($C187=$C$6:$C186))-ROW($A$5)))*0.9^($A187-INDEX($A$6:A186,SUMPRODUCT(MAX(ROW($C$6:$C186)*($C187=$C$6:$C186))-ROW($A$5)))),0))</f>
        <v/>
      </c>
      <c r="G187" s="64" t="e">
        <f>INDEX('Exercise list'!$Y$5:$Y$102,MATCH(C187,'Exercise list'!$C$5:$C$102,0))</f>
        <v>#N/A</v>
      </c>
      <c r="H187" s="115">
        <f t="shared" si="143"/>
        <v>0</v>
      </c>
      <c r="I187" s="6">
        <f t="shared" si="144"/>
        <v>5</v>
      </c>
      <c r="J187" s="6" t="str" cm="1">
        <f t="array" ref="J187">IF(B187="","",INDEX('Exercise list'!$D$5:$D$102,B187))</f>
        <v/>
      </c>
      <c r="K187" s="12">
        <v>10</v>
      </c>
      <c r="L187" s="74" t="str" cm="1">
        <f t="array" ref="L187">IF(K187="","",INDEX('Exercise list'!$C$5:$C$102,K187))</f>
        <v>Cable seated rows</v>
      </c>
      <c r="M187" s="6">
        <v>11</v>
      </c>
      <c r="N187" s="75" t="str" cm="1">
        <f t="array" ref="N187">IF(M187="","",INDEX('Exercise list'!$C$5:$C$102,M187))</f>
        <v>Chin-ups</v>
      </c>
      <c r="P187">
        <f>IFERROR(INDEX('Exercise list'!$E$5:$X$102,MATCH($C187,'Exercise list'!$C$5:$C$102,0),MATCH(P$5,'Exercise list'!$E$4:$X$4,0)),0)</f>
        <v>0</v>
      </c>
      <c r="Q187">
        <f>IFERROR(INDEX('Exercise list'!$E$5:$X$102,MATCH($C187,'Exercise list'!$C$5:$C$102,0),MATCH(Q$5,'Exercise list'!$E$4:$X$4,0)),0)</f>
        <v>0</v>
      </c>
      <c r="R187">
        <f>IFERROR(INDEX('Exercise list'!$E$5:$X$102,MATCH($C187,'Exercise list'!$C$5:$C$102,0),MATCH(R$5,'Exercise list'!$E$4:$X$4,0)),0)</f>
        <v>0</v>
      </c>
      <c r="S187">
        <f>IFERROR(INDEX('Exercise list'!$E$5:$X$102,MATCH($C187,'Exercise list'!$C$5:$C$102,0),MATCH(S$5,'Exercise list'!$E$4:$X$4,0)),0)</f>
        <v>0</v>
      </c>
      <c r="T187">
        <f>IFERROR(INDEX('Exercise list'!$E$5:$X$102,MATCH($C187,'Exercise list'!$C$5:$C$102,0),MATCH(T$5,'Exercise list'!$E$4:$X$4,0)),0)</f>
        <v>0</v>
      </c>
      <c r="U187">
        <f>IFERROR(INDEX('Exercise list'!$E$5:$X$102,MATCH($C187,'Exercise list'!$C$5:$C$102,0),MATCH(U$5,'Exercise list'!$E$4:$X$4,0)),0)</f>
        <v>0</v>
      </c>
      <c r="V187">
        <f>IFERROR(INDEX('Exercise list'!$E$5:$X$102,MATCH($C187,'Exercise list'!$C$5:$C$102,0),MATCH(V$5,'Exercise list'!$E$4:$X$4,0)),0)</f>
        <v>0</v>
      </c>
      <c r="W187">
        <f>IFERROR(INDEX('Exercise list'!$E$5:$X$102,MATCH($C187,'Exercise list'!$C$5:$C$102,0),MATCH(W$5,'Exercise list'!$E$4:$X$4,0)),0)</f>
        <v>0</v>
      </c>
      <c r="X187">
        <f>IFERROR(INDEX('Exercise list'!$E$5:$X$102,MATCH($C187,'Exercise list'!$C$5:$C$102,0),MATCH(X$5,'Exercise list'!$E$4:$X$4,0)),0)</f>
        <v>0</v>
      </c>
      <c r="Y187">
        <f>IFERROR(INDEX('Exercise list'!$E$5:$X$102,MATCH($C187,'Exercise list'!$C$5:$C$102,0),MATCH(Y$5,'Exercise list'!$E$4:$X$4,0)),0)</f>
        <v>0</v>
      </c>
      <c r="Z187">
        <f>IFERROR(INDEX('Exercise list'!$E$5:$X$102,MATCH($C187,'Exercise list'!$C$5:$C$102,0),MATCH(Z$5,'Exercise list'!$E$4:$X$4,0)),0)</f>
        <v>0</v>
      </c>
      <c r="AA187">
        <f>IFERROR(INDEX('Exercise list'!$E$5:$X$102,MATCH($C187,'Exercise list'!$C$5:$C$102,0),MATCH(AA$5,'Exercise list'!$E$4:$X$4,0)),0)</f>
        <v>0</v>
      </c>
      <c r="AB187">
        <f>IFERROR(INDEX('Exercise list'!$E$5:$X$102,MATCH($C187,'Exercise list'!$C$5:$C$102,0),MATCH(AB$5,'Exercise list'!$E$4:$X$4,0)),0)</f>
        <v>0</v>
      </c>
      <c r="AC187">
        <f>IFERROR(INDEX('Exercise list'!$E$5:$X$102,MATCH($C187,'Exercise list'!$C$5:$C$102,0),MATCH(AC$5,'Exercise list'!$E$4:$X$4,0)),0)</f>
        <v>0</v>
      </c>
      <c r="AD187">
        <f>IFERROR(INDEX('Exercise list'!$E$5:$X$102,MATCH($C187,'Exercise list'!$C$5:$C$102,0),MATCH(AD$5,'Exercise list'!$E$4:$X$4,0)),0)</f>
        <v>0</v>
      </c>
      <c r="AE187">
        <f>IFERROR(INDEX('Exercise list'!$E$5:$X$102,MATCH($C187,'Exercise list'!$C$5:$C$102,0),MATCH(AE$5,'Exercise list'!$E$4:$X$4,0)),0)</f>
        <v>0</v>
      </c>
      <c r="AF187">
        <f>IFERROR(INDEX('Exercise list'!$E$5:$X$102,MATCH($C187,'Exercise list'!$C$5:$C$102,0),MATCH(AF$5,'Exercise list'!$E$4:$X$4,0)),0)</f>
        <v>0</v>
      </c>
      <c r="AG187">
        <f>IFERROR(INDEX('Exercise list'!$E$5:$X$102,MATCH($C187,'Exercise list'!$C$5:$C$102,0),MATCH(AG$5,'Exercise list'!$E$4:$X$4,0)),0)</f>
        <v>0</v>
      </c>
      <c r="AH187">
        <f>IFERROR(INDEX('Exercise list'!$E$5:$X$102,MATCH($C187,'Exercise list'!$C$5:$C$102,0),MATCH(AH$5,'Exercise list'!$E$4:$X$4,0)),0)</f>
        <v>0</v>
      </c>
      <c r="AI187">
        <f>IFERROR(INDEX('Exercise list'!$E$5:$X$102,MATCH($C187,'Exercise list'!$C$5:$C$102,0),MATCH(AI$5,'Exercise list'!$E$4:$X$4,0)),0)</f>
        <v>0</v>
      </c>
      <c r="AK187">
        <f>IF(OR($J187=1,COUNTIFS($A$5:$A186,"&gt;="&amp;$A187-1,$A$5:$A186,"&lt;="&amp;$A187,$B$5:$B186,$B187)&gt;0,MIN(1-'Exercise list'!E$2,IF($A187=$A186,AK186,1))-P187&lt;0),-1,MIN(1,IF($A187=$A186,AK186,1)-P187+$D$2))</f>
        <v>1</v>
      </c>
      <c r="AL187">
        <f>IF(OR($J187=1,COUNTIFS($A$5:$A186,"&gt;="&amp;$A187-1,$A$5:$A186,"&lt;="&amp;$A187,$B$5:$B186,$B187)&gt;0,MIN(1-'Exercise list'!F$2,IF($A187=$A186,AL186,1))-Q187&lt;0),-1,MIN(1,IF($A187=$A186,AL186,1)-Q187+$D$2))</f>
        <v>1</v>
      </c>
      <c r="AM187">
        <f>IF(OR($J187=1,COUNTIFS($A$5:$A186,"&gt;="&amp;$A187-1,$A$5:$A186,"&lt;="&amp;$A187,$B$5:$B186,$B187)&gt;0,MIN(1-'Exercise list'!G$2,IF($A187=$A186,AM186,1))-R187&lt;0),-1,MIN(1,IF($A187=$A186,AM186,1)-R187+$D$2))</f>
        <v>1</v>
      </c>
      <c r="AN187">
        <f>IF(OR($J187=1,COUNTIFS($A$5:$A186,"&gt;="&amp;$A187-1,$A$5:$A186,"&lt;="&amp;$A187,$B$5:$B186,$B187)&gt;0,MIN(1-'Exercise list'!H$2,IF($A187=$A186,AN186,1))-S187&lt;0),-1,MIN(1,IF($A187=$A186,AN186,1)-S187+$D$2))</f>
        <v>1</v>
      </c>
      <c r="AO187">
        <f>IF(OR($J187=1,COUNTIFS($A$5:$A186,"&gt;="&amp;$A187-1,$A$5:$A186,"&lt;="&amp;$A187,$B$5:$B186,$B187)&gt;0,MIN(1-'Exercise list'!I$2,IF($A187=$A186,AO186,1))-T187&lt;0),-1,MIN(1,IF($A187=$A186,AO186,1)-T187+$D$2))</f>
        <v>1</v>
      </c>
      <c r="AP187">
        <f>IF(OR($J187=1,COUNTIFS($A$5:$A186,"&gt;="&amp;$A187-1,$A$5:$A186,"&lt;="&amp;$A187,$B$5:$B186,$B187)&gt;0,MIN(1-'Exercise list'!J$2,IF($A187=$A186,AP186,1))-U187&lt;0),-1,MIN(1,IF($A187=$A186,AP186,1)-U187+$D$2))</f>
        <v>1</v>
      </c>
      <c r="AQ187">
        <f>IF(OR($J187=1,COUNTIFS($A$5:$A186,"&gt;="&amp;$A187-1,$A$5:$A186,"&lt;="&amp;$A187,$B$5:$B186,$B187)&gt;0,MIN(1-'Exercise list'!K$2,IF($A187=$A186,AQ186,1))-V187&lt;0),-1,MIN(1,IF($A187=$A186,AQ186,1)-V187+$D$2))</f>
        <v>1</v>
      </c>
      <c r="AR187">
        <f>IF(OR($J187=1,COUNTIFS($A$5:$A186,"&gt;="&amp;$A187-1,$A$5:$A186,"&lt;="&amp;$A187,$B$5:$B186,$B187)&gt;0,MIN(1-'Exercise list'!L$2,IF($A187=$A186,AR186,1))-W187&lt;0),-1,MIN(1,IF($A187=$A186,AR186,1)-W187+$D$2))</f>
        <v>1</v>
      </c>
      <c r="AS187">
        <f>IF(OR($J187=1,COUNTIFS($A$5:$A186,"&gt;="&amp;$A187-1,$A$5:$A186,"&lt;="&amp;$A187,$B$5:$B186,$B187)&gt;0,MIN(1-'Exercise list'!M$2,IF($A187=$A186,AS186,1))-X187&lt;0),-1,MIN(1,IF($A187=$A186,AS186,1)-X187+$D$2))</f>
        <v>1</v>
      </c>
      <c r="AT187">
        <f>IF(OR($J187=1,COUNTIFS($A$5:$A186,"&gt;="&amp;$A187-1,$A$5:$A186,"&lt;="&amp;$A187,$B$5:$B186,$B187)&gt;0,MIN(1-'Exercise list'!N$2,IF($A187=$A186,AT186,1))-Y187&lt;0),-1,MIN(1,IF($A187=$A186,AT186,1)-Y187+$D$2))</f>
        <v>1</v>
      </c>
      <c r="AU187">
        <f>IF(OR($J187=1,COUNTIFS($A$5:$A186,"&gt;="&amp;$A187-1,$A$5:$A186,"&lt;="&amp;$A187,$B$5:$B186,$B187)&gt;0,MIN(1-'Exercise list'!O$2,IF($A187=$A186,AU186,1))-Z187&lt;0),-1,MIN(1,IF($A187=$A186,AU186,1)-Z187+$D$2))</f>
        <v>1</v>
      </c>
      <c r="AV187">
        <f>IF(OR($J187=1,COUNTIFS($A$5:$A186,"&gt;="&amp;$A187-1,$A$5:$A186,"&lt;="&amp;$A187,$B$5:$B186,$B187)&gt;0,MIN(1-'Exercise list'!P$2,IF($A187=$A186,AV186,1))-AA187&lt;0),-1,MIN(1,IF($A187=$A186,AV186,1)-AA187+$D$2))</f>
        <v>1</v>
      </c>
      <c r="AW187">
        <f>IF(OR($J187=1,COUNTIFS($A$5:$A186,"&gt;="&amp;$A187-1,$A$5:$A186,"&lt;="&amp;$A187,$B$5:$B186,$B187)&gt;0,MIN(1-'Exercise list'!Q$2,IF($A187=$A186,AW186,1))-AB187&lt;0),-1,MIN(1,IF($A187=$A186,AW186,1)-AB187+$D$2))</f>
        <v>1</v>
      </c>
      <c r="AX187">
        <f>IF(OR($J187=1,COUNTIFS($A$5:$A186,"&gt;="&amp;$A187-1,$A$5:$A186,"&lt;="&amp;$A187,$B$5:$B186,$B187)&gt;0,MIN(1-'Exercise list'!R$2,IF($A187=$A186,AX186,1))-AC187&lt;0),-1,MIN(1,IF($A187=$A186,AX186,1)-AC187+$D$2))</f>
        <v>1</v>
      </c>
      <c r="AY187">
        <f>IF(OR($J187=1,COUNTIFS($A$5:$A186,"&gt;="&amp;$A187-1,$A$5:$A186,"&lt;="&amp;$A187,$B$5:$B186,$B187)&gt;0,MIN(1-'Exercise list'!S$2,IF($A187=$A186,AY186,1))-AD187&lt;0),-1,MIN(1,IF($A187=$A186,AY186,1)-AD187+$D$2))</f>
        <v>1</v>
      </c>
      <c r="AZ187">
        <f>IF(OR($J187=1,COUNTIFS($A$5:$A186,"&gt;="&amp;$A187-1,$A$5:$A186,"&lt;="&amp;$A187,$B$5:$B186,$B187)&gt;0,MIN(1-'Exercise list'!T$2,IF($A187=$A186,AZ186,1))-AE187&lt;0),-1,MIN(1,IF($A187=$A186,AZ186,1)-AE187+$D$2))</f>
        <v>1</v>
      </c>
      <c r="BA187">
        <f>IF(OR($J187=1,COUNTIFS($A$5:$A186,"&gt;="&amp;$A187-1,$A$5:$A186,"&lt;="&amp;$A187,$B$5:$B186,$B187)&gt;0,MIN(1-'Exercise list'!U$2,IF($A187=$A186,BA186,1))-AF187&lt;0),-1,MIN(1,IF($A187=$A186,BA186,1)-AF187+$D$2))</f>
        <v>1</v>
      </c>
      <c r="BB187">
        <f>IF(OR($J187=1,COUNTIFS($A$5:$A186,"&gt;="&amp;$A187-1,$A$5:$A186,"&lt;="&amp;$A187,$B$5:$B186,$B187)&gt;0,MIN(1-'Exercise list'!V$2,IF($A187=$A186,BB186,1))-AG187&lt;0),-1,MIN(1,IF($A187=$A186,BB186,1)-AG187+$D$2))</f>
        <v>1</v>
      </c>
      <c r="BC187">
        <f>IF(OR($J187=1,COUNTIFS($A$5:$A186,"&gt;="&amp;$A187-1,$A$5:$A186,"&lt;="&amp;$A187,$B$5:$B186,$B187)&gt;0,MIN(1-'Exercise list'!W$2,IF($A187=$A186,BC186,1))-AH187&lt;0),-1,MIN(1,IF($A187=$A186,BC186,1)-AH187+$D$2))</f>
        <v>1</v>
      </c>
      <c r="BD187">
        <f>IF(OR($J187=1,COUNTIFS($A$5:$A186,"&gt;="&amp;$A187-1,$A$5:$A186,"&lt;="&amp;$A187,$B$5:$B186,$B187)&gt;0,MIN(1-'Exercise list'!X$2,IF($A187=$A186,BD186,1))-AI187&lt;0),-1,MIN(1,IF($A187=$A186,BD186,1)-AI187+$D$2))</f>
        <v>1</v>
      </c>
      <c r="BF187" s="16">
        <f t="shared" si="145"/>
        <v>0.19596031081758858</v>
      </c>
      <c r="BG187" s="16">
        <f t="shared" si="146"/>
        <v>0.21844636935459236</v>
      </c>
      <c r="BH187" s="16">
        <f t="shared" si="147"/>
        <v>0.14609696635987124</v>
      </c>
      <c r="BI187" s="16">
        <f t="shared" si="148"/>
        <v>0.13198015366034541</v>
      </c>
      <c r="BJ187" s="16">
        <f t="shared" si="149"/>
        <v>8.3367914198418713E-2</v>
      </c>
      <c r="BK187" s="16">
        <f t="shared" si="150"/>
        <v>0.10640640223148412</v>
      </c>
      <c r="BL187" s="16">
        <f t="shared" si="151"/>
        <v>0.21963504743569431</v>
      </c>
      <c r="BM187" s="16">
        <f t="shared" si="152"/>
        <v>3.8988008374820568E-3</v>
      </c>
      <c r="BN187" s="16">
        <f t="shared" si="153"/>
        <v>0.14537706087090876</v>
      </c>
      <c r="BO187" s="16">
        <f t="shared" si="154"/>
        <v>0.29209790661993401</v>
      </c>
      <c r="BP187" s="16">
        <f t="shared" si="155"/>
        <v>0.31584545163401867</v>
      </c>
      <c r="BQ187" s="16">
        <f t="shared" si="156"/>
        <v>0.1000007994126096</v>
      </c>
      <c r="BR187" s="16">
        <f t="shared" si="157"/>
        <v>0.13164487759885393</v>
      </c>
      <c r="BS187" s="16">
        <f t="shared" si="158"/>
        <v>2.9803550189863123E-2</v>
      </c>
      <c r="BT187" s="16">
        <f t="shared" si="159"/>
        <v>0.13492040904978705</v>
      </c>
      <c r="BU187" s="16">
        <f t="shared" si="160"/>
        <v>0.11703687414398131</v>
      </c>
      <c r="BV187" s="16">
        <f t="shared" si="161"/>
        <v>0.14633353213781661</v>
      </c>
      <c r="BW187" s="16">
        <f t="shared" si="162"/>
        <v>7.5588015111767173E-2</v>
      </c>
      <c r="BX187" s="16">
        <f t="shared" si="163"/>
        <v>8.0345659937185704E-2</v>
      </c>
      <c r="BY187" s="16">
        <f t="shared" si="164"/>
        <v>5.9014643151272549E-2</v>
      </c>
      <c r="CA187" s="16" t="str">
        <f t="shared" si="141"/>
        <v/>
      </c>
      <c r="CB187" s="16" t="str">
        <f t="shared" si="122"/>
        <v/>
      </c>
      <c r="CC187" s="16" t="str">
        <f t="shared" si="123"/>
        <v/>
      </c>
      <c r="CD187" s="16" t="str">
        <f t="shared" si="124"/>
        <v/>
      </c>
      <c r="CE187" s="16" t="str">
        <f t="shared" si="125"/>
        <v/>
      </c>
      <c r="CF187" s="16" t="str">
        <f t="shared" si="126"/>
        <v/>
      </c>
      <c r="CG187" s="16" t="str">
        <f t="shared" si="127"/>
        <v/>
      </c>
      <c r="CH187" s="16" t="str">
        <f t="shared" si="128"/>
        <v/>
      </c>
      <c r="CI187" s="16" t="str">
        <f t="shared" si="129"/>
        <v/>
      </c>
      <c r="CJ187" s="16" t="str">
        <f t="shared" si="130"/>
        <v/>
      </c>
      <c r="CK187" s="16" t="str">
        <f t="shared" si="131"/>
        <v/>
      </c>
      <c r="CL187" s="16" t="str">
        <f t="shared" si="132"/>
        <v/>
      </c>
      <c r="CM187" s="16" t="str">
        <f t="shared" si="133"/>
        <v/>
      </c>
      <c r="CN187" s="16" t="str">
        <f t="shared" si="134"/>
        <v/>
      </c>
      <c r="CO187" s="16" t="str">
        <f t="shared" si="135"/>
        <v/>
      </c>
      <c r="CP187" s="16" t="str">
        <f t="shared" si="136"/>
        <v/>
      </c>
      <c r="CQ187" s="16" t="str">
        <f t="shared" si="137"/>
        <v/>
      </c>
      <c r="CR187" s="16" t="str">
        <f t="shared" si="138"/>
        <v/>
      </c>
      <c r="CS187" s="16" t="str">
        <f t="shared" si="139"/>
        <v/>
      </c>
      <c r="CT187" s="16" t="str">
        <f t="shared" si="140"/>
        <v/>
      </c>
    </row>
    <row r="188" spans="1:99" x14ac:dyDescent="0.25">
      <c r="A188" s="20"/>
      <c r="B188" s="21"/>
      <c r="C188" s="22" t="str" cm="1">
        <f t="array" ref="C188">IF(B188="","",INDEX('Exercise list'!$C$5:$C$102,B188))</f>
        <v/>
      </c>
      <c r="D188" s="17" t="str">
        <f t="shared" si="142"/>
        <v/>
      </c>
      <c r="E188" s="108" t="str">
        <f t="shared" si="165"/>
        <v/>
      </c>
      <c r="F188" s="65" t="str" cm="1">
        <f t="array" ref="F188">IF(B188="","",0.1+IFERROR(INDEX($F$6:$F187,SUMPRODUCT(MAX(ROW($C$6:$C187)*($C188=$C$6:$C187))-ROW($A$5)))*0.9^($A188-INDEX($A$6:A187,SUMPRODUCT(MAX(ROW($C$6:$C187)*($C188=$C$6:$C187))-ROW($A$5)))),0))</f>
        <v/>
      </c>
      <c r="G188" s="25" t="e">
        <f>INDEX('Exercise list'!$Y$5:$Y$102,MATCH(C188,'Exercise list'!$C$5:$C$102,0))</f>
        <v>#N/A</v>
      </c>
      <c r="H188" s="116">
        <f t="shared" si="143"/>
        <v>0</v>
      </c>
      <c r="I188" s="18">
        <f t="shared" si="144"/>
        <v>5</v>
      </c>
      <c r="J188" s="18" t="str" cm="1">
        <f t="array" ref="J188">IF(B188="","",INDEX('Exercise list'!$D$5:$D$102,B188))</f>
        <v/>
      </c>
      <c r="K188" s="17">
        <v>3</v>
      </c>
      <c r="L188" s="51" t="str" cm="1">
        <f t="array" ref="L188">IF(K188="","",INDEX('Exercise list'!$C$5:$C$102,K188))</f>
        <v>Rowing machine</v>
      </c>
      <c r="M188" s="18">
        <v>1</v>
      </c>
      <c r="N188" s="76" t="str" cm="1">
        <f t="array" ref="N188">IF(M188="","",INDEX('Exercise list'!$C$5:$C$102,M188))</f>
        <v>Cycling machine</v>
      </c>
      <c r="O188" s="19"/>
      <c r="P188" s="19">
        <f>IFERROR(INDEX('Exercise list'!$E$5:$X$102,MATCH($C188,'Exercise list'!$C$5:$C$102,0),MATCH(P$5,'Exercise list'!$E$4:$X$4,0)),0)</f>
        <v>0</v>
      </c>
      <c r="Q188" s="19">
        <f>IFERROR(INDEX('Exercise list'!$E$5:$X$102,MATCH($C188,'Exercise list'!$C$5:$C$102,0),MATCH(Q$5,'Exercise list'!$E$4:$X$4,0)),0)</f>
        <v>0</v>
      </c>
      <c r="R188" s="19">
        <f>IFERROR(INDEX('Exercise list'!$E$5:$X$102,MATCH($C188,'Exercise list'!$C$5:$C$102,0),MATCH(R$5,'Exercise list'!$E$4:$X$4,0)),0)</f>
        <v>0</v>
      </c>
      <c r="S188" s="19">
        <f>IFERROR(INDEX('Exercise list'!$E$5:$X$102,MATCH($C188,'Exercise list'!$C$5:$C$102,0),MATCH(S$5,'Exercise list'!$E$4:$X$4,0)),0)</f>
        <v>0</v>
      </c>
      <c r="T188" s="19">
        <f>IFERROR(INDEX('Exercise list'!$E$5:$X$102,MATCH($C188,'Exercise list'!$C$5:$C$102,0),MATCH(T$5,'Exercise list'!$E$4:$X$4,0)),0)</f>
        <v>0</v>
      </c>
      <c r="U188" s="19">
        <f>IFERROR(INDEX('Exercise list'!$E$5:$X$102,MATCH($C188,'Exercise list'!$C$5:$C$102,0),MATCH(U$5,'Exercise list'!$E$4:$X$4,0)),0)</f>
        <v>0</v>
      </c>
      <c r="V188" s="19">
        <f>IFERROR(INDEX('Exercise list'!$E$5:$X$102,MATCH($C188,'Exercise list'!$C$5:$C$102,0),MATCH(V$5,'Exercise list'!$E$4:$X$4,0)),0)</f>
        <v>0</v>
      </c>
      <c r="W188" s="19">
        <f>IFERROR(INDEX('Exercise list'!$E$5:$X$102,MATCH($C188,'Exercise list'!$C$5:$C$102,0),MATCH(W$5,'Exercise list'!$E$4:$X$4,0)),0)</f>
        <v>0</v>
      </c>
      <c r="X188" s="19">
        <f>IFERROR(INDEX('Exercise list'!$E$5:$X$102,MATCH($C188,'Exercise list'!$C$5:$C$102,0),MATCH(X$5,'Exercise list'!$E$4:$X$4,0)),0)</f>
        <v>0</v>
      </c>
      <c r="Y188" s="19">
        <f>IFERROR(INDEX('Exercise list'!$E$5:$X$102,MATCH($C188,'Exercise list'!$C$5:$C$102,0),MATCH(Y$5,'Exercise list'!$E$4:$X$4,0)),0)</f>
        <v>0</v>
      </c>
      <c r="Z188" s="19">
        <f>IFERROR(INDEX('Exercise list'!$E$5:$X$102,MATCH($C188,'Exercise list'!$C$5:$C$102,0),MATCH(Z$5,'Exercise list'!$E$4:$X$4,0)),0)</f>
        <v>0</v>
      </c>
      <c r="AA188" s="19">
        <f>IFERROR(INDEX('Exercise list'!$E$5:$X$102,MATCH($C188,'Exercise list'!$C$5:$C$102,0),MATCH(AA$5,'Exercise list'!$E$4:$X$4,0)),0)</f>
        <v>0</v>
      </c>
      <c r="AB188" s="19">
        <f>IFERROR(INDEX('Exercise list'!$E$5:$X$102,MATCH($C188,'Exercise list'!$C$5:$C$102,0),MATCH(AB$5,'Exercise list'!$E$4:$X$4,0)),0)</f>
        <v>0</v>
      </c>
      <c r="AC188" s="19">
        <f>IFERROR(INDEX('Exercise list'!$E$5:$X$102,MATCH($C188,'Exercise list'!$C$5:$C$102,0),MATCH(AC$5,'Exercise list'!$E$4:$X$4,0)),0)</f>
        <v>0</v>
      </c>
      <c r="AD188" s="19">
        <f>IFERROR(INDEX('Exercise list'!$E$5:$X$102,MATCH($C188,'Exercise list'!$C$5:$C$102,0),MATCH(AD$5,'Exercise list'!$E$4:$X$4,0)),0)</f>
        <v>0</v>
      </c>
      <c r="AE188" s="19">
        <f>IFERROR(INDEX('Exercise list'!$E$5:$X$102,MATCH($C188,'Exercise list'!$C$5:$C$102,0),MATCH(AE$5,'Exercise list'!$E$4:$X$4,0)),0)</f>
        <v>0</v>
      </c>
      <c r="AF188" s="19">
        <f>IFERROR(INDEX('Exercise list'!$E$5:$X$102,MATCH($C188,'Exercise list'!$C$5:$C$102,0),MATCH(AF$5,'Exercise list'!$E$4:$X$4,0)),0)</f>
        <v>0</v>
      </c>
      <c r="AG188" s="19">
        <f>IFERROR(INDEX('Exercise list'!$E$5:$X$102,MATCH($C188,'Exercise list'!$C$5:$C$102,0),MATCH(AG$5,'Exercise list'!$E$4:$X$4,0)),0)</f>
        <v>0</v>
      </c>
      <c r="AH188" s="19">
        <f>IFERROR(INDEX('Exercise list'!$E$5:$X$102,MATCH($C188,'Exercise list'!$C$5:$C$102,0),MATCH(AH$5,'Exercise list'!$E$4:$X$4,0)),0)</f>
        <v>0</v>
      </c>
      <c r="AI188" s="19">
        <f>IFERROR(INDEX('Exercise list'!$E$5:$X$102,MATCH($C188,'Exercise list'!$C$5:$C$102,0),MATCH(AI$5,'Exercise list'!$E$4:$X$4,0)),0)</f>
        <v>0</v>
      </c>
      <c r="AJ188" s="19"/>
      <c r="AK188" s="19">
        <f>IF(OR($J188=1,COUNTIFS($A$5:$A187,"&gt;="&amp;$A188-1,$A$5:$A187,"&lt;="&amp;$A188,$B$5:$B187,$B188)&gt;0,MIN(1-'Exercise list'!E$2,IF($A188=$A187,AK187,1))-P188&lt;0),-1,MIN(1,IF($A188=$A187,AK187,1)-P188+$D$2))</f>
        <v>1</v>
      </c>
      <c r="AL188" s="19">
        <f>IF(OR($J188=1,COUNTIFS($A$5:$A187,"&gt;="&amp;$A188-1,$A$5:$A187,"&lt;="&amp;$A188,$B$5:$B187,$B188)&gt;0,MIN(1-'Exercise list'!F$2,IF($A188=$A187,AL187,1))-Q188&lt;0),-1,MIN(1,IF($A188=$A187,AL187,1)-Q188+$D$2))</f>
        <v>1</v>
      </c>
      <c r="AM188" s="19">
        <f>IF(OR($J188=1,COUNTIFS($A$5:$A187,"&gt;="&amp;$A188-1,$A$5:$A187,"&lt;="&amp;$A188,$B$5:$B187,$B188)&gt;0,MIN(1-'Exercise list'!G$2,IF($A188=$A187,AM187,1))-R188&lt;0),-1,MIN(1,IF($A188=$A187,AM187,1)-R188+$D$2))</f>
        <v>1</v>
      </c>
      <c r="AN188" s="19">
        <f>IF(OR($J188=1,COUNTIFS($A$5:$A187,"&gt;="&amp;$A188-1,$A$5:$A187,"&lt;="&amp;$A188,$B$5:$B187,$B188)&gt;0,MIN(1-'Exercise list'!H$2,IF($A188=$A187,AN187,1))-S188&lt;0),-1,MIN(1,IF($A188=$A187,AN187,1)-S188+$D$2))</f>
        <v>1</v>
      </c>
      <c r="AO188" s="19">
        <f>IF(OR($J188=1,COUNTIFS($A$5:$A187,"&gt;="&amp;$A188-1,$A$5:$A187,"&lt;="&amp;$A188,$B$5:$B187,$B188)&gt;0,MIN(1-'Exercise list'!I$2,IF($A188=$A187,AO187,1))-T188&lt;0),-1,MIN(1,IF($A188=$A187,AO187,1)-T188+$D$2))</f>
        <v>1</v>
      </c>
      <c r="AP188" s="19">
        <f>IF(OR($J188=1,COUNTIFS($A$5:$A187,"&gt;="&amp;$A188-1,$A$5:$A187,"&lt;="&amp;$A188,$B$5:$B187,$B188)&gt;0,MIN(1-'Exercise list'!J$2,IF($A188=$A187,AP187,1))-U188&lt;0),-1,MIN(1,IF($A188=$A187,AP187,1)-U188+$D$2))</f>
        <v>1</v>
      </c>
      <c r="AQ188" s="19">
        <f>IF(OR($J188=1,COUNTIFS($A$5:$A187,"&gt;="&amp;$A188-1,$A$5:$A187,"&lt;="&amp;$A188,$B$5:$B187,$B188)&gt;0,MIN(1-'Exercise list'!K$2,IF($A188=$A187,AQ187,1))-V188&lt;0),-1,MIN(1,IF($A188=$A187,AQ187,1)-V188+$D$2))</f>
        <v>1</v>
      </c>
      <c r="AR188" s="19">
        <f>IF(OR($J188=1,COUNTIFS($A$5:$A187,"&gt;="&amp;$A188-1,$A$5:$A187,"&lt;="&amp;$A188,$B$5:$B187,$B188)&gt;0,MIN(1-'Exercise list'!L$2,IF($A188=$A187,AR187,1))-W188&lt;0),-1,MIN(1,IF($A188=$A187,AR187,1)-W188+$D$2))</f>
        <v>1</v>
      </c>
      <c r="AS188" s="19">
        <f>IF(OR($J188=1,COUNTIFS($A$5:$A187,"&gt;="&amp;$A188-1,$A$5:$A187,"&lt;="&amp;$A188,$B$5:$B187,$B188)&gt;0,MIN(1-'Exercise list'!M$2,IF($A188=$A187,AS187,1))-X188&lt;0),-1,MIN(1,IF($A188=$A187,AS187,1)-X188+$D$2))</f>
        <v>1</v>
      </c>
      <c r="AT188" s="19">
        <f>IF(OR($J188=1,COUNTIFS($A$5:$A187,"&gt;="&amp;$A188-1,$A$5:$A187,"&lt;="&amp;$A188,$B$5:$B187,$B188)&gt;0,MIN(1-'Exercise list'!N$2,IF($A188=$A187,AT187,1))-Y188&lt;0),-1,MIN(1,IF($A188=$A187,AT187,1)-Y188+$D$2))</f>
        <v>1</v>
      </c>
      <c r="AU188" s="19">
        <f>IF(OR($J188=1,COUNTIFS($A$5:$A187,"&gt;="&amp;$A188-1,$A$5:$A187,"&lt;="&amp;$A188,$B$5:$B187,$B188)&gt;0,MIN(1-'Exercise list'!O$2,IF($A188=$A187,AU187,1))-Z188&lt;0),-1,MIN(1,IF($A188=$A187,AU187,1)-Z188+$D$2))</f>
        <v>1</v>
      </c>
      <c r="AV188" s="19">
        <f>IF(OR($J188=1,COUNTIFS($A$5:$A187,"&gt;="&amp;$A188-1,$A$5:$A187,"&lt;="&amp;$A188,$B$5:$B187,$B188)&gt;0,MIN(1-'Exercise list'!P$2,IF($A188=$A187,AV187,1))-AA188&lt;0),-1,MIN(1,IF($A188=$A187,AV187,1)-AA188+$D$2))</f>
        <v>1</v>
      </c>
      <c r="AW188" s="19">
        <f>IF(OR($J188=1,COUNTIFS($A$5:$A187,"&gt;="&amp;$A188-1,$A$5:$A187,"&lt;="&amp;$A188,$B$5:$B187,$B188)&gt;0,MIN(1-'Exercise list'!Q$2,IF($A188=$A187,AW187,1))-AB188&lt;0),-1,MIN(1,IF($A188=$A187,AW187,1)-AB188+$D$2))</f>
        <v>1</v>
      </c>
      <c r="AX188" s="19">
        <f>IF(OR($J188=1,COUNTIFS($A$5:$A187,"&gt;="&amp;$A188-1,$A$5:$A187,"&lt;="&amp;$A188,$B$5:$B187,$B188)&gt;0,MIN(1-'Exercise list'!R$2,IF($A188=$A187,AX187,1))-AC188&lt;0),-1,MIN(1,IF($A188=$A187,AX187,1)-AC188+$D$2))</f>
        <v>1</v>
      </c>
      <c r="AY188" s="19">
        <f>IF(OR($J188=1,COUNTIFS($A$5:$A187,"&gt;="&amp;$A188-1,$A$5:$A187,"&lt;="&amp;$A188,$B$5:$B187,$B188)&gt;0,MIN(1-'Exercise list'!S$2,IF($A188=$A187,AY187,1))-AD188&lt;0),-1,MIN(1,IF($A188=$A187,AY187,1)-AD188+$D$2))</f>
        <v>1</v>
      </c>
      <c r="AZ188" s="19">
        <f>IF(OR($J188=1,COUNTIFS($A$5:$A187,"&gt;="&amp;$A188-1,$A$5:$A187,"&lt;="&amp;$A188,$B$5:$B187,$B188)&gt;0,MIN(1-'Exercise list'!T$2,IF($A188=$A187,AZ187,1))-AE188&lt;0),-1,MIN(1,IF($A188=$A187,AZ187,1)-AE188+$D$2))</f>
        <v>1</v>
      </c>
      <c r="BA188" s="19">
        <f>IF(OR($J188=1,COUNTIFS($A$5:$A187,"&gt;="&amp;$A188-1,$A$5:$A187,"&lt;="&amp;$A188,$B$5:$B187,$B188)&gt;0,MIN(1-'Exercise list'!U$2,IF($A188=$A187,BA187,1))-AF188&lt;0),-1,MIN(1,IF($A188=$A187,BA187,1)-AF188+$D$2))</f>
        <v>1</v>
      </c>
      <c r="BB188" s="19">
        <f>IF(OR($J188=1,COUNTIFS($A$5:$A187,"&gt;="&amp;$A188-1,$A$5:$A187,"&lt;="&amp;$A188,$B$5:$B187,$B188)&gt;0,MIN(1-'Exercise list'!V$2,IF($A188=$A187,BB187,1))-AG188&lt;0),-1,MIN(1,IF($A188=$A187,BB187,1)-AG188+$D$2))</f>
        <v>1</v>
      </c>
      <c r="BC188" s="19">
        <f>IF(OR($J188=1,COUNTIFS($A$5:$A187,"&gt;="&amp;$A188-1,$A$5:$A187,"&lt;="&amp;$A188,$B$5:$B187,$B188)&gt;0,MIN(1-'Exercise list'!W$2,IF($A188=$A187,BC187,1))-AH188&lt;0),-1,MIN(1,IF($A188=$A187,BC187,1)-AH188+$D$2))</f>
        <v>1</v>
      </c>
      <c r="BD188" s="19">
        <f>IF(OR($J188=1,COUNTIFS($A$5:$A187,"&gt;="&amp;$A188-1,$A$5:$A187,"&lt;="&amp;$A188,$B$5:$B187,$B188)&gt;0,MIN(1-'Exercise list'!X$2,IF($A188=$A187,BD187,1))-AI188&lt;0),-1,MIN(1,IF($A188=$A187,BD187,1)-AI188+$D$2))</f>
        <v>1</v>
      </c>
      <c r="BE188" s="19"/>
      <c r="BF188" s="23">
        <f t="shared" si="145"/>
        <v>0.19596031081758858</v>
      </c>
      <c r="BG188" s="23">
        <f t="shared" si="146"/>
        <v>0.21844636935459236</v>
      </c>
      <c r="BH188" s="23">
        <f t="shared" si="147"/>
        <v>0.14609696635987124</v>
      </c>
      <c r="BI188" s="23">
        <f t="shared" si="148"/>
        <v>0.13198015366034541</v>
      </c>
      <c r="BJ188" s="23">
        <f t="shared" si="149"/>
        <v>8.3367914198418713E-2</v>
      </c>
      <c r="BK188" s="23">
        <f t="shared" si="150"/>
        <v>0.10640640223148412</v>
      </c>
      <c r="BL188" s="23">
        <f t="shared" si="151"/>
        <v>0.21963504743569431</v>
      </c>
      <c r="BM188" s="23">
        <f t="shared" si="152"/>
        <v>3.8988008374820568E-3</v>
      </c>
      <c r="BN188" s="23">
        <f t="shared" si="153"/>
        <v>0.14537706087090876</v>
      </c>
      <c r="BO188" s="23">
        <f t="shared" si="154"/>
        <v>0.29209790661993401</v>
      </c>
      <c r="BP188" s="23">
        <f t="shared" si="155"/>
        <v>0.31584545163401867</v>
      </c>
      <c r="BQ188" s="23">
        <f t="shared" si="156"/>
        <v>0.1000007994126096</v>
      </c>
      <c r="BR188" s="23">
        <f t="shared" si="157"/>
        <v>0.13164487759885393</v>
      </c>
      <c r="BS188" s="23">
        <f t="shared" si="158"/>
        <v>2.9803550189863123E-2</v>
      </c>
      <c r="BT188" s="23">
        <f t="shared" si="159"/>
        <v>0.13492040904978705</v>
      </c>
      <c r="BU188" s="23">
        <f t="shared" si="160"/>
        <v>0.11703687414398131</v>
      </c>
      <c r="BV188" s="23">
        <f t="shared" si="161"/>
        <v>0.14633353213781661</v>
      </c>
      <c r="BW188" s="23">
        <f t="shared" si="162"/>
        <v>7.5588015111767173E-2</v>
      </c>
      <c r="BX188" s="23">
        <f t="shared" si="163"/>
        <v>8.0345659937185704E-2</v>
      </c>
      <c r="BY188" s="23">
        <f t="shared" si="164"/>
        <v>5.9014643151272549E-2</v>
      </c>
      <c r="BZ188" s="19"/>
      <c r="CA188" s="23" t="str">
        <f t="shared" si="141"/>
        <v/>
      </c>
      <c r="CB188" s="23" t="str">
        <f t="shared" si="122"/>
        <v/>
      </c>
      <c r="CC188" s="23" t="str">
        <f t="shared" si="123"/>
        <v/>
      </c>
      <c r="CD188" s="23" t="str">
        <f t="shared" si="124"/>
        <v/>
      </c>
      <c r="CE188" s="23" t="str">
        <f t="shared" si="125"/>
        <v/>
      </c>
      <c r="CF188" s="23" t="str">
        <f t="shared" si="126"/>
        <v/>
      </c>
      <c r="CG188" s="23" t="str">
        <f t="shared" si="127"/>
        <v/>
      </c>
      <c r="CH188" s="23" t="str">
        <f t="shared" si="128"/>
        <v/>
      </c>
      <c r="CI188" s="23" t="str">
        <f t="shared" si="129"/>
        <v/>
      </c>
      <c r="CJ188" s="23" t="str">
        <f t="shared" si="130"/>
        <v/>
      </c>
      <c r="CK188" s="23" t="str">
        <f t="shared" si="131"/>
        <v/>
      </c>
      <c r="CL188" s="23" t="str">
        <f t="shared" si="132"/>
        <v/>
      </c>
      <c r="CM188" s="23" t="str">
        <f t="shared" si="133"/>
        <v/>
      </c>
      <c r="CN188" s="23" t="str">
        <f t="shared" si="134"/>
        <v/>
      </c>
      <c r="CO188" s="23" t="str">
        <f t="shared" si="135"/>
        <v/>
      </c>
      <c r="CP188" s="23" t="str">
        <f t="shared" si="136"/>
        <v/>
      </c>
      <c r="CQ188" s="23" t="str">
        <f t="shared" si="137"/>
        <v/>
      </c>
      <c r="CR188" s="23" t="str">
        <f t="shared" si="138"/>
        <v/>
      </c>
      <c r="CS188" s="23" t="str">
        <f t="shared" si="139"/>
        <v/>
      </c>
      <c r="CT188" s="23" t="str">
        <f t="shared" si="140"/>
        <v/>
      </c>
      <c r="CU188" s="19"/>
    </row>
    <row r="189" spans="1:99" x14ac:dyDescent="0.25">
      <c r="A189" s="13"/>
      <c r="B189" s="14"/>
      <c r="C189" s="15" t="str" cm="1">
        <f t="array" ref="C189">IF(B189="","",INDEX('Exercise list'!$C$5:$C$102,B189))</f>
        <v/>
      </c>
      <c r="D189" s="12" t="str">
        <f t="shared" si="142"/>
        <v/>
      </c>
      <c r="E189" s="107" t="str">
        <f t="shared" si="165"/>
        <v/>
      </c>
      <c r="F189" s="63" t="str" cm="1">
        <f t="array" ref="F189">IF(B189="","",0.1+IFERROR(INDEX($F$6:$F188,SUMPRODUCT(MAX(ROW($C$6:$C188)*($C189=$C$6:$C188))-ROW($A$5)))*0.9^($A189-INDEX($A$6:A188,SUMPRODUCT(MAX(ROW($C$6:$C188)*($C189=$C$6:$C188))-ROW($A$5)))),0))</f>
        <v/>
      </c>
      <c r="G189" s="64" t="e">
        <f>INDEX('Exercise list'!$Y$5:$Y$102,MATCH(C189,'Exercise list'!$C$5:$C$102,0))</f>
        <v>#N/A</v>
      </c>
      <c r="H189" s="115">
        <f t="shared" si="143"/>
        <v>0</v>
      </c>
      <c r="I189" s="42">
        <f t="shared" si="144"/>
        <v>5</v>
      </c>
      <c r="J189" s="6" t="str" cm="1">
        <f t="array" ref="J189">IF(B189="","",INDEX('Exercise list'!$D$5:$D$102,B189))</f>
        <v/>
      </c>
      <c r="K189" s="12"/>
      <c r="L189" s="74" t="str" cm="1">
        <f t="array" ref="L189">IF(K189="","",INDEX('Exercise list'!$C$5:$C$102,K189))</f>
        <v/>
      </c>
      <c r="M189" s="6"/>
      <c r="N189" s="75" t="str" cm="1">
        <f t="array" ref="N189">IF(M189="","",INDEX('Exercise list'!$C$5:$C$102,M189))</f>
        <v/>
      </c>
      <c r="P189">
        <f>IFERROR(INDEX('Exercise list'!$E$5:$X$102,MATCH($C189,'Exercise list'!$C$5:$C$102,0),MATCH(P$5,'Exercise list'!$E$4:$X$4,0)),0)</f>
        <v>0</v>
      </c>
      <c r="Q189">
        <f>IFERROR(INDEX('Exercise list'!$E$5:$X$102,MATCH($C189,'Exercise list'!$C$5:$C$102,0),MATCH(Q$5,'Exercise list'!$E$4:$X$4,0)),0)</f>
        <v>0</v>
      </c>
      <c r="R189">
        <f>IFERROR(INDEX('Exercise list'!$E$5:$X$102,MATCH($C189,'Exercise list'!$C$5:$C$102,0),MATCH(R$5,'Exercise list'!$E$4:$X$4,0)),0)</f>
        <v>0</v>
      </c>
      <c r="S189">
        <f>IFERROR(INDEX('Exercise list'!$E$5:$X$102,MATCH($C189,'Exercise list'!$C$5:$C$102,0),MATCH(S$5,'Exercise list'!$E$4:$X$4,0)),0)</f>
        <v>0</v>
      </c>
      <c r="T189">
        <f>IFERROR(INDEX('Exercise list'!$E$5:$X$102,MATCH($C189,'Exercise list'!$C$5:$C$102,0),MATCH(T$5,'Exercise list'!$E$4:$X$4,0)),0)</f>
        <v>0</v>
      </c>
      <c r="U189">
        <f>IFERROR(INDEX('Exercise list'!$E$5:$X$102,MATCH($C189,'Exercise list'!$C$5:$C$102,0),MATCH(U$5,'Exercise list'!$E$4:$X$4,0)),0)</f>
        <v>0</v>
      </c>
      <c r="V189">
        <f>IFERROR(INDEX('Exercise list'!$E$5:$X$102,MATCH($C189,'Exercise list'!$C$5:$C$102,0),MATCH(V$5,'Exercise list'!$E$4:$X$4,0)),0)</f>
        <v>0</v>
      </c>
      <c r="W189">
        <f>IFERROR(INDEX('Exercise list'!$E$5:$X$102,MATCH($C189,'Exercise list'!$C$5:$C$102,0),MATCH(W$5,'Exercise list'!$E$4:$X$4,0)),0)</f>
        <v>0</v>
      </c>
      <c r="X189">
        <f>IFERROR(INDEX('Exercise list'!$E$5:$X$102,MATCH($C189,'Exercise list'!$C$5:$C$102,0),MATCH(X$5,'Exercise list'!$E$4:$X$4,0)),0)</f>
        <v>0</v>
      </c>
      <c r="Y189">
        <f>IFERROR(INDEX('Exercise list'!$E$5:$X$102,MATCH($C189,'Exercise list'!$C$5:$C$102,0),MATCH(Y$5,'Exercise list'!$E$4:$X$4,0)),0)</f>
        <v>0</v>
      </c>
      <c r="Z189">
        <f>IFERROR(INDEX('Exercise list'!$E$5:$X$102,MATCH($C189,'Exercise list'!$C$5:$C$102,0),MATCH(Z$5,'Exercise list'!$E$4:$X$4,0)),0)</f>
        <v>0</v>
      </c>
      <c r="AA189">
        <f>IFERROR(INDEX('Exercise list'!$E$5:$X$102,MATCH($C189,'Exercise list'!$C$5:$C$102,0),MATCH(AA$5,'Exercise list'!$E$4:$X$4,0)),0)</f>
        <v>0</v>
      </c>
      <c r="AB189">
        <f>IFERROR(INDEX('Exercise list'!$E$5:$X$102,MATCH($C189,'Exercise list'!$C$5:$C$102,0),MATCH(AB$5,'Exercise list'!$E$4:$X$4,0)),0)</f>
        <v>0</v>
      </c>
      <c r="AC189">
        <f>IFERROR(INDEX('Exercise list'!$E$5:$X$102,MATCH($C189,'Exercise list'!$C$5:$C$102,0),MATCH(AC$5,'Exercise list'!$E$4:$X$4,0)),0)</f>
        <v>0</v>
      </c>
      <c r="AD189">
        <f>IFERROR(INDEX('Exercise list'!$E$5:$X$102,MATCH($C189,'Exercise list'!$C$5:$C$102,0),MATCH(AD$5,'Exercise list'!$E$4:$X$4,0)),0)</f>
        <v>0</v>
      </c>
      <c r="AE189">
        <f>IFERROR(INDEX('Exercise list'!$E$5:$X$102,MATCH($C189,'Exercise list'!$C$5:$C$102,0),MATCH(AE$5,'Exercise list'!$E$4:$X$4,0)),0)</f>
        <v>0</v>
      </c>
      <c r="AF189">
        <f>IFERROR(INDEX('Exercise list'!$E$5:$X$102,MATCH($C189,'Exercise list'!$C$5:$C$102,0),MATCH(AF$5,'Exercise list'!$E$4:$X$4,0)),0)</f>
        <v>0</v>
      </c>
      <c r="AG189">
        <f>IFERROR(INDEX('Exercise list'!$E$5:$X$102,MATCH($C189,'Exercise list'!$C$5:$C$102,0),MATCH(AG$5,'Exercise list'!$E$4:$X$4,0)),0)</f>
        <v>0</v>
      </c>
      <c r="AH189">
        <f>IFERROR(INDEX('Exercise list'!$E$5:$X$102,MATCH($C189,'Exercise list'!$C$5:$C$102,0),MATCH(AH$5,'Exercise list'!$E$4:$X$4,0)),0)</f>
        <v>0</v>
      </c>
      <c r="AI189">
        <f>IFERROR(INDEX('Exercise list'!$E$5:$X$102,MATCH($C189,'Exercise list'!$C$5:$C$102,0),MATCH(AI$5,'Exercise list'!$E$4:$X$4,0)),0)</f>
        <v>0</v>
      </c>
      <c r="AK189">
        <f>IF(OR($J189=1,COUNTIFS($A$5:$A188,"&gt;="&amp;$A189-1,$A$5:$A188,"&lt;="&amp;$A189,$B$5:$B188,$B189)&gt;0,MIN(1-'Exercise list'!E$2,IF($A189=$A188,AK188,1))-P189&lt;0),-1,MIN(1,IF($A189=$A188,AK188,1)-P189+$D$2))</f>
        <v>1</v>
      </c>
      <c r="AL189">
        <f>IF(OR($J189=1,COUNTIFS($A$5:$A188,"&gt;="&amp;$A189-1,$A$5:$A188,"&lt;="&amp;$A189,$B$5:$B188,$B189)&gt;0,MIN(1-'Exercise list'!F$2,IF($A189=$A188,AL188,1))-Q189&lt;0),-1,MIN(1,IF($A189=$A188,AL188,1)-Q189+$D$2))</f>
        <v>1</v>
      </c>
      <c r="AM189">
        <f>IF(OR($J189=1,COUNTIFS($A$5:$A188,"&gt;="&amp;$A189-1,$A$5:$A188,"&lt;="&amp;$A189,$B$5:$B188,$B189)&gt;0,MIN(1-'Exercise list'!G$2,IF($A189=$A188,AM188,1))-R189&lt;0),-1,MIN(1,IF($A189=$A188,AM188,1)-R189+$D$2))</f>
        <v>1</v>
      </c>
      <c r="AN189">
        <f>IF(OR($J189=1,COUNTIFS($A$5:$A188,"&gt;="&amp;$A189-1,$A$5:$A188,"&lt;="&amp;$A189,$B$5:$B188,$B189)&gt;0,MIN(1-'Exercise list'!H$2,IF($A189=$A188,AN188,1))-S189&lt;0),-1,MIN(1,IF($A189=$A188,AN188,1)-S189+$D$2))</f>
        <v>1</v>
      </c>
      <c r="AO189">
        <f>IF(OR($J189=1,COUNTIFS($A$5:$A188,"&gt;="&amp;$A189-1,$A$5:$A188,"&lt;="&amp;$A189,$B$5:$B188,$B189)&gt;0,MIN(1-'Exercise list'!I$2,IF($A189=$A188,AO188,1))-T189&lt;0),-1,MIN(1,IF($A189=$A188,AO188,1)-T189+$D$2))</f>
        <v>1</v>
      </c>
      <c r="AP189">
        <f>IF(OR($J189=1,COUNTIFS($A$5:$A188,"&gt;="&amp;$A189-1,$A$5:$A188,"&lt;="&amp;$A189,$B$5:$B188,$B189)&gt;0,MIN(1-'Exercise list'!J$2,IF($A189=$A188,AP188,1))-U189&lt;0),-1,MIN(1,IF($A189=$A188,AP188,1)-U189+$D$2))</f>
        <v>1</v>
      </c>
      <c r="AQ189">
        <f>IF(OR($J189=1,COUNTIFS($A$5:$A188,"&gt;="&amp;$A189-1,$A$5:$A188,"&lt;="&amp;$A189,$B$5:$B188,$B189)&gt;0,MIN(1-'Exercise list'!K$2,IF($A189=$A188,AQ188,1))-V189&lt;0),-1,MIN(1,IF($A189=$A188,AQ188,1)-V189+$D$2))</f>
        <v>1</v>
      </c>
      <c r="AR189">
        <f>IF(OR($J189=1,COUNTIFS($A$5:$A188,"&gt;="&amp;$A189-1,$A$5:$A188,"&lt;="&amp;$A189,$B$5:$B188,$B189)&gt;0,MIN(1-'Exercise list'!L$2,IF($A189=$A188,AR188,1))-W189&lt;0),-1,MIN(1,IF($A189=$A188,AR188,1)-W189+$D$2))</f>
        <v>1</v>
      </c>
      <c r="AS189">
        <f>IF(OR($J189=1,COUNTIFS($A$5:$A188,"&gt;="&amp;$A189-1,$A$5:$A188,"&lt;="&amp;$A189,$B$5:$B188,$B189)&gt;0,MIN(1-'Exercise list'!M$2,IF($A189=$A188,AS188,1))-X189&lt;0),-1,MIN(1,IF($A189=$A188,AS188,1)-X189+$D$2))</f>
        <v>1</v>
      </c>
      <c r="AT189">
        <f>IF(OR($J189=1,COUNTIFS($A$5:$A188,"&gt;="&amp;$A189-1,$A$5:$A188,"&lt;="&amp;$A189,$B$5:$B188,$B189)&gt;0,MIN(1-'Exercise list'!N$2,IF($A189=$A188,AT188,1))-Y189&lt;0),-1,MIN(1,IF($A189=$A188,AT188,1)-Y189+$D$2))</f>
        <v>1</v>
      </c>
      <c r="AU189">
        <f>IF(OR($J189=1,COUNTIFS($A$5:$A188,"&gt;="&amp;$A189-1,$A$5:$A188,"&lt;="&amp;$A189,$B$5:$B188,$B189)&gt;0,MIN(1-'Exercise list'!O$2,IF($A189=$A188,AU188,1))-Z189&lt;0),-1,MIN(1,IF($A189=$A188,AU188,1)-Z189+$D$2))</f>
        <v>1</v>
      </c>
      <c r="AV189">
        <f>IF(OR($J189=1,COUNTIFS($A$5:$A188,"&gt;="&amp;$A189-1,$A$5:$A188,"&lt;="&amp;$A189,$B$5:$B188,$B189)&gt;0,MIN(1-'Exercise list'!P$2,IF($A189=$A188,AV188,1))-AA189&lt;0),-1,MIN(1,IF($A189=$A188,AV188,1)-AA189+$D$2))</f>
        <v>1</v>
      </c>
      <c r="AW189">
        <f>IF(OR($J189=1,COUNTIFS($A$5:$A188,"&gt;="&amp;$A189-1,$A$5:$A188,"&lt;="&amp;$A189,$B$5:$B188,$B189)&gt;0,MIN(1-'Exercise list'!Q$2,IF($A189=$A188,AW188,1))-AB189&lt;0),-1,MIN(1,IF($A189=$A188,AW188,1)-AB189+$D$2))</f>
        <v>1</v>
      </c>
      <c r="AX189">
        <f>IF(OR($J189=1,COUNTIFS($A$5:$A188,"&gt;="&amp;$A189-1,$A$5:$A188,"&lt;="&amp;$A189,$B$5:$B188,$B189)&gt;0,MIN(1-'Exercise list'!R$2,IF($A189=$A188,AX188,1))-AC189&lt;0),-1,MIN(1,IF($A189=$A188,AX188,1)-AC189+$D$2))</f>
        <v>1</v>
      </c>
      <c r="AY189">
        <f>IF(OR($J189=1,COUNTIFS($A$5:$A188,"&gt;="&amp;$A189-1,$A$5:$A188,"&lt;="&amp;$A189,$B$5:$B188,$B189)&gt;0,MIN(1-'Exercise list'!S$2,IF($A189=$A188,AY188,1))-AD189&lt;0),-1,MIN(1,IF($A189=$A188,AY188,1)-AD189+$D$2))</f>
        <v>1</v>
      </c>
      <c r="AZ189">
        <f>IF(OR($J189=1,COUNTIFS($A$5:$A188,"&gt;="&amp;$A189-1,$A$5:$A188,"&lt;="&amp;$A189,$B$5:$B188,$B189)&gt;0,MIN(1-'Exercise list'!T$2,IF($A189=$A188,AZ188,1))-AE189&lt;0),-1,MIN(1,IF($A189=$A188,AZ188,1)-AE189+$D$2))</f>
        <v>1</v>
      </c>
      <c r="BA189">
        <f>IF(OR($J189=1,COUNTIFS($A$5:$A188,"&gt;="&amp;$A189-1,$A$5:$A188,"&lt;="&amp;$A189,$B$5:$B188,$B189)&gt;0,MIN(1-'Exercise list'!U$2,IF($A189=$A188,BA188,1))-AF189&lt;0),-1,MIN(1,IF($A189=$A188,BA188,1)-AF189+$D$2))</f>
        <v>1</v>
      </c>
      <c r="BB189">
        <f>IF(OR($J189=1,COUNTIFS($A$5:$A188,"&gt;="&amp;$A189-1,$A$5:$A188,"&lt;="&amp;$A189,$B$5:$B188,$B189)&gt;0,MIN(1-'Exercise list'!V$2,IF($A189=$A188,BB188,1))-AG189&lt;0),-1,MIN(1,IF($A189=$A188,BB188,1)-AG189+$D$2))</f>
        <v>1</v>
      </c>
      <c r="BC189">
        <f>IF(OR($J189=1,COUNTIFS($A$5:$A188,"&gt;="&amp;$A189-1,$A$5:$A188,"&lt;="&amp;$A189,$B$5:$B188,$B189)&gt;0,MIN(1-'Exercise list'!W$2,IF($A189=$A188,BC188,1))-AH189&lt;0),-1,MIN(1,IF($A189=$A188,BC188,1)-AH189+$D$2))</f>
        <v>1</v>
      </c>
      <c r="BD189">
        <f>IF(OR($J189=1,COUNTIFS($A$5:$A188,"&gt;="&amp;$A189-1,$A$5:$A188,"&lt;="&amp;$A189,$B$5:$B188,$B189)&gt;0,MIN(1-'Exercise list'!X$2,IF($A189=$A188,BD188,1))-AI189&lt;0),-1,MIN(1,IF($A189=$A188,BD188,1)-AI189+$D$2))</f>
        <v>1</v>
      </c>
      <c r="BF189" s="16">
        <f t="shared" si="145"/>
        <v>0.19596031081758858</v>
      </c>
      <c r="BG189" s="16">
        <f t="shared" si="146"/>
        <v>0.21844636935459236</v>
      </c>
      <c r="BH189" s="16">
        <f t="shared" si="147"/>
        <v>0.14609696635987124</v>
      </c>
      <c r="BI189" s="16">
        <f t="shared" si="148"/>
        <v>0.13198015366034541</v>
      </c>
      <c r="BJ189" s="16">
        <f t="shared" si="149"/>
        <v>8.3367914198418713E-2</v>
      </c>
      <c r="BK189" s="16">
        <f t="shared" si="150"/>
        <v>0.10640640223148412</v>
      </c>
      <c r="BL189" s="16">
        <f t="shared" si="151"/>
        <v>0.21963504743569431</v>
      </c>
      <c r="BM189" s="16">
        <f t="shared" si="152"/>
        <v>3.8988008374820568E-3</v>
      </c>
      <c r="BN189" s="16">
        <f t="shared" si="153"/>
        <v>0.14537706087090876</v>
      </c>
      <c r="BO189" s="16">
        <f t="shared" si="154"/>
        <v>0.29209790661993401</v>
      </c>
      <c r="BP189" s="16">
        <f t="shared" si="155"/>
        <v>0.31584545163401867</v>
      </c>
      <c r="BQ189" s="16">
        <f t="shared" si="156"/>
        <v>0.1000007994126096</v>
      </c>
      <c r="BR189" s="16">
        <f t="shared" si="157"/>
        <v>0.13164487759885393</v>
      </c>
      <c r="BS189" s="16">
        <f t="shared" si="158"/>
        <v>2.9803550189863123E-2</v>
      </c>
      <c r="BT189" s="16">
        <f t="shared" si="159"/>
        <v>0.13492040904978705</v>
      </c>
      <c r="BU189" s="16">
        <f t="shared" si="160"/>
        <v>0.11703687414398131</v>
      </c>
      <c r="BV189" s="16">
        <f t="shared" si="161"/>
        <v>0.14633353213781661</v>
      </c>
      <c r="BW189" s="16">
        <f t="shared" si="162"/>
        <v>7.5588015111767173E-2</v>
      </c>
      <c r="BX189" s="16">
        <f t="shared" si="163"/>
        <v>8.0345659937185704E-2</v>
      </c>
      <c r="BY189" s="16">
        <f t="shared" si="164"/>
        <v>5.9014643151272549E-2</v>
      </c>
      <c r="CA189" s="16" t="str">
        <f t="shared" si="141"/>
        <v/>
      </c>
      <c r="CB189" s="16" t="str">
        <f t="shared" si="122"/>
        <v/>
      </c>
      <c r="CC189" s="16" t="str">
        <f t="shared" si="123"/>
        <v/>
      </c>
      <c r="CD189" s="16" t="str">
        <f t="shared" si="124"/>
        <v/>
      </c>
      <c r="CE189" s="16" t="str">
        <f t="shared" si="125"/>
        <v/>
      </c>
      <c r="CF189" s="16" t="str">
        <f t="shared" si="126"/>
        <v/>
      </c>
      <c r="CG189" s="16" t="str">
        <f t="shared" si="127"/>
        <v/>
      </c>
      <c r="CH189" s="16" t="str">
        <f t="shared" si="128"/>
        <v/>
      </c>
      <c r="CI189" s="16" t="str">
        <f t="shared" si="129"/>
        <v/>
      </c>
      <c r="CJ189" s="16" t="str">
        <f t="shared" si="130"/>
        <v/>
      </c>
      <c r="CK189" s="16" t="str">
        <f t="shared" si="131"/>
        <v/>
      </c>
      <c r="CL189" s="16" t="str">
        <f t="shared" si="132"/>
        <v/>
      </c>
      <c r="CM189" s="16" t="str">
        <f t="shared" si="133"/>
        <v/>
      </c>
      <c r="CN189" s="16" t="str">
        <f t="shared" si="134"/>
        <v/>
      </c>
      <c r="CO189" s="16" t="str">
        <f t="shared" si="135"/>
        <v/>
      </c>
      <c r="CP189" s="16" t="str">
        <f t="shared" si="136"/>
        <v/>
      </c>
      <c r="CQ189" s="16" t="str">
        <f t="shared" si="137"/>
        <v/>
      </c>
      <c r="CR189" s="16" t="str">
        <f t="shared" si="138"/>
        <v/>
      </c>
      <c r="CS189" s="16" t="str">
        <f t="shared" si="139"/>
        <v/>
      </c>
      <c r="CT189" s="16" t="str">
        <f t="shared" si="140"/>
        <v/>
      </c>
    </row>
    <row r="190" spans="1:99" x14ac:dyDescent="0.25">
      <c r="A190" s="13"/>
      <c r="B190" s="14"/>
      <c r="C190" s="15" t="str" cm="1">
        <f t="array" ref="C190">IF(B190="","",INDEX('Exercise list'!$C$5:$C$102,B190))</f>
        <v/>
      </c>
      <c r="D190" s="12" t="str">
        <f t="shared" si="142"/>
        <v/>
      </c>
      <c r="E190" s="107" t="str">
        <f t="shared" si="165"/>
        <v/>
      </c>
      <c r="F190" s="63" t="str" cm="1">
        <f t="array" ref="F190">IF(B190="","",0.1+IFERROR(INDEX($F$6:$F189,SUMPRODUCT(MAX(ROW($C$6:$C189)*($C190=$C$6:$C189))-ROW($A$5)))*0.9^($A190-INDEX($A$6:A189,SUMPRODUCT(MAX(ROW($C$6:$C189)*($C190=$C$6:$C189))-ROW($A$5)))),0))</f>
        <v/>
      </c>
      <c r="G190" s="64" t="e">
        <f>INDEX('Exercise list'!$Y$5:$Y$102,MATCH(C190,'Exercise list'!$C$5:$C$102,0))</f>
        <v>#N/A</v>
      </c>
      <c r="H190" s="115">
        <f t="shared" si="143"/>
        <v>0</v>
      </c>
      <c r="I190" s="6">
        <f t="shared" si="144"/>
        <v>5</v>
      </c>
      <c r="J190" s="6" t="str" cm="1">
        <f t="array" ref="J190">IF(B190="","",INDEX('Exercise list'!$D$5:$D$102,B190))</f>
        <v/>
      </c>
      <c r="K190" s="12"/>
      <c r="L190" s="74" t="str" cm="1">
        <f t="array" ref="L190">IF(K190="","",INDEX('Exercise list'!$C$5:$C$102,K190))</f>
        <v/>
      </c>
      <c r="M190" s="6"/>
      <c r="N190" s="75" t="str" cm="1">
        <f t="array" ref="N190">IF(M190="","",INDEX('Exercise list'!$C$5:$C$102,M190))</f>
        <v/>
      </c>
      <c r="P190">
        <f>IFERROR(INDEX('Exercise list'!$E$5:$X$102,MATCH($C190,'Exercise list'!$C$5:$C$102,0),MATCH(P$5,'Exercise list'!$E$4:$X$4,0)),0)</f>
        <v>0</v>
      </c>
      <c r="Q190">
        <f>IFERROR(INDEX('Exercise list'!$E$5:$X$102,MATCH($C190,'Exercise list'!$C$5:$C$102,0),MATCH(Q$5,'Exercise list'!$E$4:$X$4,0)),0)</f>
        <v>0</v>
      </c>
      <c r="R190">
        <f>IFERROR(INDEX('Exercise list'!$E$5:$X$102,MATCH($C190,'Exercise list'!$C$5:$C$102,0),MATCH(R$5,'Exercise list'!$E$4:$X$4,0)),0)</f>
        <v>0</v>
      </c>
      <c r="S190">
        <f>IFERROR(INDEX('Exercise list'!$E$5:$X$102,MATCH($C190,'Exercise list'!$C$5:$C$102,0),MATCH(S$5,'Exercise list'!$E$4:$X$4,0)),0)</f>
        <v>0</v>
      </c>
      <c r="T190">
        <f>IFERROR(INDEX('Exercise list'!$E$5:$X$102,MATCH($C190,'Exercise list'!$C$5:$C$102,0),MATCH(T$5,'Exercise list'!$E$4:$X$4,0)),0)</f>
        <v>0</v>
      </c>
      <c r="U190">
        <f>IFERROR(INDEX('Exercise list'!$E$5:$X$102,MATCH($C190,'Exercise list'!$C$5:$C$102,0),MATCH(U$5,'Exercise list'!$E$4:$X$4,0)),0)</f>
        <v>0</v>
      </c>
      <c r="V190">
        <f>IFERROR(INDEX('Exercise list'!$E$5:$X$102,MATCH($C190,'Exercise list'!$C$5:$C$102,0),MATCH(V$5,'Exercise list'!$E$4:$X$4,0)),0)</f>
        <v>0</v>
      </c>
      <c r="W190">
        <f>IFERROR(INDEX('Exercise list'!$E$5:$X$102,MATCH($C190,'Exercise list'!$C$5:$C$102,0),MATCH(W$5,'Exercise list'!$E$4:$X$4,0)),0)</f>
        <v>0</v>
      </c>
      <c r="X190">
        <f>IFERROR(INDEX('Exercise list'!$E$5:$X$102,MATCH($C190,'Exercise list'!$C$5:$C$102,0),MATCH(X$5,'Exercise list'!$E$4:$X$4,0)),0)</f>
        <v>0</v>
      </c>
      <c r="Y190">
        <f>IFERROR(INDEX('Exercise list'!$E$5:$X$102,MATCH($C190,'Exercise list'!$C$5:$C$102,0),MATCH(Y$5,'Exercise list'!$E$4:$X$4,0)),0)</f>
        <v>0</v>
      </c>
      <c r="Z190">
        <f>IFERROR(INDEX('Exercise list'!$E$5:$X$102,MATCH($C190,'Exercise list'!$C$5:$C$102,0),MATCH(Z$5,'Exercise list'!$E$4:$X$4,0)),0)</f>
        <v>0</v>
      </c>
      <c r="AA190">
        <f>IFERROR(INDEX('Exercise list'!$E$5:$X$102,MATCH($C190,'Exercise list'!$C$5:$C$102,0),MATCH(AA$5,'Exercise list'!$E$4:$X$4,0)),0)</f>
        <v>0</v>
      </c>
      <c r="AB190">
        <f>IFERROR(INDEX('Exercise list'!$E$5:$X$102,MATCH($C190,'Exercise list'!$C$5:$C$102,0),MATCH(AB$5,'Exercise list'!$E$4:$X$4,0)),0)</f>
        <v>0</v>
      </c>
      <c r="AC190">
        <f>IFERROR(INDEX('Exercise list'!$E$5:$X$102,MATCH($C190,'Exercise list'!$C$5:$C$102,0),MATCH(AC$5,'Exercise list'!$E$4:$X$4,0)),0)</f>
        <v>0</v>
      </c>
      <c r="AD190">
        <f>IFERROR(INDEX('Exercise list'!$E$5:$X$102,MATCH($C190,'Exercise list'!$C$5:$C$102,0),MATCH(AD$5,'Exercise list'!$E$4:$X$4,0)),0)</f>
        <v>0</v>
      </c>
      <c r="AE190">
        <f>IFERROR(INDEX('Exercise list'!$E$5:$X$102,MATCH($C190,'Exercise list'!$C$5:$C$102,0),MATCH(AE$5,'Exercise list'!$E$4:$X$4,0)),0)</f>
        <v>0</v>
      </c>
      <c r="AF190">
        <f>IFERROR(INDEX('Exercise list'!$E$5:$X$102,MATCH($C190,'Exercise list'!$C$5:$C$102,0),MATCH(AF$5,'Exercise list'!$E$4:$X$4,0)),0)</f>
        <v>0</v>
      </c>
      <c r="AG190">
        <f>IFERROR(INDEX('Exercise list'!$E$5:$X$102,MATCH($C190,'Exercise list'!$C$5:$C$102,0),MATCH(AG$5,'Exercise list'!$E$4:$X$4,0)),0)</f>
        <v>0</v>
      </c>
      <c r="AH190">
        <f>IFERROR(INDEX('Exercise list'!$E$5:$X$102,MATCH($C190,'Exercise list'!$C$5:$C$102,0),MATCH(AH$5,'Exercise list'!$E$4:$X$4,0)),0)</f>
        <v>0</v>
      </c>
      <c r="AI190">
        <f>IFERROR(INDEX('Exercise list'!$E$5:$X$102,MATCH($C190,'Exercise list'!$C$5:$C$102,0),MATCH(AI$5,'Exercise list'!$E$4:$X$4,0)),0)</f>
        <v>0</v>
      </c>
      <c r="AK190">
        <f>IF(OR($J190=1,COUNTIFS($A$5:$A189,"&gt;="&amp;$A190-1,$A$5:$A189,"&lt;="&amp;$A190,$B$5:$B189,$B190)&gt;0,MIN(1-'Exercise list'!E$2,IF($A190=$A189,AK189,1))-P190&lt;0),-1,MIN(1,IF($A190=$A189,AK189,1)-P190+$D$2))</f>
        <v>1</v>
      </c>
      <c r="AL190">
        <f>IF(OR($J190=1,COUNTIFS($A$5:$A189,"&gt;="&amp;$A190-1,$A$5:$A189,"&lt;="&amp;$A190,$B$5:$B189,$B190)&gt;0,MIN(1-'Exercise list'!F$2,IF($A190=$A189,AL189,1))-Q190&lt;0),-1,MIN(1,IF($A190=$A189,AL189,1)-Q190+$D$2))</f>
        <v>1</v>
      </c>
      <c r="AM190">
        <f>IF(OR($J190=1,COUNTIFS($A$5:$A189,"&gt;="&amp;$A190-1,$A$5:$A189,"&lt;="&amp;$A190,$B$5:$B189,$B190)&gt;0,MIN(1-'Exercise list'!G$2,IF($A190=$A189,AM189,1))-R190&lt;0),-1,MIN(1,IF($A190=$A189,AM189,1)-R190+$D$2))</f>
        <v>1</v>
      </c>
      <c r="AN190">
        <f>IF(OR($J190=1,COUNTIFS($A$5:$A189,"&gt;="&amp;$A190-1,$A$5:$A189,"&lt;="&amp;$A190,$B$5:$B189,$B190)&gt;0,MIN(1-'Exercise list'!H$2,IF($A190=$A189,AN189,1))-S190&lt;0),-1,MIN(1,IF($A190=$A189,AN189,1)-S190+$D$2))</f>
        <v>1</v>
      </c>
      <c r="AO190">
        <f>IF(OR($J190=1,COUNTIFS($A$5:$A189,"&gt;="&amp;$A190-1,$A$5:$A189,"&lt;="&amp;$A190,$B$5:$B189,$B190)&gt;0,MIN(1-'Exercise list'!I$2,IF($A190=$A189,AO189,1))-T190&lt;0),-1,MIN(1,IF($A190=$A189,AO189,1)-T190+$D$2))</f>
        <v>1</v>
      </c>
      <c r="AP190">
        <f>IF(OR($J190=1,COUNTIFS($A$5:$A189,"&gt;="&amp;$A190-1,$A$5:$A189,"&lt;="&amp;$A190,$B$5:$B189,$B190)&gt;0,MIN(1-'Exercise list'!J$2,IF($A190=$A189,AP189,1))-U190&lt;0),-1,MIN(1,IF($A190=$A189,AP189,1)-U190+$D$2))</f>
        <v>1</v>
      </c>
      <c r="AQ190">
        <f>IF(OR($J190=1,COUNTIFS($A$5:$A189,"&gt;="&amp;$A190-1,$A$5:$A189,"&lt;="&amp;$A190,$B$5:$B189,$B190)&gt;0,MIN(1-'Exercise list'!K$2,IF($A190=$A189,AQ189,1))-V190&lt;0),-1,MIN(1,IF($A190=$A189,AQ189,1)-V190+$D$2))</f>
        <v>1</v>
      </c>
      <c r="AR190">
        <f>IF(OR($J190=1,COUNTIFS($A$5:$A189,"&gt;="&amp;$A190-1,$A$5:$A189,"&lt;="&amp;$A190,$B$5:$B189,$B190)&gt;0,MIN(1-'Exercise list'!L$2,IF($A190=$A189,AR189,1))-W190&lt;0),-1,MIN(1,IF($A190=$A189,AR189,1)-W190+$D$2))</f>
        <v>1</v>
      </c>
      <c r="AS190">
        <f>IF(OR($J190=1,COUNTIFS($A$5:$A189,"&gt;="&amp;$A190-1,$A$5:$A189,"&lt;="&amp;$A190,$B$5:$B189,$B190)&gt;0,MIN(1-'Exercise list'!M$2,IF($A190=$A189,AS189,1))-X190&lt;0),-1,MIN(1,IF($A190=$A189,AS189,1)-X190+$D$2))</f>
        <v>1</v>
      </c>
      <c r="AT190">
        <f>IF(OR($J190=1,COUNTIFS($A$5:$A189,"&gt;="&amp;$A190-1,$A$5:$A189,"&lt;="&amp;$A190,$B$5:$B189,$B190)&gt;0,MIN(1-'Exercise list'!N$2,IF($A190=$A189,AT189,1))-Y190&lt;0),-1,MIN(1,IF($A190=$A189,AT189,1)-Y190+$D$2))</f>
        <v>1</v>
      </c>
      <c r="AU190">
        <f>IF(OR($J190=1,COUNTIFS($A$5:$A189,"&gt;="&amp;$A190-1,$A$5:$A189,"&lt;="&amp;$A190,$B$5:$B189,$B190)&gt;0,MIN(1-'Exercise list'!O$2,IF($A190=$A189,AU189,1))-Z190&lt;0),-1,MIN(1,IF($A190=$A189,AU189,1)-Z190+$D$2))</f>
        <v>1</v>
      </c>
      <c r="AV190">
        <f>IF(OR($J190=1,COUNTIFS($A$5:$A189,"&gt;="&amp;$A190-1,$A$5:$A189,"&lt;="&amp;$A190,$B$5:$B189,$B190)&gt;0,MIN(1-'Exercise list'!P$2,IF($A190=$A189,AV189,1))-AA190&lt;0),-1,MIN(1,IF($A190=$A189,AV189,1)-AA190+$D$2))</f>
        <v>1</v>
      </c>
      <c r="AW190">
        <f>IF(OR($J190=1,COUNTIFS($A$5:$A189,"&gt;="&amp;$A190-1,$A$5:$A189,"&lt;="&amp;$A190,$B$5:$B189,$B190)&gt;0,MIN(1-'Exercise list'!Q$2,IF($A190=$A189,AW189,1))-AB190&lt;0),-1,MIN(1,IF($A190=$A189,AW189,1)-AB190+$D$2))</f>
        <v>1</v>
      </c>
      <c r="AX190">
        <f>IF(OR($J190=1,COUNTIFS($A$5:$A189,"&gt;="&amp;$A190-1,$A$5:$A189,"&lt;="&amp;$A190,$B$5:$B189,$B190)&gt;0,MIN(1-'Exercise list'!R$2,IF($A190=$A189,AX189,1))-AC190&lt;0),-1,MIN(1,IF($A190=$A189,AX189,1)-AC190+$D$2))</f>
        <v>1</v>
      </c>
      <c r="AY190">
        <f>IF(OR($J190=1,COUNTIFS($A$5:$A189,"&gt;="&amp;$A190-1,$A$5:$A189,"&lt;="&amp;$A190,$B$5:$B189,$B190)&gt;0,MIN(1-'Exercise list'!S$2,IF($A190=$A189,AY189,1))-AD190&lt;0),-1,MIN(1,IF($A190=$A189,AY189,1)-AD190+$D$2))</f>
        <v>1</v>
      </c>
      <c r="AZ190">
        <f>IF(OR($J190=1,COUNTIFS($A$5:$A189,"&gt;="&amp;$A190-1,$A$5:$A189,"&lt;="&amp;$A190,$B$5:$B189,$B190)&gt;0,MIN(1-'Exercise list'!T$2,IF($A190=$A189,AZ189,1))-AE190&lt;0),-1,MIN(1,IF($A190=$A189,AZ189,1)-AE190+$D$2))</f>
        <v>1</v>
      </c>
      <c r="BA190">
        <f>IF(OR($J190=1,COUNTIFS($A$5:$A189,"&gt;="&amp;$A190-1,$A$5:$A189,"&lt;="&amp;$A190,$B$5:$B189,$B190)&gt;0,MIN(1-'Exercise list'!U$2,IF($A190=$A189,BA189,1))-AF190&lt;0),-1,MIN(1,IF($A190=$A189,BA189,1)-AF190+$D$2))</f>
        <v>1</v>
      </c>
      <c r="BB190">
        <f>IF(OR($J190=1,COUNTIFS($A$5:$A189,"&gt;="&amp;$A190-1,$A$5:$A189,"&lt;="&amp;$A190,$B$5:$B189,$B190)&gt;0,MIN(1-'Exercise list'!V$2,IF($A190=$A189,BB189,1))-AG190&lt;0),-1,MIN(1,IF($A190=$A189,BB189,1)-AG190+$D$2))</f>
        <v>1</v>
      </c>
      <c r="BC190">
        <f>IF(OR($J190=1,COUNTIFS($A$5:$A189,"&gt;="&amp;$A190-1,$A$5:$A189,"&lt;="&amp;$A190,$B$5:$B189,$B190)&gt;0,MIN(1-'Exercise list'!W$2,IF($A190=$A189,BC189,1))-AH190&lt;0),-1,MIN(1,IF($A190=$A189,BC189,1)-AH190+$D$2))</f>
        <v>1</v>
      </c>
      <c r="BD190">
        <f>IF(OR($J190=1,COUNTIFS($A$5:$A189,"&gt;="&amp;$A190-1,$A$5:$A189,"&lt;="&amp;$A190,$B$5:$B189,$B190)&gt;0,MIN(1-'Exercise list'!X$2,IF($A190=$A189,BD189,1))-AI190&lt;0),-1,MIN(1,IF($A190=$A189,BD189,1)-AI190+$D$2))</f>
        <v>1</v>
      </c>
      <c r="BF190" s="16">
        <f t="shared" si="145"/>
        <v>0.19596031081758858</v>
      </c>
      <c r="BG190" s="16">
        <f t="shared" si="146"/>
        <v>0.21844636935459236</v>
      </c>
      <c r="BH190" s="16">
        <f t="shared" si="147"/>
        <v>0.14609696635987124</v>
      </c>
      <c r="BI190" s="16">
        <f t="shared" si="148"/>
        <v>0.13198015366034541</v>
      </c>
      <c r="BJ190" s="16">
        <f t="shared" si="149"/>
        <v>8.3367914198418713E-2</v>
      </c>
      <c r="BK190" s="16">
        <f t="shared" si="150"/>
        <v>0.10640640223148412</v>
      </c>
      <c r="BL190" s="16">
        <f t="shared" si="151"/>
        <v>0.21963504743569431</v>
      </c>
      <c r="BM190" s="16">
        <f t="shared" si="152"/>
        <v>3.8988008374820568E-3</v>
      </c>
      <c r="BN190" s="16">
        <f t="shared" si="153"/>
        <v>0.14537706087090876</v>
      </c>
      <c r="BO190" s="16">
        <f t="shared" si="154"/>
        <v>0.29209790661993401</v>
      </c>
      <c r="BP190" s="16">
        <f t="shared" si="155"/>
        <v>0.31584545163401867</v>
      </c>
      <c r="BQ190" s="16">
        <f t="shared" si="156"/>
        <v>0.1000007994126096</v>
      </c>
      <c r="BR190" s="16">
        <f t="shared" si="157"/>
        <v>0.13164487759885393</v>
      </c>
      <c r="BS190" s="16">
        <f t="shared" si="158"/>
        <v>2.9803550189863123E-2</v>
      </c>
      <c r="BT190" s="16">
        <f t="shared" si="159"/>
        <v>0.13492040904978705</v>
      </c>
      <c r="BU190" s="16">
        <f t="shared" si="160"/>
        <v>0.11703687414398131</v>
      </c>
      <c r="BV190" s="16">
        <f t="shared" si="161"/>
        <v>0.14633353213781661</v>
      </c>
      <c r="BW190" s="16">
        <f t="shared" si="162"/>
        <v>7.5588015111767173E-2</v>
      </c>
      <c r="BX190" s="16">
        <f t="shared" si="163"/>
        <v>8.0345659937185704E-2</v>
      </c>
      <c r="BY190" s="16">
        <f t="shared" si="164"/>
        <v>5.9014643151272549E-2</v>
      </c>
      <c r="CA190" s="16" t="str">
        <f t="shared" si="141"/>
        <v/>
      </c>
      <c r="CB190" s="16" t="str">
        <f t="shared" si="122"/>
        <v/>
      </c>
      <c r="CC190" s="16" t="str">
        <f t="shared" si="123"/>
        <v/>
      </c>
      <c r="CD190" s="16" t="str">
        <f t="shared" si="124"/>
        <v/>
      </c>
      <c r="CE190" s="16" t="str">
        <f t="shared" si="125"/>
        <v/>
      </c>
      <c r="CF190" s="16" t="str">
        <f t="shared" si="126"/>
        <v/>
      </c>
      <c r="CG190" s="16" t="str">
        <f t="shared" si="127"/>
        <v/>
      </c>
      <c r="CH190" s="16" t="str">
        <f t="shared" si="128"/>
        <v/>
      </c>
      <c r="CI190" s="16" t="str">
        <f t="shared" si="129"/>
        <v/>
      </c>
      <c r="CJ190" s="16" t="str">
        <f t="shared" si="130"/>
        <v/>
      </c>
      <c r="CK190" s="16" t="str">
        <f t="shared" si="131"/>
        <v/>
      </c>
      <c r="CL190" s="16" t="str">
        <f t="shared" si="132"/>
        <v/>
      </c>
      <c r="CM190" s="16" t="str">
        <f t="shared" si="133"/>
        <v/>
      </c>
      <c r="CN190" s="16" t="str">
        <f t="shared" si="134"/>
        <v/>
      </c>
      <c r="CO190" s="16" t="str">
        <f t="shared" si="135"/>
        <v/>
      </c>
      <c r="CP190" s="16" t="str">
        <f t="shared" si="136"/>
        <v/>
      </c>
      <c r="CQ190" s="16" t="str">
        <f t="shared" si="137"/>
        <v/>
      </c>
      <c r="CR190" s="16" t="str">
        <f t="shared" si="138"/>
        <v/>
      </c>
      <c r="CS190" s="16" t="str">
        <f t="shared" si="139"/>
        <v/>
      </c>
      <c r="CT190" s="16" t="str">
        <f t="shared" si="140"/>
        <v/>
      </c>
    </row>
    <row r="191" spans="1:99" x14ac:dyDescent="0.25">
      <c r="A191" s="13"/>
      <c r="B191" s="14"/>
      <c r="C191" s="15" t="str" cm="1">
        <f t="array" ref="C191">IF(B191="","",INDEX('Exercise list'!$C$5:$C$102,B191))</f>
        <v/>
      </c>
      <c r="D191" s="12" t="str">
        <f t="shared" si="142"/>
        <v/>
      </c>
      <c r="E191" s="107" t="str">
        <f t="shared" si="165"/>
        <v/>
      </c>
      <c r="F191" s="63" t="str" cm="1">
        <f t="array" ref="F191">IF(B191="","",0.1+IFERROR(INDEX($F$6:$F190,SUMPRODUCT(MAX(ROW($C$6:$C190)*($C191=$C$6:$C190))-ROW($A$5)))*0.9^($A191-INDEX($A$6:A190,SUMPRODUCT(MAX(ROW($C$6:$C190)*($C191=$C$6:$C190))-ROW($A$5)))),0))</f>
        <v/>
      </c>
      <c r="G191" s="64" t="e">
        <f>INDEX('Exercise list'!$Y$5:$Y$102,MATCH(C191,'Exercise list'!$C$5:$C$102,0))</f>
        <v>#N/A</v>
      </c>
      <c r="H191" s="115">
        <f t="shared" si="143"/>
        <v>0</v>
      </c>
      <c r="I191" s="6">
        <f t="shared" si="144"/>
        <v>5</v>
      </c>
      <c r="J191" s="6" t="str" cm="1">
        <f t="array" ref="J191">IF(B191="","",INDEX('Exercise list'!$D$5:$D$102,B191))</f>
        <v/>
      </c>
      <c r="K191" s="12"/>
      <c r="L191" s="74" t="str" cm="1">
        <f t="array" ref="L191">IF(K191="","",INDEX('Exercise list'!$C$5:$C$102,K191))</f>
        <v/>
      </c>
      <c r="M191" s="6"/>
      <c r="N191" s="75" t="str" cm="1">
        <f t="array" ref="N191">IF(M191="","",INDEX('Exercise list'!$C$5:$C$102,M191))</f>
        <v/>
      </c>
      <c r="P191">
        <f>IFERROR(INDEX('Exercise list'!$E$5:$X$102,MATCH($C191,'Exercise list'!$C$5:$C$102,0),MATCH(P$5,'Exercise list'!$E$4:$X$4,0)),0)</f>
        <v>0</v>
      </c>
      <c r="Q191">
        <f>IFERROR(INDEX('Exercise list'!$E$5:$X$102,MATCH($C191,'Exercise list'!$C$5:$C$102,0),MATCH(Q$5,'Exercise list'!$E$4:$X$4,0)),0)</f>
        <v>0</v>
      </c>
      <c r="R191">
        <f>IFERROR(INDEX('Exercise list'!$E$5:$X$102,MATCH($C191,'Exercise list'!$C$5:$C$102,0),MATCH(R$5,'Exercise list'!$E$4:$X$4,0)),0)</f>
        <v>0</v>
      </c>
      <c r="S191">
        <f>IFERROR(INDEX('Exercise list'!$E$5:$X$102,MATCH($C191,'Exercise list'!$C$5:$C$102,0),MATCH(S$5,'Exercise list'!$E$4:$X$4,0)),0)</f>
        <v>0</v>
      </c>
      <c r="T191">
        <f>IFERROR(INDEX('Exercise list'!$E$5:$X$102,MATCH($C191,'Exercise list'!$C$5:$C$102,0),MATCH(T$5,'Exercise list'!$E$4:$X$4,0)),0)</f>
        <v>0</v>
      </c>
      <c r="U191">
        <f>IFERROR(INDEX('Exercise list'!$E$5:$X$102,MATCH($C191,'Exercise list'!$C$5:$C$102,0),MATCH(U$5,'Exercise list'!$E$4:$X$4,0)),0)</f>
        <v>0</v>
      </c>
      <c r="V191">
        <f>IFERROR(INDEX('Exercise list'!$E$5:$X$102,MATCH($C191,'Exercise list'!$C$5:$C$102,0),MATCH(V$5,'Exercise list'!$E$4:$X$4,0)),0)</f>
        <v>0</v>
      </c>
      <c r="W191">
        <f>IFERROR(INDEX('Exercise list'!$E$5:$X$102,MATCH($C191,'Exercise list'!$C$5:$C$102,0),MATCH(W$5,'Exercise list'!$E$4:$X$4,0)),0)</f>
        <v>0</v>
      </c>
      <c r="X191">
        <f>IFERROR(INDEX('Exercise list'!$E$5:$X$102,MATCH($C191,'Exercise list'!$C$5:$C$102,0),MATCH(X$5,'Exercise list'!$E$4:$X$4,0)),0)</f>
        <v>0</v>
      </c>
      <c r="Y191">
        <f>IFERROR(INDEX('Exercise list'!$E$5:$X$102,MATCH($C191,'Exercise list'!$C$5:$C$102,0),MATCH(Y$5,'Exercise list'!$E$4:$X$4,0)),0)</f>
        <v>0</v>
      </c>
      <c r="Z191">
        <f>IFERROR(INDEX('Exercise list'!$E$5:$X$102,MATCH($C191,'Exercise list'!$C$5:$C$102,0),MATCH(Z$5,'Exercise list'!$E$4:$X$4,0)),0)</f>
        <v>0</v>
      </c>
      <c r="AA191">
        <f>IFERROR(INDEX('Exercise list'!$E$5:$X$102,MATCH($C191,'Exercise list'!$C$5:$C$102,0),MATCH(AA$5,'Exercise list'!$E$4:$X$4,0)),0)</f>
        <v>0</v>
      </c>
      <c r="AB191">
        <f>IFERROR(INDEX('Exercise list'!$E$5:$X$102,MATCH($C191,'Exercise list'!$C$5:$C$102,0),MATCH(AB$5,'Exercise list'!$E$4:$X$4,0)),0)</f>
        <v>0</v>
      </c>
      <c r="AC191">
        <f>IFERROR(INDEX('Exercise list'!$E$5:$X$102,MATCH($C191,'Exercise list'!$C$5:$C$102,0),MATCH(AC$5,'Exercise list'!$E$4:$X$4,0)),0)</f>
        <v>0</v>
      </c>
      <c r="AD191">
        <f>IFERROR(INDEX('Exercise list'!$E$5:$X$102,MATCH($C191,'Exercise list'!$C$5:$C$102,0),MATCH(AD$5,'Exercise list'!$E$4:$X$4,0)),0)</f>
        <v>0</v>
      </c>
      <c r="AE191">
        <f>IFERROR(INDEX('Exercise list'!$E$5:$X$102,MATCH($C191,'Exercise list'!$C$5:$C$102,0),MATCH(AE$5,'Exercise list'!$E$4:$X$4,0)),0)</f>
        <v>0</v>
      </c>
      <c r="AF191">
        <f>IFERROR(INDEX('Exercise list'!$E$5:$X$102,MATCH($C191,'Exercise list'!$C$5:$C$102,0),MATCH(AF$5,'Exercise list'!$E$4:$X$4,0)),0)</f>
        <v>0</v>
      </c>
      <c r="AG191">
        <f>IFERROR(INDEX('Exercise list'!$E$5:$X$102,MATCH($C191,'Exercise list'!$C$5:$C$102,0),MATCH(AG$5,'Exercise list'!$E$4:$X$4,0)),0)</f>
        <v>0</v>
      </c>
      <c r="AH191">
        <f>IFERROR(INDEX('Exercise list'!$E$5:$X$102,MATCH($C191,'Exercise list'!$C$5:$C$102,0),MATCH(AH$5,'Exercise list'!$E$4:$X$4,0)),0)</f>
        <v>0</v>
      </c>
      <c r="AI191">
        <f>IFERROR(INDEX('Exercise list'!$E$5:$X$102,MATCH($C191,'Exercise list'!$C$5:$C$102,0),MATCH(AI$5,'Exercise list'!$E$4:$X$4,0)),0)</f>
        <v>0</v>
      </c>
      <c r="AK191">
        <f>IF(OR($J191=1,COUNTIFS($A$5:$A190,"&gt;="&amp;$A191-1,$A$5:$A190,"&lt;="&amp;$A191,$B$5:$B190,$B191)&gt;0,MIN(1-'Exercise list'!E$2,IF($A191=$A190,AK190,1))-P191&lt;0),-1,MIN(1,IF($A191=$A190,AK190,1)-P191+$D$2))</f>
        <v>1</v>
      </c>
      <c r="AL191">
        <f>IF(OR($J191=1,COUNTIFS($A$5:$A190,"&gt;="&amp;$A191-1,$A$5:$A190,"&lt;="&amp;$A191,$B$5:$B190,$B191)&gt;0,MIN(1-'Exercise list'!F$2,IF($A191=$A190,AL190,1))-Q191&lt;0),-1,MIN(1,IF($A191=$A190,AL190,1)-Q191+$D$2))</f>
        <v>1</v>
      </c>
      <c r="AM191">
        <f>IF(OR($J191=1,COUNTIFS($A$5:$A190,"&gt;="&amp;$A191-1,$A$5:$A190,"&lt;="&amp;$A191,$B$5:$B190,$B191)&gt;0,MIN(1-'Exercise list'!G$2,IF($A191=$A190,AM190,1))-R191&lt;0),-1,MIN(1,IF($A191=$A190,AM190,1)-R191+$D$2))</f>
        <v>1</v>
      </c>
      <c r="AN191">
        <f>IF(OR($J191=1,COUNTIFS($A$5:$A190,"&gt;="&amp;$A191-1,$A$5:$A190,"&lt;="&amp;$A191,$B$5:$B190,$B191)&gt;0,MIN(1-'Exercise list'!H$2,IF($A191=$A190,AN190,1))-S191&lt;0),-1,MIN(1,IF($A191=$A190,AN190,1)-S191+$D$2))</f>
        <v>1</v>
      </c>
      <c r="AO191">
        <f>IF(OR($J191=1,COUNTIFS($A$5:$A190,"&gt;="&amp;$A191-1,$A$5:$A190,"&lt;="&amp;$A191,$B$5:$B190,$B191)&gt;0,MIN(1-'Exercise list'!I$2,IF($A191=$A190,AO190,1))-T191&lt;0),-1,MIN(1,IF($A191=$A190,AO190,1)-T191+$D$2))</f>
        <v>1</v>
      </c>
      <c r="AP191">
        <f>IF(OR($J191=1,COUNTIFS($A$5:$A190,"&gt;="&amp;$A191-1,$A$5:$A190,"&lt;="&amp;$A191,$B$5:$B190,$B191)&gt;0,MIN(1-'Exercise list'!J$2,IF($A191=$A190,AP190,1))-U191&lt;0),-1,MIN(1,IF($A191=$A190,AP190,1)-U191+$D$2))</f>
        <v>1</v>
      </c>
      <c r="AQ191">
        <f>IF(OR($J191=1,COUNTIFS($A$5:$A190,"&gt;="&amp;$A191-1,$A$5:$A190,"&lt;="&amp;$A191,$B$5:$B190,$B191)&gt;0,MIN(1-'Exercise list'!K$2,IF($A191=$A190,AQ190,1))-V191&lt;0),-1,MIN(1,IF($A191=$A190,AQ190,1)-V191+$D$2))</f>
        <v>1</v>
      </c>
      <c r="AR191">
        <f>IF(OR($J191=1,COUNTIFS($A$5:$A190,"&gt;="&amp;$A191-1,$A$5:$A190,"&lt;="&amp;$A191,$B$5:$B190,$B191)&gt;0,MIN(1-'Exercise list'!L$2,IF($A191=$A190,AR190,1))-W191&lt;0),-1,MIN(1,IF($A191=$A190,AR190,1)-W191+$D$2))</f>
        <v>1</v>
      </c>
      <c r="AS191">
        <f>IF(OR($J191=1,COUNTIFS($A$5:$A190,"&gt;="&amp;$A191-1,$A$5:$A190,"&lt;="&amp;$A191,$B$5:$B190,$B191)&gt;0,MIN(1-'Exercise list'!M$2,IF($A191=$A190,AS190,1))-X191&lt;0),-1,MIN(1,IF($A191=$A190,AS190,1)-X191+$D$2))</f>
        <v>1</v>
      </c>
      <c r="AT191">
        <f>IF(OR($J191=1,COUNTIFS($A$5:$A190,"&gt;="&amp;$A191-1,$A$5:$A190,"&lt;="&amp;$A191,$B$5:$B190,$B191)&gt;0,MIN(1-'Exercise list'!N$2,IF($A191=$A190,AT190,1))-Y191&lt;0),-1,MIN(1,IF($A191=$A190,AT190,1)-Y191+$D$2))</f>
        <v>1</v>
      </c>
      <c r="AU191">
        <f>IF(OR($J191=1,COUNTIFS($A$5:$A190,"&gt;="&amp;$A191-1,$A$5:$A190,"&lt;="&amp;$A191,$B$5:$B190,$B191)&gt;0,MIN(1-'Exercise list'!O$2,IF($A191=$A190,AU190,1))-Z191&lt;0),-1,MIN(1,IF($A191=$A190,AU190,1)-Z191+$D$2))</f>
        <v>1</v>
      </c>
      <c r="AV191">
        <f>IF(OR($J191=1,COUNTIFS($A$5:$A190,"&gt;="&amp;$A191-1,$A$5:$A190,"&lt;="&amp;$A191,$B$5:$B190,$B191)&gt;0,MIN(1-'Exercise list'!P$2,IF($A191=$A190,AV190,1))-AA191&lt;0),-1,MIN(1,IF($A191=$A190,AV190,1)-AA191+$D$2))</f>
        <v>1</v>
      </c>
      <c r="AW191">
        <f>IF(OR($J191=1,COUNTIFS($A$5:$A190,"&gt;="&amp;$A191-1,$A$5:$A190,"&lt;="&amp;$A191,$B$5:$B190,$B191)&gt;0,MIN(1-'Exercise list'!Q$2,IF($A191=$A190,AW190,1))-AB191&lt;0),-1,MIN(1,IF($A191=$A190,AW190,1)-AB191+$D$2))</f>
        <v>1</v>
      </c>
      <c r="AX191">
        <f>IF(OR($J191=1,COUNTIFS($A$5:$A190,"&gt;="&amp;$A191-1,$A$5:$A190,"&lt;="&amp;$A191,$B$5:$B190,$B191)&gt;0,MIN(1-'Exercise list'!R$2,IF($A191=$A190,AX190,1))-AC191&lt;0),-1,MIN(1,IF($A191=$A190,AX190,1)-AC191+$D$2))</f>
        <v>1</v>
      </c>
      <c r="AY191">
        <f>IF(OR($J191=1,COUNTIFS($A$5:$A190,"&gt;="&amp;$A191-1,$A$5:$A190,"&lt;="&amp;$A191,$B$5:$B190,$B191)&gt;0,MIN(1-'Exercise list'!S$2,IF($A191=$A190,AY190,1))-AD191&lt;0),-1,MIN(1,IF($A191=$A190,AY190,1)-AD191+$D$2))</f>
        <v>1</v>
      </c>
      <c r="AZ191">
        <f>IF(OR($J191=1,COUNTIFS($A$5:$A190,"&gt;="&amp;$A191-1,$A$5:$A190,"&lt;="&amp;$A191,$B$5:$B190,$B191)&gt;0,MIN(1-'Exercise list'!T$2,IF($A191=$A190,AZ190,1))-AE191&lt;0),-1,MIN(1,IF($A191=$A190,AZ190,1)-AE191+$D$2))</f>
        <v>1</v>
      </c>
      <c r="BA191">
        <f>IF(OR($J191=1,COUNTIFS($A$5:$A190,"&gt;="&amp;$A191-1,$A$5:$A190,"&lt;="&amp;$A191,$B$5:$B190,$B191)&gt;0,MIN(1-'Exercise list'!U$2,IF($A191=$A190,BA190,1))-AF191&lt;0),-1,MIN(1,IF($A191=$A190,BA190,1)-AF191+$D$2))</f>
        <v>1</v>
      </c>
      <c r="BB191">
        <f>IF(OR($J191=1,COUNTIFS($A$5:$A190,"&gt;="&amp;$A191-1,$A$5:$A190,"&lt;="&amp;$A191,$B$5:$B190,$B191)&gt;0,MIN(1-'Exercise list'!V$2,IF($A191=$A190,BB190,1))-AG191&lt;0),-1,MIN(1,IF($A191=$A190,BB190,1)-AG191+$D$2))</f>
        <v>1</v>
      </c>
      <c r="BC191">
        <f>IF(OR($J191=1,COUNTIFS($A$5:$A190,"&gt;="&amp;$A191-1,$A$5:$A190,"&lt;="&amp;$A191,$B$5:$B190,$B191)&gt;0,MIN(1-'Exercise list'!W$2,IF($A191=$A190,BC190,1))-AH191&lt;0),-1,MIN(1,IF($A191=$A190,BC190,1)-AH191+$D$2))</f>
        <v>1</v>
      </c>
      <c r="BD191">
        <f>IF(OR($J191=1,COUNTIFS($A$5:$A190,"&gt;="&amp;$A191-1,$A$5:$A190,"&lt;="&amp;$A191,$B$5:$B190,$B191)&gt;0,MIN(1-'Exercise list'!X$2,IF($A191=$A190,BD190,1))-AI191&lt;0),-1,MIN(1,IF($A191=$A190,BD190,1)-AI191+$D$2))</f>
        <v>1</v>
      </c>
      <c r="BF191" s="16">
        <f t="shared" si="145"/>
        <v>0.19596031081758858</v>
      </c>
      <c r="BG191" s="16">
        <f t="shared" si="146"/>
        <v>0.21844636935459236</v>
      </c>
      <c r="BH191" s="16">
        <f t="shared" si="147"/>
        <v>0.14609696635987124</v>
      </c>
      <c r="BI191" s="16">
        <f t="shared" si="148"/>
        <v>0.13198015366034541</v>
      </c>
      <c r="BJ191" s="16">
        <f t="shared" si="149"/>
        <v>8.3367914198418713E-2</v>
      </c>
      <c r="BK191" s="16">
        <f t="shared" si="150"/>
        <v>0.10640640223148412</v>
      </c>
      <c r="BL191" s="16">
        <f t="shared" si="151"/>
        <v>0.21963504743569431</v>
      </c>
      <c r="BM191" s="16">
        <f t="shared" si="152"/>
        <v>3.8988008374820568E-3</v>
      </c>
      <c r="BN191" s="16">
        <f t="shared" si="153"/>
        <v>0.14537706087090876</v>
      </c>
      <c r="BO191" s="16">
        <f t="shared" si="154"/>
        <v>0.29209790661993401</v>
      </c>
      <c r="BP191" s="16">
        <f t="shared" si="155"/>
        <v>0.31584545163401867</v>
      </c>
      <c r="BQ191" s="16">
        <f t="shared" si="156"/>
        <v>0.1000007994126096</v>
      </c>
      <c r="BR191" s="16">
        <f t="shared" si="157"/>
        <v>0.13164487759885393</v>
      </c>
      <c r="BS191" s="16">
        <f t="shared" si="158"/>
        <v>2.9803550189863123E-2</v>
      </c>
      <c r="BT191" s="16">
        <f t="shared" si="159"/>
        <v>0.13492040904978705</v>
      </c>
      <c r="BU191" s="16">
        <f t="shared" si="160"/>
        <v>0.11703687414398131</v>
      </c>
      <c r="BV191" s="16">
        <f t="shared" si="161"/>
        <v>0.14633353213781661</v>
      </c>
      <c r="BW191" s="16">
        <f t="shared" si="162"/>
        <v>7.5588015111767173E-2</v>
      </c>
      <c r="BX191" s="16">
        <f t="shared" si="163"/>
        <v>8.0345659937185704E-2</v>
      </c>
      <c r="BY191" s="16">
        <f t="shared" si="164"/>
        <v>5.9014643151272549E-2</v>
      </c>
      <c r="CA191" s="16" t="str">
        <f t="shared" si="141"/>
        <v/>
      </c>
      <c r="CB191" s="16" t="str">
        <f t="shared" si="122"/>
        <v/>
      </c>
      <c r="CC191" s="16" t="str">
        <f t="shared" si="123"/>
        <v/>
      </c>
      <c r="CD191" s="16" t="str">
        <f t="shared" si="124"/>
        <v/>
      </c>
      <c r="CE191" s="16" t="str">
        <f t="shared" si="125"/>
        <v/>
      </c>
      <c r="CF191" s="16" t="str">
        <f t="shared" si="126"/>
        <v/>
      </c>
      <c r="CG191" s="16" t="str">
        <f t="shared" si="127"/>
        <v/>
      </c>
      <c r="CH191" s="16" t="str">
        <f t="shared" si="128"/>
        <v/>
      </c>
      <c r="CI191" s="16" t="str">
        <f t="shared" si="129"/>
        <v/>
      </c>
      <c r="CJ191" s="16" t="str">
        <f t="shared" si="130"/>
        <v/>
      </c>
      <c r="CK191" s="16" t="str">
        <f t="shared" si="131"/>
        <v/>
      </c>
      <c r="CL191" s="16" t="str">
        <f t="shared" si="132"/>
        <v/>
      </c>
      <c r="CM191" s="16" t="str">
        <f t="shared" si="133"/>
        <v/>
      </c>
      <c r="CN191" s="16" t="str">
        <f t="shared" si="134"/>
        <v/>
      </c>
      <c r="CO191" s="16" t="str">
        <f t="shared" si="135"/>
        <v/>
      </c>
      <c r="CP191" s="16" t="str">
        <f t="shared" si="136"/>
        <v/>
      </c>
      <c r="CQ191" s="16" t="str">
        <f t="shared" si="137"/>
        <v/>
      </c>
      <c r="CR191" s="16" t="str">
        <f t="shared" si="138"/>
        <v/>
      </c>
      <c r="CS191" s="16" t="str">
        <f t="shared" si="139"/>
        <v/>
      </c>
      <c r="CT191" s="16" t="str">
        <f t="shared" si="140"/>
        <v/>
      </c>
    </row>
    <row r="192" spans="1:99" x14ac:dyDescent="0.25">
      <c r="A192" s="13"/>
      <c r="B192" s="14"/>
      <c r="C192" s="15" t="str" cm="1">
        <f t="array" ref="C192">IF(B192="","",INDEX('Exercise list'!$C$5:$C$102,B192))</f>
        <v/>
      </c>
      <c r="D192" s="12" t="str">
        <f t="shared" si="142"/>
        <v/>
      </c>
      <c r="E192" s="107" t="str">
        <f t="shared" si="165"/>
        <v/>
      </c>
      <c r="F192" s="63" t="str" cm="1">
        <f t="array" ref="F192">IF(B192="","",0.1+IFERROR(INDEX($F$6:$F191,SUMPRODUCT(MAX(ROW($C$6:$C191)*($C192=$C$6:$C191))-ROW($A$5)))*0.9^($A192-INDEX($A$6:A191,SUMPRODUCT(MAX(ROW($C$6:$C191)*($C192=$C$6:$C191))-ROW($A$5)))),0))</f>
        <v/>
      </c>
      <c r="G192" s="64" t="e">
        <f>INDEX('Exercise list'!$Y$5:$Y$102,MATCH(C192,'Exercise list'!$C$5:$C$102,0))</f>
        <v>#N/A</v>
      </c>
      <c r="H192" s="115">
        <f t="shared" si="143"/>
        <v>0</v>
      </c>
      <c r="I192" s="6">
        <f t="shared" si="144"/>
        <v>5</v>
      </c>
      <c r="J192" s="6" t="str" cm="1">
        <f t="array" ref="J192">IF(B192="","",INDEX('Exercise list'!$D$5:$D$102,B192))</f>
        <v/>
      </c>
      <c r="K192" s="12"/>
      <c r="L192" s="74" t="str" cm="1">
        <f t="array" ref="L192">IF(K192="","",INDEX('Exercise list'!$C$5:$C$102,K192))</f>
        <v/>
      </c>
      <c r="M192" s="6"/>
      <c r="N192" s="75" t="str" cm="1">
        <f t="array" ref="N192">IF(M192="","",INDEX('Exercise list'!$C$5:$C$102,M192))</f>
        <v/>
      </c>
      <c r="P192">
        <f>IFERROR(INDEX('Exercise list'!$E$5:$X$102,MATCH($C192,'Exercise list'!$C$5:$C$102,0),MATCH(P$5,'Exercise list'!$E$4:$X$4,0)),0)</f>
        <v>0</v>
      </c>
      <c r="Q192">
        <f>IFERROR(INDEX('Exercise list'!$E$5:$X$102,MATCH($C192,'Exercise list'!$C$5:$C$102,0),MATCH(Q$5,'Exercise list'!$E$4:$X$4,0)),0)</f>
        <v>0</v>
      </c>
      <c r="R192">
        <f>IFERROR(INDEX('Exercise list'!$E$5:$X$102,MATCH($C192,'Exercise list'!$C$5:$C$102,0),MATCH(R$5,'Exercise list'!$E$4:$X$4,0)),0)</f>
        <v>0</v>
      </c>
      <c r="S192">
        <f>IFERROR(INDEX('Exercise list'!$E$5:$X$102,MATCH($C192,'Exercise list'!$C$5:$C$102,0),MATCH(S$5,'Exercise list'!$E$4:$X$4,0)),0)</f>
        <v>0</v>
      </c>
      <c r="T192">
        <f>IFERROR(INDEX('Exercise list'!$E$5:$X$102,MATCH($C192,'Exercise list'!$C$5:$C$102,0),MATCH(T$5,'Exercise list'!$E$4:$X$4,0)),0)</f>
        <v>0</v>
      </c>
      <c r="U192">
        <f>IFERROR(INDEX('Exercise list'!$E$5:$X$102,MATCH($C192,'Exercise list'!$C$5:$C$102,0),MATCH(U$5,'Exercise list'!$E$4:$X$4,0)),0)</f>
        <v>0</v>
      </c>
      <c r="V192">
        <f>IFERROR(INDEX('Exercise list'!$E$5:$X$102,MATCH($C192,'Exercise list'!$C$5:$C$102,0),MATCH(V$5,'Exercise list'!$E$4:$X$4,0)),0)</f>
        <v>0</v>
      </c>
      <c r="W192">
        <f>IFERROR(INDEX('Exercise list'!$E$5:$X$102,MATCH($C192,'Exercise list'!$C$5:$C$102,0),MATCH(W$5,'Exercise list'!$E$4:$X$4,0)),0)</f>
        <v>0</v>
      </c>
      <c r="X192">
        <f>IFERROR(INDEX('Exercise list'!$E$5:$X$102,MATCH($C192,'Exercise list'!$C$5:$C$102,0),MATCH(X$5,'Exercise list'!$E$4:$X$4,0)),0)</f>
        <v>0</v>
      </c>
      <c r="Y192">
        <f>IFERROR(INDEX('Exercise list'!$E$5:$X$102,MATCH($C192,'Exercise list'!$C$5:$C$102,0),MATCH(Y$5,'Exercise list'!$E$4:$X$4,0)),0)</f>
        <v>0</v>
      </c>
      <c r="Z192">
        <f>IFERROR(INDEX('Exercise list'!$E$5:$X$102,MATCH($C192,'Exercise list'!$C$5:$C$102,0),MATCH(Z$5,'Exercise list'!$E$4:$X$4,0)),0)</f>
        <v>0</v>
      </c>
      <c r="AA192">
        <f>IFERROR(INDEX('Exercise list'!$E$5:$X$102,MATCH($C192,'Exercise list'!$C$5:$C$102,0),MATCH(AA$5,'Exercise list'!$E$4:$X$4,0)),0)</f>
        <v>0</v>
      </c>
      <c r="AB192">
        <f>IFERROR(INDEX('Exercise list'!$E$5:$X$102,MATCH($C192,'Exercise list'!$C$5:$C$102,0),MATCH(AB$5,'Exercise list'!$E$4:$X$4,0)),0)</f>
        <v>0</v>
      </c>
      <c r="AC192">
        <f>IFERROR(INDEX('Exercise list'!$E$5:$X$102,MATCH($C192,'Exercise list'!$C$5:$C$102,0),MATCH(AC$5,'Exercise list'!$E$4:$X$4,0)),0)</f>
        <v>0</v>
      </c>
      <c r="AD192">
        <f>IFERROR(INDEX('Exercise list'!$E$5:$X$102,MATCH($C192,'Exercise list'!$C$5:$C$102,0),MATCH(AD$5,'Exercise list'!$E$4:$X$4,0)),0)</f>
        <v>0</v>
      </c>
      <c r="AE192">
        <f>IFERROR(INDEX('Exercise list'!$E$5:$X$102,MATCH($C192,'Exercise list'!$C$5:$C$102,0),MATCH(AE$5,'Exercise list'!$E$4:$X$4,0)),0)</f>
        <v>0</v>
      </c>
      <c r="AF192">
        <f>IFERROR(INDEX('Exercise list'!$E$5:$X$102,MATCH($C192,'Exercise list'!$C$5:$C$102,0),MATCH(AF$5,'Exercise list'!$E$4:$X$4,0)),0)</f>
        <v>0</v>
      </c>
      <c r="AG192">
        <f>IFERROR(INDEX('Exercise list'!$E$5:$X$102,MATCH($C192,'Exercise list'!$C$5:$C$102,0),MATCH(AG$5,'Exercise list'!$E$4:$X$4,0)),0)</f>
        <v>0</v>
      </c>
      <c r="AH192">
        <f>IFERROR(INDEX('Exercise list'!$E$5:$X$102,MATCH($C192,'Exercise list'!$C$5:$C$102,0),MATCH(AH$5,'Exercise list'!$E$4:$X$4,0)),0)</f>
        <v>0</v>
      </c>
      <c r="AI192">
        <f>IFERROR(INDEX('Exercise list'!$E$5:$X$102,MATCH($C192,'Exercise list'!$C$5:$C$102,0),MATCH(AI$5,'Exercise list'!$E$4:$X$4,0)),0)</f>
        <v>0</v>
      </c>
      <c r="AK192">
        <f>IF(OR($J192=1,COUNTIFS($A$5:$A191,"&gt;="&amp;$A192-1,$A$5:$A191,"&lt;="&amp;$A192,$B$5:$B191,$B192)&gt;0,MIN(1-'Exercise list'!E$2,IF($A192=$A191,AK191,1))-P192&lt;0),-1,MIN(1,IF($A192=$A191,AK191,1)-P192+$D$2))</f>
        <v>1</v>
      </c>
      <c r="AL192">
        <f>IF(OR($J192=1,COUNTIFS($A$5:$A191,"&gt;="&amp;$A192-1,$A$5:$A191,"&lt;="&amp;$A192,$B$5:$B191,$B192)&gt;0,MIN(1-'Exercise list'!F$2,IF($A192=$A191,AL191,1))-Q192&lt;0),-1,MIN(1,IF($A192=$A191,AL191,1)-Q192+$D$2))</f>
        <v>1</v>
      </c>
      <c r="AM192">
        <f>IF(OR($J192=1,COUNTIFS($A$5:$A191,"&gt;="&amp;$A192-1,$A$5:$A191,"&lt;="&amp;$A192,$B$5:$B191,$B192)&gt;0,MIN(1-'Exercise list'!G$2,IF($A192=$A191,AM191,1))-R192&lt;0),-1,MIN(1,IF($A192=$A191,AM191,1)-R192+$D$2))</f>
        <v>1</v>
      </c>
      <c r="AN192">
        <f>IF(OR($J192=1,COUNTIFS($A$5:$A191,"&gt;="&amp;$A192-1,$A$5:$A191,"&lt;="&amp;$A192,$B$5:$B191,$B192)&gt;0,MIN(1-'Exercise list'!H$2,IF($A192=$A191,AN191,1))-S192&lt;0),-1,MIN(1,IF($A192=$A191,AN191,1)-S192+$D$2))</f>
        <v>1</v>
      </c>
      <c r="AO192">
        <f>IF(OR($J192=1,COUNTIFS($A$5:$A191,"&gt;="&amp;$A192-1,$A$5:$A191,"&lt;="&amp;$A192,$B$5:$B191,$B192)&gt;0,MIN(1-'Exercise list'!I$2,IF($A192=$A191,AO191,1))-T192&lt;0),-1,MIN(1,IF($A192=$A191,AO191,1)-T192+$D$2))</f>
        <v>1</v>
      </c>
      <c r="AP192">
        <f>IF(OR($J192=1,COUNTIFS($A$5:$A191,"&gt;="&amp;$A192-1,$A$5:$A191,"&lt;="&amp;$A192,$B$5:$B191,$B192)&gt;0,MIN(1-'Exercise list'!J$2,IF($A192=$A191,AP191,1))-U192&lt;0),-1,MIN(1,IF($A192=$A191,AP191,1)-U192+$D$2))</f>
        <v>1</v>
      </c>
      <c r="AQ192">
        <f>IF(OR($J192=1,COUNTIFS($A$5:$A191,"&gt;="&amp;$A192-1,$A$5:$A191,"&lt;="&amp;$A192,$B$5:$B191,$B192)&gt;0,MIN(1-'Exercise list'!K$2,IF($A192=$A191,AQ191,1))-V192&lt;0),-1,MIN(1,IF($A192=$A191,AQ191,1)-V192+$D$2))</f>
        <v>1</v>
      </c>
      <c r="AR192">
        <f>IF(OR($J192=1,COUNTIFS($A$5:$A191,"&gt;="&amp;$A192-1,$A$5:$A191,"&lt;="&amp;$A192,$B$5:$B191,$B192)&gt;0,MIN(1-'Exercise list'!L$2,IF($A192=$A191,AR191,1))-W192&lt;0),-1,MIN(1,IF($A192=$A191,AR191,1)-W192+$D$2))</f>
        <v>1</v>
      </c>
      <c r="AS192">
        <f>IF(OR($J192=1,COUNTIFS($A$5:$A191,"&gt;="&amp;$A192-1,$A$5:$A191,"&lt;="&amp;$A192,$B$5:$B191,$B192)&gt;0,MIN(1-'Exercise list'!M$2,IF($A192=$A191,AS191,1))-X192&lt;0),-1,MIN(1,IF($A192=$A191,AS191,1)-X192+$D$2))</f>
        <v>1</v>
      </c>
      <c r="AT192">
        <f>IF(OR($J192=1,COUNTIFS($A$5:$A191,"&gt;="&amp;$A192-1,$A$5:$A191,"&lt;="&amp;$A192,$B$5:$B191,$B192)&gt;0,MIN(1-'Exercise list'!N$2,IF($A192=$A191,AT191,1))-Y192&lt;0),-1,MIN(1,IF($A192=$A191,AT191,1)-Y192+$D$2))</f>
        <v>1</v>
      </c>
      <c r="AU192">
        <f>IF(OR($J192=1,COUNTIFS($A$5:$A191,"&gt;="&amp;$A192-1,$A$5:$A191,"&lt;="&amp;$A192,$B$5:$B191,$B192)&gt;0,MIN(1-'Exercise list'!O$2,IF($A192=$A191,AU191,1))-Z192&lt;0),-1,MIN(1,IF($A192=$A191,AU191,1)-Z192+$D$2))</f>
        <v>1</v>
      </c>
      <c r="AV192">
        <f>IF(OR($J192=1,COUNTIFS($A$5:$A191,"&gt;="&amp;$A192-1,$A$5:$A191,"&lt;="&amp;$A192,$B$5:$B191,$B192)&gt;0,MIN(1-'Exercise list'!P$2,IF($A192=$A191,AV191,1))-AA192&lt;0),-1,MIN(1,IF($A192=$A191,AV191,1)-AA192+$D$2))</f>
        <v>1</v>
      </c>
      <c r="AW192">
        <f>IF(OR($J192=1,COUNTIFS($A$5:$A191,"&gt;="&amp;$A192-1,$A$5:$A191,"&lt;="&amp;$A192,$B$5:$B191,$B192)&gt;0,MIN(1-'Exercise list'!Q$2,IF($A192=$A191,AW191,1))-AB192&lt;0),-1,MIN(1,IF($A192=$A191,AW191,1)-AB192+$D$2))</f>
        <v>1</v>
      </c>
      <c r="AX192">
        <f>IF(OR($J192=1,COUNTIFS($A$5:$A191,"&gt;="&amp;$A192-1,$A$5:$A191,"&lt;="&amp;$A192,$B$5:$B191,$B192)&gt;0,MIN(1-'Exercise list'!R$2,IF($A192=$A191,AX191,1))-AC192&lt;0),-1,MIN(1,IF($A192=$A191,AX191,1)-AC192+$D$2))</f>
        <v>1</v>
      </c>
      <c r="AY192">
        <f>IF(OR($J192=1,COUNTIFS($A$5:$A191,"&gt;="&amp;$A192-1,$A$5:$A191,"&lt;="&amp;$A192,$B$5:$B191,$B192)&gt;0,MIN(1-'Exercise list'!S$2,IF($A192=$A191,AY191,1))-AD192&lt;0),-1,MIN(1,IF($A192=$A191,AY191,1)-AD192+$D$2))</f>
        <v>1</v>
      </c>
      <c r="AZ192">
        <f>IF(OR($J192=1,COUNTIFS($A$5:$A191,"&gt;="&amp;$A192-1,$A$5:$A191,"&lt;="&amp;$A192,$B$5:$B191,$B192)&gt;0,MIN(1-'Exercise list'!T$2,IF($A192=$A191,AZ191,1))-AE192&lt;0),-1,MIN(1,IF($A192=$A191,AZ191,1)-AE192+$D$2))</f>
        <v>1</v>
      </c>
      <c r="BA192">
        <f>IF(OR($J192=1,COUNTIFS($A$5:$A191,"&gt;="&amp;$A192-1,$A$5:$A191,"&lt;="&amp;$A192,$B$5:$B191,$B192)&gt;0,MIN(1-'Exercise list'!U$2,IF($A192=$A191,BA191,1))-AF192&lt;0),-1,MIN(1,IF($A192=$A191,BA191,1)-AF192+$D$2))</f>
        <v>1</v>
      </c>
      <c r="BB192">
        <f>IF(OR($J192=1,COUNTIFS($A$5:$A191,"&gt;="&amp;$A192-1,$A$5:$A191,"&lt;="&amp;$A192,$B$5:$B191,$B192)&gt;0,MIN(1-'Exercise list'!V$2,IF($A192=$A191,BB191,1))-AG192&lt;0),-1,MIN(1,IF($A192=$A191,BB191,1)-AG192+$D$2))</f>
        <v>1</v>
      </c>
      <c r="BC192">
        <f>IF(OR($J192=1,COUNTIFS($A$5:$A191,"&gt;="&amp;$A192-1,$A$5:$A191,"&lt;="&amp;$A192,$B$5:$B191,$B192)&gt;0,MIN(1-'Exercise list'!W$2,IF($A192=$A191,BC191,1))-AH192&lt;0),-1,MIN(1,IF($A192=$A191,BC191,1)-AH192+$D$2))</f>
        <v>1</v>
      </c>
      <c r="BD192">
        <f>IF(OR($J192=1,COUNTIFS($A$5:$A191,"&gt;="&amp;$A192-1,$A$5:$A191,"&lt;="&amp;$A192,$B$5:$B191,$B192)&gt;0,MIN(1-'Exercise list'!X$2,IF($A192=$A191,BD191,1))-AI192&lt;0),-1,MIN(1,IF($A192=$A191,BD191,1)-AI192+$D$2))</f>
        <v>1</v>
      </c>
      <c r="BF192" s="16">
        <f t="shared" si="145"/>
        <v>0.19596031081758858</v>
      </c>
      <c r="BG192" s="16">
        <f t="shared" si="146"/>
        <v>0.21844636935459236</v>
      </c>
      <c r="BH192" s="16">
        <f t="shared" si="147"/>
        <v>0.14609696635987124</v>
      </c>
      <c r="BI192" s="16">
        <f t="shared" si="148"/>
        <v>0.13198015366034541</v>
      </c>
      <c r="BJ192" s="16">
        <f t="shared" si="149"/>
        <v>8.3367914198418713E-2</v>
      </c>
      <c r="BK192" s="16">
        <f t="shared" si="150"/>
        <v>0.10640640223148412</v>
      </c>
      <c r="BL192" s="16">
        <f t="shared" si="151"/>
        <v>0.21963504743569431</v>
      </c>
      <c r="BM192" s="16">
        <f t="shared" si="152"/>
        <v>3.8988008374820568E-3</v>
      </c>
      <c r="BN192" s="16">
        <f t="shared" si="153"/>
        <v>0.14537706087090876</v>
      </c>
      <c r="BO192" s="16">
        <f t="shared" si="154"/>
        <v>0.29209790661993401</v>
      </c>
      <c r="BP192" s="16">
        <f t="shared" si="155"/>
        <v>0.31584545163401867</v>
      </c>
      <c r="BQ192" s="16">
        <f t="shared" si="156"/>
        <v>0.1000007994126096</v>
      </c>
      <c r="BR192" s="16">
        <f t="shared" si="157"/>
        <v>0.13164487759885393</v>
      </c>
      <c r="BS192" s="16">
        <f t="shared" si="158"/>
        <v>2.9803550189863123E-2</v>
      </c>
      <c r="BT192" s="16">
        <f t="shared" si="159"/>
        <v>0.13492040904978705</v>
      </c>
      <c r="BU192" s="16">
        <f t="shared" si="160"/>
        <v>0.11703687414398131</v>
      </c>
      <c r="BV192" s="16">
        <f t="shared" si="161"/>
        <v>0.14633353213781661</v>
      </c>
      <c r="BW192" s="16">
        <f t="shared" si="162"/>
        <v>7.5588015111767173E-2</v>
      </c>
      <c r="BX192" s="16">
        <f t="shared" si="163"/>
        <v>8.0345659937185704E-2</v>
      </c>
      <c r="BY192" s="16">
        <f t="shared" si="164"/>
        <v>5.9014643151272549E-2</v>
      </c>
      <c r="CA192" s="16" t="str">
        <f t="shared" si="141"/>
        <v/>
      </c>
      <c r="CB192" s="16" t="str">
        <f t="shared" si="122"/>
        <v/>
      </c>
      <c r="CC192" s="16" t="str">
        <f t="shared" si="123"/>
        <v/>
      </c>
      <c r="CD192" s="16" t="str">
        <f t="shared" si="124"/>
        <v/>
      </c>
      <c r="CE192" s="16" t="str">
        <f t="shared" si="125"/>
        <v/>
      </c>
      <c r="CF192" s="16" t="str">
        <f t="shared" si="126"/>
        <v/>
      </c>
      <c r="CG192" s="16" t="str">
        <f t="shared" si="127"/>
        <v/>
      </c>
      <c r="CH192" s="16" t="str">
        <f t="shared" si="128"/>
        <v/>
      </c>
      <c r="CI192" s="16" t="str">
        <f t="shared" si="129"/>
        <v/>
      </c>
      <c r="CJ192" s="16" t="str">
        <f t="shared" si="130"/>
        <v/>
      </c>
      <c r="CK192" s="16" t="str">
        <f t="shared" si="131"/>
        <v/>
      </c>
      <c r="CL192" s="16" t="str">
        <f t="shared" si="132"/>
        <v/>
      </c>
      <c r="CM192" s="16" t="str">
        <f t="shared" si="133"/>
        <v/>
      </c>
      <c r="CN192" s="16" t="str">
        <f t="shared" si="134"/>
        <v/>
      </c>
      <c r="CO192" s="16" t="str">
        <f t="shared" si="135"/>
        <v/>
      </c>
      <c r="CP192" s="16" t="str">
        <f t="shared" si="136"/>
        <v/>
      </c>
      <c r="CQ192" s="16" t="str">
        <f t="shared" si="137"/>
        <v/>
      </c>
      <c r="CR192" s="16" t="str">
        <f t="shared" si="138"/>
        <v/>
      </c>
      <c r="CS192" s="16" t="str">
        <f t="shared" si="139"/>
        <v/>
      </c>
      <c r="CT192" s="16" t="str">
        <f t="shared" si="140"/>
        <v/>
      </c>
    </row>
    <row r="193" spans="1:99" x14ac:dyDescent="0.25">
      <c r="A193" s="20"/>
      <c r="B193" s="21"/>
      <c r="C193" s="22" t="str" cm="1">
        <f t="array" ref="C193">IF(B193="","",INDEX('Exercise list'!$C$5:$C$102,B193))</f>
        <v/>
      </c>
      <c r="D193" s="17" t="str">
        <f t="shared" si="142"/>
        <v/>
      </c>
      <c r="E193" s="108" t="str">
        <f t="shared" si="165"/>
        <v/>
      </c>
      <c r="F193" s="65" t="str" cm="1">
        <f t="array" ref="F193">IF(B193="","",0.1+IFERROR(INDEX($F$6:$F192,SUMPRODUCT(MAX(ROW($C$6:$C192)*($C193=$C$6:$C192))-ROW($A$5)))*0.9^($A193-INDEX($A$6:A192,SUMPRODUCT(MAX(ROW($C$6:$C192)*($C193=$C$6:$C192))-ROW($A$5)))),0))</f>
        <v/>
      </c>
      <c r="G193" s="25" t="e">
        <f>INDEX('Exercise list'!$Y$5:$Y$102,MATCH(C193,'Exercise list'!$C$5:$C$102,0))</f>
        <v>#N/A</v>
      </c>
      <c r="H193" s="116">
        <f t="shared" si="143"/>
        <v>0</v>
      </c>
      <c r="I193" s="18">
        <f t="shared" si="144"/>
        <v>5</v>
      </c>
      <c r="J193" s="18" t="str" cm="1">
        <f t="array" ref="J193">IF(B193="","",INDEX('Exercise list'!$D$5:$D$102,B193))</f>
        <v/>
      </c>
      <c r="K193" s="17"/>
      <c r="L193" s="51" t="str" cm="1">
        <f t="array" ref="L193">IF(K193="","",INDEX('Exercise list'!$C$5:$C$102,K193))</f>
        <v/>
      </c>
      <c r="M193" s="18"/>
      <c r="N193" s="76" t="str" cm="1">
        <f t="array" ref="N193">IF(M193="","",INDEX('Exercise list'!$C$5:$C$102,M193))</f>
        <v/>
      </c>
      <c r="O193" s="19"/>
      <c r="P193" s="19">
        <f>IFERROR(INDEX('Exercise list'!$E$5:$X$102,MATCH($C193,'Exercise list'!$C$5:$C$102,0),MATCH(P$5,'Exercise list'!$E$4:$X$4,0)),0)</f>
        <v>0</v>
      </c>
      <c r="Q193" s="19">
        <f>IFERROR(INDEX('Exercise list'!$E$5:$X$102,MATCH($C193,'Exercise list'!$C$5:$C$102,0),MATCH(Q$5,'Exercise list'!$E$4:$X$4,0)),0)</f>
        <v>0</v>
      </c>
      <c r="R193" s="19">
        <f>IFERROR(INDEX('Exercise list'!$E$5:$X$102,MATCH($C193,'Exercise list'!$C$5:$C$102,0),MATCH(R$5,'Exercise list'!$E$4:$X$4,0)),0)</f>
        <v>0</v>
      </c>
      <c r="S193" s="19">
        <f>IFERROR(INDEX('Exercise list'!$E$5:$X$102,MATCH($C193,'Exercise list'!$C$5:$C$102,0),MATCH(S$5,'Exercise list'!$E$4:$X$4,0)),0)</f>
        <v>0</v>
      </c>
      <c r="T193" s="19">
        <f>IFERROR(INDEX('Exercise list'!$E$5:$X$102,MATCH($C193,'Exercise list'!$C$5:$C$102,0),MATCH(T$5,'Exercise list'!$E$4:$X$4,0)),0)</f>
        <v>0</v>
      </c>
      <c r="U193" s="19">
        <f>IFERROR(INDEX('Exercise list'!$E$5:$X$102,MATCH($C193,'Exercise list'!$C$5:$C$102,0),MATCH(U$5,'Exercise list'!$E$4:$X$4,0)),0)</f>
        <v>0</v>
      </c>
      <c r="V193" s="19">
        <f>IFERROR(INDEX('Exercise list'!$E$5:$X$102,MATCH($C193,'Exercise list'!$C$5:$C$102,0),MATCH(V$5,'Exercise list'!$E$4:$X$4,0)),0)</f>
        <v>0</v>
      </c>
      <c r="W193" s="19">
        <f>IFERROR(INDEX('Exercise list'!$E$5:$X$102,MATCH($C193,'Exercise list'!$C$5:$C$102,0),MATCH(W$5,'Exercise list'!$E$4:$X$4,0)),0)</f>
        <v>0</v>
      </c>
      <c r="X193" s="19">
        <f>IFERROR(INDEX('Exercise list'!$E$5:$X$102,MATCH($C193,'Exercise list'!$C$5:$C$102,0),MATCH(X$5,'Exercise list'!$E$4:$X$4,0)),0)</f>
        <v>0</v>
      </c>
      <c r="Y193" s="19">
        <f>IFERROR(INDEX('Exercise list'!$E$5:$X$102,MATCH($C193,'Exercise list'!$C$5:$C$102,0),MATCH(Y$5,'Exercise list'!$E$4:$X$4,0)),0)</f>
        <v>0</v>
      </c>
      <c r="Z193" s="19">
        <f>IFERROR(INDEX('Exercise list'!$E$5:$X$102,MATCH($C193,'Exercise list'!$C$5:$C$102,0),MATCH(Z$5,'Exercise list'!$E$4:$X$4,0)),0)</f>
        <v>0</v>
      </c>
      <c r="AA193" s="19">
        <f>IFERROR(INDEX('Exercise list'!$E$5:$X$102,MATCH($C193,'Exercise list'!$C$5:$C$102,0),MATCH(AA$5,'Exercise list'!$E$4:$X$4,0)),0)</f>
        <v>0</v>
      </c>
      <c r="AB193" s="19">
        <f>IFERROR(INDEX('Exercise list'!$E$5:$X$102,MATCH($C193,'Exercise list'!$C$5:$C$102,0),MATCH(AB$5,'Exercise list'!$E$4:$X$4,0)),0)</f>
        <v>0</v>
      </c>
      <c r="AC193" s="19">
        <f>IFERROR(INDEX('Exercise list'!$E$5:$X$102,MATCH($C193,'Exercise list'!$C$5:$C$102,0),MATCH(AC$5,'Exercise list'!$E$4:$X$4,0)),0)</f>
        <v>0</v>
      </c>
      <c r="AD193" s="19">
        <f>IFERROR(INDEX('Exercise list'!$E$5:$X$102,MATCH($C193,'Exercise list'!$C$5:$C$102,0),MATCH(AD$5,'Exercise list'!$E$4:$X$4,0)),0)</f>
        <v>0</v>
      </c>
      <c r="AE193" s="19">
        <f>IFERROR(INDEX('Exercise list'!$E$5:$X$102,MATCH($C193,'Exercise list'!$C$5:$C$102,0),MATCH(AE$5,'Exercise list'!$E$4:$X$4,0)),0)</f>
        <v>0</v>
      </c>
      <c r="AF193" s="19">
        <f>IFERROR(INDEX('Exercise list'!$E$5:$X$102,MATCH($C193,'Exercise list'!$C$5:$C$102,0),MATCH(AF$5,'Exercise list'!$E$4:$X$4,0)),0)</f>
        <v>0</v>
      </c>
      <c r="AG193" s="19">
        <f>IFERROR(INDEX('Exercise list'!$E$5:$X$102,MATCH($C193,'Exercise list'!$C$5:$C$102,0),MATCH(AG$5,'Exercise list'!$E$4:$X$4,0)),0)</f>
        <v>0</v>
      </c>
      <c r="AH193" s="19">
        <f>IFERROR(INDEX('Exercise list'!$E$5:$X$102,MATCH($C193,'Exercise list'!$C$5:$C$102,0),MATCH(AH$5,'Exercise list'!$E$4:$X$4,0)),0)</f>
        <v>0</v>
      </c>
      <c r="AI193" s="19">
        <f>IFERROR(INDEX('Exercise list'!$E$5:$X$102,MATCH($C193,'Exercise list'!$C$5:$C$102,0),MATCH(AI$5,'Exercise list'!$E$4:$X$4,0)),0)</f>
        <v>0</v>
      </c>
      <c r="AJ193" s="19"/>
      <c r="AK193" s="19">
        <f>IF(OR($J193=1,COUNTIFS($A$5:$A192,"&gt;="&amp;$A193-1,$A$5:$A192,"&lt;="&amp;$A193,$B$5:$B192,$B193)&gt;0,MIN(1-'Exercise list'!E$2,IF($A193=$A192,AK192,1))-P193&lt;0),-1,MIN(1,IF($A193=$A192,AK192,1)-P193+$D$2))</f>
        <v>1</v>
      </c>
      <c r="AL193" s="19">
        <f>IF(OR($J193=1,COUNTIFS($A$5:$A192,"&gt;="&amp;$A193-1,$A$5:$A192,"&lt;="&amp;$A193,$B$5:$B192,$B193)&gt;0,MIN(1-'Exercise list'!F$2,IF($A193=$A192,AL192,1))-Q193&lt;0),-1,MIN(1,IF($A193=$A192,AL192,1)-Q193+$D$2))</f>
        <v>1</v>
      </c>
      <c r="AM193" s="19">
        <f>IF(OR($J193=1,COUNTIFS($A$5:$A192,"&gt;="&amp;$A193-1,$A$5:$A192,"&lt;="&amp;$A193,$B$5:$B192,$B193)&gt;0,MIN(1-'Exercise list'!G$2,IF($A193=$A192,AM192,1))-R193&lt;0),-1,MIN(1,IF($A193=$A192,AM192,1)-R193+$D$2))</f>
        <v>1</v>
      </c>
      <c r="AN193" s="19">
        <f>IF(OR($J193=1,COUNTIFS($A$5:$A192,"&gt;="&amp;$A193-1,$A$5:$A192,"&lt;="&amp;$A193,$B$5:$B192,$B193)&gt;0,MIN(1-'Exercise list'!H$2,IF($A193=$A192,AN192,1))-S193&lt;0),-1,MIN(1,IF($A193=$A192,AN192,1)-S193+$D$2))</f>
        <v>1</v>
      </c>
      <c r="AO193" s="19">
        <f>IF(OR($J193=1,COUNTIFS($A$5:$A192,"&gt;="&amp;$A193-1,$A$5:$A192,"&lt;="&amp;$A193,$B$5:$B192,$B193)&gt;0,MIN(1-'Exercise list'!I$2,IF($A193=$A192,AO192,1))-T193&lt;0),-1,MIN(1,IF($A193=$A192,AO192,1)-T193+$D$2))</f>
        <v>1</v>
      </c>
      <c r="AP193" s="19">
        <f>IF(OR($J193=1,COUNTIFS($A$5:$A192,"&gt;="&amp;$A193-1,$A$5:$A192,"&lt;="&amp;$A193,$B$5:$B192,$B193)&gt;0,MIN(1-'Exercise list'!J$2,IF($A193=$A192,AP192,1))-U193&lt;0),-1,MIN(1,IF($A193=$A192,AP192,1)-U193+$D$2))</f>
        <v>1</v>
      </c>
      <c r="AQ193" s="19">
        <f>IF(OR($J193=1,COUNTIFS($A$5:$A192,"&gt;="&amp;$A193-1,$A$5:$A192,"&lt;="&amp;$A193,$B$5:$B192,$B193)&gt;0,MIN(1-'Exercise list'!K$2,IF($A193=$A192,AQ192,1))-V193&lt;0),-1,MIN(1,IF($A193=$A192,AQ192,1)-V193+$D$2))</f>
        <v>1</v>
      </c>
      <c r="AR193" s="19">
        <f>IF(OR($J193=1,COUNTIFS($A$5:$A192,"&gt;="&amp;$A193-1,$A$5:$A192,"&lt;="&amp;$A193,$B$5:$B192,$B193)&gt;0,MIN(1-'Exercise list'!L$2,IF($A193=$A192,AR192,1))-W193&lt;0),-1,MIN(1,IF($A193=$A192,AR192,1)-W193+$D$2))</f>
        <v>1</v>
      </c>
      <c r="AS193" s="19">
        <f>IF(OR($J193=1,COUNTIFS($A$5:$A192,"&gt;="&amp;$A193-1,$A$5:$A192,"&lt;="&amp;$A193,$B$5:$B192,$B193)&gt;0,MIN(1-'Exercise list'!M$2,IF($A193=$A192,AS192,1))-X193&lt;0),-1,MIN(1,IF($A193=$A192,AS192,1)-X193+$D$2))</f>
        <v>1</v>
      </c>
      <c r="AT193" s="19">
        <f>IF(OR($J193=1,COUNTIFS($A$5:$A192,"&gt;="&amp;$A193-1,$A$5:$A192,"&lt;="&amp;$A193,$B$5:$B192,$B193)&gt;0,MIN(1-'Exercise list'!N$2,IF($A193=$A192,AT192,1))-Y193&lt;0),-1,MIN(1,IF($A193=$A192,AT192,1)-Y193+$D$2))</f>
        <v>1</v>
      </c>
      <c r="AU193" s="19">
        <f>IF(OR($J193=1,COUNTIFS($A$5:$A192,"&gt;="&amp;$A193-1,$A$5:$A192,"&lt;="&amp;$A193,$B$5:$B192,$B193)&gt;0,MIN(1-'Exercise list'!O$2,IF($A193=$A192,AU192,1))-Z193&lt;0),-1,MIN(1,IF($A193=$A192,AU192,1)-Z193+$D$2))</f>
        <v>1</v>
      </c>
      <c r="AV193" s="19">
        <f>IF(OR($J193=1,COUNTIFS($A$5:$A192,"&gt;="&amp;$A193-1,$A$5:$A192,"&lt;="&amp;$A193,$B$5:$B192,$B193)&gt;0,MIN(1-'Exercise list'!P$2,IF($A193=$A192,AV192,1))-AA193&lt;0),-1,MIN(1,IF($A193=$A192,AV192,1)-AA193+$D$2))</f>
        <v>1</v>
      </c>
      <c r="AW193" s="19">
        <f>IF(OR($J193=1,COUNTIFS($A$5:$A192,"&gt;="&amp;$A193-1,$A$5:$A192,"&lt;="&amp;$A193,$B$5:$B192,$B193)&gt;0,MIN(1-'Exercise list'!Q$2,IF($A193=$A192,AW192,1))-AB193&lt;0),-1,MIN(1,IF($A193=$A192,AW192,1)-AB193+$D$2))</f>
        <v>1</v>
      </c>
      <c r="AX193" s="19">
        <f>IF(OR($J193=1,COUNTIFS($A$5:$A192,"&gt;="&amp;$A193-1,$A$5:$A192,"&lt;="&amp;$A193,$B$5:$B192,$B193)&gt;0,MIN(1-'Exercise list'!R$2,IF($A193=$A192,AX192,1))-AC193&lt;0),-1,MIN(1,IF($A193=$A192,AX192,1)-AC193+$D$2))</f>
        <v>1</v>
      </c>
      <c r="AY193" s="19">
        <f>IF(OR($J193=1,COUNTIFS($A$5:$A192,"&gt;="&amp;$A193-1,$A$5:$A192,"&lt;="&amp;$A193,$B$5:$B192,$B193)&gt;0,MIN(1-'Exercise list'!S$2,IF($A193=$A192,AY192,1))-AD193&lt;0),-1,MIN(1,IF($A193=$A192,AY192,1)-AD193+$D$2))</f>
        <v>1</v>
      </c>
      <c r="AZ193" s="19">
        <f>IF(OR($J193=1,COUNTIFS($A$5:$A192,"&gt;="&amp;$A193-1,$A$5:$A192,"&lt;="&amp;$A193,$B$5:$B192,$B193)&gt;0,MIN(1-'Exercise list'!T$2,IF($A193=$A192,AZ192,1))-AE193&lt;0),-1,MIN(1,IF($A193=$A192,AZ192,1)-AE193+$D$2))</f>
        <v>1</v>
      </c>
      <c r="BA193" s="19">
        <f>IF(OR($J193=1,COUNTIFS($A$5:$A192,"&gt;="&amp;$A193-1,$A$5:$A192,"&lt;="&amp;$A193,$B$5:$B192,$B193)&gt;0,MIN(1-'Exercise list'!U$2,IF($A193=$A192,BA192,1))-AF193&lt;0),-1,MIN(1,IF($A193=$A192,BA192,1)-AF193+$D$2))</f>
        <v>1</v>
      </c>
      <c r="BB193" s="19">
        <f>IF(OR($J193=1,COUNTIFS($A$5:$A192,"&gt;="&amp;$A193-1,$A$5:$A192,"&lt;="&amp;$A193,$B$5:$B192,$B193)&gt;0,MIN(1-'Exercise list'!V$2,IF($A193=$A192,BB192,1))-AG193&lt;0),-1,MIN(1,IF($A193=$A192,BB192,1)-AG193+$D$2))</f>
        <v>1</v>
      </c>
      <c r="BC193" s="19">
        <f>IF(OR($J193=1,COUNTIFS($A$5:$A192,"&gt;="&amp;$A193-1,$A$5:$A192,"&lt;="&amp;$A193,$B$5:$B192,$B193)&gt;0,MIN(1-'Exercise list'!W$2,IF($A193=$A192,BC192,1))-AH193&lt;0),-1,MIN(1,IF($A193=$A192,BC192,1)-AH193+$D$2))</f>
        <v>1</v>
      </c>
      <c r="BD193" s="19">
        <f>IF(OR($J193=1,COUNTIFS($A$5:$A192,"&gt;="&amp;$A193-1,$A$5:$A192,"&lt;="&amp;$A193,$B$5:$B192,$B193)&gt;0,MIN(1-'Exercise list'!X$2,IF($A193=$A192,BD192,1))-AI193&lt;0),-1,MIN(1,IF($A193=$A192,BD192,1)-AI193+$D$2))</f>
        <v>1</v>
      </c>
      <c r="BE193" s="19"/>
      <c r="BF193" s="23">
        <f t="shared" si="145"/>
        <v>0.19596031081758858</v>
      </c>
      <c r="BG193" s="23">
        <f t="shared" si="146"/>
        <v>0.21844636935459236</v>
      </c>
      <c r="BH193" s="23">
        <f t="shared" si="147"/>
        <v>0.14609696635987124</v>
      </c>
      <c r="BI193" s="23">
        <f t="shared" si="148"/>
        <v>0.13198015366034541</v>
      </c>
      <c r="BJ193" s="23">
        <f t="shared" si="149"/>
        <v>8.3367914198418713E-2</v>
      </c>
      <c r="BK193" s="23">
        <f t="shared" si="150"/>
        <v>0.10640640223148412</v>
      </c>
      <c r="BL193" s="23">
        <f t="shared" si="151"/>
        <v>0.21963504743569431</v>
      </c>
      <c r="BM193" s="23">
        <f t="shared" si="152"/>
        <v>3.8988008374820568E-3</v>
      </c>
      <c r="BN193" s="23">
        <f t="shared" si="153"/>
        <v>0.14537706087090876</v>
      </c>
      <c r="BO193" s="23">
        <f t="shared" si="154"/>
        <v>0.29209790661993401</v>
      </c>
      <c r="BP193" s="23">
        <f t="shared" si="155"/>
        <v>0.31584545163401867</v>
      </c>
      <c r="BQ193" s="23">
        <f t="shared" si="156"/>
        <v>0.1000007994126096</v>
      </c>
      <c r="BR193" s="23">
        <f t="shared" si="157"/>
        <v>0.13164487759885393</v>
      </c>
      <c r="BS193" s="23">
        <f t="shared" si="158"/>
        <v>2.9803550189863123E-2</v>
      </c>
      <c r="BT193" s="23">
        <f t="shared" si="159"/>
        <v>0.13492040904978705</v>
      </c>
      <c r="BU193" s="23">
        <f t="shared" si="160"/>
        <v>0.11703687414398131</v>
      </c>
      <c r="BV193" s="23">
        <f t="shared" si="161"/>
        <v>0.14633353213781661</v>
      </c>
      <c r="BW193" s="23">
        <f t="shared" si="162"/>
        <v>7.5588015111767173E-2</v>
      </c>
      <c r="BX193" s="23">
        <f t="shared" si="163"/>
        <v>8.0345659937185704E-2</v>
      </c>
      <c r="BY193" s="23">
        <f t="shared" si="164"/>
        <v>5.9014643151272549E-2</v>
      </c>
      <c r="BZ193" s="19"/>
      <c r="CA193" s="23" t="str">
        <f t="shared" si="141"/>
        <v/>
      </c>
      <c r="CB193" s="23" t="str">
        <f t="shared" si="122"/>
        <v/>
      </c>
      <c r="CC193" s="23" t="str">
        <f t="shared" si="123"/>
        <v/>
      </c>
      <c r="CD193" s="23" t="str">
        <f t="shared" si="124"/>
        <v/>
      </c>
      <c r="CE193" s="23" t="str">
        <f t="shared" si="125"/>
        <v/>
      </c>
      <c r="CF193" s="23" t="str">
        <f t="shared" si="126"/>
        <v/>
      </c>
      <c r="CG193" s="23" t="str">
        <f t="shared" si="127"/>
        <v/>
      </c>
      <c r="CH193" s="23" t="str">
        <f t="shared" si="128"/>
        <v/>
      </c>
      <c r="CI193" s="23" t="str">
        <f t="shared" si="129"/>
        <v/>
      </c>
      <c r="CJ193" s="23" t="str">
        <f t="shared" si="130"/>
        <v/>
      </c>
      <c r="CK193" s="23" t="str">
        <f t="shared" si="131"/>
        <v/>
      </c>
      <c r="CL193" s="23" t="str">
        <f t="shared" si="132"/>
        <v/>
      </c>
      <c r="CM193" s="23" t="str">
        <f t="shared" si="133"/>
        <v/>
      </c>
      <c r="CN193" s="23" t="str">
        <f t="shared" si="134"/>
        <v/>
      </c>
      <c r="CO193" s="23" t="str">
        <f t="shared" si="135"/>
        <v/>
      </c>
      <c r="CP193" s="23" t="str">
        <f t="shared" si="136"/>
        <v/>
      </c>
      <c r="CQ193" s="23" t="str">
        <f t="shared" si="137"/>
        <v/>
      </c>
      <c r="CR193" s="23" t="str">
        <f t="shared" si="138"/>
        <v/>
      </c>
      <c r="CS193" s="23" t="str">
        <f t="shared" si="139"/>
        <v/>
      </c>
      <c r="CT193" s="23" t="str">
        <f t="shared" si="140"/>
        <v/>
      </c>
      <c r="CU193" s="19"/>
    </row>
    <row r="194" spans="1:99" x14ac:dyDescent="0.25">
      <c r="A194" s="13"/>
      <c r="B194" s="14"/>
      <c r="C194" s="15" t="str" cm="1">
        <f t="array" ref="C194">IF(B194="","",INDEX('Exercise list'!$C$5:$C$102,B194))</f>
        <v/>
      </c>
      <c r="D194" s="12" t="str">
        <f t="shared" si="142"/>
        <v/>
      </c>
      <c r="E194" s="107" t="str">
        <f t="shared" si="165"/>
        <v/>
      </c>
      <c r="F194" s="63" t="str" cm="1">
        <f t="array" ref="F194">IF(B194="","",0.1+IFERROR(INDEX($F$6:$F193,SUMPRODUCT(MAX(ROW($C$6:$C193)*($C194=$C$6:$C193))-ROW($A$5)))*0.9^($A194-INDEX($A$6:A193,SUMPRODUCT(MAX(ROW($C$6:$C193)*($C194=$C$6:$C193))-ROW($A$5)))),0))</f>
        <v/>
      </c>
      <c r="G194" s="64" t="e">
        <f>INDEX('Exercise list'!$Y$5:$Y$102,MATCH(C194,'Exercise list'!$C$5:$C$102,0))</f>
        <v>#N/A</v>
      </c>
      <c r="H194" s="115">
        <f t="shared" si="143"/>
        <v>0</v>
      </c>
      <c r="I194" s="42">
        <f t="shared" si="144"/>
        <v>5</v>
      </c>
      <c r="J194" s="6" t="str" cm="1">
        <f t="array" ref="J194">IF(B194="","",INDEX('Exercise list'!$D$5:$D$102,B194))</f>
        <v/>
      </c>
      <c r="K194" s="12"/>
      <c r="L194" s="74" t="str" cm="1">
        <f t="array" ref="L194">IF(K194="","",INDEX('Exercise list'!$C$5:$C$102,K194))</f>
        <v/>
      </c>
      <c r="M194" s="6"/>
      <c r="N194" s="75" t="str" cm="1">
        <f t="array" ref="N194">IF(M194="","",INDEX('Exercise list'!$C$5:$C$102,M194))</f>
        <v/>
      </c>
      <c r="P194">
        <f>IFERROR(INDEX('Exercise list'!$E$5:$X$102,MATCH($C194,'Exercise list'!$C$5:$C$102,0),MATCH(P$5,'Exercise list'!$E$4:$X$4,0)),0)</f>
        <v>0</v>
      </c>
      <c r="Q194">
        <f>IFERROR(INDEX('Exercise list'!$E$5:$X$102,MATCH($C194,'Exercise list'!$C$5:$C$102,0),MATCH(Q$5,'Exercise list'!$E$4:$X$4,0)),0)</f>
        <v>0</v>
      </c>
      <c r="R194">
        <f>IFERROR(INDEX('Exercise list'!$E$5:$X$102,MATCH($C194,'Exercise list'!$C$5:$C$102,0),MATCH(R$5,'Exercise list'!$E$4:$X$4,0)),0)</f>
        <v>0</v>
      </c>
      <c r="S194">
        <f>IFERROR(INDEX('Exercise list'!$E$5:$X$102,MATCH($C194,'Exercise list'!$C$5:$C$102,0),MATCH(S$5,'Exercise list'!$E$4:$X$4,0)),0)</f>
        <v>0</v>
      </c>
      <c r="T194">
        <f>IFERROR(INDEX('Exercise list'!$E$5:$X$102,MATCH($C194,'Exercise list'!$C$5:$C$102,0),MATCH(T$5,'Exercise list'!$E$4:$X$4,0)),0)</f>
        <v>0</v>
      </c>
      <c r="U194">
        <f>IFERROR(INDEX('Exercise list'!$E$5:$X$102,MATCH($C194,'Exercise list'!$C$5:$C$102,0),MATCH(U$5,'Exercise list'!$E$4:$X$4,0)),0)</f>
        <v>0</v>
      </c>
      <c r="V194">
        <f>IFERROR(INDEX('Exercise list'!$E$5:$X$102,MATCH($C194,'Exercise list'!$C$5:$C$102,0),MATCH(V$5,'Exercise list'!$E$4:$X$4,0)),0)</f>
        <v>0</v>
      </c>
      <c r="W194">
        <f>IFERROR(INDEX('Exercise list'!$E$5:$X$102,MATCH($C194,'Exercise list'!$C$5:$C$102,0),MATCH(W$5,'Exercise list'!$E$4:$X$4,0)),0)</f>
        <v>0</v>
      </c>
      <c r="X194">
        <f>IFERROR(INDEX('Exercise list'!$E$5:$X$102,MATCH($C194,'Exercise list'!$C$5:$C$102,0),MATCH(X$5,'Exercise list'!$E$4:$X$4,0)),0)</f>
        <v>0</v>
      </c>
      <c r="Y194">
        <f>IFERROR(INDEX('Exercise list'!$E$5:$X$102,MATCH($C194,'Exercise list'!$C$5:$C$102,0),MATCH(Y$5,'Exercise list'!$E$4:$X$4,0)),0)</f>
        <v>0</v>
      </c>
      <c r="Z194">
        <f>IFERROR(INDEX('Exercise list'!$E$5:$X$102,MATCH($C194,'Exercise list'!$C$5:$C$102,0),MATCH(Z$5,'Exercise list'!$E$4:$X$4,0)),0)</f>
        <v>0</v>
      </c>
      <c r="AA194">
        <f>IFERROR(INDEX('Exercise list'!$E$5:$X$102,MATCH($C194,'Exercise list'!$C$5:$C$102,0),MATCH(AA$5,'Exercise list'!$E$4:$X$4,0)),0)</f>
        <v>0</v>
      </c>
      <c r="AB194">
        <f>IFERROR(INDEX('Exercise list'!$E$5:$X$102,MATCH($C194,'Exercise list'!$C$5:$C$102,0),MATCH(AB$5,'Exercise list'!$E$4:$X$4,0)),0)</f>
        <v>0</v>
      </c>
      <c r="AC194">
        <f>IFERROR(INDEX('Exercise list'!$E$5:$X$102,MATCH($C194,'Exercise list'!$C$5:$C$102,0),MATCH(AC$5,'Exercise list'!$E$4:$X$4,0)),0)</f>
        <v>0</v>
      </c>
      <c r="AD194">
        <f>IFERROR(INDEX('Exercise list'!$E$5:$X$102,MATCH($C194,'Exercise list'!$C$5:$C$102,0),MATCH(AD$5,'Exercise list'!$E$4:$X$4,0)),0)</f>
        <v>0</v>
      </c>
      <c r="AE194">
        <f>IFERROR(INDEX('Exercise list'!$E$5:$X$102,MATCH($C194,'Exercise list'!$C$5:$C$102,0),MATCH(AE$5,'Exercise list'!$E$4:$X$4,0)),0)</f>
        <v>0</v>
      </c>
      <c r="AF194">
        <f>IFERROR(INDEX('Exercise list'!$E$5:$X$102,MATCH($C194,'Exercise list'!$C$5:$C$102,0),MATCH(AF$5,'Exercise list'!$E$4:$X$4,0)),0)</f>
        <v>0</v>
      </c>
      <c r="AG194">
        <f>IFERROR(INDEX('Exercise list'!$E$5:$X$102,MATCH($C194,'Exercise list'!$C$5:$C$102,0),MATCH(AG$5,'Exercise list'!$E$4:$X$4,0)),0)</f>
        <v>0</v>
      </c>
      <c r="AH194">
        <f>IFERROR(INDEX('Exercise list'!$E$5:$X$102,MATCH($C194,'Exercise list'!$C$5:$C$102,0),MATCH(AH$5,'Exercise list'!$E$4:$X$4,0)),0)</f>
        <v>0</v>
      </c>
      <c r="AI194">
        <f>IFERROR(INDEX('Exercise list'!$E$5:$X$102,MATCH($C194,'Exercise list'!$C$5:$C$102,0),MATCH(AI$5,'Exercise list'!$E$4:$X$4,0)),0)</f>
        <v>0</v>
      </c>
      <c r="AK194">
        <f>IF(OR($J194=1,COUNTIFS($A$5:$A193,"&gt;="&amp;$A194-1,$A$5:$A193,"&lt;="&amp;$A194,$B$5:$B193,$B194)&gt;0,MIN(1-'Exercise list'!E$2,IF($A194=$A193,AK193,1))-P194&lt;0),-1,MIN(1,IF($A194=$A193,AK193,1)-P194+$D$2))</f>
        <v>1</v>
      </c>
      <c r="AL194">
        <f>IF(OR($J194=1,COUNTIFS($A$5:$A193,"&gt;="&amp;$A194-1,$A$5:$A193,"&lt;="&amp;$A194,$B$5:$B193,$B194)&gt;0,MIN(1-'Exercise list'!F$2,IF($A194=$A193,AL193,1))-Q194&lt;0),-1,MIN(1,IF($A194=$A193,AL193,1)-Q194+$D$2))</f>
        <v>1</v>
      </c>
      <c r="AM194">
        <f>IF(OR($J194=1,COUNTIFS($A$5:$A193,"&gt;="&amp;$A194-1,$A$5:$A193,"&lt;="&amp;$A194,$B$5:$B193,$B194)&gt;0,MIN(1-'Exercise list'!G$2,IF($A194=$A193,AM193,1))-R194&lt;0),-1,MIN(1,IF($A194=$A193,AM193,1)-R194+$D$2))</f>
        <v>1</v>
      </c>
      <c r="AN194">
        <f>IF(OR($J194=1,COUNTIFS($A$5:$A193,"&gt;="&amp;$A194-1,$A$5:$A193,"&lt;="&amp;$A194,$B$5:$B193,$B194)&gt;0,MIN(1-'Exercise list'!H$2,IF($A194=$A193,AN193,1))-S194&lt;0),-1,MIN(1,IF($A194=$A193,AN193,1)-S194+$D$2))</f>
        <v>1</v>
      </c>
      <c r="AO194">
        <f>IF(OR($J194=1,COUNTIFS($A$5:$A193,"&gt;="&amp;$A194-1,$A$5:$A193,"&lt;="&amp;$A194,$B$5:$B193,$B194)&gt;0,MIN(1-'Exercise list'!I$2,IF($A194=$A193,AO193,1))-T194&lt;0),-1,MIN(1,IF($A194=$A193,AO193,1)-T194+$D$2))</f>
        <v>1</v>
      </c>
      <c r="AP194">
        <f>IF(OR($J194=1,COUNTIFS($A$5:$A193,"&gt;="&amp;$A194-1,$A$5:$A193,"&lt;="&amp;$A194,$B$5:$B193,$B194)&gt;0,MIN(1-'Exercise list'!J$2,IF($A194=$A193,AP193,1))-U194&lt;0),-1,MIN(1,IF($A194=$A193,AP193,1)-U194+$D$2))</f>
        <v>1</v>
      </c>
      <c r="AQ194">
        <f>IF(OR($J194=1,COUNTIFS($A$5:$A193,"&gt;="&amp;$A194-1,$A$5:$A193,"&lt;="&amp;$A194,$B$5:$B193,$B194)&gt;0,MIN(1-'Exercise list'!K$2,IF($A194=$A193,AQ193,1))-V194&lt;0),-1,MIN(1,IF($A194=$A193,AQ193,1)-V194+$D$2))</f>
        <v>1</v>
      </c>
      <c r="AR194">
        <f>IF(OR($J194=1,COUNTIFS($A$5:$A193,"&gt;="&amp;$A194-1,$A$5:$A193,"&lt;="&amp;$A194,$B$5:$B193,$B194)&gt;0,MIN(1-'Exercise list'!L$2,IF($A194=$A193,AR193,1))-W194&lt;0),-1,MIN(1,IF($A194=$A193,AR193,1)-W194+$D$2))</f>
        <v>1</v>
      </c>
      <c r="AS194">
        <f>IF(OR($J194=1,COUNTIFS($A$5:$A193,"&gt;="&amp;$A194-1,$A$5:$A193,"&lt;="&amp;$A194,$B$5:$B193,$B194)&gt;0,MIN(1-'Exercise list'!M$2,IF($A194=$A193,AS193,1))-X194&lt;0),-1,MIN(1,IF($A194=$A193,AS193,1)-X194+$D$2))</f>
        <v>1</v>
      </c>
      <c r="AT194">
        <f>IF(OR($J194=1,COUNTIFS($A$5:$A193,"&gt;="&amp;$A194-1,$A$5:$A193,"&lt;="&amp;$A194,$B$5:$B193,$B194)&gt;0,MIN(1-'Exercise list'!N$2,IF($A194=$A193,AT193,1))-Y194&lt;0),-1,MIN(1,IF($A194=$A193,AT193,1)-Y194+$D$2))</f>
        <v>1</v>
      </c>
      <c r="AU194">
        <f>IF(OR($J194=1,COUNTIFS($A$5:$A193,"&gt;="&amp;$A194-1,$A$5:$A193,"&lt;="&amp;$A194,$B$5:$B193,$B194)&gt;0,MIN(1-'Exercise list'!O$2,IF($A194=$A193,AU193,1))-Z194&lt;0),-1,MIN(1,IF($A194=$A193,AU193,1)-Z194+$D$2))</f>
        <v>1</v>
      </c>
      <c r="AV194">
        <f>IF(OR($J194=1,COUNTIFS($A$5:$A193,"&gt;="&amp;$A194-1,$A$5:$A193,"&lt;="&amp;$A194,$B$5:$B193,$B194)&gt;0,MIN(1-'Exercise list'!P$2,IF($A194=$A193,AV193,1))-AA194&lt;0),-1,MIN(1,IF($A194=$A193,AV193,1)-AA194+$D$2))</f>
        <v>1</v>
      </c>
      <c r="AW194">
        <f>IF(OR($J194=1,COUNTIFS($A$5:$A193,"&gt;="&amp;$A194-1,$A$5:$A193,"&lt;="&amp;$A194,$B$5:$B193,$B194)&gt;0,MIN(1-'Exercise list'!Q$2,IF($A194=$A193,AW193,1))-AB194&lt;0),-1,MIN(1,IF($A194=$A193,AW193,1)-AB194+$D$2))</f>
        <v>1</v>
      </c>
      <c r="AX194">
        <f>IF(OR($J194=1,COUNTIFS($A$5:$A193,"&gt;="&amp;$A194-1,$A$5:$A193,"&lt;="&amp;$A194,$B$5:$B193,$B194)&gt;0,MIN(1-'Exercise list'!R$2,IF($A194=$A193,AX193,1))-AC194&lt;0),-1,MIN(1,IF($A194=$A193,AX193,1)-AC194+$D$2))</f>
        <v>1</v>
      </c>
      <c r="AY194">
        <f>IF(OR($J194=1,COUNTIFS($A$5:$A193,"&gt;="&amp;$A194-1,$A$5:$A193,"&lt;="&amp;$A194,$B$5:$B193,$B194)&gt;0,MIN(1-'Exercise list'!S$2,IF($A194=$A193,AY193,1))-AD194&lt;0),-1,MIN(1,IF($A194=$A193,AY193,1)-AD194+$D$2))</f>
        <v>1</v>
      </c>
      <c r="AZ194">
        <f>IF(OR($J194=1,COUNTIFS($A$5:$A193,"&gt;="&amp;$A194-1,$A$5:$A193,"&lt;="&amp;$A194,$B$5:$B193,$B194)&gt;0,MIN(1-'Exercise list'!T$2,IF($A194=$A193,AZ193,1))-AE194&lt;0),-1,MIN(1,IF($A194=$A193,AZ193,1)-AE194+$D$2))</f>
        <v>1</v>
      </c>
      <c r="BA194">
        <f>IF(OR($J194=1,COUNTIFS($A$5:$A193,"&gt;="&amp;$A194-1,$A$5:$A193,"&lt;="&amp;$A194,$B$5:$B193,$B194)&gt;0,MIN(1-'Exercise list'!U$2,IF($A194=$A193,BA193,1))-AF194&lt;0),-1,MIN(1,IF($A194=$A193,BA193,1)-AF194+$D$2))</f>
        <v>1</v>
      </c>
      <c r="BB194">
        <f>IF(OR($J194=1,COUNTIFS($A$5:$A193,"&gt;="&amp;$A194-1,$A$5:$A193,"&lt;="&amp;$A194,$B$5:$B193,$B194)&gt;0,MIN(1-'Exercise list'!V$2,IF($A194=$A193,BB193,1))-AG194&lt;0),-1,MIN(1,IF($A194=$A193,BB193,1)-AG194+$D$2))</f>
        <v>1</v>
      </c>
      <c r="BC194">
        <f>IF(OR($J194=1,COUNTIFS($A$5:$A193,"&gt;="&amp;$A194-1,$A$5:$A193,"&lt;="&amp;$A194,$B$5:$B193,$B194)&gt;0,MIN(1-'Exercise list'!W$2,IF($A194=$A193,BC193,1))-AH194&lt;0),-1,MIN(1,IF($A194=$A193,BC193,1)-AH194+$D$2))</f>
        <v>1</v>
      </c>
      <c r="BD194">
        <f>IF(OR($J194=1,COUNTIFS($A$5:$A193,"&gt;="&amp;$A194-1,$A$5:$A193,"&lt;="&amp;$A194,$B$5:$B193,$B194)&gt;0,MIN(1-'Exercise list'!X$2,IF($A194=$A193,BD193,1))-AI194&lt;0),-1,MIN(1,IF($A194=$A193,BD193,1)-AI194+$D$2))</f>
        <v>1</v>
      </c>
      <c r="BF194" s="16">
        <f t="shared" si="145"/>
        <v>0.19596031081758858</v>
      </c>
      <c r="BG194" s="16">
        <f t="shared" si="146"/>
        <v>0.21844636935459236</v>
      </c>
      <c r="BH194" s="16">
        <f t="shared" si="147"/>
        <v>0.14609696635987124</v>
      </c>
      <c r="BI194" s="16">
        <f t="shared" si="148"/>
        <v>0.13198015366034541</v>
      </c>
      <c r="BJ194" s="16">
        <f t="shared" si="149"/>
        <v>8.3367914198418713E-2</v>
      </c>
      <c r="BK194" s="16">
        <f t="shared" si="150"/>
        <v>0.10640640223148412</v>
      </c>
      <c r="BL194" s="16">
        <f t="shared" si="151"/>
        <v>0.21963504743569431</v>
      </c>
      <c r="BM194" s="16">
        <f t="shared" si="152"/>
        <v>3.8988008374820568E-3</v>
      </c>
      <c r="BN194" s="16">
        <f t="shared" si="153"/>
        <v>0.14537706087090876</v>
      </c>
      <c r="BO194" s="16">
        <f t="shared" si="154"/>
        <v>0.29209790661993401</v>
      </c>
      <c r="BP194" s="16">
        <f t="shared" si="155"/>
        <v>0.31584545163401867</v>
      </c>
      <c r="BQ194" s="16">
        <f t="shared" si="156"/>
        <v>0.1000007994126096</v>
      </c>
      <c r="BR194" s="16">
        <f t="shared" si="157"/>
        <v>0.13164487759885393</v>
      </c>
      <c r="BS194" s="16">
        <f t="shared" si="158"/>
        <v>2.9803550189863123E-2</v>
      </c>
      <c r="BT194" s="16">
        <f t="shared" si="159"/>
        <v>0.13492040904978705</v>
      </c>
      <c r="BU194" s="16">
        <f t="shared" si="160"/>
        <v>0.11703687414398131</v>
      </c>
      <c r="BV194" s="16">
        <f t="shared" si="161"/>
        <v>0.14633353213781661</v>
      </c>
      <c r="BW194" s="16">
        <f t="shared" si="162"/>
        <v>7.5588015111767173E-2</v>
      </c>
      <c r="BX194" s="16">
        <f t="shared" si="163"/>
        <v>8.0345659937185704E-2</v>
      </c>
      <c r="BY194" s="16">
        <f t="shared" si="164"/>
        <v>5.9014643151272549E-2</v>
      </c>
      <c r="CA194" s="16" t="str">
        <f t="shared" si="141"/>
        <v/>
      </c>
      <c r="CB194" s="16" t="str">
        <f t="shared" si="122"/>
        <v/>
      </c>
      <c r="CC194" s="16" t="str">
        <f t="shared" si="123"/>
        <v/>
      </c>
      <c r="CD194" s="16" t="str">
        <f t="shared" si="124"/>
        <v/>
      </c>
      <c r="CE194" s="16" t="str">
        <f t="shared" si="125"/>
        <v/>
      </c>
      <c r="CF194" s="16" t="str">
        <f t="shared" si="126"/>
        <v/>
      </c>
      <c r="CG194" s="16" t="str">
        <f t="shared" si="127"/>
        <v/>
      </c>
      <c r="CH194" s="16" t="str">
        <f t="shared" si="128"/>
        <v/>
      </c>
      <c r="CI194" s="16" t="str">
        <f t="shared" si="129"/>
        <v/>
      </c>
      <c r="CJ194" s="16" t="str">
        <f t="shared" si="130"/>
        <v/>
      </c>
      <c r="CK194" s="16" t="str">
        <f t="shared" si="131"/>
        <v/>
      </c>
      <c r="CL194" s="16" t="str">
        <f t="shared" si="132"/>
        <v/>
      </c>
      <c r="CM194" s="16" t="str">
        <f t="shared" si="133"/>
        <v/>
      </c>
      <c r="CN194" s="16" t="str">
        <f t="shared" si="134"/>
        <v/>
      </c>
      <c r="CO194" s="16" t="str">
        <f t="shared" si="135"/>
        <v/>
      </c>
      <c r="CP194" s="16" t="str">
        <f t="shared" si="136"/>
        <v/>
      </c>
      <c r="CQ194" s="16" t="str">
        <f t="shared" si="137"/>
        <v/>
      </c>
      <c r="CR194" s="16" t="str">
        <f t="shared" si="138"/>
        <v/>
      </c>
      <c r="CS194" s="16" t="str">
        <f t="shared" si="139"/>
        <v/>
      </c>
      <c r="CT194" s="16" t="str">
        <f t="shared" si="140"/>
        <v/>
      </c>
    </row>
    <row r="195" spans="1:99" x14ac:dyDescent="0.25">
      <c r="A195" s="13"/>
      <c r="B195" s="14"/>
      <c r="C195" s="15" t="str" cm="1">
        <f t="array" ref="C195">IF(B195="","",INDEX('Exercise list'!$C$5:$C$102,B195))</f>
        <v/>
      </c>
      <c r="D195" s="12" t="str">
        <f t="shared" si="142"/>
        <v/>
      </c>
      <c r="E195" s="107" t="str">
        <f t="shared" si="165"/>
        <v/>
      </c>
      <c r="F195" s="63" t="str" cm="1">
        <f t="array" ref="F195">IF(B195="","",0.1+IFERROR(INDEX($F$6:$F194,SUMPRODUCT(MAX(ROW($C$6:$C194)*($C195=$C$6:$C194))-ROW($A$5)))*0.9^($A195-INDEX($A$6:A194,SUMPRODUCT(MAX(ROW($C$6:$C194)*($C195=$C$6:$C194))-ROW($A$5)))),0))</f>
        <v/>
      </c>
      <c r="G195" s="64" t="e">
        <f>INDEX('Exercise list'!$Y$5:$Y$102,MATCH(C195,'Exercise list'!$C$5:$C$102,0))</f>
        <v>#N/A</v>
      </c>
      <c r="H195" s="115">
        <f t="shared" si="143"/>
        <v>0</v>
      </c>
      <c r="I195" s="6">
        <f t="shared" si="144"/>
        <v>5</v>
      </c>
      <c r="J195" s="6" t="str" cm="1">
        <f t="array" ref="J195">IF(B195="","",INDEX('Exercise list'!$D$5:$D$102,B195))</f>
        <v/>
      </c>
      <c r="K195" s="12"/>
      <c r="L195" s="74" t="str" cm="1">
        <f t="array" ref="L195">IF(K195="","",INDEX('Exercise list'!$C$5:$C$102,K195))</f>
        <v/>
      </c>
      <c r="M195" s="6"/>
      <c r="N195" s="75" t="str" cm="1">
        <f t="array" ref="N195">IF(M195="","",INDEX('Exercise list'!$C$5:$C$102,M195))</f>
        <v/>
      </c>
      <c r="P195">
        <f>IFERROR(INDEX('Exercise list'!$E$5:$X$102,MATCH($C195,'Exercise list'!$C$5:$C$102,0),MATCH(P$5,'Exercise list'!$E$4:$X$4,0)),0)</f>
        <v>0</v>
      </c>
      <c r="Q195">
        <f>IFERROR(INDEX('Exercise list'!$E$5:$X$102,MATCH($C195,'Exercise list'!$C$5:$C$102,0),MATCH(Q$5,'Exercise list'!$E$4:$X$4,0)),0)</f>
        <v>0</v>
      </c>
      <c r="R195">
        <f>IFERROR(INDEX('Exercise list'!$E$5:$X$102,MATCH($C195,'Exercise list'!$C$5:$C$102,0),MATCH(R$5,'Exercise list'!$E$4:$X$4,0)),0)</f>
        <v>0</v>
      </c>
      <c r="S195">
        <f>IFERROR(INDEX('Exercise list'!$E$5:$X$102,MATCH($C195,'Exercise list'!$C$5:$C$102,0),MATCH(S$5,'Exercise list'!$E$4:$X$4,0)),0)</f>
        <v>0</v>
      </c>
      <c r="T195">
        <f>IFERROR(INDEX('Exercise list'!$E$5:$X$102,MATCH($C195,'Exercise list'!$C$5:$C$102,0),MATCH(T$5,'Exercise list'!$E$4:$X$4,0)),0)</f>
        <v>0</v>
      </c>
      <c r="U195">
        <f>IFERROR(INDEX('Exercise list'!$E$5:$X$102,MATCH($C195,'Exercise list'!$C$5:$C$102,0),MATCH(U$5,'Exercise list'!$E$4:$X$4,0)),0)</f>
        <v>0</v>
      </c>
      <c r="V195">
        <f>IFERROR(INDEX('Exercise list'!$E$5:$X$102,MATCH($C195,'Exercise list'!$C$5:$C$102,0),MATCH(V$5,'Exercise list'!$E$4:$X$4,0)),0)</f>
        <v>0</v>
      </c>
      <c r="W195">
        <f>IFERROR(INDEX('Exercise list'!$E$5:$X$102,MATCH($C195,'Exercise list'!$C$5:$C$102,0),MATCH(W$5,'Exercise list'!$E$4:$X$4,0)),0)</f>
        <v>0</v>
      </c>
      <c r="X195">
        <f>IFERROR(INDEX('Exercise list'!$E$5:$X$102,MATCH($C195,'Exercise list'!$C$5:$C$102,0),MATCH(X$5,'Exercise list'!$E$4:$X$4,0)),0)</f>
        <v>0</v>
      </c>
      <c r="Y195">
        <f>IFERROR(INDEX('Exercise list'!$E$5:$X$102,MATCH($C195,'Exercise list'!$C$5:$C$102,0),MATCH(Y$5,'Exercise list'!$E$4:$X$4,0)),0)</f>
        <v>0</v>
      </c>
      <c r="Z195">
        <f>IFERROR(INDEX('Exercise list'!$E$5:$X$102,MATCH($C195,'Exercise list'!$C$5:$C$102,0),MATCH(Z$5,'Exercise list'!$E$4:$X$4,0)),0)</f>
        <v>0</v>
      </c>
      <c r="AA195">
        <f>IFERROR(INDEX('Exercise list'!$E$5:$X$102,MATCH($C195,'Exercise list'!$C$5:$C$102,0),MATCH(AA$5,'Exercise list'!$E$4:$X$4,0)),0)</f>
        <v>0</v>
      </c>
      <c r="AB195">
        <f>IFERROR(INDEX('Exercise list'!$E$5:$X$102,MATCH($C195,'Exercise list'!$C$5:$C$102,0),MATCH(AB$5,'Exercise list'!$E$4:$X$4,0)),0)</f>
        <v>0</v>
      </c>
      <c r="AC195">
        <f>IFERROR(INDEX('Exercise list'!$E$5:$X$102,MATCH($C195,'Exercise list'!$C$5:$C$102,0),MATCH(AC$5,'Exercise list'!$E$4:$X$4,0)),0)</f>
        <v>0</v>
      </c>
      <c r="AD195">
        <f>IFERROR(INDEX('Exercise list'!$E$5:$X$102,MATCH($C195,'Exercise list'!$C$5:$C$102,0),MATCH(AD$5,'Exercise list'!$E$4:$X$4,0)),0)</f>
        <v>0</v>
      </c>
      <c r="AE195">
        <f>IFERROR(INDEX('Exercise list'!$E$5:$X$102,MATCH($C195,'Exercise list'!$C$5:$C$102,0),MATCH(AE$5,'Exercise list'!$E$4:$X$4,0)),0)</f>
        <v>0</v>
      </c>
      <c r="AF195">
        <f>IFERROR(INDEX('Exercise list'!$E$5:$X$102,MATCH($C195,'Exercise list'!$C$5:$C$102,0),MATCH(AF$5,'Exercise list'!$E$4:$X$4,0)),0)</f>
        <v>0</v>
      </c>
      <c r="AG195">
        <f>IFERROR(INDEX('Exercise list'!$E$5:$X$102,MATCH($C195,'Exercise list'!$C$5:$C$102,0),MATCH(AG$5,'Exercise list'!$E$4:$X$4,0)),0)</f>
        <v>0</v>
      </c>
      <c r="AH195">
        <f>IFERROR(INDEX('Exercise list'!$E$5:$X$102,MATCH($C195,'Exercise list'!$C$5:$C$102,0),MATCH(AH$5,'Exercise list'!$E$4:$X$4,0)),0)</f>
        <v>0</v>
      </c>
      <c r="AI195">
        <f>IFERROR(INDEX('Exercise list'!$E$5:$X$102,MATCH($C195,'Exercise list'!$C$5:$C$102,0),MATCH(AI$5,'Exercise list'!$E$4:$X$4,0)),0)</f>
        <v>0</v>
      </c>
      <c r="AK195">
        <f>IF(OR($J195=1,COUNTIFS($A$5:$A194,"&gt;="&amp;$A195-1,$A$5:$A194,"&lt;="&amp;$A195,$B$5:$B194,$B195)&gt;0,MIN(1-'Exercise list'!E$2,IF($A195=$A194,AK194,1))-P195&lt;0),-1,MIN(1,IF($A195=$A194,AK194,1)-P195+$D$2))</f>
        <v>1</v>
      </c>
      <c r="AL195">
        <f>IF(OR($J195=1,COUNTIFS($A$5:$A194,"&gt;="&amp;$A195-1,$A$5:$A194,"&lt;="&amp;$A195,$B$5:$B194,$B195)&gt;0,MIN(1-'Exercise list'!F$2,IF($A195=$A194,AL194,1))-Q195&lt;0),-1,MIN(1,IF($A195=$A194,AL194,1)-Q195+$D$2))</f>
        <v>1</v>
      </c>
      <c r="AM195">
        <f>IF(OR($J195=1,COUNTIFS($A$5:$A194,"&gt;="&amp;$A195-1,$A$5:$A194,"&lt;="&amp;$A195,$B$5:$B194,$B195)&gt;0,MIN(1-'Exercise list'!G$2,IF($A195=$A194,AM194,1))-R195&lt;0),-1,MIN(1,IF($A195=$A194,AM194,1)-R195+$D$2))</f>
        <v>1</v>
      </c>
      <c r="AN195">
        <f>IF(OR($J195=1,COUNTIFS($A$5:$A194,"&gt;="&amp;$A195-1,$A$5:$A194,"&lt;="&amp;$A195,$B$5:$B194,$B195)&gt;0,MIN(1-'Exercise list'!H$2,IF($A195=$A194,AN194,1))-S195&lt;0),-1,MIN(1,IF($A195=$A194,AN194,1)-S195+$D$2))</f>
        <v>1</v>
      </c>
      <c r="AO195">
        <f>IF(OR($J195=1,COUNTIFS($A$5:$A194,"&gt;="&amp;$A195-1,$A$5:$A194,"&lt;="&amp;$A195,$B$5:$B194,$B195)&gt;0,MIN(1-'Exercise list'!I$2,IF($A195=$A194,AO194,1))-T195&lt;0),-1,MIN(1,IF($A195=$A194,AO194,1)-T195+$D$2))</f>
        <v>1</v>
      </c>
      <c r="AP195">
        <f>IF(OR($J195=1,COUNTIFS($A$5:$A194,"&gt;="&amp;$A195-1,$A$5:$A194,"&lt;="&amp;$A195,$B$5:$B194,$B195)&gt;0,MIN(1-'Exercise list'!J$2,IF($A195=$A194,AP194,1))-U195&lt;0),-1,MIN(1,IF($A195=$A194,AP194,1)-U195+$D$2))</f>
        <v>1</v>
      </c>
      <c r="AQ195">
        <f>IF(OR($J195=1,COUNTIFS($A$5:$A194,"&gt;="&amp;$A195-1,$A$5:$A194,"&lt;="&amp;$A195,$B$5:$B194,$B195)&gt;0,MIN(1-'Exercise list'!K$2,IF($A195=$A194,AQ194,1))-V195&lt;0),-1,MIN(1,IF($A195=$A194,AQ194,1)-V195+$D$2))</f>
        <v>1</v>
      </c>
      <c r="AR195">
        <f>IF(OR($J195=1,COUNTIFS($A$5:$A194,"&gt;="&amp;$A195-1,$A$5:$A194,"&lt;="&amp;$A195,$B$5:$B194,$B195)&gt;0,MIN(1-'Exercise list'!L$2,IF($A195=$A194,AR194,1))-W195&lt;0),-1,MIN(1,IF($A195=$A194,AR194,1)-W195+$D$2))</f>
        <v>1</v>
      </c>
      <c r="AS195">
        <f>IF(OR($J195=1,COUNTIFS($A$5:$A194,"&gt;="&amp;$A195-1,$A$5:$A194,"&lt;="&amp;$A195,$B$5:$B194,$B195)&gt;0,MIN(1-'Exercise list'!M$2,IF($A195=$A194,AS194,1))-X195&lt;0),-1,MIN(1,IF($A195=$A194,AS194,1)-X195+$D$2))</f>
        <v>1</v>
      </c>
      <c r="AT195">
        <f>IF(OR($J195=1,COUNTIFS($A$5:$A194,"&gt;="&amp;$A195-1,$A$5:$A194,"&lt;="&amp;$A195,$B$5:$B194,$B195)&gt;0,MIN(1-'Exercise list'!N$2,IF($A195=$A194,AT194,1))-Y195&lt;0),-1,MIN(1,IF($A195=$A194,AT194,1)-Y195+$D$2))</f>
        <v>1</v>
      </c>
      <c r="AU195">
        <f>IF(OR($J195=1,COUNTIFS($A$5:$A194,"&gt;="&amp;$A195-1,$A$5:$A194,"&lt;="&amp;$A195,$B$5:$B194,$B195)&gt;0,MIN(1-'Exercise list'!O$2,IF($A195=$A194,AU194,1))-Z195&lt;0),-1,MIN(1,IF($A195=$A194,AU194,1)-Z195+$D$2))</f>
        <v>1</v>
      </c>
      <c r="AV195">
        <f>IF(OR($J195=1,COUNTIFS($A$5:$A194,"&gt;="&amp;$A195-1,$A$5:$A194,"&lt;="&amp;$A195,$B$5:$B194,$B195)&gt;0,MIN(1-'Exercise list'!P$2,IF($A195=$A194,AV194,1))-AA195&lt;0),-1,MIN(1,IF($A195=$A194,AV194,1)-AA195+$D$2))</f>
        <v>1</v>
      </c>
      <c r="AW195">
        <f>IF(OR($J195=1,COUNTIFS($A$5:$A194,"&gt;="&amp;$A195-1,$A$5:$A194,"&lt;="&amp;$A195,$B$5:$B194,$B195)&gt;0,MIN(1-'Exercise list'!Q$2,IF($A195=$A194,AW194,1))-AB195&lt;0),-1,MIN(1,IF($A195=$A194,AW194,1)-AB195+$D$2))</f>
        <v>1</v>
      </c>
      <c r="AX195">
        <f>IF(OR($J195=1,COUNTIFS($A$5:$A194,"&gt;="&amp;$A195-1,$A$5:$A194,"&lt;="&amp;$A195,$B$5:$B194,$B195)&gt;0,MIN(1-'Exercise list'!R$2,IF($A195=$A194,AX194,1))-AC195&lt;0),-1,MIN(1,IF($A195=$A194,AX194,1)-AC195+$D$2))</f>
        <v>1</v>
      </c>
      <c r="AY195">
        <f>IF(OR($J195=1,COUNTIFS($A$5:$A194,"&gt;="&amp;$A195-1,$A$5:$A194,"&lt;="&amp;$A195,$B$5:$B194,$B195)&gt;0,MIN(1-'Exercise list'!S$2,IF($A195=$A194,AY194,1))-AD195&lt;0),-1,MIN(1,IF($A195=$A194,AY194,1)-AD195+$D$2))</f>
        <v>1</v>
      </c>
      <c r="AZ195">
        <f>IF(OR($J195=1,COUNTIFS($A$5:$A194,"&gt;="&amp;$A195-1,$A$5:$A194,"&lt;="&amp;$A195,$B$5:$B194,$B195)&gt;0,MIN(1-'Exercise list'!T$2,IF($A195=$A194,AZ194,1))-AE195&lt;0),-1,MIN(1,IF($A195=$A194,AZ194,1)-AE195+$D$2))</f>
        <v>1</v>
      </c>
      <c r="BA195">
        <f>IF(OR($J195=1,COUNTIFS($A$5:$A194,"&gt;="&amp;$A195-1,$A$5:$A194,"&lt;="&amp;$A195,$B$5:$B194,$B195)&gt;0,MIN(1-'Exercise list'!U$2,IF($A195=$A194,BA194,1))-AF195&lt;0),-1,MIN(1,IF($A195=$A194,BA194,1)-AF195+$D$2))</f>
        <v>1</v>
      </c>
      <c r="BB195">
        <f>IF(OR($J195=1,COUNTIFS($A$5:$A194,"&gt;="&amp;$A195-1,$A$5:$A194,"&lt;="&amp;$A195,$B$5:$B194,$B195)&gt;0,MIN(1-'Exercise list'!V$2,IF($A195=$A194,BB194,1))-AG195&lt;0),-1,MIN(1,IF($A195=$A194,BB194,1)-AG195+$D$2))</f>
        <v>1</v>
      </c>
      <c r="BC195">
        <f>IF(OR($J195=1,COUNTIFS($A$5:$A194,"&gt;="&amp;$A195-1,$A$5:$A194,"&lt;="&amp;$A195,$B$5:$B194,$B195)&gt;0,MIN(1-'Exercise list'!W$2,IF($A195=$A194,BC194,1))-AH195&lt;0),-1,MIN(1,IF($A195=$A194,BC194,1)-AH195+$D$2))</f>
        <v>1</v>
      </c>
      <c r="BD195">
        <f>IF(OR($J195=1,COUNTIFS($A$5:$A194,"&gt;="&amp;$A195-1,$A$5:$A194,"&lt;="&amp;$A195,$B$5:$B194,$B195)&gt;0,MIN(1-'Exercise list'!X$2,IF($A195=$A194,BD194,1))-AI195&lt;0),-1,MIN(1,IF($A195=$A194,BD194,1)-AI195+$D$2))</f>
        <v>1</v>
      </c>
      <c r="BF195" s="16">
        <f t="shared" si="145"/>
        <v>0.19596031081758858</v>
      </c>
      <c r="BG195" s="16">
        <f t="shared" si="146"/>
        <v>0.21844636935459236</v>
      </c>
      <c r="BH195" s="16">
        <f t="shared" si="147"/>
        <v>0.14609696635987124</v>
      </c>
      <c r="BI195" s="16">
        <f t="shared" si="148"/>
        <v>0.13198015366034541</v>
      </c>
      <c r="BJ195" s="16">
        <f t="shared" si="149"/>
        <v>8.3367914198418713E-2</v>
      </c>
      <c r="BK195" s="16">
        <f t="shared" si="150"/>
        <v>0.10640640223148412</v>
      </c>
      <c r="BL195" s="16">
        <f t="shared" si="151"/>
        <v>0.21963504743569431</v>
      </c>
      <c r="BM195" s="16">
        <f t="shared" si="152"/>
        <v>3.8988008374820568E-3</v>
      </c>
      <c r="BN195" s="16">
        <f t="shared" si="153"/>
        <v>0.14537706087090876</v>
      </c>
      <c r="BO195" s="16">
        <f t="shared" si="154"/>
        <v>0.29209790661993401</v>
      </c>
      <c r="BP195" s="16">
        <f t="shared" si="155"/>
        <v>0.31584545163401867</v>
      </c>
      <c r="BQ195" s="16">
        <f t="shared" si="156"/>
        <v>0.1000007994126096</v>
      </c>
      <c r="BR195" s="16">
        <f t="shared" si="157"/>
        <v>0.13164487759885393</v>
      </c>
      <c r="BS195" s="16">
        <f t="shared" si="158"/>
        <v>2.9803550189863123E-2</v>
      </c>
      <c r="BT195" s="16">
        <f t="shared" si="159"/>
        <v>0.13492040904978705</v>
      </c>
      <c r="BU195" s="16">
        <f t="shared" si="160"/>
        <v>0.11703687414398131</v>
      </c>
      <c r="BV195" s="16">
        <f t="shared" si="161"/>
        <v>0.14633353213781661</v>
      </c>
      <c r="BW195" s="16">
        <f t="shared" si="162"/>
        <v>7.5588015111767173E-2</v>
      </c>
      <c r="BX195" s="16">
        <f t="shared" si="163"/>
        <v>8.0345659937185704E-2</v>
      </c>
      <c r="BY195" s="16">
        <f t="shared" si="164"/>
        <v>5.9014643151272549E-2</v>
      </c>
      <c r="CA195" s="16" t="str">
        <f t="shared" si="141"/>
        <v/>
      </c>
      <c r="CB195" s="16" t="str">
        <f t="shared" si="122"/>
        <v/>
      </c>
      <c r="CC195" s="16" t="str">
        <f t="shared" si="123"/>
        <v/>
      </c>
      <c r="CD195" s="16" t="str">
        <f t="shared" si="124"/>
        <v/>
      </c>
      <c r="CE195" s="16" t="str">
        <f t="shared" si="125"/>
        <v/>
      </c>
      <c r="CF195" s="16" t="str">
        <f t="shared" si="126"/>
        <v/>
      </c>
      <c r="CG195" s="16" t="str">
        <f t="shared" si="127"/>
        <v/>
      </c>
      <c r="CH195" s="16" t="str">
        <f t="shared" si="128"/>
        <v/>
      </c>
      <c r="CI195" s="16" t="str">
        <f t="shared" si="129"/>
        <v/>
      </c>
      <c r="CJ195" s="16" t="str">
        <f t="shared" si="130"/>
        <v/>
      </c>
      <c r="CK195" s="16" t="str">
        <f t="shared" si="131"/>
        <v/>
      </c>
      <c r="CL195" s="16" t="str">
        <f t="shared" si="132"/>
        <v/>
      </c>
      <c r="CM195" s="16" t="str">
        <f t="shared" si="133"/>
        <v/>
      </c>
      <c r="CN195" s="16" t="str">
        <f t="shared" si="134"/>
        <v/>
      </c>
      <c r="CO195" s="16" t="str">
        <f t="shared" si="135"/>
        <v/>
      </c>
      <c r="CP195" s="16" t="str">
        <f t="shared" si="136"/>
        <v/>
      </c>
      <c r="CQ195" s="16" t="str">
        <f t="shared" si="137"/>
        <v/>
      </c>
      <c r="CR195" s="16" t="str">
        <f t="shared" si="138"/>
        <v/>
      </c>
      <c r="CS195" s="16" t="str">
        <f t="shared" si="139"/>
        <v/>
      </c>
      <c r="CT195" s="16" t="str">
        <f t="shared" si="140"/>
        <v/>
      </c>
    </row>
    <row r="196" spans="1:99" x14ac:dyDescent="0.25">
      <c r="A196" s="13"/>
      <c r="B196" s="14"/>
      <c r="C196" s="15" t="str" cm="1">
        <f t="array" ref="C196">IF(B196="","",INDEX('Exercise list'!$C$5:$C$102,B196))</f>
        <v/>
      </c>
      <c r="D196" s="12" t="str">
        <f t="shared" si="142"/>
        <v/>
      </c>
      <c r="E196" s="107" t="str">
        <f t="shared" si="165"/>
        <v/>
      </c>
      <c r="F196" s="63" t="str" cm="1">
        <f t="array" ref="F196">IF(B196="","",0.1+IFERROR(INDEX($F$6:$F195,SUMPRODUCT(MAX(ROW($C$6:$C195)*($C196=$C$6:$C195))-ROW($A$5)))*0.9^($A196-INDEX($A$6:A195,SUMPRODUCT(MAX(ROW($C$6:$C195)*($C196=$C$6:$C195))-ROW($A$5)))),0))</f>
        <v/>
      </c>
      <c r="G196" s="64" t="e">
        <f>INDEX('Exercise list'!$Y$5:$Y$102,MATCH(C196,'Exercise list'!$C$5:$C$102,0))</f>
        <v>#N/A</v>
      </c>
      <c r="H196" s="115">
        <f t="shared" si="143"/>
        <v>0</v>
      </c>
      <c r="I196" s="6">
        <f t="shared" si="144"/>
        <v>5</v>
      </c>
      <c r="J196" s="6" t="str" cm="1">
        <f t="array" ref="J196">IF(B196="","",INDEX('Exercise list'!$D$5:$D$102,B196))</f>
        <v/>
      </c>
      <c r="K196" s="12"/>
      <c r="L196" s="74" t="str" cm="1">
        <f t="array" ref="L196">IF(K196="","",INDEX('Exercise list'!$C$5:$C$102,K196))</f>
        <v/>
      </c>
      <c r="M196" s="6"/>
      <c r="N196" s="75" t="str" cm="1">
        <f t="array" ref="N196">IF(M196="","",INDEX('Exercise list'!$C$5:$C$102,M196))</f>
        <v/>
      </c>
      <c r="P196">
        <f>IFERROR(INDEX('Exercise list'!$E$5:$X$102,MATCH($C196,'Exercise list'!$C$5:$C$102,0),MATCH(P$5,'Exercise list'!$E$4:$X$4,0)),0)</f>
        <v>0</v>
      </c>
      <c r="Q196">
        <f>IFERROR(INDEX('Exercise list'!$E$5:$X$102,MATCH($C196,'Exercise list'!$C$5:$C$102,0),MATCH(Q$5,'Exercise list'!$E$4:$X$4,0)),0)</f>
        <v>0</v>
      </c>
      <c r="R196">
        <f>IFERROR(INDEX('Exercise list'!$E$5:$X$102,MATCH($C196,'Exercise list'!$C$5:$C$102,0),MATCH(R$5,'Exercise list'!$E$4:$X$4,0)),0)</f>
        <v>0</v>
      </c>
      <c r="S196">
        <f>IFERROR(INDEX('Exercise list'!$E$5:$X$102,MATCH($C196,'Exercise list'!$C$5:$C$102,0),MATCH(S$5,'Exercise list'!$E$4:$X$4,0)),0)</f>
        <v>0</v>
      </c>
      <c r="T196">
        <f>IFERROR(INDEX('Exercise list'!$E$5:$X$102,MATCH($C196,'Exercise list'!$C$5:$C$102,0),MATCH(T$5,'Exercise list'!$E$4:$X$4,0)),0)</f>
        <v>0</v>
      </c>
      <c r="U196">
        <f>IFERROR(INDEX('Exercise list'!$E$5:$X$102,MATCH($C196,'Exercise list'!$C$5:$C$102,0),MATCH(U$5,'Exercise list'!$E$4:$X$4,0)),0)</f>
        <v>0</v>
      </c>
      <c r="V196">
        <f>IFERROR(INDEX('Exercise list'!$E$5:$X$102,MATCH($C196,'Exercise list'!$C$5:$C$102,0),MATCH(V$5,'Exercise list'!$E$4:$X$4,0)),0)</f>
        <v>0</v>
      </c>
      <c r="W196">
        <f>IFERROR(INDEX('Exercise list'!$E$5:$X$102,MATCH($C196,'Exercise list'!$C$5:$C$102,0),MATCH(W$5,'Exercise list'!$E$4:$X$4,0)),0)</f>
        <v>0</v>
      </c>
      <c r="X196">
        <f>IFERROR(INDEX('Exercise list'!$E$5:$X$102,MATCH($C196,'Exercise list'!$C$5:$C$102,0),MATCH(X$5,'Exercise list'!$E$4:$X$4,0)),0)</f>
        <v>0</v>
      </c>
      <c r="Y196">
        <f>IFERROR(INDEX('Exercise list'!$E$5:$X$102,MATCH($C196,'Exercise list'!$C$5:$C$102,0),MATCH(Y$5,'Exercise list'!$E$4:$X$4,0)),0)</f>
        <v>0</v>
      </c>
      <c r="Z196">
        <f>IFERROR(INDEX('Exercise list'!$E$5:$X$102,MATCH($C196,'Exercise list'!$C$5:$C$102,0),MATCH(Z$5,'Exercise list'!$E$4:$X$4,0)),0)</f>
        <v>0</v>
      </c>
      <c r="AA196">
        <f>IFERROR(INDEX('Exercise list'!$E$5:$X$102,MATCH($C196,'Exercise list'!$C$5:$C$102,0),MATCH(AA$5,'Exercise list'!$E$4:$X$4,0)),0)</f>
        <v>0</v>
      </c>
      <c r="AB196">
        <f>IFERROR(INDEX('Exercise list'!$E$5:$X$102,MATCH($C196,'Exercise list'!$C$5:$C$102,0),MATCH(AB$5,'Exercise list'!$E$4:$X$4,0)),0)</f>
        <v>0</v>
      </c>
      <c r="AC196">
        <f>IFERROR(INDEX('Exercise list'!$E$5:$X$102,MATCH($C196,'Exercise list'!$C$5:$C$102,0),MATCH(AC$5,'Exercise list'!$E$4:$X$4,0)),0)</f>
        <v>0</v>
      </c>
      <c r="AD196">
        <f>IFERROR(INDEX('Exercise list'!$E$5:$X$102,MATCH($C196,'Exercise list'!$C$5:$C$102,0),MATCH(AD$5,'Exercise list'!$E$4:$X$4,0)),0)</f>
        <v>0</v>
      </c>
      <c r="AE196">
        <f>IFERROR(INDEX('Exercise list'!$E$5:$X$102,MATCH($C196,'Exercise list'!$C$5:$C$102,0),MATCH(AE$5,'Exercise list'!$E$4:$X$4,0)),0)</f>
        <v>0</v>
      </c>
      <c r="AF196">
        <f>IFERROR(INDEX('Exercise list'!$E$5:$X$102,MATCH($C196,'Exercise list'!$C$5:$C$102,0),MATCH(AF$5,'Exercise list'!$E$4:$X$4,0)),0)</f>
        <v>0</v>
      </c>
      <c r="AG196">
        <f>IFERROR(INDEX('Exercise list'!$E$5:$X$102,MATCH($C196,'Exercise list'!$C$5:$C$102,0),MATCH(AG$5,'Exercise list'!$E$4:$X$4,0)),0)</f>
        <v>0</v>
      </c>
      <c r="AH196">
        <f>IFERROR(INDEX('Exercise list'!$E$5:$X$102,MATCH($C196,'Exercise list'!$C$5:$C$102,0),MATCH(AH$5,'Exercise list'!$E$4:$X$4,0)),0)</f>
        <v>0</v>
      </c>
      <c r="AI196">
        <f>IFERROR(INDEX('Exercise list'!$E$5:$X$102,MATCH($C196,'Exercise list'!$C$5:$C$102,0),MATCH(AI$5,'Exercise list'!$E$4:$X$4,0)),0)</f>
        <v>0</v>
      </c>
      <c r="AK196">
        <f>IF(OR($J196=1,COUNTIFS($A$5:$A195,"&gt;="&amp;$A196-1,$A$5:$A195,"&lt;="&amp;$A196,$B$5:$B195,$B196)&gt;0,MIN(1-'Exercise list'!E$2,IF($A196=$A195,AK195,1))-P196&lt;0),-1,MIN(1,IF($A196=$A195,AK195,1)-P196+$D$2))</f>
        <v>1</v>
      </c>
      <c r="AL196">
        <f>IF(OR($J196=1,COUNTIFS($A$5:$A195,"&gt;="&amp;$A196-1,$A$5:$A195,"&lt;="&amp;$A196,$B$5:$B195,$B196)&gt;0,MIN(1-'Exercise list'!F$2,IF($A196=$A195,AL195,1))-Q196&lt;0),-1,MIN(1,IF($A196=$A195,AL195,1)-Q196+$D$2))</f>
        <v>1</v>
      </c>
      <c r="AM196">
        <f>IF(OR($J196=1,COUNTIFS($A$5:$A195,"&gt;="&amp;$A196-1,$A$5:$A195,"&lt;="&amp;$A196,$B$5:$B195,$B196)&gt;0,MIN(1-'Exercise list'!G$2,IF($A196=$A195,AM195,1))-R196&lt;0),-1,MIN(1,IF($A196=$A195,AM195,1)-R196+$D$2))</f>
        <v>1</v>
      </c>
      <c r="AN196">
        <f>IF(OR($J196=1,COUNTIFS($A$5:$A195,"&gt;="&amp;$A196-1,$A$5:$A195,"&lt;="&amp;$A196,$B$5:$B195,$B196)&gt;0,MIN(1-'Exercise list'!H$2,IF($A196=$A195,AN195,1))-S196&lt;0),-1,MIN(1,IF($A196=$A195,AN195,1)-S196+$D$2))</f>
        <v>1</v>
      </c>
      <c r="AO196">
        <f>IF(OR($J196=1,COUNTIFS($A$5:$A195,"&gt;="&amp;$A196-1,$A$5:$A195,"&lt;="&amp;$A196,$B$5:$B195,$B196)&gt;0,MIN(1-'Exercise list'!I$2,IF($A196=$A195,AO195,1))-T196&lt;0),-1,MIN(1,IF($A196=$A195,AO195,1)-T196+$D$2))</f>
        <v>1</v>
      </c>
      <c r="AP196">
        <f>IF(OR($J196=1,COUNTIFS($A$5:$A195,"&gt;="&amp;$A196-1,$A$5:$A195,"&lt;="&amp;$A196,$B$5:$B195,$B196)&gt;0,MIN(1-'Exercise list'!J$2,IF($A196=$A195,AP195,1))-U196&lt;0),-1,MIN(1,IF($A196=$A195,AP195,1)-U196+$D$2))</f>
        <v>1</v>
      </c>
      <c r="AQ196">
        <f>IF(OR($J196=1,COUNTIFS($A$5:$A195,"&gt;="&amp;$A196-1,$A$5:$A195,"&lt;="&amp;$A196,$B$5:$B195,$B196)&gt;0,MIN(1-'Exercise list'!K$2,IF($A196=$A195,AQ195,1))-V196&lt;0),-1,MIN(1,IF($A196=$A195,AQ195,1)-V196+$D$2))</f>
        <v>1</v>
      </c>
      <c r="AR196">
        <f>IF(OR($J196=1,COUNTIFS($A$5:$A195,"&gt;="&amp;$A196-1,$A$5:$A195,"&lt;="&amp;$A196,$B$5:$B195,$B196)&gt;0,MIN(1-'Exercise list'!L$2,IF($A196=$A195,AR195,1))-W196&lt;0),-1,MIN(1,IF($A196=$A195,AR195,1)-W196+$D$2))</f>
        <v>1</v>
      </c>
      <c r="AS196">
        <f>IF(OR($J196=1,COUNTIFS($A$5:$A195,"&gt;="&amp;$A196-1,$A$5:$A195,"&lt;="&amp;$A196,$B$5:$B195,$B196)&gt;0,MIN(1-'Exercise list'!M$2,IF($A196=$A195,AS195,1))-X196&lt;0),-1,MIN(1,IF($A196=$A195,AS195,1)-X196+$D$2))</f>
        <v>1</v>
      </c>
      <c r="AT196">
        <f>IF(OR($J196=1,COUNTIFS($A$5:$A195,"&gt;="&amp;$A196-1,$A$5:$A195,"&lt;="&amp;$A196,$B$5:$B195,$B196)&gt;0,MIN(1-'Exercise list'!N$2,IF($A196=$A195,AT195,1))-Y196&lt;0),-1,MIN(1,IF($A196=$A195,AT195,1)-Y196+$D$2))</f>
        <v>1</v>
      </c>
      <c r="AU196">
        <f>IF(OR($J196=1,COUNTIFS($A$5:$A195,"&gt;="&amp;$A196-1,$A$5:$A195,"&lt;="&amp;$A196,$B$5:$B195,$B196)&gt;0,MIN(1-'Exercise list'!O$2,IF($A196=$A195,AU195,1))-Z196&lt;0),-1,MIN(1,IF($A196=$A195,AU195,1)-Z196+$D$2))</f>
        <v>1</v>
      </c>
      <c r="AV196">
        <f>IF(OR($J196=1,COUNTIFS($A$5:$A195,"&gt;="&amp;$A196-1,$A$5:$A195,"&lt;="&amp;$A196,$B$5:$B195,$B196)&gt;0,MIN(1-'Exercise list'!P$2,IF($A196=$A195,AV195,1))-AA196&lt;0),-1,MIN(1,IF($A196=$A195,AV195,1)-AA196+$D$2))</f>
        <v>1</v>
      </c>
      <c r="AW196">
        <f>IF(OR($J196=1,COUNTIFS($A$5:$A195,"&gt;="&amp;$A196-1,$A$5:$A195,"&lt;="&amp;$A196,$B$5:$B195,$B196)&gt;0,MIN(1-'Exercise list'!Q$2,IF($A196=$A195,AW195,1))-AB196&lt;0),-1,MIN(1,IF($A196=$A195,AW195,1)-AB196+$D$2))</f>
        <v>1</v>
      </c>
      <c r="AX196">
        <f>IF(OR($J196=1,COUNTIFS($A$5:$A195,"&gt;="&amp;$A196-1,$A$5:$A195,"&lt;="&amp;$A196,$B$5:$B195,$B196)&gt;0,MIN(1-'Exercise list'!R$2,IF($A196=$A195,AX195,1))-AC196&lt;0),-1,MIN(1,IF($A196=$A195,AX195,1)-AC196+$D$2))</f>
        <v>1</v>
      </c>
      <c r="AY196">
        <f>IF(OR($J196=1,COUNTIFS($A$5:$A195,"&gt;="&amp;$A196-1,$A$5:$A195,"&lt;="&amp;$A196,$B$5:$B195,$B196)&gt;0,MIN(1-'Exercise list'!S$2,IF($A196=$A195,AY195,1))-AD196&lt;0),-1,MIN(1,IF($A196=$A195,AY195,1)-AD196+$D$2))</f>
        <v>1</v>
      </c>
      <c r="AZ196">
        <f>IF(OR($J196=1,COUNTIFS($A$5:$A195,"&gt;="&amp;$A196-1,$A$5:$A195,"&lt;="&amp;$A196,$B$5:$B195,$B196)&gt;0,MIN(1-'Exercise list'!T$2,IF($A196=$A195,AZ195,1))-AE196&lt;0),-1,MIN(1,IF($A196=$A195,AZ195,1)-AE196+$D$2))</f>
        <v>1</v>
      </c>
      <c r="BA196">
        <f>IF(OR($J196=1,COUNTIFS($A$5:$A195,"&gt;="&amp;$A196-1,$A$5:$A195,"&lt;="&amp;$A196,$B$5:$B195,$B196)&gt;0,MIN(1-'Exercise list'!U$2,IF($A196=$A195,BA195,1))-AF196&lt;0),-1,MIN(1,IF($A196=$A195,BA195,1)-AF196+$D$2))</f>
        <v>1</v>
      </c>
      <c r="BB196">
        <f>IF(OR($J196=1,COUNTIFS($A$5:$A195,"&gt;="&amp;$A196-1,$A$5:$A195,"&lt;="&amp;$A196,$B$5:$B195,$B196)&gt;0,MIN(1-'Exercise list'!V$2,IF($A196=$A195,BB195,1))-AG196&lt;0),-1,MIN(1,IF($A196=$A195,BB195,1)-AG196+$D$2))</f>
        <v>1</v>
      </c>
      <c r="BC196">
        <f>IF(OR($J196=1,COUNTIFS($A$5:$A195,"&gt;="&amp;$A196-1,$A$5:$A195,"&lt;="&amp;$A196,$B$5:$B195,$B196)&gt;0,MIN(1-'Exercise list'!W$2,IF($A196=$A195,BC195,1))-AH196&lt;0),-1,MIN(1,IF($A196=$A195,BC195,1)-AH196+$D$2))</f>
        <v>1</v>
      </c>
      <c r="BD196">
        <f>IF(OR($J196=1,COUNTIFS($A$5:$A195,"&gt;="&amp;$A196-1,$A$5:$A195,"&lt;="&amp;$A196,$B$5:$B195,$B196)&gt;0,MIN(1-'Exercise list'!X$2,IF($A196=$A195,BD195,1))-AI196&lt;0),-1,MIN(1,IF($A196=$A195,BD195,1)-AI196+$D$2))</f>
        <v>1</v>
      </c>
      <c r="BF196" s="16">
        <f t="shared" si="145"/>
        <v>0.19596031081758858</v>
      </c>
      <c r="BG196" s="16">
        <f t="shared" si="146"/>
        <v>0.21844636935459236</v>
      </c>
      <c r="BH196" s="16">
        <f t="shared" si="147"/>
        <v>0.14609696635987124</v>
      </c>
      <c r="BI196" s="16">
        <f t="shared" si="148"/>
        <v>0.13198015366034541</v>
      </c>
      <c r="BJ196" s="16">
        <f t="shared" si="149"/>
        <v>8.3367914198418713E-2</v>
      </c>
      <c r="BK196" s="16">
        <f t="shared" si="150"/>
        <v>0.10640640223148412</v>
      </c>
      <c r="BL196" s="16">
        <f t="shared" si="151"/>
        <v>0.21963504743569431</v>
      </c>
      <c r="BM196" s="16">
        <f t="shared" si="152"/>
        <v>3.8988008374820568E-3</v>
      </c>
      <c r="BN196" s="16">
        <f t="shared" si="153"/>
        <v>0.14537706087090876</v>
      </c>
      <c r="BO196" s="16">
        <f t="shared" si="154"/>
        <v>0.29209790661993401</v>
      </c>
      <c r="BP196" s="16">
        <f t="shared" si="155"/>
        <v>0.31584545163401867</v>
      </c>
      <c r="BQ196" s="16">
        <f t="shared" si="156"/>
        <v>0.1000007994126096</v>
      </c>
      <c r="BR196" s="16">
        <f t="shared" si="157"/>
        <v>0.13164487759885393</v>
      </c>
      <c r="BS196" s="16">
        <f t="shared" si="158"/>
        <v>2.9803550189863123E-2</v>
      </c>
      <c r="BT196" s="16">
        <f t="shared" si="159"/>
        <v>0.13492040904978705</v>
      </c>
      <c r="BU196" s="16">
        <f t="shared" si="160"/>
        <v>0.11703687414398131</v>
      </c>
      <c r="BV196" s="16">
        <f t="shared" si="161"/>
        <v>0.14633353213781661</v>
      </c>
      <c r="BW196" s="16">
        <f t="shared" si="162"/>
        <v>7.5588015111767173E-2</v>
      </c>
      <c r="BX196" s="16">
        <f t="shared" si="163"/>
        <v>8.0345659937185704E-2</v>
      </c>
      <c r="BY196" s="16">
        <f t="shared" si="164"/>
        <v>5.9014643151272549E-2</v>
      </c>
      <c r="CA196" s="16" t="str">
        <f t="shared" si="141"/>
        <v/>
      </c>
      <c r="CB196" s="16" t="str">
        <f t="shared" si="122"/>
        <v/>
      </c>
      <c r="CC196" s="16" t="str">
        <f t="shared" si="123"/>
        <v/>
      </c>
      <c r="CD196" s="16" t="str">
        <f t="shared" si="124"/>
        <v/>
      </c>
      <c r="CE196" s="16" t="str">
        <f t="shared" si="125"/>
        <v/>
      </c>
      <c r="CF196" s="16" t="str">
        <f t="shared" si="126"/>
        <v/>
      </c>
      <c r="CG196" s="16" t="str">
        <f t="shared" si="127"/>
        <v/>
      </c>
      <c r="CH196" s="16" t="str">
        <f t="shared" si="128"/>
        <v/>
      </c>
      <c r="CI196" s="16" t="str">
        <f t="shared" si="129"/>
        <v/>
      </c>
      <c r="CJ196" s="16" t="str">
        <f t="shared" si="130"/>
        <v/>
      </c>
      <c r="CK196" s="16" t="str">
        <f t="shared" si="131"/>
        <v/>
      </c>
      <c r="CL196" s="16" t="str">
        <f t="shared" si="132"/>
        <v/>
      </c>
      <c r="CM196" s="16" t="str">
        <f t="shared" si="133"/>
        <v/>
      </c>
      <c r="CN196" s="16" t="str">
        <f t="shared" si="134"/>
        <v/>
      </c>
      <c r="CO196" s="16" t="str">
        <f t="shared" si="135"/>
        <v/>
      </c>
      <c r="CP196" s="16" t="str">
        <f t="shared" si="136"/>
        <v/>
      </c>
      <c r="CQ196" s="16" t="str">
        <f t="shared" si="137"/>
        <v/>
      </c>
      <c r="CR196" s="16" t="str">
        <f t="shared" si="138"/>
        <v/>
      </c>
      <c r="CS196" s="16" t="str">
        <f t="shared" si="139"/>
        <v/>
      </c>
      <c r="CT196" s="16" t="str">
        <f t="shared" si="140"/>
        <v/>
      </c>
    </row>
    <row r="197" spans="1:99" x14ac:dyDescent="0.25">
      <c r="A197" s="13"/>
      <c r="B197" s="14"/>
      <c r="C197" s="15" t="str" cm="1">
        <f t="array" ref="C197">IF(B197="","",INDEX('Exercise list'!$C$5:$C$102,B197))</f>
        <v/>
      </c>
      <c r="D197" s="12" t="str">
        <f t="shared" si="142"/>
        <v/>
      </c>
      <c r="E197" s="107" t="str">
        <f t="shared" si="165"/>
        <v/>
      </c>
      <c r="F197" s="63" t="str" cm="1">
        <f t="array" ref="F197">IF(B197="","",0.1+IFERROR(INDEX($F$6:$F196,SUMPRODUCT(MAX(ROW($C$6:$C196)*($C197=$C$6:$C196))-ROW($A$5)))*0.9^($A197-INDEX($A$6:A196,SUMPRODUCT(MAX(ROW($C$6:$C196)*($C197=$C$6:$C196))-ROW($A$5)))),0))</f>
        <v/>
      </c>
      <c r="G197" s="64" t="e">
        <f>INDEX('Exercise list'!$Y$5:$Y$102,MATCH(C197,'Exercise list'!$C$5:$C$102,0))</f>
        <v>#N/A</v>
      </c>
      <c r="H197" s="115">
        <f t="shared" si="143"/>
        <v>0</v>
      </c>
      <c r="I197" s="6">
        <f t="shared" si="144"/>
        <v>5</v>
      </c>
      <c r="J197" s="6" t="str" cm="1">
        <f t="array" ref="J197">IF(B197="","",INDEX('Exercise list'!$D$5:$D$102,B197))</f>
        <v/>
      </c>
      <c r="K197" s="12"/>
      <c r="L197" s="74" t="str" cm="1">
        <f t="array" ref="L197">IF(K197="","",INDEX('Exercise list'!$C$5:$C$102,K197))</f>
        <v/>
      </c>
      <c r="M197" s="6"/>
      <c r="N197" s="75" t="str" cm="1">
        <f t="array" ref="N197">IF(M197="","",INDEX('Exercise list'!$C$5:$C$102,M197))</f>
        <v/>
      </c>
      <c r="P197">
        <f>IFERROR(INDEX('Exercise list'!$E$5:$X$102,MATCH($C197,'Exercise list'!$C$5:$C$102,0),MATCH(P$5,'Exercise list'!$E$4:$X$4,0)),0)</f>
        <v>0</v>
      </c>
      <c r="Q197">
        <f>IFERROR(INDEX('Exercise list'!$E$5:$X$102,MATCH($C197,'Exercise list'!$C$5:$C$102,0),MATCH(Q$5,'Exercise list'!$E$4:$X$4,0)),0)</f>
        <v>0</v>
      </c>
      <c r="R197">
        <f>IFERROR(INDEX('Exercise list'!$E$5:$X$102,MATCH($C197,'Exercise list'!$C$5:$C$102,0),MATCH(R$5,'Exercise list'!$E$4:$X$4,0)),0)</f>
        <v>0</v>
      </c>
      <c r="S197">
        <f>IFERROR(INDEX('Exercise list'!$E$5:$X$102,MATCH($C197,'Exercise list'!$C$5:$C$102,0),MATCH(S$5,'Exercise list'!$E$4:$X$4,0)),0)</f>
        <v>0</v>
      </c>
      <c r="T197">
        <f>IFERROR(INDEX('Exercise list'!$E$5:$X$102,MATCH($C197,'Exercise list'!$C$5:$C$102,0),MATCH(T$5,'Exercise list'!$E$4:$X$4,0)),0)</f>
        <v>0</v>
      </c>
      <c r="U197">
        <f>IFERROR(INDEX('Exercise list'!$E$5:$X$102,MATCH($C197,'Exercise list'!$C$5:$C$102,0),MATCH(U$5,'Exercise list'!$E$4:$X$4,0)),0)</f>
        <v>0</v>
      </c>
      <c r="V197">
        <f>IFERROR(INDEX('Exercise list'!$E$5:$X$102,MATCH($C197,'Exercise list'!$C$5:$C$102,0),MATCH(V$5,'Exercise list'!$E$4:$X$4,0)),0)</f>
        <v>0</v>
      </c>
      <c r="W197">
        <f>IFERROR(INDEX('Exercise list'!$E$5:$X$102,MATCH($C197,'Exercise list'!$C$5:$C$102,0),MATCH(W$5,'Exercise list'!$E$4:$X$4,0)),0)</f>
        <v>0</v>
      </c>
      <c r="X197">
        <f>IFERROR(INDEX('Exercise list'!$E$5:$X$102,MATCH($C197,'Exercise list'!$C$5:$C$102,0),MATCH(X$5,'Exercise list'!$E$4:$X$4,0)),0)</f>
        <v>0</v>
      </c>
      <c r="Y197">
        <f>IFERROR(INDEX('Exercise list'!$E$5:$X$102,MATCH($C197,'Exercise list'!$C$5:$C$102,0),MATCH(Y$5,'Exercise list'!$E$4:$X$4,0)),0)</f>
        <v>0</v>
      </c>
      <c r="Z197">
        <f>IFERROR(INDEX('Exercise list'!$E$5:$X$102,MATCH($C197,'Exercise list'!$C$5:$C$102,0),MATCH(Z$5,'Exercise list'!$E$4:$X$4,0)),0)</f>
        <v>0</v>
      </c>
      <c r="AA197">
        <f>IFERROR(INDEX('Exercise list'!$E$5:$X$102,MATCH($C197,'Exercise list'!$C$5:$C$102,0),MATCH(AA$5,'Exercise list'!$E$4:$X$4,0)),0)</f>
        <v>0</v>
      </c>
      <c r="AB197">
        <f>IFERROR(INDEX('Exercise list'!$E$5:$X$102,MATCH($C197,'Exercise list'!$C$5:$C$102,0),MATCH(AB$5,'Exercise list'!$E$4:$X$4,0)),0)</f>
        <v>0</v>
      </c>
      <c r="AC197">
        <f>IFERROR(INDEX('Exercise list'!$E$5:$X$102,MATCH($C197,'Exercise list'!$C$5:$C$102,0),MATCH(AC$5,'Exercise list'!$E$4:$X$4,0)),0)</f>
        <v>0</v>
      </c>
      <c r="AD197">
        <f>IFERROR(INDEX('Exercise list'!$E$5:$X$102,MATCH($C197,'Exercise list'!$C$5:$C$102,0),MATCH(AD$5,'Exercise list'!$E$4:$X$4,0)),0)</f>
        <v>0</v>
      </c>
      <c r="AE197">
        <f>IFERROR(INDEX('Exercise list'!$E$5:$X$102,MATCH($C197,'Exercise list'!$C$5:$C$102,0),MATCH(AE$5,'Exercise list'!$E$4:$X$4,0)),0)</f>
        <v>0</v>
      </c>
      <c r="AF197">
        <f>IFERROR(INDEX('Exercise list'!$E$5:$X$102,MATCH($C197,'Exercise list'!$C$5:$C$102,0),MATCH(AF$5,'Exercise list'!$E$4:$X$4,0)),0)</f>
        <v>0</v>
      </c>
      <c r="AG197">
        <f>IFERROR(INDEX('Exercise list'!$E$5:$X$102,MATCH($C197,'Exercise list'!$C$5:$C$102,0),MATCH(AG$5,'Exercise list'!$E$4:$X$4,0)),0)</f>
        <v>0</v>
      </c>
      <c r="AH197">
        <f>IFERROR(INDEX('Exercise list'!$E$5:$X$102,MATCH($C197,'Exercise list'!$C$5:$C$102,0),MATCH(AH$5,'Exercise list'!$E$4:$X$4,0)),0)</f>
        <v>0</v>
      </c>
      <c r="AI197">
        <f>IFERROR(INDEX('Exercise list'!$E$5:$X$102,MATCH($C197,'Exercise list'!$C$5:$C$102,0),MATCH(AI$5,'Exercise list'!$E$4:$X$4,0)),0)</f>
        <v>0</v>
      </c>
      <c r="AK197">
        <f>IF(OR($J197=1,COUNTIFS($A$5:$A196,"&gt;="&amp;$A197-1,$A$5:$A196,"&lt;="&amp;$A197,$B$5:$B196,$B197)&gt;0,MIN(1-'Exercise list'!E$2,IF($A197=$A196,AK196,1))-P197&lt;0),-1,MIN(1,IF($A197=$A196,AK196,1)-P197+$D$2))</f>
        <v>1</v>
      </c>
      <c r="AL197">
        <f>IF(OR($J197=1,COUNTIFS($A$5:$A196,"&gt;="&amp;$A197-1,$A$5:$A196,"&lt;="&amp;$A197,$B$5:$B196,$B197)&gt;0,MIN(1-'Exercise list'!F$2,IF($A197=$A196,AL196,1))-Q197&lt;0),-1,MIN(1,IF($A197=$A196,AL196,1)-Q197+$D$2))</f>
        <v>1</v>
      </c>
      <c r="AM197">
        <f>IF(OR($J197=1,COUNTIFS($A$5:$A196,"&gt;="&amp;$A197-1,$A$5:$A196,"&lt;="&amp;$A197,$B$5:$B196,$B197)&gt;0,MIN(1-'Exercise list'!G$2,IF($A197=$A196,AM196,1))-R197&lt;0),-1,MIN(1,IF($A197=$A196,AM196,1)-R197+$D$2))</f>
        <v>1</v>
      </c>
      <c r="AN197">
        <f>IF(OR($J197=1,COUNTIFS($A$5:$A196,"&gt;="&amp;$A197-1,$A$5:$A196,"&lt;="&amp;$A197,$B$5:$B196,$B197)&gt;0,MIN(1-'Exercise list'!H$2,IF($A197=$A196,AN196,1))-S197&lt;0),-1,MIN(1,IF($A197=$A196,AN196,1)-S197+$D$2))</f>
        <v>1</v>
      </c>
      <c r="AO197">
        <f>IF(OR($J197=1,COUNTIFS($A$5:$A196,"&gt;="&amp;$A197-1,$A$5:$A196,"&lt;="&amp;$A197,$B$5:$B196,$B197)&gt;0,MIN(1-'Exercise list'!I$2,IF($A197=$A196,AO196,1))-T197&lt;0),-1,MIN(1,IF($A197=$A196,AO196,1)-T197+$D$2))</f>
        <v>1</v>
      </c>
      <c r="AP197">
        <f>IF(OR($J197=1,COUNTIFS($A$5:$A196,"&gt;="&amp;$A197-1,$A$5:$A196,"&lt;="&amp;$A197,$B$5:$B196,$B197)&gt;0,MIN(1-'Exercise list'!J$2,IF($A197=$A196,AP196,1))-U197&lt;0),-1,MIN(1,IF($A197=$A196,AP196,1)-U197+$D$2))</f>
        <v>1</v>
      </c>
      <c r="AQ197">
        <f>IF(OR($J197=1,COUNTIFS($A$5:$A196,"&gt;="&amp;$A197-1,$A$5:$A196,"&lt;="&amp;$A197,$B$5:$B196,$B197)&gt;0,MIN(1-'Exercise list'!K$2,IF($A197=$A196,AQ196,1))-V197&lt;0),-1,MIN(1,IF($A197=$A196,AQ196,1)-V197+$D$2))</f>
        <v>1</v>
      </c>
      <c r="AR197">
        <f>IF(OR($J197=1,COUNTIFS($A$5:$A196,"&gt;="&amp;$A197-1,$A$5:$A196,"&lt;="&amp;$A197,$B$5:$B196,$B197)&gt;0,MIN(1-'Exercise list'!L$2,IF($A197=$A196,AR196,1))-W197&lt;0),-1,MIN(1,IF($A197=$A196,AR196,1)-W197+$D$2))</f>
        <v>1</v>
      </c>
      <c r="AS197">
        <f>IF(OR($J197=1,COUNTIFS($A$5:$A196,"&gt;="&amp;$A197-1,$A$5:$A196,"&lt;="&amp;$A197,$B$5:$B196,$B197)&gt;0,MIN(1-'Exercise list'!M$2,IF($A197=$A196,AS196,1))-X197&lt;0),-1,MIN(1,IF($A197=$A196,AS196,1)-X197+$D$2))</f>
        <v>1</v>
      </c>
      <c r="AT197">
        <f>IF(OR($J197=1,COUNTIFS($A$5:$A196,"&gt;="&amp;$A197-1,$A$5:$A196,"&lt;="&amp;$A197,$B$5:$B196,$B197)&gt;0,MIN(1-'Exercise list'!N$2,IF($A197=$A196,AT196,1))-Y197&lt;0),-1,MIN(1,IF($A197=$A196,AT196,1)-Y197+$D$2))</f>
        <v>1</v>
      </c>
      <c r="AU197">
        <f>IF(OR($J197=1,COUNTIFS($A$5:$A196,"&gt;="&amp;$A197-1,$A$5:$A196,"&lt;="&amp;$A197,$B$5:$B196,$B197)&gt;0,MIN(1-'Exercise list'!O$2,IF($A197=$A196,AU196,1))-Z197&lt;0),-1,MIN(1,IF($A197=$A196,AU196,1)-Z197+$D$2))</f>
        <v>1</v>
      </c>
      <c r="AV197">
        <f>IF(OR($J197=1,COUNTIFS($A$5:$A196,"&gt;="&amp;$A197-1,$A$5:$A196,"&lt;="&amp;$A197,$B$5:$B196,$B197)&gt;0,MIN(1-'Exercise list'!P$2,IF($A197=$A196,AV196,1))-AA197&lt;0),-1,MIN(1,IF($A197=$A196,AV196,1)-AA197+$D$2))</f>
        <v>1</v>
      </c>
      <c r="AW197">
        <f>IF(OR($J197=1,COUNTIFS($A$5:$A196,"&gt;="&amp;$A197-1,$A$5:$A196,"&lt;="&amp;$A197,$B$5:$B196,$B197)&gt;0,MIN(1-'Exercise list'!Q$2,IF($A197=$A196,AW196,1))-AB197&lt;0),-1,MIN(1,IF($A197=$A196,AW196,1)-AB197+$D$2))</f>
        <v>1</v>
      </c>
      <c r="AX197">
        <f>IF(OR($J197=1,COUNTIFS($A$5:$A196,"&gt;="&amp;$A197-1,$A$5:$A196,"&lt;="&amp;$A197,$B$5:$B196,$B197)&gt;0,MIN(1-'Exercise list'!R$2,IF($A197=$A196,AX196,1))-AC197&lt;0),-1,MIN(1,IF($A197=$A196,AX196,1)-AC197+$D$2))</f>
        <v>1</v>
      </c>
      <c r="AY197">
        <f>IF(OR($J197=1,COUNTIFS($A$5:$A196,"&gt;="&amp;$A197-1,$A$5:$A196,"&lt;="&amp;$A197,$B$5:$B196,$B197)&gt;0,MIN(1-'Exercise list'!S$2,IF($A197=$A196,AY196,1))-AD197&lt;0),-1,MIN(1,IF($A197=$A196,AY196,1)-AD197+$D$2))</f>
        <v>1</v>
      </c>
      <c r="AZ197">
        <f>IF(OR($J197=1,COUNTIFS($A$5:$A196,"&gt;="&amp;$A197-1,$A$5:$A196,"&lt;="&amp;$A197,$B$5:$B196,$B197)&gt;0,MIN(1-'Exercise list'!T$2,IF($A197=$A196,AZ196,1))-AE197&lt;0),-1,MIN(1,IF($A197=$A196,AZ196,1)-AE197+$D$2))</f>
        <v>1</v>
      </c>
      <c r="BA197">
        <f>IF(OR($J197=1,COUNTIFS($A$5:$A196,"&gt;="&amp;$A197-1,$A$5:$A196,"&lt;="&amp;$A197,$B$5:$B196,$B197)&gt;0,MIN(1-'Exercise list'!U$2,IF($A197=$A196,BA196,1))-AF197&lt;0),-1,MIN(1,IF($A197=$A196,BA196,1)-AF197+$D$2))</f>
        <v>1</v>
      </c>
      <c r="BB197">
        <f>IF(OR($J197=1,COUNTIFS($A$5:$A196,"&gt;="&amp;$A197-1,$A$5:$A196,"&lt;="&amp;$A197,$B$5:$B196,$B197)&gt;0,MIN(1-'Exercise list'!V$2,IF($A197=$A196,BB196,1))-AG197&lt;0),-1,MIN(1,IF($A197=$A196,BB196,1)-AG197+$D$2))</f>
        <v>1</v>
      </c>
      <c r="BC197">
        <f>IF(OR($J197=1,COUNTIFS($A$5:$A196,"&gt;="&amp;$A197-1,$A$5:$A196,"&lt;="&amp;$A197,$B$5:$B196,$B197)&gt;0,MIN(1-'Exercise list'!W$2,IF($A197=$A196,BC196,1))-AH197&lt;0),-1,MIN(1,IF($A197=$A196,BC196,1)-AH197+$D$2))</f>
        <v>1</v>
      </c>
      <c r="BD197">
        <f>IF(OR($J197=1,COUNTIFS($A$5:$A196,"&gt;="&amp;$A197-1,$A$5:$A196,"&lt;="&amp;$A197,$B$5:$B196,$B197)&gt;0,MIN(1-'Exercise list'!X$2,IF($A197=$A196,BD196,1))-AI197&lt;0),-1,MIN(1,IF($A197=$A196,BD196,1)-AI197+$D$2))</f>
        <v>1</v>
      </c>
      <c r="BF197" s="16">
        <f t="shared" si="145"/>
        <v>0.19596031081758858</v>
      </c>
      <c r="BG197" s="16">
        <f t="shared" si="146"/>
        <v>0.21844636935459236</v>
      </c>
      <c r="BH197" s="16">
        <f t="shared" si="147"/>
        <v>0.14609696635987124</v>
      </c>
      <c r="BI197" s="16">
        <f t="shared" si="148"/>
        <v>0.13198015366034541</v>
      </c>
      <c r="BJ197" s="16">
        <f t="shared" si="149"/>
        <v>8.3367914198418713E-2</v>
      </c>
      <c r="BK197" s="16">
        <f t="shared" si="150"/>
        <v>0.10640640223148412</v>
      </c>
      <c r="BL197" s="16">
        <f t="shared" si="151"/>
        <v>0.21963504743569431</v>
      </c>
      <c r="BM197" s="16">
        <f t="shared" si="152"/>
        <v>3.8988008374820568E-3</v>
      </c>
      <c r="BN197" s="16">
        <f t="shared" si="153"/>
        <v>0.14537706087090876</v>
      </c>
      <c r="BO197" s="16">
        <f t="shared" si="154"/>
        <v>0.29209790661993401</v>
      </c>
      <c r="BP197" s="16">
        <f t="shared" si="155"/>
        <v>0.31584545163401867</v>
      </c>
      <c r="BQ197" s="16">
        <f t="shared" si="156"/>
        <v>0.1000007994126096</v>
      </c>
      <c r="BR197" s="16">
        <f t="shared" si="157"/>
        <v>0.13164487759885393</v>
      </c>
      <c r="BS197" s="16">
        <f t="shared" si="158"/>
        <v>2.9803550189863123E-2</v>
      </c>
      <c r="BT197" s="16">
        <f t="shared" si="159"/>
        <v>0.13492040904978705</v>
      </c>
      <c r="BU197" s="16">
        <f t="shared" si="160"/>
        <v>0.11703687414398131</v>
      </c>
      <c r="BV197" s="16">
        <f t="shared" si="161"/>
        <v>0.14633353213781661</v>
      </c>
      <c r="BW197" s="16">
        <f t="shared" si="162"/>
        <v>7.5588015111767173E-2</v>
      </c>
      <c r="BX197" s="16">
        <f t="shared" si="163"/>
        <v>8.0345659937185704E-2</v>
      </c>
      <c r="BY197" s="16">
        <f t="shared" si="164"/>
        <v>5.9014643151272549E-2</v>
      </c>
      <c r="CA197" s="16" t="str">
        <f t="shared" si="141"/>
        <v/>
      </c>
      <c r="CB197" s="16" t="str">
        <f t="shared" si="122"/>
        <v/>
      </c>
      <c r="CC197" s="16" t="str">
        <f t="shared" si="123"/>
        <v/>
      </c>
      <c r="CD197" s="16" t="str">
        <f t="shared" si="124"/>
        <v/>
      </c>
      <c r="CE197" s="16" t="str">
        <f t="shared" si="125"/>
        <v/>
      </c>
      <c r="CF197" s="16" t="str">
        <f t="shared" si="126"/>
        <v/>
      </c>
      <c r="CG197" s="16" t="str">
        <f t="shared" si="127"/>
        <v/>
      </c>
      <c r="CH197" s="16" t="str">
        <f t="shared" si="128"/>
        <v/>
      </c>
      <c r="CI197" s="16" t="str">
        <f t="shared" si="129"/>
        <v/>
      </c>
      <c r="CJ197" s="16" t="str">
        <f t="shared" si="130"/>
        <v/>
      </c>
      <c r="CK197" s="16" t="str">
        <f t="shared" si="131"/>
        <v/>
      </c>
      <c r="CL197" s="16" t="str">
        <f t="shared" si="132"/>
        <v/>
      </c>
      <c r="CM197" s="16" t="str">
        <f t="shared" si="133"/>
        <v/>
      </c>
      <c r="CN197" s="16" t="str">
        <f t="shared" si="134"/>
        <v/>
      </c>
      <c r="CO197" s="16" t="str">
        <f t="shared" si="135"/>
        <v/>
      </c>
      <c r="CP197" s="16" t="str">
        <f t="shared" si="136"/>
        <v/>
      </c>
      <c r="CQ197" s="16" t="str">
        <f t="shared" si="137"/>
        <v/>
      </c>
      <c r="CR197" s="16" t="str">
        <f t="shared" si="138"/>
        <v/>
      </c>
      <c r="CS197" s="16" t="str">
        <f t="shared" si="139"/>
        <v/>
      </c>
      <c r="CT197" s="16" t="str">
        <f t="shared" si="140"/>
        <v/>
      </c>
    </row>
    <row r="198" spans="1:99" x14ac:dyDescent="0.25">
      <c r="A198" s="20"/>
      <c r="B198" s="21"/>
      <c r="C198" s="22" t="str" cm="1">
        <f t="array" ref="C198">IF(B198="","",INDEX('Exercise list'!$C$5:$C$102,B198))</f>
        <v/>
      </c>
      <c r="D198" s="17" t="str">
        <f t="shared" si="142"/>
        <v/>
      </c>
      <c r="E198" s="108" t="str">
        <f t="shared" si="165"/>
        <v/>
      </c>
      <c r="F198" s="65" t="str" cm="1">
        <f t="array" ref="F198">IF(B198="","",0.1+IFERROR(INDEX($F$6:$F197,SUMPRODUCT(MAX(ROW($C$6:$C197)*($C198=$C$6:$C197))-ROW($A$5)))*0.9^($A198-INDEX($A$6:A197,SUMPRODUCT(MAX(ROW($C$6:$C197)*($C198=$C$6:$C197))-ROW($A$5)))),0))</f>
        <v/>
      </c>
      <c r="G198" s="25" t="e">
        <f>INDEX('Exercise list'!$Y$5:$Y$102,MATCH(C198,'Exercise list'!$C$5:$C$102,0))</f>
        <v>#N/A</v>
      </c>
      <c r="H198" s="116">
        <f t="shared" si="143"/>
        <v>0</v>
      </c>
      <c r="I198" s="18">
        <f t="shared" si="144"/>
        <v>5</v>
      </c>
      <c r="J198" s="18" t="str" cm="1">
        <f t="array" ref="J198">IF(B198="","",INDEX('Exercise list'!$D$5:$D$102,B198))</f>
        <v/>
      </c>
      <c r="K198" s="17"/>
      <c r="L198" s="51" t="str" cm="1">
        <f t="array" ref="L198">IF(K198="","",INDEX('Exercise list'!$C$5:$C$102,K198))</f>
        <v/>
      </c>
      <c r="M198" s="18"/>
      <c r="N198" s="76" t="str" cm="1">
        <f t="array" ref="N198">IF(M198="","",INDEX('Exercise list'!$C$5:$C$102,M198))</f>
        <v/>
      </c>
      <c r="O198" s="19"/>
      <c r="P198" s="19">
        <f>IFERROR(INDEX('Exercise list'!$E$5:$X$102,MATCH($C198,'Exercise list'!$C$5:$C$102,0),MATCH(P$5,'Exercise list'!$E$4:$X$4,0)),0)</f>
        <v>0</v>
      </c>
      <c r="Q198" s="19">
        <f>IFERROR(INDEX('Exercise list'!$E$5:$X$102,MATCH($C198,'Exercise list'!$C$5:$C$102,0),MATCH(Q$5,'Exercise list'!$E$4:$X$4,0)),0)</f>
        <v>0</v>
      </c>
      <c r="R198" s="19">
        <f>IFERROR(INDEX('Exercise list'!$E$5:$X$102,MATCH($C198,'Exercise list'!$C$5:$C$102,0),MATCH(R$5,'Exercise list'!$E$4:$X$4,0)),0)</f>
        <v>0</v>
      </c>
      <c r="S198" s="19">
        <f>IFERROR(INDEX('Exercise list'!$E$5:$X$102,MATCH($C198,'Exercise list'!$C$5:$C$102,0),MATCH(S$5,'Exercise list'!$E$4:$X$4,0)),0)</f>
        <v>0</v>
      </c>
      <c r="T198" s="19">
        <f>IFERROR(INDEX('Exercise list'!$E$5:$X$102,MATCH($C198,'Exercise list'!$C$5:$C$102,0),MATCH(T$5,'Exercise list'!$E$4:$X$4,0)),0)</f>
        <v>0</v>
      </c>
      <c r="U198" s="19">
        <f>IFERROR(INDEX('Exercise list'!$E$5:$X$102,MATCH($C198,'Exercise list'!$C$5:$C$102,0),MATCH(U$5,'Exercise list'!$E$4:$X$4,0)),0)</f>
        <v>0</v>
      </c>
      <c r="V198" s="19">
        <f>IFERROR(INDEX('Exercise list'!$E$5:$X$102,MATCH($C198,'Exercise list'!$C$5:$C$102,0),MATCH(V$5,'Exercise list'!$E$4:$X$4,0)),0)</f>
        <v>0</v>
      </c>
      <c r="W198" s="19">
        <f>IFERROR(INDEX('Exercise list'!$E$5:$X$102,MATCH($C198,'Exercise list'!$C$5:$C$102,0),MATCH(W$5,'Exercise list'!$E$4:$X$4,0)),0)</f>
        <v>0</v>
      </c>
      <c r="X198" s="19">
        <f>IFERROR(INDEX('Exercise list'!$E$5:$X$102,MATCH($C198,'Exercise list'!$C$5:$C$102,0),MATCH(X$5,'Exercise list'!$E$4:$X$4,0)),0)</f>
        <v>0</v>
      </c>
      <c r="Y198" s="19">
        <f>IFERROR(INDEX('Exercise list'!$E$5:$X$102,MATCH($C198,'Exercise list'!$C$5:$C$102,0),MATCH(Y$5,'Exercise list'!$E$4:$X$4,0)),0)</f>
        <v>0</v>
      </c>
      <c r="Z198" s="19">
        <f>IFERROR(INDEX('Exercise list'!$E$5:$X$102,MATCH($C198,'Exercise list'!$C$5:$C$102,0),MATCH(Z$5,'Exercise list'!$E$4:$X$4,0)),0)</f>
        <v>0</v>
      </c>
      <c r="AA198" s="19">
        <f>IFERROR(INDEX('Exercise list'!$E$5:$X$102,MATCH($C198,'Exercise list'!$C$5:$C$102,0),MATCH(AA$5,'Exercise list'!$E$4:$X$4,0)),0)</f>
        <v>0</v>
      </c>
      <c r="AB198" s="19">
        <f>IFERROR(INDEX('Exercise list'!$E$5:$X$102,MATCH($C198,'Exercise list'!$C$5:$C$102,0),MATCH(AB$5,'Exercise list'!$E$4:$X$4,0)),0)</f>
        <v>0</v>
      </c>
      <c r="AC198" s="19">
        <f>IFERROR(INDEX('Exercise list'!$E$5:$X$102,MATCH($C198,'Exercise list'!$C$5:$C$102,0),MATCH(AC$5,'Exercise list'!$E$4:$X$4,0)),0)</f>
        <v>0</v>
      </c>
      <c r="AD198" s="19">
        <f>IFERROR(INDEX('Exercise list'!$E$5:$X$102,MATCH($C198,'Exercise list'!$C$5:$C$102,0),MATCH(AD$5,'Exercise list'!$E$4:$X$4,0)),0)</f>
        <v>0</v>
      </c>
      <c r="AE198" s="19">
        <f>IFERROR(INDEX('Exercise list'!$E$5:$X$102,MATCH($C198,'Exercise list'!$C$5:$C$102,0),MATCH(AE$5,'Exercise list'!$E$4:$X$4,0)),0)</f>
        <v>0</v>
      </c>
      <c r="AF198" s="19">
        <f>IFERROR(INDEX('Exercise list'!$E$5:$X$102,MATCH($C198,'Exercise list'!$C$5:$C$102,0),MATCH(AF$5,'Exercise list'!$E$4:$X$4,0)),0)</f>
        <v>0</v>
      </c>
      <c r="AG198" s="19">
        <f>IFERROR(INDEX('Exercise list'!$E$5:$X$102,MATCH($C198,'Exercise list'!$C$5:$C$102,0),MATCH(AG$5,'Exercise list'!$E$4:$X$4,0)),0)</f>
        <v>0</v>
      </c>
      <c r="AH198" s="19">
        <f>IFERROR(INDEX('Exercise list'!$E$5:$X$102,MATCH($C198,'Exercise list'!$C$5:$C$102,0),MATCH(AH$5,'Exercise list'!$E$4:$X$4,0)),0)</f>
        <v>0</v>
      </c>
      <c r="AI198" s="19">
        <f>IFERROR(INDEX('Exercise list'!$E$5:$X$102,MATCH($C198,'Exercise list'!$C$5:$C$102,0),MATCH(AI$5,'Exercise list'!$E$4:$X$4,0)),0)</f>
        <v>0</v>
      </c>
      <c r="AJ198" s="19"/>
      <c r="AK198" s="19">
        <f>IF(OR($J198=1,COUNTIFS($A$5:$A197,"&gt;="&amp;$A198-1,$A$5:$A197,"&lt;="&amp;$A198,$B$5:$B197,$B198)&gt;0,MIN(1-'Exercise list'!E$2,IF($A198=$A197,AK197,1))-P198&lt;0),-1,MIN(1,IF($A198=$A197,AK197,1)-P198+$D$2))</f>
        <v>1</v>
      </c>
      <c r="AL198" s="19">
        <f>IF(OR($J198=1,COUNTIFS($A$5:$A197,"&gt;="&amp;$A198-1,$A$5:$A197,"&lt;="&amp;$A198,$B$5:$B197,$B198)&gt;0,MIN(1-'Exercise list'!F$2,IF($A198=$A197,AL197,1))-Q198&lt;0),-1,MIN(1,IF($A198=$A197,AL197,1)-Q198+$D$2))</f>
        <v>1</v>
      </c>
      <c r="AM198" s="19">
        <f>IF(OR($J198=1,COUNTIFS($A$5:$A197,"&gt;="&amp;$A198-1,$A$5:$A197,"&lt;="&amp;$A198,$B$5:$B197,$B198)&gt;0,MIN(1-'Exercise list'!G$2,IF($A198=$A197,AM197,1))-R198&lt;0),-1,MIN(1,IF($A198=$A197,AM197,1)-R198+$D$2))</f>
        <v>1</v>
      </c>
      <c r="AN198" s="19">
        <f>IF(OR($J198=1,COUNTIFS($A$5:$A197,"&gt;="&amp;$A198-1,$A$5:$A197,"&lt;="&amp;$A198,$B$5:$B197,$B198)&gt;0,MIN(1-'Exercise list'!H$2,IF($A198=$A197,AN197,1))-S198&lt;0),-1,MIN(1,IF($A198=$A197,AN197,1)-S198+$D$2))</f>
        <v>1</v>
      </c>
      <c r="AO198" s="19">
        <f>IF(OR($J198=1,COUNTIFS($A$5:$A197,"&gt;="&amp;$A198-1,$A$5:$A197,"&lt;="&amp;$A198,$B$5:$B197,$B198)&gt;0,MIN(1-'Exercise list'!I$2,IF($A198=$A197,AO197,1))-T198&lt;0),-1,MIN(1,IF($A198=$A197,AO197,1)-T198+$D$2))</f>
        <v>1</v>
      </c>
      <c r="AP198" s="19">
        <f>IF(OR($J198=1,COUNTIFS($A$5:$A197,"&gt;="&amp;$A198-1,$A$5:$A197,"&lt;="&amp;$A198,$B$5:$B197,$B198)&gt;0,MIN(1-'Exercise list'!J$2,IF($A198=$A197,AP197,1))-U198&lt;0),-1,MIN(1,IF($A198=$A197,AP197,1)-U198+$D$2))</f>
        <v>1</v>
      </c>
      <c r="AQ198" s="19">
        <f>IF(OR($J198=1,COUNTIFS($A$5:$A197,"&gt;="&amp;$A198-1,$A$5:$A197,"&lt;="&amp;$A198,$B$5:$B197,$B198)&gt;0,MIN(1-'Exercise list'!K$2,IF($A198=$A197,AQ197,1))-V198&lt;0),-1,MIN(1,IF($A198=$A197,AQ197,1)-V198+$D$2))</f>
        <v>1</v>
      </c>
      <c r="AR198" s="19">
        <f>IF(OR($J198=1,COUNTIFS($A$5:$A197,"&gt;="&amp;$A198-1,$A$5:$A197,"&lt;="&amp;$A198,$B$5:$B197,$B198)&gt;0,MIN(1-'Exercise list'!L$2,IF($A198=$A197,AR197,1))-W198&lt;0),-1,MIN(1,IF($A198=$A197,AR197,1)-W198+$D$2))</f>
        <v>1</v>
      </c>
      <c r="AS198" s="19">
        <f>IF(OR($J198=1,COUNTIFS($A$5:$A197,"&gt;="&amp;$A198-1,$A$5:$A197,"&lt;="&amp;$A198,$B$5:$B197,$B198)&gt;0,MIN(1-'Exercise list'!M$2,IF($A198=$A197,AS197,1))-X198&lt;0),-1,MIN(1,IF($A198=$A197,AS197,1)-X198+$D$2))</f>
        <v>1</v>
      </c>
      <c r="AT198" s="19">
        <f>IF(OR($J198=1,COUNTIFS($A$5:$A197,"&gt;="&amp;$A198-1,$A$5:$A197,"&lt;="&amp;$A198,$B$5:$B197,$B198)&gt;0,MIN(1-'Exercise list'!N$2,IF($A198=$A197,AT197,1))-Y198&lt;0),-1,MIN(1,IF($A198=$A197,AT197,1)-Y198+$D$2))</f>
        <v>1</v>
      </c>
      <c r="AU198" s="19">
        <f>IF(OR($J198=1,COUNTIFS($A$5:$A197,"&gt;="&amp;$A198-1,$A$5:$A197,"&lt;="&amp;$A198,$B$5:$B197,$B198)&gt;0,MIN(1-'Exercise list'!O$2,IF($A198=$A197,AU197,1))-Z198&lt;0),-1,MIN(1,IF($A198=$A197,AU197,1)-Z198+$D$2))</f>
        <v>1</v>
      </c>
      <c r="AV198" s="19">
        <f>IF(OR($J198=1,COUNTIFS($A$5:$A197,"&gt;="&amp;$A198-1,$A$5:$A197,"&lt;="&amp;$A198,$B$5:$B197,$B198)&gt;0,MIN(1-'Exercise list'!P$2,IF($A198=$A197,AV197,1))-AA198&lt;0),-1,MIN(1,IF($A198=$A197,AV197,1)-AA198+$D$2))</f>
        <v>1</v>
      </c>
      <c r="AW198" s="19">
        <f>IF(OR($J198=1,COUNTIFS($A$5:$A197,"&gt;="&amp;$A198-1,$A$5:$A197,"&lt;="&amp;$A198,$B$5:$B197,$B198)&gt;0,MIN(1-'Exercise list'!Q$2,IF($A198=$A197,AW197,1))-AB198&lt;0),-1,MIN(1,IF($A198=$A197,AW197,1)-AB198+$D$2))</f>
        <v>1</v>
      </c>
      <c r="AX198" s="19">
        <f>IF(OR($J198=1,COUNTIFS($A$5:$A197,"&gt;="&amp;$A198-1,$A$5:$A197,"&lt;="&amp;$A198,$B$5:$B197,$B198)&gt;0,MIN(1-'Exercise list'!R$2,IF($A198=$A197,AX197,1))-AC198&lt;0),-1,MIN(1,IF($A198=$A197,AX197,1)-AC198+$D$2))</f>
        <v>1</v>
      </c>
      <c r="AY198" s="19">
        <f>IF(OR($J198=1,COUNTIFS($A$5:$A197,"&gt;="&amp;$A198-1,$A$5:$A197,"&lt;="&amp;$A198,$B$5:$B197,$B198)&gt;0,MIN(1-'Exercise list'!S$2,IF($A198=$A197,AY197,1))-AD198&lt;0),-1,MIN(1,IF($A198=$A197,AY197,1)-AD198+$D$2))</f>
        <v>1</v>
      </c>
      <c r="AZ198" s="19">
        <f>IF(OR($J198=1,COUNTIFS($A$5:$A197,"&gt;="&amp;$A198-1,$A$5:$A197,"&lt;="&amp;$A198,$B$5:$B197,$B198)&gt;0,MIN(1-'Exercise list'!T$2,IF($A198=$A197,AZ197,1))-AE198&lt;0),-1,MIN(1,IF($A198=$A197,AZ197,1)-AE198+$D$2))</f>
        <v>1</v>
      </c>
      <c r="BA198" s="19">
        <f>IF(OR($J198=1,COUNTIFS($A$5:$A197,"&gt;="&amp;$A198-1,$A$5:$A197,"&lt;="&amp;$A198,$B$5:$B197,$B198)&gt;0,MIN(1-'Exercise list'!U$2,IF($A198=$A197,BA197,1))-AF198&lt;0),-1,MIN(1,IF($A198=$A197,BA197,1)-AF198+$D$2))</f>
        <v>1</v>
      </c>
      <c r="BB198" s="19">
        <f>IF(OR($J198=1,COUNTIFS($A$5:$A197,"&gt;="&amp;$A198-1,$A$5:$A197,"&lt;="&amp;$A198,$B$5:$B197,$B198)&gt;0,MIN(1-'Exercise list'!V$2,IF($A198=$A197,BB197,1))-AG198&lt;0),-1,MIN(1,IF($A198=$A197,BB197,1)-AG198+$D$2))</f>
        <v>1</v>
      </c>
      <c r="BC198" s="19">
        <f>IF(OR($J198=1,COUNTIFS($A$5:$A197,"&gt;="&amp;$A198-1,$A$5:$A197,"&lt;="&amp;$A198,$B$5:$B197,$B198)&gt;0,MIN(1-'Exercise list'!W$2,IF($A198=$A197,BC197,1))-AH198&lt;0),-1,MIN(1,IF($A198=$A197,BC197,1)-AH198+$D$2))</f>
        <v>1</v>
      </c>
      <c r="BD198" s="19">
        <f>IF(OR($J198=1,COUNTIFS($A$5:$A197,"&gt;="&amp;$A198-1,$A$5:$A197,"&lt;="&amp;$A198,$B$5:$B197,$B198)&gt;0,MIN(1-'Exercise list'!X$2,IF($A198=$A197,BD197,1))-AI198&lt;0),-1,MIN(1,IF($A198=$A197,BD197,1)-AI198+$D$2))</f>
        <v>1</v>
      </c>
      <c r="BE198" s="19"/>
      <c r="BF198" s="23">
        <f t="shared" si="145"/>
        <v>0.19596031081758858</v>
      </c>
      <c r="BG198" s="23">
        <f t="shared" si="146"/>
        <v>0.21844636935459236</v>
      </c>
      <c r="BH198" s="23">
        <f t="shared" si="147"/>
        <v>0.14609696635987124</v>
      </c>
      <c r="BI198" s="23">
        <f t="shared" si="148"/>
        <v>0.13198015366034541</v>
      </c>
      <c r="BJ198" s="23">
        <f t="shared" si="149"/>
        <v>8.3367914198418713E-2</v>
      </c>
      <c r="BK198" s="23">
        <f t="shared" si="150"/>
        <v>0.10640640223148412</v>
      </c>
      <c r="BL198" s="23">
        <f t="shared" si="151"/>
        <v>0.21963504743569431</v>
      </c>
      <c r="BM198" s="23">
        <f t="shared" si="152"/>
        <v>3.8988008374820568E-3</v>
      </c>
      <c r="BN198" s="23">
        <f t="shared" si="153"/>
        <v>0.14537706087090876</v>
      </c>
      <c r="BO198" s="23">
        <f t="shared" si="154"/>
        <v>0.29209790661993401</v>
      </c>
      <c r="BP198" s="23">
        <f t="shared" si="155"/>
        <v>0.31584545163401867</v>
      </c>
      <c r="BQ198" s="23">
        <f t="shared" si="156"/>
        <v>0.1000007994126096</v>
      </c>
      <c r="BR198" s="23">
        <f t="shared" si="157"/>
        <v>0.13164487759885393</v>
      </c>
      <c r="BS198" s="23">
        <f t="shared" si="158"/>
        <v>2.9803550189863123E-2</v>
      </c>
      <c r="BT198" s="23">
        <f t="shared" si="159"/>
        <v>0.13492040904978705</v>
      </c>
      <c r="BU198" s="23">
        <f t="shared" si="160"/>
        <v>0.11703687414398131</v>
      </c>
      <c r="BV198" s="23">
        <f t="shared" si="161"/>
        <v>0.14633353213781661</v>
      </c>
      <c r="BW198" s="23">
        <f t="shared" si="162"/>
        <v>7.5588015111767173E-2</v>
      </c>
      <c r="BX198" s="23">
        <f t="shared" si="163"/>
        <v>8.0345659937185704E-2</v>
      </c>
      <c r="BY198" s="23">
        <f t="shared" si="164"/>
        <v>5.9014643151272549E-2</v>
      </c>
      <c r="BZ198" s="19"/>
      <c r="CA198" s="23" t="str">
        <f t="shared" si="141"/>
        <v/>
      </c>
      <c r="CB198" s="23" t="str">
        <f t="shared" ref="CB198:CB261" si="166">IF($A198="","",MAX(0,CB$2/SUM($CA$2:$CT$2)*SUM($BF198:$BY198)-BG198))</f>
        <v/>
      </c>
      <c r="CC198" s="23" t="str">
        <f t="shared" ref="CC198:CC261" si="167">IF($A198="","",MAX(0,CC$2/SUM($CA$2:$CT$2)*SUM($BF198:$BY198)-BH198))</f>
        <v/>
      </c>
      <c r="CD198" s="23" t="str">
        <f t="shared" ref="CD198:CD261" si="168">IF($A198="","",MAX(0,CD$2/SUM($CA$2:$CT$2)*SUM($BF198:$BY198)-BI198))</f>
        <v/>
      </c>
      <c r="CE198" s="23" t="str">
        <f t="shared" ref="CE198:CE261" si="169">IF($A198="","",MAX(0,CE$2/SUM($CA$2:$CT$2)*SUM($BF198:$BY198)-BJ198))</f>
        <v/>
      </c>
      <c r="CF198" s="23" t="str">
        <f t="shared" ref="CF198:CF261" si="170">IF($A198="","",MAX(0,CF$2/SUM($CA$2:$CT$2)*SUM($BF198:$BY198)-BK198))</f>
        <v/>
      </c>
      <c r="CG198" s="23" t="str">
        <f t="shared" ref="CG198:CG261" si="171">IF($A198="","",MAX(0,CG$2/SUM($CA$2:$CT$2)*SUM($BF198:$BY198)-BL198))</f>
        <v/>
      </c>
      <c r="CH198" s="23" t="str">
        <f t="shared" ref="CH198:CH261" si="172">IF($A198="","",MAX(0,CH$2/SUM($CA$2:$CT$2)*SUM($BF198:$BY198)-BM198))</f>
        <v/>
      </c>
      <c r="CI198" s="23" t="str">
        <f t="shared" ref="CI198:CI261" si="173">IF($A198="","",MAX(0,CI$2/SUM($CA$2:$CT$2)*SUM($BF198:$BY198)-BN198))</f>
        <v/>
      </c>
      <c r="CJ198" s="23" t="str">
        <f t="shared" ref="CJ198:CJ261" si="174">IF($A198="","",MAX(0,CJ$2/SUM($CA$2:$CT$2)*SUM($BF198:$BY198)-BO198))</f>
        <v/>
      </c>
      <c r="CK198" s="23" t="str">
        <f t="shared" ref="CK198:CK261" si="175">IF($A198="","",MAX(0,CK$2/SUM($CA$2:$CT$2)*SUM($BF198:$BY198)-BP198))</f>
        <v/>
      </c>
      <c r="CL198" s="23" t="str">
        <f t="shared" ref="CL198:CL261" si="176">IF($A198="","",MAX(0,CL$2/SUM($CA$2:$CT$2)*SUM($BF198:$BY198)-BQ198))</f>
        <v/>
      </c>
      <c r="CM198" s="23" t="str">
        <f t="shared" ref="CM198:CM261" si="177">IF($A198="","",MAX(0,CM$2/SUM($CA$2:$CT$2)*SUM($BF198:$BY198)-BR198))</f>
        <v/>
      </c>
      <c r="CN198" s="23" t="str">
        <f t="shared" ref="CN198:CN261" si="178">IF($A198="","",MAX(0,CN$2/SUM($CA$2:$CT$2)*SUM($BF198:$BY198)-BS198))</f>
        <v/>
      </c>
      <c r="CO198" s="23" t="str">
        <f t="shared" ref="CO198:CO261" si="179">IF($A198="","",MAX(0,CO$2/SUM($CA$2:$CT$2)*SUM($BF198:$BY198)-BT198))</f>
        <v/>
      </c>
      <c r="CP198" s="23" t="str">
        <f t="shared" ref="CP198:CP261" si="180">IF($A198="","",MAX(0,CP$2/SUM($CA$2:$CT$2)*SUM($BF198:$BY198)-BU198))</f>
        <v/>
      </c>
      <c r="CQ198" s="23" t="str">
        <f t="shared" ref="CQ198:CQ261" si="181">IF($A198="","",MAX(0,CQ$2/SUM($CA$2:$CT$2)*SUM($BF198:$BY198)-BV198))</f>
        <v/>
      </c>
      <c r="CR198" s="23" t="str">
        <f t="shared" ref="CR198:CR261" si="182">IF($A198="","",MAX(0,CR$2/SUM($CA$2:$CT$2)*SUM($BF198:$BY198)-BW198))</f>
        <v/>
      </c>
      <c r="CS198" s="23" t="str">
        <f t="shared" ref="CS198:CS261" si="183">IF($A198="","",MAX(0,CS$2/SUM($CA$2:$CT$2)*SUM($BF198:$BY198)-BX198))</f>
        <v/>
      </c>
      <c r="CT198" s="23" t="str">
        <f t="shared" ref="CT198:CT261" si="184">IF($A198="","",MAX(0,CT$2/SUM($CA$2:$CT$2)*SUM($BF198:$BY198)-BY198))</f>
        <v/>
      </c>
      <c r="CU198" s="19"/>
    </row>
    <row r="199" spans="1:99" x14ac:dyDescent="0.25">
      <c r="A199" s="13"/>
      <c r="B199" s="14"/>
      <c r="C199" s="15" t="str" cm="1">
        <f t="array" ref="C199">IF(B199="","",INDEX('Exercise list'!$C$5:$C$102,B199))</f>
        <v/>
      </c>
      <c r="D199" s="12" t="str">
        <f t="shared" si="142"/>
        <v/>
      </c>
      <c r="E199" s="107" t="str">
        <f t="shared" si="165"/>
        <v/>
      </c>
      <c r="F199" s="63" t="str" cm="1">
        <f t="array" ref="F199">IF(B199="","",0.1+IFERROR(INDEX($F$6:$F198,SUMPRODUCT(MAX(ROW($C$6:$C198)*($C199=$C$6:$C198))-ROW($A$5)))*0.9^($A199-INDEX($A$6:A198,SUMPRODUCT(MAX(ROW($C$6:$C198)*($C199=$C$6:$C198))-ROW($A$5)))),0))</f>
        <v/>
      </c>
      <c r="G199" s="64" t="e">
        <f>INDEX('Exercise list'!$Y$5:$Y$102,MATCH(C199,'Exercise list'!$C$5:$C$102,0))</f>
        <v>#N/A</v>
      </c>
      <c r="H199" s="115">
        <f t="shared" si="143"/>
        <v>0</v>
      </c>
      <c r="I199" s="42">
        <f t="shared" si="144"/>
        <v>5</v>
      </c>
      <c r="J199" s="6" t="str" cm="1">
        <f t="array" ref="J199">IF(B199="","",INDEX('Exercise list'!$D$5:$D$102,B199))</f>
        <v/>
      </c>
      <c r="K199" s="12"/>
      <c r="L199" s="74" t="str" cm="1">
        <f t="array" ref="L199">IF(K199="","",INDEX('Exercise list'!$C$5:$C$102,K199))</f>
        <v/>
      </c>
      <c r="M199" s="6"/>
      <c r="N199" s="75" t="str" cm="1">
        <f t="array" ref="N199">IF(M199="","",INDEX('Exercise list'!$C$5:$C$102,M199))</f>
        <v/>
      </c>
      <c r="P199">
        <f>IFERROR(INDEX('Exercise list'!$E$5:$X$102,MATCH($C199,'Exercise list'!$C$5:$C$102,0),MATCH(P$5,'Exercise list'!$E$4:$X$4,0)),0)</f>
        <v>0</v>
      </c>
      <c r="Q199">
        <f>IFERROR(INDEX('Exercise list'!$E$5:$X$102,MATCH($C199,'Exercise list'!$C$5:$C$102,0),MATCH(Q$5,'Exercise list'!$E$4:$X$4,0)),0)</f>
        <v>0</v>
      </c>
      <c r="R199">
        <f>IFERROR(INDEX('Exercise list'!$E$5:$X$102,MATCH($C199,'Exercise list'!$C$5:$C$102,0),MATCH(R$5,'Exercise list'!$E$4:$X$4,0)),0)</f>
        <v>0</v>
      </c>
      <c r="S199">
        <f>IFERROR(INDEX('Exercise list'!$E$5:$X$102,MATCH($C199,'Exercise list'!$C$5:$C$102,0),MATCH(S$5,'Exercise list'!$E$4:$X$4,0)),0)</f>
        <v>0</v>
      </c>
      <c r="T199">
        <f>IFERROR(INDEX('Exercise list'!$E$5:$X$102,MATCH($C199,'Exercise list'!$C$5:$C$102,0),MATCH(T$5,'Exercise list'!$E$4:$X$4,0)),0)</f>
        <v>0</v>
      </c>
      <c r="U199">
        <f>IFERROR(INDEX('Exercise list'!$E$5:$X$102,MATCH($C199,'Exercise list'!$C$5:$C$102,0),MATCH(U$5,'Exercise list'!$E$4:$X$4,0)),0)</f>
        <v>0</v>
      </c>
      <c r="V199">
        <f>IFERROR(INDEX('Exercise list'!$E$5:$X$102,MATCH($C199,'Exercise list'!$C$5:$C$102,0),MATCH(V$5,'Exercise list'!$E$4:$X$4,0)),0)</f>
        <v>0</v>
      </c>
      <c r="W199">
        <f>IFERROR(INDEX('Exercise list'!$E$5:$X$102,MATCH($C199,'Exercise list'!$C$5:$C$102,0),MATCH(W$5,'Exercise list'!$E$4:$X$4,0)),0)</f>
        <v>0</v>
      </c>
      <c r="X199">
        <f>IFERROR(INDEX('Exercise list'!$E$5:$X$102,MATCH($C199,'Exercise list'!$C$5:$C$102,0),MATCH(X$5,'Exercise list'!$E$4:$X$4,0)),0)</f>
        <v>0</v>
      </c>
      <c r="Y199">
        <f>IFERROR(INDEX('Exercise list'!$E$5:$X$102,MATCH($C199,'Exercise list'!$C$5:$C$102,0),MATCH(Y$5,'Exercise list'!$E$4:$X$4,0)),0)</f>
        <v>0</v>
      </c>
      <c r="Z199">
        <f>IFERROR(INDEX('Exercise list'!$E$5:$X$102,MATCH($C199,'Exercise list'!$C$5:$C$102,0),MATCH(Z$5,'Exercise list'!$E$4:$X$4,0)),0)</f>
        <v>0</v>
      </c>
      <c r="AA199">
        <f>IFERROR(INDEX('Exercise list'!$E$5:$X$102,MATCH($C199,'Exercise list'!$C$5:$C$102,0),MATCH(AA$5,'Exercise list'!$E$4:$X$4,0)),0)</f>
        <v>0</v>
      </c>
      <c r="AB199">
        <f>IFERROR(INDEX('Exercise list'!$E$5:$X$102,MATCH($C199,'Exercise list'!$C$5:$C$102,0),MATCH(AB$5,'Exercise list'!$E$4:$X$4,0)),0)</f>
        <v>0</v>
      </c>
      <c r="AC199">
        <f>IFERROR(INDEX('Exercise list'!$E$5:$X$102,MATCH($C199,'Exercise list'!$C$5:$C$102,0),MATCH(AC$5,'Exercise list'!$E$4:$X$4,0)),0)</f>
        <v>0</v>
      </c>
      <c r="AD199">
        <f>IFERROR(INDEX('Exercise list'!$E$5:$X$102,MATCH($C199,'Exercise list'!$C$5:$C$102,0),MATCH(AD$5,'Exercise list'!$E$4:$X$4,0)),0)</f>
        <v>0</v>
      </c>
      <c r="AE199">
        <f>IFERROR(INDEX('Exercise list'!$E$5:$X$102,MATCH($C199,'Exercise list'!$C$5:$C$102,0),MATCH(AE$5,'Exercise list'!$E$4:$X$4,0)),0)</f>
        <v>0</v>
      </c>
      <c r="AF199">
        <f>IFERROR(INDEX('Exercise list'!$E$5:$X$102,MATCH($C199,'Exercise list'!$C$5:$C$102,0),MATCH(AF$5,'Exercise list'!$E$4:$X$4,0)),0)</f>
        <v>0</v>
      </c>
      <c r="AG199">
        <f>IFERROR(INDEX('Exercise list'!$E$5:$X$102,MATCH($C199,'Exercise list'!$C$5:$C$102,0),MATCH(AG$5,'Exercise list'!$E$4:$X$4,0)),0)</f>
        <v>0</v>
      </c>
      <c r="AH199">
        <f>IFERROR(INDEX('Exercise list'!$E$5:$X$102,MATCH($C199,'Exercise list'!$C$5:$C$102,0),MATCH(AH$5,'Exercise list'!$E$4:$X$4,0)),0)</f>
        <v>0</v>
      </c>
      <c r="AI199">
        <f>IFERROR(INDEX('Exercise list'!$E$5:$X$102,MATCH($C199,'Exercise list'!$C$5:$C$102,0),MATCH(AI$5,'Exercise list'!$E$4:$X$4,0)),0)</f>
        <v>0</v>
      </c>
      <c r="AK199">
        <f>IF(OR($J199=1,COUNTIFS($A$5:$A198,"&gt;="&amp;$A199-1,$A$5:$A198,"&lt;="&amp;$A199,$B$5:$B198,$B199)&gt;0,MIN(1-'Exercise list'!E$2,IF($A199=$A198,AK198,1))-P199&lt;0),-1,MIN(1,IF($A199=$A198,AK198,1)-P199+$D$2))</f>
        <v>1</v>
      </c>
      <c r="AL199">
        <f>IF(OR($J199=1,COUNTIFS($A$5:$A198,"&gt;="&amp;$A199-1,$A$5:$A198,"&lt;="&amp;$A199,$B$5:$B198,$B199)&gt;0,MIN(1-'Exercise list'!F$2,IF($A199=$A198,AL198,1))-Q199&lt;0),-1,MIN(1,IF($A199=$A198,AL198,1)-Q199+$D$2))</f>
        <v>1</v>
      </c>
      <c r="AM199">
        <f>IF(OR($J199=1,COUNTIFS($A$5:$A198,"&gt;="&amp;$A199-1,$A$5:$A198,"&lt;="&amp;$A199,$B$5:$B198,$B199)&gt;0,MIN(1-'Exercise list'!G$2,IF($A199=$A198,AM198,1))-R199&lt;0),-1,MIN(1,IF($A199=$A198,AM198,1)-R199+$D$2))</f>
        <v>1</v>
      </c>
      <c r="AN199">
        <f>IF(OR($J199=1,COUNTIFS($A$5:$A198,"&gt;="&amp;$A199-1,$A$5:$A198,"&lt;="&amp;$A199,$B$5:$B198,$B199)&gt;0,MIN(1-'Exercise list'!H$2,IF($A199=$A198,AN198,1))-S199&lt;0),-1,MIN(1,IF($A199=$A198,AN198,1)-S199+$D$2))</f>
        <v>1</v>
      </c>
      <c r="AO199">
        <f>IF(OR($J199=1,COUNTIFS($A$5:$A198,"&gt;="&amp;$A199-1,$A$5:$A198,"&lt;="&amp;$A199,$B$5:$B198,$B199)&gt;0,MIN(1-'Exercise list'!I$2,IF($A199=$A198,AO198,1))-T199&lt;0),-1,MIN(1,IF($A199=$A198,AO198,1)-T199+$D$2))</f>
        <v>1</v>
      </c>
      <c r="AP199">
        <f>IF(OR($J199=1,COUNTIFS($A$5:$A198,"&gt;="&amp;$A199-1,$A$5:$A198,"&lt;="&amp;$A199,$B$5:$B198,$B199)&gt;0,MIN(1-'Exercise list'!J$2,IF($A199=$A198,AP198,1))-U199&lt;0),-1,MIN(1,IF($A199=$A198,AP198,1)-U199+$D$2))</f>
        <v>1</v>
      </c>
      <c r="AQ199">
        <f>IF(OR($J199=1,COUNTIFS($A$5:$A198,"&gt;="&amp;$A199-1,$A$5:$A198,"&lt;="&amp;$A199,$B$5:$B198,$B199)&gt;0,MIN(1-'Exercise list'!K$2,IF($A199=$A198,AQ198,1))-V199&lt;0),-1,MIN(1,IF($A199=$A198,AQ198,1)-V199+$D$2))</f>
        <v>1</v>
      </c>
      <c r="AR199">
        <f>IF(OR($J199=1,COUNTIFS($A$5:$A198,"&gt;="&amp;$A199-1,$A$5:$A198,"&lt;="&amp;$A199,$B$5:$B198,$B199)&gt;0,MIN(1-'Exercise list'!L$2,IF($A199=$A198,AR198,1))-W199&lt;0),-1,MIN(1,IF($A199=$A198,AR198,1)-W199+$D$2))</f>
        <v>1</v>
      </c>
      <c r="AS199">
        <f>IF(OR($J199=1,COUNTIFS($A$5:$A198,"&gt;="&amp;$A199-1,$A$5:$A198,"&lt;="&amp;$A199,$B$5:$B198,$B199)&gt;0,MIN(1-'Exercise list'!M$2,IF($A199=$A198,AS198,1))-X199&lt;0),-1,MIN(1,IF($A199=$A198,AS198,1)-X199+$D$2))</f>
        <v>1</v>
      </c>
      <c r="AT199">
        <f>IF(OR($J199=1,COUNTIFS($A$5:$A198,"&gt;="&amp;$A199-1,$A$5:$A198,"&lt;="&amp;$A199,$B$5:$B198,$B199)&gt;0,MIN(1-'Exercise list'!N$2,IF($A199=$A198,AT198,1))-Y199&lt;0),-1,MIN(1,IF($A199=$A198,AT198,1)-Y199+$D$2))</f>
        <v>1</v>
      </c>
      <c r="AU199">
        <f>IF(OR($J199=1,COUNTIFS($A$5:$A198,"&gt;="&amp;$A199-1,$A$5:$A198,"&lt;="&amp;$A199,$B$5:$B198,$B199)&gt;0,MIN(1-'Exercise list'!O$2,IF($A199=$A198,AU198,1))-Z199&lt;0),-1,MIN(1,IF($A199=$A198,AU198,1)-Z199+$D$2))</f>
        <v>1</v>
      </c>
      <c r="AV199">
        <f>IF(OR($J199=1,COUNTIFS($A$5:$A198,"&gt;="&amp;$A199-1,$A$5:$A198,"&lt;="&amp;$A199,$B$5:$B198,$B199)&gt;0,MIN(1-'Exercise list'!P$2,IF($A199=$A198,AV198,1))-AA199&lt;0),-1,MIN(1,IF($A199=$A198,AV198,1)-AA199+$D$2))</f>
        <v>1</v>
      </c>
      <c r="AW199">
        <f>IF(OR($J199=1,COUNTIFS($A$5:$A198,"&gt;="&amp;$A199-1,$A$5:$A198,"&lt;="&amp;$A199,$B$5:$B198,$B199)&gt;0,MIN(1-'Exercise list'!Q$2,IF($A199=$A198,AW198,1))-AB199&lt;0),-1,MIN(1,IF($A199=$A198,AW198,1)-AB199+$D$2))</f>
        <v>1</v>
      </c>
      <c r="AX199">
        <f>IF(OR($J199=1,COUNTIFS($A$5:$A198,"&gt;="&amp;$A199-1,$A$5:$A198,"&lt;="&amp;$A199,$B$5:$B198,$B199)&gt;0,MIN(1-'Exercise list'!R$2,IF($A199=$A198,AX198,1))-AC199&lt;0),-1,MIN(1,IF($A199=$A198,AX198,1)-AC199+$D$2))</f>
        <v>1</v>
      </c>
      <c r="AY199">
        <f>IF(OR($J199=1,COUNTIFS($A$5:$A198,"&gt;="&amp;$A199-1,$A$5:$A198,"&lt;="&amp;$A199,$B$5:$B198,$B199)&gt;0,MIN(1-'Exercise list'!S$2,IF($A199=$A198,AY198,1))-AD199&lt;0),-1,MIN(1,IF($A199=$A198,AY198,1)-AD199+$D$2))</f>
        <v>1</v>
      </c>
      <c r="AZ199">
        <f>IF(OR($J199=1,COUNTIFS($A$5:$A198,"&gt;="&amp;$A199-1,$A$5:$A198,"&lt;="&amp;$A199,$B$5:$B198,$B199)&gt;0,MIN(1-'Exercise list'!T$2,IF($A199=$A198,AZ198,1))-AE199&lt;0),-1,MIN(1,IF($A199=$A198,AZ198,1)-AE199+$D$2))</f>
        <v>1</v>
      </c>
      <c r="BA199">
        <f>IF(OR($J199=1,COUNTIFS($A$5:$A198,"&gt;="&amp;$A199-1,$A$5:$A198,"&lt;="&amp;$A199,$B$5:$B198,$B199)&gt;0,MIN(1-'Exercise list'!U$2,IF($A199=$A198,BA198,1))-AF199&lt;0),-1,MIN(1,IF($A199=$A198,BA198,1)-AF199+$D$2))</f>
        <v>1</v>
      </c>
      <c r="BB199">
        <f>IF(OR($J199=1,COUNTIFS($A$5:$A198,"&gt;="&amp;$A199-1,$A$5:$A198,"&lt;="&amp;$A199,$B$5:$B198,$B199)&gt;0,MIN(1-'Exercise list'!V$2,IF($A199=$A198,BB198,1))-AG199&lt;0),-1,MIN(1,IF($A199=$A198,BB198,1)-AG199+$D$2))</f>
        <v>1</v>
      </c>
      <c r="BC199">
        <f>IF(OR($J199=1,COUNTIFS($A$5:$A198,"&gt;="&amp;$A199-1,$A$5:$A198,"&lt;="&amp;$A199,$B$5:$B198,$B199)&gt;0,MIN(1-'Exercise list'!W$2,IF($A199=$A198,BC198,1))-AH199&lt;0),-1,MIN(1,IF($A199=$A198,BC198,1)-AH199+$D$2))</f>
        <v>1</v>
      </c>
      <c r="BD199">
        <f>IF(OR($J199=1,COUNTIFS($A$5:$A198,"&gt;="&amp;$A199-1,$A$5:$A198,"&lt;="&amp;$A199,$B$5:$B198,$B199)&gt;0,MIN(1-'Exercise list'!X$2,IF($A199=$A198,BD198,1))-AI199&lt;0),-1,MIN(1,IF($A199=$A198,BD198,1)-AI199+$D$2))</f>
        <v>1</v>
      </c>
      <c r="BF199" s="16">
        <f t="shared" si="145"/>
        <v>0.19596031081758858</v>
      </c>
      <c r="BG199" s="16">
        <f t="shared" si="146"/>
        <v>0.21844636935459236</v>
      </c>
      <c r="BH199" s="16">
        <f t="shared" si="147"/>
        <v>0.14609696635987124</v>
      </c>
      <c r="BI199" s="16">
        <f t="shared" si="148"/>
        <v>0.13198015366034541</v>
      </c>
      <c r="BJ199" s="16">
        <f t="shared" si="149"/>
        <v>8.3367914198418713E-2</v>
      </c>
      <c r="BK199" s="16">
        <f t="shared" si="150"/>
        <v>0.10640640223148412</v>
      </c>
      <c r="BL199" s="16">
        <f t="shared" si="151"/>
        <v>0.21963504743569431</v>
      </c>
      <c r="BM199" s="16">
        <f t="shared" si="152"/>
        <v>3.8988008374820568E-3</v>
      </c>
      <c r="BN199" s="16">
        <f t="shared" si="153"/>
        <v>0.14537706087090876</v>
      </c>
      <c r="BO199" s="16">
        <f t="shared" si="154"/>
        <v>0.29209790661993401</v>
      </c>
      <c r="BP199" s="16">
        <f t="shared" si="155"/>
        <v>0.31584545163401867</v>
      </c>
      <c r="BQ199" s="16">
        <f t="shared" si="156"/>
        <v>0.1000007994126096</v>
      </c>
      <c r="BR199" s="16">
        <f t="shared" si="157"/>
        <v>0.13164487759885393</v>
      </c>
      <c r="BS199" s="16">
        <f t="shared" si="158"/>
        <v>2.9803550189863123E-2</v>
      </c>
      <c r="BT199" s="16">
        <f t="shared" si="159"/>
        <v>0.13492040904978705</v>
      </c>
      <c r="BU199" s="16">
        <f t="shared" si="160"/>
        <v>0.11703687414398131</v>
      </c>
      <c r="BV199" s="16">
        <f t="shared" si="161"/>
        <v>0.14633353213781661</v>
      </c>
      <c r="BW199" s="16">
        <f t="shared" si="162"/>
        <v>7.5588015111767173E-2</v>
      </c>
      <c r="BX199" s="16">
        <f t="shared" si="163"/>
        <v>8.0345659937185704E-2</v>
      </c>
      <c r="BY199" s="16">
        <f t="shared" si="164"/>
        <v>5.9014643151272549E-2</v>
      </c>
      <c r="CA199" s="16" t="str">
        <f t="shared" si="141"/>
        <v/>
      </c>
      <c r="CB199" s="16" t="str">
        <f t="shared" si="166"/>
        <v/>
      </c>
      <c r="CC199" s="16" t="str">
        <f t="shared" si="167"/>
        <v/>
      </c>
      <c r="CD199" s="16" t="str">
        <f t="shared" si="168"/>
        <v/>
      </c>
      <c r="CE199" s="16" t="str">
        <f t="shared" si="169"/>
        <v/>
      </c>
      <c r="CF199" s="16" t="str">
        <f t="shared" si="170"/>
        <v/>
      </c>
      <c r="CG199" s="16" t="str">
        <f t="shared" si="171"/>
        <v/>
      </c>
      <c r="CH199" s="16" t="str">
        <f t="shared" si="172"/>
        <v/>
      </c>
      <c r="CI199" s="16" t="str">
        <f t="shared" si="173"/>
        <v/>
      </c>
      <c r="CJ199" s="16" t="str">
        <f t="shared" si="174"/>
        <v/>
      </c>
      <c r="CK199" s="16" t="str">
        <f t="shared" si="175"/>
        <v/>
      </c>
      <c r="CL199" s="16" t="str">
        <f t="shared" si="176"/>
        <v/>
      </c>
      <c r="CM199" s="16" t="str">
        <f t="shared" si="177"/>
        <v/>
      </c>
      <c r="CN199" s="16" t="str">
        <f t="shared" si="178"/>
        <v/>
      </c>
      <c r="CO199" s="16" t="str">
        <f t="shared" si="179"/>
        <v/>
      </c>
      <c r="CP199" s="16" t="str">
        <f t="shared" si="180"/>
        <v/>
      </c>
      <c r="CQ199" s="16" t="str">
        <f t="shared" si="181"/>
        <v/>
      </c>
      <c r="CR199" s="16" t="str">
        <f t="shared" si="182"/>
        <v/>
      </c>
      <c r="CS199" s="16" t="str">
        <f t="shared" si="183"/>
        <v/>
      </c>
      <c r="CT199" s="16" t="str">
        <f t="shared" si="184"/>
        <v/>
      </c>
    </row>
    <row r="200" spans="1:99" x14ac:dyDescent="0.25">
      <c r="A200" s="13"/>
      <c r="B200" s="14"/>
      <c r="C200" s="15" t="str" cm="1">
        <f t="array" ref="C200">IF(B200="","",INDEX('Exercise list'!$C$5:$C$102,B200))</f>
        <v/>
      </c>
      <c r="D200" s="12" t="str">
        <f t="shared" si="142"/>
        <v/>
      </c>
      <c r="E200" s="107" t="str">
        <f t="shared" si="165"/>
        <v/>
      </c>
      <c r="F200" s="63" t="str" cm="1">
        <f t="array" ref="F200">IF(B200="","",0.1+IFERROR(INDEX($F$6:$F199,SUMPRODUCT(MAX(ROW($C$6:$C199)*($C200=$C$6:$C199))-ROW($A$5)))*0.9^($A200-INDEX($A$6:A199,SUMPRODUCT(MAX(ROW($C$6:$C199)*($C200=$C$6:$C199))-ROW($A$5)))),0))</f>
        <v/>
      </c>
      <c r="G200" s="64" t="e">
        <f>INDEX('Exercise list'!$Y$5:$Y$102,MATCH(C200,'Exercise list'!$C$5:$C$102,0))</f>
        <v>#N/A</v>
      </c>
      <c r="H200" s="115">
        <f t="shared" si="143"/>
        <v>0</v>
      </c>
      <c r="I200" s="6">
        <f t="shared" si="144"/>
        <v>5</v>
      </c>
      <c r="J200" s="6" t="str" cm="1">
        <f t="array" ref="J200">IF(B200="","",INDEX('Exercise list'!$D$5:$D$102,B200))</f>
        <v/>
      </c>
      <c r="K200" s="12"/>
      <c r="L200" s="74" t="str" cm="1">
        <f t="array" ref="L200">IF(K200="","",INDEX('Exercise list'!$C$5:$C$102,K200))</f>
        <v/>
      </c>
      <c r="M200" s="6"/>
      <c r="N200" s="75" t="str" cm="1">
        <f t="array" ref="N200">IF(M200="","",INDEX('Exercise list'!$C$5:$C$102,M200))</f>
        <v/>
      </c>
      <c r="P200">
        <f>IFERROR(INDEX('Exercise list'!$E$5:$X$102,MATCH($C200,'Exercise list'!$C$5:$C$102,0),MATCH(P$5,'Exercise list'!$E$4:$X$4,0)),0)</f>
        <v>0</v>
      </c>
      <c r="Q200">
        <f>IFERROR(INDEX('Exercise list'!$E$5:$X$102,MATCH($C200,'Exercise list'!$C$5:$C$102,0),MATCH(Q$5,'Exercise list'!$E$4:$X$4,0)),0)</f>
        <v>0</v>
      </c>
      <c r="R200">
        <f>IFERROR(INDEX('Exercise list'!$E$5:$X$102,MATCH($C200,'Exercise list'!$C$5:$C$102,0),MATCH(R$5,'Exercise list'!$E$4:$X$4,0)),0)</f>
        <v>0</v>
      </c>
      <c r="S200">
        <f>IFERROR(INDEX('Exercise list'!$E$5:$X$102,MATCH($C200,'Exercise list'!$C$5:$C$102,0),MATCH(S$5,'Exercise list'!$E$4:$X$4,0)),0)</f>
        <v>0</v>
      </c>
      <c r="T200">
        <f>IFERROR(INDEX('Exercise list'!$E$5:$X$102,MATCH($C200,'Exercise list'!$C$5:$C$102,0),MATCH(T$5,'Exercise list'!$E$4:$X$4,0)),0)</f>
        <v>0</v>
      </c>
      <c r="U200">
        <f>IFERROR(INDEX('Exercise list'!$E$5:$X$102,MATCH($C200,'Exercise list'!$C$5:$C$102,0),MATCH(U$5,'Exercise list'!$E$4:$X$4,0)),0)</f>
        <v>0</v>
      </c>
      <c r="V200">
        <f>IFERROR(INDEX('Exercise list'!$E$5:$X$102,MATCH($C200,'Exercise list'!$C$5:$C$102,0),MATCH(V$5,'Exercise list'!$E$4:$X$4,0)),0)</f>
        <v>0</v>
      </c>
      <c r="W200">
        <f>IFERROR(INDEX('Exercise list'!$E$5:$X$102,MATCH($C200,'Exercise list'!$C$5:$C$102,0),MATCH(W$5,'Exercise list'!$E$4:$X$4,0)),0)</f>
        <v>0</v>
      </c>
      <c r="X200">
        <f>IFERROR(INDEX('Exercise list'!$E$5:$X$102,MATCH($C200,'Exercise list'!$C$5:$C$102,0),MATCH(X$5,'Exercise list'!$E$4:$X$4,0)),0)</f>
        <v>0</v>
      </c>
      <c r="Y200">
        <f>IFERROR(INDEX('Exercise list'!$E$5:$X$102,MATCH($C200,'Exercise list'!$C$5:$C$102,0),MATCH(Y$5,'Exercise list'!$E$4:$X$4,0)),0)</f>
        <v>0</v>
      </c>
      <c r="Z200">
        <f>IFERROR(INDEX('Exercise list'!$E$5:$X$102,MATCH($C200,'Exercise list'!$C$5:$C$102,0),MATCH(Z$5,'Exercise list'!$E$4:$X$4,0)),0)</f>
        <v>0</v>
      </c>
      <c r="AA200">
        <f>IFERROR(INDEX('Exercise list'!$E$5:$X$102,MATCH($C200,'Exercise list'!$C$5:$C$102,0),MATCH(AA$5,'Exercise list'!$E$4:$X$4,0)),0)</f>
        <v>0</v>
      </c>
      <c r="AB200">
        <f>IFERROR(INDEX('Exercise list'!$E$5:$X$102,MATCH($C200,'Exercise list'!$C$5:$C$102,0),MATCH(AB$5,'Exercise list'!$E$4:$X$4,0)),0)</f>
        <v>0</v>
      </c>
      <c r="AC200">
        <f>IFERROR(INDEX('Exercise list'!$E$5:$X$102,MATCH($C200,'Exercise list'!$C$5:$C$102,0),MATCH(AC$5,'Exercise list'!$E$4:$X$4,0)),0)</f>
        <v>0</v>
      </c>
      <c r="AD200">
        <f>IFERROR(INDEX('Exercise list'!$E$5:$X$102,MATCH($C200,'Exercise list'!$C$5:$C$102,0),MATCH(AD$5,'Exercise list'!$E$4:$X$4,0)),0)</f>
        <v>0</v>
      </c>
      <c r="AE200">
        <f>IFERROR(INDEX('Exercise list'!$E$5:$X$102,MATCH($C200,'Exercise list'!$C$5:$C$102,0),MATCH(AE$5,'Exercise list'!$E$4:$X$4,0)),0)</f>
        <v>0</v>
      </c>
      <c r="AF200">
        <f>IFERROR(INDEX('Exercise list'!$E$5:$X$102,MATCH($C200,'Exercise list'!$C$5:$C$102,0),MATCH(AF$5,'Exercise list'!$E$4:$X$4,0)),0)</f>
        <v>0</v>
      </c>
      <c r="AG200">
        <f>IFERROR(INDEX('Exercise list'!$E$5:$X$102,MATCH($C200,'Exercise list'!$C$5:$C$102,0),MATCH(AG$5,'Exercise list'!$E$4:$X$4,0)),0)</f>
        <v>0</v>
      </c>
      <c r="AH200">
        <f>IFERROR(INDEX('Exercise list'!$E$5:$X$102,MATCH($C200,'Exercise list'!$C$5:$C$102,0),MATCH(AH$5,'Exercise list'!$E$4:$X$4,0)),0)</f>
        <v>0</v>
      </c>
      <c r="AI200">
        <f>IFERROR(INDEX('Exercise list'!$E$5:$X$102,MATCH($C200,'Exercise list'!$C$5:$C$102,0),MATCH(AI$5,'Exercise list'!$E$4:$X$4,0)),0)</f>
        <v>0</v>
      </c>
      <c r="AK200">
        <f>IF(OR($J200=1,COUNTIFS($A$5:$A199,"&gt;="&amp;$A200-1,$A$5:$A199,"&lt;="&amp;$A200,$B$5:$B199,$B200)&gt;0,MIN(1-'Exercise list'!E$2,IF($A200=$A199,AK199,1))-P200&lt;0),-1,MIN(1,IF($A200=$A199,AK199,1)-P200+$D$2))</f>
        <v>1</v>
      </c>
      <c r="AL200">
        <f>IF(OR($J200=1,COUNTIFS($A$5:$A199,"&gt;="&amp;$A200-1,$A$5:$A199,"&lt;="&amp;$A200,$B$5:$B199,$B200)&gt;0,MIN(1-'Exercise list'!F$2,IF($A200=$A199,AL199,1))-Q200&lt;0),-1,MIN(1,IF($A200=$A199,AL199,1)-Q200+$D$2))</f>
        <v>1</v>
      </c>
      <c r="AM200">
        <f>IF(OR($J200=1,COUNTIFS($A$5:$A199,"&gt;="&amp;$A200-1,$A$5:$A199,"&lt;="&amp;$A200,$B$5:$B199,$B200)&gt;0,MIN(1-'Exercise list'!G$2,IF($A200=$A199,AM199,1))-R200&lt;0),-1,MIN(1,IF($A200=$A199,AM199,1)-R200+$D$2))</f>
        <v>1</v>
      </c>
      <c r="AN200">
        <f>IF(OR($J200=1,COUNTIFS($A$5:$A199,"&gt;="&amp;$A200-1,$A$5:$A199,"&lt;="&amp;$A200,$B$5:$B199,$B200)&gt;0,MIN(1-'Exercise list'!H$2,IF($A200=$A199,AN199,1))-S200&lt;0),-1,MIN(1,IF($A200=$A199,AN199,1)-S200+$D$2))</f>
        <v>1</v>
      </c>
      <c r="AO200">
        <f>IF(OR($J200=1,COUNTIFS($A$5:$A199,"&gt;="&amp;$A200-1,$A$5:$A199,"&lt;="&amp;$A200,$B$5:$B199,$B200)&gt;0,MIN(1-'Exercise list'!I$2,IF($A200=$A199,AO199,1))-T200&lt;0),-1,MIN(1,IF($A200=$A199,AO199,1)-T200+$D$2))</f>
        <v>1</v>
      </c>
      <c r="AP200">
        <f>IF(OR($J200=1,COUNTIFS($A$5:$A199,"&gt;="&amp;$A200-1,$A$5:$A199,"&lt;="&amp;$A200,$B$5:$B199,$B200)&gt;0,MIN(1-'Exercise list'!J$2,IF($A200=$A199,AP199,1))-U200&lt;0),-1,MIN(1,IF($A200=$A199,AP199,1)-U200+$D$2))</f>
        <v>1</v>
      </c>
      <c r="AQ200">
        <f>IF(OR($J200=1,COUNTIFS($A$5:$A199,"&gt;="&amp;$A200-1,$A$5:$A199,"&lt;="&amp;$A200,$B$5:$B199,$B200)&gt;0,MIN(1-'Exercise list'!K$2,IF($A200=$A199,AQ199,1))-V200&lt;0),-1,MIN(1,IF($A200=$A199,AQ199,1)-V200+$D$2))</f>
        <v>1</v>
      </c>
      <c r="AR200">
        <f>IF(OR($J200=1,COUNTIFS($A$5:$A199,"&gt;="&amp;$A200-1,$A$5:$A199,"&lt;="&amp;$A200,$B$5:$B199,$B200)&gt;0,MIN(1-'Exercise list'!L$2,IF($A200=$A199,AR199,1))-W200&lt;0),-1,MIN(1,IF($A200=$A199,AR199,1)-W200+$D$2))</f>
        <v>1</v>
      </c>
      <c r="AS200">
        <f>IF(OR($J200=1,COUNTIFS($A$5:$A199,"&gt;="&amp;$A200-1,$A$5:$A199,"&lt;="&amp;$A200,$B$5:$B199,$B200)&gt;0,MIN(1-'Exercise list'!M$2,IF($A200=$A199,AS199,1))-X200&lt;0),-1,MIN(1,IF($A200=$A199,AS199,1)-X200+$D$2))</f>
        <v>1</v>
      </c>
      <c r="AT200">
        <f>IF(OR($J200=1,COUNTIFS($A$5:$A199,"&gt;="&amp;$A200-1,$A$5:$A199,"&lt;="&amp;$A200,$B$5:$B199,$B200)&gt;0,MIN(1-'Exercise list'!N$2,IF($A200=$A199,AT199,1))-Y200&lt;0),-1,MIN(1,IF($A200=$A199,AT199,1)-Y200+$D$2))</f>
        <v>1</v>
      </c>
      <c r="AU200">
        <f>IF(OR($J200=1,COUNTIFS($A$5:$A199,"&gt;="&amp;$A200-1,$A$5:$A199,"&lt;="&amp;$A200,$B$5:$B199,$B200)&gt;0,MIN(1-'Exercise list'!O$2,IF($A200=$A199,AU199,1))-Z200&lt;0),-1,MIN(1,IF($A200=$A199,AU199,1)-Z200+$D$2))</f>
        <v>1</v>
      </c>
      <c r="AV200">
        <f>IF(OR($J200=1,COUNTIFS($A$5:$A199,"&gt;="&amp;$A200-1,$A$5:$A199,"&lt;="&amp;$A200,$B$5:$B199,$B200)&gt;0,MIN(1-'Exercise list'!P$2,IF($A200=$A199,AV199,1))-AA200&lt;0),-1,MIN(1,IF($A200=$A199,AV199,1)-AA200+$D$2))</f>
        <v>1</v>
      </c>
      <c r="AW200">
        <f>IF(OR($J200=1,COUNTIFS($A$5:$A199,"&gt;="&amp;$A200-1,$A$5:$A199,"&lt;="&amp;$A200,$B$5:$B199,$B200)&gt;0,MIN(1-'Exercise list'!Q$2,IF($A200=$A199,AW199,1))-AB200&lt;0),-1,MIN(1,IF($A200=$A199,AW199,1)-AB200+$D$2))</f>
        <v>1</v>
      </c>
      <c r="AX200">
        <f>IF(OR($J200=1,COUNTIFS($A$5:$A199,"&gt;="&amp;$A200-1,$A$5:$A199,"&lt;="&amp;$A200,$B$5:$B199,$B200)&gt;0,MIN(1-'Exercise list'!R$2,IF($A200=$A199,AX199,1))-AC200&lt;0),-1,MIN(1,IF($A200=$A199,AX199,1)-AC200+$D$2))</f>
        <v>1</v>
      </c>
      <c r="AY200">
        <f>IF(OR($J200=1,COUNTIFS($A$5:$A199,"&gt;="&amp;$A200-1,$A$5:$A199,"&lt;="&amp;$A200,$B$5:$B199,$B200)&gt;0,MIN(1-'Exercise list'!S$2,IF($A200=$A199,AY199,1))-AD200&lt;0),-1,MIN(1,IF($A200=$A199,AY199,1)-AD200+$D$2))</f>
        <v>1</v>
      </c>
      <c r="AZ200">
        <f>IF(OR($J200=1,COUNTIFS($A$5:$A199,"&gt;="&amp;$A200-1,$A$5:$A199,"&lt;="&amp;$A200,$B$5:$B199,$B200)&gt;0,MIN(1-'Exercise list'!T$2,IF($A200=$A199,AZ199,1))-AE200&lt;0),-1,MIN(1,IF($A200=$A199,AZ199,1)-AE200+$D$2))</f>
        <v>1</v>
      </c>
      <c r="BA200">
        <f>IF(OR($J200=1,COUNTIFS($A$5:$A199,"&gt;="&amp;$A200-1,$A$5:$A199,"&lt;="&amp;$A200,$B$5:$B199,$B200)&gt;0,MIN(1-'Exercise list'!U$2,IF($A200=$A199,BA199,1))-AF200&lt;0),-1,MIN(1,IF($A200=$A199,BA199,1)-AF200+$D$2))</f>
        <v>1</v>
      </c>
      <c r="BB200">
        <f>IF(OR($J200=1,COUNTIFS($A$5:$A199,"&gt;="&amp;$A200-1,$A$5:$A199,"&lt;="&amp;$A200,$B$5:$B199,$B200)&gt;0,MIN(1-'Exercise list'!V$2,IF($A200=$A199,BB199,1))-AG200&lt;0),-1,MIN(1,IF($A200=$A199,BB199,1)-AG200+$D$2))</f>
        <v>1</v>
      </c>
      <c r="BC200">
        <f>IF(OR($J200=1,COUNTIFS($A$5:$A199,"&gt;="&amp;$A200-1,$A$5:$A199,"&lt;="&amp;$A200,$B$5:$B199,$B200)&gt;0,MIN(1-'Exercise list'!W$2,IF($A200=$A199,BC199,1))-AH200&lt;0),-1,MIN(1,IF($A200=$A199,BC199,1)-AH200+$D$2))</f>
        <v>1</v>
      </c>
      <c r="BD200">
        <f>IF(OR($J200=1,COUNTIFS($A$5:$A199,"&gt;="&amp;$A200-1,$A$5:$A199,"&lt;="&amp;$A200,$B$5:$B199,$B200)&gt;0,MIN(1-'Exercise list'!X$2,IF($A200=$A199,BD199,1))-AI200&lt;0),-1,MIN(1,IF($A200=$A199,BD199,1)-AI200+$D$2))</f>
        <v>1</v>
      </c>
      <c r="BF200" s="16">
        <f t="shared" si="145"/>
        <v>0.19596031081758858</v>
      </c>
      <c r="BG200" s="16">
        <f t="shared" si="146"/>
        <v>0.21844636935459236</v>
      </c>
      <c r="BH200" s="16">
        <f t="shared" si="147"/>
        <v>0.14609696635987124</v>
      </c>
      <c r="BI200" s="16">
        <f t="shared" si="148"/>
        <v>0.13198015366034541</v>
      </c>
      <c r="BJ200" s="16">
        <f t="shared" si="149"/>
        <v>8.3367914198418713E-2</v>
      </c>
      <c r="BK200" s="16">
        <f t="shared" si="150"/>
        <v>0.10640640223148412</v>
      </c>
      <c r="BL200" s="16">
        <f t="shared" si="151"/>
        <v>0.21963504743569431</v>
      </c>
      <c r="BM200" s="16">
        <f t="shared" si="152"/>
        <v>3.8988008374820568E-3</v>
      </c>
      <c r="BN200" s="16">
        <f t="shared" si="153"/>
        <v>0.14537706087090876</v>
      </c>
      <c r="BO200" s="16">
        <f t="shared" si="154"/>
        <v>0.29209790661993401</v>
      </c>
      <c r="BP200" s="16">
        <f t="shared" si="155"/>
        <v>0.31584545163401867</v>
      </c>
      <c r="BQ200" s="16">
        <f t="shared" si="156"/>
        <v>0.1000007994126096</v>
      </c>
      <c r="BR200" s="16">
        <f t="shared" si="157"/>
        <v>0.13164487759885393</v>
      </c>
      <c r="BS200" s="16">
        <f t="shared" si="158"/>
        <v>2.9803550189863123E-2</v>
      </c>
      <c r="BT200" s="16">
        <f t="shared" si="159"/>
        <v>0.13492040904978705</v>
      </c>
      <c r="BU200" s="16">
        <f t="shared" si="160"/>
        <v>0.11703687414398131</v>
      </c>
      <c r="BV200" s="16">
        <f t="shared" si="161"/>
        <v>0.14633353213781661</v>
      </c>
      <c r="BW200" s="16">
        <f t="shared" si="162"/>
        <v>7.5588015111767173E-2</v>
      </c>
      <c r="BX200" s="16">
        <f t="shared" si="163"/>
        <v>8.0345659937185704E-2</v>
      </c>
      <c r="BY200" s="16">
        <f t="shared" si="164"/>
        <v>5.9014643151272549E-2</v>
      </c>
      <c r="CA200" s="16" t="str">
        <f t="shared" si="141"/>
        <v/>
      </c>
      <c r="CB200" s="16" t="str">
        <f t="shared" si="166"/>
        <v/>
      </c>
      <c r="CC200" s="16" t="str">
        <f t="shared" si="167"/>
        <v/>
      </c>
      <c r="CD200" s="16" t="str">
        <f t="shared" si="168"/>
        <v/>
      </c>
      <c r="CE200" s="16" t="str">
        <f t="shared" si="169"/>
        <v/>
      </c>
      <c r="CF200" s="16" t="str">
        <f t="shared" si="170"/>
        <v/>
      </c>
      <c r="CG200" s="16" t="str">
        <f t="shared" si="171"/>
        <v/>
      </c>
      <c r="CH200" s="16" t="str">
        <f t="shared" si="172"/>
        <v/>
      </c>
      <c r="CI200" s="16" t="str">
        <f t="shared" si="173"/>
        <v/>
      </c>
      <c r="CJ200" s="16" t="str">
        <f t="shared" si="174"/>
        <v/>
      </c>
      <c r="CK200" s="16" t="str">
        <f t="shared" si="175"/>
        <v/>
      </c>
      <c r="CL200" s="16" t="str">
        <f t="shared" si="176"/>
        <v/>
      </c>
      <c r="CM200" s="16" t="str">
        <f t="shared" si="177"/>
        <v/>
      </c>
      <c r="CN200" s="16" t="str">
        <f t="shared" si="178"/>
        <v/>
      </c>
      <c r="CO200" s="16" t="str">
        <f t="shared" si="179"/>
        <v/>
      </c>
      <c r="CP200" s="16" t="str">
        <f t="shared" si="180"/>
        <v/>
      </c>
      <c r="CQ200" s="16" t="str">
        <f t="shared" si="181"/>
        <v/>
      </c>
      <c r="CR200" s="16" t="str">
        <f t="shared" si="182"/>
        <v/>
      </c>
      <c r="CS200" s="16" t="str">
        <f t="shared" si="183"/>
        <v/>
      </c>
      <c r="CT200" s="16" t="str">
        <f t="shared" si="184"/>
        <v/>
      </c>
    </row>
    <row r="201" spans="1:99" x14ac:dyDescent="0.25">
      <c r="A201" s="13"/>
      <c r="B201" s="14"/>
      <c r="C201" s="15" t="str" cm="1">
        <f t="array" ref="C201">IF(B201="","",INDEX('Exercise list'!$C$5:$C$102,B201))</f>
        <v/>
      </c>
      <c r="D201" s="12" t="str">
        <f t="shared" si="142"/>
        <v/>
      </c>
      <c r="E201" s="107" t="str">
        <f t="shared" si="165"/>
        <v/>
      </c>
      <c r="F201" s="63" t="str" cm="1">
        <f t="array" ref="F201">IF(B201="","",0.1+IFERROR(INDEX($F$6:$F200,SUMPRODUCT(MAX(ROW($C$6:$C200)*($C201=$C$6:$C200))-ROW($A$5)))*0.9^($A201-INDEX($A$6:A200,SUMPRODUCT(MAX(ROW($C$6:$C200)*($C201=$C$6:$C200))-ROW($A$5)))),0))</f>
        <v/>
      </c>
      <c r="G201" s="64" t="e">
        <f>INDEX('Exercise list'!$Y$5:$Y$102,MATCH(C201,'Exercise list'!$C$5:$C$102,0))</f>
        <v>#N/A</v>
      </c>
      <c r="H201" s="115">
        <f t="shared" si="143"/>
        <v>0</v>
      </c>
      <c r="I201" s="6">
        <f t="shared" si="144"/>
        <v>5</v>
      </c>
      <c r="J201" s="6" t="str" cm="1">
        <f t="array" ref="J201">IF(B201="","",INDEX('Exercise list'!$D$5:$D$102,B201))</f>
        <v/>
      </c>
      <c r="K201" s="12"/>
      <c r="L201" s="74" t="str" cm="1">
        <f t="array" ref="L201">IF(K201="","",INDEX('Exercise list'!$C$5:$C$102,K201))</f>
        <v/>
      </c>
      <c r="M201" s="6"/>
      <c r="N201" s="75" t="str" cm="1">
        <f t="array" ref="N201">IF(M201="","",INDEX('Exercise list'!$C$5:$C$102,M201))</f>
        <v/>
      </c>
      <c r="P201">
        <f>IFERROR(INDEX('Exercise list'!$E$5:$X$102,MATCH($C201,'Exercise list'!$C$5:$C$102,0),MATCH(P$5,'Exercise list'!$E$4:$X$4,0)),0)</f>
        <v>0</v>
      </c>
      <c r="Q201">
        <f>IFERROR(INDEX('Exercise list'!$E$5:$X$102,MATCH($C201,'Exercise list'!$C$5:$C$102,0),MATCH(Q$5,'Exercise list'!$E$4:$X$4,0)),0)</f>
        <v>0</v>
      </c>
      <c r="R201">
        <f>IFERROR(INDEX('Exercise list'!$E$5:$X$102,MATCH($C201,'Exercise list'!$C$5:$C$102,0),MATCH(R$5,'Exercise list'!$E$4:$X$4,0)),0)</f>
        <v>0</v>
      </c>
      <c r="S201">
        <f>IFERROR(INDEX('Exercise list'!$E$5:$X$102,MATCH($C201,'Exercise list'!$C$5:$C$102,0),MATCH(S$5,'Exercise list'!$E$4:$X$4,0)),0)</f>
        <v>0</v>
      </c>
      <c r="T201">
        <f>IFERROR(INDEX('Exercise list'!$E$5:$X$102,MATCH($C201,'Exercise list'!$C$5:$C$102,0),MATCH(T$5,'Exercise list'!$E$4:$X$4,0)),0)</f>
        <v>0</v>
      </c>
      <c r="U201">
        <f>IFERROR(INDEX('Exercise list'!$E$5:$X$102,MATCH($C201,'Exercise list'!$C$5:$C$102,0),MATCH(U$5,'Exercise list'!$E$4:$X$4,0)),0)</f>
        <v>0</v>
      </c>
      <c r="V201">
        <f>IFERROR(INDEX('Exercise list'!$E$5:$X$102,MATCH($C201,'Exercise list'!$C$5:$C$102,0),MATCH(V$5,'Exercise list'!$E$4:$X$4,0)),0)</f>
        <v>0</v>
      </c>
      <c r="W201">
        <f>IFERROR(INDEX('Exercise list'!$E$5:$X$102,MATCH($C201,'Exercise list'!$C$5:$C$102,0),MATCH(W$5,'Exercise list'!$E$4:$X$4,0)),0)</f>
        <v>0</v>
      </c>
      <c r="X201">
        <f>IFERROR(INDEX('Exercise list'!$E$5:$X$102,MATCH($C201,'Exercise list'!$C$5:$C$102,0),MATCH(X$5,'Exercise list'!$E$4:$X$4,0)),0)</f>
        <v>0</v>
      </c>
      <c r="Y201">
        <f>IFERROR(INDEX('Exercise list'!$E$5:$X$102,MATCH($C201,'Exercise list'!$C$5:$C$102,0),MATCH(Y$5,'Exercise list'!$E$4:$X$4,0)),0)</f>
        <v>0</v>
      </c>
      <c r="Z201">
        <f>IFERROR(INDEX('Exercise list'!$E$5:$X$102,MATCH($C201,'Exercise list'!$C$5:$C$102,0),MATCH(Z$5,'Exercise list'!$E$4:$X$4,0)),0)</f>
        <v>0</v>
      </c>
      <c r="AA201">
        <f>IFERROR(INDEX('Exercise list'!$E$5:$X$102,MATCH($C201,'Exercise list'!$C$5:$C$102,0),MATCH(AA$5,'Exercise list'!$E$4:$X$4,0)),0)</f>
        <v>0</v>
      </c>
      <c r="AB201">
        <f>IFERROR(INDEX('Exercise list'!$E$5:$X$102,MATCH($C201,'Exercise list'!$C$5:$C$102,0),MATCH(AB$5,'Exercise list'!$E$4:$X$4,0)),0)</f>
        <v>0</v>
      </c>
      <c r="AC201">
        <f>IFERROR(INDEX('Exercise list'!$E$5:$X$102,MATCH($C201,'Exercise list'!$C$5:$C$102,0),MATCH(AC$5,'Exercise list'!$E$4:$X$4,0)),0)</f>
        <v>0</v>
      </c>
      <c r="AD201">
        <f>IFERROR(INDEX('Exercise list'!$E$5:$X$102,MATCH($C201,'Exercise list'!$C$5:$C$102,0),MATCH(AD$5,'Exercise list'!$E$4:$X$4,0)),0)</f>
        <v>0</v>
      </c>
      <c r="AE201">
        <f>IFERROR(INDEX('Exercise list'!$E$5:$X$102,MATCH($C201,'Exercise list'!$C$5:$C$102,0),MATCH(AE$5,'Exercise list'!$E$4:$X$4,0)),0)</f>
        <v>0</v>
      </c>
      <c r="AF201">
        <f>IFERROR(INDEX('Exercise list'!$E$5:$X$102,MATCH($C201,'Exercise list'!$C$5:$C$102,0),MATCH(AF$5,'Exercise list'!$E$4:$X$4,0)),0)</f>
        <v>0</v>
      </c>
      <c r="AG201">
        <f>IFERROR(INDEX('Exercise list'!$E$5:$X$102,MATCH($C201,'Exercise list'!$C$5:$C$102,0),MATCH(AG$5,'Exercise list'!$E$4:$X$4,0)),0)</f>
        <v>0</v>
      </c>
      <c r="AH201">
        <f>IFERROR(INDEX('Exercise list'!$E$5:$X$102,MATCH($C201,'Exercise list'!$C$5:$C$102,0),MATCH(AH$5,'Exercise list'!$E$4:$X$4,0)),0)</f>
        <v>0</v>
      </c>
      <c r="AI201">
        <f>IFERROR(INDEX('Exercise list'!$E$5:$X$102,MATCH($C201,'Exercise list'!$C$5:$C$102,0),MATCH(AI$5,'Exercise list'!$E$4:$X$4,0)),0)</f>
        <v>0</v>
      </c>
      <c r="AK201">
        <f>IF(OR($J201=1,COUNTIFS($A$5:$A200,"&gt;="&amp;$A201-1,$A$5:$A200,"&lt;="&amp;$A201,$B$5:$B200,$B201)&gt;0,MIN(1-'Exercise list'!E$2,IF($A201=$A200,AK200,1))-P201&lt;0),-1,MIN(1,IF($A201=$A200,AK200,1)-P201+$D$2))</f>
        <v>1</v>
      </c>
      <c r="AL201">
        <f>IF(OR($J201=1,COUNTIFS($A$5:$A200,"&gt;="&amp;$A201-1,$A$5:$A200,"&lt;="&amp;$A201,$B$5:$B200,$B201)&gt;0,MIN(1-'Exercise list'!F$2,IF($A201=$A200,AL200,1))-Q201&lt;0),-1,MIN(1,IF($A201=$A200,AL200,1)-Q201+$D$2))</f>
        <v>1</v>
      </c>
      <c r="AM201">
        <f>IF(OR($J201=1,COUNTIFS($A$5:$A200,"&gt;="&amp;$A201-1,$A$5:$A200,"&lt;="&amp;$A201,$B$5:$B200,$B201)&gt;0,MIN(1-'Exercise list'!G$2,IF($A201=$A200,AM200,1))-R201&lt;0),-1,MIN(1,IF($A201=$A200,AM200,1)-R201+$D$2))</f>
        <v>1</v>
      </c>
      <c r="AN201">
        <f>IF(OR($J201=1,COUNTIFS($A$5:$A200,"&gt;="&amp;$A201-1,$A$5:$A200,"&lt;="&amp;$A201,$B$5:$B200,$B201)&gt;0,MIN(1-'Exercise list'!H$2,IF($A201=$A200,AN200,1))-S201&lt;0),-1,MIN(1,IF($A201=$A200,AN200,1)-S201+$D$2))</f>
        <v>1</v>
      </c>
      <c r="AO201">
        <f>IF(OR($J201=1,COUNTIFS($A$5:$A200,"&gt;="&amp;$A201-1,$A$5:$A200,"&lt;="&amp;$A201,$B$5:$B200,$B201)&gt;0,MIN(1-'Exercise list'!I$2,IF($A201=$A200,AO200,1))-T201&lt;0),-1,MIN(1,IF($A201=$A200,AO200,1)-T201+$D$2))</f>
        <v>1</v>
      </c>
      <c r="AP201">
        <f>IF(OR($J201=1,COUNTIFS($A$5:$A200,"&gt;="&amp;$A201-1,$A$5:$A200,"&lt;="&amp;$A201,$B$5:$B200,$B201)&gt;0,MIN(1-'Exercise list'!J$2,IF($A201=$A200,AP200,1))-U201&lt;0),-1,MIN(1,IF($A201=$A200,AP200,1)-U201+$D$2))</f>
        <v>1</v>
      </c>
      <c r="AQ201">
        <f>IF(OR($J201=1,COUNTIFS($A$5:$A200,"&gt;="&amp;$A201-1,$A$5:$A200,"&lt;="&amp;$A201,$B$5:$B200,$B201)&gt;0,MIN(1-'Exercise list'!K$2,IF($A201=$A200,AQ200,1))-V201&lt;0),-1,MIN(1,IF($A201=$A200,AQ200,1)-V201+$D$2))</f>
        <v>1</v>
      </c>
      <c r="AR201">
        <f>IF(OR($J201=1,COUNTIFS($A$5:$A200,"&gt;="&amp;$A201-1,$A$5:$A200,"&lt;="&amp;$A201,$B$5:$B200,$B201)&gt;0,MIN(1-'Exercise list'!L$2,IF($A201=$A200,AR200,1))-W201&lt;0),-1,MIN(1,IF($A201=$A200,AR200,1)-W201+$D$2))</f>
        <v>1</v>
      </c>
      <c r="AS201">
        <f>IF(OR($J201=1,COUNTIFS($A$5:$A200,"&gt;="&amp;$A201-1,$A$5:$A200,"&lt;="&amp;$A201,$B$5:$B200,$B201)&gt;0,MIN(1-'Exercise list'!M$2,IF($A201=$A200,AS200,1))-X201&lt;0),-1,MIN(1,IF($A201=$A200,AS200,1)-X201+$D$2))</f>
        <v>1</v>
      </c>
      <c r="AT201">
        <f>IF(OR($J201=1,COUNTIFS($A$5:$A200,"&gt;="&amp;$A201-1,$A$5:$A200,"&lt;="&amp;$A201,$B$5:$B200,$B201)&gt;0,MIN(1-'Exercise list'!N$2,IF($A201=$A200,AT200,1))-Y201&lt;0),-1,MIN(1,IF($A201=$A200,AT200,1)-Y201+$D$2))</f>
        <v>1</v>
      </c>
      <c r="AU201">
        <f>IF(OR($J201=1,COUNTIFS($A$5:$A200,"&gt;="&amp;$A201-1,$A$5:$A200,"&lt;="&amp;$A201,$B$5:$B200,$B201)&gt;0,MIN(1-'Exercise list'!O$2,IF($A201=$A200,AU200,1))-Z201&lt;0),-1,MIN(1,IF($A201=$A200,AU200,1)-Z201+$D$2))</f>
        <v>1</v>
      </c>
      <c r="AV201">
        <f>IF(OR($J201=1,COUNTIFS($A$5:$A200,"&gt;="&amp;$A201-1,$A$5:$A200,"&lt;="&amp;$A201,$B$5:$B200,$B201)&gt;0,MIN(1-'Exercise list'!P$2,IF($A201=$A200,AV200,1))-AA201&lt;0),-1,MIN(1,IF($A201=$A200,AV200,1)-AA201+$D$2))</f>
        <v>1</v>
      </c>
      <c r="AW201">
        <f>IF(OR($J201=1,COUNTIFS($A$5:$A200,"&gt;="&amp;$A201-1,$A$5:$A200,"&lt;="&amp;$A201,$B$5:$B200,$B201)&gt;0,MIN(1-'Exercise list'!Q$2,IF($A201=$A200,AW200,1))-AB201&lt;0),-1,MIN(1,IF($A201=$A200,AW200,1)-AB201+$D$2))</f>
        <v>1</v>
      </c>
      <c r="AX201">
        <f>IF(OR($J201=1,COUNTIFS($A$5:$A200,"&gt;="&amp;$A201-1,$A$5:$A200,"&lt;="&amp;$A201,$B$5:$B200,$B201)&gt;0,MIN(1-'Exercise list'!R$2,IF($A201=$A200,AX200,1))-AC201&lt;0),-1,MIN(1,IF($A201=$A200,AX200,1)-AC201+$D$2))</f>
        <v>1</v>
      </c>
      <c r="AY201">
        <f>IF(OR($J201=1,COUNTIFS($A$5:$A200,"&gt;="&amp;$A201-1,$A$5:$A200,"&lt;="&amp;$A201,$B$5:$B200,$B201)&gt;0,MIN(1-'Exercise list'!S$2,IF($A201=$A200,AY200,1))-AD201&lt;0),-1,MIN(1,IF($A201=$A200,AY200,1)-AD201+$D$2))</f>
        <v>1</v>
      </c>
      <c r="AZ201">
        <f>IF(OR($J201=1,COUNTIFS($A$5:$A200,"&gt;="&amp;$A201-1,$A$5:$A200,"&lt;="&amp;$A201,$B$5:$B200,$B201)&gt;0,MIN(1-'Exercise list'!T$2,IF($A201=$A200,AZ200,1))-AE201&lt;0),-1,MIN(1,IF($A201=$A200,AZ200,1)-AE201+$D$2))</f>
        <v>1</v>
      </c>
      <c r="BA201">
        <f>IF(OR($J201=1,COUNTIFS($A$5:$A200,"&gt;="&amp;$A201-1,$A$5:$A200,"&lt;="&amp;$A201,$B$5:$B200,$B201)&gt;0,MIN(1-'Exercise list'!U$2,IF($A201=$A200,BA200,1))-AF201&lt;0),-1,MIN(1,IF($A201=$A200,BA200,1)-AF201+$D$2))</f>
        <v>1</v>
      </c>
      <c r="BB201">
        <f>IF(OR($J201=1,COUNTIFS($A$5:$A200,"&gt;="&amp;$A201-1,$A$5:$A200,"&lt;="&amp;$A201,$B$5:$B200,$B201)&gt;0,MIN(1-'Exercise list'!V$2,IF($A201=$A200,BB200,1))-AG201&lt;0),-1,MIN(1,IF($A201=$A200,BB200,1)-AG201+$D$2))</f>
        <v>1</v>
      </c>
      <c r="BC201">
        <f>IF(OR($J201=1,COUNTIFS($A$5:$A200,"&gt;="&amp;$A201-1,$A$5:$A200,"&lt;="&amp;$A201,$B$5:$B200,$B201)&gt;0,MIN(1-'Exercise list'!W$2,IF($A201=$A200,BC200,1))-AH201&lt;0),-1,MIN(1,IF($A201=$A200,BC200,1)-AH201+$D$2))</f>
        <v>1</v>
      </c>
      <c r="BD201">
        <f>IF(OR($J201=1,COUNTIFS($A$5:$A200,"&gt;="&amp;$A201-1,$A$5:$A200,"&lt;="&amp;$A201,$B$5:$B200,$B201)&gt;0,MIN(1-'Exercise list'!X$2,IF($A201=$A200,BD200,1))-AI201&lt;0),-1,MIN(1,IF($A201=$A200,BD200,1)-AI201+$D$2))</f>
        <v>1</v>
      </c>
      <c r="BF201" s="16">
        <f t="shared" si="145"/>
        <v>0.19596031081758858</v>
      </c>
      <c r="BG201" s="16">
        <f t="shared" si="146"/>
        <v>0.21844636935459236</v>
      </c>
      <c r="BH201" s="16">
        <f t="shared" si="147"/>
        <v>0.14609696635987124</v>
      </c>
      <c r="BI201" s="16">
        <f t="shared" si="148"/>
        <v>0.13198015366034541</v>
      </c>
      <c r="BJ201" s="16">
        <f t="shared" si="149"/>
        <v>8.3367914198418713E-2</v>
      </c>
      <c r="BK201" s="16">
        <f t="shared" si="150"/>
        <v>0.10640640223148412</v>
      </c>
      <c r="BL201" s="16">
        <f t="shared" si="151"/>
        <v>0.21963504743569431</v>
      </c>
      <c r="BM201" s="16">
        <f t="shared" si="152"/>
        <v>3.8988008374820568E-3</v>
      </c>
      <c r="BN201" s="16">
        <f t="shared" si="153"/>
        <v>0.14537706087090876</v>
      </c>
      <c r="BO201" s="16">
        <f t="shared" si="154"/>
        <v>0.29209790661993401</v>
      </c>
      <c r="BP201" s="16">
        <f t="shared" si="155"/>
        <v>0.31584545163401867</v>
      </c>
      <c r="BQ201" s="16">
        <f t="shared" si="156"/>
        <v>0.1000007994126096</v>
      </c>
      <c r="BR201" s="16">
        <f t="shared" si="157"/>
        <v>0.13164487759885393</v>
      </c>
      <c r="BS201" s="16">
        <f t="shared" si="158"/>
        <v>2.9803550189863123E-2</v>
      </c>
      <c r="BT201" s="16">
        <f t="shared" si="159"/>
        <v>0.13492040904978705</v>
      </c>
      <c r="BU201" s="16">
        <f t="shared" si="160"/>
        <v>0.11703687414398131</v>
      </c>
      <c r="BV201" s="16">
        <f t="shared" si="161"/>
        <v>0.14633353213781661</v>
      </c>
      <c r="BW201" s="16">
        <f t="shared" si="162"/>
        <v>7.5588015111767173E-2</v>
      </c>
      <c r="BX201" s="16">
        <f t="shared" si="163"/>
        <v>8.0345659937185704E-2</v>
      </c>
      <c r="BY201" s="16">
        <f t="shared" si="164"/>
        <v>5.9014643151272549E-2</v>
      </c>
      <c r="CA201" s="16" t="str">
        <f t="shared" si="141"/>
        <v/>
      </c>
      <c r="CB201" s="16" t="str">
        <f t="shared" si="166"/>
        <v/>
      </c>
      <c r="CC201" s="16" t="str">
        <f t="shared" si="167"/>
        <v/>
      </c>
      <c r="CD201" s="16" t="str">
        <f t="shared" si="168"/>
        <v/>
      </c>
      <c r="CE201" s="16" t="str">
        <f t="shared" si="169"/>
        <v/>
      </c>
      <c r="CF201" s="16" t="str">
        <f t="shared" si="170"/>
        <v/>
      </c>
      <c r="CG201" s="16" t="str">
        <f t="shared" si="171"/>
        <v/>
      </c>
      <c r="CH201" s="16" t="str">
        <f t="shared" si="172"/>
        <v/>
      </c>
      <c r="CI201" s="16" t="str">
        <f t="shared" si="173"/>
        <v/>
      </c>
      <c r="CJ201" s="16" t="str">
        <f t="shared" si="174"/>
        <v/>
      </c>
      <c r="CK201" s="16" t="str">
        <f t="shared" si="175"/>
        <v/>
      </c>
      <c r="CL201" s="16" t="str">
        <f t="shared" si="176"/>
        <v/>
      </c>
      <c r="CM201" s="16" t="str">
        <f t="shared" si="177"/>
        <v/>
      </c>
      <c r="CN201" s="16" t="str">
        <f t="shared" si="178"/>
        <v/>
      </c>
      <c r="CO201" s="16" t="str">
        <f t="shared" si="179"/>
        <v/>
      </c>
      <c r="CP201" s="16" t="str">
        <f t="shared" si="180"/>
        <v/>
      </c>
      <c r="CQ201" s="16" t="str">
        <f t="shared" si="181"/>
        <v/>
      </c>
      <c r="CR201" s="16" t="str">
        <f t="shared" si="182"/>
        <v/>
      </c>
      <c r="CS201" s="16" t="str">
        <f t="shared" si="183"/>
        <v/>
      </c>
      <c r="CT201" s="16" t="str">
        <f t="shared" si="184"/>
        <v/>
      </c>
    </row>
    <row r="202" spans="1:99" x14ac:dyDescent="0.25">
      <c r="A202" s="13"/>
      <c r="B202" s="14"/>
      <c r="C202" s="15" t="str" cm="1">
        <f t="array" ref="C202">IF(B202="","",INDEX('Exercise list'!$C$5:$C$102,B202))</f>
        <v/>
      </c>
      <c r="D202" s="12" t="str">
        <f t="shared" si="142"/>
        <v/>
      </c>
      <c r="E202" s="107" t="str">
        <f t="shared" si="165"/>
        <v/>
      </c>
      <c r="F202" s="63" t="str" cm="1">
        <f t="array" ref="F202">IF(B202="","",0.1+IFERROR(INDEX($F$6:$F201,SUMPRODUCT(MAX(ROW($C$6:$C201)*($C202=$C$6:$C201))-ROW($A$5)))*0.9^($A202-INDEX($A$6:A201,SUMPRODUCT(MAX(ROW($C$6:$C201)*($C202=$C$6:$C201))-ROW($A$5)))),0))</f>
        <v/>
      </c>
      <c r="G202" s="64" t="e">
        <f>INDEX('Exercise list'!$Y$5:$Y$102,MATCH(C202,'Exercise list'!$C$5:$C$102,0))</f>
        <v>#N/A</v>
      </c>
      <c r="H202" s="115">
        <f t="shared" si="143"/>
        <v>0</v>
      </c>
      <c r="I202" s="6">
        <f t="shared" si="144"/>
        <v>5</v>
      </c>
      <c r="J202" s="6" t="str" cm="1">
        <f t="array" ref="J202">IF(B202="","",INDEX('Exercise list'!$D$5:$D$102,B202))</f>
        <v/>
      </c>
      <c r="K202" s="12"/>
      <c r="L202" s="74" t="str" cm="1">
        <f t="array" ref="L202">IF(K202="","",INDEX('Exercise list'!$C$5:$C$102,K202))</f>
        <v/>
      </c>
      <c r="M202" s="6"/>
      <c r="N202" s="75" t="str" cm="1">
        <f t="array" ref="N202">IF(M202="","",INDEX('Exercise list'!$C$5:$C$102,M202))</f>
        <v/>
      </c>
      <c r="P202">
        <f>IFERROR(INDEX('Exercise list'!$E$5:$X$102,MATCH($C202,'Exercise list'!$C$5:$C$102,0),MATCH(P$5,'Exercise list'!$E$4:$X$4,0)),0)</f>
        <v>0</v>
      </c>
      <c r="Q202">
        <f>IFERROR(INDEX('Exercise list'!$E$5:$X$102,MATCH($C202,'Exercise list'!$C$5:$C$102,0),MATCH(Q$5,'Exercise list'!$E$4:$X$4,0)),0)</f>
        <v>0</v>
      </c>
      <c r="R202">
        <f>IFERROR(INDEX('Exercise list'!$E$5:$X$102,MATCH($C202,'Exercise list'!$C$5:$C$102,0),MATCH(R$5,'Exercise list'!$E$4:$X$4,0)),0)</f>
        <v>0</v>
      </c>
      <c r="S202">
        <f>IFERROR(INDEX('Exercise list'!$E$5:$X$102,MATCH($C202,'Exercise list'!$C$5:$C$102,0),MATCH(S$5,'Exercise list'!$E$4:$X$4,0)),0)</f>
        <v>0</v>
      </c>
      <c r="T202">
        <f>IFERROR(INDEX('Exercise list'!$E$5:$X$102,MATCH($C202,'Exercise list'!$C$5:$C$102,0),MATCH(T$5,'Exercise list'!$E$4:$X$4,0)),0)</f>
        <v>0</v>
      </c>
      <c r="U202">
        <f>IFERROR(INDEX('Exercise list'!$E$5:$X$102,MATCH($C202,'Exercise list'!$C$5:$C$102,0),MATCH(U$5,'Exercise list'!$E$4:$X$4,0)),0)</f>
        <v>0</v>
      </c>
      <c r="V202">
        <f>IFERROR(INDEX('Exercise list'!$E$5:$X$102,MATCH($C202,'Exercise list'!$C$5:$C$102,0),MATCH(V$5,'Exercise list'!$E$4:$X$4,0)),0)</f>
        <v>0</v>
      </c>
      <c r="W202">
        <f>IFERROR(INDEX('Exercise list'!$E$5:$X$102,MATCH($C202,'Exercise list'!$C$5:$C$102,0),MATCH(W$5,'Exercise list'!$E$4:$X$4,0)),0)</f>
        <v>0</v>
      </c>
      <c r="X202">
        <f>IFERROR(INDEX('Exercise list'!$E$5:$X$102,MATCH($C202,'Exercise list'!$C$5:$C$102,0),MATCH(X$5,'Exercise list'!$E$4:$X$4,0)),0)</f>
        <v>0</v>
      </c>
      <c r="Y202">
        <f>IFERROR(INDEX('Exercise list'!$E$5:$X$102,MATCH($C202,'Exercise list'!$C$5:$C$102,0),MATCH(Y$5,'Exercise list'!$E$4:$X$4,0)),0)</f>
        <v>0</v>
      </c>
      <c r="Z202">
        <f>IFERROR(INDEX('Exercise list'!$E$5:$X$102,MATCH($C202,'Exercise list'!$C$5:$C$102,0),MATCH(Z$5,'Exercise list'!$E$4:$X$4,0)),0)</f>
        <v>0</v>
      </c>
      <c r="AA202">
        <f>IFERROR(INDEX('Exercise list'!$E$5:$X$102,MATCH($C202,'Exercise list'!$C$5:$C$102,0),MATCH(AA$5,'Exercise list'!$E$4:$X$4,0)),0)</f>
        <v>0</v>
      </c>
      <c r="AB202">
        <f>IFERROR(INDEX('Exercise list'!$E$5:$X$102,MATCH($C202,'Exercise list'!$C$5:$C$102,0),MATCH(AB$5,'Exercise list'!$E$4:$X$4,0)),0)</f>
        <v>0</v>
      </c>
      <c r="AC202">
        <f>IFERROR(INDEX('Exercise list'!$E$5:$X$102,MATCH($C202,'Exercise list'!$C$5:$C$102,0),MATCH(AC$5,'Exercise list'!$E$4:$X$4,0)),0)</f>
        <v>0</v>
      </c>
      <c r="AD202">
        <f>IFERROR(INDEX('Exercise list'!$E$5:$X$102,MATCH($C202,'Exercise list'!$C$5:$C$102,0),MATCH(AD$5,'Exercise list'!$E$4:$X$4,0)),0)</f>
        <v>0</v>
      </c>
      <c r="AE202">
        <f>IFERROR(INDEX('Exercise list'!$E$5:$X$102,MATCH($C202,'Exercise list'!$C$5:$C$102,0),MATCH(AE$5,'Exercise list'!$E$4:$X$4,0)),0)</f>
        <v>0</v>
      </c>
      <c r="AF202">
        <f>IFERROR(INDEX('Exercise list'!$E$5:$X$102,MATCH($C202,'Exercise list'!$C$5:$C$102,0),MATCH(AF$5,'Exercise list'!$E$4:$X$4,0)),0)</f>
        <v>0</v>
      </c>
      <c r="AG202">
        <f>IFERROR(INDEX('Exercise list'!$E$5:$X$102,MATCH($C202,'Exercise list'!$C$5:$C$102,0),MATCH(AG$5,'Exercise list'!$E$4:$X$4,0)),0)</f>
        <v>0</v>
      </c>
      <c r="AH202">
        <f>IFERROR(INDEX('Exercise list'!$E$5:$X$102,MATCH($C202,'Exercise list'!$C$5:$C$102,0),MATCH(AH$5,'Exercise list'!$E$4:$X$4,0)),0)</f>
        <v>0</v>
      </c>
      <c r="AI202">
        <f>IFERROR(INDEX('Exercise list'!$E$5:$X$102,MATCH($C202,'Exercise list'!$C$5:$C$102,0),MATCH(AI$5,'Exercise list'!$E$4:$X$4,0)),0)</f>
        <v>0</v>
      </c>
      <c r="AK202">
        <f>IF(OR($J202=1,COUNTIFS($A$5:$A201,"&gt;="&amp;$A202-1,$A$5:$A201,"&lt;="&amp;$A202,$B$5:$B201,$B202)&gt;0,MIN(1-'Exercise list'!E$2,IF($A202=$A201,AK201,1))-P202&lt;0),-1,MIN(1,IF($A202=$A201,AK201,1)-P202+$D$2))</f>
        <v>1</v>
      </c>
      <c r="AL202">
        <f>IF(OR($J202=1,COUNTIFS($A$5:$A201,"&gt;="&amp;$A202-1,$A$5:$A201,"&lt;="&amp;$A202,$B$5:$B201,$B202)&gt;0,MIN(1-'Exercise list'!F$2,IF($A202=$A201,AL201,1))-Q202&lt;0),-1,MIN(1,IF($A202=$A201,AL201,1)-Q202+$D$2))</f>
        <v>1</v>
      </c>
      <c r="AM202">
        <f>IF(OR($J202=1,COUNTIFS($A$5:$A201,"&gt;="&amp;$A202-1,$A$5:$A201,"&lt;="&amp;$A202,$B$5:$B201,$B202)&gt;0,MIN(1-'Exercise list'!G$2,IF($A202=$A201,AM201,1))-R202&lt;0),-1,MIN(1,IF($A202=$A201,AM201,1)-R202+$D$2))</f>
        <v>1</v>
      </c>
      <c r="AN202">
        <f>IF(OR($J202=1,COUNTIFS($A$5:$A201,"&gt;="&amp;$A202-1,$A$5:$A201,"&lt;="&amp;$A202,$B$5:$B201,$B202)&gt;0,MIN(1-'Exercise list'!H$2,IF($A202=$A201,AN201,1))-S202&lt;0),-1,MIN(1,IF($A202=$A201,AN201,1)-S202+$D$2))</f>
        <v>1</v>
      </c>
      <c r="AO202">
        <f>IF(OR($J202=1,COUNTIFS($A$5:$A201,"&gt;="&amp;$A202-1,$A$5:$A201,"&lt;="&amp;$A202,$B$5:$B201,$B202)&gt;0,MIN(1-'Exercise list'!I$2,IF($A202=$A201,AO201,1))-T202&lt;0),-1,MIN(1,IF($A202=$A201,AO201,1)-T202+$D$2))</f>
        <v>1</v>
      </c>
      <c r="AP202">
        <f>IF(OR($J202=1,COUNTIFS($A$5:$A201,"&gt;="&amp;$A202-1,$A$5:$A201,"&lt;="&amp;$A202,$B$5:$B201,$B202)&gt;0,MIN(1-'Exercise list'!J$2,IF($A202=$A201,AP201,1))-U202&lt;0),-1,MIN(1,IF($A202=$A201,AP201,1)-U202+$D$2))</f>
        <v>1</v>
      </c>
      <c r="AQ202">
        <f>IF(OR($J202=1,COUNTIFS($A$5:$A201,"&gt;="&amp;$A202-1,$A$5:$A201,"&lt;="&amp;$A202,$B$5:$B201,$B202)&gt;0,MIN(1-'Exercise list'!K$2,IF($A202=$A201,AQ201,1))-V202&lt;0),-1,MIN(1,IF($A202=$A201,AQ201,1)-V202+$D$2))</f>
        <v>1</v>
      </c>
      <c r="AR202">
        <f>IF(OR($J202=1,COUNTIFS($A$5:$A201,"&gt;="&amp;$A202-1,$A$5:$A201,"&lt;="&amp;$A202,$B$5:$B201,$B202)&gt;0,MIN(1-'Exercise list'!L$2,IF($A202=$A201,AR201,1))-W202&lt;0),-1,MIN(1,IF($A202=$A201,AR201,1)-W202+$D$2))</f>
        <v>1</v>
      </c>
      <c r="AS202">
        <f>IF(OR($J202=1,COUNTIFS($A$5:$A201,"&gt;="&amp;$A202-1,$A$5:$A201,"&lt;="&amp;$A202,$B$5:$B201,$B202)&gt;0,MIN(1-'Exercise list'!M$2,IF($A202=$A201,AS201,1))-X202&lt;0),-1,MIN(1,IF($A202=$A201,AS201,1)-X202+$D$2))</f>
        <v>1</v>
      </c>
      <c r="AT202">
        <f>IF(OR($J202=1,COUNTIFS($A$5:$A201,"&gt;="&amp;$A202-1,$A$5:$A201,"&lt;="&amp;$A202,$B$5:$B201,$B202)&gt;0,MIN(1-'Exercise list'!N$2,IF($A202=$A201,AT201,1))-Y202&lt;0),-1,MIN(1,IF($A202=$A201,AT201,1)-Y202+$D$2))</f>
        <v>1</v>
      </c>
      <c r="AU202">
        <f>IF(OR($J202=1,COUNTIFS($A$5:$A201,"&gt;="&amp;$A202-1,$A$5:$A201,"&lt;="&amp;$A202,$B$5:$B201,$B202)&gt;0,MIN(1-'Exercise list'!O$2,IF($A202=$A201,AU201,1))-Z202&lt;0),-1,MIN(1,IF($A202=$A201,AU201,1)-Z202+$D$2))</f>
        <v>1</v>
      </c>
      <c r="AV202">
        <f>IF(OR($J202=1,COUNTIFS($A$5:$A201,"&gt;="&amp;$A202-1,$A$5:$A201,"&lt;="&amp;$A202,$B$5:$B201,$B202)&gt;0,MIN(1-'Exercise list'!P$2,IF($A202=$A201,AV201,1))-AA202&lt;0),-1,MIN(1,IF($A202=$A201,AV201,1)-AA202+$D$2))</f>
        <v>1</v>
      </c>
      <c r="AW202">
        <f>IF(OR($J202=1,COUNTIFS($A$5:$A201,"&gt;="&amp;$A202-1,$A$5:$A201,"&lt;="&amp;$A202,$B$5:$B201,$B202)&gt;0,MIN(1-'Exercise list'!Q$2,IF($A202=$A201,AW201,1))-AB202&lt;0),-1,MIN(1,IF($A202=$A201,AW201,1)-AB202+$D$2))</f>
        <v>1</v>
      </c>
      <c r="AX202">
        <f>IF(OR($J202=1,COUNTIFS($A$5:$A201,"&gt;="&amp;$A202-1,$A$5:$A201,"&lt;="&amp;$A202,$B$5:$B201,$B202)&gt;0,MIN(1-'Exercise list'!R$2,IF($A202=$A201,AX201,1))-AC202&lt;0),-1,MIN(1,IF($A202=$A201,AX201,1)-AC202+$D$2))</f>
        <v>1</v>
      </c>
      <c r="AY202">
        <f>IF(OR($J202=1,COUNTIFS($A$5:$A201,"&gt;="&amp;$A202-1,$A$5:$A201,"&lt;="&amp;$A202,$B$5:$B201,$B202)&gt;0,MIN(1-'Exercise list'!S$2,IF($A202=$A201,AY201,1))-AD202&lt;0),-1,MIN(1,IF($A202=$A201,AY201,1)-AD202+$D$2))</f>
        <v>1</v>
      </c>
      <c r="AZ202">
        <f>IF(OR($J202=1,COUNTIFS($A$5:$A201,"&gt;="&amp;$A202-1,$A$5:$A201,"&lt;="&amp;$A202,$B$5:$B201,$B202)&gt;0,MIN(1-'Exercise list'!T$2,IF($A202=$A201,AZ201,1))-AE202&lt;0),-1,MIN(1,IF($A202=$A201,AZ201,1)-AE202+$D$2))</f>
        <v>1</v>
      </c>
      <c r="BA202">
        <f>IF(OR($J202=1,COUNTIFS($A$5:$A201,"&gt;="&amp;$A202-1,$A$5:$A201,"&lt;="&amp;$A202,$B$5:$B201,$B202)&gt;0,MIN(1-'Exercise list'!U$2,IF($A202=$A201,BA201,1))-AF202&lt;0),-1,MIN(1,IF($A202=$A201,BA201,1)-AF202+$D$2))</f>
        <v>1</v>
      </c>
      <c r="BB202">
        <f>IF(OR($J202=1,COUNTIFS($A$5:$A201,"&gt;="&amp;$A202-1,$A$5:$A201,"&lt;="&amp;$A202,$B$5:$B201,$B202)&gt;0,MIN(1-'Exercise list'!V$2,IF($A202=$A201,BB201,1))-AG202&lt;0),-1,MIN(1,IF($A202=$A201,BB201,1)-AG202+$D$2))</f>
        <v>1</v>
      </c>
      <c r="BC202">
        <f>IF(OR($J202=1,COUNTIFS($A$5:$A201,"&gt;="&amp;$A202-1,$A$5:$A201,"&lt;="&amp;$A202,$B$5:$B201,$B202)&gt;0,MIN(1-'Exercise list'!W$2,IF($A202=$A201,BC201,1))-AH202&lt;0),-1,MIN(1,IF($A202=$A201,BC201,1)-AH202+$D$2))</f>
        <v>1</v>
      </c>
      <c r="BD202">
        <f>IF(OR($J202=1,COUNTIFS($A$5:$A201,"&gt;="&amp;$A202-1,$A$5:$A201,"&lt;="&amp;$A202,$B$5:$B201,$B202)&gt;0,MIN(1-'Exercise list'!X$2,IF($A202=$A201,BD201,1))-AI202&lt;0),-1,MIN(1,IF($A202=$A201,BD201,1)-AI202+$D$2))</f>
        <v>1</v>
      </c>
      <c r="BF202" s="16">
        <f t="shared" si="145"/>
        <v>0.19596031081758858</v>
      </c>
      <c r="BG202" s="16">
        <f t="shared" si="146"/>
        <v>0.21844636935459236</v>
      </c>
      <c r="BH202" s="16">
        <f t="shared" si="147"/>
        <v>0.14609696635987124</v>
      </c>
      <c r="BI202" s="16">
        <f t="shared" si="148"/>
        <v>0.13198015366034541</v>
      </c>
      <c r="BJ202" s="16">
        <f t="shared" si="149"/>
        <v>8.3367914198418713E-2</v>
      </c>
      <c r="BK202" s="16">
        <f t="shared" si="150"/>
        <v>0.10640640223148412</v>
      </c>
      <c r="BL202" s="16">
        <f t="shared" si="151"/>
        <v>0.21963504743569431</v>
      </c>
      <c r="BM202" s="16">
        <f t="shared" si="152"/>
        <v>3.8988008374820568E-3</v>
      </c>
      <c r="BN202" s="16">
        <f t="shared" si="153"/>
        <v>0.14537706087090876</v>
      </c>
      <c r="BO202" s="16">
        <f t="shared" si="154"/>
        <v>0.29209790661993401</v>
      </c>
      <c r="BP202" s="16">
        <f t="shared" si="155"/>
        <v>0.31584545163401867</v>
      </c>
      <c r="BQ202" s="16">
        <f t="shared" si="156"/>
        <v>0.1000007994126096</v>
      </c>
      <c r="BR202" s="16">
        <f t="shared" si="157"/>
        <v>0.13164487759885393</v>
      </c>
      <c r="BS202" s="16">
        <f t="shared" si="158"/>
        <v>2.9803550189863123E-2</v>
      </c>
      <c r="BT202" s="16">
        <f t="shared" si="159"/>
        <v>0.13492040904978705</v>
      </c>
      <c r="BU202" s="16">
        <f t="shared" si="160"/>
        <v>0.11703687414398131</v>
      </c>
      <c r="BV202" s="16">
        <f t="shared" si="161"/>
        <v>0.14633353213781661</v>
      </c>
      <c r="BW202" s="16">
        <f t="shared" si="162"/>
        <v>7.5588015111767173E-2</v>
      </c>
      <c r="BX202" s="16">
        <f t="shared" si="163"/>
        <v>8.0345659937185704E-2</v>
      </c>
      <c r="BY202" s="16">
        <f t="shared" si="164"/>
        <v>5.9014643151272549E-2</v>
      </c>
      <c r="CA202" s="16" t="str">
        <f t="shared" si="141"/>
        <v/>
      </c>
      <c r="CB202" s="16" t="str">
        <f t="shared" si="166"/>
        <v/>
      </c>
      <c r="CC202" s="16" t="str">
        <f t="shared" si="167"/>
        <v/>
      </c>
      <c r="CD202" s="16" t="str">
        <f t="shared" si="168"/>
        <v/>
      </c>
      <c r="CE202" s="16" t="str">
        <f t="shared" si="169"/>
        <v/>
      </c>
      <c r="CF202" s="16" t="str">
        <f t="shared" si="170"/>
        <v/>
      </c>
      <c r="CG202" s="16" t="str">
        <f t="shared" si="171"/>
        <v/>
      </c>
      <c r="CH202" s="16" t="str">
        <f t="shared" si="172"/>
        <v/>
      </c>
      <c r="CI202" s="16" t="str">
        <f t="shared" si="173"/>
        <v/>
      </c>
      <c r="CJ202" s="16" t="str">
        <f t="shared" si="174"/>
        <v/>
      </c>
      <c r="CK202" s="16" t="str">
        <f t="shared" si="175"/>
        <v/>
      </c>
      <c r="CL202" s="16" t="str">
        <f t="shared" si="176"/>
        <v/>
      </c>
      <c r="CM202" s="16" t="str">
        <f t="shared" si="177"/>
        <v/>
      </c>
      <c r="CN202" s="16" t="str">
        <f t="shared" si="178"/>
        <v/>
      </c>
      <c r="CO202" s="16" t="str">
        <f t="shared" si="179"/>
        <v/>
      </c>
      <c r="CP202" s="16" t="str">
        <f t="shared" si="180"/>
        <v/>
      </c>
      <c r="CQ202" s="16" t="str">
        <f t="shared" si="181"/>
        <v/>
      </c>
      <c r="CR202" s="16" t="str">
        <f t="shared" si="182"/>
        <v/>
      </c>
      <c r="CS202" s="16" t="str">
        <f t="shared" si="183"/>
        <v/>
      </c>
      <c r="CT202" s="16" t="str">
        <f t="shared" si="184"/>
        <v/>
      </c>
    </row>
    <row r="203" spans="1:99" x14ac:dyDescent="0.25">
      <c r="A203" s="20"/>
      <c r="B203" s="21"/>
      <c r="C203" s="22" t="str" cm="1">
        <f t="array" ref="C203">IF(B203="","",INDEX('Exercise list'!$C$5:$C$102,B203))</f>
        <v/>
      </c>
      <c r="D203" s="17" t="str">
        <f t="shared" si="142"/>
        <v/>
      </c>
      <c r="E203" s="108" t="str">
        <f t="shared" si="165"/>
        <v/>
      </c>
      <c r="F203" s="65" t="str" cm="1">
        <f t="array" ref="F203">IF(B203="","",0.1+IFERROR(INDEX($F$6:$F202,SUMPRODUCT(MAX(ROW($C$6:$C202)*($C203=$C$6:$C202))-ROW($A$5)))*0.9^($A203-INDEX($A$6:A202,SUMPRODUCT(MAX(ROW($C$6:$C202)*($C203=$C$6:$C202))-ROW($A$5)))),0))</f>
        <v/>
      </c>
      <c r="G203" s="25" t="e">
        <f>INDEX('Exercise list'!$Y$5:$Y$102,MATCH(C203,'Exercise list'!$C$5:$C$102,0))</f>
        <v>#N/A</v>
      </c>
      <c r="H203" s="116">
        <f t="shared" si="143"/>
        <v>0</v>
      </c>
      <c r="I203" s="18">
        <f t="shared" si="144"/>
        <v>5</v>
      </c>
      <c r="J203" s="18" t="str" cm="1">
        <f t="array" ref="J203">IF(B203="","",INDEX('Exercise list'!$D$5:$D$102,B203))</f>
        <v/>
      </c>
      <c r="K203" s="17"/>
      <c r="L203" s="51" t="str" cm="1">
        <f t="array" ref="L203">IF(K203="","",INDEX('Exercise list'!$C$5:$C$102,K203))</f>
        <v/>
      </c>
      <c r="M203" s="18"/>
      <c r="N203" s="76" t="str" cm="1">
        <f t="array" ref="N203">IF(M203="","",INDEX('Exercise list'!$C$5:$C$102,M203))</f>
        <v/>
      </c>
      <c r="O203" s="19"/>
      <c r="P203" s="19">
        <f>IFERROR(INDEX('Exercise list'!$E$5:$X$102,MATCH($C203,'Exercise list'!$C$5:$C$102,0),MATCH(P$5,'Exercise list'!$E$4:$X$4,0)),0)</f>
        <v>0</v>
      </c>
      <c r="Q203" s="19">
        <f>IFERROR(INDEX('Exercise list'!$E$5:$X$102,MATCH($C203,'Exercise list'!$C$5:$C$102,0),MATCH(Q$5,'Exercise list'!$E$4:$X$4,0)),0)</f>
        <v>0</v>
      </c>
      <c r="R203" s="19">
        <f>IFERROR(INDEX('Exercise list'!$E$5:$X$102,MATCH($C203,'Exercise list'!$C$5:$C$102,0),MATCH(R$5,'Exercise list'!$E$4:$X$4,0)),0)</f>
        <v>0</v>
      </c>
      <c r="S203" s="19">
        <f>IFERROR(INDEX('Exercise list'!$E$5:$X$102,MATCH($C203,'Exercise list'!$C$5:$C$102,0),MATCH(S$5,'Exercise list'!$E$4:$X$4,0)),0)</f>
        <v>0</v>
      </c>
      <c r="T203" s="19">
        <f>IFERROR(INDEX('Exercise list'!$E$5:$X$102,MATCH($C203,'Exercise list'!$C$5:$C$102,0),MATCH(T$5,'Exercise list'!$E$4:$X$4,0)),0)</f>
        <v>0</v>
      </c>
      <c r="U203" s="19">
        <f>IFERROR(INDEX('Exercise list'!$E$5:$X$102,MATCH($C203,'Exercise list'!$C$5:$C$102,0),MATCH(U$5,'Exercise list'!$E$4:$X$4,0)),0)</f>
        <v>0</v>
      </c>
      <c r="V203" s="19">
        <f>IFERROR(INDEX('Exercise list'!$E$5:$X$102,MATCH($C203,'Exercise list'!$C$5:$C$102,0),MATCH(V$5,'Exercise list'!$E$4:$X$4,0)),0)</f>
        <v>0</v>
      </c>
      <c r="W203" s="19">
        <f>IFERROR(INDEX('Exercise list'!$E$5:$X$102,MATCH($C203,'Exercise list'!$C$5:$C$102,0),MATCH(W$5,'Exercise list'!$E$4:$X$4,0)),0)</f>
        <v>0</v>
      </c>
      <c r="X203" s="19">
        <f>IFERROR(INDEX('Exercise list'!$E$5:$X$102,MATCH($C203,'Exercise list'!$C$5:$C$102,0),MATCH(X$5,'Exercise list'!$E$4:$X$4,0)),0)</f>
        <v>0</v>
      </c>
      <c r="Y203" s="19">
        <f>IFERROR(INDEX('Exercise list'!$E$5:$X$102,MATCH($C203,'Exercise list'!$C$5:$C$102,0),MATCH(Y$5,'Exercise list'!$E$4:$X$4,0)),0)</f>
        <v>0</v>
      </c>
      <c r="Z203" s="19">
        <f>IFERROR(INDEX('Exercise list'!$E$5:$X$102,MATCH($C203,'Exercise list'!$C$5:$C$102,0),MATCH(Z$5,'Exercise list'!$E$4:$X$4,0)),0)</f>
        <v>0</v>
      </c>
      <c r="AA203" s="19">
        <f>IFERROR(INDEX('Exercise list'!$E$5:$X$102,MATCH($C203,'Exercise list'!$C$5:$C$102,0),MATCH(AA$5,'Exercise list'!$E$4:$X$4,0)),0)</f>
        <v>0</v>
      </c>
      <c r="AB203" s="19">
        <f>IFERROR(INDEX('Exercise list'!$E$5:$X$102,MATCH($C203,'Exercise list'!$C$5:$C$102,0),MATCH(AB$5,'Exercise list'!$E$4:$X$4,0)),0)</f>
        <v>0</v>
      </c>
      <c r="AC203" s="19">
        <f>IFERROR(INDEX('Exercise list'!$E$5:$X$102,MATCH($C203,'Exercise list'!$C$5:$C$102,0),MATCH(AC$5,'Exercise list'!$E$4:$X$4,0)),0)</f>
        <v>0</v>
      </c>
      <c r="AD203" s="19">
        <f>IFERROR(INDEX('Exercise list'!$E$5:$X$102,MATCH($C203,'Exercise list'!$C$5:$C$102,0),MATCH(AD$5,'Exercise list'!$E$4:$X$4,0)),0)</f>
        <v>0</v>
      </c>
      <c r="AE203" s="19">
        <f>IFERROR(INDEX('Exercise list'!$E$5:$X$102,MATCH($C203,'Exercise list'!$C$5:$C$102,0),MATCH(AE$5,'Exercise list'!$E$4:$X$4,0)),0)</f>
        <v>0</v>
      </c>
      <c r="AF203" s="19">
        <f>IFERROR(INDEX('Exercise list'!$E$5:$X$102,MATCH($C203,'Exercise list'!$C$5:$C$102,0),MATCH(AF$5,'Exercise list'!$E$4:$X$4,0)),0)</f>
        <v>0</v>
      </c>
      <c r="AG203" s="19">
        <f>IFERROR(INDEX('Exercise list'!$E$5:$X$102,MATCH($C203,'Exercise list'!$C$5:$C$102,0),MATCH(AG$5,'Exercise list'!$E$4:$X$4,0)),0)</f>
        <v>0</v>
      </c>
      <c r="AH203" s="19">
        <f>IFERROR(INDEX('Exercise list'!$E$5:$X$102,MATCH($C203,'Exercise list'!$C$5:$C$102,0),MATCH(AH$5,'Exercise list'!$E$4:$X$4,0)),0)</f>
        <v>0</v>
      </c>
      <c r="AI203" s="19">
        <f>IFERROR(INDEX('Exercise list'!$E$5:$X$102,MATCH($C203,'Exercise list'!$C$5:$C$102,0),MATCH(AI$5,'Exercise list'!$E$4:$X$4,0)),0)</f>
        <v>0</v>
      </c>
      <c r="AJ203" s="19"/>
      <c r="AK203" s="19">
        <f>IF(OR($J203=1,COUNTIFS($A$5:$A202,"&gt;="&amp;$A203-1,$A$5:$A202,"&lt;="&amp;$A203,$B$5:$B202,$B203)&gt;0,MIN(1-'Exercise list'!E$2,IF($A203=$A202,AK202,1))-P203&lt;0),-1,MIN(1,IF($A203=$A202,AK202,1)-P203+$D$2))</f>
        <v>1</v>
      </c>
      <c r="AL203" s="19">
        <f>IF(OR($J203=1,COUNTIFS($A$5:$A202,"&gt;="&amp;$A203-1,$A$5:$A202,"&lt;="&amp;$A203,$B$5:$B202,$B203)&gt;0,MIN(1-'Exercise list'!F$2,IF($A203=$A202,AL202,1))-Q203&lt;0),-1,MIN(1,IF($A203=$A202,AL202,1)-Q203+$D$2))</f>
        <v>1</v>
      </c>
      <c r="AM203" s="19">
        <f>IF(OR($J203=1,COUNTIFS($A$5:$A202,"&gt;="&amp;$A203-1,$A$5:$A202,"&lt;="&amp;$A203,$B$5:$B202,$B203)&gt;0,MIN(1-'Exercise list'!G$2,IF($A203=$A202,AM202,1))-R203&lt;0),-1,MIN(1,IF($A203=$A202,AM202,1)-R203+$D$2))</f>
        <v>1</v>
      </c>
      <c r="AN203" s="19">
        <f>IF(OR($J203=1,COUNTIFS($A$5:$A202,"&gt;="&amp;$A203-1,$A$5:$A202,"&lt;="&amp;$A203,$B$5:$B202,$B203)&gt;0,MIN(1-'Exercise list'!H$2,IF($A203=$A202,AN202,1))-S203&lt;0),-1,MIN(1,IF($A203=$A202,AN202,1)-S203+$D$2))</f>
        <v>1</v>
      </c>
      <c r="AO203" s="19">
        <f>IF(OR($J203=1,COUNTIFS($A$5:$A202,"&gt;="&amp;$A203-1,$A$5:$A202,"&lt;="&amp;$A203,$B$5:$B202,$B203)&gt;0,MIN(1-'Exercise list'!I$2,IF($A203=$A202,AO202,1))-T203&lt;0),-1,MIN(1,IF($A203=$A202,AO202,1)-T203+$D$2))</f>
        <v>1</v>
      </c>
      <c r="AP203" s="19">
        <f>IF(OR($J203=1,COUNTIFS($A$5:$A202,"&gt;="&amp;$A203-1,$A$5:$A202,"&lt;="&amp;$A203,$B$5:$B202,$B203)&gt;0,MIN(1-'Exercise list'!J$2,IF($A203=$A202,AP202,1))-U203&lt;0),-1,MIN(1,IF($A203=$A202,AP202,1)-U203+$D$2))</f>
        <v>1</v>
      </c>
      <c r="AQ203" s="19">
        <f>IF(OR($J203=1,COUNTIFS($A$5:$A202,"&gt;="&amp;$A203-1,$A$5:$A202,"&lt;="&amp;$A203,$B$5:$B202,$B203)&gt;0,MIN(1-'Exercise list'!K$2,IF($A203=$A202,AQ202,1))-V203&lt;0),-1,MIN(1,IF($A203=$A202,AQ202,1)-V203+$D$2))</f>
        <v>1</v>
      </c>
      <c r="AR203" s="19">
        <f>IF(OR($J203=1,COUNTIFS($A$5:$A202,"&gt;="&amp;$A203-1,$A$5:$A202,"&lt;="&amp;$A203,$B$5:$B202,$B203)&gt;0,MIN(1-'Exercise list'!L$2,IF($A203=$A202,AR202,1))-W203&lt;0),-1,MIN(1,IF($A203=$A202,AR202,1)-W203+$D$2))</f>
        <v>1</v>
      </c>
      <c r="AS203" s="19">
        <f>IF(OR($J203=1,COUNTIFS($A$5:$A202,"&gt;="&amp;$A203-1,$A$5:$A202,"&lt;="&amp;$A203,$B$5:$B202,$B203)&gt;0,MIN(1-'Exercise list'!M$2,IF($A203=$A202,AS202,1))-X203&lt;0),-1,MIN(1,IF($A203=$A202,AS202,1)-X203+$D$2))</f>
        <v>1</v>
      </c>
      <c r="AT203" s="19">
        <f>IF(OR($J203=1,COUNTIFS($A$5:$A202,"&gt;="&amp;$A203-1,$A$5:$A202,"&lt;="&amp;$A203,$B$5:$B202,$B203)&gt;0,MIN(1-'Exercise list'!N$2,IF($A203=$A202,AT202,1))-Y203&lt;0),-1,MIN(1,IF($A203=$A202,AT202,1)-Y203+$D$2))</f>
        <v>1</v>
      </c>
      <c r="AU203" s="19">
        <f>IF(OR($J203=1,COUNTIFS($A$5:$A202,"&gt;="&amp;$A203-1,$A$5:$A202,"&lt;="&amp;$A203,$B$5:$B202,$B203)&gt;0,MIN(1-'Exercise list'!O$2,IF($A203=$A202,AU202,1))-Z203&lt;0),-1,MIN(1,IF($A203=$A202,AU202,1)-Z203+$D$2))</f>
        <v>1</v>
      </c>
      <c r="AV203" s="19">
        <f>IF(OR($J203=1,COUNTIFS($A$5:$A202,"&gt;="&amp;$A203-1,$A$5:$A202,"&lt;="&amp;$A203,$B$5:$B202,$B203)&gt;0,MIN(1-'Exercise list'!P$2,IF($A203=$A202,AV202,1))-AA203&lt;0),-1,MIN(1,IF($A203=$A202,AV202,1)-AA203+$D$2))</f>
        <v>1</v>
      </c>
      <c r="AW203" s="19">
        <f>IF(OR($J203=1,COUNTIFS($A$5:$A202,"&gt;="&amp;$A203-1,$A$5:$A202,"&lt;="&amp;$A203,$B$5:$B202,$B203)&gt;0,MIN(1-'Exercise list'!Q$2,IF($A203=$A202,AW202,1))-AB203&lt;0),-1,MIN(1,IF($A203=$A202,AW202,1)-AB203+$D$2))</f>
        <v>1</v>
      </c>
      <c r="AX203" s="19">
        <f>IF(OR($J203=1,COUNTIFS($A$5:$A202,"&gt;="&amp;$A203-1,$A$5:$A202,"&lt;="&amp;$A203,$B$5:$B202,$B203)&gt;0,MIN(1-'Exercise list'!R$2,IF($A203=$A202,AX202,1))-AC203&lt;0),-1,MIN(1,IF($A203=$A202,AX202,1)-AC203+$D$2))</f>
        <v>1</v>
      </c>
      <c r="AY203" s="19">
        <f>IF(OR($J203=1,COUNTIFS($A$5:$A202,"&gt;="&amp;$A203-1,$A$5:$A202,"&lt;="&amp;$A203,$B$5:$B202,$B203)&gt;0,MIN(1-'Exercise list'!S$2,IF($A203=$A202,AY202,1))-AD203&lt;0),-1,MIN(1,IF($A203=$A202,AY202,1)-AD203+$D$2))</f>
        <v>1</v>
      </c>
      <c r="AZ203" s="19">
        <f>IF(OR($J203=1,COUNTIFS($A$5:$A202,"&gt;="&amp;$A203-1,$A$5:$A202,"&lt;="&amp;$A203,$B$5:$B202,$B203)&gt;0,MIN(1-'Exercise list'!T$2,IF($A203=$A202,AZ202,1))-AE203&lt;0),-1,MIN(1,IF($A203=$A202,AZ202,1)-AE203+$D$2))</f>
        <v>1</v>
      </c>
      <c r="BA203" s="19">
        <f>IF(OR($J203=1,COUNTIFS($A$5:$A202,"&gt;="&amp;$A203-1,$A$5:$A202,"&lt;="&amp;$A203,$B$5:$B202,$B203)&gt;0,MIN(1-'Exercise list'!U$2,IF($A203=$A202,BA202,1))-AF203&lt;0),-1,MIN(1,IF($A203=$A202,BA202,1)-AF203+$D$2))</f>
        <v>1</v>
      </c>
      <c r="BB203" s="19">
        <f>IF(OR($J203=1,COUNTIFS($A$5:$A202,"&gt;="&amp;$A203-1,$A$5:$A202,"&lt;="&amp;$A203,$B$5:$B202,$B203)&gt;0,MIN(1-'Exercise list'!V$2,IF($A203=$A202,BB202,1))-AG203&lt;0),-1,MIN(1,IF($A203=$A202,BB202,1)-AG203+$D$2))</f>
        <v>1</v>
      </c>
      <c r="BC203" s="19">
        <f>IF(OR($J203=1,COUNTIFS($A$5:$A202,"&gt;="&amp;$A203-1,$A$5:$A202,"&lt;="&amp;$A203,$B$5:$B202,$B203)&gt;0,MIN(1-'Exercise list'!W$2,IF($A203=$A202,BC202,1))-AH203&lt;0),-1,MIN(1,IF($A203=$A202,BC202,1)-AH203+$D$2))</f>
        <v>1</v>
      </c>
      <c r="BD203" s="19">
        <f>IF(OR($J203=1,COUNTIFS($A$5:$A202,"&gt;="&amp;$A203-1,$A$5:$A202,"&lt;="&amp;$A203,$B$5:$B202,$B203)&gt;0,MIN(1-'Exercise list'!X$2,IF($A203=$A202,BD202,1))-AI203&lt;0),-1,MIN(1,IF($A203=$A202,BD202,1)-AI203+$D$2))</f>
        <v>1</v>
      </c>
      <c r="BE203" s="19"/>
      <c r="BF203" s="23">
        <f t="shared" si="145"/>
        <v>0.19596031081758858</v>
      </c>
      <c r="BG203" s="23">
        <f t="shared" si="146"/>
        <v>0.21844636935459236</v>
      </c>
      <c r="BH203" s="23">
        <f t="shared" si="147"/>
        <v>0.14609696635987124</v>
      </c>
      <c r="BI203" s="23">
        <f t="shared" si="148"/>
        <v>0.13198015366034541</v>
      </c>
      <c r="BJ203" s="23">
        <f t="shared" si="149"/>
        <v>8.3367914198418713E-2</v>
      </c>
      <c r="BK203" s="23">
        <f t="shared" si="150"/>
        <v>0.10640640223148412</v>
      </c>
      <c r="BL203" s="23">
        <f t="shared" si="151"/>
        <v>0.21963504743569431</v>
      </c>
      <c r="BM203" s="23">
        <f t="shared" si="152"/>
        <v>3.8988008374820568E-3</v>
      </c>
      <c r="BN203" s="23">
        <f t="shared" si="153"/>
        <v>0.14537706087090876</v>
      </c>
      <c r="BO203" s="23">
        <f t="shared" si="154"/>
        <v>0.29209790661993401</v>
      </c>
      <c r="BP203" s="23">
        <f t="shared" si="155"/>
        <v>0.31584545163401867</v>
      </c>
      <c r="BQ203" s="23">
        <f t="shared" si="156"/>
        <v>0.1000007994126096</v>
      </c>
      <c r="BR203" s="23">
        <f t="shared" si="157"/>
        <v>0.13164487759885393</v>
      </c>
      <c r="BS203" s="23">
        <f t="shared" si="158"/>
        <v>2.9803550189863123E-2</v>
      </c>
      <c r="BT203" s="23">
        <f t="shared" si="159"/>
        <v>0.13492040904978705</v>
      </c>
      <c r="BU203" s="23">
        <f t="shared" si="160"/>
        <v>0.11703687414398131</v>
      </c>
      <c r="BV203" s="23">
        <f t="shared" si="161"/>
        <v>0.14633353213781661</v>
      </c>
      <c r="BW203" s="23">
        <f t="shared" si="162"/>
        <v>7.5588015111767173E-2</v>
      </c>
      <c r="BX203" s="23">
        <f t="shared" si="163"/>
        <v>8.0345659937185704E-2</v>
      </c>
      <c r="BY203" s="23">
        <f t="shared" si="164"/>
        <v>5.9014643151272549E-2</v>
      </c>
      <c r="BZ203" s="19"/>
      <c r="CA203" s="23" t="str">
        <f t="shared" ref="CA203:CA266" si="185">IF($A203="","",MAX(0,CA$2/SUM($CA$2:$CT$2)*SUM($BF203:$BY203)-BF203))</f>
        <v/>
      </c>
      <c r="CB203" s="23" t="str">
        <f t="shared" si="166"/>
        <v/>
      </c>
      <c r="CC203" s="23" t="str">
        <f t="shared" si="167"/>
        <v/>
      </c>
      <c r="CD203" s="23" t="str">
        <f t="shared" si="168"/>
        <v/>
      </c>
      <c r="CE203" s="23" t="str">
        <f t="shared" si="169"/>
        <v/>
      </c>
      <c r="CF203" s="23" t="str">
        <f t="shared" si="170"/>
        <v/>
      </c>
      <c r="CG203" s="23" t="str">
        <f t="shared" si="171"/>
        <v/>
      </c>
      <c r="CH203" s="23" t="str">
        <f t="shared" si="172"/>
        <v/>
      </c>
      <c r="CI203" s="23" t="str">
        <f t="shared" si="173"/>
        <v/>
      </c>
      <c r="CJ203" s="23" t="str">
        <f t="shared" si="174"/>
        <v/>
      </c>
      <c r="CK203" s="23" t="str">
        <f t="shared" si="175"/>
        <v/>
      </c>
      <c r="CL203" s="23" t="str">
        <f t="shared" si="176"/>
        <v/>
      </c>
      <c r="CM203" s="23" t="str">
        <f t="shared" si="177"/>
        <v/>
      </c>
      <c r="CN203" s="23" t="str">
        <f t="shared" si="178"/>
        <v/>
      </c>
      <c r="CO203" s="23" t="str">
        <f t="shared" si="179"/>
        <v/>
      </c>
      <c r="CP203" s="23" t="str">
        <f t="shared" si="180"/>
        <v/>
      </c>
      <c r="CQ203" s="23" t="str">
        <f t="shared" si="181"/>
        <v/>
      </c>
      <c r="CR203" s="23" t="str">
        <f t="shared" si="182"/>
        <v/>
      </c>
      <c r="CS203" s="23" t="str">
        <f t="shared" si="183"/>
        <v/>
      </c>
      <c r="CT203" s="23" t="str">
        <f t="shared" si="184"/>
        <v/>
      </c>
      <c r="CU203" s="19"/>
    </row>
    <row r="204" spans="1:99" x14ac:dyDescent="0.25">
      <c r="A204" s="13"/>
      <c r="B204" s="14"/>
      <c r="C204" s="15" t="str" cm="1">
        <f t="array" ref="C204">IF(B204="","",INDEX('Exercise list'!$C$5:$C$102,B204))</f>
        <v/>
      </c>
      <c r="D204" s="12" t="str">
        <f t="shared" si="142"/>
        <v/>
      </c>
      <c r="E204" s="107" t="str">
        <f t="shared" si="165"/>
        <v/>
      </c>
      <c r="F204" s="63" t="str" cm="1">
        <f t="array" ref="F204">IF(B204="","",0.1+IFERROR(INDEX($F$6:$F203,SUMPRODUCT(MAX(ROW($C$6:$C203)*($C204=$C$6:$C203))-ROW($A$5)))*0.9^($A204-INDEX($A$6:A203,SUMPRODUCT(MAX(ROW($C$6:$C203)*($C204=$C$6:$C203))-ROW($A$5)))),0))</f>
        <v/>
      </c>
      <c r="G204" s="64" t="e">
        <f>INDEX('Exercise list'!$Y$5:$Y$102,MATCH(C204,'Exercise list'!$C$5:$C$102,0))</f>
        <v>#N/A</v>
      </c>
      <c r="H204" s="115">
        <f t="shared" si="143"/>
        <v>0</v>
      </c>
      <c r="I204" s="42">
        <f t="shared" si="144"/>
        <v>5</v>
      </c>
      <c r="J204" s="6" t="str" cm="1">
        <f t="array" ref="J204">IF(B204="","",INDEX('Exercise list'!$D$5:$D$102,B204))</f>
        <v/>
      </c>
      <c r="K204" s="12"/>
      <c r="L204" s="74" t="str" cm="1">
        <f t="array" ref="L204">IF(K204="","",INDEX('Exercise list'!$C$5:$C$102,K204))</f>
        <v/>
      </c>
      <c r="M204" s="6"/>
      <c r="N204" s="75" t="str" cm="1">
        <f t="array" ref="N204">IF(M204="","",INDEX('Exercise list'!$C$5:$C$102,M204))</f>
        <v/>
      </c>
      <c r="P204">
        <f>IFERROR(INDEX('Exercise list'!$E$5:$X$102,MATCH($C204,'Exercise list'!$C$5:$C$102,0),MATCH(P$5,'Exercise list'!$E$4:$X$4,0)),0)</f>
        <v>0</v>
      </c>
      <c r="Q204">
        <f>IFERROR(INDEX('Exercise list'!$E$5:$X$102,MATCH($C204,'Exercise list'!$C$5:$C$102,0),MATCH(Q$5,'Exercise list'!$E$4:$X$4,0)),0)</f>
        <v>0</v>
      </c>
      <c r="R204">
        <f>IFERROR(INDEX('Exercise list'!$E$5:$X$102,MATCH($C204,'Exercise list'!$C$5:$C$102,0),MATCH(R$5,'Exercise list'!$E$4:$X$4,0)),0)</f>
        <v>0</v>
      </c>
      <c r="S204">
        <f>IFERROR(INDEX('Exercise list'!$E$5:$X$102,MATCH($C204,'Exercise list'!$C$5:$C$102,0),MATCH(S$5,'Exercise list'!$E$4:$X$4,0)),0)</f>
        <v>0</v>
      </c>
      <c r="T204">
        <f>IFERROR(INDEX('Exercise list'!$E$5:$X$102,MATCH($C204,'Exercise list'!$C$5:$C$102,0),MATCH(T$5,'Exercise list'!$E$4:$X$4,0)),0)</f>
        <v>0</v>
      </c>
      <c r="U204">
        <f>IFERROR(INDEX('Exercise list'!$E$5:$X$102,MATCH($C204,'Exercise list'!$C$5:$C$102,0),MATCH(U$5,'Exercise list'!$E$4:$X$4,0)),0)</f>
        <v>0</v>
      </c>
      <c r="V204">
        <f>IFERROR(INDEX('Exercise list'!$E$5:$X$102,MATCH($C204,'Exercise list'!$C$5:$C$102,0),MATCH(V$5,'Exercise list'!$E$4:$X$4,0)),0)</f>
        <v>0</v>
      </c>
      <c r="W204">
        <f>IFERROR(INDEX('Exercise list'!$E$5:$X$102,MATCH($C204,'Exercise list'!$C$5:$C$102,0),MATCH(W$5,'Exercise list'!$E$4:$X$4,0)),0)</f>
        <v>0</v>
      </c>
      <c r="X204">
        <f>IFERROR(INDEX('Exercise list'!$E$5:$X$102,MATCH($C204,'Exercise list'!$C$5:$C$102,0),MATCH(X$5,'Exercise list'!$E$4:$X$4,0)),0)</f>
        <v>0</v>
      </c>
      <c r="Y204">
        <f>IFERROR(INDEX('Exercise list'!$E$5:$X$102,MATCH($C204,'Exercise list'!$C$5:$C$102,0),MATCH(Y$5,'Exercise list'!$E$4:$X$4,0)),0)</f>
        <v>0</v>
      </c>
      <c r="Z204">
        <f>IFERROR(INDEX('Exercise list'!$E$5:$X$102,MATCH($C204,'Exercise list'!$C$5:$C$102,0),MATCH(Z$5,'Exercise list'!$E$4:$X$4,0)),0)</f>
        <v>0</v>
      </c>
      <c r="AA204">
        <f>IFERROR(INDEX('Exercise list'!$E$5:$X$102,MATCH($C204,'Exercise list'!$C$5:$C$102,0),MATCH(AA$5,'Exercise list'!$E$4:$X$4,0)),0)</f>
        <v>0</v>
      </c>
      <c r="AB204">
        <f>IFERROR(INDEX('Exercise list'!$E$5:$X$102,MATCH($C204,'Exercise list'!$C$5:$C$102,0),MATCH(AB$5,'Exercise list'!$E$4:$X$4,0)),0)</f>
        <v>0</v>
      </c>
      <c r="AC204">
        <f>IFERROR(INDEX('Exercise list'!$E$5:$X$102,MATCH($C204,'Exercise list'!$C$5:$C$102,0),MATCH(AC$5,'Exercise list'!$E$4:$X$4,0)),0)</f>
        <v>0</v>
      </c>
      <c r="AD204">
        <f>IFERROR(INDEX('Exercise list'!$E$5:$X$102,MATCH($C204,'Exercise list'!$C$5:$C$102,0),MATCH(AD$5,'Exercise list'!$E$4:$X$4,0)),0)</f>
        <v>0</v>
      </c>
      <c r="AE204">
        <f>IFERROR(INDEX('Exercise list'!$E$5:$X$102,MATCH($C204,'Exercise list'!$C$5:$C$102,0),MATCH(AE$5,'Exercise list'!$E$4:$X$4,0)),0)</f>
        <v>0</v>
      </c>
      <c r="AF204">
        <f>IFERROR(INDEX('Exercise list'!$E$5:$X$102,MATCH($C204,'Exercise list'!$C$5:$C$102,0),MATCH(AF$5,'Exercise list'!$E$4:$X$4,0)),0)</f>
        <v>0</v>
      </c>
      <c r="AG204">
        <f>IFERROR(INDEX('Exercise list'!$E$5:$X$102,MATCH($C204,'Exercise list'!$C$5:$C$102,0),MATCH(AG$5,'Exercise list'!$E$4:$X$4,0)),0)</f>
        <v>0</v>
      </c>
      <c r="AH204">
        <f>IFERROR(INDEX('Exercise list'!$E$5:$X$102,MATCH($C204,'Exercise list'!$C$5:$C$102,0),MATCH(AH$5,'Exercise list'!$E$4:$X$4,0)),0)</f>
        <v>0</v>
      </c>
      <c r="AI204">
        <f>IFERROR(INDEX('Exercise list'!$E$5:$X$102,MATCH($C204,'Exercise list'!$C$5:$C$102,0),MATCH(AI$5,'Exercise list'!$E$4:$X$4,0)),0)</f>
        <v>0</v>
      </c>
      <c r="AK204">
        <f>IF(OR($J204=1,COUNTIFS($A$5:$A203,"&gt;="&amp;$A204-1,$A$5:$A203,"&lt;="&amp;$A204,$B$5:$B203,$B204)&gt;0,MIN(1-'Exercise list'!E$2,IF($A204=$A203,AK203,1))-P204&lt;0),-1,MIN(1,IF($A204=$A203,AK203,1)-P204+$D$2))</f>
        <v>1</v>
      </c>
      <c r="AL204">
        <f>IF(OR($J204=1,COUNTIFS($A$5:$A203,"&gt;="&amp;$A204-1,$A$5:$A203,"&lt;="&amp;$A204,$B$5:$B203,$B204)&gt;0,MIN(1-'Exercise list'!F$2,IF($A204=$A203,AL203,1))-Q204&lt;0),-1,MIN(1,IF($A204=$A203,AL203,1)-Q204+$D$2))</f>
        <v>1</v>
      </c>
      <c r="AM204">
        <f>IF(OR($J204=1,COUNTIFS($A$5:$A203,"&gt;="&amp;$A204-1,$A$5:$A203,"&lt;="&amp;$A204,$B$5:$B203,$B204)&gt;0,MIN(1-'Exercise list'!G$2,IF($A204=$A203,AM203,1))-R204&lt;0),-1,MIN(1,IF($A204=$A203,AM203,1)-R204+$D$2))</f>
        <v>1</v>
      </c>
      <c r="AN204">
        <f>IF(OR($J204=1,COUNTIFS($A$5:$A203,"&gt;="&amp;$A204-1,$A$5:$A203,"&lt;="&amp;$A204,$B$5:$B203,$B204)&gt;0,MIN(1-'Exercise list'!H$2,IF($A204=$A203,AN203,1))-S204&lt;0),-1,MIN(1,IF($A204=$A203,AN203,1)-S204+$D$2))</f>
        <v>1</v>
      </c>
      <c r="AO204">
        <f>IF(OR($J204=1,COUNTIFS($A$5:$A203,"&gt;="&amp;$A204-1,$A$5:$A203,"&lt;="&amp;$A204,$B$5:$B203,$B204)&gt;0,MIN(1-'Exercise list'!I$2,IF($A204=$A203,AO203,1))-T204&lt;0),-1,MIN(1,IF($A204=$A203,AO203,1)-T204+$D$2))</f>
        <v>1</v>
      </c>
      <c r="AP204">
        <f>IF(OR($J204=1,COUNTIFS($A$5:$A203,"&gt;="&amp;$A204-1,$A$5:$A203,"&lt;="&amp;$A204,$B$5:$B203,$B204)&gt;0,MIN(1-'Exercise list'!J$2,IF($A204=$A203,AP203,1))-U204&lt;0),-1,MIN(1,IF($A204=$A203,AP203,1)-U204+$D$2))</f>
        <v>1</v>
      </c>
      <c r="AQ204">
        <f>IF(OR($J204=1,COUNTIFS($A$5:$A203,"&gt;="&amp;$A204-1,$A$5:$A203,"&lt;="&amp;$A204,$B$5:$B203,$B204)&gt;0,MIN(1-'Exercise list'!K$2,IF($A204=$A203,AQ203,1))-V204&lt;0),-1,MIN(1,IF($A204=$A203,AQ203,1)-V204+$D$2))</f>
        <v>1</v>
      </c>
      <c r="AR204">
        <f>IF(OR($J204=1,COUNTIFS($A$5:$A203,"&gt;="&amp;$A204-1,$A$5:$A203,"&lt;="&amp;$A204,$B$5:$B203,$B204)&gt;0,MIN(1-'Exercise list'!L$2,IF($A204=$A203,AR203,1))-W204&lt;0),-1,MIN(1,IF($A204=$A203,AR203,1)-W204+$D$2))</f>
        <v>1</v>
      </c>
      <c r="AS204">
        <f>IF(OR($J204=1,COUNTIFS($A$5:$A203,"&gt;="&amp;$A204-1,$A$5:$A203,"&lt;="&amp;$A204,$B$5:$B203,$B204)&gt;0,MIN(1-'Exercise list'!M$2,IF($A204=$A203,AS203,1))-X204&lt;0),-1,MIN(1,IF($A204=$A203,AS203,1)-X204+$D$2))</f>
        <v>1</v>
      </c>
      <c r="AT204">
        <f>IF(OR($J204=1,COUNTIFS($A$5:$A203,"&gt;="&amp;$A204-1,$A$5:$A203,"&lt;="&amp;$A204,$B$5:$B203,$B204)&gt;0,MIN(1-'Exercise list'!N$2,IF($A204=$A203,AT203,1))-Y204&lt;0),-1,MIN(1,IF($A204=$A203,AT203,1)-Y204+$D$2))</f>
        <v>1</v>
      </c>
      <c r="AU204">
        <f>IF(OR($J204=1,COUNTIFS($A$5:$A203,"&gt;="&amp;$A204-1,$A$5:$A203,"&lt;="&amp;$A204,$B$5:$B203,$B204)&gt;0,MIN(1-'Exercise list'!O$2,IF($A204=$A203,AU203,1))-Z204&lt;0),-1,MIN(1,IF($A204=$A203,AU203,1)-Z204+$D$2))</f>
        <v>1</v>
      </c>
      <c r="AV204">
        <f>IF(OR($J204=1,COUNTIFS($A$5:$A203,"&gt;="&amp;$A204-1,$A$5:$A203,"&lt;="&amp;$A204,$B$5:$B203,$B204)&gt;0,MIN(1-'Exercise list'!P$2,IF($A204=$A203,AV203,1))-AA204&lt;0),-1,MIN(1,IF($A204=$A203,AV203,1)-AA204+$D$2))</f>
        <v>1</v>
      </c>
      <c r="AW204">
        <f>IF(OR($J204=1,COUNTIFS($A$5:$A203,"&gt;="&amp;$A204-1,$A$5:$A203,"&lt;="&amp;$A204,$B$5:$B203,$B204)&gt;0,MIN(1-'Exercise list'!Q$2,IF($A204=$A203,AW203,1))-AB204&lt;0),-1,MIN(1,IF($A204=$A203,AW203,1)-AB204+$D$2))</f>
        <v>1</v>
      </c>
      <c r="AX204">
        <f>IF(OR($J204=1,COUNTIFS($A$5:$A203,"&gt;="&amp;$A204-1,$A$5:$A203,"&lt;="&amp;$A204,$B$5:$B203,$B204)&gt;0,MIN(1-'Exercise list'!R$2,IF($A204=$A203,AX203,1))-AC204&lt;0),-1,MIN(1,IF($A204=$A203,AX203,1)-AC204+$D$2))</f>
        <v>1</v>
      </c>
      <c r="AY204">
        <f>IF(OR($J204=1,COUNTIFS($A$5:$A203,"&gt;="&amp;$A204-1,$A$5:$A203,"&lt;="&amp;$A204,$B$5:$B203,$B204)&gt;0,MIN(1-'Exercise list'!S$2,IF($A204=$A203,AY203,1))-AD204&lt;0),-1,MIN(1,IF($A204=$A203,AY203,1)-AD204+$D$2))</f>
        <v>1</v>
      </c>
      <c r="AZ204">
        <f>IF(OR($J204=1,COUNTIFS($A$5:$A203,"&gt;="&amp;$A204-1,$A$5:$A203,"&lt;="&amp;$A204,$B$5:$B203,$B204)&gt;0,MIN(1-'Exercise list'!T$2,IF($A204=$A203,AZ203,1))-AE204&lt;0),-1,MIN(1,IF($A204=$A203,AZ203,1)-AE204+$D$2))</f>
        <v>1</v>
      </c>
      <c r="BA204">
        <f>IF(OR($J204=1,COUNTIFS($A$5:$A203,"&gt;="&amp;$A204-1,$A$5:$A203,"&lt;="&amp;$A204,$B$5:$B203,$B204)&gt;0,MIN(1-'Exercise list'!U$2,IF($A204=$A203,BA203,1))-AF204&lt;0),-1,MIN(1,IF($A204=$A203,BA203,1)-AF204+$D$2))</f>
        <v>1</v>
      </c>
      <c r="BB204">
        <f>IF(OR($J204=1,COUNTIFS($A$5:$A203,"&gt;="&amp;$A204-1,$A$5:$A203,"&lt;="&amp;$A204,$B$5:$B203,$B204)&gt;0,MIN(1-'Exercise list'!V$2,IF($A204=$A203,BB203,1))-AG204&lt;0),-1,MIN(1,IF($A204=$A203,BB203,1)-AG204+$D$2))</f>
        <v>1</v>
      </c>
      <c r="BC204">
        <f>IF(OR($J204=1,COUNTIFS($A$5:$A203,"&gt;="&amp;$A204-1,$A$5:$A203,"&lt;="&amp;$A204,$B$5:$B203,$B204)&gt;0,MIN(1-'Exercise list'!W$2,IF($A204=$A203,BC203,1))-AH204&lt;0),-1,MIN(1,IF($A204=$A203,BC203,1)-AH204+$D$2))</f>
        <v>1</v>
      </c>
      <c r="BD204">
        <f>IF(OR($J204=1,COUNTIFS($A$5:$A203,"&gt;="&amp;$A204-1,$A$5:$A203,"&lt;="&amp;$A204,$B$5:$B203,$B204)&gt;0,MIN(1-'Exercise list'!X$2,IF($A204=$A203,BD203,1))-AI204&lt;0),-1,MIN(1,IF($A204=$A203,BD203,1)-AI204+$D$2))</f>
        <v>1</v>
      </c>
      <c r="BF204" s="16">
        <f t="shared" si="145"/>
        <v>0.19596031081758858</v>
      </c>
      <c r="BG204" s="16">
        <f t="shared" si="146"/>
        <v>0.21844636935459236</v>
      </c>
      <c r="BH204" s="16">
        <f t="shared" si="147"/>
        <v>0.14609696635987124</v>
      </c>
      <c r="BI204" s="16">
        <f t="shared" si="148"/>
        <v>0.13198015366034541</v>
      </c>
      <c r="BJ204" s="16">
        <f t="shared" si="149"/>
        <v>8.3367914198418713E-2</v>
      </c>
      <c r="BK204" s="16">
        <f t="shared" si="150"/>
        <v>0.10640640223148412</v>
      </c>
      <c r="BL204" s="16">
        <f t="shared" si="151"/>
        <v>0.21963504743569431</v>
      </c>
      <c r="BM204" s="16">
        <f t="shared" si="152"/>
        <v>3.8988008374820568E-3</v>
      </c>
      <c r="BN204" s="16">
        <f t="shared" si="153"/>
        <v>0.14537706087090876</v>
      </c>
      <c r="BO204" s="16">
        <f t="shared" si="154"/>
        <v>0.29209790661993401</v>
      </c>
      <c r="BP204" s="16">
        <f t="shared" si="155"/>
        <v>0.31584545163401867</v>
      </c>
      <c r="BQ204" s="16">
        <f t="shared" si="156"/>
        <v>0.1000007994126096</v>
      </c>
      <c r="BR204" s="16">
        <f t="shared" si="157"/>
        <v>0.13164487759885393</v>
      </c>
      <c r="BS204" s="16">
        <f t="shared" si="158"/>
        <v>2.9803550189863123E-2</v>
      </c>
      <c r="BT204" s="16">
        <f t="shared" si="159"/>
        <v>0.13492040904978705</v>
      </c>
      <c r="BU204" s="16">
        <f t="shared" si="160"/>
        <v>0.11703687414398131</v>
      </c>
      <c r="BV204" s="16">
        <f t="shared" si="161"/>
        <v>0.14633353213781661</v>
      </c>
      <c r="BW204" s="16">
        <f t="shared" si="162"/>
        <v>7.5588015111767173E-2</v>
      </c>
      <c r="BX204" s="16">
        <f t="shared" si="163"/>
        <v>8.0345659937185704E-2</v>
      </c>
      <c r="BY204" s="16">
        <f t="shared" si="164"/>
        <v>5.9014643151272549E-2</v>
      </c>
      <c r="CA204" s="16" t="str">
        <f t="shared" si="185"/>
        <v/>
      </c>
      <c r="CB204" s="16" t="str">
        <f t="shared" si="166"/>
        <v/>
      </c>
      <c r="CC204" s="16" t="str">
        <f t="shared" si="167"/>
        <v/>
      </c>
      <c r="CD204" s="16" t="str">
        <f t="shared" si="168"/>
        <v/>
      </c>
      <c r="CE204" s="16" t="str">
        <f t="shared" si="169"/>
        <v/>
      </c>
      <c r="CF204" s="16" t="str">
        <f t="shared" si="170"/>
        <v/>
      </c>
      <c r="CG204" s="16" t="str">
        <f t="shared" si="171"/>
        <v/>
      </c>
      <c r="CH204" s="16" t="str">
        <f t="shared" si="172"/>
        <v/>
      </c>
      <c r="CI204" s="16" t="str">
        <f t="shared" si="173"/>
        <v/>
      </c>
      <c r="CJ204" s="16" t="str">
        <f t="shared" si="174"/>
        <v/>
      </c>
      <c r="CK204" s="16" t="str">
        <f t="shared" si="175"/>
        <v/>
      </c>
      <c r="CL204" s="16" t="str">
        <f t="shared" si="176"/>
        <v/>
      </c>
      <c r="CM204" s="16" t="str">
        <f t="shared" si="177"/>
        <v/>
      </c>
      <c r="CN204" s="16" t="str">
        <f t="shared" si="178"/>
        <v/>
      </c>
      <c r="CO204" s="16" t="str">
        <f t="shared" si="179"/>
        <v/>
      </c>
      <c r="CP204" s="16" t="str">
        <f t="shared" si="180"/>
        <v/>
      </c>
      <c r="CQ204" s="16" t="str">
        <f t="shared" si="181"/>
        <v/>
      </c>
      <c r="CR204" s="16" t="str">
        <f t="shared" si="182"/>
        <v/>
      </c>
      <c r="CS204" s="16" t="str">
        <f t="shared" si="183"/>
        <v/>
      </c>
      <c r="CT204" s="16" t="str">
        <f t="shared" si="184"/>
        <v/>
      </c>
    </row>
    <row r="205" spans="1:99" x14ac:dyDescent="0.25">
      <c r="A205" s="13"/>
      <c r="B205" s="14"/>
      <c r="C205" s="15" t="str" cm="1">
        <f t="array" ref="C205">IF(B205="","",INDEX('Exercise list'!$C$5:$C$102,B205))</f>
        <v/>
      </c>
      <c r="D205" s="12" t="str">
        <f t="shared" si="142"/>
        <v/>
      </c>
      <c r="E205" s="107" t="str">
        <f t="shared" si="165"/>
        <v/>
      </c>
      <c r="F205" s="63" t="str" cm="1">
        <f t="array" ref="F205">IF(B205="","",0.1+IFERROR(INDEX($F$6:$F204,SUMPRODUCT(MAX(ROW($C$6:$C204)*($C205=$C$6:$C204))-ROW($A$5)))*0.9^($A205-INDEX($A$6:A204,SUMPRODUCT(MAX(ROW($C$6:$C204)*($C205=$C$6:$C204))-ROW($A$5)))),0))</f>
        <v/>
      </c>
      <c r="G205" s="64" t="e">
        <f>INDEX('Exercise list'!$Y$5:$Y$102,MATCH(C205,'Exercise list'!$C$5:$C$102,0))</f>
        <v>#N/A</v>
      </c>
      <c r="H205" s="115">
        <f t="shared" si="143"/>
        <v>0</v>
      </c>
      <c r="I205" s="6">
        <f t="shared" si="144"/>
        <v>5</v>
      </c>
      <c r="J205" s="6" t="str" cm="1">
        <f t="array" ref="J205">IF(B205="","",INDEX('Exercise list'!$D$5:$D$102,B205))</f>
        <v/>
      </c>
      <c r="K205" s="12"/>
      <c r="L205" s="74" t="str" cm="1">
        <f t="array" ref="L205">IF(K205="","",INDEX('Exercise list'!$C$5:$C$102,K205))</f>
        <v/>
      </c>
      <c r="M205" s="6"/>
      <c r="N205" s="75" t="str" cm="1">
        <f t="array" ref="N205">IF(M205="","",INDEX('Exercise list'!$C$5:$C$102,M205))</f>
        <v/>
      </c>
      <c r="P205">
        <f>IFERROR(INDEX('Exercise list'!$E$5:$X$102,MATCH($C205,'Exercise list'!$C$5:$C$102,0),MATCH(P$5,'Exercise list'!$E$4:$X$4,0)),0)</f>
        <v>0</v>
      </c>
      <c r="Q205">
        <f>IFERROR(INDEX('Exercise list'!$E$5:$X$102,MATCH($C205,'Exercise list'!$C$5:$C$102,0),MATCH(Q$5,'Exercise list'!$E$4:$X$4,0)),0)</f>
        <v>0</v>
      </c>
      <c r="R205">
        <f>IFERROR(INDEX('Exercise list'!$E$5:$X$102,MATCH($C205,'Exercise list'!$C$5:$C$102,0),MATCH(R$5,'Exercise list'!$E$4:$X$4,0)),0)</f>
        <v>0</v>
      </c>
      <c r="S205">
        <f>IFERROR(INDEX('Exercise list'!$E$5:$X$102,MATCH($C205,'Exercise list'!$C$5:$C$102,0),MATCH(S$5,'Exercise list'!$E$4:$X$4,0)),0)</f>
        <v>0</v>
      </c>
      <c r="T205">
        <f>IFERROR(INDEX('Exercise list'!$E$5:$X$102,MATCH($C205,'Exercise list'!$C$5:$C$102,0),MATCH(T$5,'Exercise list'!$E$4:$X$4,0)),0)</f>
        <v>0</v>
      </c>
      <c r="U205">
        <f>IFERROR(INDEX('Exercise list'!$E$5:$X$102,MATCH($C205,'Exercise list'!$C$5:$C$102,0),MATCH(U$5,'Exercise list'!$E$4:$X$4,0)),0)</f>
        <v>0</v>
      </c>
      <c r="V205">
        <f>IFERROR(INDEX('Exercise list'!$E$5:$X$102,MATCH($C205,'Exercise list'!$C$5:$C$102,0),MATCH(V$5,'Exercise list'!$E$4:$X$4,0)),0)</f>
        <v>0</v>
      </c>
      <c r="W205">
        <f>IFERROR(INDEX('Exercise list'!$E$5:$X$102,MATCH($C205,'Exercise list'!$C$5:$C$102,0),MATCH(W$5,'Exercise list'!$E$4:$X$4,0)),0)</f>
        <v>0</v>
      </c>
      <c r="X205">
        <f>IFERROR(INDEX('Exercise list'!$E$5:$X$102,MATCH($C205,'Exercise list'!$C$5:$C$102,0),MATCH(X$5,'Exercise list'!$E$4:$X$4,0)),0)</f>
        <v>0</v>
      </c>
      <c r="Y205">
        <f>IFERROR(INDEX('Exercise list'!$E$5:$X$102,MATCH($C205,'Exercise list'!$C$5:$C$102,0),MATCH(Y$5,'Exercise list'!$E$4:$X$4,0)),0)</f>
        <v>0</v>
      </c>
      <c r="Z205">
        <f>IFERROR(INDEX('Exercise list'!$E$5:$X$102,MATCH($C205,'Exercise list'!$C$5:$C$102,0),MATCH(Z$5,'Exercise list'!$E$4:$X$4,0)),0)</f>
        <v>0</v>
      </c>
      <c r="AA205">
        <f>IFERROR(INDEX('Exercise list'!$E$5:$X$102,MATCH($C205,'Exercise list'!$C$5:$C$102,0),MATCH(AA$5,'Exercise list'!$E$4:$X$4,0)),0)</f>
        <v>0</v>
      </c>
      <c r="AB205">
        <f>IFERROR(INDEX('Exercise list'!$E$5:$X$102,MATCH($C205,'Exercise list'!$C$5:$C$102,0),MATCH(AB$5,'Exercise list'!$E$4:$X$4,0)),0)</f>
        <v>0</v>
      </c>
      <c r="AC205">
        <f>IFERROR(INDEX('Exercise list'!$E$5:$X$102,MATCH($C205,'Exercise list'!$C$5:$C$102,0),MATCH(AC$5,'Exercise list'!$E$4:$X$4,0)),0)</f>
        <v>0</v>
      </c>
      <c r="AD205">
        <f>IFERROR(INDEX('Exercise list'!$E$5:$X$102,MATCH($C205,'Exercise list'!$C$5:$C$102,0),MATCH(AD$5,'Exercise list'!$E$4:$X$4,0)),0)</f>
        <v>0</v>
      </c>
      <c r="AE205">
        <f>IFERROR(INDEX('Exercise list'!$E$5:$X$102,MATCH($C205,'Exercise list'!$C$5:$C$102,0),MATCH(AE$5,'Exercise list'!$E$4:$X$4,0)),0)</f>
        <v>0</v>
      </c>
      <c r="AF205">
        <f>IFERROR(INDEX('Exercise list'!$E$5:$X$102,MATCH($C205,'Exercise list'!$C$5:$C$102,0),MATCH(AF$5,'Exercise list'!$E$4:$X$4,0)),0)</f>
        <v>0</v>
      </c>
      <c r="AG205">
        <f>IFERROR(INDEX('Exercise list'!$E$5:$X$102,MATCH($C205,'Exercise list'!$C$5:$C$102,0),MATCH(AG$5,'Exercise list'!$E$4:$X$4,0)),0)</f>
        <v>0</v>
      </c>
      <c r="AH205">
        <f>IFERROR(INDEX('Exercise list'!$E$5:$X$102,MATCH($C205,'Exercise list'!$C$5:$C$102,0),MATCH(AH$5,'Exercise list'!$E$4:$X$4,0)),0)</f>
        <v>0</v>
      </c>
      <c r="AI205">
        <f>IFERROR(INDEX('Exercise list'!$E$5:$X$102,MATCH($C205,'Exercise list'!$C$5:$C$102,0),MATCH(AI$5,'Exercise list'!$E$4:$X$4,0)),0)</f>
        <v>0</v>
      </c>
      <c r="AK205">
        <f>IF(OR($J205=1,COUNTIFS($A$5:$A204,"&gt;="&amp;$A205-1,$A$5:$A204,"&lt;="&amp;$A205,$B$5:$B204,$B205)&gt;0,MIN(1-'Exercise list'!E$2,IF($A205=$A204,AK204,1))-P205&lt;0),-1,MIN(1,IF($A205=$A204,AK204,1)-P205+$D$2))</f>
        <v>1</v>
      </c>
      <c r="AL205">
        <f>IF(OR($J205=1,COUNTIFS($A$5:$A204,"&gt;="&amp;$A205-1,$A$5:$A204,"&lt;="&amp;$A205,$B$5:$B204,$B205)&gt;0,MIN(1-'Exercise list'!F$2,IF($A205=$A204,AL204,1))-Q205&lt;0),-1,MIN(1,IF($A205=$A204,AL204,1)-Q205+$D$2))</f>
        <v>1</v>
      </c>
      <c r="AM205">
        <f>IF(OR($J205=1,COUNTIFS($A$5:$A204,"&gt;="&amp;$A205-1,$A$5:$A204,"&lt;="&amp;$A205,$B$5:$B204,$B205)&gt;0,MIN(1-'Exercise list'!G$2,IF($A205=$A204,AM204,1))-R205&lt;0),-1,MIN(1,IF($A205=$A204,AM204,1)-R205+$D$2))</f>
        <v>1</v>
      </c>
      <c r="AN205">
        <f>IF(OR($J205=1,COUNTIFS($A$5:$A204,"&gt;="&amp;$A205-1,$A$5:$A204,"&lt;="&amp;$A205,$B$5:$B204,$B205)&gt;0,MIN(1-'Exercise list'!H$2,IF($A205=$A204,AN204,1))-S205&lt;0),-1,MIN(1,IF($A205=$A204,AN204,1)-S205+$D$2))</f>
        <v>1</v>
      </c>
      <c r="AO205">
        <f>IF(OR($J205=1,COUNTIFS($A$5:$A204,"&gt;="&amp;$A205-1,$A$5:$A204,"&lt;="&amp;$A205,$B$5:$B204,$B205)&gt;0,MIN(1-'Exercise list'!I$2,IF($A205=$A204,AO204,1))-T205&lt;0),-1,MIN(1,IF($A205=$A204,AO204,1)-T205+$D$2))</f>
        <v>1</v>
      </c>
      <c r="AP205">
        <f>IF(OR($J205=1,COUNTIFS($A$5:$A204,"&gt;="&amp;$A205-1,$A$5:$A204,"&lt;="&amp;$A205,$B$5:$B204,$B205)&gt;0,MIN(1-'Exercise list'!J$2,IF($A205=$A204,AP204,1))-U205&lt;0),-1,MIN(1,IF($A205=$A204,AP204,1)-U205+$D$2))</f>
        <v>1</v>
      </c>
      <c r="AQ205">
        <f>IF(OR($J205=1,COUNTIFS($A$5:$A204,"&gt;="&amp;$A205-1,$A$5:$A204,"&lt;="&amp;$A205,$B$5:$B204,$B205)&gt;0,MIN(1-'Exercise list'!K$2,IF($A205=$A204,AQ204,1))-V205&lt;0),-1,MIN(1,IF($A205=$A204,AQ204,1)-V205+$D$2))</f>
        <v>1</v>
      </c>
      <c r="AR205">
        <f>IF(OR($J205=1,COUNTIFS($A$5:$A204,"&gt;="&amp;$A205-1,$A$5:$A204,"&lt;="&amp;$A205,$B$5:$B204,$B205)&gt;0,MIN(1-'Exercise list'!L$2,IF($A205=$A204,AR204,1))-W205&lt;0),-1,MIN(1,IF($A205=$A204,AR204,1)-W205+$D$2))</f>
        <v>1</v>
      </c>
      <c r="AS205">
        <f>IF(OR($J205=1,COUNTIFS($A$5:$A204,"&gt;="&amp;$A205-1,$A$5:$A204,"&lt;="&amp;$A205,$B$5:$B204,$B205)&gt;0,MIN(1-'Exercise list'!M$2,IF($A205=$A204,AS204,1))-X205&lt;0),-1,MIN(1,IF($A205=$A204,AS204,1)-X205+$D$2))</f>
        <v>1</v>
      </c>
      <c r="AT205">
        <f>IF(OR($J205=1,COUNTIFS($A$5:$A204,"&gt;="&amp;$A205-1,$A$5:$A204,"&lt;="&amp;$A205,$B$5:$B204,$B205)&gt;0,MIN(1-'Exercise list'!N$2,IF($A205=$A204,AT204,1))-Y205&lt;0),-1,MIN(1,IF($A205=$A204,AT204,1)-Y205+$D$2))</f>
        <v>1</v>
      </c>
      <c r="AU205">
        <f>IF(OR($J205=1,COUNTIFS($A$5:$A204,"&gt;="&amp;$A205-1,$A$5:$A204,"&lt;="&amp;$A205,$B$5:$B204,$B205)&gt;0,MIN(1-'Exercise list'!O$2,IF($A205=$A204,AU204,1))-Z205&lt;0),-1,MIN(1,IF($A205=$A204,AU204,1)-Z205+$D$2))</f>
        <v>1</v>
      </c>
      <c r="AV205">
        <f>IF(OR($J205=1,COUNTIFS($A$5:$A204,"&gt;="&amp;$A205-1,$A$5:$A204,"&lt;="&amp;$A205,$B$5:$B204,$B205)&gt;0,MIN(1-'Exercise list'!P$2,IF($A205=$A204,AV204,1))-AA205&lt;0),-1,MIN(1,IF($A205=$A204,AV204,1)-AA205+$D$2))</f>
        <v>1</v>
      </c>
      <c r="AW205">
        <f>IF(OR($J205=1,COUNTIFS($A$5:$A204,"&gt;="&amp;$A205-1,$A$5:$A204,"&lt;="&amp;$A205,$B$5:$B204,$B205)&gt;0,MIN(1-'Exercise list'!Q$2,IF($A205=$A204,AW204,1))-AB205&lt;0),-1,MIN(1,IF($A205=$A204,AW204,1)-AB205+$D$2))</f>
        <v>1</v>
      </c>
      <c r="AX205">
        <f>IF(OR($J205=1,COUNTIFS($A$5:$A204,"&gt;="&amp;$A205-1,$A$5:$A204,"&lt;="&amp;$A205,$B$5:$B204,$B205)&gt;0,MIN(1-'Exercise list'!R$2,IF($A205=$A204,AX204,1))-AC205&lt;0),-1,MIN(1,IF($A205=$A204,AX204,1)-AC205+$D$2))</f>
        <v>1</v>
      </c>
      <c r="AY205">
        <f>IF(OR($J205=1,COUNTIFS($A$5:$A204,"&gt;="&amp;$A205-1,$A$5:$A204,"&lt;="&amp;$A205,$B$5:$B204,$B205)&gt;0,MIN(1-'Exercise list'!S$2,IF($A205=$A204,AY204,1))-AD205&lt;0),-1,MIN(1,IF($A205=$A204,AY204,1)-AD205+$D$2))</f>
        <v>1</v>
      </c>
      <c r="AZ205">
        <f>IF(OR($J205=1,COUNTIFS($A$5:$A204,"&gt;="&amp;$A205-1,$A$5:$A204,"&lt;="&amp;$A205,$B$5:$B204,$B205)&gt;0,MIN(1-'Exercise list'!T$2,IF($A205=$A204,AZ204,1))-AE205&lt;0),-1,MIN(1,IF($A205=$A204,AZ204,1)-AE205+$D$2))</f>
        <v>1</v>
      </c>
      <c r="BA205">
        <f>IF(OR($J205=1,COUNTIFS($A$5:$A204,"&gt;="&amp;$A205-1,$A$5:$A204,"&lt;="&amp;$A205,$B$5:$B204,$B205)&gt;0,MIN(1-'Exercise list'!U$2,IF($A205=$A204,BA204,1))-AF205&lt;0),-1,MIN(1,IF($A205=$A204,BA204,1)-AF205+$D$2))</f>
        <v>1</v>
      </c>
      <c r="BB205">
        <f>IF(OR($J205=1,COUNTIFS($A$5:$A204,"&gt;="&amp;$A205-1,$A$5:$A204,"&lt;="&amp;$A205,$B$5:$B204,$B205)&gt;0,MIN(1-'Exercise list'!V$2,IF($A205=$A204,BB204,1))-AG205&lt;0),-1,MIN(1,IF($A205=$A204,BB204,1)-AG205+$D$2))</f>
        <v>1</v>
      </c>
      <c r="BC205">
        <f>IF(OR($J205=1,COUNTIFS($A$5:$A204,"&gt;="&amp;$A205-1,$A$5:$A204,"&lt;="&amp;$A205,$B$5:$B204,$B205)&gt;0,MIN(1-'Exercise list'!W$2,IF($A205=$A204,BC204,1))-AH205&lt;0),-1,MIN(1,IF($A205=$A204,BC204,1)-AH205+$D$2))</f>
        <v>1</v>
      </c>
      <c r="BD205">
        <f>IF(OR($J205=1,COUNTIFS($A$5:$A204,"&gt;="&amp;$A205-1,$A$5:$A204,"&lt;="&amp;$A205,$B$5:$B204,$B205)&gt;0,MIN(1-'Exercise list'!X$2,IF($A205=$A204,BD204,1))-AI205&lt;0),-1,MIN(1,IF($A205=$A204,BD204,1)-AI205+$D$2))</f>
        <v>1</v>
      </c>
      <c r="BF205" s="16">
        <f t="shared" si="145"/>
        <v>0.19596031081758858</v>
      </c>
      <c r="BG205" s="16">
        <f t="shared" si="146"/>
        <v>0.21844636935459236</v>
      </c>
      <c r="BH205" s="16">
        <f t="shared" si="147"/>
        <v>0.14609696635987124</v>
      </c>
      <c r="BI205" s="16">
        <f t="shared" si="148"/>
        <v>0.13198015366034541</v>
      </c>
      <c r="BJ205" s="16">
        <f t="shared" si="149"/>
        <v>8.3367914198418713E-2</v>
      </c>
      <c r="BK205" s="16">
        <f t="shared" si="150"/>
        <v>0.10640640223148412</v>
      </c>
      <c r="BL205" s="16">
        <f t="shared" si="151"/>
        <v>0.21963504743569431</v>
      </c>
      <c r="BM205" s="16">
        <f t="shared" si="152"/>
        <v>3.8988008374820568E-3</v>
      </c>
      <c r="BN205" s="16">
        <f t="shared" si="153"/>
        <v>0.14537706087090876</v>
      </c>
      <c r="BO205" s="16">
        <f t="shared" si="154"/>
        <v>0.29209790661993401</v>
      </c>
      <c r="BP205" s="16">
        <f t="shared" si="155"/>
        <v>0.31584545163401867</v>
      </c>
      <c r="BQ205" s="16">
        <f t="shared" si="156"/>
        <v>0.1000007994126096</v>
      </c>
      <c r="BR205" s="16">
        <f t="shared" si="157"/>
        <v>0.13164487759885393</v>
      </c>
      <c r="BS205" s="16">
        <f t="shared" si="158"/>
        <v>2.9803550189863123E-2</v>
      </c>
      <c r="BT205" s="16">
        <f t="shared" si="159"/>
        <v>0.13492040904978705</v>
      </c>
      <c r="BU205" s="16">
        <f t="shared" si="160"/>
        <v>0.11703687414398131</v>
      </c>
      <c r="BV205" s="16">
        <f t="shared" si="161"/>
        <v>0.14633353213781661</v>
      </c>
      <c r="BW205" s="16">
        <f t="shared" si="162"/>
        <v>7.5588015111767173E-2</v>
      </c>
      <c r="BX205" s="16">
        <f t="shared" si="163"/>
        <v>8.0345659937185704E-2</v>
      </c>
      <c r="BY205" s="16">
        <f t="shared" si="164"/>
        <v>5.9014643151272549E-2</v>
      </c>
      <c r="CA205" s="16" t="str">
        <f t="shared" si="185"/>
        <v/>
      </c>
      <c r="CB205" s="16" t="str">
        <f t="shared" si="166"/>
        <v/>
      </c>
      <c r="CC205" s="16" t="str">
        <f t="shared" si="167"/>
        <v/>
      </c>
      <c r="CD205" s="16" t="str">
        <f t="shared" si="168"/>
        <v/>
      </c>
      <c r="CE205" s="16" t="str">
        <f t="shared" si="169"/>
        <v/>
      </c>
      <c r="CF205" s="16" t="str">
        <f t="shared" si="170"/>
        <v/>
      </c>
      <c r="CG205" s="16" t="str">
        <f t="shared" si="171"/>
        <v/>
      </c>
      <c r="CH205" s="16" t="str">
        <f t="shared" si="172"/>
        <v/>
      </c>
      <c r="CI205" s="16" t="str">
        <f t="shared" si="173"/>
        <v/>
      </c>
      <c r="CJ205" s="16" t="str">
        <f t="shared" si="174"/>
        <v/>
      </c>
      <c r="CK205" s="16" t="str">
        <f t="shared" si="175"/>
        <v/>
      </c>
      <c r="CL205" s="16" t="str">
        <f t="shared" si="176"/>
        <v/>
      </c>
      <c r="CM205" s="16" t="str">
        <f t="shared" si="177"/>
        <v/>
      </c>
      <c r="CN205" s="16" t="str">
        <f t="shared" si="178"/>
        <v/>
      </c>
      <c r="CO205" s="16" t="str">
        <f t="shared" si="179"/>
        <v/>
      </c>
      <c r="CP205" s="16" t="str">
        <f t="shared" si="180"/>
        <v/>
      </c>
      <c r="CQ205" s="16" t="str">
        <f t="shared" si="181"/>
        <v/>
      </c>
      <c r="CR205" s="16" t="str">
        <f t="shared" si="182"/>
        <v/>
      </c>
      <c r="CS205" s="16" t="str">
        <f t="shared" si="183"/>
        <v/>
      </c>
      <c r="CT205" s="16" t="str">
        <f t="shared" si="184"/>
        <v/>
      </c>
    </row>
    <row r="206" spans="1:99" x14ac:dyDescent="0.25">
      <c r="A206" s="13"/>
      <c r="B206" s="14"/>
      <c r="C206" s="15" t="str" cm="1">
        <f t="array" ref="C206">IF(B206="","",INDEX('Exercise list'!$C$5:$C$102,B206))</f>
        <v/>
      </c>
      <c r="D206" s="12" t="str">
        <f t="shared" si="142"/>
        <v/>
      </c>
      <c r="E206" s="107" t="str">
        <f t="shared" si="165"/>
        <v/>
      </c>
      <c r="F206" s="63" t="str" cm="1">
        <f t="array" ref="F206">IF(B206="","",0.1+IFERROR(INDEX($F$6:$F205,SUMPRODUCT(MAX(ROW($C$6:$C205)*($C206=$C$6:$C205))-ROW($A$5)))*0.9^($A206-INDEX($A$6:A205,SUMPRODUCT(MAX(ROW($C$6:$C205)*($C206=$C$6:$C205))-ROW($A$5)))),0))</f>
        <v/>
      </c>
      <c r="G206" s="64" t="e">
        <f>INDEX('Exercise list'!$Y$5:$Y$102,MATCH(C206,'Exercise list'!$C$5:$C$102,0))</f>
        <v>#N/A</v>
      </c>
      <c r="H206" s="115">
        <f t="shared" si="143"/>
        <v>0</v>
      </c>
      <c r="I206" s="6">
        <f t="shared" si="144"/>
        <v>5</v>
      </c>
      <c r="J206" s="6" t="str" cm="1">
        <f t="array" ref="J206">IF(B206="","",INDEX('Exercise list'!$D$5:$D$102,B206))</f>
        <v/>
      </c>
      <c r="K206" s="12"/>
      <c r="L206" s="74" t="str" cm="1">
        <f t="array" ref="L206">IF(K206="","",INDEX('Exercise list'!$C$5:$C$102,K206))</f>
        <v/>
      </c>
      <c r="M206" s="6"/>
      <c r="N206" s="75" t="str" cm="1">
        <f t="array" ref="N206">IF(M206="","",INDEX('Exercise list'!$C$5:$C$102,M206))</f>
        <v/>
      </c>
      <c r="P206">
        <f>IFERROR(INDEX('Exercise list'!$E$5:$X$102,MATCH($C206,'Exercise list'!$C$5:$C$102,0),MATCH(P$5,'Exercise list'!$E$4:$X$4,0)),0)</f>
        <v>0</v>
      </c>
      <c r="Q206">
        <f>IFERROR(INDEX('Exercise list'!$E$5:$X$102,MATCH($C206,'Exercise list'!$C$5:$C$102,0),MATCH(Q$5,'Exercise list'!$E$4:$X$4,0)),0)</f>
        <v>0</v>
      </c>
      <c r="R206">
        <f>IFERROR(INDEX('Exercise list'!$E$5:$X$102,MATCH($C206,'Exercise list'!$C$5:$C$102,0),MATCH(R$5,'Exercise list'!$E$4:$X$4,0)),0)</f>
        <v>0</v>
      </c>
      <c r="S206">
        <f>IFERROR(INDEX('Exercise list'!$E$5:$X$102,MATCH($C206,'Exercise list'!$C$5:$C$102,0),MATCH(S$5,'Exercise list'!$E$4:$X$4,0)),0)</f>
        <v>0</v>
      </c>
      <c r="T206">
        <f>IFERROR(INDEX('Exercise list'!$E$5:$X$102,MATCH($C206,'Exercise list'!$C$5:$C$102,0),MATCH(T$5,'Exercise list'!$E$4:$X$4,0)),0)</f>
        <v>0</v>
      </c>
      <c r="U206">
        <f>IFERROR(INDEX('Exercise list'!$E$5:$X$102,MATCH($C206,'Exercise list'!$C$5:$C$102,0),MATCH(U$5,'Exercise list'!$E$4:$X$4,0)),0)</f>
        <v>0</v>
      </c>
      <c r="V206">
        <f>IFERROR(INDEX('Exercise list'!$E$5:$X$102,MATCH($C206,'Exercise list'!$C$5:$C$102,0),MATCH(V$5,'Exercise list'!$E$4:$X$4,0)),0)</f>
        <v>0</v>
      </c>
      <c r="W206">
        <f>IFERROR(INDEX('Exercise list'!$E$5:$X$102,MATCH($C206,'Exercise list'!$C$5:$C$102,0),MATCH(W$5,'Exercise list'!$E$4:$X$4,0)),0)</f>
        <v>0</v>
      </c>
      <c r="X206">
        <f>IFERROR(INDEX('Exercise list'!$E$5:$X$102,MATCH($C206,'Exercise list'!$C$5:$C$102,0),MATCH(X$5,'Exercise list'!$E$4:$X$4,0)),0)</f>
        <v>0</v>
      </c>
      <c r="Y206">
        <f>IFERROR(INDEX('Exercise list'!$E$5:$X$102,MATCH($C206,'Exercise list'!$C$5:$C$102,0),MATCH(Y$5,'Exercise list'!$E$4:$X$4,0)),0)</f>
        <v>0</v>
      </c>
      <c r="Z206">
        <f>IFERROR(INDEX('Exercise list'!$E$5:$X$102,MATCH($C206,'Exercise list'!$C$5:$C$102,0),MATCH(Z$5,'Exercise list'!$E$4:$X$4,0)),0)</f>
        <v>0</v>
      </c>
      <c r="AA206">
        <f>IFERROR(INDEX('Exercise list'!$E$5:$X$102,MATCH($C206,'Exercise list'!$C$5:$C$102,0),MATCH(AA$5,'Exercise list'!$E$4:$X$4,0)),0)</f>
        <v>0</v>
      </c>
      <c r="AB206">
        <f>IFERROR(INDEX('Exercise list'!$E$5:$X$102,MATCH($C206,'Exercise list'!$C$5:$C$102,0),MATCH(AB$5,'Exercise list'!$E$4:$X$4,0)),0)</f>
        <v>0</v>
      </c>
      <c r="AC206">
        <f>IFERROR(INDEX('Exercise list'!$E$5:$X$102,MATCH($C206,'Exercise list'!$C$5:$C$102,0),MATCH(AC$5,'Exercise list'!$E$4:$X$4,0)),0)</f>
        <v>0</v>
      </c>
      <c r="AD206">
        <f>IFERROR(INDEX('Exercise list'!$E$5:$X$102,MATCH($C206,'Exercise list'!$C$5:$C$102,0),MATCH(AD$5,'Exercise list'!$E$4:$X$4,0)),0)</f>
        <v>0</v>
      </c>
      <c r="AE206">
        <f>IFERROR(INDEX('Exercise list'!$E$5:$X$102,MATCH($C206,'Exercise list'!$C$5:$C$102,0),MATCH(AE$5,'Exercise list'!$E$4:$X$4,0)),0)</f>
        <v>0</v>
      </c>
      <c r="AF206">
        <f>IFERROR(INDEX('Exercise list'!$E$5:$X$102,MATCH($C206,'Exercise list'!$C$5:$C$102,0),MATCH(AF$5,'Exercise list'!$E$4:$X$4,0)),0)</f>
        <v>0</v>
      </c>
      <c r="AG206">
        <f>IFERROR(INDEX('Exercise list'!$E$5:$X$102,MATCH($C206,'Exercise list'!$C$5:$C$102,0),MATCH(AG$5,'Exercise list'!$E$4:$X$4,0)),0)</f>
        <v>0</v>
      </c>
      <c r="AH206">
        <f>IFERROR(INDEX('Exercise list'!$E$5:$X$102,MATCH($C206,'Exercise list'!$C$5:$C$102,0),MATCH(AH$5,'Exercise list'!$E$4:$X$4,0)),0)</f>
        <v>0</v>
      </c>
      <c r="AI206">
        <f>IFERROR(INDEX('Exercise list'!$E$5:$X$102,MATCH($C206,'Exercise list'!$C$5:$C$102,0),MATCH(AI$5,'Exercise list'!$E$4:$X$4,0)),0)</f>
        <v>0</v>
      </c>
      <c r="AK206">
        <f>IF(OR($J206=1,COUNTIFS($A$5:$A205,"&gt;="&amp;$A206-1,$A$5:$A205,"&lt;="&amp;$A206,$B$5:$B205,$B206)&gt;0,MIN(1-'Exercise list'!E$2,IF($A206=$A205,AK205,1))-P206&lt;0),-1,MIN(1,IF($A206=$A205,AK205,1)-P206+$D$2))</f>
        <v>1</v>
      </c>
      <c r="AL206">
        <f>IF(OR($J206=1,COUNTIFS($A$5:$A205,"&gt;="&amp;$A206-1,$A$5:$A205,"&lt;="&amp;$A206,$B$5:$B205,$B206)&gt;0,MIN(1-'Exercise list'!F$2,IF($A206=$A205,AL205,1))-Q206&lt;0),-1,MIN(1,IF($A206=$A205,AL205,1)-Q206+$D$2))</f>
        <v>1</v>
      </c>
      <c r="AM206">
        <f>IF(OR($J206=1,COUNTIFS($A$5:$A205,"&gt;="&amp;$A206-1,$A$5:$A205,"&lt;="&amp;$A206,$B$5:$B205,$B206)&gt;0,MIN(1-'Exercise list'!G$2,IF($A206=$A205,AM205,1))-R206&lt;0),-1,MIN(1,IF($A206=$A205,AM205,1)-R206+$D$2))</f>
        <v>1</v>
      </c>
      <c r="AN206">
        <f>IF(OR($J206=1,COUNTIFS($A$5:$A205,"&gt;="&amp;$A206-1,$A$5:$A205,"&lt;="&amp;$A206,$B$5:$B205,$B206)&gt;0,MIN(1-'Exercise list'!H$2,IF($A206=$A205,AN205,1))-S206&lt;0),-1,MIN(1,IF($A206=$A205,AN205,1)-S206+$D$2))</f>
        <v>1</v>
      </c>
      <c r="AO206">
        <f>IF(OR($J206=1,COUNTIFS($A$5:$A205,"&gt;="&amp;$A206-1,$A$5:$A205,"&lt;="&amp;$A206,$B$5:$B205,$B206)&gt;0,MIN(1-'Exercise list'!I$2,IF($A206=$A205,AO205,1))-T206&lt;0),-1,MIN(1,IF($A206=$A205,AO205,1)-T206+$D$2))</f>
        <v>1</v>
      </c>
      <c r="AP206">
        <f>IF(OR($J206=1,COUNTIFS($A$5:$A205,"&gt;="&amp;$A206-1,$A$5:$A205,"&lt;="&amp;$A206,$B$5:$B205,$B206)&gt;0,MIN(1-'Exercise list'!J$2,IF($A206=$A205,AP205,1))-U206&lt;0),-1,MIN(1,IF($A206=$A205,AP205,1)-U206+$D$2))</f>
        <v>1</v>
      </c>
      <c r="AQ206">
        <f>IF(OR($J206=1,COUNTIFS($A$5:$A205,"&gt;="&amp;$A206-1,$A$5:$A205,"&lt;="&amp;$A206,$B$5:$B205,$B206)&gt;0,MIN(1-'Exercise list'!K$2,IF($A206=$A205,AQ205,1))-V206&lt;0),-1,MIN(1,IF($A206=$A205,AQ205,1)-V206+$D$2))</f>
        <v>1</v>
      </c>
      <c r="AR206">
        <f>IF(OR($J206=1,COUNTIFS($A$5:$A205,"&gt;="&amp;$A206-1,$A$5:$A205,"&lt;="&amp;$A206,$B$5:$B205,$B206)&gt;0,MIN(1-'Exercise list'!L$2,IF($A206=$A205,AR205,1))-W206&lt;0),-1,MIN(1,IF($A206=$A205,AR205,1)-W206+$D$2))</f>
        <v>1</v>
      </c>
      <c r="AS206">
        <f>IF(OR($J206=1,COUNTIFS($A$5:$A205,"&gt;="&amp;$A206-1,$A$5:$A205,"&lt;="&amp;$A206,$B$5:$B205,$B206)&gt;0,MIN(1-'Exercise list'!M$2,IF($A206=$A205,AS205,1))-X206&lt;0),-1,MIN(1,IF($A206=$A205,AS205,1)-X206+$D$2))</f>
        <v>1</v>
      </c>
      <c r="AT206">
        <f>IF(OR($J206=1,COUNTIFS($A$5:$A205,"&gt;="&amp;$A206-1,$A$5:$A205,"&lt;="&amp;$A206,$B$5:$B205,$B206)&gt;0,MIN(1-'Exercise list'!N$2,IF($A206=$A205,AT205,1))-Y206&lt;0),-1,MIN(1,IF($A206=$A205,AT205,1)-Y206+$D$2))</f>
        <v>1</v>
      </c>
      <c r="AU206">
        <f>IF(OR($J206=1,COUNTIFS($A$5:$A205,"&gt;="&amp;$A206-1,$A$5:$A205,"&lt;="&amp;$A206,$B$5:$B205,$B206)&gt;0,MIN(1-'Exercise list'!O$2,IF($A206=$A205,AU205,1))-Z206&lt;0),-1,MIN(1,IF($A206=$A205,AU205,1)-Z206+$D$2))</f>
        <v>1</v>
      </c>
      <c r="AV206">
        <f>IF(OR($J206=1,COUNTIFS($A$5:$A205,"&gt;="&amp;$A206-1,$A$5:$A205,"&lt;="&amp;$A206,$B$5:$B205,$B206)&gt;0,MIN(1-'Exercise list'!P$2,IF($A206=$A205,AV205,1))-AA206&lt;0),-1,MIN(1,IF($A206=$A205,AV205,1)-AA206+$D$2))</f>
        <v>1</v>
      </c>
      <c r="AW206">
        <f>IF(OR($J206=1,COUNTIFS($A$5:$A205,"&gt;="&amp;$A206-1,$A$5:$A205,"&lt;="&amp;$A206,$B$5:$B205,$B206)&gt;0,MIN(1-'Exercise list'!Q$2,IF($A206=$A205,AW205,1))-AB206&lt;0),-1,MIN(1,IF($A206=$A205,AW205,1)-AB206+$D$2))</f>
        <v>1</v>
      </c>
      <c r="AX206">
        <f>IF(OR($J206=1,COUNTIFS($A$5:$A205,"&gt;="&amp;$A206-1,$A$5:$A205,"&lt;="&amp;$A206,$B$5:$B205,$B206)&gt;0,MIN(1-'Exercise list'!R$2,IF($A206=$A205,AX205,1))-AC206&lt;0),-1,MIN(1,IF($A206=$A205,AX205,1)-AC206+$D$2))</f>
        <v>1</v>
      </c>
      <c r="AY206">
        <f>IF(OR($J206=1,COUNTIFS($A$5:$A205,"&gt;="&amp;$A206-1,$A$5:$A205,"&lt;="&amp;$A206,$B$5:$B205,$B206)&gt;0,MIN(1-'Exercise list'!S$2,IF($A206=$A205,AY205,1))-AD206&lt;0),-1,MIN(1,IF($A206=$A205,AY205,1)-AD206+$D$2))</f>
        <v>1</v>
      </c>
      <c r="AZ206">
        <f>IF(OR($J206=1,COUNTIFS($A$5:$A205,"&gt;="&amp;$A206-1,$A$5:$A205,"&lt;="&amp;$A206,$B$5:$B205,$B206)&gt;0,MIN(1-'Exercise list'!T$2,IF($A206=$A205,AZ205,1))-AE206&lt;0),-1,MIN(1,IF($A206=$A205,AZ205,1)-AE206+$D$2))</f>
        <v>1</v>
      </c>
      <c r="BA206">
        <f>IF(OR($J206=1,COUNTIFS($A$5:$A205,"&gt;="&amp;$A206-1,$A$5:$A205,"&lt;="&amp;$A206,$B$5:$B205,$B206)&gt;0,MIN(1-'Exercise list'!U$2,IF($A206=$A205,BA205,1))-AF206&lt;0),-1,MIN(1,IF($A206=$A205,BA205,1)-AF206+$D$2))</f>
        <v>1</v>
      </c>
      <c r="BB206">
        <f>IF(OR($J206=1,COUNTIFS($A$5:$A205,"&gt;="&amp;$A206-1,$A$5:$A205,"&lt;="&amp;$A206,$B$5:$B205,$B206)&gt;0,MIN(1-'Exercise list'!V$2,IF($A206=$A205,BB205,1))-AG206&lt;0),-1,MIN(1,IF($A206=$A205,BB205,1)-AG206+$D$2))</f>
        <v>1</v>
      </c>
      <c r="BC206">
        <f>IF(OR($J206=1,COUNTIFS($A$5:$A205,"&gt;="&amp;$A206-1,$A$5:$A205,"&lt;="&amp;$A206,$B$5:$B205,$B206)&gt;0,MIN(1-'Exercise list'!W$2,IF($A206=$A205,BC205,1))-AH206&lt;0),-1,MIN(1,IF($A206=$A205,BC205,1)-AH206+$D$2))</f>
        <v>1</v>
      </c>
      <c r="BD206">
        <f>IF(OR($J206=1,COUNTIFS($A$5:$A205,"&gt;="&amp;$A206-1,$A$5:$A205,"&lt;="&amp;$A206,$B$5:$B205,$B206)&gt;0,MIN(1-'Exercise list'!X$2,IF($A206=$A205,BD205,1))-AI206&lt;0),-1,MIN(1,IF($A206=$A205,BD205,1)-AI206+$D$2))</f>
        <v>1</v>
      </c>
      <c r="BF206" s="16">
        <f t="shared" si="145"/>
        <v>0.19596031081758858</v>
      </c>
      <c r="BG206" s="16">
        <f t="shared" si="146"/>
        <v>0.21844636935459236</v>
      </c>
      <c r="BH206" s="16">
        <f t="shared" si="147"/>
        <v>0.14609696635987124</v>
      </c>
      <c r="BI206" s="16">
        <f t="shared" si="148"/>
        <v>0.13198015366034541</v>
      </c>
      <c r="BJ206" s="16">
        <f t="shared" si="149"/>
        <v>8.3367914198418713E-2</v>
      </c>
      <c r="BK206" s="16">
        <f t="shared" si="150"/>
        <v>0.10640640223148412</v>
      </c>
      <c r="BL206" s="16">
        <f t="shared" si="151"/>
        <v>0.21963504743569431</v>
      </c>
      <c r="BM206" s="16">
        <f t="shared" si="152"/>
        <v>3.8988008374820568E-3</v>
      </c>
      <c r="BN206" s="16">
        <f t="shared" si="153"/>
        <v>0.14537706087090876</v>
      </c>
      <c r="BO206" s="16">
        <f t="shared" si="154"/>
        <v>0.29209790661993401</v>
      </c>
      <c r="BP206" s="16">
        <f t="shared" si="155"/>
        <v>0.31584545163401867</v>
      </c>
      <c r="BQ206" s="16">
        <f t="shared" si="156"/>
        <v>0.1000007994126096</v>
      </c>
      <c r="BR206" s="16">
        <f t="shared" si="157"/>
        <v>0.13164487759885393</v>
      </c>
      <c r="BS206" s="16">
        <f t="shared" si="158"/>
        <v>2.9803550189863123E-2</v>
      </c>
      <c r="BT206" s="16">
        <f t="shared" si="159"/>
        <v>0.13492040904978705</v>
      </c>
      <c r="BU206" s="16">
        <f t="shared" si="160"/>
        <v>0.11703687414398131</v>
      </c>
      <c r="BV206" s="16">
        <f t="shared" si="161"/>
        <v>0.14633353213781661</v>
      </c>
      <c r="BW206" s="16">
        <f t="shared" si="162"/>
        <v>7.5588015111767173E-2</v>
      </c>
      <c r="BX206" s="16">
        <f t="shared" si="163"/>
        <v>8.0345659937185704E-2</v>
      </c>
      <c r="BY206" s="16">
        <f t="shared" si="164"/>
        <v>5.9014643151272549E-2</v>
      </c>
      <c r="CA206" s="16" t="str">
        <f t="shared" si="185"/>
        <v/>
      </c>
      <c r="CB206" s="16" t="str">
        <f t="shared" si="166"/>
        <v/>
      </c>
      <c r="CC206" s="16" t="str">
        <f t="shared" si="167"/>
        <v/>
      </c>
      <c r="CD206" s="16" t="str">
        <f t="shared" si="168"/>
        <v/>
      </c>
      <c r="CE206" s="16" t="str">
        <f t="shared" si="169"/>
        <v/>
      </c>
      <c r="CF206" s="16" t="str">
        <f t="shared" si="170"/>
        <v/>
      </c>
      <c r="CG206" s="16" t="str">
        <f t="shared" si="171"/>
        <v/>
      </c>
      <c r="CH206" s="16" t="str">
        <f t="shared" si="172"/>
        <v/>
      </c>
      <c r="CI206" s="16" t="str">
        <f t="shared" si="173"/>
        <v/>
      </c>
      <c r="CJ206" s="16" t="str">
        <f t="shared" si="174"/>
        <v/>
      </c>
      <c r="CK206" s="16" t="str">
        <f t="shared" si="175"/>
        <v/>
      </c>
      <c r="CL206" s="16" t="str">
        <f t="shared" si="176"/>
        <v/>
      </c>
      <c r="CM206" s="16" t="str">
        <f t="shared" si="177"/>
        <v/>
      </c>
      <c r="CN206" s="16" t="str">
        <f t="shared" si="178"/>
        <v/>
      </c>
      <c r="CO206" s="16" t="str">
        <f t="shared" si="179"/>
        <v/>
      </c>
      <c r="CP206" s="16" t="str">
        <f t="shared" si="180"/>
        <v/>
      </c>
      <c r="CQ206" s="16" t="str">
        <f t="shared" si="181"/>
        <v/>
      </c>
      <c r="CR206" s="16" t="str">
        <f t="shared" si="182"/>
        <v/>
      </c>
      <c r="CS206" s="16" t="str">
        <f t="shared" si="183"/>
        <v/>
      </c>
      <c r="CT206" s="16" t="str">
        <f t="shared" si="184"/>
        <v/>
      </c>
    </row>
    <row r="207" spans="1:99" x14ac:dyDescent="0.25">
      <c r="A207" s="13"/>
      <c r="B207" s="14"/>
      <c r="C207" s="15" t="str" cm="1">
        <f t="array" ref="C207">IF(B207="","",INDEX('Exercise list'!$C$5:$C$102,B207))</f>
        <v/>
      </c>
      <c r="D207" s="12" t="str">
        <f t="shared" si="142"/>
        <v/>
      </c>
      <c r="E207" s="107" t="str">
        <f t="shared" si="165"/>
        <v/>
      </c>
      <c r="F207" s="63" t="str" cm="1">
        <f t="array" ref="F207">IF(B207="","",0.1+IFERROR(INDEX($F$6:$F206,SUMPRODUCT(MAX(ROW($C$6:$C206)*($C207=$C$6:$C206))-ROW($A$5)))*0.9^($A207-INDEX($A$6:A206,SUMPRODUCT(MAX(ROW($C$6:$C206)*($C207=$C$6:$C206))-ROW($A$5)))),0))</f>
        <v/>
      </c>
      <c r="G207" s="64" t="e">
        <f>INDEX('Exercise list'!$Y$5:$Y$102,MATCH(C207,'Exercise list'!$C$5:$C$102,0))</f>
        <v>#N/A</v>
      </c>
      <c r="H207" s="115">
        <f t="shared" si="143"/>
        <v>0</v>
      </c>
      <c r="I207" s="6">
        <f t="shared" si="144"/>
        <v>5</v>
      </c>
      <c r="J207" s="6" t="str" cm="1">
        <f t="array" ref="J207">IF(B207="","",INDEX('Exercise list'!$D$5:$D$102,B207))</f>
        <v/>
      </c>
      <c r="K207" s="12"/>
      <c r="L207" s="74" t="str" cm="1">
        <f t="array" ref="L207">IF(K207="","",INDEX('Exercise list'!$C$5:$C$102,K207))</f>
        <v/>
      </c>
      <c r="M207" s="6"/>
      <c r="N207" s="75" t="str" cm="1">
        <f t="array" ref="N207">IF(M207="","",INDEX('Exercise list'!$C$5:$C$102,M207))</f>
        <v/>
      </c>
      <c r="P207">
        <f>IFERROR(INDEX('Exercise list'!$E$5:$X$102,MATCH($C207,'Exercise list'!$C$5:$C$102,0),MATCH(P$5,'Exercise list'!$E$4:$X$4,0)),0)</f>
        <v>0</v>
      </c>
      <c r="Q207">
        <f>IFERROR(INDEX('Exercise list'!$E$5:$X$102,MATCH($C207,'Exercise list'!$C$5:$C$102,0),MATCH(Q$5,'Exercise list'!$E$4:$X$4,0)),0)</f>
        <v>0</v>
      </c>
      <c r="R207">
        <f>IFERROR(INDEX('Exercise list'!$E$5:$X$102,MATCH($C207,'Exercise list'!$C$5:$C$102,0),MATCH(R$5,'Exercise list'!$E$4:$X$4,0)),0)</f>
        <v>0</v>
      </c>
      <c r="S207">
        <f>IFERROR(INDEX('Exercise list'!$E$5:$X$102,MATCH($C207,'Exercise list'!$C$5:$C$102,0),MATCH(S$5,'Exercise list'!$E$4:$X$4,0)),0)</f>
        <v>0</v>
      </c>
      <c r="T207">
        <f>IFERROR(INDEX('Exercise list'!$E$5:$X$102,MATCH($C207,'Exercise list'!$C$5:$C$102,0),MATCH(T$5,'Exercise list'!$E$4:$X$4,0)),0)</f>
        <v>0</v>
      </c>
      <c r="U207">
        <f>IFERROR(INDEX('Exercise list'!$E$5:$X$102,MATCH($C207,'Exercise list'!$C$5:$C$102,0),MATCH(U$5,'Exercise list'!$E$4:$X$4,0)),0)</f>
        <v>0</v>
      </c>
      <c r="V207">
        <f>IFERROR(INDEX('Exercise list'!$E$5:$X$102,MATCH($C207,'Exercise list'!$C$5:$C$102,0),MATCH(V$5,'Exercise list'!$E$4:$X$4,0)),0)</f>
        <v>0</v>
      </c>
      <c r="W207">
        <f>IFERROR(INDEX('Exercise list'!$E$5:$X$102,MATCH($C207,'Exercise list'!$C$5:$C$102,0),MATCH(W$5,'Exercise list'!$E$4:$X$4,0)),0)</f>
        <v>0</v>
      </c>
      <c r="X207">
        <f>IFERROR(INDEX('Exercise list'!$E$5:$X$102,MATCH($C207,'Exercise list'!$C$5:$C$102,0),MATCH(X$5,'Exercise list'!$E$4:$X$4,0)),0)</f>
        <v>0</v>
      </c>
      <c r="Y207">
        <f>IFERROR(INDEX('Exercise list'!$E$5:$X$102,MATCH($C207,'Exercise list'!$C$5:$C$102,0),MATCH(Y$5,'Exercise list'!$E$4:$X$4,0)),0)</f>
        <v>0</v>
      </c>
      <c r="Z207">
        <f>IFERROR(INDEX('Exercise list'!$E$5:$X$102,MATCH($C207,'Exercise list'!$C$5:$C$102,0),MATCH(Z$5,'Exercise list'!$E$4:$X$4,0)),0)</f>
        <v>0</v>
      </c>
      <c r="AA207">
        <f>IFERROR(INDEX('Exercise list'!$E$5:$X$102,MATCH($C207,'Exercise list'!$C$5:$C$102,0),MATCH(AA$5,'Exercise list'!$E$4:$X$4,0)),0)</f>
        <v>0</v>
      </c>
      <c r="AB207">
        <f>IFERROR(INDEX('Exercise list'!$E$5:$X$102,MATCH($C207,'Exercise list'!$C$5:$C$102,0),MATCH(AB$5,'Exercise list'!$E$4:$X$4,0)),0)</f>
        <v>0</v>
      </c>
      <c r="AC207">
        <f>IFERROR(INDEX('Exercise list'!$E$5:$X$102,MATCH($C207,'Exercise list'!$C$5:$C$102,0),MATCH(AC$5,'Exercise list'!$E$4:$X$4,0)),0)</f>
        <v>0</v>
      </c>
      <c r="AD207">
        <f>IFERROR(INDEX('Exercise list'!$E$5:$X$102,MATCH($C207,'Exercise list'!$C$5:$C$102,0),MATCH(AD$5,'Exercise list'!$E$4:$X$4,0)),0)</f>
        <v>0</v>
      </c>
      <c r="AE207">
        <f>IFERROR(INDEX('Exercise list'!$E$5:$X$102,MATCH($C207,'Exercise list'!$C$5:$C$102,0),MATCH(AE$5,'Exercise list'!$E$4:$X$4,0)),0)</f>
        <v>0</v>
      </c>
      <c r="AF207">
        <f>IFERROR(INDEX('Exercise list'!$E$5:$X$102,MATCH($C207,'Exercise list'!$C$5:$C$102,0),MATCH(AF$5,'Exercise list'!$E$4:$X$4,0)),0)</f>
        <v>0</v>
      </c>
      <c r="AG207">
        <f>IFERROR(INDEX('Exercise list'!$E$5:$X$102,MATCH($C207,'Exercise list'!$C$5:$C$102,0),MATCH(AG$5,'Exercise list'!$E$4:$X$4,0)),0)</f>
        <v>0</v>
      </c>
      <c r="AH207">
        <f>IFERROR(INDEX('Exercise list'!$E$5:$X$102,MATCH($C207,'Exercise list'!$C$5:$C$102,0),MATCH(AH$5,'Exercise list'!$E$4:$X$4,0)),0)</f>
        <v>0</v>
      </c>
      <c r="AI207">
        <f>IFERROR(INDEX('Exercise list'!$E$5:$X$102,MATCH($C207,'Exercise list'!$C$5:$C$102,0),MATCH(AI$5,'Exercise list'!$E$4:$X$4,0)),0)</f>
        <v>0</v>
      </c>
      <c r="AK207">
        <f>IF(OR($J207=1,COUNTIFS($A$5:$A206,"&gt;="&amp;$A207-1,$A$5:$A206,"&lt;="&amp;$A207,$B$5:$B206,$B207)&gt;0,MIN(1-'Exercise list'!E$2,IF($A207=$A206,AK206,1))-P207&lt;0),-1,MIN(1,IF($A207=$A206,AK206,1)-P207+$D$2))</f>
        <v>1</v>
      </c>
      <c r="AL207">
        <f>IF(OR($J207=1,COUNTIFS($A$5:$A206,"&gt;="&amp;$A207-1,$A$5:$A206,"&lt;="&amp;$A207,$B$5:$B206,$B207)&gt;0,MIN(1-'Exercise list'!F$2,IF($A207=$A206,AL206,1))-Q207&lt;0),-1,MIN(1,IF($A207=$A206,AL206,1)-Q207+$D$2))</f>
        <v>1</v>
      </c>
      <c r="AM207">
        <f>IF(OR($J207=1,COUNTIFS($A$5:$A206,"&gt;="&amp;$A207-1,$A$5:$A206,"&lt;="&amp;$A207,$B$5:$B206,$B207)&gt;0,MIN(1-'Exercise list'!G$2,IF($A207=$A206,AM206,1))-R207&lt;0),-1,MIN(1,IF($A207=$A206,AM206,1)-R207+$D$2))</f>
        <v>1</v>
      </c>
      <c r="AN207">
        <f>IF(OR($J207=1,COUNTIFS($A$5:$A206,"&gt;="&amp;$A207-1,$A$5:$A206,"&lt;="&amp;$A207,$B$5:$B206,$B207)&gt;0,MIN(1-'Exercise list'!H$2,IF($A207=$A206,AN206,1))-S207&lt;0),-1,MIN(1,IF($A207=$A206,AN206,1)-S207+$D$2))</f>
        <v>1</v>
      </c>
      <c r="AO207">
        <f>IF(OR($J207=1,COUNTIFS($A$5:$A206,"&gt;="&amp;$A207-1,$A$5:$A206,"&lt;="&amp;$A207,$B$5:$B206,$B207)&gt;0,MIN(1-'Exercise list'!I$2,IF($A207=$A206,AO206,1))-T207&lt;0),-1,MIN(1,IF($A207=$A206,AO206,1)-T207+$D$2))</f>
        <v>1</v>
      </c>
      <c r="AP207">
        <f>IF(OR($J207=1,COUNTIFS($A$5:$A206,"&gt;="&amp;$A207-1,$A$5:$A206,"&lt;="&amp;$A207,$B$5:$B206,$B207)&gt;0,MIN(1-'Exercise list'!J$2,IF($A207=$A206,AP206,1))-U207&lt;0),-1,MIN(1,IF($A207=$A206,AP206,1)-U207+$D$2))</f>
        <v>1</v>
      </c>
      <c r="AQ207">
        <f>IF(OR($J207=1,COUNTIFS($A$5:$A206,"&gt;="&amp;$A207-1,$A$5:$A206,"&lt;="&amp;$A207,$B$5:$B206,$B207)&gt;0,MIN(1-'Exercise list'!K$2,IF($A207=$A206,AQ206,1))-V207&lt;0),-1,MIN(1,IF($A207=$A206,AQ206,1)-V207+$D$2))</f>
        <v>1</v>
      </c>
      <c r="AR207">
        <f>IF(OR($J207=1,COUNTIFS($A$5:$A206,"&gt;="&amp;$A207-1,$A$5:$A206,"&lt;="&amp;$A207,$B$5:$B206,$B207)&gt;0,MIN(1-'Exercise list'!L$2,IF($A207=$A206,AR206,1))-W207&lt;0),-1,MIN(1,IF($A207=$A206,AR206,1)-W207+$D$2))</f>
        <v>1</v>
      </c>
      <c r="AS207">
        <f>IF(OR($J207=1,COUNTIFS($A$5:$A206,"&gt;="&amp;$A207-1,$A$5:$A206,"&lt;="&amp;$A207,$B$5:$B206,$B207)&gt;0,MIN(1-'Exercise list'!M$2,IF($A207=$A206,AS206,1))-X207&lt;0),-1,MIN(1,IF($A207=$A206,AS206,1)-X207+$D$2))</f>
        <v>1</v>
      </c>
      <c r="AT207">
        <f>IF(OR($J207=1,COUNTIFS($A$5:$A206,"&gt;="&amp;$A207-1,$A$5:$A206,"&lt;="&amp;$A207,$B$5:$B206,$B207)&gt;0,MIN(1-'Exercise list'!N$2,IF($A207=$A206,AT206,1))-Y207&lt;0),-1,MIN(1,IF($A207=$A206,AT206,1)-Y207+$D$2))</f>
        <v>1</v>
      </c>
      <c r="AU207">
        <f>IF(OR($J207=1,COUNTIFS($A$5:$A206,"&gt;="&amp;$A207-1,$A$5:$A206,"&lt;="&amp;$A207,$B$5:$B206,$B207)&gt;0,MIN(1-'Exercise list'!O$2,IF($A207=$A206,AU206,1))-Z207&lt;0),-1,MIN(1,IF($A207=$A206,AU206,1)-Z207+$D$2))</f>
        <v>1</v>
      </c>
      <c r="AV207">
        <f>IF(OR($J207=1,COUNTIFS($A$5:$A206,"&gt;="&amp;$A207-1,$A$5:$A206,"&lt;="&amp;$A207,$B$5:$B206,$B207)&gt;0,MIN(1-'Exercise list'!P$2,IF($A207=$A206,AV206,1))-AA207&lt;0),-1,MIN(1,IF($A207=$A206,AV206,1)-AA207+$D$2))</f>
        <v>1</v>
      </c>
      <c r="AW207">
        <f>IF(OR($J207=1,COUNTIFS($A$5:$A206,"&gt;="&amp;$A207-1,$A$5:$A206,"&lt;="&amp;$A207,$B$5:$B206,$B207)&gt;0,MIN(1-'Exercise list'!Q$2,IF($A207=$A206,AW206,1))-AB207&lt;0),-1,MIN(1,IF($A207=$A206,AW206,1)-AB207+$D$2))</f>
        <v>1</v>
      </c>
      <c r="AX207">
        <f>IF(OR($J207=1,COUNTIFS($A$5:$A206,"&gt;="&amp;$A207-1,$A$5:$A206,"&lt;="&amp;$A207,$B$5:$B206,$B207)&gt;0,MIN(1-'Exercise list'!R$2,IF($A207=$A206,AX206,1))-AC207&lt;0),-1,MIN(1,IF($A207=$A206,AX206,1)-AC207+$D$2))</f>
        <v>1</v>
      </c>
      <c r="AY207">
        <f>IF(OR($J207=1,COUNTIFS($A$5:$A206,"&gt;="&amp;$A207-1,$A$5:$A206,"&lt;="&amp;$A207,$B$5:$B206,$B207)&gt;0,MIN(1-'Exercise list'!S$2,IF($A207=$A206,AY206,1))-AD207&lt;0),-1,MIN(1,IF($A207=$A206,AY206,1)-AD207+$D$2))</f>
        <v>1</v>
      </c>
      <c r="AZ207">
        <f>IF(OR($J207=1,COUNTIFS($A$5:$A206,"&gt;="&amp;$A207-1,$A$5:$A206,"&lt;="&amp;$A207,$B$5:$B206,$B207)&gt;0,MIN(1-'Exercise list'!T$2,IF($A207=$A206,AZ206,1))-AE207&lt;0),-1,MIN(1,IF($A207=$A206,AZ206,1)-AE207+$D$2))</f>
        <v>1</v>
      </c>
      <c r="BA207">
        <f>IF(OR($J207=1,COUNTIFS($A$5:$A206,"&gt;="&amp;$A207-1,$A$5:$A206,"&lt;="&amp;$A207,$B$5:$B206,$B207)&gt;0,MIN(1-'Exercise list'!U$2,IF($A207=$A206,BA206,1))-AF207&lt;0),-1,MIN(1,IF($A207=$A206,BA206,1)-AF207+$D$2))</f>
        <v>1</v>
      </c>
      <c r="BB207">
        <f>IF(OR($J207=1,COUNTIFS($A$5:$A206,"&gt;="&amp;$A207-1,$A$5:$A206,"&lt;="&amp;$A207,$B$5:$B206,$B207)&gt;0,MIN(1-'Exercise list'!V$2,IF($A207=$A206,BB206,1))-AG207&lt;0),-1,MIN(1,IF($A207=$A206,BB206,1)-AG207+$D$2))</f>
        <v>1</v>
      </c>
      <c r="BC207">
        <f>IF(OR($J207=1,COUNTIFS($A$5:$A206,"&gt;="&amp;$A207-1,$A$5:$A206,"&lt;="&amp;$A207,$B$5:$B206,$B207)&gt;0,MIN(1-'Exercise list'!W$2,IF($A207=$A206,BC206,1))-AH207&lt;0),-1,MIN(1,IF($A207=$A206,BC206,1)-AH207+$D$2))</f>
        <v>1</v>
      </c>
      <c r="BD207">
        <f>IF(OR($J207=1,COUNTIFS($A$5:$A206,"&gt;="&amp;$A207-1,$A$5:$A206,"&lt;="&amp;$A207,$B$5:$B206,$B207)&gt;0,MIN(1-'Exercise list'!X$2,IF($A207=$A206,BD206,1))-AI207&lt;0),-1,MIN(1,IF($A207=$A206,BD206,1)-AI207+$D$2))</f>
        <v>1</v>
      </c>
      <c r="BF207" s="16">
        <f t="shared" si="145"/>
        <v>0.19596031081758858</v>
      </c>
      <c r="BG207" s="16">
        <f t="shared" si="146"/>
        <v>0.21844636935459236</v>
      </c>
      <c r="BH207" s="16">
        <f t="shared" si="147"/>
        <v>0.14609696635987124</v>
      </c>
      <c r="BI207" s="16">
        <f t="shared" si="148"/>
        <v>0.13198015366034541</v>
      </c>
      <c r="BJ207" s="16">
        <f t="shared" si="149"/>
        <v>8.3367914198418713E-2</v>
      </c>
      <c r="BK207" s="16">
        <f t="shared" si="150"/>
        <v>0.10640640223148412</v>
      </c>
      <c r="BL207" s="16">
        <f t="shared" si="151"/>
        <v>0.21963504743569431</v>
      </c>
      <c r="BM207" s="16">
        <f t="shared" si="152"/>
        <v>3.8988008374820568E-3</v>
      </c>
      <c r="BN207" s="16">
        <f t="shared" si="153"/>
        <v>0.14537706087090876</v>
      </c>
      <c r="BO207" s="16">
        <f t="shared" si="154"/>
        <v>0.29209790661993401</v>
      </c>
      <c r="BP207" s="16">
        <f t="shared" si="155"/>
        <v>0.31584545163401867</v>
      </c>
      <c r="BQ207" s="16">
        <f t="shared" si="156"/>
        <v>0.1000007994126096</v>
      </c>
      <c r="BR207" s="16">
        <f t="shared" si="157"/>
        <v>0.13164487759885393</v>
      </c>
      <c r="BS207" s="16">
        <f t="shared" si="158"/>
        <v>2.9803550189863123E-2</v>
      </c>
      <c r="BT207" s="16">
        <f t="shared" si="159"/>
        <v>0.13492040904978705</v>
      </c>
      <c r="BU207" s="16">
        <f t="shared" si="160"/>
        <v>0.11703687414398131</v>
      </c>
      <c r="BV207" s="16">
        <f t="shared" si="161"/>
        <v>0.14633353213781661</v>
      </c>
      <c r="BW207" s="16">
        <f t="shared" si="162"/>
        <v>7.5588015111767173E-2</v>
      </c>
      <c r="BX207" s="16">
        <f t="shared" si="163"/>
        <v>8.0345659937185704E-2</v>
      </c>
      <c r="BY207" s="16">
        <f t="shared" si="164"/>
        <v>5.9014643151272549E-2</v>
      </c>
      <c r="CA207" s="16" t="str">
        <f t="shared" si="185"/>
        <v/>
      </c>
      <c r="CB207" s="16" t="str">
        <f t="shared" si="166"/>
        <v/>
      </c>
      <c r="CC207" s="16" t="str">
        <f t="shared" si="167"/>
        <v/>
      </c>
      <c r="CD207" s="16" t="str">
        <f t="shared" si="168"/>
        <v/>
      </c>
      <c r="CE207" s="16" t="str">
        <f t="shared" si="169"/>
        <v/>
      </c>
      <c r="CF207" s="16" t="str">
        <f t="shared" si="170"/>
        <v/>
      </c>
      <c r="CG207" s="16" t="str">
        <f t="shared" si="171"/>
        <v/>
      </c>
      <c r="CH207" s="16" t="str">
        <f t="shared" si="172"/>
        <v/>
      </c>
      <c r="CI207" s="16" t="str">
        <f t="shared" si="173"/>
        <v/>
      </c>
      <c r="CJ207" s="16" t="str">
        <f t="shared" si="174"/>
        <v/>
      </c>
      <c r="CK207" s="16" t="str">
        <f t="shared" si="175"/>
        <v/>
      </c>
      <c r="CL207" s="16" t="str">
        <f t="shared" si="176"/>
        <v/>
      </c>
      <c r="CM207" s="16" t="str">
        <f t="shared" si="177"/>
        <v/>
      </c>
      <c r="CN207" s="16" t="str">
        <f t="shared" si="178"/>
        <v/>
      </c>
      <c r="CO207" s="16" t="str">
        <f t="shared" si="179"/>
        <v/>
      </c>
      <c r="CP207" s="16" t="str">
        <f t="shared" si="180"/>
        <v/>
      </c>
      <c r="CQ207" s="16" t="str">
        <f t="shared" si="181"/>
        <v/>
      </c>
      <c r="CR207" s="16" t="str">
        <f t="shared" si="182"/>
        <v/>
      </c>
      <c r="CS207" s="16" t="str">
        <f t="shared" si="183"/>
        <v/>
      </c>
      <c r="CT207" s="16" t="str">
        <f t="shared" si="184"/>
        <v/>
      </c>
    </row>
    <row r="208" spans="1:99" x14ac:dyDescent="0.25">
      <c r="A208" s="20"/>
      <c r="B208" s="21"/>
      <c r="C208" s="22" t="str" cm="1">
        <f t="array" ref="C208">IF(B208="","",INDEX('Exercise list'!$C$5:$C$102,B208))</f>
        <v/>
      </c>
      <c r="D208" s="17" t="str">
        <f t="shared" si="142"/>
        <v/>
      </c>
      <c r="E208" s="108" t="str">
        <f t="shared" si="165"/>
        <v/>
      </c>
      <c r="F208" s="65" t="str" cm="1">
        <f t="array" ref="F208">IF(B208="","",0.1+IFERROR(INDEX($F$6:$F207,SUMPRODUCT(MAX(ROW($C$6:$C207)*($C208=$C$6:$C207))-ROW($A$5)))*0.9^($A208-INDEX($A$6:A207,SUMPRODUCT(MAX(ROW($C$6:$C207)*($C208=$C$6:$C207))-ROW($A$5)))),0))</f>
        <v/>
      </c>
      <c r="G208" s="25" t="e">
        <f>INDEX('Exercise list'!$Y$5:$Y$102,MATCH(C208,'Exercise list'!$C$5:$C$102,0))</f>
        <v>#N/A</v>
      </c>
      <c r="H208" s="116">
        <f t="shared" si="143"/>
        <v>0</v>
      </c>
      <c r="I208" s="18">
        <f t="shared" si="144"/>
        <v>5</v>
      </c>
      <c r="J208" s="18" t="str" cm="1">
        <f t="array" ref="J208">IF(B208="","",INDEX('Exercise list'!$D$5:$D$102,B208))</f>
        <v/>
      </c>
      <c r="K208" s="17"/>
      <c r="L208" s="51" t="str" cm="1">
        <f t="array" ref="L208">IF(K208="","",INDEX('Exercise list'!$C$5:$C$102,K208))</f>
        <v/>
      </c>
      <c r="M208" s="18"/>
      <c r="N208" s="76" t="str" cm="1">
        <f t="array" ref="N208">IF(M208="","",INDEX('Exercise list'!$C$5:$C$102,M208))</f>
        <v/>
      </c>
      <c r="O208" s="19"/>
      <c r="P208" s="19">
        <f>IFERROR(INDEX('Exercise list'!$E$5:$X$102,MATCH($C208,'Exercise list'!$C$5:$C$102,0),MATCH(P$5,'Exercise list'!$E$4:$X$4,0)),0)</f>
        <v>0</v>
      </c>
      <c r="Q208" s="19">
        <f>IFERROR(INDEX('Exercise list'!$E$5:$X$102,MATCH($C208,'Exercise list'!$C$5:$C$102,0),MATCH(Q$5,'Exercise list'!$E$4:$X$4,0)),0)</f>
        <v>0</v>
      </c>
      <c r="R208" s="19">
        <f>IFERROR(INDEX('Exercise list'!$E$5:$X$102,MATCH($C208,'Exercise list'!$C$5:$C$102,0),MATCH(R$5,'Exercise list'!$E$4:$X$4,0)),0)</f>
        <v>0</v>
      </c>
      <c r="S208" s="19">
        <f>IFERROR(INDEX('Exercise list'!$E$5:$X$102,MATCH($C208,'Exercise list'!$C$5:$C$102,0),MATCH(S$5,'Exercise list'!$E$4:$X$4,0)),0)</f>
        <v>0</v>
      </c>
      <c r="T208" s="19">
        <f>IFERROR(INDEX('Exercise list'!$E$5:$X$102,MATCH($C208,'Exercise list'!$C$5:$C$102,0),MATCH(T$5,'Exercise list'!$E$4:$X$4,0)),0)</f>
        <v>0</v>
      </c>
      <c r="U208" s="19">
        <f>IFERROR(INDEX('Exercise list'!$E$5:$X$102,MATCH($C208,'Exercise list'!$C$5:$C$102,0),MATCH(U$5,'Exercise list'!$E$4:$X$4,0)),0)</f>
        <v>0</v>
      </c>
      <c r="V208" s="19">
        <f>IFERROR(INDEX('Exercise list'!$E$5:$X$102,MATCH($C208,'Exercise list'!$C$5:$C$102,0),MATCH(V$5,'Exercise list'!$E$4:$X$4,0)),0)</f>
        <v>0</v>
      </c>
      <c r="W208" s="19">
        <f>IFERROR(INDEX('Exercise list'!$E$5:$X$102,MATCH($C208,'Exercise list'!$C$5:$C$102,0),MATCH(W$5,'Exercise list'!$E$4:$X$4,0)),0)</f>
        <v>0</v>
      </c>
      <c r="X208" s="19">
        <f>IFERROR(INDEX('Exercise list'!$E$5:$X$102,MATCH($C208,'Exercise list'!$C$5:$C$102,0),MATCH(X$5,'Exercise list'!$E$4:$X$4,0)),0)</f>
        <v>0</v>
      </c>
      <c r="Y208" s="19">
        <f>IFERROR(INDEX('Exercise list'!$E$5:$X$102,MATCH($C208,'Exercise list'!$C$5:$C$102,0),MATCH(Y$5,'Exercise list'!$E$4:$X$4,0)),0)</f>
        <v>0</v>
      </c>
      <c r="Z208" s="19">
        <f>IFERROR(INDEX('Exercise list'!$E$5:$X$102,MATCH($C208,'Exercise list'!$C$5:$C$102,0),MATCH(Z$5,'Exercise list'!$E$4:$X$4,0)),0)</f>
        <v>0</v>
      </c>
      <c r="AA208" s="19">
        <f>IFERROR(INDEX('Exercise list'!$E$5:$X$102,MATCH($C208,'Exercise list'!$C$5:$C$102,0),MATCH(AA$5,'Exercise list'!$E$4:$X$4,0)),0)</f>
        <v>0</v>
      </c>
      <c r="AB208" s="19">
        <f>IFERROR(INDEX('Exercise list'!$E$5:$X$102,MATCH($C208,'Exercise list'!$C$5:$C$102,0),MATCH(AB$5,'Exercise list'!$E$4:$X$4,0)),0)</f>
        <v>0</v>
      </c>
      <c r="AC208" s="19">
        <f>IFERROR(INDEX('Exercise list'!$E$5:$X$102,MATCH($C208,'Exercise list'!$C$5:$C$102,0),MATCH(AC$5,'Exercise list'!$E$4:$X$4,0)),0)</f>
        <v>0</v>
      </c>
      <c r="AD208" s="19">
        <f>IFERROR(INDEX('Exercise list'!$E$5:$X$102,MATCH($C208,'Exercise list'!$C$5:$C$102,0),MATCH(AD$5,'Exercise list'!$E$4:$X$4,0)),0)</f>
        <v>0</v>
      </c>
      <c r="AE208" s="19">
        <f>IFERROR(INDEX('Exercise list'!$E$5:$X$102,MATCH($C208,'Exercise list'!$C$5:$C$102,0),MATCH(AE$5,'Exercise list'!$E$4:$X$4,0)),0)</f>
        <v>0</v>
      </c>
      <c r="AF208" s="19">
        <f>IFERROR(INDEX('Exercise list'!$E$5:$X$102,MATCH($C208,'Exercise list'!$C$5:$C$102,0),MATCH(AF$5,'Exercise list'!$E$4:$X$4,0)),0)</f>
        <v>0</v>
      </c>
      <c r="AG208" s="19">
        <f>IFERROR(INDEX('Exercise list'!$E$5:$X$102,MATCH($C208,'Exercise list'!$C$5:$C$102,0),MATCH(AG$5,'Exercise list'!$E$4:$X$4,0)),0)</f>
        <v>0</v>
      </c>
      <c r="AH208" s="19">
        <f>IFERROR(INDEX('Exercise list'!$E$5:$X$102,MATCH($C208,'Exercise list'!$C$5:$C$102,0),MATCH(AH$5,'Exercise list'!$E$4:$X$4,0)),0)</f>
        <v>0</v>
      </c>
      <c r="AI208" s="19">
        <f>IFERROR(INDEX('Exercise list'!$E$5:$X$102,MATCH($C208,'Exercise list'!$C$5:$C$102,0),MATCH(AI$5,'Exercise list'!$E$4:$X$4,0)),0)</f>
        <v>0</v>
      </c>
      <c r="AJ208" s="19"/>
      <c r="AK208" s="19">
        <f>IF(OR($J208=1,COUNTIFS($A$5:$A207,"&gt;="&amp;$A208-1,$A$5:$A207,"&lt;="&amp;$A208,$B$5:$B207,$B208)&gt;0,MIN(1-'Exercise list'!E$2,IF($A208=$A207,AK207,1))-P208&lt;0),-1,MIN(1,IF($A208=$A207,AK207,1)-P208+$D$2))</f>
        <v>1</v>
      </c>
      <c r="AL208" s="19">
        <f>IF(OR($J208=1,COUNTIFS($A$5:$A207,"&gt;="&amp;$A208-1,$A$5:$A207,"&lt;="&amp;$A208,$B$5:$B207,$B208)&gt;0,MIN(1-'Exercise list'!F$2,IF($A208=$A207,AL207,1))-Q208&lt;0),-1,MIN(1,IF($A208=$A207,AL207,1)-Q208+$D$2))</f>
        <v>1</v>
      </c>
      <c r="AM208" s="19">
        <f>IF(OR($J208=1,COUNTIFS($A$5:$A207,"&gt;="&amp;$A208-1,$A$5:$A207,"&lt;="&amp;$A208,$B$5:$B207,$B208)&gt;0,MIN(1-'Exercise list'!G$2,IF($A208=$A207,AM207,1))-R208&lt;0),-1,MIN(1,IF($A208=$A207,AM207,1)-R208+$D$2))</f>
        <v>1</v>
      </c>
      <c r="AN208" s="19">
        <f>IF(OR($J208=1,COUNTIFS($A$5:$A207,"&gt;="&amp;$A208-1,$A$5:$A207,"&lt;="&amp;$A208,$B$5:$B207,$B208)&gt;0,MIN(1-'Exercise list'!H$2,IF($A208=$A207,AN207,1))-S208&lt;0),-1,MIN(1,IF($A208=$A207,AN207,1)-S208+$D$2))</f>
        <v>1</v>
      </c>
      <c r="AO208" s="19">
        <f>IF(OR($J208=1,COUNTIFS($A$5:$A207,"&gt;="&amp;$A208-1,$A$5:$A207,"&lt;="&amp;$A208,$B$5:$B207,$B208)&gt;0,MIN(1-'Exercise list'!I$2,IF($A208=$A207,AO207,1))-T208&lt;0),-1,MIN(1,IF($A208=$A207,AO207,1)-T208+$D$2))</f>
        <v>1</v>
      </c>
      <c r="AP208" s="19">
        <f>IF(OR($J208=1,COUNTIFS($A$5:$A207,"&gt;="&amp;$A208-1,$A$5:$A207,"&lt;="&amp;$A208,$B$5:$B207,$B208)&gt;0,MIN(1-'Exercise list'!J$2,IF($A208=$A207,AP207,1))-U208&lt;0),-1,MIN(1,IF($A208=$A207,AP207,1)-U208+$D$2))</f>
        <v>1</v>
      </c>
      <c r="AQ208" s="19">
        <f>IF(OR($J208=1,COUNTIFS($A$5:$A207,"&gt;="&amp;$A208-1,$A$5:$A207,"&lt;="&amp;$A208,$B$5:$B207,$B208)&gt;0,MIN(1-'Exercise list'!K$2,IF($A208=$A207,AQ207,1))-V208&lt;0),-1,MIN(1,IF($A208=$A207,AQ207,1)-V208+$D$2))</f>
        <v>1</v>
      </c>
      <c r="AR208" s="19">
        <f>IF(OR($J208=1,COUNTIFS($A$5:$A207,"&gt;="&amp;$A208-1,$A$5:$A207,"&lt;="&amp;$A208,$B$5:$B207,$B208)&gt;0,MIN(1-'Exercise list'!L$2,IF($A208=$A207,AR207,1))-W208&lt;0),-1,MIN(1,IF($A208=$A207,AR207,1)-W208+$D$2))</f>
        <v>1</v>
      </c>
      <c r="AS208" s="19">
        <f>IF(OR($J208=1,COUNTIFS($A$5:$A207,"&gt;="&amp;$A208-1,$A$5:$A207,"&lt;="&amp;$A208,$B$5:$B207,$B208)&gt;0,MIN(1-'Exercise list'!M$2,IF($A208=$A207,AS207,1))-X208&lt;0),-1,MIN(1,IF($A208=$A207,AS207,1)-X208+$D$2))</f>
        <v>1</v>
      </c>
      <c r="AT208" s="19">
        <f>IF(OR($J208=1,COUNTIFS($A$5:$A207,"&gt;="&amp;$A208-1,$A$5:$A207,"&lt;="&amp;$A208,$B$5:$B207,$B208)&gt;0,MIN(1-'Exercise list'!N$2,IF($A208=$A207,AT207,1))-Y208&lt;0),-1,MIN(1,IF($A208=$A207,AT207,1)-Y208+$D$2))</f>
        <v>1</v>
      </c>
      <c r="AU208" s="19">
        <f>IF(OR($J208=1,COUNTIFS($A$5:$A207,"&gt;="&amp;$A208-1,$A$5:$A207,"&lt;="&amp;$A208,$B$5:$B207,$B208)&gt;0,MIN(1-'Exercise list'!O$2,IF($A208=$A207,AU207,1))-Z208&lt;0),-1,MIN(1,IF($A208=$A207,AU207,1)-Z208+$D$2))</f>
        <v>1</v>
      </c>
      <c r="AV208" s="19">
        <f>IF(OR($J208=1,COUNTIFS($A$5:$A207,"&gt;="&amp;$A208-1,$A$5:$A207,"&lt;="&amp;$A208,$B$5:$B207,$B208)&gt;0,MIN(1-'Exercise list'!P$2,IF($A208=$A207,AV207,1))-AA208&lt;0),-1,MIN(1,IF($A208=$A207,AV207,1)-AA208+$D$2))</f>
        <v>1</v>
      </c>
      <c r="AW208" s="19">
        <f>IF(OR($J208=1,COUNTIFS($A$5:$A207,"&gt;="&amp;$A208-1,$A$5:$A207,"&lt;="&amp;$A208,$B$5:$B207,$B208)&gt;0,MIN(1-'Exercise list'!Q$2,IF($A208=$A207,AW207,1))-AB208&lt;0),-1,MIN(1,IF($A208=$A207,AW207,1)-AB208+$D$2))</f>
        <v>1</v>
      </c>
      <c r="AX208" s="19">
        <f>IF(OR($J208=1,COUNTIFS($A$5:$A207,"&gt;="&amp;$A208-1,$A$5:$A207,"&lt;="&amp;$A208,$B$5:$B207,$B208)&gt;0,MIN(1-'Exercise list'!R$2,IF($A208=$A207,AX207,1))-AC208&lt;0),-1,MIN(1,IF($A208=$A207,AX207,1)-AC208+$D$2))</f>
        <v>1</v>
      </c>
      <c r="AY208" s="19">
        <f>IF(OR($J208=1,COUNTIFS($A$5:$A207,"&gt;="&amp;$A208-1,$A$5:$A207,"&lt;="&amp;$A208,$B$5:$B207,$B208)&gt;0,MIN(1-'Exercise list'!S$2,IF($A208=$A207,AY207,1))-AD208&lt;0),-1,MIN(1,IF($A208=$A207,AY207,1)-AD208+$D$2))</f>
        <v>1</v>
      </c>
      <c r="AZ208" s="19">
        <f>IF(OR($J208=1,COUNTIFS($A$5:$A207,"&gt;="&amp;$A208-1,$A$5:$A207,"&lt;="&amp;$A208,$B$5:$B207,$B208)&gt;0,MIN(1-'Exercise list'!T$2,IF($A208=$A207,AZ207,1))-AE208&lt;0),-1,MIN(1,IF($A208=$A207,AZ207,1)-AE208+$D$2))</f>
        <v>1</v>
      </c>
      <c r="BA208" s="19">
        <f>IF(OR($J208=1,COUNTIFS($A$5:$A207,"&gt;="&amp;$A208-1,$A$5:$A207,"&lt;="&amp;$A208,$B$5:$B207,$B208)&gt;0,MIN(1-'Exercise list'!U$2,IF($A208=$A207,BA207,1))-AF208&lt;0),-1,MIN(1,IF($A208=$A207,BA207,1)-AF208+$D$2))</f>
        <v>1</v>
      </c>
      <c r="BB208" s="19">
        <f>IF(OR($J208=1,COUNTIFS($A$5:$A207,"&gt;="&amp;$A208-1,$A$5:$A207,"&lt;="&amp;$A208,$B$5:$B207,$B208)&gt;0,MIN(1-'Exercise list'!V$2,IF($A208=$A207,BB207,1))-AG208&lt;0),-1,MIN(1,IF($A208=$A207,BB207,1)-AG208+$D$2))</f>
        <v>1</v>
      </c>
      <c r="BC208" s="19">
        <f>IF(OR($J208=1,COUNTIFS($A$5:$A207,"&gt;="&amp;$A208-1,$A$5:$A207,"&lt;="&amp;$A208,$B$5:$B207,$B208)&gt;0,MIN(1-'Exercise list'!W$2,IF($A208=$A207,BC207,1))-AH208&lt;0),-1,MIN(1,IF($A208=$A207,BC207,1)-AH208+$D$2))</f>
        <v>1</v>
      </c>
      <c r="BD208" s="19">
        <f>IF(OR($J208=1,COUNTIFS($A$5:$A207,"&gt;="&amp;$A208-1,$A$5:$A207,"&lt;="&amp;$A208,$B$5:$B207,$B208)&gt;0,MIN(1-'Exercise list'!X$2,IF($A208=$A207,BD207,1))-AI208&lt;0),-1,MIN(1,IF($A208=$A207,BD207,1)-AI208+$D$2))</f>
        <v>1</v>
      </c>
      <c r="BE208" s="19"/>
      <c r="BF208" s="23">
        <f t="shared" si="145"/>
        <v>0.19596031081758858</v>
      </c>
      <c r="BG208" s="23">
        <f t="shared" si="146"/>
        <v>0.21844636935459236</v>
      </c>
      <c r="BH208" s="23">
        <f t="shared" si="147"/>
        <v>0.14609696635987124</v>
      </c>
      <c r="BI208" s="23">
        <f t="shared" si="148"/>
        <v>0.13198015366034541</v>
      </c>
      <c r="BJ208" s="23">
        <f t="shared" si="149"/>
        <v>8.3367914198418713E-2</v>
      </c>
      <c r="BK208" s="23">
        <f t="shared" si="150"/>
        <v>0.10640640223148412</v>
      </c>
      <c r="BL208" s="23">
        <f t="shared" si="151"/>
        <v>0.21963504743569431</v>
      </c>
      <c r="BM208" s="23">
        <f t="shared" si="152"/>
        <v>3.8988008374820568E-3</v>
      </c>
      <c r="BN208" s="23">
        <f t="shared" si="153"/>
        <v>0.14537706087090876</v>
      </c>
      <c r="BO208" s="23">
        <f t="shared" si="154"/>
        <v>0.29209790661993401</v>
      </c>
      <c r="BP208" s="23">
        <f t="shared" si="155"/>
        <v>0.31584545163401867</v>
      </c>
      <c r="BQ208" s="23">
        <f t="shared" si="156"/>
        <v>0.1000007994126096</v>
      </c>
      <c r="BR208" s="23">
        <f t="shared" si="157"/>
        <v>0.13164487759885393</v>
      </c>
      <c r="BS208" s="23">
        <f t="shared" si="158"/>
        <v>2.9803550189863123E-2</v>
      </c>
      <c r="BT208" s="23">
        <f t="shared" si="159"/>
        <v>0.13492040904978705</v>
      </c>
      <c r="BU208" s="23">
        <f t="shared" si="160"/>
        <v>0.11703687414398131</v>
      </c>
      <c r="BV208" s="23">
        <f t="shared" si="161"/>
        <v>0.14633353213781661</v>
      </c>
      <c r="BW208" s="23">
        <f t="shared" si="162"/>
        <v>7.5588015111767173E-2</v>
      </c>
      <c r="BX208" s="23">
        <f t="shared" si="163"/>
        <v>8.0345659937185704E-2</v>
      </c>
      <c r="BY208" s="23">
        <f t="shared" si="164"/>
        <v>5.9014643151272549E-2</v>
      </c>
      <c r="BZ208" s="19"/>
      <c r="CA208" s="23" t="str">
        <f t="shared" si="185"/>
        <v/>
      </c>
      <c r="CB208" s="23" t="str">
        <f t="shared" si="166"/>
        <v/>
      </c>
      <c r="CC208" s="23" t="str">
        <f t="shared" si="167"/>
        <v/>
      </c>
      <c r="CD208" s="23" t="str">
        <f t="shared" si="168"/>
        <v/>
      </c>
      <c r="CE208" s="23" t="str">
        <f t="shared" si="169"/>
        <v/>
      </c>
      <c r="CF208" s="23" t="str">
        <f t="shared" si="170"/>
        <v/>
      </c>
      <c r="CG208" s="23" t="str">
        <f t="shared" si="171"/>
        <v/>
      </c>
      <c r="CH208" s="23" t="str">
        <f t="shared" si="172"/>
        <v/>
      </c>
      <c r="CI208" s="23" t="str">
        <f t="shared" si="173"/>
        <v/>
      </c>
      <c r="CJ208" s="23" t="str">
        <f t="shared" si="174"/>
        <v/>
      </c>
      <c r="CK208" s="23" t="str">
        <f t="shared" si="175"/>
        <v/>
      </c>
      <c r="CL208" s="23" t="str">
        <f t="shared" si="176"/>
        <v/>
      </c>
      <c r="CM208" s="23" t="str">
        <f t="shared" si="177"/>
        <v/>
      </c>
      <c r="CN208" s="23" t="str">
        <f t="shared" si="178"/>
        <v/>
      </c>
      <c r="CO208" s="23" t="str">
        <f t="shared" si="179"/>
        <v/>
      </c>
      <c r="CP208" s="23" t="str">
        <f t="shared" si="180"/>
        <v/>
      </c>
      <c r="CQ208" s="23" t="str">
        <f t="shared" si="181"/>
        <v/>
      </c>
      <c r="CR208" s="23" t="str">
        <f t="shared" si="182"/>
        <v/>
      </c>
      <c r="CS208" s="23" t="str">
        <f t="shared" si="183"/>
        <v/>
      </c>
      <c r="CT208" s="23" t="str">
        <f t="shared" si="184"/>
        <v/>
      </c>
      <c r="CU208" s="19"/>
    </row>
    <row r="209" spans="1:99" x14ac:dyDescent="0.25">
      <c r="A209" s="13"/>
      <c r="B209" s="14"/>
      <c r="C209" s="15" t="str" cm="1">
        <f t="array" ref="C209">IF(B209="","",INDEX('Exercise list'!$C$5:$C$102,B209))</f>
        <v/>
      </c>
      <c r="D209" s="12" t="str">
        <f t="shared" si="142"/>
        <v/>
      </c>
      <c r="E209" s="107" t="str">
        <f t="shared" si="165"/>
        <v/>
      </c>
      <c r="F209" s="63" t="str" cm="1">
        <f t="array" ref="F209">IF(B209="","",0.1+IFERROR(INDEX($F$6:$F208,SUMPRODUCT(MAX(ROW($C$6:$C208)*($C209=$C$6:$C208))-ROW($A$5)))*0.9^($A209-INDEX($A$6:A208,SUMPRODUCT(MAX(ROW($C$6:$C208)*($C209=$C$6:$C208))-ROW($A$5)))),0))</f>
        <v/>
      </c>
      <c r="G209" s="64" t="e">
        <f>INDEX('Exercise list'!$Y$5:$Y$102,MATCH(C209,'Exercise list'!$C$5:$C$102,0))</f>
        <v>#N/A</v>
      </c>
      <c r="H209" s="115">
        <f t="shared" si="143"/>
        <v>0</v>
      </c>
      <c r="I209" s="42">
        <f t="shared" si="144"/>
        <v>5</v>
      </c>
      <c r="J209" s="6" t="str" cm="1">
        <f t="array" ref="J209">IF(B209="","",INDEX('Exercise list'!$D$5:$D$102,B209))</f>
        <v/>
      </c>
      <c r="K209" s="12"/>
      <c r="L209" s="74" t="str" cm="1">
        <f t="array" ref="L209">IF(K209="","",INDEX('Exercise list'!$C$5:$C$102,K209))</f>
        <v/>
      </c>
      <c r="M209" s="6"/>
      <c r="N209" s="75" t="str" cm="1">
        <f t="array" ref="N209">IF(M209="","",INDEX('Exercise list'!$C$5:$C$102,M209))</f>
        <v/>
      </c>
      <c r="P209">
        <f>IFERROR(INDEX('Exercise list'!$E$5:$X$102,MATCH($C209,'Exercise list'!$C$5:$C$102,0),MATCH(P$5,'Exercise list'!$E$4:$X$4,0)),0)</f>
        <v>0</v>
      </c>
      <c r="Q209">
        <f>IFERROR(INDEX('Exercise list'!$E$5:$X$102,MATCH($C209,'Exercise list'!$C$5:$C$102,0),MATCH(Q$5,'Exercise list'!$E$4:$X$4,0)),0)</f>
        <v>0</v>
      </c>
      <c r="R209">
        <f>IFERROR(INDEX('Exercise list'!$E$5:$X$102,MATCH($C209,'Exercise list'!$C$5:$C$102,0),MATCH(R$5,'Exercise list'!$E$4:$X$4,0)),0)</f>
        <v>0</v>
      </c>
      <c r="S209">
        <f>IFERROR(INDEX('Exercise list'!$E$5:$X$102,MATCH($C209,'Exercise list'!$C$5:$C$102,0),MATCH(S$5,'Exercise list'!$E$4:$X$4,0)),0)</f>
        <v>0</v>
      </c>
      <c r="T209">
        <f>IFERROR(INDEX('Exercise list'!$E$5:$X$102,MATCH($C209,'Exercise list'!$C$5:$C$102,0),MATCH(T$5,'Exercise list'!$E$4:$X$4,0)),0)</f>
        <v>0</v>
      </c>
      <c r="U209">
        <f>IFERROR(INDEX('Exercise list'!$E$5:$X$102,MATCH($C209,'Exercise list'!$C$5:$C$102,0),MATCH(U$5,'Exercise list'!$E$4:$X$4,0)),0)</f>
        <v>0</v>
      </c>
      <c r="V209">
        <f>IFERROR(INDEX('Exercise list'!$E$5:$X$102,MATCH($C209,'Exercise list'!$C$5:$C$102,0),MATCH(V$5,'Exercise list'!$E$4:$X$4,0)),0)</f>
        <v>0</v>
      </c>
      <c r="W209">
        <f>IFERROR(INDEX('Exercise list'!$E$5:$X$102,MATCH($C209,'Exercise list'!$C$5:$C$102,0),MATCH(W$5,'Exercise list'!$E$4:$X$4,0)),0)</f>
        <v>0</v>
      </c>
      <c r="X209">
        <f>IFERROR(INDEX('Exercise list'!$E$5:$X$102,MATCH($C209,'Exercise list'!$C$5:$C$102,0),MATCH(X$5,'Exercise list'!$E$4:$X$4,0)),0)</f>
        <v>0</v>
      </c>
      <c r="Y209">
        <f>IFERROR(INDEX('Exercise list'!$E$5:$X$102,MATCH($C209,'Exercise list'!$C$5:$C$102,0),MATCH(Y$5,'Exercise list'!$E$4:$X$4,0)),0)</f>
        <v>0</v>
      </c>
      <c r="Z209">
        <f>IFERROR(INDEX('Exercise list'!$E$5:$X$102,MATCH($C209,'Exercise list'!$C$5:$C$102,0),MATCH(Z$5,'Exercise list'!$E$4:$X$4,0)),0)</f>
        <v>0</v>
      </c>
      <c r="AA209">
        <f>IFERROR(INDEX('Exercise list'!$E$5:$X$102,MATCH($C209,'Exercise list'!$C$5:$C$102,0),MATCH(AA$5,'Exercise list'!$E$4:$X$4,0)),0)</f>
        <v>0</v>
      </c>
      <c r="AB209">
        <f>IFERROR(INDEX('Exercise list'!$E$5:$X$102,MATCH($C209,'Exercise list'!$C$5:$C$102,0),MATCH(AB$5,'Exercise list'!$E$4:$X$4,0)),0)</f>
        <v>0</v>
      </c>
      <c r="AC209">
        <f>IFERROR(INDEX('Exercise list'!$E$5:$X$102,MATCH($C209,'Exercise list'!$C$5:$C$102,0),MATCH(AC$5,'Exercise list'!$E$4:$X$4,0)),0)</f>
        <v>0</v>
      </c>
      <c r="AD209">
        <f>IFERROR(INDEX('Exercise list'!$E$5:$X$102,MATCH($C209,'Exercise list'!$C$5:$C$102,0),MATCH(AD$5,'Exercise list'!$E$4:$X$4,0)),0)</f>
        <v>0</v>
      </c>
      <c r="AE209">
        <f>IFERROR(INDEX('Exercise list'!$E$5:$X$102,MATCH($C209,'Exercise list'!$C$5:$C$102,0),MATCH(AE$5,'Exercise list'!$E$4:$X$4,0)),0)</f>
        <v>0</v>
      </c>
      <c r="AF209">
        <f>IFERROR(INDEX('Exercise list'!$E$5:$X$102,MATCH($C209,'Exercise list'!$C$5:$C$102,0),MATCH(AF$5,'Exercise list'!$E$4:$X$4,0)),0)</f>
        <v>0</v>
      </c>
      <c r="AG209">
        <f>IFERROR(INDEX('Exercise list'!$E$5:$X$102,MATCH($C209,'Exercise list'!$C$5:$C$102,0),MATCH(AG$5,'Exercise list'!$E$4:$X$4,0)),0)</f>
        <v>0</v>
      </c>
      <c r="AH209">
        <f>IFERROR(INDEX('Exercise list'!$E$5:$X$102,MATCH($C209,'Exercise list'!$C$5:$C$102,0),MATCH(AH$5,'Exercise list'!$E$4:$X$4,0)),0)</f>
        <v>0</v>
      </c>
      <c r="AI209">
        <f>IFERROR(INDEX('Exercise list'!$E$5:$X$102,MATCH($C209,'Exercise list'!$C$5:$C$102,0),MATCH(AI$5,'Exercise list'!$E$4:$X$4,0)),0)</f>
        <v>0</v>
      </c>
      <c r="AK209">
        <f>IF(OR($J209=1,COUNTIFS($A$5:$A208,"&gt;="&amp;$A209-1,$A$5:$A208,"&lt;="&amp;$A209,$B$5:$B208,$B209)&gt;0,MIN(1-'Exercise list'!E$2,IF($A209=$A208,AK208,1))-P209&lt;0),-1,MIN(1,IF($A209=$A208,AK208,1)-P209+$D$2))</f>
        <v>1</v>
      </c>
      <c r="AL209">
        <f>IF(OR($J209=1,COUNTIFS($A$5:$A208,"&gt;="&amp;$A209-1,$A$5:$A208,"&lt;="&amp;$A209,$B$5:$B208,$B209)&gt;0,MIN(1-'Exercise list'!F$2,IF($A209=$A208,AL208,1))-Q209&lt;0),-1,MIN(1,IF($A209=$A208,AL208,1)-Q209+$D$2))</f>
        <v>1</v>
      </c>
      <c r="AM209">
        <f>IF(OR($J209=1,COUNTIFS($A$5:$A208,"&gt;="&amp;$A209-1,$A$5:$A208,"&lt;="&amp;$A209,$B$5:$B208,$B209)&gt;0,MIN(1-'Exercise list'!G$2,IF($A209=$A208,AM208,1))-R209&lt;0),-1,MIN(1,IF($A209=$A208,AM208,1)-R209+$D$2))</f>
        <v>1</v>
      </c>
      <c r="AN209">
        <f>IF(OR($J209=1,COUNTIFS($A$5:$A208,"&gt;="&amp;$A209-1,$A$5:$A208,"&lt;="&amp;$A209,$B$5:$B208,$B209)&gt;0,MIN(1-'Exercise list'!H$2,IF($A209=$A208,AN208,1))-S209&lt;0),-1,MIN(1,IF($A209=$A208,AN208,1)-S209+$D$2))</f>
        <v>1</v>
      </c>
      <c r="AO209">
        <f>IF(OR($J209=1,COUNTIFS($A$5:$A208,"&gt;="&amp;$A209-1,$A$5:$A208,"&lt;="&amp;$A209,$B$5:$B208,$B209)&gt;0,MIN(1-'Exercise list'!I$2,IF($A209=$A208,AO208,1))-T209&lt;0),-1,MIN(1,IF($A209=$A208,AO208,1)-T209+$D$2))</f>
        <v>1</v>
      </c>
      <c r="AP209">
        <f>IF(OR($J209=1,COUNTIFS($A$5:$A208,"&gt;="&amp;$A209-1,$A$5:$A208,"&lt;="&amp;$A209,$B$5:$B208,$B209)&gt;0,MIN(1-'Exercise list'!J$2,IF($A209=$A208,AP208,1))-U209&lt;0),-1,MIN(1,IF($A209=$A208,AP208,1)-U209+$D$2))</f>
        <v>1</v>
      </c>
      <c r="AQ209">
        <f>IF(OR($J209=1,COUNTIFS($A$5:$A208,"&gt;="&amp;$A209-1,$A$5:$A208,"&lt;="&amp;$A209,$B$5:$B208,$B209)&gt;0,MIN(1-'Exercise list'!K$2,IF($A209=$A208,AQ208,1))-V209&lt;0),-1,MIN(1,IF($A209=$A208,AQ208,1)-V209+$D$2))</f>
        <v>1</v>
      </c>
      <c r="AR209">
        <f>IF(OR($J209=1,COUNTIFS($A$5:$A208,"&gt;="&amp;$A209-1,$A$5:$A208,"&lt;="&amp;$A209,$B$5:$B208,$B209)&gt;0,MIN(1-'Exercise list'!L$2,IF($A209=$A208,AR208,1))-W209&lt;0),-1,MIN(1,IF($A209=$A208,AR208,1)-W209+$D$2))</f>
        <v>1</v>
      </c>
      <c r="AS209">
        <f>IF(OR($J209=1,COUNTIFS($A$5:$A208,"&gt;="&amp;$A209-1,$A$5:$A208,"&lt;="&amp;$A209,$B$5:$B208,$B209)&gt;0,MIN(1-'Exercise list'!M$2,IF($A209=$A208,AS208,1))-X209&lt;0),-1,MIN(1,IF($A209=$A208,AS208,1)-X209+$D$2))</f>
        <v>1</v>
      </c>
      <c r="AT209">
        <f>IF(OR($J209=1,COUNTIFS($A$5:$A208,"&gt;="&amp;$A209-1,$A$5:$A208,"&lt;="&amp;$A209,$B$5:$B208,$B209)&gt;0,MIN(1-'Exercise list'!N$2,IF($A209=$A208,AT208,1))-Y209&lt;0),-1,MIN(1,IF($A209=$A208,AT208,1)-Y209+$D$2))</f>
        <v>1</v>
      </c>
      <c r="AU209">
        <f>IF(OR($J209=1,COUNTIFS($A$5:$A208,"&gt;="&amp;$A209-1,$A$5:$A208,"&lt;="&amp;$A209,$B$5:$B208,$B209)&gt;0,MIN(1-'Exercise list'!O$2,IF($A209=$A208,AU208,1))-Z209&lt;0),-1,MIN(1,IF($A209=$A208,AU208,1)-Z209+$D$2))</f>
        <v>1</v>
      </c>
      <c r="AV209">
        <f>IF(OR($J209=1,COUNTIFS($A$5:$A208,"&gt;="&amp;$A209-1,$A$5:$A208,"&lt;="&amp;$A209,$B$5:$B208,$B209)&gt;0,MIN(1-'Exercise list'!P$2,IF($A209=$A208,AV208,1))-AA209&lt;0),-1,MIN(1,IF($A209=$A208,AV208,1)-AA209+$D$2))</f>
        <v>1</v>
      </c>
      <c r="AW209">
        <f>IF(OR($J209=1,COUNTIFS($A$5:$A208,"&gt;="&amp;$A209-1,$A$5:$A208,"&lt;="&amp;$A209,$B$5:$B208,$B209)&gt;0,MIN(1-'Exercise list'!Q$2,IF($A209=$A208,AW208,1))-AB209&lt;0),-1,MIN(1,IF($A209=$A208,AW208,1)-AB209+$D$2))</f>
        <v>1</v>
      </c>
      <c r="AX209">
        <f>IF(OR($J209=1,COUNTIFS($A$5:$A208,"&gt;="&amp;$A209-1,$A$5:$A208,"&lt;="&amp;$A209,$B$5:$B208,$B209)&gt;0,MIN(1-'Exercise list'!R$2,IF($A209=$A208,AX208,1))-AC209&lt;0),-1,MIN(1,IF($A209=$A208,AX208,1)-AC209+$D$2))</f>
        <v>1</v>
      </c>
      <c r="AY209">
        <f>IF(OR($J209=1,COUNTIFS($A$5:$A208,"&gt;="&amp;$A209-1,$A$5:$A208,"&lt;="&amp;$A209,$B$5:$B208,$B209)&gt;0,MIN(1-'Exercise list'!S$2,IF($A209=$A208,AY208,1))-AD209&lt;0),-1,MIN(1,IF($A209=$A208,AY208,1)-AD209+$D$2))</f>
        <v>1</v>
      </c>
      <c r="AZ209">
        <f>IF(OR($J209=1,COUNTIFS($A$5:$A208,"&gt;="&amp;$A209-1,$A$5:$A208,"&lt;="&amp;$A209,$B$5:$B208,$B209)&gt;0,MIN(1-'Exercise list'!T$2,IF($A209=$A208,AZ208,1))-AE209&lt;0),-1,MIN(1,IF($A209=$A208,AZ208,1)-AE209+$D$2))</f>
        <v>1</v>
      </c>
      <c r="BA209">
        <f>IF(OR($J209=1,COUNTIFS($A$5:$A208,"&gt;="&amp;$A209-1,$A$5:$A208,"&lt;="&amp;$A209,$B$5:$B208,$B209)&gt;0,MIN(1-'Exercise list'!U$2,IF($A209=$A208,BA208,1))-AF209&lt;0),-1,MIN(1,IF($A209=$A208,BA208,1)-AF209+$D$2))</f>
        <v>1</v>
      </c>
      <c r="BB209">
        <f>IF(OR($J209=1,COUNTIFS($A$5:$A208,"&gt;="&amp;$A209-1,$A$5:$A208,"&lt;="&amp;$A209,$B$5:$B208,$B209)&gt;0,MIN(1-'Exercise list'!V$2,IF($A209=$A208,BB208,1))-AG209&lt;0),-1,MIN(1,IF($A209=$A208,BB208,1)-AG209+$D$2))</f>
        <v>1</v>
      </c>
      <c r="BC209">
        <f>IF(OR($J209=1,COUNTIFS($A$5:$A208,"&gt;="&amp;$A209-1,$A$5:$A208,"&lt;="&amp;$A209,$B$5:$B208,$B209)&gt;0,MIN(1-'Exercise list'!W$2,IF($A209=$A208,BC208,1))-AH209&lt;0),-1,MIN(1,IF($A209=$A208,BC208,1)-AH209+$D$2))</f>
        <v>1</v>
      </c>
      <c r="BD209">
        <f>IF(OR($J209=1,COUNTIFS($A$5:$A208,"&gt;="&amp;$A209-1,$A$5:$A208,"&lt;="&amp;$A209,$B$5:$B208,$B209)&gt;0,MIN(1-'Exercise list'!X$2,IF($A209=$A208,BD208,1))-AI209&lt;0),-1,MIN(1,IF($A209=$A208,BD208,1)-AI209+$D$2))</f>
        <v>1</v>
      </c>
      <c r="BF209" s="16">
        <f t="shared" si="145"/>
        <v>0.19596031081758858</v>
      </c>
      <c r="BG209" s="16">
        <f t="shared" si="146"/>
        <v>0.21844636935459236</v>
      </c>
      <c r="BH209" s="16">
        <f t="shared" si="147"/>
        <v>0.14609696635987124</v>
      </c>
      <c r="BI209" s="16">
        <f t="shared" si="148"/>
        <v>0.13198015366034541</v>
      </c>
      <c r="BJ209" s="16">
        <f t="shared" si="149"/>
        <v>8.3367914198418713E-2</v>
      </c>
      <c r="BK209" s="16">
        <f t="shared" si="150"/>
        <v>0.10640640223148412</v>
      </c>
      <c r="BL209" s="16">
        <f t="shared" si="151"/>
        <v>0.21963504743569431</v>
      </c>
      <c r="BM209" s="16">
        <f t="shared" si="152"/>
        <v>3.8988008374820568E-3</v>
      </c>
      <c r="BN209" s="16">
        <f t="shared" si="153"/>
        <v>0.14537706087090876</v>
      </c>
      <c r="BO209" s="16">
        <f t="shared" si="154"/>
        <v>0.29209790661993401</v>
      </c>
      <c r="BP209" s="16">
        <f t="shared" si="155"/>
        <v>0.31584545163401867</v>
      </c>
      <c r="BQ209" s="16">
        <f t="shared" si="156"/>
        <v>0.1000007994126096</v>
      </c>
      <c r="BR209" s="16">
        <f t="shared" si="157"/>
        <v>0.13164487759885393</v>
      </c>
      <c r="BS209" s="16">
        <f t="shared" si="158"/>
        <v>2.9803550189863123E-2</v>
      </c>
      <c r="BT209" s="16">
        <f t="shared" si="159"/>
        <v>0.13492040904978705</v>
      </c>
      <c r="BU209" s="16">
        <f t="shared" si="160"/>
        <v>0.11703687414398131</v>
      </c>
      <c r="BV209" s="16">
        <f t="shared" si="161"/>
        <v>0.14633353213781661</v>
      </c>
      <c r="BW209" s="16">
        <f t="shared" si="162"/>
        <v>7.5588015111767173E-2</v>
      </c>
      <c r="BX209" s="16">
        <f t="shared" si="163"/>
        <v>8.0345659937185704E-2</v>
      </c>
      <c r="BY209" s="16">
        <f t="shared" si="164"/>
        <v>5.9014643151272549E-2</v>
      </c>
      <c r="CA209" s="16" t="str">
        <f t="shared" si="185"/>
        <v/>
      </c>
      <c r="CB209" s="16" t="str">
        <f t="shared" si="166"/>
        <v/>
      </c>
      <c r="CC209" s="16" t="str">
        <f t="shared" si="167"/>
        <v/>
      </c>
      <c r="CD209" s="16" t="str">
        <f t="shared" si="168"/>
        <v/>
      </c>
      <c r="CE209" s="16" t="str">
        <f t="shared" si="169"/>
        <v/>
      </c>
      <c r="CF209" s="16" t="str">
        <f t="shared" si="170"/>
        <v/>
      </c>
      <c r="CG209" s="16" t="str">
        <f t="shared" si="171"/>
        <v/>
      </c>
      <c r="CH209" s="16" t="str">
        <f t="shared" si="172"/>
        <v/>
      </c>
      <c r="CI209" s="16" t="str">
        <f t="shared" si="173"/>
        <v/>
      </c>
      <c r="CJ209" s="16" t="str">
        <f t="shared" si="174"/>
        <v/>
      </c>
      <c r="CK209" s="16" t="str">
        <f t="shared" si="175"/>
        <v/>
      </c>
      <c r="CL209" s="16" t="str">
        <f t="shared" si="176"/>
        <v/>
      </c>
      <c r="CM209" s="16" t="str">
        <f t="shared" si="177"/>
        <v/>
      </c>
      <c r="CN209" s="16" t="str">
        <f t="shared" si="178"/>
        <v/>
      </c>
      <c r="CO209" s="16" t="str">
        <f t="shared" si="179"/>
        <v/>
      </c>
      <c r="CP209" s="16" t="str">
        <f t="shared" si="180"/>
        <v/>
      </c>
      <c r="CQ209" s="16" t="str">
        <f t="shared" si="181"/>
        <v/>
      </c>
      <c r="CR209" s="16" t="str">
        <f t="shared" si="182"/>
        <v/>
      </c>
      <c r="CS209" s="16" t="str">
        <f t="shared" si="183"/>
        <v/>
      </c>
      <c r="CT209" s="16" t="str">
        <f t="shared" si="184"/>
        <v/>
      </c>
    </row>
    <row r="210" spans="1:99" x14ac:dyDescent="0.25">
      <c r="A210" s="13"/>
      <c r="B210" s="14"/>
      <c r="C210" s="15" t="str" cm="1">
        <f t="array" ref="C210">IF(B210="","",INDEX('Exercise list'!$C$5:$C$102,B210))</f>
        <v/>
      </c>
      <c r="D210" s="12" t="str">
        <f t="shared" si="142"/>
        <v/>
      </c>
      <c r="E210" s="107" t="str">
        <f t="shared" si="165"/>
        <v/>
      </c>
      <c r="F210" s="63" t="str" cm="1">
        <f t="array" ref="F210">IF(B210="","",0.1+IFERROR(INDEX($F$6:$F209,SUMPRODUCT(MAX(ROW($C$6:$C209)*($C210=$C$6:$C209))-ROW($A$5)))*0.9^($A210-INDEX($A$6:A209,SUMPRODUCT(MAX(ROW($C$6:$C209)*($C210=$C$6:$C209))-ROW($A$5)))),0))</f>
        <v/>
      </c>
      <c r="G210" s="64" t="e">
        <f>INDEX('Exercise list'!$Y$5:$Y$102,MATCH(C210,'Exercise list'!$C$5:$C$102,0))</f>
        <v>#N/A</v>
      </c>
      <c r="H210" s="115">
        <f t="shared" si="143"/>
        <v>0</v>
      </c>
      <c r="I210" s="6">
        <f t="shared" si="144"/>
        <v>5</v>
      </c>
      <c r="J210" s="6" t="str" cm="1">
        <f t="array" ref="J210">IF(B210="","",INDEX('Exercise list'!$D$5:$D$102,B210))</f>
        <v/>
      </c>
      <c r="K210" s="12"/>
      <c r="L210" s="74" t="str" cm="1">
        <f t="array" ref="L210">IF(K210="","",INDEX('Exercise list'!$C$5:$C$102,K210))</f>
        <v/>
      </c>
      <c r="M210" s="6"/>
      <c r="N210" s="75" t="str" cm="1">
        <f t="array" ref="N210">IF(M210="","",INDEX('Exercise list'!$C$5:$C$102,M210))</f>
        <v/>
      </c>
      <c r="P210">
        <f>IFERROR(INDEX('Exercise list'!$E$5:$X$102,MATCH($C210,'Exercise list'!$C$5:$C$102,0),MATCH(P$5,'Exercise list'!$E$4:$X$4,0)),0)</f>
        <v>0</v>
      </c>
      <c r="Q210">
        <f>IFERROR(INDEX('Exercise list'!$E$5:$X$102,MATCH($C210,'Exercise list'!$C$5:$C$102,0),MATCH(Q$5,'Exercise list'!$E$4:$X$4,0)),0)</f>
        <v>0</v>
      </c>
      <c r="R210">
        <f>IFERROR(INDEX('Exercise list'!$E$5:$X$102,MATCH($C210,'Exercise list'!$C$5:$C$102,0),MATCH(R$5,'Exercise list'!$E$4:$X$4,0)),0)</f>
        <v>0</v>
      </c>
      <c r="S210">
        <f>IFERROR(INDEX('Exercise list'!$E$5:$X$102,MATCH($C210,'Exercise list'!$C$5:$C$102,0),MATCH(S$5,'Exercise list'!$E$4:$X$4,0)),0)</f>
        <v>0</v>
      </c>
      <c r="T210">
        <f>IFERROR(INDEX('Exercise list'!$E$5:$X$102,MATCH($C210,'Exercise list'!$C$5:$C$102,0),MATCH(T$5,'Exercise list'!$E$4:$X$4,0)),0)</f>
        <v>0</v>
      </c>
      <c r="U210">
        <f>IFERROR(INDEX('Exercise list'!$E$5:$X$102,MATCH($C210,'Exercise list'!$C$5:$C$102,0),MATCH(U$5,'Exercise list'!$E$4:$X$4,0)),0)</f>
        <v>0</v>
      </c>
      <c r="V210">
        <f>IFERROR(INDEX('Exercise list'!$E$5:$X$102,MATCH($C210,'Exercise list'!$C$5:$C$102,0),MATCH(V$5,'Exercise list'!$E$4:$X$4,0)),0)</f>
        <v>0</v>
      </c>
      <c r="W210">
        <f>IFERROR(INDEX('Exercise list'!$E$5:$X$102,MATCH($C210,'Exercise list'!$C$5:$C$102,0),MATCH(W$5,'Exercise list'!$E$4:$X$4,0)),0)</f>
        <v>0</v>
      </c>
      <c r="X210">
        <f>IFERROR(INDEX('Exercise list'!$E$5:$X$102,MATCH($C210,'Exercise list'!$C$5:$C$102,0),MATCH(X$5,'Exercise list'!$E$4:$X$4,0)),0)</f>
        <v>0</v>
      </c>
      <c r="Y210">
        <f>IFERROR(INDEX('Exercise list'!$E$5:$X$102,MATCH($C210,'Exercise list'!$C$5:$C$102,0),MATCH(Y$5,'Exercise list'!$E$4:$X$4,0)),0)</f>
        <v>0</v>
      </c>
      <c r="Z210">
        <f>IFERROR(INDEX('Exercise list'!$E$5:$X$102,MATCH($C210,'Exercise list'!$C$5:$C$102,0),MATCH(Z$5,'Exercise list'!$E$4:$X$4,0)),0)</f>
        <v>0</v>
      </c>
      <c r="AA210">
        <f>IFERROR(INDEX('Exercise list'!$E$5:$X$102,MATCH($C210,'Exercise list'!$C$5:$C$102,0),MATCH(AA$5,'Exercise list'!$E$4:$X$4,0)),0)</f>
        <v>0</v>
      </c>
      <c r="AB210">
        <f>IFERROR(INDEX('Exercise list'!$E$5:$X$102,MATCH($C210,'Exercise list'!$C$5:$C$102,0),MATCH(AB$5,'Exercise list'!$E$4:$X$4,0)),0)</f>
        <v>0</v>
      </c>
      <c r="AC210">
        <f>IFERROR(INDEX('Exercise list'!$E$5:$X$102,MATCH($C210,'Exercise list'!$C$5:$C$102,0),MATCH(AC$5,'Exercise list'!$E$4:$X$4,0)),0)</f>
        <v>0</v>
      </c>
      <c r="AD210">
        <f>IFERROR(INDEX('Exercise list'!$E$5:$X$102,MATCH($C210,'Exercise list'!$C$5:$C$102,0),MATCH(AD$5,'Exercise list'!$E$4:$X$4,0)),0)</f>
        <v>0</v>
      </c>
      <c r="AE210">
        <f>IFERROR(INDEX('Exercise list'!$E$5:$X$102,MATCH($C210,'Exercise list'!$C$5:$C$102,0),MATCH(AE$5,'Exercise list'!$E$4:$X$4,0)),0)</f>
        <v>0</v>
      </c>
      <c r="AF210">
        <f>IFERROR(INDEX('Exercise list'!$E$5:$X$102,MATCH($C210,'Exercise list'!$C$5:$C$102,0),MATCH(AF$5,'Exercise list'!$E$4:$X$4,0)),0)</f>
        <v>0</v>
      </c>
      <c r="AG210">
        <f>IFERROR(INDEX('Exercise list'!$E$5:$X$102,MATCH($C210,'Exercise list'!$C$5:$C$102,0),MATCH(AG$5,'Exercise list'!$E$4:$X$4,0)),0)</f>
        <v>0</v>
      </c>
      <c r="AH210">
        <f>IFERROR(INDEX('Exercise list'!$E$5:$X$102,MATCH($C210,'Exercise list'!$C$5:$C$102,0),MATCH(AH$5,'Exercise list'!$E$4:$X$4,0)),0)</f>
        <v>0</v>
      </c>
      <c r="AI210">
        <f>IFERROR(INDEX('Exercise list'!$E$5:$X$102,MATCH($C210,'Exercise list'!$C$5:$C$102,0),MATCH(AI$5,'Exercise list'!$E$4:$X$4,0)),0)</f>
        <v>0</v>
      </c>
      <c r="AK210">
        <f>IF(OR($J210=1,COUNTIFS($A$5:$A209,"&gt;="&amp;$A210-1,$A$5:$A209,"&lt;="&amp;$A210,$B$5:$B209,$B210)&gt;0,MIN(1-'Exercise list'!E$2,IF($A210=$A209,AK209,1))-P210&lt;0),-1,MIN(1,IF($A210=$A209,AK209,1)-P210+$D$2))</f>
        <v>1</v>
      </c>
      <c r="AL210">
        <f>IF(OR($J210=1,COUNTIFS($A$5:$A209,"&gt;="&amp;$A210-1,$A$5:$A209,"&lt;="&amp;$A210,$B$5:$B209,$B210)&gt;0,MIN(1-'Exercise list'!F$2,IF($A210=$A209,AL209,1))-Q210&lt;0),-1,MIN(1,IF($A210=$A209,AL209,1)-Q210+$D$2))</f>
        <v>1</v>
      </c>
      <c r="AM210">
        <f>IF(OR($J210=1,COUNTIFS($A$5:$A209,"&gt;="&amp;$A210-1,$A$5:$A209,"&lt;="&amp;$A210,$B$5:$B209,$B210)&gt;0,MIN(1-'Exercise list'!G$2,IF($A210=$A209,AM209,1))-R210&lt;0),-1,MIN(1,IF($A210=$A209,AM209,1)-R210+$D$2))</f>
        <v>1</v>
      </c>
      <c r="AN210">
        <f>IF(OR($J210=1,COUNTIFS($A$5:$A209,"&gt;="&amp;$A210-1,$A$5:$A209,"&lt;="&amp;$A210,$B$5:$B209,$B210)&gt;0,MIN(1-'Exercise list'!H$2,IF($A210=$A209,AN209,1))-S210&lt;0),-1,MIN(1,IF($A210=$A209,AN209,1)-S210+$D$2))</f>
        <v>1</v>
      </c>
      <c r="AO210">
        <f>IF(OR($J210=1,COUNTIFS($A$5:$A209,"&gt;="&amp;$A210-1,$A$5:$A209,"&lt;="&amp;$A210,$B$5:$B209,$B210)&gt;0,MIN(1-'Exercise list'!I$2,IF($A210=$A209,AO209,1))-T210&lt;0),-1,MIN(1,IF($A210=$A209,AO209,1)-T210+$D$2))</f>
        <v>1</v>
      </c>
      <c r="AP210">
        <f>IF(OR($J210=1,COUNTIFS($A$5:$A209,"&gt;="&amp;$A210-1,$A$5:$A209,"&lt;="&amp;$A210,$B$5:$B209,$B210)&gt;0,MIN(1-'Exercise list'!J$2,IF($A210=$A209,AP209,1))-U210&lt;0),-1,MIN(1,IF($A210=$A209,AP209,1)-U210+$D$2))</f>
        <v>1</v>
      </c>
      <c r="AQ210">
        <f>IF(OR($J210=1,COUNTIFS($A$5:$A209,"&gt;="&amp;$A210-1,$A$5:$A209,"&lt;="&amp;$A210,$B$5:$B209,$B210)&gt;0,MIN(1-'Exercise list'!K$2,IF($A210=$A209,AQ209,1))-V210&lt;0),-1,MIN(1,IF($A210=$A209,AQ209,1)-V210+$D$2))</f>
        <v>1</v>
      </c>
      <c r="AR210">
        <f>IF(OR($J210=1,COUNTIFS($A$5:$A209,"&gt;="&amp;$A210-1,$A$5:$A209,"&lt;="&amp;$A210,$B$5:$B209,$B210)&gt;0,MIN(1-'Exercise list'!L$2,IF($A210=$A209,AR209,1))-W210&lt;0),-1,MIN(1,IF($A210=$A209,AR209,1)-W210+$D$2))</f>
        <v>1</v>
      </c>
      <c r="AS210">
        <f>IF(OR($J210=1,COUNTIFS($A$5:$A209,"&gt;="&amp;$A210-1,$A$5:$A209,"&lt;="&amp;$A210,$B$5:$B209,$B210)&gt;0,MIN(1-'Exercise list'!M$2,IF($A210=$A209,AS209,1))-X210&lt;0),-1,MIN(1,IF($A210=$A209,AS209,1)-X210+$D$2))</f>
        <v>1</v>
      </c>
      <c r="AT210">
        <f>IF(OR($J210=1,COUNTIFS($A$5:$A209,"&gt;="&amp;$A210-1,$A$5:$A209,"&lt;="&amp;$A210,$B$5:$B209,$B210)&gt;0,MIN(1-'Exercise list'!N$2,IF($A210=$A209,AT209,1))-Y210&lt;0),-1,MIN(1,IF($A210=$A209,AT209,1)-Y210+$D$2))</f>
        <v>1</v>
      </c>
      <c r="AU210">
        <f>IF(OR($J210=1,COUNTIFS($A$5:$A209,"&gt;="&amp;$A210-1,$A$5:$A209,"&lt;="&amp;$A210,$B$5:$B209,$B210)&gt;0,MIN(1-'Exercise list'!O$2,IF($A210=$A209,AU209,1))-Z210&lt;0),-1,MIN(1,IF($A210=$A209,AU209,1)-Z210+$D$2))</f>
        <v>1</v>
      </c>
      <c r="AV210">
        <f>IF(OR($J210=1,COUNTIFS($A$5:$A209,"&gt;="&amp;$A210-1,$A$5:$A209,"&lt;="&amp;$A210,$B$5:$B209,$B210)&gt;0,MIN(1-'Exercise list'!P$2,IF($A210=$A209,AV209,1))-AA210&lt;0),-1,MIN(1,IF($A210=$A209,AV209,1)-AA210+$D$2))</f>
        <v>1</v>
      </c>
      <c r="AW210">
        <f>IF(OR($J210=1,COUNTIFS($A$5:$A209,"&gt;="&amp;$A210-1,$A$5:$A209,"&lt;="&amp;$A210,$B$5:$B209,$B210)&gt;0,MIN(1-'Exercise list'!Q$2,IF($A210=$A209,AW209,1))-AB210&lt;0),-1,MIN(1,IF($A210=$A209,AW209,1)-AB210+$D$2))</f>
        <v>1</v>
      </c>
      <c r="AX210">
        <f>IF(OR($J210=1,COUNTIFS($A$5:$A209,"&gt;="&amp;$A210-1,$A$5:$A209,"&lt;="&amp;$A210,$B$5:$B209,$B210)&gt;0,MIN(1-'Exercise list'!R$2,IF($A210=$A209,AX209,1))-AC210&lt;0),-1,MIN(1,IF($A210=$A209,AX209,1)-AC210+$D$2))</f>
        <v>1</v>
      </c>
      <c r="AY210">
        <f>IF(OR($J210=1,COUNTIFS($A$5:$A209,"&gt;="&amp;$A210-1,$A$5:$A209,"&lt;="&amp;$A210,$B$5:$B209,$B210)&gt;0,MIN(1-'Exercise list'!S$2,IF($A210=$A209,AY209,1))-AD210&lt;0),-1,MIN(1,IF($A210=$A209,AY209,1)-AD210+$D$2))</f>
        <v>1</v>
      </c>
      <c r="AZ210">
        <f>IF(OR($J210=1,COUNTIFS($A$5:$A209,"&gt;="&amp;$A210-1,$A$5:$A209,"&lt;="&amp;$A210,$B$5:$B209,$B210)&gt;0,MIN(1-'Exercise list'!T$2,IF($A210=$A209,AZ209,1))-AE210&lt;0),-1,MIN(1,IF($A210=$A209,AZ209,1)-AE210+$D$2))</f>
        <v>1</v>
      </c>
      <c r="BA210">
        <f>IF(OR($J210=1,COUNTIFS($A$5:$A209,"&gt;="&amp;$A210-1,$A$5:$A209,"&lt;="&amp;$A210,$B$5:$B209,$B210)&gt;0,MIN(1-'Exercise list'!U$2,IF($A210=$A209,BA209,1))-AF210&lt;0),-1,MIN(1,IF($A210=$A209,BA209,1)-AF210+$D$2))</f>
        <v>1</v>
      </c>
      <c r="BB210">
        <f>IF(OR($J210=1,COUNTIFS($A$5:$A209,"&gt;="&amp;$A210-1,$A$5:$A209,"&lt;="&amp;$A210,$B$5:$B209,$B210)&gt;0,MIN(1-'Exercise list'!V$2,IF($A210=$A209,BB209,1))-AG210&lt;0),-1,MIN(1,IF($A210=$A209,BB209,1)-AG210+$D$2))</f>
        <v>1</v>
      </c>
      <c r="BC210">
        <f>IF(OR($J210=1,COUNTIFS($A$5:$A209,"&gt;="&amp;$A210-1,$A$5:$A209,"&lt;="&amp;$A210,$B$5:$B209,$B210)&gt;0,MIN(1-'Exercise list'!W$2,IF($A210=$A209,BC209,1))-AH210&lt;0),-1,MIN(1,IF($A210=$A209,BC209,1)-AH210+$D$2))</f>
        <v>1</v>
      </c>
      <c r="BD210">
        <f>IF(OR($J210=1,COUNTIFS($A$5:$A209,"&gt;="&amp;$A210-1,$A$5:$A209,"&lt;="&amp;$A210,$B$5:$B209,$B210)&gt;0,MIN(1-'Exercise list'!X$2,IF($A210=$A209,BD209,1))-AI210&lt;0),-1,MIN(1,IF($A210=$A209,BD209,1)-AI210+$D$2))</f>
        <v>1</v>
      </c>
      <c r="BF210" s="16">
        <f t="shared" si="145"/>
        <v>0.19596031081758858</v>
      </c>
      <c r="BG210" s="16">
        <f t="shared" si="146"/>
        <v>0.21844636935459236</v>
      </c>
      <c r="BH210" s="16">
        <f t="shared" si="147"/>
        <v>0.14609696635987124</v>
      </c>
      <c r="BI210" s="16">
        <f t="shared" si="148"/>
        <v>0.13198015366034541</v>
      </c>
      <c r="BJ210" s="16">
        <f t="shared" si="149"/>
        <v>8.3367914198418713E-2</v>
      </c>
      <c r="BK210" s="16">
        <f t="shared" si="150"/>
        <v>0.10640640223148412</v>
      </c>
      <c r="BL210" s="16">
        <f t="shared" si="151"/>
        <v>0.21963504743569431</v>
      </c>
      <c r="BM210" s="16">
        <f t="shared" si="152"/>
        <v>3.8988008374820568E-3</v>
      </c>
      <c r="BN210" s="16">
        <f t="shared" si="153"/>
        <v>0.14537706087090876</v>
      </c>
      <c r="BO210" s="16">
        <f t="shared" si="154"/>
        <v>0.29209790661993401</v>
      </c>
      <c r="BP210" s="16">
        <f t="shared" si="155"/>
        <v>0.31584545163401867</v>
      </c>
      <c r="BQ210" s="16">
        <f t="shared" si="156"/>
        <v>0.1000007994126096</v>
      </c>
      <c r="BR210" s="16">
        <f t="shared" si="157"/>
        <v>0.13164487759885393</v>
      </c>
      <c r="BS210" s="16">
        <f t="shared" si="158"/>
        <v>2.9803550189863123E-2</v>
      </c>
      <c r="BT210" s="16">
        <f t="shared" si="159"/>
        <v>0.13492040904978705</v>
      </c>
      <c r="BU210" s="16">
        <f t="shared" si="160"/>
        <v>0.11703687414398131</v>
      </c>
      <c r="BV210" s="16">
        <f t="shared" si="161"/>
        <v>0.14633353213781661</v>
      </c>
      <c r="BW210" s="16">
        <f t="shared" si="162"/>
        <v>7.5588015111767173E-2</v>
      </c>
      <c r="BX210" s="16">
        <f t="shared" si="163"/>
        <v>8.0345659937185704E-2</v>
      </c>
      <c r="BY210" s="16">
        <f t="shared" si="164"/>
        <v>5.9014643151272549E-2</v>
      </c>
      <c r="CA210" s="16" t="str">
        <f t="shared" si="185"/>
        <v/>
      </c>
      <c r="CB210" s="16" t="str">
        <f t="shared" si="166"/>
        <v/>
      </c>
      <c r="CC210" s="16" t="str">
        <f t="shared" si="167"/>
        <v/>
      </c>
      <c r="CD210" s="16" t="str">
        <f t="shared" si="168"/>
        <v/>
      </c>
      <c r="CE210" s="16" t="str">
        <f t="shared" si="169"/>
        <v/>
      </c>
      <c r="CF210" s="16" t="str">
        <f t="shared" si="170"/>
        <v/>
      </c>
      <c r="CG210" s="16" t="str">
        <f t="shared" si="171"/>
        <v/>
      </c>
      <c r="CH210" s="16" t="str">
        <f t="shared" si="172"/>
        <v/>
      </c>
      <c r="CI210" s="16" t="str">
        <f t="shared" si="173"/>
        <v/>
      </c>
      <c r="CJ210" s="16" t="str">
        <f t="shared" si="174"/>
        <v/>
      </c>
      <c r="CK210" s="16" t="str">
        <f t="shared" si="175"/>
        <v/>
      </c>
      <c r="CL210" s="16" t="str">
        <f t="shared" si="176"/>
        <v/>
      </c>
      <c r="CM210" s="16" t="str">
        <f t="shared" si="177"/>
        <v/>
      </c>
      <c r="CN210" s="16" t="str">
        <f t="shared" si="178"/>
        <v/>
      </c>
      <c r="CO210" s="16" t="str">
        <f t="shared" si="179"/>
        <v/>
      </c>
      <c r="CP210" s="16" t="str">
        <f t="shared" si="180"/>
        <v/>
      </c>
      <c r="CQ210" s="16" t="str">
        <f t="shared" si="181"/>
        <v/>
      </c>
      <c r="CR210" s="16" t="str">
        <f t="shared" si="182"/>
        <v/>
      </c>
      <c r="CS210" s="16" t="str">
        <f t="shared" si="183"/>
        <v/>
      </c>
      <c r="CT210" s="16" t="str">
        <f t="shared" si="184"/>
        <v/>
      </c>
    </row>
    <row r="211" spans="1:99" x14ac:dyDescent="0.25">
      <c r="A211" s="13"/>
      <c r="B211" s="14"/>
      <c r="C211" s="15" t="str" cm="1">
        <f t="array" ref="C211">IF(B211="","",INDEX('Exercise list'!$C$5:$C$102,B211))</f>
        <v/>
      </c>
      <c r="D211" s="12" t="str">
        <f t="shared" si="142"/>
        <v/>
      </c>
      <c r="E211" s="107" t="str">
        <f t="shared" si="165"/>
        <v/>
      </c>
      <c r="F211" s="63" t="str" cm="1">
        <f t="array" ref="F211">IF(B211="","",0.1+IFERROR(INDEX($F$6:$F210,SUMPRODUCT(MAX(ROW($C$6:$C210)*($C211=$C$6:$C210))-ROW($A$5)))*0.9^($A211-INDEX($A$6:A210,SUMPRODUCT(MAX(ROW($C$6:$C210)*($C211=$C$6:$C210))-ROW($A$5)))),0))</f>
        <v/>
      </c>
      <c r="G211" s="64" t="e">
        <f>INDEX('Exercise list'!$Y$5:$Y$102,MATCH(C211,'Exercise list'!$C$5:$C$102,0))</f>
        <v>#N/A</v>
      </c>
      <c r="H211" s="115">
        <f t="shared" si="143"/>
        <v>0</v>
      </c>
      <c r="I211" s="6">
        <f t="shared" si="144"/>
        <v>5</v>
      </c>
      <c r="J211" s="6" t="str" cm="1">
        <f t="array" ref="J211">IF(B211="","",INDEX('Exercise list'!$D$5:$D$102,B211))</f>
        <v/>
      </c>
      <c r="K211" s="12"/>
      <c r="L211" s="74" t="str" cm="1">
        <f t="array" ref="L211">IF(K211="","",INDEX('Exercise list'!$C$5:$C$102,K211))</f>
        <v/>
      </c>
      <c r="M211" s="6"/>
      <c r="N211" s="75" t="str" cm="1">
        <f t="array" ref="N211">IF(M211="","",INDEX('Exercise list'!$C$5:$C$102,M211))</f>
        <v/>
      </c>
      <c r="P211">
        <f>IFERROR(INDEX('Exercise list'!$E$5:$X$102,MATCH($C211,'Exercise list'!$C$5:$C$102,0),MATCH(P$5,'Exercise list'!$E$4:$X$4,0)),0)</f>
        <v>0</v>
      </c>
      <c r="Q211">
        <f>IFERROR(INDEX('Exercise list'!$E$5:$X$102,MATCH($C211,'Exercise list'!$C$5:$C$102,0),MATCH(Q$5,'Exercise list'!$E$4:$X$4,0)),0)</f>
        <v>0</v>
      </c>
      <c r="R211">
        <f>IFERROR(INDEX('Exercise list'!$E$5:$X$102,MATCH($C211,'Exercise list'!$C$5:$C$102,0),MATCH(R$5,'Exercise list'!$E$4:$X$4,0)),0)</f>
        <v>0</v>
      </c>
      <c r="S211">
        <f>IFERROR(INDEX('Exercise list'!$E$5:$X$102,MATCH($C211,'Exercise list'!$C$5:$C$102,0),MATCH(S$5,'Exercise list'!$E$4:$X$4,0)),0)</f>
        <v>0</v>
      </c>
      <c r="T211">
        <f>IFERROR(INDEX('Exercise list'!$E$5:$X$102,MATCH($C211,'Exercise list'!$C$5:$C$102,0),MATCH(T$5,'Exercise list'!$E$4:$X$4,0)),0)</f>
        <v>0</v>
      </c>
      <c r="U211">
        <f>IFERROR(INDEX('Exercise list'!$E$5:$X$102,MATCH($C211,'Exercise list'!$C$5:$C$102,0),MATCH(U$5,'Exercise list'!$E$4:$X$4,0)),0)</f>
        <v>0</v>
      </c>
      <c r="V211">
        <f>IFERROR(INDEX('Exercise list'!$E$5:$X$102,MATCH($C211,'Exercise list'!$C$5:$C$102,0),MATCH(V$5,'Exercise list'!$E$4:$X$4,0)),0)</f>
        <v>0</v>
      </c>
      <c r="W211">
        <f>IFERROR(INDEX('Exercise list'!$E$5:$X$102,MATCH($C211,'Exercise list'!$C$5:$C$102,0),MATCH(W$5,'Exercise list'!$E$4:$X$4,0)),0)</f>
        <v>0</v>
      </c>
      <c r="X211">
        <f>IFERROR(INDEX('Exercise list'!$E$5:$X$102,MATCH($C211,'Exercise list'!$C$5:$C$102,0),MATCH(X$5,'Exercise list'!$E$4:$X$4,0)),0)</f>
        <v>0</v>
      </c>
      <c r="Y211">
        <f>IFERROR(INDEX('Exercise list'!$E$5:$X$102,MATCH($C211,'Exercise list'!$C$5:$C$102,0),MATCH(Y$5,'Exercise list'!$E$4:$X$4,0)),0)</f>
        <v>0</v>
      </c>
      <c r="Z211">
        <f>IFERROR(INDEX('Exercise list'!$E$5:$X$102,MATCH($C211,'Exercise list'!$C$5:$C$102,0),MATCH(Z$5,'Exercise list'!$E$4:$X$4,0)),0)</f>
        <v>0</v>
      </c>
      <c r="AA211">
        <f>IFERROR(INDEX('Exercise list'!$E$5:$X$102,MATCH($C211,'Exercise list'!$C$5:$C$102,0),MATCH(AA$5,'Exercise list'!$E$4:$X$4,0)),0)</f>
        <v>0</v>
      </c>
      <c r="AB211">
        <f>IFERROR(INDEX('Exercise list'!$E$5:$X$102,MATCH($C211,'Exercise list'!$C$5:$C$102,0),MATCH(AB$5,'Exercise list'!$E$4:$X$4,0)),0)</f>
        <v>0</v>
      </c>
      <c r="AC211">
        <f>IFERROR(INDEX('Exercise list'!$E$5:$X$102,MATCH($C211,'Exercise list'!$C$5:$C$102,0),MATCH(AC$5,'Exercise list'!$E$4:$X$4,0)),0)</f>
        <v>0</v>
      </c>
      <c r="AD211">
        <f>IFERROR(INDEX('Exercise list'!$E$5:$X$102,MATCH($C211,'Exercise list'!$C$5:$C$102,0),MATCH(AD$5,'Exercise list'!$E$4:$X$4,0)),0)</f>
        <v>0</v>
      </c>
      <c r="AE211">
        <f>IFERROR(INDEX('Exercise list'!$E$5:$X$102,MATCH($C211,'Exercise list'!$C$5:$C$102,0),MATCH(AE$5,'Exercise list'!$E$4:$X$4,0)),0)</f>
        <v>0</v>
      </c>
      <c r="AF211">
        <f>IFERROR(INDEX('Exercise list'!$E$5:$X$102,MATCH($C211,'Exercise list'!$C$5:$C$102,0),MATCH(AF$5,'Exercise list'!$E$4:$X$4,0)),0)</f>
        <v>0</v>
      </c>
      <c r="AG211">
        <f>IFERROR(INDEX('Exercise list'!$E$5:$X$102,MATCH($C211,'Exercise list'!$C$5:$C$102,0),MATCH(AG$5,'Exercise list'!$E$4:$X$4,0)),0)</f>
        <v>0</v>
      </c>
      <c r="AH211">
        <f>IFERROR(INDEX('Exercise list'!$E$5:$X$102,MATCH($C211,'Exercise list'!$C$5:$C$102,0),MATCH(AH$5,'Exercise list'!$E$4:$X$4,0)),0)</f>
        <v>0</v>
      </c>
      <c r="AI211">
        <f>IFERROR(INDEX('Exercise list'!$E$5:$X$102,MATCH($C211,'Exercise list'!$C$5:$C$102,0),MATCH(AI$5,'Exercise list'!$E$4:$X$4,0)),0)</f>
        <v>0</v>
      </c>
      <c r="AK211">
        <f>IF(OR($J211=1,COUNTIFS($A$5:$A210,"&gt;="&amp;$A211-1,$A$5:$A210,"&lt;="&amp;$A211,$B$5:$B210,$B211)&gt;0,MIN(1-'Exercise list'!E$2,IF($A211=$A210,AK210,1))-P211&lt;0),-1,MIN(1,IF($A211=$A210,AK210,1)-P211+$D$2))</f>
        <v>1</v>
      </c>
      <c r="AL211">
        <f>IF(OR($J211=1,COUNTIFS($A$5:$A210,"&gt;="&amp;$A211-1,$A$5:$A210,"&lt;="&amp;$A211,$B$5:$B210,$B211)&gt;0,MIN(1-'Exercise list'!F$2,IF($A211=$A210,AL210,1))-Q211&lt;0),-1,MIN(1,IF($A211=$A210,AL210,1)-Q211+$D$2))</f>
        <v>1</v>
      </c>
      <c r="AM211">
        <f>IF(OR($J211=1,COUNTIFS($A$5:$A210,"&gt;="&amp;$A211-1,$A$5:$A210,"&lt;="&amp;$A211,$B$5:$B210,$B211)&gt;0,MIN(1-'Exercise list'!G$2,IF($A211=$A210,AM210,1))-R211&lt;0),-1,MIN(1,IF($A211=$A210,AM210,1)-R211+$D$2))</f>
        <v>1</v>
      </c>
      <c r="AN211">
        <f>IF(OR($J211=1,COUNTIFS($A$5:$A210,"&gt;="&amp;$A211-1,$A$5:$A210,"&lt;="&amp;$A211,$B$5:$B210,$B211)&gt;0,MIN(1-'Exercise list'!H$2,IF($A211=$A210,AN210,1))-S211&lt;0),-1,MIN(1,IF($A211=$A210,AN210,1)-S211+$D$2))</f>
        <v>1</v>
      </c>
      <c r="AO211">
        <f>IF(OR($J211=1,COUNTIFS($A$5:$A210,"&gt;="&amp;$A211-1,$A$5:$A210,"&lt;="&amp;$A211,$B$5:$B210,$B211)&gt;0,MIN(1-'Exercise list'!I$2,IF($A211=$A210,AO210,1))-T211&lt;0),-1,MIN(1,IF($A211=$A210,AO210,1)-T211+$D$2))</f>
        <v>1</v>
      </c>
      <c r="AP211">
        <f>IF(OR($J211=1,COUNTIFS($A$5:$A210,"&gt;="&amp;$A211-1,$A$5:$A210,"&lt;="&amp;$A211,$B$5:$B210,$B211)&gt;0,MIN(1-'Exercise list'!J$2,IF($A211=$A210,AP210,1))-U211&lt;0),-1,MIN(1,IF($A211=$A210,AP210,1)-U211+$D$2))</f>
        <v>1</v>
      </c>
      <c r="AQ211">
        <f>IF(OR($J211=1,COUNTIFS($A$5:$A210,"&gt;="&amp;$A211-1,$A$5:$A210,"&lt;="&amp;$A211,$B$5:$B210,$B211)&gt;0,MIN(1-'Exercise list'!K$2,IF($A211=$A210,AQ210,1))-V211&lt;0),-1,MIN(1,IF($A211=$A210,AQ210,1)-V211+$D$2))</f>
        <v>1</v>
      </c>
      <c r="AR211">
        <f>IF(OR($J211=1,COUNTIFS($A$5:$A210,"&gt;="&amp;$A211-1,$A$5:$A210,"&lt;="&amp;$A211,$B$5:$B210,$B211)&gt;0,MIN(1-'Exercise list'!L$2,IF($A211=$A210,AR210,1))-W211&lt;0),-1,MIN(1,IF($A211=$A210,AR210,1)-W211+$D$2))</f>
        <v>1</v>
      </c>
      <c r="AS211">
        <f>IF(OR($J211=1,COUNTIFS($A$5:$A210,"&gt;="&amp;$A211-1,$A$5:$A210,"&lt;="&amp;$A211,$B$5:$B210,$B211)&gt;0,MIN(1-'Exercise list'!M$2,IF($A211=$A210,AS210,1))-X211&lt;0),-1,MIN(1,IF($A211=$A210,AS210,1)-X211+$D$2))</f>
        <v>1</v>
      </c>
      <c r="AT211">
        <f>IF(OR($J211=1,COUNTIFS($A$5:$A210,"&gt;="&amp;$A211-1,$A$5:$A210,"&lt;="&amp;$A211,$B$5:$B210,$B211)&gt;0,MIN(1-'Exercise list'!N$2,IF($A211=$A210,AT210,1))-Y211&lt;0),-1,MIN(1,IF($A211=$A210,AT210,1)-Y211+$D$2))</f>
        <v>1</v>
      </c>
      <c r="AU211">
        <f>IF(OR($J211=1,COUNTIFS($A$5:$A210,"&gt;="&amp;$A211-1,$A$5:$A210,"&lt;="&amp;$A211,$B$5:$B210,$B211)&gt;0,MIN(1-'Exercise list'!O$2,IF($A211=$A210,AU210,1))-Z211&lt;0),-1,MIN(1,IF($A211=$A210,AU210,1)-Z211+$D$2))</f>
        <v>1</v>
      </c>
      <c r="AV211">
        <f>IF(OR($J211=1,COUNTIFS($A$5:$A210,"&gt;="&amp;$A211-1,$A$5:$A210,"&lt;="&amp;$A211,$B$5:$B210,$B211)&gt;0,MIN(1-'Exercise list'!P$2,IF($A211=$A210,AV210,1))-AA211&lt;0),-1,MIN(1,IF($A211=$A210,AV210,1)-AA211+$D$2))</f>
        <v>1</v>
      </c>
      <c r="AW211">
        <f>IF(OR($J211=1,COUNTIFS($A$5:$A210,"&gt;="&amp;$A211-1,$A$5:$A210,"&lt;="&amp;$A211,$B$5:$B210,$B211)&gt;0,MIN(1-'Exercise list'!Q$2,IF($A211=$A210,AW210,1))-AB211&lt;0),-1,MIN(1,IF($A211=$A210,AW210,1)-AB211+$D$2))</f>
        <v>1</v>
      </c>
      <c r="AX211">
        <f>IF(OR($J211=1,COUNTIFS($A$5:$A210,"&gt;="&amp;$A211-1,$A$5:$A210,"&lt;="&amp;$A211,$B$5:$B210,$B211)&gt;0,MIN(1-'Exercise list'!R$2,IF($A211=$A210,AX210,1))-AC211&lt;0),-1,MIN(1,IF($A211=$A210,AX210,1)-AC211+$D$2))</f>
        <v>1</v>
      </c>
      <c r="AY211">
        <f>IF(OR($J211=1,COUNTIFS($A$5:$A210,"&gt;="&amp;$A211-1,$A$5:$A210,"&lt;="&amp;$A211,$B$5:$B210,$B211)&gt;0,MIN(1-'Exercise list'!S$2,IF($A211=$A210,AY210,1))-AD211&lt;0),-1,MIN(1,IF($A211=$A210,AY210,1)-AD211+$D$2))</f>
        <v>1</v>
      </c>
      <c r="AZ211">
        <f>IF(OR($J211=1,COUNTIFS($A$5:$A210,"&gt;="&amp;$A211-1,$A$5:$A210,"&lt;="&amp;$A211,$B$5:$B210,$B211)&gt;0,MIN(1-'Exercise list'!T$2,IF($A211=$A210,AZ210,1))-AE211&lt;0),-1,MIN(1,IF($A211=$A210,AZ210,1)-AE211+$D$2))</f>
        <v>1</v>
      </c>
      <c r="BA211">
        <f>IF(OR($J211=1,COUNTIFS($A$5:$A210,"&gt;="&amp;$A211-1,$A$5:$A210,"&lt;="&amp;$A211,$B$5:$B210,$B211)&gt;0,MIN(1-'Exercise list'!U$2,IF($A211=$A210,BA210,1))-AF211&lt;0),-1,MIN(1,IF($A211=$A210,BA210,1)-AF211+$D$2))</f>
        <v>1</v>
      </c>
      <c r="BB211">
        <f>IF(OR($J211=1,COUNTIFS($A$5:$A210,"&gt;="&amp;$A211-1,$A$5:$A210,"&lt;="&amp;$A211,$B$5:$B210,$B211)&gt;0,MIN(1-'Exercise list'!V$2,IF($A211=$A210,BB210,1))-AG211&lt;0),-1,MIN(1,IF($A211=$A210,BB210,1)-AG211+$D$2))</f>
        <v>1</v>
      </c>
      <c r="BC211">
        <f>IF(OR($J211=1,COUNTIFS($A$5:$A210,"&gt;="&amp;$A211-1,$A$5:$A210,"&lt;="&amp;$A211,$B$5:$B210,$B211)&gt;0,MIN(1-'Exercise list'!W$2,IF($A211=$A210,BC210,1))-AH211&lt;0),-1,MIN(1,IF($A211=$A210,BC210,1)-AH211+$D$2))</f>
        <v>1</v>
      </c>
      <c r="BD211">
        <f>IF(OR($J211=1,COUNTIFS($A$5:$A210,"&gt;="&amp;$A211-1,$A$5:$A210,"&lt;="&amp;$A211,$B$5:$B210,$B211)&gt;0,MIN(1-'Exercise list'!X$2,IF($A211=$A210,BD210,1))-AI211&lt;0),-1,MIN(1,IF($A211=$A210,BD210,1)-AI211+$D$2))</f>
        <v>1</v>
      </c>
      <c r="BF211" s="16">
        <f t="shared" si="145"/>
        <v>0.19596031081758858</v>
      </c>
      <c r="BG211" s="16">
        <f t="shared" si="146"/>
        <v>0.21844636935459236</v>
      </c>
      <c r="BH211" s="16">
        <f t="shared" si="147"/>
        <v>0.14609696635987124</v>
      </c>
      <c r="BI211" s="16">
        <f t="shared" si="148"/>
        <v>0.13198015366034541</v>
      </c>
      <c r="BJ211" s="16">
        <f t="shared" si="149"/>
        <v>8.3367914198418713E-2</v>
      </c>
      <c r="BK211" s="16">
        <f t="shared" si="150"/>
        <v>0.10640640223148412</v>
      </c>
      <c r="BL211" s="16">
        <f t="shared" si="151"/>
        <v>0.21963504743569431</v>
      </c>
      <c r="BM211" s="16">
        <f t="shared" si="152"/>
        <v>3.8988008374820568E-3</v>
      </c>
      <c r="BN211" s="16">
        <f t="shared" si="153"/>
        <v>0.14537706087090876</v>
      </c>
      <c r="BO211" s="16">
        <f t="shared" si="154"/>
        <v>0.29209790661993401</v>
      </c>
      <c r="BP211" s="16">
        <f t="shared" si="155"/>
        <v>0.31584545163401867</v>
      </c>
      <c r="BQ211" s="16">
        <f t="shared" si="156"/>
        <v>0.1000007994126096</v>
      </c>
      <c r="BR211" s="16">
        <f t="shared" si="157"/>
        <v>0.13164487759885393</v>
      </c>
      <c r="BS211" s="16">
        <f t="shared" si="158"/>
        <v>2.9803550189863123E-2</v>
      </c>
      <c r="BT211" s="16">
        <f t="shared" si="159"/>
        <v>0.13492040904978705</v>
      </c>
      <c r="BU211" s="16">
        <f t="shared" si="160"/>
        <v>0.11703687414398131</v>
      </c>
      <c r="BV211" s="16">
        <f t="shared" si="161"/>
        <v>0.14633353213781661</v>
      </c>
      <c r="BW211" s="16">
        <f t="shared" si="162"/>
        <v>7.5588015111767173E-2</v>
      </c>
      <c r="BX211" s="16">
        <f t="shared" si="163"/>
        <v>8.0345659937185704E-2</v>
      </c>
      <c r="BY211" s="16">
        <f t="shared" si="164"/>
        <v>5.9014643151272549E-2</v>
      </c>
      <c r="CA211" s="16" t="str">
        <f t="shared" si="185"/>
        <v/>
      </c>
      <c r="CB211" s="16" t="str">
        <f t="shared" si="166"/>
        <v/>
      </c>
      <c r="CC211" s="16" t="str">
        <f t="shared" si="167"/>
        <v/>
      </c>
      <c r="CD211" s="16" t="str">
        <f t="shared" si="168"/>
        <v/>
      </c>
      <c r="CE211" s="16" t="str">
        <f t="shared" si="169"/>
        <v/>
      </c>
      <c r="CF211" s="16" t="str">
        <f t="shared" si="170"/>
        <v/>
      </c>
      <c r="CG211" s="16" t="str">
        <f t="shared" si="171"/>
        <v/>
      </c>
      <c r="CH211" s="16" t="str">
        <f t="shared" si="172"/>
        <v/>
      </c>
      <c r="CI211" s="16" t="str">
        <f t="shared" si="173"/>
        <v/>
      </c>
      <c r="CJ211" s="16" t="str">
        <f t="shared" si="174"/>
        <v/>
      </c>
      <c r="CK211" s="16" t="str">
        <f t="shared" si="175"/>
        <v/>
      </c>
      <c r="CL211" s="16" t="str">
        <f t="shared" si="176"/>
        <v/>
      </c>
      <c r="CM211" s="16" t="str">
        <f t="shared" si="177"/>
        <v/>
      </c>
      <c r="CN211" s="16" t="str">
        <f t="shared" si="178"/>
        <v/>
      </c>
      <c r="CO211" s="16" t="str">
        <f t="shared" si="179"/>
        <v/>
      </c>
      <c r="CP211" s="16" t="str">
        <f t="shared" si="180"/>
        <v/>
      </c>
      <c r="CQ211" s="16" t="str">
        <f t="shared" si="181"/>
        <v/>
      </c>
      <c r="CR211" s="16" t="str">
        <f t="shared" si="182"/>
        <v/>
      </c>
      <c r="CS211" s="16" t="str">
        <f t="shared" si="183"/>
        <v/>
      </c>
      <c r="CT211" s="16" t="str">
        <f t="shared" si="184"/>
        <v/>
      </c>
    </row>
    <row r="212" spans="1:99" x14ac:dyDescent="0.25">
      <c r="A212" s="13"/>
      <c r="B212" s="14"/>
      <c r="C212" s="15" t="str" cm="1">
        <f t="array" ref="C212">IF(B212="","",INDEX('Exercise list'!$C$5:$C$102,B212))</f>
        <v/>
      </c>
      <c r="D212" s="12" t="str">
        <f t="shared" si="142"/>
        <v/>
      </c>
      <c r="E212" s="107" t="str">
        <f t="shared" si="165"/>
        <v/>
      </c>
      <c r="F212" s="63" t="str" cm="1">
        <f t="array" ref="F212">IF(B212="","",0.1+IFERROR(INDEX($F$6:$F211,SUMPRODUCT(MAX(ROW($C$6:$C211)*($C212=$C$6:$C211))-ROW($A$5)))*0.9^($A212-INDEX($A$6:A211,SUMPRODUCT(MAX(ROW($C$6:$C211)*($C212=$C$6:$C211))-ROW($A$5)))),0))</f>
        <v/>
      </c>
      <c r="G212" s="64" t="e">
        <f>INDEX('Exercise list'!$Y$5:$Y$102,MATCH(C212,'Exercise list'!$C$5:$C$102,0))</f>
        <v>#N/A</v>
      </c>
      <c r="H212" s="115">
        <f t="shared" si="143"/>
        <v>0</v>
      </c>
      <c r="I212" s="6">
        <f t="shared" si="144"/>
        <v>5</v>
      </c>
      <c r="J212" s="6" t="str" cm="1">
        <f t="array" ref="J212">IF(B212="","",INDEX('Exercise list'!$D$5:$D$102,B212))</f>
        <v/>
      </c>
      <c r="K212" s="12"/>
      <c r="L212" s="74" t="str" cm="1">
        <f t="array" ref="L212">IF(K212="","",INDEX('Exercise list'!$C$5:$C$102,K212))</f>
        <v/>
      </c>
      <c r="M212" s="6"/>
      <c r="N212" s="75" t="str" cm="1">
        <f t="array" ref="N212">IF(M212="","",INDEX('Exercise list'!$C$5:$C$102,M212))</f>
        <v/>
      </c>
      <c r="P212">
        <f>IFERROR(INDEX('Exercise list'!$E$5:$X$102,MATCH($C212,'Exercise list'!$C$5:$C$102,0),MATCH(P$5,'Exercise list'!$E$4:$X$4,0)),0)</f>
        <v>0</v>
      </c>
      <c r="Q212">
        <f>IFERROR(INDEX('Exercise list'!$E$5:$X$102,MATCH($C212,'Exercise list'!$C$5:$C$102,0),MATCH(Q$5,'Exercise list'!$E$4:$X$4,0)),0)</f>
        <v>0</v>
      </c>
      <c r="R212">
        <f>IFERROR(INDEX('Exercise list'!$E$5:$X$102,MATCH($C212,'Exercise list'!$C$5:$C$102,0),MATCH(R$5,'Exercise list'!$E$4:$X$4,0)),0)</f>
        <v>0</v>
      </c>
      <c r="S212">
        <f>IFERROR(INDEX('Exercise list'!$E$5:$X$102,MATCH($C212,'Exercise list'!$C$5:$C$102,0),MATCH(S$5,'Exercise list'!$E$4:$X$4,0)),0)</f>
        <v>0</v>
      </c>
      <c r="T212">
        <f>IFERROR(INDEX('Exercise list'!$E$5:$X$102,MATCH($C212,'Exercise list'!$C$5:$C$102,0),MATCH(T$5,'Exercise list'!$E$4:$X$4,0)),0)</f>
        <v>0</v>
      </c>
      <c r="U212">
        <f>IFERROR(INDEX('Exercise list'!$E$5:$X$102,MATCH($C212,'Exercise list'!$C$5:$C$102,0),MATCH(U$5,'Exercise list'!$E$4:$X$4,0)),0)</f>
        <v>0</v>
      </c>
      <c r="V212">
        <f>IFERROR(INDEX('Exercise list'!$E$5:$X$102,MATCH($C212,'Exercise list'!$C$5:$C$102,0),MATCH(V$5,'Exercise list'!$E$4:$X$4,0)),0)</f>
        <v>0</v>
      </c>
      <c r="W212">
        <f>IFERROR(INDEX('Exercise list'!$E$5:$X$102,MATCH($C212,'Exercise list'!$C$5:$C$102,0),MATCH(W$5,'Exercise list'!$E$4:$X$4,0)),0)</f>
        <v>0</v>
      </c>
      <c r="X212">
        <f>IFERROR(INDEX('Exercise list'!$E$5:$X$102,MATCH($C212,'Exercise list'!$C$5:$C$102,0),MATCH(X$5,'Exercise list'!$E$4:$X$4,0)),0)</f>
        <v>0</v>
      </c>
      <c r="Y212">
        <f>IFERROR(INDEX('Exercise list'!$E$5:$X$102,MATCH($C212,'Exercise list'!$C$5:$C$102,0),MATCH(Y$5,'Exercise list'!$E$4:$X$4,0)),0)</f>
        <v>0</v>
      </c>
      <c r="Z212">
        <f>IFERROR(INDEX('Exercise list'!$E$5:$X$102,MATCH($C212,'Exercise list'!$C$5:$C$102,0),MATCH(Z$5,'Exercise list'!$E$4:$X$4,0)),0)</f>
        <v>0</v>
      </c>
      <c r="AA212">
        <f>IFERROR(INDEX('Exercise list'!$E$5:$X$102,MATCH($C212,'Exercise list'!$C$5:$C$102,0),MATCH(AA$5,'Exercise list'!$E$4:$X$4,0)),0)</f>
        <v>0</v>
      </c>
      <c r="AB212">
        <f>IFERROR(INDEX('Exercise list'!$E$5:$X$102,MATCH($C212,'Exercise list'!$C$5:$C$102,0),MATCH(AB$5,'Exercise list'!$E$4:$X$4,0)),0)</f>
        <v>0</v>
      </c>
      <c r="AC212">
        <f>IFERROR(INDEX('Exercise list'!$E$5:$X$102,MATCH($C212,'Exercise list'!$C$5:$C$102,0),MATCH(AC$5,'Exercise list'!$E$4:$X$4,0)),0)</f>
        <v>0</v>
      </c>
      <c r="AD212">
        <f>IFERROR(INDEX('Exercise list'!$E$5:$X$102,MATCH($C212,'Exercise list'!$C$5:$C$102,0),MATCH(AD$5,'Exercise list'!$E$4:$X$4,0)),0)</f>
        <v>0</v>
      </c>
      <c r="AE212">
        <f>IFERROR(INDEX('Exercise list'!$E$5:$X$102,MATCH($C212,'Exercise list'!$C$5:$C$102,0),MATCH(AE$5,'Exercise list'!$E$4:$X$4,0)),0)</f>
        <v>0</v>
      </c>
      <c r="AF212">
        <f>IFERROR(INDEX('Exercise list'!$E$5:$X$102,MATCH($C212,'Exercise list'!$C$5:$C$102,0),MATCH(AF$5,'Exercise list'!$E$4:$X$4,0)),0)</f>
        <v>0</v>
      </c>
      <c r="AG212">
        <f>IFERROR(INDEX('Exercise list'!$E$5:$X$102,MATCH($C212,'Exercise list'!$C$5:$C$102,0),MATCH(AG$5,'Exercise list'!$E$4:$X$4,0)),0)</f>
        <v>0</v>
      </c>
      <c r="AH212">
        <f>IFERROR(INDEX('Exercise list'!$E$5:$X$102,MATCH($C212,'Exercise list'!$C$5:$C$102,0),MATCH(AH$5,'Exercise list'!$E$4:$X$4,0)),0)</f>
        <v>0</v>
      </c>
      <c r="AI212">
        <f>IFERROR(INDEX('Exercise list'!$E$5:$X$102,MATCH($C212,'Exercise list'!$C$5:$C$102,0),MATCH(AI$5,'Exercise list'!$E$4:$X$4,0)),0)</f>
        <v>0</v>
      </c>
      <c r="AK212">
        <f>IF(OR($J212=1,COUNTIFS($A$5:$A211,"&gt;="&amp;$A212-1,$A$5:$A211,"&lt;="&amp;$A212,$B$5:$B211,$B212)&gt;0,MIN(1-'Exercise list'!E$2,IF($A212=$A211,AK211,1))-P212&lt;0),-1,MIN(1,IF($A212=$A211,AK211,1)-P212+$D$2))</f>
        <v>1</v>
      </c>
      <c r="AL212">
        <f>IF(OR($J212=1,COUNTIFS($A$5:$A211,"&gt;="&amp;$A212-1,$A$5:$A211,"&lt;="&amp;$A212,$B$5:$B211,$B212)&gt;0,MIN(1-'Exercise list'!F$2,IF($A212=$A211,AL211,1))-Q212&lt;0),-1,MIN(1,IF($A212=$A211,AL211,1)-Q212+$D$2))</f>
        <v>1</v>
      </c>
      <c r="AM212">
        <f>IF(OR($J212=1,COUNTIFS($A$5:$A211,"&gt;="&amp;$A212-1,$A$5:$A211,"&lt;="&amp;$A212,$B$5:$B211,$B212)&gt;0,MIN(1-'Exercise list'!G$2,IF($A212=$A211,AM211,1))-R212&lt;0),-1,MIN(1,IF($A212=$A211,AM211,1)-R212+$D$2))</f>
        <v>1</v>
      </c>
      <c r="AN212">
        <f>IF(OR($J212=1,COUNTIFS($A$5:$A211,"&gt;="&amp;$A212-1,$A$5:$A211,"&lt;="&amp;$A212,$B$5:$B211,$B212)&gt;0,MIN(1-'Exercise list'!H$2,IF($A212=$A211,AN211,1))-S212&lt;0),-1,MIN(1,IF($A212=$A211,AN211,1)-S212+$D$2))</f>
        <v>1</v>
      </c>
      <c r="AO212">
        <f>IF(OR($J212=1,COUNTIFS($A$5:$A211,"&gt;="&amp;$A212-1,$A$5:$A211,"&lt;="&amp;$A212,$B$5:$B211,$B212)&gt;0,MIN(1-'Exercise list'!I$2,IF($A212=$A211,AO211,1))-T212&lt;0),-1,MIN(1,IF($A212=$A211,AO211,1)-T212+$D$2))</f>
        <v>1</v>
      </c>
      <c r="AP212">
        <f>IF(OR($J212=1,COUNTIFS($A$5:$A211,"&gt;="&amp;$A212-1,$A$5:$A211,"&lt;="&amp;$A212,$B$5:$B211,$B212)&gt;0,MIN(1-'Exercise list'!J$2,IF($A212=$A211,AP211,1))-U212&lt;0),-1,MIN(1,IF($A212=$A211,AP211,1)-U212+$D$2))</f>
        <v>1</v>
      </c>
      <c r="AQ212">
        <f>IF(OR($J212=1,COUNTIFS($A$5:$A211,"&gt;="&amp;$A212-1,$A$5:$A211,"&lt;="&amp;$A212,$B$5:$B211,$B212)&gt;0,MIN(1-'Exercise list'!K$2,IF($A212=$A211,AQ211,1))-V212&lt;0),-1,MIN(1,IF($A212=$A211,AQ211,1)-V212+$D$2))</f>
        <v>1</v>
      </c>
      <c r="AR212">
        <f>IF(OR($J212=1,COUNTIFS($A$5:$A211,"&gt;="&amp;$A212-1,$A$5:$A211,"&lt;="&amp;$A212,$B$5:$B211,$B212)&gt;0,MIN(1-'Exercise list'!L$2,IF($A212=$A211,AR211,1))-W212&lt;0),-1,MIN(1,IF($A212=$A211,AR211,1)-W212+$D$2))</f>
        <v>1</v>
      </c>
      <c r="AS212">
        <f>IF(OR($J212=1,COUNTIFS($A$5:$A211,"&gt;="&amp;$A212-1,$A$5:$A211,"&lt;="&amp;$A212,$B$5:$B211,$B212)&gt;0,MIN(1-'Exercise list'!M$2,IF($A212=$A211,AS211,1))-X212&lt;0),-1,MIN(1,IF($A212=$A211,AS211,1)-X212+$D$2))</f>
        <v>1</v>
      </c>
      <c r="AT212">
        <f>IF(OR($J212=1,COUNTIFS($A$5:$A211,"&gt;="&amp;$A212-1,$A$5:$A211,"&lt;="&amp;$A212,$B$5:$B211,$B212)&gt;0,MIN(1-'Exercise list'!N$2,IF($A212=$A211,AT211,1))-Y212&lt;0),-1,MIN(1,IF($A212=$A211,AT211,1)-Y212+$D$2))</f>
        <v>1</v>
      </c>
      <c r="AU212">
        <f>IF(OR($J212=1,COUNTIFS($A$5:$A211,"&gt;="&amp;$A212-1,$A$5:$A211,"&lt;="&amp;$A212,$B$5:$B211,$B212)&gt;0,MIN(1-'Exercise list'!O$2,IF($A212=$A211,AU211,1))-Z212&lt;0),-1,MIN(1,IF($A212=$A211,AU211,1)-Z212+$D$2))</f>
        <v>1</v>
      </c>
      <c r="AV212">
        <f>IF(OR($J212=1,COUNTIFS($A$5:$A211,"&gt;="&amp;$A212-1,$A$5:$A211,"&lt;="&amp;$A212,$B$5:$B211,$B212)&gt;0,MIN(1-'Exercise list'!P$2,IF($A212=$A211,AV211,1))-AA212&lt;0),-1,MIN(1,IF($A212=$A211,AV211,1)-AA212+$D$2))</f>
        <v>1</v>
      </c>
      <c r="AW212">
        <f>IF(OR($J212=1,COUNTIFS($A$5:$A211,"&gt;="&amp;$A212-1,$A$5:$A211,"&lt;="&amp;$A212,$B$5:$B211,$B212)&gt;0,MIN(1-'Exercise list'!Q$2,IF($A212=$A211,AW211,1))-AB212&lt;0),-1,MIN(1,IF($A212=$A211,AW211,1)-AB212+$D$2))</f>
        <v>1</v>
      </c>
      <c r="AX212">
        <f>IF(OR($J212=1,COUNTIFS($A$5:$A211,"&gt;="&amp;$A212-1,$A$5:$A211,"&lt;="&amp;$A212,$B$5:$B211,$B212)&gt;0,MIN(1-'Exercise list'!R$2,IF($A212=$A211,AX211,1))-AC212&lt;0),-1,MIN(1,IF($A212=$A211,AX211,1)-AC212+$D$2))</f>
        <v>1</v>
      </c>
      <c r="AY212">
        <f>IF(OR($J212=1,COUNTIFS($A$5:$A211,"&gt;="&amp;$A212-1,$A$5:$A211,"&lt;="&amp;$A212,$B$5:$B211,$B212)&gt;0,MIN(1-'Exercise list'!S$2,IF($A212=$A211,AY211,1))-AD212&lt;0),-1,MIN(1,IF($A212=$A211,AY211,1)-AD212+$D$2))</f>
        <v>1</v>
      </c>
      <c r="AZ212">
        <f>IF(OR($J212=1,COUNTIFS($A$5:$A211,"&gt;="&amp;$A212-1,$A$5:$A211,"&lt;="&amp;$A212,$B$5:$B211,$B212)&gt;0,MIN(1-'Exercise list'!T$2,IF($A212=$A211,AZ211,1))-AE212&lt;0),-1,MIN(1,IF($A212=$A211,AZ211,1)-AE212+$D$2))</f>
        <v>1</v>
      </c>
      <c r="BA212">
        <f>IF(OR($J212=1,COUNTIFS($A$5:$A211,"&gt;="&amp;$A212-1,$A$5:$A211,"&lt;="&amp;$A212,$B$5:$B211,$B212)&gt;0,MIN(1-'Exercise list'!U$2,IF($A212=$A211,BA211,1))-AF212&lt;0),-1,MIN(1,IF($A212=$A211,BA211,1)-AF212+$D$2))</f>
        <v>1</v>
      </c>
      <c r="BB212">
        <f>IF(OR($J212=1,COUNTIFS($A$5:$A211,"&gt;="&amp;$A212-1,$A$5:$A211,"&lt;="&amp;$A212,$B$5:$B211,$B212)&gt;0,MIN(1-'Exercise list'!V$2,IF($A212=$A211,BB211,1))-AG212&lt;0),-1,MIN(1,IF($A212=$A211,BB211,1)-AG212+$D$2))</f>
        <v>1</v>
      </c>
      <c r="BC212">
        <f>IF(OR($J212=1,COUNTIFS($A$5:$A211,"&gt;="&amp;$A212-1,$A$5:$A211,"&lt;="&amp;$A212,$B$5:$B211,$B212)&gt;0,MIN(1-'Exercise list'!W$2,IF($A212=$A211,BC211,1))-AH212&lt;0),-1,MIN(1,IF($A212=$A211,BC211,1)-AH212+$D$2))</f>
        <v>1</v>
      </c>
      <c r="BD212">
        <f>IF(OR($J212=1,COUNTIFS($A$5:$A211,"&gt;="&amp;$A212-1,$A$5:$A211,"&lt;="&amp;$A212,$B$5:$B211,$B212)&gt;0,MIN(1-'Exercise list'!X$2,IF($A212=$A211,BD211,1))-AI212&lt;0),-1,MIN(1,IF($A212=$A211,BD211,1)-AI212+$D$2))</f>
        <v>1</v>
      </c>
      <c r="BF212" s="16">
        <f t="shared" si="145"/>
        <v>0.19596031081758858</v>
      </c>
      <c r="BG212" s="16">
        <f t="shared" si="146"/>
        <v>0.21844636935459236</v>
      </c>
      <c r="BH212" s="16">
        <f t="shared" si="147"/>
        <v>0.14609696635987124</v>
      </c>
      <c r="BI212" s="16">
        <f t="shared" si="148"/>
        <v>0.13198015366034541</v>
      </c>
      <c r="BJ212" s="16">
        <f t="shared" si="149"/>
        <v>8.3367914198418713E-2</v>
      </c>
      <c r="BK212" s="16">
        <f t="shared" si="150"/>
        <v>0.10640640223148412</v>
      </c>
      <c r="BL212" s="16">
        <f t="shared" si="151"/>
        <v>0.21963504743569431</v>
      </c>
      <c r="BM212" s="16">
        <f t="shared" si="152"/>
        <v>3.8988008374820568E-3</v>
      </c>
      <c r="BN212" s="16">
        <f t="shared" si="153"/>
        <v>0.14537706087090876</v>
      </c>
      <c r="BO212" s="16">
        <f t="shared" si="154"/>
        <v>0.29209790661993401</v>
      </c>
      <c r="BP212" s="16">
        <f t="shared" si="155"/>
        <v>0.31584545163401867</v>
      </c>
      <c r="BQ212" s="16">
        <f t="shared" si="156"/>
        <v>0.1000007994126096</v>
      </c>
      <c r="BR212" s="16">
        <f t="shared" si="157"/>
        <v>0.13164487759885393</v>
      </c>
      <c r="BS212" s="16">
        <f t="shared" si="158"/>
        <v>2.9803550189863123E-2</v>
      </c>
      <c r="BT212" s="16">
        <f t="shared" si="159"/>
        <v>0.13492040904978705</v>
      </c>
      <c r="BU212" s="16">
        <f t="shared" si="160"/>
        <v>0.11703687414398131</v>
      </c>
      <c r="BV212" s="16">
        <f t="shared" si="161"/>
        <v>0.14633353213781661</v>
      </c>
      <c r="BW212" s="16">
        <f t="shared" si="162"/>
        <v>7.5588015111767173E-2</v>
      </c>
      <c r="BX212" s="16">
        <f t="shared" si="163"/>
        <v>8.0345659937185704E-2</v>
      </c>
      <c r="BY212" s="16">
        <f t="shared" si="164"/>
        <v>5.9014643151272549E-2</v>
      </c>
      <c r="CA212" s="16" t="str">
        <f t="shared" si="185"/>
        <v/>
      </c>
      <c r="CB212" s="16" t="str">
        <f t="shared" si="166"/>
        <v/>
      </c>
      <c r="CC212" s="16" t="str">
        <f t="shared" si="167"/>
        <v/>
      </c>
      <c r="CD212" s="16" t="str">
        <f t="shared" si="168"/>
        <v/>
      </c>
      <c r="CE212" s="16" t="str">
        <f t="shared" si="169"/>
        <v/>
      </c>
      <c r="CF212" s="16" t="str">
        <f t="shared" si="170"/>
        <v/>
      </c>
      <c r="CG212" s="16" t="str">
        <f t="shared" si="171"/>
        <v/>
      </c>
      <c r="CH212" s="16" t="str">
        <f t="shared" si="172"/>
        <v/>
      </c>
      <c r="CI212" s="16" t="str">
        <f t="shared" si="173"/>
        <v/>
      </c>
      <c r="CJ212" s="16" t="str">
        <f t="shared" si="174"/>
        <v/>
      </c>
      <c r="CK212" s="16" t="str">
        <f t="shared" si="175"/>
        <v/>
      </c>
      <c r="CL212" s="16" t="str">
        <f t="shared" si="176"/>
        <v/>
      </c>
      <c r="CM212" s="16" t="str">
        <f t="shared" si="177"/>
        <v/>
      </c>
      <c r="CN212" s="16" t="str">
        <f t="shared" si="178"/>
        <v/>
      </c>
      <c r="CO212" s="16" t="str">
        <f t="shared" si="179"/>
        <v/>
      </c>
      <c r="CP212" s="16" t="str">
        <f t="shared" si="180"/>
        <v/>
      </c>
      <c r="CQ212" s="16" t="str">
        <f t="shared" si="181"/>
        <v/>
      </c>
      <c r="CR212" s="16" t="str">
        <f t="shared" si="182"/>
        <v/>
      </c>
      <c r="CS212" s="16" t="str">
        <f t="shared" si="183"/>
        <v/>
      </c>
      <c r="CT212" s="16" t="str">
        <f t="shared" si="184"/>
        <v/>
      </c>
    </row>
    <row r="213" spans="1:99" x14ac:dyDescent="0.25">
      <c r="A213" s="20"/>
      <c r="B213" s="21"/>
      <c r="C213" s="22" t="str" cm="1">
        <f t="array" ref="C213">IF(B213="","",INDEX('Exercise list'!$C$5:$C$102,B213))</f>
        <v/>
      </c>
      <c r="D213" s="17" t="str">
        <f t="shared" si="142"/>
        <v/>
      </c>
      <c r="E213" s="108" t="str">
        <f t="shared" si="165"/>
        <v/>
      </c>
      <c r="F213" s="65" t="str" cm="1">
        <f t="array" ref="F213">IF(B213="","",0.1+IFERROR(INDEX($F$6:$F212,SUMPRODUCT(MAX(ROW($C$6:$C212)*($C213=$C$6:$C212))-ROW($A$5)))*0.9^($A213-INDEX($A$6:A212,SUMPRODUCT(MAX(ROW($C$6:$C212)*($C213=$C$6:$C212))-ROW($A$5)))),0))</f>
        <v/>
      </c>
      <c r="G213" s="25" t="e">
        <f>INDEX('Exercise list'!$Y$5:$Y$102,MATCH(C213,'Exercise list'!$C$5:$C$102,0))</f>
        <v>#N/A</v>
      </c>
      <c r="H213" s="116">
        <f t="shared" si="143"/>
        <v>0</v>
      </c>
      <c r="I213" s="18">
        <f t="shared" si="144"/>
        <v>5</v>
      </c>
      <c r="J213" s="18" t="str" cm="1">
        <f t="array" ref="J213">IF(B213="","",INDEX('Exercise list'!$D$5:$D$102,B213))</f>
        <v/>
      </c>
      <c r="K213" s="17"/>
      <c r="L213" s="51" t="str" cm="1">
        <f t="array" ref="L213">IF(K213="","",INDEX('Exercise list'!$C$5:$C$102,K213))</f>
        <v/>
      </c>
      <c r="M213" s="18"/>
      <c r="N213" s="76" t="str" cm="1">
        <f t="array" ref="N213">IF(M213="","",INDEX('Exercise list'!$C$5:$C$102,M213))</f>
        <v/>
      </c>
      <c r="O213" s="19"/>
      <c r="P213" s="19">
        <f>IFERROR(INDEX('Exercise list'!$E$5:$X$102,MATCH($C213,'Exercise list'!$C$5:$C$102,0),MATCH(P$5,'Exercise list'!$E$4:$X$4,0)),0)</f>
        <v>0</v>
      </c>
      <c r="Q213" s="19">
        <f>IFERROR(INDEX('Exercise list'!$E$5:$X$102,MATCH($C213,'Exercise list'!$C$5:$C$102,0),MATCH(Q$5,'Exercise list'!$E$4:$X$4,0)),0)</f>
        <v>0</v>
      </c>
      <c r="R213" s="19">
        <f>IFERROR(INDEX('Exercise list'!$E$5:$X$102,MATCH($C213,'Exercise list'!$C$5:$C$102,0),MATCH(R$5,'Exercise list'!$E$4:$X$4,0)),0)</f>
        <v>0</v>
      </c>
      <c r="S213" s="19">
        <f>IFERROR(INDEX('Exercise list'!$E$5:$X$102,MATCH($C213,'Exercise list'!$C$5:$C$102,0),MATCH(S$5,'Exercise list'!$E$4:$X$4,0)),0)</f>
        <v>0</v>
      </c>
      <c r="T213" s="19">
        <f>IFERROR(INDEX('Exercise list'!$E$5:$X$102,MATCH($C213,'Exercise list'!$C$5:$C$102,0),MATCH(T$5,'Exercise list'!$E$4:$X$4,0)),0)</f>
        <v>0</v>
      </c>
      <c r="U213" s="19">
        <f>IFERROR(INDEX('Exercise list'!$E$5:$X$102,MATCH($C213,'Exercise list'!$C$5:$C$102,0),MATCH(U$5,'Exercise list'!$E$4:$X$4,0)),0)</f>
        <v>0</v>
      </c>
      <c r="V213" s="19">
        <f>IFERROR(INDEX('Exercise list'!$E$5:$X$102,MATCH($C213,'Exercise list'!$C$5:$C$102,0),MATCH(V$5,'Exercise list'!$E$4:$X$4,0)),0)</f>
        <v>0</v>
      </c>
      <c r="W213" s="19">
        <f>IFERROR(INDEX('Exercise list'!$E$5:$X$102,MATCH($C213,'Exercise list'!$C$5:$C$102,0),MATCH(W$5,'Exercise list'!$E$4:$X$4,0)),0)</f>
        <v>0</v>
      </c>
      <c r="X213" s="19">
        <f>IFERROR(INDEX('Exercise list'!$E$5:$X$102,MATCH($C213,'Exercise list'!$C$5:$C$102,0),MATCH(X$5,'Exercise list'!$E$4:$X$4,0)),0)</f>
        <v>0</v>
      </c>
      <c r="Y213" s="19">
        <f>IFERROR(INDEX('Exercise list'!$E$5:$X$102,MATCH($C213,'Exercise list'!$C$5:$C$102,0),MATCH(Y$5,'Exercise list'!$E$4:$X$4,0)),0)</f>
        <v>0</v>
      </c>
      <c r="Z213" s="19">
        <f>IFERROR(INDEX('Exercise list'!$E$5:$X$102,MATCH($C213,'Exercise list'!$C$5:$C$102,0),MATCH(Z$5,'Exercise list'!$E$4:$X$4,0)),0)</f>
        <v>0</v>
      </c>
      <c r="AA213" s="19">
        <f>IFERROR(INDEX('Exercise list'!$E$5:$X$102,MATCH($C213,'Exercise list'!$C$5:$C$102,0),MATCH(AA$5,'Exercise list'!$E$4:$X$4,0)),0)</f>
        <v>0</v>
      </c>
      <c r="AB213" s="19">
        <f>IFERROR(INDEX('Exercise list'!$E$5:$X$102,MATCH($C213,'Exercise list'!$C$5:$C$102,0),MATCH(AB$5,'Exercise list'!$E$4:$X$4,0)),0)</f>
        <v>0</v>
      </c>
      <c r="AC213" s="19">
        <f>IFERROR(INDEX('Exercise list'!$E$5:$X$102,MATCH($C213,'Exercise list'!$C$5:$C$102,0),MATCH(AC$5,'Exercise list'!$E$4:$X$4,0)),0)</f>
        <v>0</v>
      </c>
      <c r="AD213" s="19">
        <f>IFERROR(INDEX('Exercise list'!$E$5:$X$102,MATCH($C213,'Exercise list'!$C$5:$C$102,0),MATCH(AD$5,'Exercise list'!$E$4:$X$4,0)),0)</f>
        <v>0</v>
      </c>
      <c r="AE213" s="19">
        <f>IFERROR(INDEX('Exercise list'!$E$5:$X$102,MATCH($C213,'Exercise list'!$C$5:$C$102,0),MATCH(AE$5,'Exercise list'!$E$4:$X$4,0)),0)</f>
        <v>0</v>
      </c>
      <c r="AF213" s="19">
        <f>IFERROR(INDEX('Exercise list'!$E$5:$X$102,MATCH($C213,'Exercise list'!$C$5:$C$102,0),MATCH(AF$5,'Exercise list'!$E$4:$X$4,0)),0)</f>
        <v>0</v>
      </c>
      <c r="AG213" s="19">
        <f>IFERROR(INDEX('Exercise list'!$E$5:$X$102,MATCH($C213,'Exercise list'!$C$5:$C$102,0),MATCH(AG$5,'Exercise list'!$E$4:$X$4,0)),0)</f>
        <v>0</v>
      </c>
      <c r="AH213" s="19">
        <f>IFERROR(INDEX('Exercise list'!$E$5:$X$102,MATCH($C213,'Exercise list'!$C$5:$C$102,0),MATCH(AH$5,'Exercise list'!$E$4:$X$4,0)),0)</f>
        <v>0</v>
      </c>
      <c r="AI213" s="19">
        <f>IFERROR(INDEX('Exercise list'!$E$5:$X$102,MATCH($C213,'Exercise list'!$C$5:$C$102,0),MATCH(AI$5,'Exercise list'!$E$4:$X$4,0)),0)</f>
        <v>0</v>
      </c>
      <c r="AJ213" s="19"/>
      <c r="AK213" s="19">
        <f>IF(OR($J213=1,COUNTIFS($A$5:$A212,"&gt;="&amp;$A213-1,$A$5:$A212,"&lt;="&amp;$A213,$B$5:$B212,$B213)&gt;0,MIN(1-'Exercise list'!E$2,IF($A213=$A212,AK212,1))-P213&lt;0),-1,MIN(1,IF($A213=$A212,AK212,1)-P213+$D$2))</f>
        <v>1</v>
      </c>
      <c r="AL213" s="19">
        <f>IF(OR($J213=1,COUNTIFS($A$5:$A212,"&gt;="&amp;$A213-1,$A$5:$A212,"&lt;="&amp;$A213,$B$5:$B212,$B213)&gt;0,MIN(1-'Exercise list'!F$2,IF($A213=$A212,AL212,1))-Q213&lt;0),-1,MIN(1,IF($A213=$A212,AL212,1)-Q213+$D$2))</f>
        <v>1</v>
      </c>
      <c r="AM213" s="19">
        <f>IF(OR($J213=1,COUNTIFS($A$5:$A212,"&gt;="&amp;$A213-1,$A$5:$A212,"&lt;="&amp;$A213,$B$5:$B212,$B213)&gt;0,MIN(1-'Exercise list'!G$2,IF($A213=$A212,AM212,1))-R213&lt;0),-1,MIN(1,IF($A213=$A212,AM212,1)-R213+$D$2))</f>
        <v>1</v>
      </c>
      <c r="AN213" s="19">
        <f>IF(OR($J213=1,COUNTIFS($A$5:$A212,"&gt;="&amp;$A213-1,$A$5:$A212,"&lt;="&amp;$A213,$B$5:$B212,$B213)&gt;0,MIN(1-'Exercise list'!H$2,IF($A213=$A212,AN212,1))-S213&lt;0),-1,MIN(1,IF($A213=$A212,AN212,1)-S213+$D$2))</f>
        <v>1</v>
      </c>
      <c r="AO213" s="19">
        <f>IF(OR($J213=1,COUNTIFS($A$5:$A212,"&gt;="&amp;$A213-1,$A$5:$A212,"&lt;="&amp;$A213,$B$5:$B212,$B213)&gt;0,MIN(1-'Exercise list'!I$2,IF($A213=$A212,AO212,1))-T213&lt;0),-1,MIN(1,IF($A213=$A212,AO212,1)-T213+$D$2))</f>
        <v>1</v>
      </c>
      <c r="AP213" s="19">
        <f>IF(OR($J213=1,COUNTIFS($A$5:$A212,"&gt;="&amp;$A213-1,$A$5:$A212,"&lt;="&amp;$A213,$B$5:$B212,$B213)&gt;0,MIN(1-'Exercise list'!J$2,IF($A213=$A212,AP212,1))-U213&lt;0),-1,MIN(1,IF($A213=$A212,AP212,1)-U213+$D$2))</f>
        <v>1</v>
      </c>
      <c r="AQ213" s="19">
        <f>IF(OR($J213=1,COUNTIFS($A$5:$A212,"&gt;="&amp;$A213-1,$A$5:$A212,"&lt;="&amp;$A213,$B$5:$B212,$B213)&gt;0,MIN(1-'Exercise list'!K$2,IF($A213=$A212,AQ212,1))-V213&lt;0),-1,MIN(1,IF($A213=$A212,AQ212,1)-V213+$D$2))</f>
        <v>1</v>
      </c>
      <c r="AR213" s="19">
        <f>IF(OR($J213=1,COUNTIFS($A$5:$A212,"&gt;="&amp;$A213-1,$A$5:$A212,"&lt;="&amp;$A213,$B$5:$B212,$B213)&gt;0,MIN(1-'Exercise list'!L$2,IF($A213=$A212,AR212,1))-W213&lt;0),-1,MIN(1,IF($A213=$A212,AR212,1)-W213+$D$2))</f>
        <v>1</v>
      </c>
      <c r="AS213" s="19">
        <f>IF(OR($J213=1,COUNTIFS($A$5:$A212,"&gt;="&amp;$A213-1,$A$5:$A212,"&lt;="&amp;$A213,$B$5:$B212,$B213)&gt;0,MIN(1-'Exercise list'!M$2,IF($A213=$A212,AS212,1))-X213&lt;0),-1,MIN(1,IF($A213=$A212,AS212,1)-X213+$D$2))</f>
        <v>1</v>
      </c>
      <c r="AT213" s="19">
        <f>IF(OR($J213=1,COUNTIFS($A$5:$A212,"&gt;="&amp;$A213-1,$A$5:$A212,"&lt;="&amp;$A213,$B$5:$B212,$B213)&gt;0,MIN(1-'Exercise list'!N$2,IF($A213=$A212,AT212,1))-Y213&lt;0),-1,MIN(1,IF($A213=$A212,AT212,1)-Y213+$D$2))</f>
        <v>1</v>
      </c>
      <c r="AU213" s="19">
        <f>IF(OR($J213=1,COUNTIFS($A$5:$A212,"&gt;="&amp;$A213-1,$A$5:$A212,"&lt;="&amp;$A213,$B$5:$B212,$B213)&gt;0,MIN(1-'Exercise list'!O$2,IF($A213=$A212,AU212,1))-Z213&lt;0),-1,MIN(1,IF($A213=$A212,AU212,1)-Z213+$D$2))</f>
        <v>1</v>
      </c>
      <c r="AV213" s="19">
        <f>IF(OR($J213=1,COUNTIFS($A$5:$A212,"&gt;="&amp;$A213-1,$A$5:$A212,"&lt;="&amp;$A213,$B$5:$B212,$B213)&gt;0,MIN(1-'Exercise list'!P$2,IF($A213=$A212,AV212,1))-AA213&lt;0),-1,MIN(1,IF($A213=$A212,AV212,1)-AA213+$D$2))</f>
        <v>1</v>
      </c>
      <c r="AW213" s="19">
        <f>IF(OR($J213=1,COUNTIFS($A$5:$A212,"&gt;="&amp;$A213-1,$A$5:$A212,"&lt;="&amp;$A213,$B$5:$B212,$B213)&gt;0,MIN(1-'Exercise list'!Q$2,IF($A213=$A212,AW212,1))-AB213&lt;0),-1,MIN(1,IF($A213=$A212,AW212,1)-AB213+$D$2))</f>
        <v>1</v>
      </c>
      <c r="AX213" s="19">
        <f>IF(OR($J213=1,COUNTIFS($A$5:$A212,"&gt;="&amp;$A213-1,$A$5:$A212,"&lt;="&amp;$A213,$B$5:$B212,$B213)&gt;0,MIN(1-'Exercise list'!R$2,IF($A213=$A212,AX212,1))-AC213&lt;0),-1,MIN(1,IF($A213=$A212,AX212,1)-AC213+$D$2))</f>
        <v>1</v>
      </c>
      <c r="AY213" s="19">
        <f>IF(OR($J213=1,COUNTIFS($A$5:$A212,"&gt;="&amp;$A213-1,$A$5:$A212,"&lt;="&amp;$A213,$B$5:$B212,$B213)&gt;0,MIN(1-'Exercise list'!S$2,IF($A213=$A212,AY212,1))-AD213&lt;0),-1,MIN(1,IF($A213=$A212,AY212,1)-AD213+$D$2))</f>
        <v>1</v>
      </c>
      <c r="AZ213" s="19">
        <f>IF(OR($J213=1,COUNTIFS($A$5:$A212,"&gt;="&amp;$A213-1,$A$5:$A212,"&lt;="&amp;$A213,$B$5:$B212,$B213)&gt;0,MIN(1-'Exercise list'!T$2,IF($A213=$A212,AZ212,1))-AE213&lt;0),-1,MIN(1,IF($A213=$A212,AZ212,1)-AE213+$D$2))</f>
        <v>1</v>
      </c>
      <c r="BA213" s="19">
        <f>IF(OR($J213=1,COUNTIFS($A$5:$A212,"&gt;="&amp;$A213-1,$A$5:$A212,"&lt;="&amp;$A213,$B$5:$B212,$B213)&gt;0,MIN(1-'Exercise list'!U$2,IF($A213=$A212,BA212,1))-AF213&lt;0),-1,MIN(1,IF($A213=$A212,BA212,1)-AF213+$D$2))</f>
        <v>1</v>
      </c>
      <c r="BB213" s="19">
        <f>IF(OR($J213=1,COUNTIFS($A$5:$A212,"&gt;="&amp;$A213-1,$A$5:$A212,"&lt;="&amp;$A213,$B$5:$B212,$B213)&gt;0,MIN(1-'Exercise list'!V$2,IF($A213=$A212,BB212,1))-AG213&lt;0),-1,MIN(1,IF($A213=$A212,BB212,1)-AG213+$D$2))</f>
        <v>1</v>
      </c>
      <c r="BC213" s="19">
        <f>IF(OR($J213=1,COUNTIFS($A$5:$A212,"&gt;="&amp;$A213-1,$A$5:$A212,"&lt;="&amp;$A213,$B$5:$B212,$B213)&gt;0,MIN(1-'Exercise list'!W$2,IF($A213=$A212,BC212,1))-AH213&lt;0),-1,MIN(1,IF($A213=$A212,BC212,1)-AH213+$D$2))</f>
        <v>1</v>
      </c>
      <c r="BD213" s="19">
        <f>IF(OR($J213=1,COUNTIFS($A$5:$A212,"&gt;="&amp;$A213-1,$A$5:$A212,"&lt;="&amp;$A213,$B$5:$B212,$B213)&gt;0,MIN(1-'Exercise list'!X$2,IF($A213=$A212,BD212,1))-AI213&lt;0),-1,MIN(1,IF($A213=$A212,BD212,1)-AI213+$D$2))</f>
        <v>1</v>
      </c>
      <c r="BE213" s="19"/>
      <c r="BF213" s="23">
        <f t="shared" si="145"/>
        <v>0.19596031081758858</v>
      </c>
      <c r="BG213" s="23">
        <f t="shared" si="146"/>
        <v>0.21844636935459236</v>
      </c>
      <c r="BH213" s="23">
        <f t="shared" si="147"/>
        <v>0.14609696635987124</v>
      </c>
      <c r="BI213" s="23">
        <f t="shared" si="148"/>
        <v>0.13198015366034541</v>
      </c>
      <c r="BJ213" s="23">
        <f t="shared" si="149"/>
        <v>8.3367914198418713E-2</v>
      </c>
      <c r="BK213" s="23">
        <f t="shared" si="150"/>
        <v>0.10640640223148412</v>
      </c>
      <c r="BL213" s="23">
        <f t="shared" si="151"/>
        <v>0.21963504743569431</v>
      </c>
      <c r="BM213" s="23">
        <f t="shared" si="152"/>
        <v>3.8988008374820568E-3</v>
      </c>
      <c r="BN213" s="23">
        <f t="shared" si="153"/>
        <v>0.14537706087090876</v>
      </c>
      <c r="BO213" s="23">
        <f t="shared" si="154"/>
        <v>0.29209790661993401</v>
      </c>
      <c r="BP213" s="23">
        <f t="shared" si="155"/>
        <v>0.31584545163401867</v>
      </c>
      <c r="BQ213" s="23">
        <f t="shared" si="156"/>
        <v>0.1000007994126096</v>
      </c>
      <c r="BR213" s="23">
        <f t="shared" si="157"/>
        <v>0.13164487759885393</v>
      </c>
      <c r="BS213" s="23">
        <f t="shared" si="158"/>
        <v>2.9803550189863123E-2</v>
      </c>
      <c r="BT213" s="23">
        <f t="shared" si="159"/>
        <v>0.13492040904978705</v>
      </c>
      <c r="BU213" s="23">
        <f t="shared" si="160"/>
        <v>0.11703687414398131</v>
      </c>
      <c r="BV213" s="23">
        <f t="shared" si="161"/>
        <v>0.14633353213781661</v>
      </c>
      <c r="BW213" s="23">
        <f t="shared" si="162"/>
        <v>7.5588015111767173E-2</v>
      </c>
      <c r="BX213" s="23">
        <f t="shared" si="163"/>
        <v>8.0345659937185704E-2</v>
      </c>
      <c r="BY213" s="23">
        <f t="shared" si="164"/>
        <v>5.9014643151272549E-2</v>
      </c>
      <c r="BZ213" s="19"/>
      <c r="CA213" s="23" t="str">
        <f t="shared" si="185"/>
        <v/>
      </c>
      <c r="CB213" s="23" t="str">
        <f t="shared" si="166"/>
        <v/>
      </c>
      <c r="CC213" s="23" t="str">
        <f t="shared" si="167"/>
        <v/>
      </c>
      <c r="CD213" s="23" t="str">
        <f t="shared" si="168"/>
        <v/>
      </c>
      <c r="CE213" s="23" t="str">
        <f t="shared" si="169"/>
        <v/>
      </c>
      <c r="CF213" s="23" t="str">
        <f t="shared" si="170"/>
        <v/>
      </c>
      <c r="CG213" s="23" t="str">
        <f t="shared" si="171"/>
        <v/>
      </c>
      <c r="CH213" s="23" t="str">
        <f t="shared" si="172"/>
        <v/>
      </c>
      <c r="CI213" s="23" t="str">
        <f t="shared" si="173"/>
        <v/>
      </c>
      <c r="CJ213" s="23" t="str">
        <f t="shared" si="174"/>
        <v/>
      </c>
      <c r="CK213" s="23" t="str">
        <f t="shared" si="175"/>
        <v/>
      </c>
      <c r="CL213" s="23" t="str">
        <f t="shared" si="176"/>
        <v/>
      </c>
      <c r="CM213" s="23" t="str">
        <f t="shared" si="177"/>
        <v/>
      </c>
      <c r="CN213" s="23" t="str">
        <f t="shared" si="178"/>
        <v/>
      </c>
      <c r="CO213" s="23" t="str">
        <f t="shared" si="179"/>
        <v/>
      </c>
      <c r="CP213" s="23" t="str">
        <f t="shared" si="180"/>
        <v/>
      </c>
      <c r="CQ213" s="23" t="str">
        <f t="shared" si="181"/>
        <v/>
      </c>
      <c r="CR213" s="23" t="str">
        <f t="shared" si="182"/>
        <v/>
      </c>
      <c r="CS213" s="23" t="str">
        <f t="shared" si="183"/>
        <v/>
      </c>
      <c r="CT213" s="23" t="str">
        <f t="shared" si="184"/>
        <v/>
      </c>
      <c r="CU213" s="19"/>
    </row>
    <row r="214" spans="1:99" x14ac:dyDescent="0.25">
      <c r="A214" s="13"/>
      <c r="B214" s="14"/>
      <c r="C214" s="15" t="str" cm="1">
        <f t="array" ref="C214">IF(B214="","",INDEX('Exercise list'!$C$5:$C$102,B214))</f>
        <v/>
      </c>
      <c r="D214" s="12" t="str">
        <f t="shared" si="142"/>
        <v/>
      </c>
      <c r="E214" s="107" t="str">
        <f t="shared" si="165"/>
        <v/>
      </c>
      <c r="F214" s="63" t="str" cm="1">
        <f t="array" ref="F214">IF(B214="","",0.1+IFERROR(INDEX($F$6:$F213,SUMPRODUCT(MAX(ROW($C$6:$C213)*($C214=$C$6:$C213))-ROW($A$5)))*0.9^($A214-INDEX($A$6:A213,SUMPRODUCT(MAX(ROW($C$6:$C213)*($C214=$C$6:$C213))-ROW($A$5)))),0))</f>
        <v/>
      </c>
      <c r="G214" s="64" t="e">
        <f>INDEX('Exercise list'!$Y$5:$Y$102,MATCH(C214,'Exercise list'!$C$5:$C$102,0))</f>
        <v>#N/A</v>
      </c>
      <c r="H214" s="115">
        <f t="shared" si="143"/>
        <v>0</v>
      </c>
      <c r="I214" s="42">
        <f t="shared" si="144"/>
        <v>5</v>
      </c>
      <c r="J214" s="6" t="str" cm="1">
        <f t="array" ref="J214">IF(B214="","",INDEX('Exercise list'!$D$5:$D$102,B214))</f>
        <v/>
      </c>
      <c r="K214" s="12"/>
      <c r="L214" s="74" t="str" cm="1">
        <f t="array" ref="L214">IF(K214="","",INDEX('Exercise list'!$C$5:$C$102,K214))</f>
        <v/>
      </c>
      <c r="M214" s="6"/>
      <c r="N214" s="75" t="str" cm="1">
        <f t="array" ref="N214">IF(M214="","",INDEX('Exercise list'!$C$5:$C$102,M214))</f>
        <v/>
      </c>
      <c r="P214">
        <f>IFERROR(INDEX('Exercise list'!$E$5:$X$102,MATCH($C214,'Exercise list'!$C$5:$C$102,0),MATCH(P$5,'Exercise list'!$E$4:$X$4,0)),0)</f>
        <v>0</v>
      </c>
      <c r="Q214">
        <f>IFERROR(INDEX('Exercise list'!$E$5:$X$102,MATCH($C214,'Exercise list'!$C$5:$C$102,0),MATCH(Q$5,'Exercise list'!$E$4:$X$4,0)),0)</f>
        <v>0</v>
      </c>
      <c r="R214">
        <f>IFERROR(INDEX('Exercise list'!$E$5:$X$102,MATCH($C214,'Exercise list'!$C$5:$C$102,0),MATCH(R$5,'Exercise list'!$E$4:$X$4,0)),0)</f>
        <v>0</v>
      </c>
      <c r="S214">
        <f>IFERROR(INDEX('Exercise list'!$E$5:$X$102,MATCH($C214,'Exercise list'!$C$5:$C$102,0),MATCH(S$5,'Exercise list'!$E$4:$X$4,0)),0)</f>
        <v>0</v>
      </c>
      <c r="T214">
        <f>IFERROR(INDEX('Exercise list'!$E$5:$X$102,MATCH($C214,'Exercise list'!$C$5:$C$102,0),MATCH(T$5,'Exercise list'!$E$4:$X$4,0)),0)</f>
        <v>0</v>
      </c>
      <c r="U214">
        <f>IFERROR(INDEX('Exercise list'!$E$5:$X$102,MATCH($C214,'Exercise list'!$C$5:$C$102,0),MATCH(U$5,'Exercise list'!$E$4:$X$4,0)),0)</f>
        <v>0</v>
      </c>
      <c r="V214">
        <f>IFERROR(INDEX('Exercise list'!$E$5:$X$102,MATCH($C214,'Exercise list'!$C$5:$C$102,0),MATCH(V$5,'Exercise list'!$E$4:$X$4,0)),0)</f>
        <v>0</v>
      </c>
      <c r="W214">
        <f>IFERROR(INDEX('Exercise list'!$E$5:$X$102,MATCH($C214,'Exercise list'!$C$5:$C$102,0),MATCH(W$5,'Exercise list'!$E$4:$X$4,0)),0)</f>
        <v>0</v>
      </c>
      <c r="X214">
        <f>IFERROR(INDEX('Exercise list'!$E$5:$X$102,MATCH($C214,'Exercise list'!$C$5:$C$102,0),MATCH(X$5,'Exercise list'!$E$4:$X$4,0)),0)</f>
        <v>0</v>
      </c>
      <c r="Y214">
        <f>IFERROR(INDEX('Exercise list'!$E$5:$X$102,MATCH($C214,'Exercise list'!$C$5:$C$102,0),MATCH(Y$5,'Exercise list'!$E$4:$X$4,0)),0)</f>
        <v>0</v>
      </c>
      <c r="Z214">
        <f>IFERROR(INDEX('Exercise list'!$E$5:$X$102,MATCH($C214,'Exercise list'!$C$5:$C$102,0),MATCH(Z$5,'Exercise list'!$E$4:$X$4,0)),0)</f>
        <v>0</v>
      </c>
      <c r="AA214">
        <f>IFERROR(INDEX('Exercise list'!$E$5:$X$102,MATCH($C214,'Exercise list'!$C$5:$C$102,0),MATCH(AA$5,'Exercise list'!$E$4:$X$4,0)),0)</f>
        <v>0</v>
      </c>
      <c r="AB214">
        <f>IFERROR(INDEX('Exercise list'!$E$5:$X$102,MATCH($C214,'Exercise list'!$C$5:$C$102,0),MATCH(AB$5,'Exercise list'!$E$4:$X$4,0)),0)</f>
        <v>0</v>
      </c>
      <c r="AC214">
        <f>IFERROR(INDEX('Exercise list'!$E$5:$X$102,MATCH($C214,'Exercise list'!$C$5:$C$102,0),MATCH(AC$5,'Exercise list'!$E$4:$X$4,0)),0)</f>
        <v>0</v>
      </c>
      <c r="AD214">
        <f>IFERROR(INDEX('Exercise list'!$E$5:$X$102,MATCH($C214,'Exercise list'!$C$5:$C$102,0),MATCH(AD$5,'Exercise list'!$E$4:$X$4,0)),0)</f>
        <v>0</v>
      </c>
      <c r="AE214">
        <f>IFERROR(INDEX('Exercise list'!$E$5:$X$102,MATCH($C214,'Exercise list'!$C$5:$C$102,0),MATCH(AE$5,'Exercise list'!$E$4:$X$4,0)),0)</f>
        <v>0</v>
      </c>
      <c r="AF214">
        <f>IFERROR(INDEX('Exercise list'!$E$5:$X$102,MATCH($C214,'Exercise list'!$C$5:$C$102,0),MATCH(AF$5,'Exercise list'!$E$4:$X$4,0)),0)</f>
        <v>0</v>
      </c>
      <c r="AG214">
        <f>IFERROR(INDEX('Exercise list'!$E$5:$X$102,MATCH($C214,'Exercise list'!$C$5:$C$102,0),MATCH(AG$5,'Exercise list'!$E$4:$X$4,0)),0)</f>
        <v>0</v>
      </c>
      <c r="AH214">
        <f>IFERROR(INDEX('Exercise list'!$E$5:$X$102,MATCH($C214,'Exercise list'!$C$5:$C$102,0),MATCH(AH$5,'Exercise list'!$E$4:$X$4,0)),0)</f>
        <v>0</v>
      </c>
      <c r="AI214">
        <f>IFERROR(INDEX('Exercise list'!$E$5:$X$102,MATCH($C214,'Exercise list'!$C$5:$C$102,0),MATCH(AI$5,'Exercise list'!$E$4:$X$4,0)),0)</f>
        <v>0</v>
      </c>
      <c r="AK214">
        <f>IF(OR($J214=1,COUNTIFS($A$5:$A213,"&gt;="&amp;$A214-1,$A$5:$A213,"&lt;="&amp;$A214,$B$5:$B213,$B214)&gt;0,MIN(1-'Exercise list'!E$2,IF($A214=$A213,AK213,1))-P214&lt;0),-1,MIN(1,IF($A214=$A213,AK213,1)-P214+$D$2))</f>
        <v>1</v>
      </c>
      <c r="AL214">
        <f>IF(OR($J214=1,COUNTIFS($A$5:$A213,"&gt;="&amp;$A214-1,$A$5:$A213,"&lt;="&amp;$A214,$B$5:$B213,$B214)&gt;0,MIN(1-'Exercise list'!F$2,IF($A214=$A213,AL213,1))-Q214&lt;0),-1,MIN(1,IF($A214=$A213,AL213,1)-Q214+$D$2))</f>
        <v>1</v>
      </c>
      <c r="AM214">
        <f>IF(OR($J214=1,COUNTIFS($A$5:$A213,"&gt;="&amp;$A214-1,$A$5:$A213,"&lt;="&amp;$A214,$B$5:$B213,$B214)&gt;0,MIN(1-'Exercise list'!G$2,IF($A214=$A213,AM213,1))-R214&lt;0),-1,MIN(1,IF($A214=$A213,AM213,1)-R214+$D$2))</f>
        <v>1</v>
      </c>
      <c r="AN214">
        <f>IF(OR($J214=1,COUNTIFS($A$5:$A213,"&gt;="&amp;$A214-1,$A$5:$A213,"&lt;="&amp;$A214,$B$5:$B213,$B214)&gt;0,MIN(1-'Exercise list'!H$2,IF($A214=$A213,AN213,1))-S214&lt;0),-1,MIN(1,IF($A214=$A213,AN213,1)-S214+$D$2))</f>
        <v>1</v>
      </c>
      <c r="AO214">
        <f>IF(OR($J214=1,COUNTIFS($A$5:$A213,"&gt;="&amp;$A214-1,$A$5:$A213,"&lt;="&amp;$A214,$B$5:$B213,$B214)&gt;0,MIN(1-'Exercise list'!I$2,IF($A214=$A213,AO213,1))-T214&lt;0),-1,MIN(1,IF($A214=$A213,AO213,1)-T214+$D$2))</f>
        <v>1</v>
      </c>
      <c r="AP214">
        <f>IF(OR($J214=1,COUNTIFS($A$5:$A213,"&gt;="&amp;$A214-1,$A$5:$A213,"&lt;="&amp;$A214,$B$5:$B213,$B214)&gt;0,MIN(1-'Exercise list'!J$2,IF($A214=$A213,AP213,1))-U214&lt;0),-1,MIN(1,IF($A214=$A213,AP213,1)-U214+$D$2))</f>
        <v>1</v>
      </c>
      <c r="AQ214">
        <f>IF(OR($J214=1,COUNTIFS($A$5:$A213,"&gt;="&amp;$A214-1,$A$5:$A213,"&lt;="&amp;$A214,$B$5:$B213,$B214)&gt;0,MIN(1-'Exercise list'!K$2,IF($A214=$A213,AQ213,1))-V214&lt;0),-1,MIN(1,IF($A214=$A213,AQ213,1)-V214+$D$2))</f>
        <v>1</v>
      </c>
      <c r="AR214">
        <f>IF(OR($J214=1,COUNTIFS($A$5:$A213,"&gt;="&amp;$A214-1,$A$5:$A213,"&lt;="&amp;$A214,$B$5:$B213,$B214)&gt;0,MIN(1-'Exercise list'!L$2,IF($A214=$A213,AR213,1))-W214&lt;0),-1,MIN(1,IF($A214=$A213,AR213,1)-W214+$D$2))</f>
        <v>1</v>
      </c>
      <c r="AS214">
        <f>IF(OR($J214=1,COUNTIFS($A$5:$A213,"&gt;="&amp;$A214-1,$A$5:$A213,"&lt;="&amp;$A214,$B$5:$B213,$B214)&gt;0,MIN(1-'Exercise list'!M$2,IF($A214=$A213,AS213,1))-X214&lt;0),-1,MIN(1,IF($A214=$A213,AS213,1)-X214+$D$2))</f>
        <v>1</v>
      </c>
      <c r="AT214">
        <f>IF(OR($J214=1,COUNTIFS($A$5:$A213,"&gt;="&amp;$A214-1,$A$5:$A213,"&lt;="&amp;$A214,$B$5:$B213,$B214)&gt;0,MIN(1-'Exercise list'!N$2,IF($A214=$A213,AT213,1))-Y214&lt;0),-1,MIN(1,IF($A214=$A213,AT213,1)-Y214+$D$2))</f>
        <v>1</v>
      </c>
      <c r="AU214">
        <f>IF(OR($J214=1,COUNTIFS($A$5:$A213,"&gt;="&amp;$A214-1,$A$5:$A213,"&lt;="&amp;$A214,$B$5:$B213,$B214)&gt;0,MIN(1-'Exercise list'!O$2,IF($A214=$A213,AU213,1))-Z214&lt;0),-1,MIN(1,IF($A214=$A213,AU213,1)-Z214+$D$2))</f>
        <v>1</v>
      </c>
      <c r="AV214">
        <f>IF(OR($J214=1,COUNTIFS($A$5:$A213,"&gt;="&amp;$A214-1,$A$5:$A213,"&lt;="&amp;$A214,$B$5:$B213,$B214)&gt;0,MIN(1-'Exercise list'!P$2,IF($A214=$A213,AV213,1))-AA214&lt;0),-1,MIN(1,IF($A214=$A213,AV213,1)-AA214+$D$2))</f>
        <v>1</v>
      </c>
      <c r="AW214">
        <f>IF(OR($J214=1,COUNTIFS($A$5:$A213,"&gt;="&amp;$A214-1,$A$5:$A213,"&lt;="&amp;$A214,$B$5:$B213,$B214)&gt;0,MIN(1-'Exercise list'!Q$2,IF($A214=$A213,AW213,1))-AB214&lt;0),-1,MIN(1,IF($A214=$A213,AW213,1)-AB214+$D$2))</f>
        <v>1</v>
      </c>
      <c r="AX214">
        <f>IF(OR($J214=1,COUNTIFS($A$5:$A213,"&gt;="&amp;$A214-1,$A$5:$A213,"&lt;="&amp;$A214,$B$5:$B213,$B214)&gt;0,MIN(1-'Exercise list'!R$2,IF($A214=$A213,AX213,1))-AC214&lt;0),-1,MIN(1,IF($A214=$A213,AX213,1)-AC214+$D$2))</f>
        <v>1</v>
      </c>
      <c r="AY214">
        <f>IF(OR($J214=1,COUNTIFS($A$5:$A213,"&gt;="&amp;$A214-1,$A$5:$A213,"&lt;="&amp;$A214,$B$5:$B213,$B214)&gt;0,MIN(1-'Exercise list'!S$2,IF($A214=$A213,AY213,1))-AD214&lt;0),-1,MIN(1,IF($A214=$A213,AY213,1)-AD214+$D$2))</f>
        <v>1</v>
      </c>
      <c r="AZ214">
        <f>IF(OR($J214=1,COUNTIFS($A$5:$A213,"&gt;="&amp;$A214-1,$A$5:$A213,"&lt;="&amp;$A214,$B$5:$B213,$B214)&gt;0,MIN(1-'Exercise list'!T$2,IF($A214=$A213,AZ213,1))-AE214&lt;0),-1,MIN(1,IF($A214=$A213,AZ213,1)-AE214+$D$2))</f>
        <v>1</v>
      </c>
      <c r="BA214">
        <f>IF(OR($J214=1,COUNTIFS($A$5:$A213,"&gt;="&amp;$A214-1,$A$5:$A213,"&lt;="&amp;$A214,$B$5:$B213,$B214)&gt;0,MIN(1-'Exercise list'!U$2,IF($A214=$A213,BA213,1))-AF214&lt;0),-1,MIN(1,IF($A214=$A213,BA213,1)-AF214+$D$2))</f>
        <v>1</v>
      </c>
      <c r="BB214">
        <f>IF(OR($J214=1,COUNTIFS($A$5:$A213,"&gt;="&amp;$A214-1,$A$5:$A213,"&lt;="&amp;$A214,$B$5:$B213,$B214)&gt;0,MIN(1-'Exercise list'!V$2,IF($A214=$A213,BB213,1))-AG214&lt;0),-1,MIN(1,IF($A214=$A213,BB213,1)-AG214+$D$2))</f>
        <v>1</v>
      </c>
      <c r="BC214">
        <f>IF(OR($J214=1,COUNTIFS($A$5:$A213,"&gt;="&amp;$A214-1,$A$5:$A213,"&lt;="&amp;$A214,$B$5:$B213,$B214)&gt;0,MIN(1-'Exercise list'!W$2,IF($A214=$A213,BC213,1))-AH214&lt;0),-1,MIN(1,IF($A214=$A213,BC213,1)-AH214+$D$2))</f>
        <v>1</v>
      </c>
      <c r="BD214">
        <f>IF(OR($J214=1,COUNTIFS($A$5:$A213,"&gt;="&amp;$A214-1,$A$5:$A213,"&lt;="&amp;$A214,$B$5:$B213,$B214)&gt;0,MIN(1-'Exercise list'!X$2,IF($A214=$A213,BD213,1))-AI214&lt;0),-1,MIN(1,IF($A214=$A213,BD213,1)-AI214+$D$2))</f>
        <v>1</v>
      </c>
      <c r="BF214" s="16">
        <f t="shared" si="145"/>
        <v>0.19596031081758858</v>
      </c>
      <c r="BG214" s="16">
        <f t="shared" si="146"/>
        <v>0.21844636935459236</v>
      </c>
      <c r="BH214" s="16">
        <f t="shared" si="147"/>
        <v>0.14609696635987124</v>
      </c>
      <c r="BI214" s="16">
        <f t="shared" si="148"/>
        <v>0.13198015366034541</v>
      </c>
      <c r="BJ214" s="16">
        <f t="shared" si="149"/>
        <v>8.3367914198418713E-2</v>
      </c>
      <c r="BK214" s="16">
        <f t="shared" si="150"/>
        <v>0.10640640223148412</v>
      </c>
      <c r="BL214" s="16">
        <f t="shared" si="151"/>
        <v>0.21963504743569431</v>
      </c>
      <c r="BM214" s="16">
        <f t="shared" si="152"/>
        <v>3.8988008374820568E-3</v>
      </c>
      <c r="BN214" s="16">
        <f t="shared" si="153"/>
        <v>0.14537706087090876</v>
      </c>
      <c r="BO214" s="16">
        <f t="shared" si="154"/>
        <v>0.29209790661993401</v>
      </c>
      <c r="BP214" s="16">
        <f t="shared" si="155"/>
        <v>0.31584545163401867</v>
      </c>
      <c r="BQ214" s="16">
        <f t="shared" si="156"/>
        <v>0.1000007994126096</v>
      </c>
      <c r="BR214" s="16">
        <f t="shared" si="157"/>
        <v>0.13164487759885393</v>
      </c>
      <c r="BS214" s="16">
        <f t="shared" si="158"/>
        <v>2.9803550189863123E-2</v>
      </c>
      <c r="BT214" s="16">
        <f t="shared" si="159"/>
        <v>0.13492040904978705</v>
      </c>
      <c r="BU214" s="16">
        <f t="shared" si="160"/>
        <v>0.11703687414398131</v>
      </c>
      <c r="BV214" s="16">
        <f t="shared" si="161"/>
        <v>0.14633353213781661</v>
      </c>
      <c r="BW214" s="16">
        <f t="shared" si="162"/>
        <v>7.5588015111767173E-2</v>
      </c>
      <c r="BX214" s="16">
        <f t="shared" si="163"/>
        <v>8.0345659937185704E-2</v>
      </c>
      <c r="BY214" s="16">
        <f t="shared" si="164"/>
        <v>5.9014643151272549E-2</v>
      </c>
      <c r="CA214" s="16" t="str">
        <f t="shared" si="185"/>
        <v/>
      </c>
      <c r="CB214" s="16" t="str">
        <f t="shared" si="166"/>
        <v/>
      </c>
      <c r="CC214" s="16" t="str">
        <f t="shared" si="167"/>
        <v/>
      </c>
      <c r="CD214" s="16" t="str">
        <f t="shared" si="168"/>
        <v/>
      </c>
      <c r="CE214" s="16" t="str">
        <f t="shared" si="169"/>
        <v/>
      </c>
      <c r="CF214" s="16" t="str">
        <f t="shared" si="170"/>
        <v/>
      </c>
      <c r="CG214" s="16" t="str">
        <f t="shared" si="171"/>
        <v/>
      </c>
      <c r="CH214" s="16" t="str">
        <f t="shared" si="172"/>
        <v/>
      </c>
      <c r="CI214" s="16" t="str">
        <f t="shared" si="173"/>
        <v/>
      </c>
      <c r="CJ214" s="16" t="str">
        <f t="shared" si="174"/>
        <v/>
      </c>
      <c r="CK214" s="16" t="str">
        <f t="shared" si="175"/>
        <v/>
      </c>
      <c r="CL214" s="16" t="str">
        <f t="shared" si="176"/>
        <v/>
      </c>
      <c r="CM214" s="16" t="str">
        <f t="shared" si="177"/>
        <v/>
      </c>
      <c r="CN214" s="16" t="str">
        <f t="shared" si="178"/>
        <v/>
      </c>
      <c r="CO214" s="16" t="str">
        <f t="shared" si="179"/>
        <v/>
      </c>
      <c r="CP214" s="16" t="str">
        <f t="shared" si="180"/>
        <v/>
      </c>
      <c r="CQ214" s="16" t="str">
        <f t="shared" si="181"/>
        <v/>
      </c>
      <c r="CR214" s="16" t="str">
        <f t="shared" si="182"/>
        <v/>
      </c>
      <c r="CS214" s="16" t="str">
        <f t="shared" si="183"/>
        <v/>
      </c>
      <c r="CT214" s="16" t="str">
        <f t="shared" si="184"/>
        <v/>
      </c>
    </row>
    <row r="215" spans="1:99" x14ac:dyDescent="0.25">
      <c r="A215" s="13"/>
      <c r="B215" s="14"/>
      <c r="C215" s="15" t="str" cm="1">
        <f t="array" ref="C215">IF(B215="","",INDEX('Exercise list'!$C$5:$C$102,B215))</f>
        <v/>
      </c>
      <c r="D215" s="12" t="str">
        <f t="shared" si="142"/>
        <v/>
      </c>
      <c r="E215" s="107" t="str">
        <f t="shared" si="165"/>
        <v/>
      </c>
      <c r="F215" s="63" t="str" cm="1">
        <f t="array" ref="F215">IF(B215="","",0.1+IFERROR(INDEX($F$6:$F214,SUMPRODUCT(MAX(ROW($C$6:$C214)*($C215=$C$6:$C214))-ROW($A$5)))*0.9^($A215-INDEX($A$6:A214,SUMPRODUCT(MAX(ROW($C$6:$C214)*($C215=$C$6:$C214))-ROW($A$5)))),0))</f>
        <v/>
      </c>
      <c r="G215" s="64" t="e">
        <f>INDEX('Exercise list'!$Y$5:$Y$102,MATCH(C215,'Exercise list'!$C$5:$C$102,0))</f>
        <v>#N/A</v>
      </c>
      <c r="H215" s="115">
        <f t="shared" si="143"/>
        <v>0</v>
      </c>
      <c r="I215" s="6">
        <f t="shared" si="144"/>
        <v>5</v>
      </c>
      <c r="J215" s="6" t="str" cm="1">
        <f t="array" ref="J215">IF(B215="","",INDEX('Exercise list'!$D$5:$D$102,B215))</f>
        <v/>
      </c>
      <c r="K215" s="12"/>
      <c r="L215" s="74" t="str" cm="1">
        <f t="array" ref="L215">IF(K215="","",INDEX('Exercise list'!$C$5:$C$102,K215))</f>
        <v/>
      </c>
      <c r="M215" s="6"/>
      <c r="N215" s="75" t="str" cm="1">
        <f t="array" ref="N215">IF(M215="","",INDEX('Exercise list'!$C$5:$C$102,M215))</f>
        <v/>
      </c>
      <c r="P215">
        <f>IFERROR(INDEX('Exercise list'!$E$5:$X$102,MATCH($C215,'Exercise list'!$C$5:$C$102,0),MATCH(P$5,'Exercise list'!$E$4:$X$4,0)),0)</f>
        <v>0</v>
      </c>
      <c r="Q215">
        <f>IFERROR(INDEX('Exercise list'!$E$5:$X$102,MATCH($C215,'Exercise list'!$C$5:$C$102,0),MATCH(Q$5,'Exercise list'!$E$4:$X$4,0)),0)</f>
        <v>0</v>
      </c>
      <c r="R215">
        <f>IFERROR(INDEX('Exercise list'!$E$5:$X$102,MATCH($C215,'Exercise list'!$C$5:$C$102,0),MATCH(R$5,'Exercise list'!$E$4:$X$4,0)),0)</f>
        <v>0</v>
      </c>
      <c r="S215">
        <f>IFERROR(INDEX('Exercise list'!$E$5:$X$102,MATCH($C215,'Exercise list'!$C$5:$C$102,0),MATCH(S$5,'Exercise list'!$E$4:$X$4,0)),0)</f>
        <v>0</v>
      </c>
      <c r="T215">
        <f>IFERROR(INDEX('Exercise list'!$E$5:$X$102,MATCH($C215,'Exercise list'!$C$5:$C$102,0),MATCH(T$5,'Exercise list'!$E$4:$X$4,0)),0)</f>
        <v>0</v>
      </c>
      <c r="U215">
        <f>IFERROR(INDEX('Exercise list'!$E$5:$X$102,MATCH($C215,'Exercise list'!$C$5:$C$102,0),MATCH(U$5,'Exercise list'!$E$4:$X$4,0)),0)</f>
        <v>0</v>
      </c>
      <c r="V215">
        <f>IFERROR(INDEX('Exercise list'!$E$5:$X$102,MATCH($C215,'Exercise list'!$C$5:$C$102,0),MATCH(V$5,'Exercise list'!$E$4:$X$4,0)),0)</f>
        <v>0</v>
      </c>
      <c r="W215">
        <f>IFERROR(INDEX('Exercise list'!$E$5:$X$102,MATCH($C215,'Exercise list'!$C$5:$C$102,0),MATCH(W$5,'Exercise list'!$E$4:$X$4,0)),0)</f>
        <v>0</v>
      </c>
      <c r="X215">
        <f>IFERROR(INDEX('Exercise list'!$E$5:$X$102,MATCH($C215,'Exercise list'!$C$5:$C$102,0),MATCH(X$5,'Exercise list'!$E$4:$X$4,0)),0)</f>
        <v>0</v>
      </c>
      <c r="Y215">
        <f>IFERROR(INDEX('Exercise list'!$E$5:$X$102,MATCH($C215,'Exercise list'!$C$5:$C$102,0),MATCH(Y$5,'Exercise list'!$E$4:$X$4,0)),0)</f>
        <v>0</v>
      </c>
      <c r="Z215">
        <f>IFERROR(INDEX('Exercise list'!$E$5:$X$102,MATCH($C215,'Exercise list'!$C$5:$C$102,0),MATCH(Z$5,'Exercise list'!$E$4:$X$4,0)),0)</f>
        <v>0</v>
      </c>
      <c r="AA215">
        <f>IFERROR(INDEX('Exercise list'!$E$5:$X$102,MATCH($C215,'Exercise list'!$C$5:$C$102,0),MATCH(AA$5,'Exercise list'!$E$4:$X$4,0)),0)</f>
        <v>0</v>
      </c>
      <c r="AB215">
        <f>IFERROR(INDEX('Exercise list'!$E$5:$X$102,MATCH($C215,'Exercise list'!$C$5:$C$102,0),MATCH(AB$5,'Exercise list'!$E$4:$X$4,0)),0)</f>
        <v>0</v>
      </c>
      <c r="AC215">
        <f>IFERROR(INDEX('Exercise list'!$E$5:$X$102,MATCH($C215,'Exercise list'!$C$5:$C$102,0),MATCH(AC$5,'Exercise list'!$E$4:$X$4,0)),0)</f>
        <v>0</v>
      </c>
      <c r="AD215">
        <f>IFERROR(INDEX('Exercise list'!$E$5:$X$102,MATCH($C215,'Exercise list'!$C$5:$C$102,0),MATCH(AD$5,'Exercise list'!$E$4:$X$4,0)),0)</f>
        <v>0</v>
      </c>
      <c r="AE215">
        <f>IFERROR(INDEX('Exercise list'!$E$5:$X$102,MATCH($C215,'Exercise list'!$C$5:$C$102,0),MATCH(AE$5,'Exercise list'!$E$4:$X$4,0)),0)</f>
        <v>0</v>
      </c>
      <c r="AF215">
        <f>IFERROR(INDEX('Exercise list'!$E$5:$X$102,MATCH($C215,'Exercise list'!$C$5:$C$102,0),MATCH(AF$5,'Exercise list'!$E$4:$X$4,0)),0)</f>
        <v>0</v>
      </c>
      <c r="AG215">
        <f>IFERROR(INDEX('Exercise list'!$E$5:$X$102,MATCH($C215,'Exercise list'!$C$5:$C$102,0),MATCH(AG$5,'Exercise list'!$E$4:$X$4,0)),0)</f>
        <v>0</v>
      </c>
      <c r="AH215">
        <f>IFERROR(INDEX('Exercise list'!$E$5:$X$102,MATCH($C215,'Exercise list'!$C$5:$C$102,0),MATCH(AH$5,'Exercise list'!$E$4:$X$4,0)),0)</f>
        <v>0</v>
      </c>
      <c r="AI215">
        <f>IFERROR(INDEX('Exercise list'!$E$5:$X$102,MATCH($C215,'Exercise list'!$C$5:$C$102,0),MATCH(AI$5,'Exercise list'!$E$4:$X$4,0)),0)</f>
        <v>0</v>
      </c>
      <c r="AK215">
        <f>IF(OR($J215=1,COUNTIFS($A$5:$A214,"&gt;="&amp;$A215-1,$A$5:$A214,"&lt;="&amp;$A215,$B$5:$B214,$B215)&gt;0,MIN(1-'Exercise list'!E$2,IF($A215=$A214,AK214,1))-P215&lt;0),-1,MIN(1,IF($A215=$A214,AK214,1)-P215+$D$2))</f>
        <v>1</v>
      </c>
      <c r="AL215">
        <f>IF(OR($J215=1,COUNTIFS($A$5:$A214,"&gt;="&amp;$A215-1,$A$5:$A214,"&lt;="&amp;$A215,$B$5:$B214,$B215)&gt;0,MIN(1-'Exercise list'!F$2,IF($A215=$A214,AL214,1))-Q215&lt;0),-1,MIN(1,IF($A215=$A214,AL214,1)-Q215+$D$2))</f>
        <v>1</v>
      </c>
      <c r="AM215">
        <f>IF(OR($J215=1,COUNTIFS($A$5:$A214,"&gt;="&amp;$A215-1,$A$5:$A214,"&lt;="&amp;$A215,$B$5:$B214,$B215)&gt;0,MIN(1-'Exercise list'!G$2,IF($A215=$A214,AM214,1))-R215&lt;0),-1,MIN(1,IF($A215=$A214,AM214,1)-R215+$D$2))</f>
        <v>1</v>
      </c>
      <c r="AN215">
        <f>IF(OR($J215=1,COUNTIFS($A$5:$A214,"&gt;="&amp;$A215-1,$A$5:$A214,"&lt;="&amp;$A215,$B$5:$B214,$B215)&gt;0,MIN(1-'Exercise list'!H$2,IF($A215=$A214,AN214,1))-S215&lt;0),-1,MIN(1,IF($A215=$A214,AN214,1)-S215+$D$2))</f>
        <v>1</v>
      </c>
      <c r="AO215">
        <f>IF(OR($J215=1,COUNTIFS($A$5:$A214,"&gt;="&amp;$A215-1,$A$5:$A214,"&lt;="&amp;$A215,$B$5:$B214,$B215)&gt;0,MIN(1-'Exercise list'!I$2,IF($A215=$A214,AO214,1))-T215&lt;0),-1,MIN(1,IF($A215=$A214,AO214,1)-T215+$D$2))</f>
        <v>1</v>
      </c>
      <c r="AP215">
        <f>IF(OR($J215=1,COUNTIFS($A$5:$A214,"&gt;="&amp;$A215-1,$A$5:$A214,"&lt;="&amp;$A215,$B$5:$B214,$B215)&gt;0,MIN(1-'Exercise list'!J$2,IF($A215=$A214,AP214,1))-U215&lt;0),-1,MIN(1,IF($A215=$A214,AP214,1)-U215+$D$2))</f>
        <v>1</v>
      </c>
      <c r="AQ215">
        <f>IF(OR($J215=1,COUNTIFS($A$5:$A214,"&gt;="&amp;$A215-1,$A$5:$A214,"&lt;="&amp;$A215,$B$5:$B214,$B215)&gt;0,MIN(1-'Exercise list'!K$2,IF($A215=$A214,AQ214,1))-V215&lt;0),-1,MIN(1,IF($A215=$A214,AQ214,1)-V215+$D$2))</f>
        <v>1</v>
      </c>
      <c r="AR215">
        <f>IF(OR($J215=1,COUNTIFS($A$5:$A214,"&gt;="&amp;$A215-1,$A$5:$A214,"&lt;="&amp;$A215,$B$5:$B214,$B215)&gt;0,MIN(1-'Exercise list'!L$2,IF($A215=$A214,AR214,1))-W215&lt;0),-1,MIN(1,IF($A215=$A214,AR214,1)-W215+$D$2))</f>
        <v>1</v>
      </c>
      <c r="AS215">
        <f>IF(OR($J215=1,COUNTIFS($A$5:$A214,"&gt;="&amp;$A215-1,$A$5:$A214,"&lt;="&amp;$A215,$B$5:$B214,$B215)&gt;0,MIN(1-'Exercise list'!M$2,IF($A215=$A214,AS214,1))-X215&lt;0),-1,MIN(1,IF($A215=$A214,AS214,1)-X215+$D$2))</f>
        <v>1</v>
      </c>
      <c r="AT215">
        <f>IF(OR($J215=1,COUNTIFS($A$5:$A214,"&gt;="&amp;$A215-1,$A$5:$A214,"&lt;="&amp;$A215,$B$5:$B214,$B215)&gt;0,MIN(1-'Exercise list'!N$2,IF($A215=$A214,AT214,1))-Y215&lt;0),-1,MIN(1,IF($A215=$A214,AT214,1)-Y215+$D$2))</f>
        <v>1</v>
      </c>
      <c r="AU215">
        <f>IF(OR($J215=1,COUNTIFS($A$5:$A214,"&gt;="&amp;$A215-1,$A$5:$A214,"&lt;="&amp;$A215,$B$5:$B214,$B215)&gt;0,MIN(1-'Exercise list'!O$2,IF($A215=$A214,AU214,1))-Z215&lt;0),-1,MIN(1,IF($A215=$A214,AU214,1)-Z215+$D$2))</f>
        <v>1</v>
      </c>
      <c r="AV215">
        <f>IF(OR($J215=1,COUNTIFS($A$5:$A214,"&gt;="&amp;$A215-1,$A$5:$A214,"&lt;="&amp;$A215,$B$5:$B214,$B215)&gt;0,MIN(1-'Exercise list'!P$2,IF($A215=$A214,AV214,1))-AA215&lt;0),-1,MIN(1,IF($A215=$A214,AV214,1)-AA215+$D$2))</f>
        <v>1</v>
      </c>
      <c r="AW215">
        <f>IF(OR($J215=1,COUNTIFS($A$5:$A214,"&gt;="&amp;$A215-1,$A$5:$A214,"&lt;="&amp;$A215,$B$5:$B214,$B215)&gt;0,MIN(1-'Exercise list'!Q$2,IF($A215=$A214,AW214,1))-AB215&lt;0),-1,MIN(1,IF($A215=$A214,AW214,1)-AB215+$D$2))</f>
        <v>1</v>
      </c>
      <c r="AX215">
        <f>IF(OR($J215=1,COUNTIFS($A$5:$A214,"&gt;="&amp;$A215-1,$A$5:$A214,"&lt;="&amp;$A215,$B$5:$B214,$B215)&gt;0,MIN(1-'Exercise list'!R$2,IF($A215=$A214,AX214,1))-AC215&lt;0),-1,MIN(1,IF($A215=$A214,AX214,1)-AC215+$D$2))</f>
        <v>1</v>
      </c>
      <c r="AY215">
        <f>IF(OR($J215=1,COUNTIFS($A$5:$A214,"&gt;="&amp;$A215-1,$A$5:$A214,"&lt;="&amp;$A215,$B$5:$B214,$B215)&gt;0,MIN(1-'Exercise list'!S$2,IF($A215=$A214,AY214,1))-AD215&lt;0),-1,MIN(1,IF($A215=$A214,AY214,1)-AD215+$D$2))</f>
        <v>1</v>
      </c>
      <c r="AZ215">
        <f>IF(OR($J215=1,COUNTIFS($A$5:$A214,"&gt;="&amp;$A215-1,$A$5:$A214,"&lt;="&amp;$A215,$B$5:$B214,$B215)&gt;0,MIN(1-'Exercise list'!T$2,IF($A215=$A214,AZ214,1))-AE215&lt;0),-1,MIN(1,IF($A215=$A214,AZ214,1)-AE215+$D$2))</f>
        <v>1</v>
      </c>
      <c r="BA215">
        <f>IF(OR($J215=1,COUNTIFS($A$5:$A214,"&gt;="&amp;$A215-1,$A$5:$A214,"&lt;="&amp;$A215,$B$5:$B214,$B215)&gt;0,MIN(1-'Exercise list'!U$2,IF($A215=$A214,BA214,1))-AF215&lt;0),-1,MIN(1,IF($A215=$A214,BA214,1)-AF215+$D$2))</f>
        <v>1</v>
      </c>
      <c r="BB215">
        <f>IF(OR($J215=1,COUNTIFS($A$5:$A214,"&gt;="&amp;$A215-1,$A$5:$A214,"&lt;="&amp;$A215,$B$5:$B214,$B215)&gt;0,MIN(1-'Exercise list'!V$2,IF($A215=$A214,BB214,1))-AG215&lt;0),-1,MIN(1,IF($A215=$A214,BB214,1)-AG215+$D$2))</f>
        <v>1</v>
      </c>
      <c r="BC215">
        <f>IF(OR($J215=1,COUNTIFS($A$5:$A214,"&gt;="&amp;$A215-1,$A$5:$A214,"&lt;="&amp;$A215,$B$5:$B214,$B215)&gt;0,MIN(1-'Exercise list'!W$2,IF($A215=$A214,BC214,1))-AH215&lt;0),-1,MIN(1,IF($A215=$A214,BC214,1)-AH215+$D$2))</f>
        <v>1</v>
      </c>
      <c r="BD215">
        <f>IF(OR($J215=1,COUNTIFS($A$5:$A214,"&gt;="&amp;$A215-1,$A$5:$A214,"&lt;="&amp;$A215,$B$5:$B214,$B215)&gt;0,MIN(1-'Exercise list'!X$2,IF($A215=$A214,BD214,1))-AI215&lt;0),-1,MIN(1,IF($A215=$A214,BD214,1)-AI215+$D$2))</f>
        <v>1</v>
      </c>
      <c r="BF215" s="16">
        <f t="shared" si="145"/>
        <v>0.19596031081758858</v>
      </c>
      <c r="BG215" s="16">
        <f t="shared" si="146"/>
        <v>0.21844636935459236</v>
      </c>
      <c r="BH215" s="16">
        <f t="shared" si="147"/>
        <v>0.14609696635987124</v>
      </c>
      <c r="BI215" s="16">
        <f t="shared" si="148"/>
        <v>0.13198015366034541</v>
      </c>
      <c r="BJ215" s="16">
        <f t="shared" si="149"/>
        <v>8.3367914198418713E-2</v>
      </c>
      <c r="BK215" s="16">
        <f t="shared" si="150"/>
        <v>0.10640640223148412</v>
      </c>
      <c r="BL215" s="16">
        <f t="shared" si="151"/>
        <v>0.21963504743569431</v>
      </c>
      <c r="BM215" s="16">
        <f t="shared" si="152"/>
        <v>3.8988008374820568E-3</v>
      </c>
      <c r="BN215" s="16">
        <f t="shared" si="153"/>
        <v>0.14537706087090876</v>
      </c>
      <c r="BO215" s="16">
        <f t="shared" si="154"/>
        <v>0.29209790661993401</v>
      </c>
      <c r="BP215" s="16">
        <f t="shared" si="155"/>
        <v>0.31584545163401867</v>
      </c>
      <c r="BQ215" s="16">
        <f t="shared" si="156"/>
        <v>0.1000007994126096</v>
      </c>
      <c r="BR215" s="16">
        <f t="shared" si="157"/>
        <v>0.13164487759885393</v>
      </c>
      <c r="BS215" s="16">
        <f t="shared" si="158"/>
        <v>2.9803550189863123E-2</v>
      </c>
      <c r="BT215" s="16">
        <f t="shared" si="159"/>
        <v>0.13492040904978705</v>
      </c>
      <c r="BU215" s="16">
        <f t="shared" si="160"/>
        <v>0.11703687414398131</v>
      </c>
      <c r="BV215" s="16">
        <f t="shared" si="161"/>
        <v>0.14633353213781661</v>
      </c>
      <c r="BW215" s="16">
        <f t="shared" si="162"/>
        <v>7.5588015111767173E-2</v>
      </c>
      <c r="BX215" s="16">
        <f t="shared" si="163"/>
        <v>8.0345659937185704E-2</v>
      </c>
      <c r="BY215" s="16">
        <f t="shared" si="164"/>
        <v>5.9014643151272549E-2</v>
      </c>
      <c r="CA215" s="16" t="str">
        <f t="shared" si="185"/>
        <v/>
      </c>
      <c r="CB215" s="16" t="str">
        <f t="shared" si="166"/>
        <v/>
      </c>
      <c r="CC215" s="16" t="str">
        <f t="shared" si="167"/>
        <v/>
      </c>
      <c r="CD215" s="16" t="str">
        <f t="shared" si="168"/>
        <v/>
      </c>
      <c r="CE215" s="16" t="str">
        <f t="shared" si="169"/>
        <v/>
      </c>
      <c r="CF215" s="16" t="str">
        <f t="shared" si="170"/>
        <v/>
      </c>
      <c r="CG215" s="16" t="str">
        <f t="shared" si="171"/>
        <v/>
      </c>
      <c r="CH215" s="16" t="str">
        <f t="shared" si="172"/>
        <v/>
      </c>
      <c r="CI215" s="16" t="str">
        <f t="shared" si="173"/>
        <v/>
      </c>
      <c r="CJ215" s="16" t="str">
        <f t="shared" si="174"/>
        <v/>
      </c>
      <c r="CK215" s="16" t="str">
        <f t="shared" si="175"/>
        <v/>
      </c>
      <c r="CL215" s="16" t="str">
        <f t="shared" si="176"/>
        <v/>
      </c>
      <c r="CM215" s="16" t="str">
        <f t="shared" si="177"/>
        <v/>
      </c>
      <c r="CN215" s="16" t="str">
        <f t="shared" si="178"/>
        <v/>
      </c>
      <c r="CO215" s="16" t="str">
        <f t="shared" si="179"/>
        <v/>
      </c>
      <c r="CP215" s="16" t="str">
        <f t="shared" si="180"/>
        <v/>
      </c>
      <c r="CQ215" s="16" t="str">
        <f t="shared" si="181"/>
        <v/>
      </c>
      <c r="CR215" s="16" t="str">
        <f t="shared" si="182"/>
        <v/>
      </c>
      <c r="CS215" s="16" t="str">
        <f t="shared" si="183"/>
        <v/>
      </c>
      <c r="CT215" s="16" t="str">
        <f t="shared" si="184"/>
        <v/>
      </c>
    </row>
    <row r="216" spans="1:99" x14ac:dyDescent="0.25">
      <c r="A216" s="13"/>
      <c r="B216" s="14"/>
      <c r="C216" s="15" t="str" cm="1">
        <f t="array" ref="C216">IF(B216="","",INDEX('Exercise list'!$C$5:$C$102,B216))</f>
        <v/>
      </c>
      <c r="D216" s="12" t="str">
        <f t="shared" si="142"/>
        <v/>
      </c>
      <c r="E216" s="107" t="str">
        <f t="shared" si="165"/>
        <v/>
      </c>
      <c r="F216" s="63" t="str" cm="1">
        <f t="array" ref="F216">IF(B216="","",0.1+IFERROR(INDEX($F$6:$F215,SUMPRODUCT(MAX(ROW($C$6:$C215)*($C216=$C$6:$C215))-ROW($A$5)))*0.9^($A216-INDEX($A$6:A215,SUMPRODUCT(MAX(ROW($C$6:$C215)*($C216=$C$6:$C215))-ROW($A$5)))),0))</f>
        <v/>
      </c>
      <c r="G216" s="64" t="e">
        <f>INDEX('Exercise list'!$Y$5:$Y$102,MATCH(C216,'Exercise list'!$C$5:$C$102,0))</f>
        <v>#N/A</v>
      </c>
      <c r="H216" s="115">
        <f t="shared" si="143"/>
        <v>0</v>
      </c>
      <c r="I216" s="6">
        <f t="shared" si="144"/>
        <v>5</v>
      </c>
      <c r="J216" s="6" t="str" cm="1">
        <f t="array" ref="J216">IF(B216="","",INDEX('Exercise list'!$D$5:$D$102,B216))</f>
        <v/>
      </c>
      <c r="K216" s="12"/>
      <c r="L216" s="74" t="str" cm="1">
        <f t="array" ref="L216">IF(K216="","",INDEX('Exercise list'!$C$5:$C$102,K216))</f>
        <v/>
      </c>
      <c r="M216" s="6"/>
      <c r="N216" s="75" t="str" cm="1">
        <f t="array" ref="N216">IF(M216="","",INDEX('Exercise list'!$C$5:$C$102,M216))</f>
        <v/>
      </c>
      <c r="P216">
        <f>IFERROR(INDEX('Exercise list'!$E$5:$X$102,MATCH($C216,'Exercise list'!$C$5:$C$102,0),MATCH(P$5,'Exercise list'!$E$4:$X$4,0)),0)</f>
        <v>0</v>
      </c>
      <c r="Q216">
        <f>IFERROR(INDEX('Exercise list'!$E$5:$X$102,MATCH($C216,'Exercise list'!$C$5:$C$102,0),MATCH(Q$5,'Exercise list'!$E$4:$X$4,0)),0)</f>
        <v>0</v>
      </c>
      <c r="R216">
        <f>IFERROR(INDEX('Exercise list'!$E$5:$X$102,MATCH($C216,'Exercise list'!$C$5:$C$102,0),MATCH(R$5,'Exercise list'!$E$4:$X$4,0)),0)</f>
        <v>0</v>
      </c>
      <c r="S216">
        <f>IFERROR(INDEX('Exercise list'!$E$5:$X$102,MATCH($C216,'Exercise list'!$C$5:$C$102,0),MATCH(S$5,'Exercise list'!$E$4:$X$4,0)),0)</f>
        <v>0</v>
      </c>
      <c r="T216">
        <f>IFERROR(INDEX('Exercise list'!$E$5:$X$102,MATCH($C216,'Exercise list'!$C$5:$C$102,0),MATCH(T$5,'Exercise list'!$E$4:$X$4,0)),0)</f>
        <v>0</v>
      </c>
      <c r="U216">
        <f>IFERROR(INDEX('Exercise list'!$E$5:$X$102,MATCH($C216,'Exercise list'!$C$5:$C$102,0),MATCH(U$5,'Exercise list'!$E$4:$X$4,0)),0)</f>
        <v>0</v>
      </c>
      <c r="V216">
        <f>IFERROR(INDEX('Exercise list'!$E$5:$X$102,MATCH($C216,'Exercise list'!$C$5:$C$102,0),MATCH(V$5,'Exercise list'!$E$4:$X$4,0)),0)</f>
        <v>0</v>
      </c>
      <c r="W216">
        <f>IFERROR(INDEX('Exercise list'!$E$5:$X$102,MATCH($C216,'Exercise list'!$C$5:$C$102,0),MATCH(W$5,'Exercise list'!$E$4:$X$4,0)),0)</f>
        <v>0</v>
      </c>
      <c r="X216">
        <f>IFERROR(INDEX('Exercise list'!$E$5:$X$102,MATCH($C216,'Exercise list'!$C$5:$C$102,0),MATCH(X$5,'Exercise list'!$E$4:$X$4,0)),0)</f>
        <v>0</v>
      </c>
      <c r="Y216">
        <f>IFERROR(INDEX('Exercise list'!$E$5:$X$102,MATCH($C216,'Exercise list'!$C$5:$C$102,0),MATCH(Y$5,'Exercise list'!$E$4:$X$4,0)),0)</f>
        <v>0</v>
      </c>
      <c r="Z216">
        <f>IFERROR(INDEX('Exercise list'!$E$5:$X$102,MATCH($C216,'Exercise list'!$C$5:$C$102,0),MATCH(Z$5,'Exercise list'!$E$4:$X$4,0)),0)</f>
        <v>0</v>
      </c>
      <c r="AA216">
        <f>IFERROR(INDEX('Exercise list'!$E$5:$X$102,MATCH($C216,'Exercise list'!$C$5:$C$102,0),MATCH(AA$5,'Exercise list'!$E$4:$X$4,0)),0)</f>
        <v>0</v>
      </c>
      <c r="AB216">
        <f>IFERROR(INDEX('Exercise list'!$E$5:$X$102,MATCH($C216,'Exercise list'!$C$5:$C$102,0),MATCH(AB$5,'Exercise list'!$E$4:$X$4,0)),0)</f>
        <v>0</v>
      </c>
      <c r="AC216">
        <f>IFERROR(INDEX('Exercise list'!$E$5:$X$102,MATCH($C216,'Exercise list'!$C$5:$C$102,0),MATCH(AC$5,'Exercise list'!$E$4:$X$4,0)),0)</f>
        <v>0</v>
      </c>
      <c r="AD216">
        <f>IFERROR(INDEX('Exercise list'!$E$5:$X$102,MATCH($C216,'Exercise list'!$C$5:$C$102,0),MATCH(AD$5,'Exercise list'!$E$4:$X$4,0)),0)</f>
        <v>0</v>
      </c>
      <c r="AE216">
        <f>IFERROR(INDEX('Exercise list'!$E$5:$X$102,MATCH($C216,'Exercise list'!$C$5:$C$102,0),MATCH(AE$5,'Exercise list'!$E$4:$X$4,0)),0)</f>
        <v>0</v>
      </c>
      <c r="AF216">
        <f>IFERROR(INDEX('Exercise list'!$E$5:$X$102,MATCH($C216,'Exercise list'!$C$5:$C$102,0),MATCH(AF$5,'Exercise list'!$E$4:$X$4,0)),0)</f>
        <v>0</v>
      </c>
      <c r="AG216">
        <f>IFERROR(INDEX('Exercise list'!$E$5:$X$102,MATCH($C216,'Exercise list'!$C$5:$C$102,0),MATCH(AG$5,'Exercise list'!$E$4:$X$4,0)),0)</f>
        <v>0</v>
      </c>
      <c r="AH216">
        <f>IFERROR(INDEX('Exercise list'!$E$5:$X$102,MATCH($C216,'Exercise list'!$C$5:$C$102,0),MATCH(AH$5,'Exercise list'!$E$4:$X$4,0)),0)</f>
        <v>0</v>
      </c>
      <c r="AI216">
        <f>IFERROR(INDEX('Exercise list'!$E$5:$X$102,MATCH($C216,'Exercise list'!$C$5:$C$102,0),MATCH(AI$5,'Exercise list'!$E$4:$X$4,0)),0)</f>
        <v>0</v>
      </c>
      <c r="AK216">
        <f>IF(OR($J216=1,COUNTIFS($A$5:$A215,"&gt;="&amp;$A216-1,$A$5:$A215,"&lt;="&amp;$A216,$B$5:$B215,$B216)&gt;0,MIN(1-'Exercise list'!E$2,IF($A216=$A215,AK215,1))-P216&lt;0),-1,MIN(1,IF($A216=$A215,AK215,1)-P216+$D$2))</f>
        <v>1</v>
      </c>
      <c r="AL216">
        <f>IF(OR($J216=1,COUNTIFS($A$5:$A215,"&gt;="&amp;$A216-1,$A$5:$A215,"&lt;="&amp;$A216,$B$5:$B215,$B216)&gt;0,MIN(1-'Exercise list'!F$2,IF($A216=$A215,AL215,1))-Q216&lt;0),-1,MIN(1,IF($A216=$A215,AL215,1)-Q216+$D$2))</f>
        <v>1</v>
      </c>
      <c r="AM216">
        <f>IF(OR($J216=1,COUNTIFS($A$5:$A215,"&gt;="&amp;$A216-1,$A$5:$A215,"&lt;="&amp;$A216,$B$5:$B215,$B216)&gt;0,MIN(1-'Exercise list'!G$2,IF($A216=$A215,AM215,1))-R216&lt;0),-1,MIN(1,IF($A216=$A215,AM215,1)-R216+$D$2))</f>
        <v>1</v>
      </c>
      <c r="AN216">
        <f>IF(OR($J216=1,COUNTIFS($A$5:$A215,"&gt;="&amp;$A216-1,$A$5:$A215,"&lt;="&amp;$A216,$B$5:$B215,$B216)&gt;0,MIN(1-'Exercise list'!H$2,IF($A216=$A215,AN215,1))-S216&lt;0),-1,MIN(1,IF($A216=$A215,AN215,1)-S216+$D$2))</f>
        <v>1</v>
      </c>
      <c r="AO216">
        <f>IF(OR($J216=1,COUNTIFS($A$5:$A215,"&gt;="&amp;$A216-1,$A$5:$A215,"&lt;="&amp;$A216,$B$5:$B215,$B216)&gt;0,MIN(1-'Exercise list'!I$2,IF($A216=$A215,AO215,1))-T216&lt;0),-1,MIN(1,IF($A216=$A215,AO215,1)-T216+$D$2))</f>
        <v>1</v>
      </c>
      <c r="AP216">
        <f>IF(OR($J216=1,COUNTIFS($A$5:$A215,"&gt;="&amp;$A216-1,$A$5:$A215,"&lt;="&amp;$A216,$B$5:$B215,$B216)&gt;0,MIN(1-'Exercise list'!J$2,IF($A216=$A215,AP215,1))-U216&lt;0),-1,MIN(1,IF($A216=$A215,AP215,1)-U216+$D$2))</f>
        <v>1</v>
      </c>
      <c r="AQ216">
        <f>IF(OR($J216=1,COUNTIFS($A$5:$A215,"&gt;="&amp;$A216-1,$A$5:$A215,"&lt;="&amp;$A216,$B$5:$B215,$B216)&gt;0,MIN(1-'Exercise list'!K$2,IF($A216=$A215,AQ215,1))-V216&lt;0),-1,MIN(1,IF($A216=$A215,AQ215,1)-V216+$D$2))</f>
        <v>1</v>
      </c>
      <c r="AR216">
        <f>IF(OR($J216=1,COUNTIFS($A$5:$A215,"&gt;="&amp;$A216-1,$A$5:$A215,"&lt;="&amp;$A216,$B$5:$B215,$B216)&gt;0,MIN(1-'Exercise list'!L$2,IF($A216=$A215,AR215,1))-W216&lt;0),-1,MIN(1,IF($A216=$A215,AR215,1)-W216+$D$2))</f>
        <v>1</v>
      </c>
      <c r="AS216">
        <f>IF(OR($J216=1,COUNTIFS($A$5:$A215,"&gt;="&amp;$A216-1,$A$5:$A215,"&lt;="&amp;$A216,$B$5:$B215,$B216)&gt;0,MIN(1-'Exercise list'!M$2,IF($A216=$A215,AS215,1))-X216&lt;0),-1,MIN(1,IF($A216=$A215,AS215,1)-X216+$D$2))</f>
        <v>1</v>
      </c>
      <c r="AT216">
        <f>IF(OR($J216=1,COUNTIFS($A$5:$A215,"&gt;="&amp;$A216-1,$A$5:$A215,"&lt;="&amp;$A216,$B$5:$B215,$B216)&gt;0,MIN(1-'Exercise list'!N$2,IF($A216=$A215,AT215,1))-Y216&lt;0),-1,MIN(1,IF($A216=$A215,AT215,1)-Y216+$D$2))</f>
        <v>1</v>
      </c>
      <c r="AU216">
        <f>IF(OR($J216=1,COUNTIFS($A$5:$A215,"&gt;="&amp;$A216-1,$A$5:$A215,"&lt;="&amp;$A216,$B$5:$B215,$B216)&gt;0,MIN(1-'Exercise list'!O$2,IF($A216=$A215,AU215,1))-Z216&lt;0),-1,MIN(1,IF($A216=$A215,AU215,1)-Z216+$D$2))</f>
        <v>1</v>
      </c>
      <c r="AV216">
        <f>IF(OR($J216=1,COUNTIFS($A$5:$A215,"&gt;="&amp;$A216-1,$A$5:$A215,"&lt;="&amp;$A216,$B$5:$B215,$B216)&gt;0,MIN(1-'Exercise list'!P$2,IF($A216=$A215,AV215,1))-AA216&lt;0),-1,MIN(1,IF($A216=$A215,AV215,1)-AA216+$D$2))</f>
        <v>1</v>
      </c>
      <c r="AW216">
        <f>IF(OR($J216=1,COUNTIFS($A$5:$A215,"&gt;="&amp;$A216-1,$A$5:$A215,"&lt;="&amp;$A216,$B$5:$B215,$B216)&gt;0,MIN(1-'Exercise list'!Q$2,IF($A216=$A215,AW215,1))-AB216&lt;0),-1,MIN(1,IF($A216=$A215,AW215,1)-AB216+$D$2))</f>
        <v>1</v>
      </c>
      <c r="AX216">
        <f>IF(OR($J216=1,COUNTIFS($A$5:$A215,"&gt;="&amp;$A216-1,$A$5:$A215,"&lt;="&amp;$A216,$B$5:$B215,$B216)&gt;0,MIN(1-'Exercise list'!R$2,IF($A216=$A215,AX215,1))-AC216&lt;0),-1,MIN(1,IF($A216=$A215,AX215,1)-AC216+$D$2))</f>
        <v>1</v>
      </c>
      <c r="AY216">
        <f>IF(OR($J216=1,COUNTIFS($A$5:$A215,"&gt;="&amp;$A216-1,$A$5:$A215,"&lt;="&amp;$A216,$B$5:$B215,$B216)&gt;0,MIN(1-'Exercise list'!S$2,IF($A216=$A215,AY215,1))-AD216&lt;0),-1,MIN(1,IF($A216=$A215,AY215,1)-AD216+$D$2))</f>
        <v>1</v>
      </c>
      <c r="AZ216">
        <f>IF(OR($J216=1,COUNTIFS($A$5:$A215,"&gt;="&amp;$A216-1,$A$5:$A215,"&lt;="&amp;$A216,$B$5:$B215,$B216)&gt;0,MIN(1-'Exercise list'!T$2,IF($A216=$A215,AZ215,1))-AE216&lt;0),-1,MIN(1,IF($A216=$A215,AZ215,1)-AE216+$D$2))</f>
        <v>1</v>
      </c>
      <c r="BA216">
        <f>IF(OR($J216=1,COUNTIFS($A$5:$A215,"&gt;="&amp;$A216-1,$A$5:$A215,"&lt;="&amp;$A216,$B$5:$B215,$B216)&gt;0,MIN(1-'Exercise list'!U$2,IF($A216=$A215,BA215,1))-AF216&lt;0),-1,MIN(1,IF($A216=$A215,BA215,1)-AF216+$D$2))</f>
        <v>1</v>
      </c>
      <c r="BB216">
        <f>IF(OR($J216=1,COUNTIFS($A$5:$A215,"&gt;="&amp;$A216-1,$A$5:$A215,"&lt;="&amp;$A216,$B$5:$B215,$B216)&gt;0,MIN(1-'Exercise list'!V$2,IF($A216=$A215,BB215,1))-AG216&lt;0),-1,MIN(1,IF($A216=$A215,BB215,1)-AG216+$D$2))</f>
        <v>1</v>
      </c>
      <c r="BC216">
        <f>IF(OR($J216=1,COUNTIFS($A$5:$A215,"&gt;="&amp;$A216-1,$A$5:$A215,"&lt;="&amp;$A216,$B$5:$B215,$B216)&gt;0,MIN(1-'Exercise list'!W$2,IF($A216=$A215,BC215,1))-AH216&lt;0),-1,MIN(1,IF($A216=$A215,BC215,1)-AH216+$D$2))</f>
        <v>1</v>
      </c>
      <c r="BD216">
        <f>IF(OR($J216=1,COUNTIFS($A$5:$A215,"&gt;="&amp;$A216-1,$A$5:$A215,"&lt;="&amp;$A216,$B$5:$B215,$B216)&gt;0,MIN(1-'Exercise list'!X$2,IF($A216=$A215,BD215,1))-AI216&lt;0),-1,MIN(1,IF($A216=$A215,BD215,1)-AI216+$D$2))</f>
        <v>1</v>
      </c>
      <c r="BF216" s="16">
        <f t="shared" si="145"/>
        <v>0.19596031081758858</v>
      </c>
      <c r="BG216" s="16">
        <f t="shared" si="146"/>
        <v>0.21844636935459236</v>
      </c>
      <c r="BH216" s="16">
        <f t="shared" si="147"/>
        <v>0.14609696635987124</v>
      </c>
      <c r="BI216" s="16">
        <f t="shared" si="148"/>
        <v>0.13198015366034541</v>
      </c>
      <c r="BJ216" s="16">
        <f t="shared" si="149"/>
        <v>8.3367914198418713E-2</v>
      </c>
      <c r="BK216" s="16">
        <f t="shared" si="150"/>
        <v>0.10640640223148412</v>
      </c>
      <c r="BL216" s="16">
        <f t="shared" si="151"/>
        <v>0.21963504743569431</v>
      </c>
      <c r="BM216" s="16">
        <f t="shared" si="152"/>
        <v>3.8988008374820568E-3</v>
      </c>
      <c r="BN216" s="16">
        <f t="shared" si="153"/>
        <v>0.14537706087090876</v>
      </c>
      <c r="BO216" s="16">
        <f t="shared" si="154"/>
        <v>0.29209790661993401</v>
      </c>
      <c r="BP216" s="16">
        <f t="shared" si="155"/>
        <v>0.31584545163401867</v>
      </c>
      <c r="BQ216" s="16">
        <f t="shared" si="156"/>
        <v>0.1000007994126096</v>
      </c>
      <c r="BR216" s="16">
        <f t="shared" si="157"/>
        <v>0.13164487759885393</v>
      </c>
      <c r="BS216" s="16">
        <f t="shared" si="158"/>
        <v>2.9803550189863123E-2</v>
      </c>
      <c r="BT216" s="16">
        <f t="shared" si="159"/>
        <v>0.13492040904978705</v>
      </c>
      <c r="BU216" s="16">
        <f t="shared" si="160"/>
        <v>0.11703687414398131</v>
      </c>
      <c r="BV216" s="16">
        <f t="shared" si="161"/>
        <v>0.14633353213781661</v>
      </c>
      <c r="BW216" s="16">
        <f t="shared" si="162"/>
        <v>7.5588015111767173E-2</v>
      </c>
      <c r="BX216" s="16">
        <f t="shared" si="163"/>
        <v>8.0345659937185704E-2</v>
      </c>
      <c r="BY216" s="16">
        <f t="shared" si="164"/>
        <v>5.9014643151272549E-2</v>
      </c>
      <c r="CA216" s="16" t="str">
        <f t="shared" si="185"/>
        <v/>
      </c>
      <c r="CB216" s="16" t="str">
        <f t="shared" si="166"/>
        <v/>
      </c>
      <c r="CC216" s="16" t="str">
        <f t="shared" si="167"/>
        <v/>
      </c>
      <c r="CD216" s="16" t="str">
        <f t="shared" si="168"/>
        <v/>
      </c>
      <c r="CE216" s="16" t="str">
        <f t="shared" si="169"/>
        <v/>
      </c>
      <c r="CF216" s="16" t="str">
        <f t="shared" si="170"/>
        <v/>
      </c>
      <c r="CG216" s="16" t="str">
        <f t="shared" si="171"/>
        <v/>
      </c>
      <c r="CH216" s="16" t="str">
        <f t="shared" si="172"/>
        <v/>
      </c>
      <c r="CI216" s="16" t="str">
        <f t="shared" si="173"/>
        <v/>
      </c>
      <c r="CJ216" s="16" t="str">
        <f t="shared" si="174"/>
        <v/>
      </c>
      <c r="CK216" s="16" t="str">
        <f t="shared" si="175"/>
        <v/>
      </c>
      <c r="CL216" s="16" t="str">
        <f t="shared" si="176"/>
        <v/>
      </c>
      <c r="CM216" s="16" t="str">
        <f t="shared" si="177"/>
        <v/>
      </c>
      <c r="CN216" s="16" t="str">
        <f t="shared" si="178"/>
        <v/>
      </c>
      <c r="CO216" s="16" t="str">
        <f t="shared" si="179"/>
        <v/>
      </c>
      <c r="CP216" s="16" t="str">
        <f t="shared" si="180"/>
        <v/>
      </c>
      <c r="CQ216" s="16" t="str">
        <f t="shared" si="181"/>
        <v/>
      </c>
      <c r="CR216" s="16" t="str">
        <f t="shared" si="182"/>
        <v/>
      </c>
      <c r="CS216" s="16" t="str">
        <f t="shared" si="183"/>
        <v/>
      </c>
      <c r="CT216" s="16" t="str">
        <f t="shared" si="184"/>
        <v/>
      </c>
    </row>
    <row r="217" spans="1:99" x14ac:dyDescent="0.25">
      <c r="A217" s="13"/>
      <c r="B217" s="14"/>
      <c r="C217" s="15" t="str" cm="1">
        <f t="array" ref="C217">IF(B217="","",INDEX('Exercise list'!$C$5:$C$102,B217))</f>
        <v/>
      </c>
      <c r="D217" s="12" t="str">
        <f t="shared" si="142"/>
        <v/>
      </c>
      <c r="E217" s="107" t="str">
        <f t="shared" si="165"/>
        <v/>
      </c>
      <c r="F217" s="63" t="str" cm="1">
        <f t="array" ref="F217">IF(B217="","",0.1+IFERROR(INDEX($F$6:$F216,SUMPRODUCT(MAX(ROW($C$6:$C216)*($C217=$C$6:$C216))-ROW($A$5)))*0.9^($A217-INDEX($A$6:A216,SUMPRODUCT(MAX(ROW($C$6:$C216)*($C217=$C$6:$C216))-ROW($A$5)))),0))</f>
        <v/>
      </c>
      <c r="G217" s="64" t="e">
        <f>INDEX('Exercise list'!$Y$5:$Y$102,MATCH(C217,'Exercise list'!$C$5:$C$102,0))</f>
        <v>#N/A</v>
      </c>
      <c r="H217" s="115">
        <f t="shared" si="143"/>
        <v>0</v>
      </c>
      <c r="I217" s="6">
        <f t="shared" si="144"/>
        <v>5</v>
      </c>
      <c r="J217" s="6" t="str" cm="1">
        <f t="array" ref="J217">IF(B217="","",INDEX('Exercise list'!$D$5:$D$102,B217))</f>
        <v/>
      </c>
      <c r="K217" s="12"/>
      <c r="L217" s="74" t="str" cm="1">
        <f t="array" ref="L217">IF(K217="","",INDEX('Exercise list'!$C$5:$C$102,K217))</f>
        <v/>
      </c>
      <c r="M217" s="6"/>
      <c r="N217" s="75" t="str" cm="1">
        <f t="array" ref="N217">IF(M217="","",INDEX('Exercise list'!$C$5:$C$102,M217))</f>
        <v/>
      </c>
      <c r="P217">
        <f>IFERROR(INDEX('Exercise list'!$E$5:$X$102,MATCH($C217,'Exercise list'!$C$5:$C$102,0),MATCH(P$5,'Exercise list'!$E$4:$X$4,0)),0)</f>
        <v>0</v>
      </c>
      <c r="Q217">
        <f>IFERROR(INDEX('Exercise list'!$E$5:$X$102,MATCH($C217,'Exercise list'!$C$5:$C$102,0),MATCH(Q$5,'Exercise list'!$E$4:$X$4,0)),0)</f>
        <v>0</v>
      </c>
      <c r="R217">
        <f>IFERROR(INDEX('Exercise list'!$E$5:$X$102,MATCH($C217,'Exercise list'!$C$5:$C$102,0),MATCH(R$5,'Exercise list'!$E$4:$X$4,0)),0)</f>
        <v>0</v>
      </c>
      <c r="S217">
        <f>IFERROR(INDEX('Exercise list'!$E$5:$X$102,MATCH($C217,'Exercise list'!$C$5:$C$102,0),MATCH(S$5,'Exercise list'!$E$4:$X$4,0)),0)</f>
        <v>0</v>
      </c>
      <c r="T217">
        <f>IFERROR(INDEX('Exercise list'!$E$5:$X$102,MATCH($C217,'Exercise list'!$C$5:$C$102,0),MATCH(T$5,'Exercise list'!$E$4:$X$4,0)),0)</f>
        <v>0</v>
      </c>
      <c r="U217">
        <f>IFERROR(INDEX('Exercise list'!$E$5:$X$102,MATCH($C217,'Exercise list'!$C$5:$C$102,0),MATCH(U$5,'Exercise list'!$E$4:$X$4,0)),0)</f>
        <v>0</v>
      </c>
      <c r="V217">
        <f>IFERROR(INDEX('Exercise list'!$E$5:$X$102,MATCH($C217,'Exercise list'!$C$5:$C$102,0),MATCH(V$5,'Exercise list'!$E$4:$X$4,0)),0)</f>
        <v>0</v>
      </c>
      <c r="W217">
        <f>IFERROR(INDEX('Exercise list'!$E$5:$X$102,MATCH($C217,'Exercise list'!$C$5:$C$102,0),MATCH(W$5,'Exercise list'!$E$4:$X$4,0)),0)</f>
        <v>0</v>
      </c>
      <c r="X217">
        <f>IFERROR(INDEX('Exercise list'!$E$5:$X$102,MATCH($C217,'Exercise list'!$C$5:$C$102,0),MATCH(X$5,'Exercise list'!$E$4:$X$4,0)),0)</f>
        <v>0</v>
      </c>
      <c r="Y217">
        <f>IFERROR(INDEX('Exercise list'!$E$5:$X$102,MATCH($C217,'Exercise list'!$C$5:$C$102,0),MATCH(Y$5,'Exercise list'!$E$4:$X$4,0)),0)</f>
        <v>0</v>
      </c>
      <c r="Z217">
        <f>IFERROR(INDEX('Exercise list'!$E$5:$X$102,MATCH($C217,'Exercise list'!$C$5:$C$102,0),MATCH(Z$5,'Exercise list'!$E$4:$X$4,0)),0)</f>
        <v>0</v>
      </c>
      <c r="AA217">
        <f>IFERROR(INDEX('Exercise list'!$E$5:$X$102,MATCH($C217,'Exercise list'!$C$5:$C$102,0),MATCH(AA$5,'Exercise list'!$E$4:$X$4,0)),0)</f>
        <v>0</v>
      </c>
      <c r="AB217">
        <f>IFERROR(INDEX('Exercise list'!$E$5:$X$102,MATCH($C217,'Exercise list'!$C$5:$C$102,0),MATCH(AB$5,'Exercise list'!$E$4:$X$4,0)),0)</f>
        <v>0</v>
      </c>
      <c r="AC217">
        <f>IFERROR(INDEX('Exercise list'!$E$5:$X$102,MATCH($C217,'Exercise list'!$C$5:$C$102,0),MATCH(AC$5,'Exercise list'!$E$4:$X$4,0)),0)</f>
        <v>0</v>
      </c>
      <c r="AD217">
        <f>IFERROR(INDEX('Exercise list'!$E$5:$X$102,MATCH($C217,'Exercise list'!$C$5:$C$102,0),MATCH(AD$5,'Exercise list'!$E$4:$X$4,0)),0)</f>
        <v>0</v>
      </c>
      <c r="AE217">
        <f>IFERROR(INDEX('Exercise list'!$E$5:$X$102,MATCH($C217,'Exercise list'!$C$5:$C$102,0),MATCH(AE$5,'Exercise list'!$E$4:$X$4,0)),0)</f>
        <v>0</v>
      </c>
      <c r="AF217">
        <f>IFERROR(INDEX('Exercise list'!$E$5:$X$102,MATCH($C217,'Exercise list'!$C$5:$C$102,0),MATCH(AF$5,'Exercise list'!$E$4:$X$4,0)),0)</f>
        <v>0</v>
      </c>
      <c r="AG217">
        <f>IFERROR(INDEX('Exercise list'!$E$5:$X$102,MATCH($C217,'Exercise list'!$C$5:$C$102,0),MATCH(AG$5,'Exercise list'!$E$4:$X$4,0)),0)</f>
        <v>0</v>
      </c>
      <c r="AH217">
        <f>IFERROR(INDEX('Exercise list'!$E$5:$X$102,MATCH($C217,'Exercise list'!$C$5:$C$102,0),MATCH(AH$5,'Exercise list'!$E$4:$X$4,0)),0)</f>
        <v>0</v>
      </c>
      <c r="AI217">
        <f>IFERROR(INDEX('Exercise list'!$E$5:$X$102,MATCH($C217,'Exercise list'!$C$5:$C$102,0),MATCH(AI$5,'Exercise list'!$E$4:$X$4,0)),0)</f>
        <v>0</v>
      </c>
      <c r="AK217">
        <f>IF(OR($J217=1,COUNTIFS($A$5:$A216,"&gt;="&amp;$A217-1,$A$5:$A216,"&lt;="&amp;$A217,$B$5:$B216,$B217)&gt;0,MIN(1-'Exercise list'!E$2,IF($A217=$A216,AK216,1))-P217&lt;0),-1,MIN(1,IF($A217=$A216,AK216,1)-P217+$D$2))</f>
        <v>1</v>
      </c>
      <c r="AL217">
        <f>IF(OR($J217=1,COUNTIFS($A$5:$A216,"&gt;="&amp;$A217-1,$A$5:$A216,"&lt;="&amp;$A217,$B$5:$B216,$B217)&gt;0,MIN(1-'Exercise list'!F$2,IF($A217=$A216,AL216,1))-Q217&lt;0),-1,MIN(1,IF($A217=$A216,AL216,1)-Q217+$D$2))</f>
        <v>1</v>
      </c>
      <c r="AM217">
        <f>IF(OR($J217=1,COUNTIFS($A$5:$A216,"&gt;="&amp;$A217-1,$A$5:$A216,"&lt;="&amp;$A217,$B$5:$B216,$B217)&gt;0,MIN(1-'Exercise list'!G$2,IF($A217=$A216,AM216,1))-R217&lt;0),-1,MIN(1,IF($A217=$A216,AM216,1)-R217+$D$2))</f>
        <v>1</v>
      </c>
      <c r="AN217">
        <f>IF(OR($J217=1,COUNTIFS($A$5:$A216,"&gt;="&amp;$A217-1,$A$5:$A216,"&lt;="&amp;$A217,$B$5:$B216,$B217)&gt;0,MIN(1-'Exercise list'!H$2,IF($A217=$A216,AN216,1))-S217&lt;0),-1,MIN(1,IF($A217=$A216,AN216,1)-S217+$D$2))</f>
        <v>1</v>
      </c>
      <c r="AO217">
        <f>IF(OR($J217=1,COUNTIFS($A$5:$A216,"&gt;="&amp;$A217-1,$A$5:$A216,"&lt;="&amp;$A217,$B$5:$B216,$B217)&gt;0,MIN(1-'Exercise list'!I$2,IF($A217=$A216,AO216,1))-T217&lt;0),-1,MIN(1,IF($A217=$A216,AO216,1)-T217+$D$2))</f>
        <v>1</v>
      </c>
      <c r="AP217">
        <f>IF(OR($J217=1,COUNTIFS($A$5:$A216,"&gt;="&amp;$A217-1,$A$5:$A216,"&lt;="&amp;$A217,$B$5:$B216,$B217)&gt;0,MIN(1-'Exercise list'!J$2,IF($A217=$A216,AP216,1))-U217&lt;0),-1,MIN(1,IF($A217=$A216,AP216,1)-U217+$D$2))</f>
        <v>1</v>
      </c>
      <c r="AQ217">
        <f>IF(OR($J217=1,COUNTIFS($A$5:$A216,"&gt;="&amp;$A217-1,$A$5:$A216,"&lt;="&amp;$A217,$B$5:$B216,$B217)&gt;0,MIN(1-'Exercise list'!K$2,IF($A217=$A216,AQ216,1))-V217&lt;0),-1,MIN(1,IF($A217=$A216,AQ216,1)-V217+$D$2))</f>
        <v>1</v>
      </c>
      <c r="AR217">
        <f>IF(OR($J217=1,COUNTIFS($A$5:$A216,"&gt;="&amp;$A217-1,$A$5:$A216,"&lt;="&amp;$A217,$B$5:$B216,$B217)&gt;0,MIN(1-'Exercise list'!L$2,IF($A217=$A216,AR216,1))-W217&lt;0),-1,MIN(1,IF($A217=$A216,AR216,1)-W217+$D$2))</f>
        <v>1</v>
      </c>
      <c r="AS217">
        <f>IF(OR($J217=1,COUNTIFS($A$5:$A216,"&gt;="&amp;$A217-1,$A$5:$A216,"&lt;="&amp;$A217,$B$5:$B216,$B217)&gt;0,MIN(1-'Exercise list'!M$2,IF($A217=$A216,AS216,1))-X217&lt;0),-1,MIN(1,IF($A217=$A216,AS216,1)-X217+$D$2))</f>
        <v>1</v>
      </c>
      <c r="AT217">
        <f>IF(OR($J217=1,COUNTIFS($A$5:$A216,"&gt;="&amp;$A217-1,$A$5:$A216,"&lt;="&amp;$A217,$B$5:$B216,$B217)&gt;0,MIN(1-'Exercise list'!N$2,IF($A217=$A216,AT216,1))-Y217&lt;0),-1,MIN(1,IF($A217=$A216,AT216,1)-Y217+$D$2))</f>
        <v>1</v>
      </c>
      <c r="AU217">
        <f>IF(OR($J217=1,COUNTIFS($A$5:$A216,"&gt;="&amp;$A217-1,$A$5:$A216,"&lt;="&amp;$A217,$B$5:$B216,$B217)&gt;0,MIN(1-'Exercise list'!O$2,IF($A217=$A216,AU216,1))-Z217&lt;0),-1,MIN(1,IF($A217=$A216,AU216,1)-Z217+$D$2))</f>
        <v>1</v>
      </c>
      <c r="AV217">
        <f>IF(OR($J217=1,COUNTIFS($A$5:$A216,"&gt;="&amp;$A217-1,$A$5:$A216,"&lt;="&amp;$A217,$B$5:$B216,$B217)&gt;0,MIN(1-'Exercise list'!P$2,IF($A217=$A216,AV216,1))-AA217&lt;0),-1,MIN(1,IF($A217=$A216,AV216,1)-AA217+$D$2))</f>
        <v>1</v>
      </c>
      <c r="AW217">
        <f>IF(OR($J217=1,COUNTIFS($A$5:$A216,"&gt;="&amp;$A217-1,$A$5:$A216,"&lt;="&amp;$A217,$B$5:$B216,$B217)&gt;0,MIN(1-'Exercise list'!Q$2,IF($A217=$A216,AW216,1))-AB217&lt;0),-1,MIN(1,IF($A217=$A216,AW216,1)-AB217+$D$2))</f>
        <v>1</v>
      </c>
      <c r="AX217">
        <f>IF(OR($J217=1,COUNTIFS($A$5:$A216,"&gt;="&amp;$A217-1,$A$5:$A216,"&lt;="&amp;$A217,$B$5:$B216,$B217)&gt;0,MIN(1-'Exercise list'!R$2,IF($A217=$A216,AX216,1))-AC217&lt;0),-1,MIN(1,IF($A217=$A216,AX216,1)-AC217+$D$2))</f>
        <v>1</v>
      </c>
      <c r="AY217">
        <f>IF(OR($J217=1,COUNTIFS($A$5:$A216,"&gt;="&amp;$A217-1,$A$5:$A216,"&lt;="&amp;$A217,$B$5:$B216,$B217)&gt;0,MIN(1-'Exercise list'!S$2,IF($A217=$A216,AY216,1))-AD217&lt;0),-1,MIN(1,IF($A217=$A216,AY216,1)-AD217+$D$2))</f>
        <v>1</v>
      </c>
      <c r="AZ217">
        <f>IF(OR($J217=1,COUNTIFS($A$5:$A216,"&gt;="&amp;$A217-1,$A$5:$A216,"&lt;="&amp;$A217,$B$5:$B216,$B217)&gt;0,MIN(1-'Exercise list'!T$2,IF($A217=$A216,AZ216,1))-AE217&lt;0),-1,MIN(1,IF($A217=$A216,AZ216,1)-AE217+$D$2))</f>
        <v>1</v>
      </c>
      <c r="BA217">
        <f>IF(OR($J217=1,COUNTIFS($A$5:$A216,"&gt;="&amp;$A217-1,$A$5:$A216,"&lt;="&amp;$A217,$B$5:$B216,$B217)&gt;0,MIN(1-'Exercise list'!U$2,IF($A217=$A216,BA216,1))-AF217&lt;0),-1,MIN(1,IF($A217=$A216,BA216,1)-AF217+$D$2))</f>
        <v>1</v>
      </c>
      <c r="BB217">
        <f>IF(OR($J217=1,COUNTIFS($A$5:$A216,"&gt;="&amp;$A217-1,$A$5:$A216,"&lt;="&amp;$A217,$B$5:$B216,$B217)&gt;0,MIN(1-'Exercise list'!V$2,IF($A217=$A216,BB216,1))-AG217&lt;0),-1,MIN(1,IF($A217=$A216,BB216,1)-AG217+$D$2))</f>
        <v>1</v>
      </c>
      <c r="BC217">
        <f>IF(OR($J217=1,COUNTIFS($A$5:$A216,"&gt;="&amp;$A217-1,$A$5:$A216,"&lt;="&amp;$A217,$B$5:$B216,$B217)&gt;0,MIN(1-'Exercise list'!W$2,IF($A217=$A216,BC216,1))-AH217&lt;0),-1,MIN(1,IF($A217=$A216,BC216,1)-AH217+$D$2))</f>
        <v>1</v>
      </c>
      <c r="BD217">
        <f>IF(OR($J217=1,COUNTIFS($A$5:$A216,"&gt;="&amp;$A217-1,$A$5:$A216,"&lt;="&amp;$A217,$B$5:$B216,$B217)&gt;0,MIN(1-'Exercise list'!X$2,IF($A217=$A216,BD216,1))-AI217&lt;0),-1,MIN(1,IF($A217=$A216,BD216,1)-AI217+$D$2))</f>
        <v>1</v>
      </c>
      <c r="BF217" s="16">
        <f t="shared" si="145"/>
        <v>0.19596031081758858</v>
      </c>
      <c r="BG217" s="16">
        <f t="shared" si="146"/>
        <v>0.21844636935459236</v>
      </c>
      <c r="BH217" s="16">
        <f t="shared" si="147"/>
        <v>0.14609696635987124</v>
      </c>
      <c r="BI217" s="16">
        <f t="shared" si="148"/>
        <v>0.13198015366034541</v>
      </c>
      <c r="BJ217" s="16">
        <f t="shared" si="149"/>
        <v>8.3367914198418713E-2</v>
      </c>
      <c r="BK217" s="16">
        <f t="shared" si="150"/>
        <v>0.10640640223148412</v>
      </c>
      <c r="BL217" s="16">
        <f t="shared" si="151"/>
        <v>0.21963504743569431</v>
      </c>
      <c r="BM217" s="16">
        <f t="shared" si="152"/>
        <v>3.8988008374820568E-3</v>
      </c>
      <c r="BN217" s="16">
        <f t="shared" si="153"/>
        <v>0.14537706087090876</v>
      </c>
      <c r="BO217" s="16">
        <f t="shared" si="154"/>
        <v>0.29209790661993401</v>
      </c>
      <c r="BP217" s="16">
        <f t="shared" si="155"/>
        <v>0.31584545163401867</v>
      </c>
      <c r="BQ217" s="16">
        <f t="shared" si="156"/>
        <v>0.1000007994126096</v>
      </c>
      <c r="BR217" s="16">
        <f t="shared" si="157"/>
        <v>0.13164487759885393</v>
      </c>
      <c r="BS217" s="16">
        <f t="shared" si="158"/>
        <v>2.9803550189863123E-2</v>
      </c>
      <c r="BT217" s="16">
        <f t="shared" si="159"/>
        <v>0.13492040904978705</v>
      </c>
      <c r="BU217" s="16">
        <f t="shared" si="160"/>
        <v>0.11703687414398131</v>
      </c>
      <c r="BV217" s="16">
        <f t="shared" si="161"/>
        <v>0.14633353213781661</v>
      </c>
      <c r="BW217" s="16">
        <f t="shared" si="162"/>
        <v>7.5588015111767173E-2</v>
      </c>
      <c r="BX217" s="16">
        <f t="shared" si="163"/>
        <v>8.0345659937185704E-2</v>
      </c>
      <c r="BY217" s="16">
        <f t="shared" si="164"/>
        <v>5.9014643151272549E-2</v>
      </c>
      <c r="CA217" s="16" t="str">
        <f t="shared" si="185"/>
        <v/>
      </c>
      <c r="CB217" s="16" t="str">
        <f t="shared" si="166"/>
        <v/>
      </c>
      <c r="CC217" s="16" t="str">
        <f t="shared" si="167"/>
        <v/>
      </c>
      <c r="CD217" s="16" t="str">
        <f t="shared" si="168"/>
        <v/>
      </c>
      <c r="CE217" s="16" t="str">
        <f t="shared" si="169"/>
        <v/>
      </c>
      <c r="CF217" s="16" t="str">
        <f t="shared" si="170"/>
        <v/>
      </c>
      <c r="CG217" s="16" t="str">
        <f t="shared" si="171"/>
        <v/>
      </c>
      <c r="CH217" s="16" t="str">
        <f t="shared" si="172"/>
        <v/>
      </c>
      <c r="CI217" s="16" t="str">
        <f t="shared" si="173"/>
        <v/>
      </c>
      <c r="CJ217" s="16" t="str">
        <f t="shared" si="174"/>
        <v/>
      </c>
      <c r="CK217" s="16" t="str">
        <f t="shared" si="175"/>
        <v/>
      </c>
      <c r="CL217" s="16" t="str">
        <f t="shared" si="176"/>
        <v/>
      </c>
      <c r="CM217" s="16" t="str">
        <f t="shared" si="177"/>
        <v/>
      </c>
      <c r="CN217" s="16" t="str">
        <f t="shared" si="178"/>
        <v/>
      </c>
      <c r="CO217" s="16" t="str">
        <f t="shared" si="179"/>
        <v/>
      </c>
      <c r="CP217" s="16" t="str">
        <f t="shared" si="180"/>
        <v/>
      </c>
      <c r="CQ217" s="16" t="str">
        <f t="shared" si="181"/>
        <v/>
      </c>
      <c r="CR217" s="16" t="str">
        <f t="shared" si="182"/>
        <v/>
      </c>
      <c r="CS217" s="16" t="str">
        <f t="shared" si="183"/>
        <v/>
      </c>
      <c r="CT217" s="16" t="str">
        <f t="shared" si="184"/>
        <v/>
      </c>
    </row>
    <row r="218" spans="1:99" x14ac:dyDescent="0.25">
      <c r="A218" s="20"/>
      <c r="B218" s="21"/>
      <c r="C218" s="22" t="str" cm="1">
        <f t="array" ref="C218">IF(B218="","",INDEX('Exercise list'!$C$5:$C$102,B218))</f>
        <v/>
      </c>
      <c r="D218" s="17" t="str">
        <f t="shared" si="142"/>
        <v/>
      </c>
      <c r="E218" s="108" t="str">
        <f t="shared" si="165"/>
        <v/>
      </c>
      <c r="F218" s="65" t="str" cm="1">
        <f t="array" ref="F218">IF(B218="","",0.1+IFERROR(INDEX($F$6:$F217,SUMPRODUCT(MAX(ROW($C$6:$C217)*($C218=$C$6:$C217))-ROW($A$5)))*0.9^($A218-INDEX($A$6:A217,SUMPRODUCT(MAX(ROW($C$6:$C217)*($C218=$C$6:$C217))-ROW($A$5)))),0))</f>
        <v/>
      </c>
      <c r="G218" s="25" t="e">
        <f>INDEX('Exercise list'!$Y$5:$Y$102,MATCH(C218,'Exercise list'!$C$5:$C$102,0))</f>
        <v>#N/A</v>
      </c>
      <c r="H218" s="116">
        <f t="shared" si="143"/>
        <v>0</v>
      </c>
      <c r="I218" s="18">
        <f t="shared" si="144"/>
        <v>5</v>
      </c>
      <c r="J218" s="18" t="str" cm="1">
        <f t="array" ref="J218">IF(B218="","",INDEX('Exercise list'!$D$5:$D$102,B218))</f>
        <v/>
      </c>
      <c r="K218" s="17"/>
      <c r="L218" s="51" t="str" cm="1">
        <f t="array" ref="L218">IF(K218="","",INDEX('Exercise list'!$C$5:$C$102,K218))</f>
        <v/>
      </c>
      <c r="M218" s="18"/>
      <c r="N218" s="76" t="str" cm="1">
        <f t="array" ref="N218">IF(M218="","",INDEX('Exercise list'!$C$5:$C$102,M218))</f>
        <v/>
      </c>
      <c r="O218" s="19"/>
      <c r="P218" s="19">
        <f>IFERROR(INDEX('Exercise list'!$E$5:$X$102,MATCH($C218,'Exercise list'!$C$5:$C$102,0),MATCH(P$5,'Exercise list'!$E$4:$X$4,0)),0)</f>
        <v>0</v>
      </c>
      <c r="Q218" s="19">
        <f>IFERROR(INDEX('Exercise list'!$E$5:$X$102,MATCH($C218,'Exercise list'!$C$5:$C$102,0),MATCH(Q$5,'Exercise list'!$E$4:$X$4,0)),0)</f>
        <v>0</v>
      </c>
      <c r="R218" s="19">
        <f>IFERROR(INDEX('Exercise list'!$E$5:$X$102,MATCH($C218,'Exercise list'!$C$5:$C$102,0),MATCH(R$5,'Exercise list'!$E$4:$X$4,0)),0)</f>
        <v>0</v>
      </c>
      <c r="S218" s="19">
        <f>IFERROR(INDEX('Exercise list'!$E$5:$X$102,MATCH($C218,'Exercise list'!$C$5:$C$102,0),MATCH(S$5,'Exercise list'!$E$4:$X$4,0)),0)</f>
        <v>0</v>
      </c>
      <c r="T218" s="19">
        <f>IFERROR(INDEX('Exercise list'!$E$5:$X$102,MATCH($C218,'Exercise list'!$C$5:$C$102,0),MATCH(T$5,'Exercise list'!$E$4:$X$4,0)),0)</f>
        <v>0</v>
      </c>
      <c r="U218" s="19">
        <f>IFERROR(INDEX('Exercise list'!$E$5:$X$102,MATCH($C218,'Exercise list'!$C$5:$C$102,0),MATCH(U$5,'Exercise list'!$E$4:$X$4,0)),0)</f>
        <v>0</v>
      </c>
      <c r="V218" s="19">
        <f>IFERROR(INDEX('Exercise list'!$E$5:$X$102,MATCH($C218,'Exercise list'!$C$5:$C$102,0),MATCH(V$5,'Exercise list'!$E$4:$X$4,0)),0)</f>
        <v>0</v>
      </c>
      <c r="W218" s="19">
        <f>IFERROR(INDEX('Exercise list'!$E$5:$X$102,MATCH($C218,'Exercise list'!$C$5:$C$102,0),MATCH(W$5,'Exercise list'!$E$4:$X$4,0)),0)</f>
        <v>0</v>
      </c>
      <c r="X218" s="19">
        <f>IFERROR(INDEX('Exercise list'!$E$5:$X$102,MATCH($C218,'Exercise list'!$C$5:$C$102,0),MATCH(X$5,'Exercise list'!$E$4:$X$4,0)),0)</f>
        <v>0</v>
      </c>
      <c r="Y218" s="19">
        <f>IFERROR(INDEX('Exercise list'!$E$5:$X$102,MATCH($C218,'Exercise list'!$C$5:$C$102,0),MATCH(Y$5,'Exercise list'!$E$4:$X$4,0)),0)</f>
        <v>0</v>
      </c>
      <c r="Z218" s="19">
        <f>IFERROR(INDEX('Exercise list'!$E$5:$X$102,MATCH($C218,'Exercise list'!$C$5:$C$102,0),MATCH(Z$5,'Exercise list'!$E$4:$X$4,0)),0)</f>
        <v>0</v>
      </c>
      <c r="AA218" s="19">
        <f>IFERROR(INDEX('Exercise list'!$E$5:$X$102,MATCH($C218,'Exercise list'!$C$5:$C$102,0),MATCH(AA$5,'Exercise list'!$E$4:$X$4,0)),0)</f>
        <v>0</v>
      </c>
      <c r="AB218" s="19">
        <f>IFERROR(INDEX('Exercise list'!$E$5:$X$102,MATCH($C218,'Exercise list'!$C$5:$C$102,0),MATCH(AB$5,'Exercise list'!$E$4:$X$4,0)),0)</f>
        <v>0</v>
      </c>
      <c r="AC218" s="19">
        <f>IFERROR(INDEX('Exercise list'!$E$5:$X$102,MATCH($C218,'Exercise list'!$C$5:$C$102,0),MATCH(AC$5,'Exercise list'!$E$4:$X$4,0)),0)</f>
        <v>0</v>
      </c>
      <c r="AD218" s="19">
        <f>IFERROR(INDEX('Exercise list'!$E$5:$X$102,MATCH($C218,'Exercise list'!$C$5:$C$102,0),MATCH(AD$5,'Exercise list'!$E$4:$X$4,0)),0)</f>
        <v>0</v>
      </c>
      <c r="AE218" s="19">
        <f>IFERROR(INDEX('Exercise list'!$E$5:$X$102,MATCH($C218,'Exercise list'!$C$5:$C$102,0),MATCH(AE$5,'Exercise list'!$E$4:$X$4,0)),0)</f>
        <v>0</v>
      </c>
      <c r="AF218" s="19">
        <f>IFERROR(INDEX('Exercise list'!$E$5:$X$102,MATCH($C218,'Exercise list'!$C$5:$C$102,0),MATCH(AF$5,'Exercise list'!$E$4:$X$4,0)),0)</f>
        <v>0</v>
      </c>
      <c r="AG218" s="19">
        <f>IFERROR(INDEX('Exercise list'!$E$5:$X$102,MATCH($C218,'Exercise list'!$C$5:$C$102,0),MATCH(AG$5,'Exercise list'!$E$4:$X$4,0)),0)</f>
        <v>0</v>
      </c>
      <c r="AH218" s="19">
        <f>IFERROR(INDEX('Exercise list'!$E$5:$X$102,MATCH($C218,'Exercise list'!$C$5:$C$102,0),MATCH(AH$5,'Exercise list'!$E$4:$X$4,0)),0)</f>
        <v>0</v>
      </c>
      <c r="AI218" s="19">
        <f>IFERROR(INDEX('Exercise list'!$E$5:$X$102,MATCH($C218,'Exercise list'!$C$5:$C$102,0),MATCH(AI$5,'Exercise list'!$E$4:$X$4,0)),0)</f>
        <v>0</v>
      </c>
      <c r="AJ218" s="19"/>
      <c r="AK218" s="19">
        <f>IF(OR($J218=1,COUNTIFS($A$5:$A217,"&gt;="&amp;$A218-1,$A$5:$A217,"&lt;="&amp;$A218,$B$5:$B217,$B218)&gt;0,MIN(1-'Exercise list'!E$2,IF($A218=$A217,AK217,1))-P218&lt;0),-1,MIN(1,IF($A218=$A217,AK217,1)-P218+$D$2))</f>
        <v>1</v>
      </c>
      <c r="AL218" s="19">
        <f>IF(OR($J218=1,COUNTIFS($A$5:$A217,"&gt;="&amp;$A218-1,$A$5:$A217,"&lt;="&amp;$A218,$B$5:$B217,$B218)&gt;0,MIN(1-'Exercise list'!F$2,IF($A218=$A217,AL217,1))-Q218&lt;0),-1,MIN(1,IF($A218=$A217,AL217,1)-Q218+$D$2))</f>
        <v>1</v>
      </c>
      <c r="AM218" s="19">
        <f>IF(OR($J218=1,COUNTIFS($A$5:$A217,"&gt;="&amp;$A218-1,$A$5:$A217,"&lt;="&amp;$A218,$B$5:$B217,$B218)&gt;0,MIN(1-'Exercise list'!G$2,IF($A218=$A217,AM217,1))-R218&lt;0),-1,MIN(1,IF($A218=$A217,AM217,1)-R218+$D$2))</f>
        <v>1</v>
      </c>
      <c r="AN218" s="19">
        <f>IF(OR($J218=1,COUNTIFS($A$5:$A217,"&gt;="&amp;$A218-1,$A$5:$A217,"&lt;="&amp;$A218,$B$5:$B217,$B218)&gt;0,MIN(1-'Exercise list'!H$2,IF($A218=$A217,AN217,1))-S218&lt;0),-1,MIN(1,IF($A218=$A217,AN217,1)-S218+$D$2))</f>
        <v>1</v>
      </c>
      <c r="AO218" s="19">
        <f>IF(OR($J218=1,COUNTIFS($A$5:$A217,"&gt;="&amp;$A218-1,$A$5:$A217,"&lt;="&amp;$A218,$B$5:$B217,$B218)&gt;0,MIN(1-'Exercise list'!I$2,IF($A218=$A217,AO217,1))-T218&lt;0),-1,MIN(1,IF($A218=$A217,AO217,1)-T218+$D$2))</f>
        <v>1</v>
      </c>
      <c r="AP218" s="19">
        <f>IF(OR($J218=1,COUNTIFS($A$5:$A217,"&gt;="&amp;$A218-1,$A$5:$A217,"&lt;="&amp;$A218,$B$5:$B217,$B218)&gt;0,MIN(1-'Exercise list'!J$2,IF($A218=$A217,AP217,1))-U218&lt;0),-1,MIN(1,IF($A218=$A217,AP217,1)-U218+$D$2))</f>
        <v>1</v>
      </c>
      <c r="AQ218" s="19">
        <f>IF(OR($J218=1,COUNTIFS($A$5:$A217,"&gt;="&amp;$A218-1,$A$5:$A217,"&lt;="&amp;$A218,$B$5:$B217,$B218)&gt;0,MIN(1-'Exercise list'!K$2,IF($A218=$A217,AQ217,1))-V218&lt;0),-1,MIN(1,IF($A218=$A217,AQ217,1)-V218+$D$2))</f>
        <v>1</v>
      </c>
      <c r="AR218" s="19">
        <f>IF(OR($J218=1,COUNTIFS($A$5:$A217,"&gt;="&amp;$A218-1,$A$5:$A217,"&lt;="&amp;$A218,$B$5:$B217,$B218)&gt;0,MIN(1-'Exercise list'!L$2,IF($A218=$A217,AR217,1))-W218&lt;0),-1,MIN(1,IF($A218=$A217,AR217,1)-W218+$D$2))</f>
        <v>1</v>
      </c>
      <c r="AS218" s="19">
        <f>IF(OR($J218=1,COUNTIFS($A$5:$A217,"&gt;="&amp;$A218-1,$A$5:$A217,"&lt;="&amp;$A218,$B$5:$B217,$B218)&gt;0,MIN(1-'Exercise list'!M$2,IF($A218=$A217,AS217,1))-X218&lt;0),-1,MIN(1,IF($A218=$A217,AS217,1)-X218+$D$2))</f>
        <v>1</v>
      </c>
      <c r="AT218" s="19">
        <f>IF(OR($J218=1,COUNTIFS($A$5:$A217,"&gt;="&amp;$A218-1,$A$5:$A217,"&lt;="&amp;$A218,$B$5:$B217,$B218)&gt;0,MIN(1-'Exercise list'!N$2,IF($A218=$A217,AT217,1))-Y218&lt;0),-1,MIN(1,IF($A218=$A217,AT217,1)-Y218+$D$2))</f>
        <v>1</v>
      </c>
      <c r="AU218" s="19">
        <f>IF(OR($J218=1,COUNTIFS($A$5:$A217,"&gt;="&amp;$A218-1,$A$5:$A217,"&lt;="&amp;$A218,$B$5:$B217,$B218)&gt;0,MIN(1-'Exercise list'!O$2,IF($A218=$A217,AU217,1))-Z218&lt;0),-1,MIN(1,IF($A218=$A217,AU217,1)-Z218+$D$2))</f>
        <v>1</v>
      </c>
      <c r="AV218" s="19">
        <f>IF(OR($J218=1,COUNTIFS($A$5:$A217,"&gt;="&amp;$A218-1,$A$5:$A217,"&lt;="&amp;$A218,$B$5:$B217,$B218)&gt;0,MIN(1-'Exercise list'!P$2,IF($A218=$A217,AV217,1))-AA218&lt;0),-1,MIN(1,IF($A218=$A217,AV217,1)-AA218+$D$2))</f>
        <v>1</v>
      </c>
      <c r="AW218" s="19">
        <f>IF(OR($J218=1,COUNTIFS($A$5:$A217,"&gt;="&amp;$A218-1,$A$5:$A217,"&lt;="&amp;$A218,$B$5:$B217,$B218)&gt;0,MIN(1-'Exercise list'!Q$2,IF($A218=$A217,AW217,1))-AB218&lt;0),-1,MIN(1,IF($A218=$A217,AW217,1)-AB218+$D$2))</f>
        <v>1</v>
      </c>
      <c r="AX218" s="19">
        <f>IF(OR($J218=1,COUNTIFS($A$5:$A217,"&gt;="&amp;$A218-1,$A$5:$A217,"&lt;="&amp;$A218,$B$5:$B217,$B218)&gt;0,MIN(1-'Exercise list'!R$2,IF($A218=$A217,AX217,1))-AC218&lt;0),-1,MIN(1,IF($A218=$A217,AX217,1)-AC218+$D$2))</f>
        <v>1</v>
      </c>
      <c r="AY218" s="19">
        <f>IF(OR($J218=1,COUNTIFS($A$5:$A217,"&gt;="&amp;$A218-1,$A$5:$A217,"&lt;="&amp;$A218,$B$5:$B217,$B218)&gt;0,MIN(1-'Exercise list'!S$2,IF($A218=$A217,AY217,1))-AD218&lt;0),-1,MIN(1,IF($A218=$A217,AY217,1)-AD218+$D$2))</f>
        <v>1</v>
      </c>
      <c r="AZ218" s="19">
        <f>IF(OR($J218=1,COUNTIFS($A$5:$A217,"&gt;="&amp;$A218-1,$A$5:$A217,"&lt;="&amp;$A218,$B$5:$B217,$B218)&gt;0,MIN(1-'Exercise list'!T$2,IF($A218=$A217,AZ217,1))-AE218&lt;0),-1,MIN(1,IF($A218=$A217,AZ217,1)-AE218+$D$2))</f>
        <v>1</v>
      </c>
      <c r="BA218" s="19">
        <f>IF(OR($J218=1,COUNTIFS($A$5:$A217,"&gt;="&amp;$A218-1,$A$5:$A217,"&lt;="&amp;$A218,$B$5:$B217,$B218)&gt;0,MIN(1-'Exercise list'!U$2,IF($A218=$A217,BA217,1))-AF218&lt;0),-1,MIN(1,IF($A218=$A217,BA217,1)-AF218+$D$2))</f>
        <v>1</v>
      </c>
      <c r="BB218" s="19">
        <f>IF(OR($J218=1,COUNTIFS($A$5:$A217,"&gt;="&amp;$A218-1,$A$5:$A217,"&lt;="&amp;$A218,$B$5:$B217,$B218)&gt;0,MIN(1-'Exercise list'!V$2,IF($A218=$A217,BB217,1))-AG218&lt;0),-1,MIN(1,IF($A218=$A217,BB217,1)-AG218+$D$2))</f>
        <v>1</v>
      </c>
      <c r="BC218" s="19">
        <f>IF(OR($J218=1,COUNTIFS($A$5:$A217,"&gt;="&amp;$A218-1,$A$5:$A217,"&lt;="&amp;$A218,$B$5:$B217,$B218)&gt;0,MIN(1-'Exercise list'!W$2,IF($A218=$A217,BC217,1))-AH218&lt;0),-1,MIN(1,IF($A218=$A217,BC217,1)-AH218+$D$2))</f>
        <v>1</v>
      </c>
      <c r="BD218" s="19">
        <f>IF(OR($J218=1,COUNTIFS($A$5:$A217,"&gt;="&amp;$A218-1,$A$5:$A217,"&lt;="&amp;$A218,$B$5:$B217,$B218)&gt;0,MIN(1-'Exercise list'!X$2,IF($A218=$A217,BD217,1))-AI218&lt;0),-1,MIN(1,IF($A218=$A217,BD217,1)-AI218+$D$2))</f>
        <v>1</v>
      </c>
      <c r="BE218" s="19"/>
      <c r="BF218" s="23">
        <f t="shared" si="145"/>
        <v>0.19596031081758858</v>
      </c>
      <c r="BG218" s="23">
        <f t="shared" si="146"/>
        <v>0.21844636935459236</v>
      </c>
      <c r="BH218" s="23">
        <f t="shared" si="147"/>
        <v>0.14609696635987124</v>
      </c>
      <c r="BI218" s="23">
        <f t="shared" si="148"/>
        <v>0.13198015366034541</v>
      </c>
      <c r="BJ218" s="23">
        <f t="shared" si="149"/>
        <v>8.3367914198418713E-2</v>
      </c>
      <c r="BK218" s="23">
        <f t="shared" si="150"/>
        <v>0.10640640223148412</v>
      </c>
      <c r="BL218" s="23">
        <f t="shared" si="151"/>
        <v>0.21963504743569431</v>
      </c>
      <c r="BM218" s="23">
        <f t="shared" si="152"/>
        <v>3.8988008374820568E-3</v>
      </c>
      <c r="BN218" s="23">
        <f t="shared" si="153"/>
        <v>0.14537706087090876</v>
      </c>
      <c r="BO218" s="23">
        <f t="shared" si="154"/>
        <v>0.29209790661993401</v>
      </c>
      <c r="BP218" s="23">
        <f t="shared" si="155"/>
        <v>0.31584545163401867</v>
      </c>
      <c r="BQ218" s="23">
        <f t="shared" si="156"/>
        <v>0.1000007994126096</v>
      </c>
      <c r="BR218" s="23">
        <f t="shared" si="157"/>
        <v>0.13164487759885393</v>
      </c>
      <c r="BS218" s="23">
        <f t="shared" si="158"/>
        <v>2.9803550189863123E-2</v>
      </c>
      <c r="BT218" s="23">
        <f t="shared" si="159"/>
        <v>0.13492040904978705</v>
      </c>
      <c r="BU218" s="23">
        <f t="shared" si="160"/>
        <v>0.11703687414398131</v>
      </c>
      <c r="BV218" s="23">
        <f t="shared" si="161"/>
        <v>0.14633353213781661</v>
      </c>
      <c r="BW218" s="23">
        <f t="shared" si="162"/>
        <v>7.5588015111767173E-2</v>
      </c>
      <c r="BX218" s="23">
        <f t="shared" si="163"/>
        <v>8.0345659937185704E-2</v>
      </c>
      <c r="BY218" s="23">
        <f t="shared" si="164"/>
        <v>5.9014643151272549E-2</v>
      </c>
      <c r="BZ218" s="19"/>
      <c r="CA218" s="23" t="str">
        <f t="shared" si="185"/>
        <v/>
      </c>
      <c r="CB218" s="23" t="str">
        <f t="shared" si="166"/>
        <v/>
      </c>
      <c r="CC218" s="23" t="str">
        <f t="shared" si="167"/>
        <v/>
      </c>
      <c r="CD218" s="23" t="str">
        <f t="shared" si="168"/>
        <v/>
      </c>
      <c r="CE218" s="23" t="str">
        <f t="shared" si="169"/>
        <v/>
      </c>
      <c r="CF218" s="23" t="str">
        <f t="shared" si="170"/>
        <v/>
      </c>
      <c r="CG218" s="23" t="str">
        <f t="shared" si="171"/>
        <v/>
      </c>
      <c r="CH218" s="23" t="str">
        <f t="shared" si="172"/>
        <v/>
      </c>
      <c r="CI218" s="23" t="str">
        <f t="shared" si="173"/>
        <v/>
      </c>
      <c r="CJ218" s="23" t="str">
        <f t="shared" si="174"/>
        <v/>
      </c>
      <c r="CK218" s="23" t="str">
        <f t="shared" si="175"/>
        <v/>
      </c>
      <c r="CL218" s="23" t="str">
        <f t="shared" si="176"/>
        <v/>
      </c>
      <c r="CM218" s="23" t="str">
        <f t="shared" si="177"/>
        <v/>
      </c>
      <c r="CN218" s="23" t="str">
        <f t="shared" si="178"/>
        <v/>
      </c>
      <c r="CO218" s="23" t="str">
        <f t="shared" si="179"/>
        <v/>
      </c>
      <c r="CP218" s="23" t="str">
        <f t="shared" si="180"/>
        <v/>
      </c>
      <c r="CQ218" s="23" t="str">
        <f t="shared" si="181"/>
        <v/>
      </c>
      <c r="CR218" s="23" t="str">
        <f t="shared" si="182"/>
        <v/>
      </c>
      <c r="CS218" s="23" t="str">
        <f t="shared" si="183"/>
        <v/>
      </c>
      <c r="CT218" s="23" t="str">
        <f t="shared" si="184"/>
        <v/>
      </c>
      <c r="CU218" s="19"/>
    </row>
    <row r="219" spans="1:99" x14ac:dyDescent="0.25">
      <c r="A219" s="13"/>
      <c r="B219" s="14"/>
      <c r="C219" s="15" t="str" cm="1">
        <f t="array" ref="C219">IF(B219="","",INDEX('Exercise list'!$C$5:$C$102,B219))</f>
        <v/>
      </c>
      <c r="D219" s="12" t="str">
        <f t="shared" si="142"/>
        <v/>
      </c>
      <c r="E219" s="107" t="str">
        <f t="shared" si="165"/>
        <v/>
      </c>
      <c r="F219" s="63" t="str" cm="1">
        <f t="array" ref="F219">IF(B219="","",0.1+IFERROR(INDEX($F$6:$F218,SUMPRODUCT(MAX(ROW($C$6:$C218)*($C219=$C$6:$C218))-ROW($A$5)))*0.9^($A219-INDEX($A$6:A218,SUMPRODUCT(MAX(ROW($C$6:$C218)*($C219=$C$6:$C218))-ROW($A$5)))),0))</f>
        <v/>
      </c>
      <c r="G219" s="64" t="e">
        <f>INDEX('Exercise list'!$Y$5:$Y$102,MATCH(C219,'Exercise list'!$C$5:$C$102,0))</f>
        <v>#N/A</v>
      </c>
      <c r="H219" s="115">
        <f t="shared" si="143"/>
        <v>0</v>
      </c>
      <c r="I219" s="42">
        <f t="shared" si="144"/>
        <v>5</v>
      </c>
      <c r="J219" s="6" t="str" cm="1">
        <f t="array" ref="J219">IF(B219="","",INDEX('Exercise list'!$D$5:$D$102,B219))</f>
        <v/>
      </c>
      <c r="K219" s="12"/>
      <c r="L219" s="74" t="str" cm="1">
        <f t="array" ref="L219">IF(K219="","",INDEX('Exercise list'!$C$5:$C$102,K219))</f>
        <v/>
      </c>
      <c r="M219" s="6"/>
      <c r="N219" s="75" t="str" cm="1">
        <f t="array" ref="N219">IF(M219="","",INDEX('Exercise list'!$C$5:$C$102,M219))</f>
        <v/>
      </c>
      <c r="P219">
        <f>IFERROR(INDEX('Exercise list'!$E$5:$X$102,MATCH($C219,'Exercise list'!$C$5:$C$102,0),MATCH(P$5,'Exercise list'!$E$4:$X$4,0)),0)</f>
        <v>0</v>
      </c>
      <c r="Q219">
        <f>IFERROR(INDEX('Exercise list'!$E$5:$X$102,MATCH($C219,'Exercise list'!$C$5:$C$102,0),MATCH(Q$5,'Exercise list'!$E$4:$X$4,0)),0)</f>
        <v>0</v>
      </c>
      <c r="R219">
        <f>IFERROR(INDEX('Exercise list'!$E$5:$X$102,MATCH($C219,'Exercise list'!$C$5:$C$102,0),MATCH(R$5,'Exercise list'!$E$4:$X$4,0)),0)</f>
        <v>0</v>
      </c>
      <c r="S219">
        <f>IFERROR(INDEX('Exercise list'!$E$5:$X$102,MATCH($C219,'Exercise list'!$C$5:$C$102,0),MATCH(S$5,'Exercise list'!$E$4:$X$4,0)),0)</f>
        <v>0</v>
      </c>
      <c r="T219">
        <f>IFERROR(INDEX('Exercise list'!$E$5:$X$102,MATCH($C219,'Exercise list'!$C$5:$C$102,0),MATCH(T$5,'Exercise list'!$E$4:$X$4,0)),0)</f>
        <v>0</v>
      </c>
      <c r="U219">
        <f>IFERROR(INDEX('Exercise list'!$E$5:$X$102,MATCH($C219,'Exercise list'!$C$5:$C$102,0),MATCH(U$5,'Exercise list'!$E$4:$X$4,0)),0)</f>
        <v>0</v>
      </c>
      <c r="V219">
        <f>IFERROR(INDEX('Exercise list'!$E$5:$X$102,MATCH($C219,'Exercise list'!$C$5:$C$102,0),MATCH(V$5,'Exercise list'!$E$4:$X$4,0)),0)</f>
        <v>0</v>
      </c>
      <c r="W219">
        <f>IFERROR(INDEX('Exercise list'!$E$5:$X$102,MATCH($C219,'Exercise list'!$C$5:$C$102,0),MATCH(W$5,'Exercise list'!$E$4:$X$4,0)),0)</f>
        <v>0</v>
      </c>
      <c r="X219">
        <f>IFERROR(INDEX('Exercise list'!$E$5:$X$102,MATCH($C219,'Exercise list'!$C$5:$C$102,0),MATCH(X$5,'Exercise list'!$E$4:$X$4,0)),0)</f>
        <v>0</v>
      </c>
      <c r="Y219">
        <f>IFERROR(INDEX('Exercise list'!$E$5:$X$102,MATCH($C219,'Exercise list'!$C$5:$C$102,0),MATCH(Y$5,'Exercise list'!$E$4:$X$4,0)),0)</f>
        <v>0</v>
      </c>
      <c r="Z219">
        <f>IFERROR(INDEX('Exercise list'!$E$5:$X$102,MATCH($C219,'Exercise list'!$C$5:$C$102,0),MATCH(Z$5,'Exercise list'!$E$4:$X$4,0)),0)</f>
        <v>0</v>
      </c>
      <c r="AA219">
        <f>IFERROR(INDEX('Exercise list'!$E$5:$X$102,MATCH($C219,'Exercise list'!$C$5:$C$102,0),MATCH(AA$5,'Exercise list'!$E$4:$X$4,0)),0)</f>
        <v>0</v>
      </c>
      <c r="AB219">
        <f>IFERROR(INDEX('Exercise list'!$E$5:$X$102,MATCH($C219,'Exercise list'!$C$5:$C$102,0),MATCH(AB$5,'Exercise list'!$E$4:$X$4,0)),0)</f>
        <v>0</v>
      </c>
      <c r="AC219">
        <f>IFERROR(INDEX('Exercise list'!$E$5:$X$102,MATCH($C219,'Exercise list'!$C$5:$C$102,0),MATCH(AC$5,'Exercise list'!$E$4:$X$4,0)),0)</f>
        <v>0</v>
      </c>
      <c r="AD219">
        <f>IFERROR(INDEX('Exercise list'!$E$5:$X$102,MATCH($C219,'Exercise list'!$C$5:$C$102,0),MATCH(AD$5,'Exercise list'!$E$4:$X$4,0)),0)</f>
        <v>0</v>
      </c>
      <c r="AE219">
        <f>IFERROR(INDEX('Exercise list'!$E$5:$X$102,MATCH($C219,'Exercise list'!$C$5:$C$102,0),MATCH(AE$5,'Exercise list'!$E$4:$X$4,0)),0)</f>
        <v>0</v>
      </c>
      <c r="AF219">
        <f>IFERROR(INDEX('Exercise list'!$E$5:$X$102,MATCH($C219,'Exercise list'!$C$5:$C$102,0),MATCH(AF$5,'Exercise list'!$E$4:$X$4,0)),0)</f>
        <v>0</v>
      </c>
      <c r="AG219">
        <f>IFERROR(INDEX('Exercise list'!$E$5:$X$102,MATCH($C219,'Exercise list'!$C$5:$C$102,0),MATCH(AG$5,'Exercise list'!$E$4:$X$4,0)),0)</f>
        <v>0</v>
      </c>
      <c r="AH219">
        <f>IFERROR(INDEX('Exercise list'!$E$5:$X$102,MATCH($C219,'Exercise list'!$C$5:$C$102,0),MATCH(AH$5,'Exercise list'!$E$4:$X$4,0)),0)</f>
        <v>0</v>
      </c>
      <c r="AI219">
        <f>IFERROR(INDEX('Exercise list'!$E$5:$X$102,MATCH($C219,'Exercise list'!$C$5:$C$102,0),MATCH(AI$5,'Exercise list'!$E$4:$X$4,0)),0)</f>
        <v>0</v>
      </c>
      <c r="AK219">
        <f>IF(OR($J219=1,COUNTIFS($A$5:$A218,"&gt;="&amp;$A219-1,$A$5:$A218,"&lt;="&amp;$A219,$B$5:$B218,$B219)&gt;0,MIN(1-'Exercise list'!E$2,IF($A219=$A218,AK218,1))-P219&lt;0),-1,MIN(1,IF($A219=$A218,AK218,1)-P219+$D$2))</f>
        <v>1</v>
      </c>
      <c r="AL219">
        <f>IF(OR($J219=1,COUNTIFS($A$5:$A218,"&gt;="&amp;$A219-1,$A$5:$A218,"&lt;="&amp;$A219,$B$5:$B218,$B219)&gt;0,MIN(1-'Exercise list'!F$2,IF($A219=$A218,AL218,1))-Q219&lt;0),-1,MIN(1,IF($A219=$A218,AL218,1)-Q219+$D$2))</f>
        <v>1</v>
      </c>
      <c r="AM219">
        <f>IF(OR($J219=1,COUNTIFS($A$5:$A218,"&gt;="&amp;$A219-1,$A$5:$A218,"&lt;="&amp;$A219,$B$5:$B218,$B219)&gt;0,MIN(1-'Exercise list'!G$2,IF($A219=$A218,AM218,1))-R219&lt;0),-1,MIN(1,IF($A219=$A218,AM218,1)-R219+$D$2))</f>
        <v>1</v>
      </c>
      <c r="AN219">
        <f>IF(OR($J219=1,COUNTIFS($A$5:$A218,"&gt;="&amp;$A219-1,$A$5:$A218,"&lt;="&amp;$A219,$B$5:$B218,$B219)&gt;0,MIN(1-'Exercise list'!H$2,IF($A219=$A218,AN218,1))-S219&lt;0),-1,MIN(1,IF($A219=$A218,AN218,1)-S219+$D$2))</f>
        <v>1</v>
      </c>
      <c r="AO219">
        <f>IF(OR($J219=1,COUNTIFS($A$5:$A218,"&gt;="&amp;$A219-1,$A$5:$A218,"&lt;="&amp;$A219,$B$5:$B218,$B219)&gt;0,MIN(1-'Exercise list'!I$2,IF($A219=$A218,AO218,1))-T219&lt;0),-1,MIN(1,IF($A219=$A218,AO218,1)-T219+$D$2))</f>
        <v>1</v>
      </c>
      <c r="AP219">
        <f>IF(OR($J219=1,COUNTIFS($A$5:$A218,"&gt;="&amp;$A219-1,$A$5:$A218,"&lt;="&amp;$A219,$B$5:$B218,$B219)&gt;0,MIN(1-'Exercise list'!J$2,IF($A219=$A218,AP218,1))-U219&lt;0),-1,MIN(1,IF($A219=$A218,AP218,1)-U219+$D$2))</f>
        <v>1</v>
      </c>
      <c r="AQ219">
        <f>IF(OR($J219=1,COUNTIFS($A$5:$A218,"&gt;="&amp;$A219-1,$A$5:$A218,"&lt;="&amp;$A219,$B$5:$B218,$B219)&gt;0,MIN(1-'Exercise list'!K$2,IF($A219=$A218,AQ218,1))-V219&lt;0),-1,MIN(1,IF($A219=$A218,AQ218,1)-V219+$D$2))</f>
        <v>1</v>
      </c>
      <c r="AR219">
        <f>IF(OR($J219=1,COUNTIFS($A$5:$A218,"&gt;="&amp;$A219-1,$A$5:$A218,"&lt;="&amp;$A219,$B$5:$B218,$B219)&gt;0,MIN(1-'Exercise list'!L$2,IF($A219=$A218,AR218,1))-W219&lt;0),-1,MIN(1,IF($A219=$A218,AR218,1)-W219+$D$2))</f>
        <v>1</v>
      </c>
      <c r="AS219">
        <f>IF(OR($J219=1,COUNTIFS($A$5:$A218,"&gt;="&amp;$A219-1,$A$5:$A218,"&lt;="&amp;$A219,$B$5:$B218,$B219)&gt;0,MIN(1-'Exercise list'!M$2,IF($A219=$A218,AS218,1))-X219&lt;0),-1,MIN(1,IF($A219=$A218,AS218,1)-X219+$D$2))</f>
        <v>1</v>
      </c>
      <c r="AT219">
        <f>IF(OR($J219=1,COUNTIFS($A$5:$A218,"&gt;="&amp;$A219-1,$A$5:$A218,"&lt;="&amp;$A219,$B$5:$B218,$B219)&gt;0,MIN(1-'Exercise list'!N$2,IF($A219=$A218,AT218,1))-Y219&lt;0),-1,MIN(1,IF($A219=$A218,AT218,1)-Y219+$D$2))</f>
        <v>1</v>
      </c>
      <c r="AU219">
        <f>IF(OR($J219=1,COUNTIFS($A$5:$A218,"&gt;="&amp;$A219-1,$A$5:$A218,"&lt;="&amp;$A219,$B$5:$B218,$B219)&gt;0,MIN(1-'Exercise list'!O$2,IF($A219=$A218,AU218,1))-Z219&lt;0),-1,MIN(1,IF($A219=$A218,AU218,1)-Z219+$D$2))</f>
        <v>1</v>
      </c>
      <c r="AV219">
        <f>IF(OR($J219=1,COUNTIFS($A$5:$A218,"&gt;="&amp;$A219-1,$A$5:$A218,"&lt;="&amp;$A219,$B$5:$B218,$B219)&gt;0,MIN(1-'Exercise list'!P$2,IF($A219=$A218,AV218,1))-AA219&lt;0),-1,MIN(1,IF($A219=$A218,AV218,1)-AA219+$D$2))</f>
        <v>1</v>
      </c>
      <c r="AW219">
        <f>IF(OR($J219=1,COUNTIFS($A$5:$A218,"&gt;="&amp;$A219-1,$A$5:$A218,"&lt;="&amp;$A219,$B$5:$B218,$B219)&gt;0,MIN(1-'Exercise list'!Q$2,IF($A219=$A218,AW218,1))-AB219&lt;0),-1,MIN(1,IF($A219=$A218,AW218,1)-AB219+$D$2))</f>
        <v>1</v>
      </c>
      <c r="AX219">
        <f>IF(OR($J219=1,COUNTIFS($A$5:$A218,"&gt;="&amp;$A219-1,$A$5:$A218,"&lt;="&amp;$A219,$B$5:$B218,$B219)&gt;0,MIN(1-'Exercise list'!R$2,IF($A219=$A218,AX218,1))-AC219&lt;0),-1,MIN(1,IF($A219=$A218,AX218,1)-AC219+$D$2))</f>
        <v>1</v>
      </c>
      <c r="AY219">
        <f>IF(OR($J219=1,COUNTIFS($A$5:$A218,"&gt;="&amp;$A219-1,$A$5:$A218,"&lt;="&amp;$A219,$B$5:$B218,$B219)&gt;0,MIN(1-'Exercise list'!S$2,IF($A219=$A218,AY218,1))-AD219&lt;0),-1,MIN(1,IF($A219=$A218,AY218,1)-AD219+$D$2))</f>
        <v>1</v>
      </c>
      <c r="AZ219">
        <f>IF(OR($J219=1,COUNTIFS($A$5:$A218,"&gt;="&amp;$A219-1,$A$5:$A218,"&lt;="&amp;$A219,$B$5:$B218,$B219)&gt;0,MIN(1-'Exercise list'!T$2,IF($A219=$A218,AZ218,1))-AE219&lt;0),-1,MIN(1,IF($A219=$A218,AZ218,1)-AE219+$D$2))</f>
        <v>1</v>
      </c>
      <c r="BA219">
        <f>IF(OR($J219=1,COUNTIFS($A$5:$A218,"&gt;="&amp;$A219-1,$A$5:$A218,"&lt;="&amp;$A219,$B$5:$B218,$B219)&gt;0,MIN(1-'Exercise list'!U$2,IF($A219=$A218,BA218,1))-AF219&lt;0),-1,MIN(1,IF($A219=$A218,BA218,1)-AF219+$D$2))</f>
        <v>1</v>
      </c>
      <c r="BB219">
        <f>IF(OR($J219=1,COUNTIFS($A$5:$A218,"&gt;="&amp;$A219-1,$A$5:$A218,"&lt;="&amp;$A219,$B$5:$B218,$B219)&gt;0,MIN(1-'Exercise list'!V$2,IF($A219=$A218,BB218,1))-AG219&lt;0),-1,MIN(1,IF($A219=$A218,BB218,1)-AG219+$D$2))</f>
        <v>1</v>
      </c>
      <c r="BC219">
        <f>IF(OR($J219=1,COUNTIFS($A$5:$A218,"&gt;="&amp;$A219-1,$A$5:$A218,"&lt;="&amp;$A219,$B$5:$B218,$B219)&gt;0,MIN(1-'Exercise list'!W$2,IF($A219=$A218,BC218,1))-AH219&lt;0),-1,MIN(1,IF($A219=$A218,BC218,1)-AH219+$D$2))</f>
        <v>1</v>
      </c>
      <c r="BD219">
        <f>IF(OR($J219=1,COUNTIFS($A$5:$A218,"&gt;="&amp;$A219-1,$A$5:$A218,"&lt;="&amp;$A219,$B$5:$B218,$B219)&gt;0,MIN(1-'Exercise list'!X$2,IF($A219=$A218,BD218,1))-AI219&lt;0),-1,MIN(1,IF($A219=$A218,BD218,1)-AI219+$D$2))</f>
        <v>1</v>
      </c>
      <c r="BF219" s="16">
        <f t="shared" si="145"/>
        <v>0.19596031081758858</v>
      </c>
      <c r="BG219" s="16">
        <f t="shared" si="146"/>
        <v>0.21844636935459236</v>
      </c>
      <c r="BH219" s="16">
        <f t="shared" si="147"/>
        <v>0.14609696635987124</v>
      </c>
      <c r="BI219" s="16">
        <f t="shared" si="148"/>
        <v>0.13198015366034541</v>
      </c>
      <c r="BJ219" s="16">
        <f t="shared" si="149"/>
        <v>8.3367914198418713E-2</v>
      </c>
      <c r="BK219" s="16">
        <f t="shared" si="150"/>
        <v>0.10640640223148412</v>
      </c>
      <c r="BL219" s="16">
        <f t="shared" si="151"/>
        <v>0.21963504743569431</v>
      </c>
      <c r="BM219" s="16">
        <f t="shared" si="152"/>
        <v>3.8988008374820568E-3</v>
      </c>
      <c r="BN219" s="16">
        <f t="shared" si="153"/>
        <v>0.14537706087090876</v>
      </c>
      <c r="BO219" s="16">
        <f t="shared" si="154"/>
        <v>0.29209790661993401</v>
      </c>
      <c r="BP219" s="16">
        <f t="shared" si="155"/>
        <v>0.31584545163401867</v>
      </c>
      <c r="BQ219" s="16">
        <f t="shared" si="156"/>
        <v>0.1000007994126096</v>
      </c>
      <c r="BR219" s="16">
        <f t="shared" si="157"/>
        <v>0.13164487759885393</v>
      </c>
      <c r="BS219" s="16">
        <f t="shared" si="158"/>
        <v>2.9803550189863123E-2</v>
      </c>
      <c r="BT219" s="16">
        <f t="shared" si="159"/>
        <v>0.13492040904978705</v>
      </c>
      <c r="BU219" s="16">
        <f t="shared" si="160"/>
        <v>0.11703687414398131</v>
      </c>
      <c r="BV219" s="16">
        <f t="shared" si="161"/>
        <v>0.14633353213781661</v>
      </c>
      <c r="BW219" s="16">
        <f t="shared" si="162"/>
        <v>7.5588015111767173E-2</v>
      </c>
      <c r="BX219" s="16">
        <f t="shared" si="163"/>
        <v>8.0345659937185704E-2</v>
      </c>
      <c r="BY219" s="16">
        <f t="shared" si="164"/>
        <v>5.9014643151272549E-2</v>
      </c>
      <c r="CA219" s="16" t="str">
        <f t="shared" si="185"/>
        <v/>
      </c>
      <c r="CB219" s="16" t="str">
        <f t="shared" si="166"/>
        <v/>
      </c>
      <c r="CC219" s="16" t="str">
        <f t="shared" si="167"/>
        <v/>
      </c>
      <c r="CD219" s="16" t="str">
        <f t="shared" si="168"/>
        <v/>
      </c>
      <c r="CE219" s="16" t="str">
        <f t="shared" si="169"/>
        <v/>
      </c>
      <c r="CF219" s="16" t="str">
        <f t="shared" si="170"/>
        <v/>
      </c>
      <c r="CG219" s="16" t="str">
        <f t="shared" si="171"/>
        <v/>
      </c>
      <c r="CH219" s="16" t="str">
        <f t="shared" si="172"/>
        <v/>
      </c>
      <c r="CI219" s="16" t="str">
        <f t="shared" si="173"/>
        <v/>
      </c>
      <c r="CJ219" s="16" t="str">
        <f t="shared" si="174"/>
        <v/>
      </c>
      <c r="CK219" s="16" t="str">
        <f t="shared" si="175"/>
        <v/>
      </c>
      <c r="CL219" s="16" t="str">
        <f t="shared" si="176"/>
        <v/>
      </c>
      <c r="CM219" s="16" t="str">
        <f t="shared" si="177"/>
        <v/>
      </c>
      <c r="CN219" s="16" t="str">
        <f t="shared" si="178"/>
        <v/>
      </c>
      <c r="CO219" s="16" t="str">
        <f t="shared" si="179"/>
        <v/>
      </c>
      <c r="CP219" s="16" t="str">
        <f t="shared" si="180"/>
        <v/>
      </c>
      <c r="CQ219" s="16" t="str">
        <f t="shared" si="181"/>
        <v/>
      </c>
      <c r="CR219" s="16" t="str">
        <f t="shared" si="182"/>
        <v/>
      </c>
      <c r="CS219" s="16" t="str">
        <f t="shared" si="183"/>
        <v/>
      </c>
      <c r="CT219" s="16" t="str">
        <f t="shared" si="184"/>
        <v/>
      </c>
    </row>
    <row r="220" spans="1:99" x14ac:dyDescent="0.25">
      <c r="A220" s="13"/>
      <c r="B220" s="14"/>
      <c r="C220" s="15" t="str" cm="1">
        <f t="array" ref="C220">IF(B220="","",INDEX('Exercise list'!$C$5:$C$102,B220))</f>
        <v/>
      </c>
      <c r="D220" s="12" t="str">
        <f t="shared" si="142"/>
        <v/>
      </c>
      <c r="E220" s="107" t="str">
        <f t="shared" si="165"/>
        <v/>
      </c>
      <c r="F220" s="63" t="str" cm="1">
        <f t="array" ref="F220">IF(B220="","",0.1+IFERROR(INDEX($F$6:$F219,SUMPRODUCT(MAX(ROW($C$6:$C219)*($C220=$C$6:$C219))-ROW($A$5)))*0.9^($A220-INDEX($A$6:A219,SUMPRODUCT(MAX(ROW($C$6:$C219)*($C220=$C$6:$C219))-ROW($A$5)))),0))</f>
        <v/>
      </c>
      <c r="G220" s="64" t="e">
        <f>INDEX('Exercise list'!$Y$5:$Y$102,MATCH(C220,'Exercise list'!$C$5:$C$102,0))</f>
        <v>#N/A</v>
      </c>
      <c r="H220" s="115">
        <f t="shared" si="143"/>
        <v>0</v>
      </c>
      <c r="I220" s="6">
        <f t="shared" si="144"/>
        <v>5</v>
      </c>
      <c r="J220" s="6" t="str" cm="1">
        <f t="array" ref="J220">IF(B220="","",INDEX('Exercise list'!$D$5:$D$102,B220))</f>
        <v/>
      </c>
      <c r="K220" s="12"/>
      <c r="L220" s="74" t="str" cm="1">
        <f t="array" ref="L220">IF(K220="","",INDEX('Exercise list'!$C$5:$C$102,K220))</f>
        <v/>
      </c>
      <c r="M220" s="6"/>
      <c r="N220" s="75" t="str" cm="1">
        <f t="array" ref="N220">IF(M220="","",INDEX('Exercise list'!$C$5:$C$102,M220))</f>
        <v/>
      </c>
      <c r="P220">
        <f>IFERROR(INDEX('Exercise list'!$E$5:$X$102,MATCH($C220,'Exercise list'!$C$5:$C$102,0),MATCH(P$5,'Exercise list'!$E$4:$X$4,0)),0)</f>
        <v>0</v>
      </c>
      <c r="Q220">
        <f>IFERROR(INDEX('Exercise list'!$E$5:$X$102,MATCH($C220,'Exercise list'!$C$5:$C$102,0),MATCH(Q$5,'Exercise list'!$E$4:$X$4,0)),0)</f>
        <v>0</v>
      </c>
      <c r="R220">
        <f>IFERROR(INDEX('Exercise list'!$E$5:$X$102,MATCH($C220,'Exercise list'!$C$5:$C$102,0),MATCH(R$5,'Exercise list'!$E$4:$X$4,0)),0)</f>
        <v>0</v>
      </c>
      <c r="S220">
        <f>IFERROR(INDEX('Exercise list'!$E$5:$X$102,MATCH($C220,'Exercise list'!$C$5:$C$102,0),MATCH(S$5,'Exercise list'!$E$4:$X$4,0)),0)</f>
        <v>0</v>
      </c>
      <c r="T220">
        <f>IFERROR(INDEX('Exercise list'!$E$5:$X$102,MATCH($C220,'Exercise list'!$C$5:$C$102,0),MATCH(T$5,'Exercise list'!$E$4:$X$4,0)),0)</f>
        <v>0</v>
      </c>
      <c r="U220">
        <f>IFERROR(INDEX('Exercise list'!$E$5:$X$102,MATCH($C220,'Exercise list'!$C$5:$C$102,0),MATCH(U$5,'Exercise list'!$E$4:$X$4,0)),0)</f>
        <v>0</v>
      </c>
      <c r="V220">
        <f>IFERROR(INDEX('Exercise list'!$E$5:$X$102,MATCH($C220,'Exercise list'!$C$5:$C$102,0),MATCH(V$5,'Exercise list'!$E$4:$X$4,0)),0)</f>
        <v>0</v>
      </c>
      <c r="W220">
        <f>IFERROR(INDEX('Exercise list'!$E$5:$X$102,MATCH($C220,'Exercise list'!$C$5:$C$102,0),MATCH(W$5,'Exercise list'!$E$4:$X$4,0)),0)</f>
        <v>0</v>
      </c>
      <c r="X220">
        <f>IFERROR(INDEX('Exercise list'!$E$5:$X$102,MATCH($C220,'Exercise list'!$C$5:$C$102,0),MATCH(X$5,'Exercise list'!$E$4:$X$4,0)),0)</f>
        <v>0</v>
      </c>
      <c r="Y220">
        <f>IFERROR(INDEX('Exercise list'!$E$5:$X$102,MATCH($C220,'Exercise list'!$C$5:$C$102,0),MATCH(Y$5,'Exercise list'!$E$4:$X$4,0)),0)</f>
        <v>0</v>
      </c>
      <c r="Z220">
        <f>IFERROR(INDEX('Exercise list'!$E$5:$X$102,MATCH($C220,'Exercise list'!$C$5:$C$102,0),MATCH(Z$5,'Exercise list'!$E$4:$X$4,0)),0)</f>
        <v>0</v>
      </c>
      <c r="AA220">
        <f>IFERROR(INDEX('Exercise list'!$E$5:$X$102,MATCH($C220,'Exercise list'!$C$5:$C$102,0),MATCH(AA$5,'Exercise list'!$E$4:$X$4,0)),0)</f>
        <v>0</v>
      </c>
      <c r="AB220">
        <f>IFERROR(INDEX('Exercise list'!$E$5:$X$102,MATCH($C220,'Exercise list'!$C$5:$C$102,0),MATCH(AB$5,'Exercise list'!$E$4:$X$4,0)),0)</f>
        <v>0</v>
      </c>
      <c r="AC220">
        <f>IFERROR(INDEX('Exercise list'!$E$5:$X$102,MATCH($C220,'Exercise list'!$C$5:$C$102,0),MATCH(AC$5,'Exercise list'!$E$4:$X$4,0)),0)</f>
        <v>0</v>
      </c>
      <c r="AD220">
        <f>IFERROR(INDEX('Exercise list'!$E$5:$X$102,MATCH($C220,'Exercise list'!$C$5:$C$102,0),MATCH(AD$5,'Exercise list'!$E$4:$X$4,0)),0)</f>
        <v>0</v>
      </c>
      <c r="AE220">
        <f>IFERROR(INDEX('Exercise list'!$E$5:$X$102,MATCH($C220,'Exercise list'!$C$5:$C$102,0),MATCH(AE$5,'Exercise list'!$E$4:$X$4,0)),0)</f>
        <v>0</v>
      </c>
      <c r="AF220">
        <f>IFERROR(INDEX('Exercise list'!$E$5:$X$102,MATCH($C220,'Exercise list'!$C$5:$C$102,0),MATCH(AF$5,'Exercise list'!$E$4:$X$4,0)),0)</f>
        <v>0</v>
      </c>
      <c r="AG220">
        <f>IFERROR(INDEX('Exercise list'!$E$5:$X$102,MATCH($C220,'Exercise list'!$C$5:$C$102,0),MATCH(AG$5,'Exercise list'!$E$4:$X$4,0)),0)</f>
        <v>0</v>
      </c>
      <c r="AH220">
        <f>IFERROR(INDEX('Exercise list'!$E$5:$X$102,MATCH($C220,'Exercise list'!$C$5:$C$102,0),MATCH(AH$5,'Exercise list'!$E$4:$X$4,0)),0)</f>
        <v>0</v>
      </c>
      <c r="AI220">
        <f>IFERROR(INDEX('Exercise list'!$E$5:$X$102,MATCH($C220,'Exercise list'!$C$5:$C$102,0),MATCH(AI$5,'Exercise list'!$E$4:$X$4,0)),0)</f>
        <v>0</v>
      </c>
      <c r="AK220">
        <f>IF(OR($J220=1,COUNTIFS($A$5:$A219,"&gt;="&amp;$A220-1,$A$5:$A219,"&lt;="&amp;$A220,$B$5:$B219,$B220)&gt;0,MIN(1-'Exercise list'!E$2,IF($A220=$A219,AK219,1))-P220&lt;0),-1,MIN(1,IF($A220=$A219,AK219,1)-P220+$D$2))</f>
        <v>1</v>
      </c>
      <c r="AL220">
        <f>IF(OR($J220=1,COUNTIFS($A$5:$A219,"&gt;="&amp;$A220-1,$A$5:$A219,"&lt;="&amp;$A220,$B$5:$B219,$B220)&gt;0,MIN(1-'Exercise list'!F$2,IF($A220=$A219,AL219,1))-Q220&lt;0),-1,MIN(1,IF($A220=$A219,AL219,1)-Q220+$D$2))</f>
        <v>1</v>
      </c>
      <c r="AM220">
        <f>IF(OR($J220=1,COUNTIFS($A$5:$A219,"&gt;="&amp;$A220-1,$A$5:$A219,"&lt;="&amp;$A220,$B$5:$B219,$B220)&gt;0,MIN(1-'Exercise list'!G$2,IF($A220=$A219,AM219,1))-R220&lt;0),-1,MIN(1,IF($A220=$A219,AM219,1)-R220+$D$2))</f>
        <v>1</v>
      </c>
      <c r="AN220">
        <f>IF(OR($J220=1,COUNTIFS($A$5:$A219,"&gt;="&amp;$A220-1,$A$5:$A219,"&lt;="&amp;$A220,$B$5:$B219,$B220)&gt;0,MIN(1-'Exercise list'!H$2,IF($A220=$A219,AN219,1))-S220&lt;0),-1,MIN(1,IF($A220=$A219,AN219,1)-S220+$D$2))</f>
        <v>1</v>
      </c>
      <c r="AO220">
        <f>IF(OR($J220=1,COUNTIFS($A$5:$A219,"&gt;="&amp;$A220-1,$A$5:$A219,"&lt;="&amp;$A220,$B$5:$B219,$B220)&gt;0,MIN(1-'Exercise list'!I$2,IF($A220=$A219,AO219,1))-T220&lt;0),-1,MIN(1,IF($A220=$A219,AO219,1)-T220+$D$2))</f>
        <v>1</v>
      </c>
      <c r="AP220">
        <f>IF(OR($J220=1,COUNTIFS($A$5:$A219,"&gt;="&amp;$A220-1,$A$5:$A219,"&lt;="&amp;$A220,$B$5:$B219,$B220)&gt;0,MIN(1-'Exercise list'!J$2,IF($A220=$A219,AP219,1))-U220&lt;0),-1,MIN(1,IF($A220=$A219,AP219,1)-U220+$D$2))</f>
        <v>1</v>
      </c>
      <c r="AQ220">
        <f>IF(OR($J220=1,COUNTIFS($A$5:$A219,"&gt;="&amp;$A220-1,$A$5:$A219,"&lt;="&amp;$A220,$B$5:$B219,$B220)&gt;0,MIN(1-'Exercise list'!K$2,IF($A220=$A219,AQ219,1))-V220&lt;0),-1,MIN(1,IF($A220=$A219,AQ219,1)-V220+$D$2))</f>
        <v>1</v>
      </c>
      <c r="AR220">
        <f>IF(OR($J220=1,COUNTIFS($A$5:$A219,"&gt;="&amp;$A220-1,$A$5:$A219,"&lt;="&amp;$A220,$B$5:$B219,$B220)&gt;0,MIN(1-'Exercise list'!L$2,IF($A220=$A219,AR219,1))-W220&lt;0),-1,MIN(1,IF($A220=$A219,AR219,1)-W220+$D$2))</f>
        <v>1</v>
      </c>
      <c r="AS220">
        <f>IF(OR($J220=1,COUNTIFS($A$5:$A219,"&gt;="&amp;$A220-1,$A$5:$A219,"&lt;="&amp;$A220,$B$5:$B219,$B220)&gt;0,MIN(1-'Exercise list'!M$2,IF($A220=$A219,AS219,1))-X220&lt;0),-1,MIN(1,IF($A220=$A219,AS219,1)-X220+$D$2))</f>
        <v>1</v>
      </c>
      <c r="AT220">
        <f>IF(OR($J220=1,COUNTIFS($A$5:$A219,"&gt;="&amp;$A220-1,$A$5:$A219,"&lt;="&amp;$A220,$B$5:$B219,$B220)&gt;0,MIN(1-'Exercise list'!N$2,IF($A220=$A219,AT219,1))-Y220&lt;0),-1,MIN(1,IF($A220=$A219,AT219,1)-Y220+$D$2))</f>
        <v>1</v>
      </c>
      <c r="AU220">
        <f>IF(OR($J220=1,COUNTIFS($A$5:$A219,"&gt;="&amp;$A220-1,$A$5:$A219,"&lt;="&amp;$A220,$B$5:$B219,$B220)&gt;0,MIN(1-'Exercise list'!O$2,IF($A220=$A219,AU219,1))-Z220&lt;0),-1,MIN(1,IF($A220=$A219,AU219,1)-Z220+$D$2))</f>
        <v>1</v>
      </c>
      <c r="AV220">
        <f>IF(OR($J220=1,COUNTIFS($A$5:$A219,"&gt;="&amp;$A220-1,$A$5:$A219,"&lt;="&amp;$A220,$B$5:$B219,$B220)&gt;0,MIN(1-'Exercise list'!P$2,IF($A220=$A219,AV219,1))-AA220&lt;0),-1,MIN(1,IF($A220=$A219,AV219,1)-AA220+$D$2))</f>
        <v>1</v>
      </c>
      <c r="AW220">
        <f>IF(OR($J220=1,COUNTIFS($A$5:$A219,"&gt;="&amp;$A220-1,$A$5:$A219,"&lt;="&amp;$A220,$B$5:$B219,$B220)&gt;0,MIN(1-'Exercise list'!Q$2,IF($A220=$A219,AW219,1))-AB220&lt;0),-1,MIN(1,IF($A220=$A219,AW219,1)-AB220+$D$2))</f>
        <v>1</v>
      </c>
      <c r="AX220">
        <f>IF(OR($J220=1,COUNTIFS($A$5:$A219,"&gt;="&amp;$A220-1,$A$5:$A219,"&lt;="&amp;$A220,$B$5:$B219,$B220)&gt;0,MIN(1-'Exercise list'!R$2,IF($A220=$A219,AX219,1))-AC220&lt;0),-1,MIN(1,IF($A220=$A219,AX219,1)-AC220+$D$2))</f>
        <v>1</v>
      </c>
      <c r="AY220">
        <f>IF(OR($J220=1,COUNTIFS($A$5:$A219,"&gt;="&amp;$A220-1,$A$5:$A219,"&lt;="&amp;$A220,$B$5:$B219,$B220)&gt;0,MIN(1-'Exercise list'!S$2,IF($A220=$A219,AY219,1))-AD220&lt;0),-1,MIN(1,IF($A220=$A219,AY219,1)-AD220+$D$2))</f>
        <v>1</v>
      </c>
      <c r="AZ220">
        <f>IF(OR($J220=1,COUNTIFS($A$5:$A219,"&gt;="&amp;$A220-1,$A$5:$A219,"&lt;="&amp;$A220,$B$5:$B219,$B220)&gt;0,MIN(1-'Exercise list'!T$2,IF($A220=$A219,AZ219,1))-AE220&lt;0),-1,MIN(1,IF($A220=$A219,AZ219,1)-AE220+$D$2))</f>
        <v>1</v>
      </c>
      <c r="BA220">
        <f>IF(OR($J220=1,COUNTIFS($A$5:$A219,"&gt;="&amp;$A220-1,$A$5:$A219,"&lt;="&amp;$A220,$B$5:$B219,$B220)&gt;0,MIN(1-'Exercise list'!U$2,IF($A220=$A219,BA219,1))-AF220&lt;0),-1,MIN(1,IF($A220=$A219,BA219,1)-AF220+$D$2))</f>
        <v>1</v>
      </c>
      <c r="BB220">
        <f>IF(OR($J220=1,COUNTIFS($A$5:$A219,"&gt;="&amp;$A220-1,$A$5:$A219,"&lt;="&amp;$A220,$B$5:$B219,$B220)&gt;0,MIN(1-'Exercise list'!V$2,IF($A220=$A219,BB219,1))-AG220&lt;0),-1,MIN(1,IF($A220=$A219,BB219,1)-AG220+$D$2))</f>
        <v>1</v>
      </c>
      <c r="BC220">
        <f>IF(OR($J220=1,COUNTIFS($A$5:$A219,"&gt;="&amp;$A220-1,$A$5:$A219,"&lt;="&amp;$A220,$B$5:$B219,$B220)&gt;0,MIN(1-'Exercise list'!W$2,IF($A220=$A219,BC219,1))-AH220&lt;0),-1,MIN(1,IF($A220=$A219,BC219,1)-AH220+$D$2))</f>
        <v>1</v>
      </c>
      <c r="BD220">
        <f>IF(OR($J220=1,COUNTIFS($A$5:$A219,"&gt;="&amp;$A220-1,$A$5:$A219,"&lt;="&amp;$A220,$B$5:$B219,$B220)&gt;0,MIN(1-'Exercise list'!X$2,IF($A220=$A219,BD219,1))-AI220&lt;0),-1,MIN(1,IF($A220=$A219,BD219,1)-AI220+$D$2))</f>
        <v>1</v>
      </c>
      <c r="BF220" s="16">
        <f t="shared" si="145"/>
        <v>0.19596031081758858</v>
      </c>
      <c r="BG220" s="16">
        <f t="shared" si="146"/>
        <v>0.21844636935459236</v>
      </c>
      <c r="BH220" s="16">
        <f t="shared" si="147"/>
        <v>0.14609696635987124</v>
      </c>
      <c r="BI220" s="16">
        <f t="shared" si="148"/>
        <v>0.13198015366034541</v>
      </c>
      <c r="BJ220" s="16">
        <f t="shared" si="149"/>
        <v>8.3367914198418713E-2</v>
      </c>
      <c r="BK220" s="16">
        <f t="shared" si="150"/>
        <v>0.10640640223148412</v>
      </c>
      <c r="BL220" s="16">
        <f t="shared" si="151"/>
        <v>0.21963504743569431</v>
      </c>
      <c r="BM220" s="16">
        <f t="shared" si="152"/>
        <v>3.8988008374820568E-3</v>
      </c>
      <c r="BN220" s="16">
        <f t="shared" si="153"/>
        <v>0.14537706087090876</v>
      </c>
      <c r="BO220" s="16">
        <f t="shared" si="154"/>
        <v>0.29209790661993401</v>
      </c>
      <c r="BP220" s="16">
        <f t="shared" si="155"/>
        <v>0.31584545163401867</v>
      </c>
      <c r="BQ220" s="16">
        <f t="shared" si="156"/>
        <v>0.1000007994126096</v>
      </c>
      <c r="BR220" s="16">
        <f t="shared" si="157"/>
        <v>0.13164487759885393</v>
      </c>
      <c r="BS220" s="16">
        <f t="shared" si="158"/>
        <v>2.9803550189863123E-2</v>
      </c>
      <c r="BT220" s="16">
        <f t="shared" si="159"/>
        <v>0.13492040904978705</v>
      </c>
      <c r="BU220" s="16">
        <f t="shared" si="160"/>
        <v>0.11703687414398131</v>
      </c>
      <c r="BV220" s="16">
        <f t="shared" si="161"/>
        <v>0.14633353213781661</v>
      </c>
      <c r="BW220" s="16">
        <f t="shared" si="162"/>
        <v>7.5588015111767173E-2</v>
      </c>
      <c r="BX220" s="16">
        <f t="shared" si="163"/>
        <v>8.0345659937185704E-2</v>
      </c>
      <c r="BY220" s="16">
        <f t="shared" si="164"/>
        <v>5.9014643151272549E-2</v>
      </c>
      <c r="CA220" s="16" t="str">
        <f t="shared" si="185"/>
        <v/>
      </c>
      <c r="CB220" s="16" t="str">
        <f t="shared" si="166"/>
        <v/>
      </c>
      <c r="CC220" s="16" t="str">
        <f t="shared" si="167"/>
        <v/>
      </c>
      <c r="CD220" s="16" t="str">
        <f t="shared" si="168"/>
        <v/>
      </c>
      <c r="CE220" s="16" t="str">
        <f t="shared" si="169"/>
        <v/>
      </c>
      <c r="CF220" s="16" t="str">
        <f t="shared" si="170"/>
        <v/>
      </c>
      <c r="CG220" s="16" t="str">
        <f t="shared" si="171"/>
        <v/>
      </c>
      <c r="CH220" s="16" t="str">
        <f t="shared" si="172"/>
        <v/>
      </c>
      <c r="CI220" s="16" t="str">
        <f t="shared" si="173"/>
        <v/>
      </c>
      <c r="CJ220" s="16" t="str">
        <f t="shared" si="174"/>
        <v/>
      </c>
      <c r="CK220" s="16" t="str">
        <f t="shared" si="175"/>
        <v/>
      </c>
      <c r="CL220" s="16" t="str">
        <f t="shared" si="176"/>
        <v/>
      </c>
      <c r="CM220" s="16" t="str">
        <f t="shared" si="177"/>
        <v/>
      </c>
      <c r="CN220" s="16" t="str">
        <f t="shared" si="178"/>
        <v/>
      </c>
      <c r="CO220" s="16" t="str">
        <f t="shared" si="179"/>
        <v/>
      </c>
      <c r="CP220" s="16" t="str">
        <f t="shared" si="180"/>
        <v/>
      </c>
      <c r="CQ220" s="16" t="str">
        <f t="shared" si="181"/>
        <v/>
      </c>
      <c r="CR220" s="16" t="str">
        <f t="shared" si="182"/>
        <v/>
      </c>
      <c r="CS220" s="16" t="str">
        <f t="shared" si="183"/>
        <v/>
      </c>
      <c r="CT220" s="16" t="str">
        <f t="shared" si="184"/>
        <v/>
      </c>
    </row>
    <row r="221" spans="1:99" x14ac:dyDescent="0.25">
      <c r="A221" s="13"/>
      <c r="B221" s="14"/>
      <c r="C221" s="15" t="str" cm="1">
        <f t="array" ref="C221">IF(B221="","",INDEX('Exercise list'!$C$5:$C$102,B221))</f>
        <v/>
      </c>
      <c r="D221" s="12" t="str">
        <f t="shared" si="142"/>
        <v/>
      </c>
      <c r="E221" s="107" t="str">
        <f t="shared" si="165"/>
        <v/>
      </c>
      <c r="F221" s="63" t="str" cm="1">
        <f t="array" ref="F221">IF(B221="","",0.1+IFERROR(INDEX($F$6:$F220,SUMPRODUCT(MAX(ROW($C$6:$C220)*($C221=$C$6:$C220))-ROW($A$5)))*0.9^($A221-INDEX($A$6:A220,SUMPRODUCT(MAX(ROW($C$6:$C220)*($C221=$C$6:$C220))-ROW($A$5)))),0))</f>
        <v/>
      </c>
      <c r="G221" s="64" t="e">
        <f>INDEX('Exercise list'!$Y$5:$Y$102,MATCH(C221,'Exercise list'!$C$5:$C$102,0))</f>
        <v>#N/A</v>
      </c>
      <c r="H221" s="115">
        <f t="shared" si="143"/>
        <v>0</v>
      </c>
      <c r="I221" s="6">
        <f t="shared" si="144"/>
        <v>5</v>
      </c>
      <c r="J221" s="6" t="str" cm="1">
        <f t="array" ref="J221">IF(B221="","",INDEX('Exercise list'!$D$5:$D$102,B221))</f>
        <v/>
      </c>
      <c r="K221" s="12"/>
      <c r="L221" s="74" t="str" cm="1">
        <f t="array" ref="L221">IF(K221="","",INDEX('Exercise list'!$C$5:$C$102,K221))</f>
        <v/>
      </c>
      <c r="M221" s="6"/>
      <c r="N221" s="75" t="str" cm="1">
        <f t="array" ref="N221">IF(M221="","",INDEX('Exercise list'!$C$5:$C$102,M221))</f>
        <v/>
      </c>
      <c r="P221">
        <f>IFERROR(INDEX('Exercise list'!$E$5:$X$102,MATCH($C221,'Exercise list'!$C$5:$C$102,0),MATCH(P$5,'Exercise list'!$E$4:$X$4,0)),0)</f>
        <v>0</v>
      </c>
      <c r="Q221">
        <f>IFERROR(INDEX('Exercise list'!$E$5:$X$102,MATCH($C221,'Exercise list'!$C$5:$C$102,0),MATCH(Q$5,'Exercise list'!$E$4:$X$4,0)),0)</f>
        <v>0</v>
      </c>
      <c r="R221">
        <f>IFERROR(INDEX('Exercise list'!$E$5:$X$102,MATCH($C221,'Exercise list'!$C$5:$C$102,0),MATCH(R$5,'Exercise list'!$E$4:$X$4,0)),0)</f>
        <v>0</v>
      </c>
      <c r="S221">
        <f>IFERROR(INDEX('Exercise list'!$E$5:$X$102,MATCH($C221,'Exercise list'!$C$5:$C$102,0),MATCH(S$5,'Exercise list'!$E$4:$X$4,0)),0)</f>
        <v>0</v>
      </c>
      <c r="T221">
        <f>IFERROR(INDEX('Exercise list'!$E$5:$X$102,MATCH($C221,'Exercise list'!$C$5:$C$102,0),MATCH(T$5,'Exercise list'!$E$4:$X$4,0)),0)</f>
        <v>0</v>
      </c>
      <c r="U221">
        <f>IFERROR(INDEX('Exercise list'!$E$5:$X$102,MATCH($C221,'Exercise list'!$C$5:$C$102,0),MATCH(U$5,'Exercise list'!$E$4:$X$4,0)),0)</f>
        <v>0</v>
      </c>
      <c r="V221">
        <f>IFERROR(INDEX('Exercise list'!$E$5:$X$102,MATCH($C221,'Exercise list'!$C$5:$C$102,0),MATCH(V$5,'Exercise list'!$E$4:$X$4,0)),0)</f>
        <v>0</v>
      </c>
      <c r="W221">
        <f>IFERROR(INDEX('Exercise list'!$E$5:$X$102,MATCH($C221,'Exercise list'!$C$5:$C$102,0),MATCH(W$5,'Exercise list'!$E$4:$X$4,0)),0)</f>
        <v>0</v>
      </c>
      <c r="X221">
        <f>IFERROR(INDEX('Exercise list'!$E$5:$X$102,MATCH($C221,'Exercise list'!$C$5:$C$102,0),MATCH(X$5,'Exercise list'!$E$4:$X$4,0)),0)</f>
        <v>0</v>
      </c>
      <c r="Y221">
        <f>IFERROR(INDEX('Exercise list'!$E$5:$X$102,MATCH($C221,'Exercise list'!$C$5:$C$102,0),MATCH(Y$5,'Exercise list'!$E$4:$X$4,0)),0)</f>
        <v>0</v>
      </c>
      <c r="Z221">
        <f>IFERROR(INDEX('Exercise list'!$E$5:$X$102,MATCH($C221,'Exercise list'!$C$5:$C$102,0),MATCH(Z$5,'Exercise list'!$E$4:$X$4,0)),0)</f>
        <v>0</v>
      </c>
      <c r="AA221">
        <f>IFERROR(INDEX('Exercise list'!$E$5:$X$102,MATCH($C221,'Exercise list'!$C$5:$C$102,0),MATCH(AA$5,'Exercise list'!$E$4:$X$4,0)),0)</f>
        <v>0</v>
      </c>
      <c r="AB221">
        <f>IFERROR(INDEX('Exercise list'!$E$5:$X$102,MATCH($C221,'Exercise list'!$C$5:$C$102,0),MATCH(AB$5,'Exercise list'!$E$4:$X$4,0)),0)</f>
        <v>0</v>
      </c>
      <c r="AC221">
        <f>IFERROR(INDEX('Exercise list'!$E$5:$X$102,MATCH($C221,'Exercise list'!$C$5:$C$102,0),MATCH(AC$5,'Exercise list'!$E$4:$X$4,0)),0)</f>
        <v>0</v>
      </c>
      <c r="AD221">
        <f>IFERROR(INDEX('Exercise list'!$E$5:$X$102,MATCH($C221,'Exercise list'!$C$5:$C$102,0),MATCH(AD$5,'Exercise list'!$E$4:$X$4,0)),0)</f>
        <v>0</v>
      </c>
      <c r="AE221">
        <f>IFERROR(INDEX('Exercise list'!$E$5:$X$102,MATCH($C221,'Exercise list'!$C$5:$C$102,0),MATCH(AE$5,'Exercise list'!$E$4:$X$4,0)),0)</f>
        <v>0</v>
      </c>
      <c r="AF221">
        <f>IFERROR(INDEX('Exercise list'!$E$5:$X$102,MATCH($C221,'Exercise list'!$C$5:$C$102,0),MATCH(AF$5,'Exercise list'!$E$4:$X$4,0)),0)</f>
        <v>0</v>
      </c>
      <c r="AG221">
        <f>IFERROR(INDEX('Exercise list'!$E$5:$X$102,MATCH($C221,'Exercise list'!$C$5:$C$102,0),MATCH(AG$5,'Exercise list'!$E$4:$X$4,0)),0)</f>
        <v>0</v>
      </c>
      <c r="AH221">
        <f>IFERROR(INDEX('Exercise list'!$E$5:$X$102,MATCH($C221,'Exercise list'!$C$5:$C$102,0),MATCH(AH$5,'Exercise list'!$E$4:$X$4,0)),0)</f>
        <v>0</v>
      </c>
      <c r="AI221">
        <f>IFERROR(INDEX('Exercise list'!$E$5:$X$102,MATCH($C221,'Exercise list'!$C$5:$C$102,0),MATCH(AI$5,'Exercise list'!$E$4:$X$4,0)),0)</f>
        <v>0</v>
      </c>
      <c r="AK221">
        <f>IF(OR($J221=1,COUNTIFS($A$5:$A220,"&gt;="&amp;$A221-1,$A$5:$A220,"&lt;="&amp;$A221,$B$5:$B220,$B221)&gt;0,MIN(1-'Exercise list'!E$2,IF($A221=$A220,AK220,1))-P221&lt;0),-1,MIN(1,IF($A221=$A220,AK220,1)-P221+$D$2))</f>
        <v>1</v>
      </c>
      <c r="AL221">
        <f>IF(OR($J221=1,COUNTIFS($A$5:$A220,"&gt;="&amp;$A221-1,$A$5:$A220,"&lt;="&amp;$A221,$B$5:$B220,$B221)&gt;0,MIN(1-'Exercise list'!F$2,IF($A221=$A220,AL220,1))-Q221&lt;0),-1,MIN(1,IF($A221=$A220,AL220,1)-Q221+$D$2))</f>
        <v>1</v>
      </c>
      <c r="AM221">
        <f>IF(OR($J221=1,COUNTIFS($A$5:$A220,"&gt;="&amp;$A221-1,$A$5:$A220,"&lt;="&amp;$A221,$B$5:$B220,$B221)&gt;0,MIN(1-'Exercise list'!G$2,IF($A221=$A220,AM220,1))-R221&lt;0),-1,MIN(1,IF($A221=$A220,AM220,1)-R221+$D$2))</f>
        <v>1</v>
      </c>
      <c r="AN221">
        <f>IF(OR($J221=1,COUNTIFS($A$5:$A220,"&gt;="&amp;$A221-1,$A$5:$A220,"&lt;="&amp;$A221,$B$5:$B220,$B221)&gt;0,MIN(1-'Exercise list'!H$2,IF($A221=$A220,AN220,1))-S221&lt;0),-1,MIN(1,IF($A221=$A220,AN220,1)-S221+$D$2))</f>
        <v>1</v>
      </c>
      <c r="AO221">
        <f>IF(OR($J221=1,COUNTIFS($A$5:$A220,"&gt;="&amp;$A221-1,$A$5:$A220,"&lt;="&amp;$A221,$B$5:$B220,$B221)&gt;0,MIN(1-'Exercise list'!I$2,IF($A221=$A220,AO220,1))-T221&lt;0),-1,MIN(1,IF($A221=$A220,AO220,1)-T221+$D$2))</f>
        <v>1</v>
      </c>
      <c r="AP221">
        <f>IF(OR($J221=1,COUNTIFS($A$5:$A220,"&gt;="&amp;$A221-1,$A$5:$A220,"&lt;="&amp;$A221,$B$5:$B220,$B221)&gt;0,MIN(1-'Exercise list'!J$2,IF($A221=$A220,AP220,1))-U221&lt;0),-1,MIN(1,IF($A221=$A220,AP220,1)-U221+$D$2))</f>
        <v>1</v>
      </c>
      <c r="AQ221">
        <f>IF(OR($J221=1,COUNTIFS($A$5:$A220,"&gt;="&amp;$A221-1,$A$5:$A220,"&lt;="&amp;$A221,$B$5:$B220,$B221)&gt;0,MIN(1-'Exercise list'!K$2,IF($A221=$A220,AQ220,1))-V221&lt;0),-1,MIN(1,IF($A221=$A220,AQ220,1)-V221+$D$2))</f>
        <v>1</v>
      </c>
      <c r="AR221">
        <f>IF(OR($J221=1,COUNTIFS($A$5:$A220,"&gt;="&amp;$A221-1,$A$5:$A220,"&lt;="&amp;$A221,$B$5:$B220,$B221)&gt;0,MIN(1-'Exercise list'!L$2,IF($A221=$A220,AR220,1))-W221&lt;0),-1,MIN(1,IF($A221=$A220,AR220,1)-W221+$D$2))</f>
        <v>1</v>
      </c>
      <c r="AS221">
        <f>IF(OR($J221=1,COUNTIFS($A$5:$A220,"&gt;="&amp;$A221-1,$A$5:$A220,"&lt;="&amp;$A221,$B$5:$B220,$B221)&gt;0,MIN(1-'Exercise list'!M$2,IF($A221=$A220,AS220,1))-X221&lt;0),-1,MIN(1,IF($A221=$A220,AS220,1)-X221+$D$2))</f>
        <v>1</v>
      </c>
      <c r="AT221">
        <f>IF(OR($J221=1,COUNTIFS($A$5:$A220,"&gt;="&amp;$A221-1,$A$5:$A220,"&lt;="&amp;$A221,$B$5:$B220,$B221)&gt;0,MIN(1-'Exercise list'!N$2,IF($A221=$A220,AT220,1))-Y221&lt;0),-1,MIN(1,IF($A221=$A220,AT220,1)-Y221+$D$2))</f>
        <v>1</v>
      </c>
      <c r="AU221">
        <f>IF(OR($J221=1,COUNTIFS($A$5:$A220,"&gt;="&amp;$A221-1,$A$5:$A220,"&lt;="&amp;$A221,$B$5:$B220,$B221)&gt;0,MIN(1-'Exercise list'!O$2,IF($A221=$A220,AU220,1))-Z221&lt;0),-1,MIN(1,IF($A221=$A220,AU220,1)-Z221+$D$2))</f>
        <v>1</v>
      </c>
      <c r="AV221">
        <f>IF(OR($J221=1,COUNTIFS($A$5:$A220,"&gt;="&amp;$A221-1,$A$5:$A220,"&lt;="&amp;$A221,$B$5:$B220,$B221)&gt;0,MIN(1-'Exercise list'!P$2,IF($A221=$A220,AV220,1))-AA221&lt;0),-1,MIN(1,IF($A221=$A220,AV220,1)-AA221+$D$2))</f>
        <v>1</v>
      </c>
      <c r="AW221">
        <f>IF(OR($J221=1,COUNTIFS($A$5:$A220,"&gt;="&amp;$A221-1,$A$5:$A220,"&lt;="&amp;$A221,$B$5:$B220,$B221)&gt;0,MIN(1-'Exercise list'!Q$2,IF($A221=$A220,AW220,1))-AB221&lt;0),-1,MIN(1,IF($A221=$A220,AW220,1)-AB221+$D$2))</f>
        <v>1</v>
      </c>
      <c r="AX221">
        <f>IF(OR($J221=1,COUNTIFS($A$5:$A220,"&gt;="&amp;$A221-1,$A$5:$A220,"&lt;="&amp;$A221,$B$5:$B220,$B221)&gt;0,MIN(1-'Exercise list'!R$2,IF($A221=$A220,AX220,1))-AC221&lt;0),-1,MIN(1,IF($A221=$A220,AX220,1)-AC221+$D$2))</f>
        <v>1</v>
      </c>
      <c r="AY221">
        <f>IF(OR($J221=1,COUNTIFS($A$5:$A220,"&gt;="&amp;$A221-1,$A$5:$A220,"&lt;="&amp;$A221,$B$5:$B220,$B221)&gt;0,MIN(1-'Exercise list'!S$2,IF($A221=$A220,AY220,1))-AD221&lt;0),-1,MIN(1,IF($A221=$A220,AY220,1)-AD221+$D$2))</f>
        <v>1</v>
      </c>
      <c r="AZ221">
        <f>IF(OR($J221=1,COUNTIFS($A$5:$A220,"&gt;="&amp;$A221-1,$A$5:$A220,"&lt;="&amp;$A221,$B$5:$B220,$B221)&gt;0,MIN(1-'Exercise list'!T$2,IF($A221=$A220,AZ220,1))-AE221&lt;0),-1,MIN(1,IF($A221=$A220,AZ220,1)-AE221+$D$2))</f>
        <v>1</v>
      </c>
      <c r="BA221">
        <f>IF(OR($J221=1,COUNTIFS($A$5:$A220,"&gt;="&amp;$A221-1,$A$5:$A220,"&lt;="&amp;$A221,$B$5:$B220,$B221)&gt;0,MIN(1-'Exercise list'!U$2,IF($A221=$A220,BA220,1))-AF221&lt;0),-1,MIN(1,IF($A221=$A220,BA220,1)-AF221+$D$2))</f>
        <v>1</v>
      </c>
      <c r="BB221">
        <f>IF(OR($J221=1,COUNTIFS($A$5:$A220,"&gt;="&amp;$A221-1,$A$5:$A220,"&lt;="&amp;$A221,$B$5:$B220,$B221)&gt;0,MIN(1-'Exercise list'!V$2,IF($A221=$A220,BB220,1))-AG221&lt;0),-1,MIN(1,IF($A221=$A220,BB220,1)-AG221+$D$2))</f>
        <v>1</v>
      </c>
      <c r="BC221">
        <f>IF(OR($J221=1,COUNTIFS($A$5:$A220,"&gt;="&amp;$A221-1,$A$5:$A220,"&lt;="&amp;$A221,$B$5:$B220,$B221)&gt;0,MIN(1-'Exercise list'!W$2,IF($A221=$A220,BC220,1))-AH221&lt;0),-1,MIN(1,IF($A221=$A220,BC220,1)-AH221+$D$2))</f>
        <v>1</v>
      </c>
      <c r="BD221">
        <f>IF(OR($J221=1,COUNTIFS($A$5:$A220,"&gt;="&amp;$A221-1,$A$5:$A220,"&lt;="&amp;$A221,$B$5:$B220,$B221)&gt;0,MIN(1-'Exercise list'!X$2,IF($A221=$A220,BD220,1))-AI221&lt;0),-1,MIN(1,IF($A221=$A220,BD220,1)-AI221+$D$2))</f>
        <v>1</v>
      </c>
      <c r="BF221" s="16">
        <f t="shared" si="145"/>
        <v>0.19596031081758858</v>
      </c>
      <c r="BG221" s="16">
        <f t="shared" si="146"/>
        <v>0.21844636935459236</v>
      </c>
      <c r="BH221" s="16">
        <f t="shared" si="147"/>
        <v>0.14609696635987124</v>
      </c>
      <c r="BI221" s="16">
        <f t="shared" si="148"/>
        <v>0.13198015366034541</v>
      </c>
      <c r="BJ221" s="16">
        <f t="shared" si="149"/>
        <v>8.3367914198418713E-2</v>
      </c>
      <c r="BK221" s="16">
        <f t="shared" si="150"/>
        <v>0.10640640223148412</v>
      </c>
      <c r="BL221" s="16">
        <f t="shared" si="151"/>
        <v>0.21963504743569431</v>
      </c>
      <c r="BM221" s="16">
        <f t="shared" si="152"/>
        <v>3.8988008374820568E-3</v>
      </c>
      <c r="BN221" s="16">
        <f t="shared" si="153"/>
        <v>0.14537706087090876</v>
      </c>
      <c r="BO221" s="16">
        <f t="shared" si="154"/>
        <v>0.29209790661993401</v>
      </c>
      <c r="BP221" s="16">
        <f t="shared" si="155"/>
        <v>0.31584545163401867</v>
      </c>
      <c r="BQ221" s="16">
        <f t="shared" si="156"/>
        <v>0.1000007994126096</v>
      </c>
      <c r="BR221" s="16">
        <f t="shared" si="157"/>
        <v>0.13164487759885393</v>
      </c>
      <c r="BS221" s="16">
        <f t="shared" si="158"/>
        <v>2.9803550189863123E-2</v>
      </c>
      <c r="BT221" s="16">
        <f t="shared" si="159"/>
        <v>0.13492040904978705</v>
      </c>
      <c r="BU221" s="16">
        <f t="shared" si="160"/>
        <v>0.11703687414398131</v>
      </c>
      <c r="BV221" s="16">
        <f t="shared" si="161"/>
        <v>0.14633353213781661</v>
      </c>
      <c r="BW221" s="16">
        <f t="shared" si="162"/>
        <v>7.5588015111767173E-2</v>
      </c>
      <c r="BX221" s="16">
        <f t="shared" si="163"/>
        <v>8.0345659937185704E-2</v>
      </c>
      <c r="BY221" s="16">
        <f t="shared" si="164"/>
        <v>5.9014643151272549E-2</v>
      </c>
      <c r="CA221" s="16" t="str">
        <f t="shared" si="185"/>
        <v/>
      </c>
      <c r="CB221" s="16" t="str">
        <f t="shared" si="166"/>
        <v/>
      </c>
      <c r="CC221" s="16" t="str">
        <f t="shared" si="167"/>
        <v/>
      </c>
      <c r="CD221" s="16" t="str">
        <f t="shared" si="168"/>
        <v/>
      </c>
      <c r="CE221" s="16" t="str">
        <f t="shared" si="169"/>
        <v/>
      </c>
      <c r="CF221" s="16" t="str">
        <f t="shared" si="170"/>
        <v/>
      </c>
      <c r="CG221" s="16" t="str">
        <f t="shared" si="171"/>
        <v/>
      </c>
      <c r="CH221" s="16" t="str">
        <f t="shared" si="172"/>
        <v/>
      </c>
      <c r="CI221" s="16" t="str">
        <f t="shared" si="173"/>
        <v/>
      </c>
      <c r="CJ221" s="16" t="str">
        <f t="shared" si="174"/>
        <v/>
      </c>
      <c r="CK221" s="16" t="str">
        <f t="shared" si="175"/>
        <v/>
      </c>
      <c r="CL221" s="16" t="str">
        <f t="shared" si="176"/>
        <v/>
      </c>
      <c r="CM221" s="16" t="str">
        <f t="shared" si="177"/>
        <v/>
      </c>
      <c r="CN221" s="16" t="str">
        <f t="shared" si="178"/>
        <v/>
      </c>
      <c r="CO221" s="16" t="str">
        <f t="shared" si="179"/>
        <v/>
      </c>
      <c r="CP221" s="16" t="str">
        <f t="shared" si="180"/>
        <v/>
      </c>
      <c r="CQ221" s="16" t="str">
        <f t="shared" si="181"/>
        <v/>
      </c>
      <c r="CR221" s="16" t="str">
        <f t="shared" si="182"/>
        <v/>
      </c>
      <c r="CS221" s="16" t="str">
        <f t="shared" si="183"/>
        <v/>
      </c>
      <c r="CT221" s="16" t="str">
        <f t="shared" si="184"/>
        <v/>
      </c>
    </row>
    <row r="222" spans="1:99" x14ac:dyDescent="0.25">
      <c r="A222" s="13"/>
      <c r="B222" s="14"/>
      <c r="C222" s="15" t="str" cm="1">
        <f t="array" ref="C222">IF(B222="","",INDEX('Exercise list'!$C$5:$C$102,B222))</f>
        <v/>
      </c>
      <c r="D222" s="12" t="str">
        <f t="shared" si="142"/>
        <v/>
      </c>
      <c r="E222" s="107" t="str">
        <f t="shared" si="165"/>
        <v/>
      </c>
      <c r="F222" s="63" t="str" cm="1">
        <f t="array" ref="F222">IF(B222="","",0.1+IFERROR(INDEX($F$6:$F221,SUMPRODUCT(MAX(ROW($C$6:$C221)*($C222=$C$6:$C221))-ROW($A$5)))*0.9^($A222-INDEX($A$6:A221,SUMPRODUCT(MAX(ROW($C$6:$C221)*($C222=$C$6:$C221))-ROW($A$5)))),0))</f>
        <v/>
      </c>
      <c r="G222" s="64" t="e">
        <f>INDEX('Exercise list'!$Y$5:$Y$102,MATCH(C222,'Exercise list'!$C$5:$C$102,0))</f>
        <v>#N/A</v>
      </c>
      <c r="H222" s="115">
        <f t="shared" si="143"/>
        <v>0</v>
      </c>
      <c r="I222" s="6">
        <f t="shared" si="144"/>
        <v>5</v>
      </c>
      <c r="J222" s="6" t="str" cm="1">
        <f t="array" ref="J222">IF(B222="","",INDEX('Exercise list'!$D$5:$D$102,B222))</f>
        <v/>
      </c>
      <c r="K222" s="12"/>
      <c r="L222" s="74" t="str" cm="1">
        <f t="array" ref="L222">IF(K222="","",INDEX('Exercise list'!$C$5:$C$102,K222))</f>
        <v/>
      </c>
      <c r="M222" s="6"/>
      <c r="N222" s="75" t="str" cm="1">
        <f t="array" ref="N222">IF(M222="","",INDEX('Exercise list'!$C$5:$C$102,M222))</f>
        <v/>
      </c>
      <c r="P222">
        <f>IFERROR(INDEX('Exercise list'!$E$5:$X$102,MATCH($C222,'Exercise list'!$C$5:$C$102,0),MATCH(P$5,'Exercise list'!$E$4:$X$4,0)),0)</f>
        <v>0</v>
      </c>
      <c r="Q222">
        <f>IFERROR(INDEX('Exercise list'!$E$5:$X$102,MATCH($C222,'Exercise list'!$C$5:$C$102,0),MATCH(Q$5,'Exercise list'!$E$4:$X$4,0)),0)</f>
        <v>0</v>
      </c>
      <c r="R222">
        <f>IFERROR(INDEX('Exercise list'!$E$5:$X$102,MATCH($C222,'Exercise list'!$C$5:$C$102,0),MATCH(R$5,'Exercise list'!$E$4:$X$4,0)),0)</f>
        <v>0</v>
      </c>
      <c r="S222">
        <f>IFERROR(INDEX('Exercise list'!$E$5:$X$102,MATCH($C222,'Exercise list'!$C$5:$C$102,0),MATCH(S$5,'Exercise list'!$E$4:$X$4,0)),0)</f>
        <v>0</v>
      </c>
      <c r="T222">
        <f>IFERROR(INDEX('Exercise list'!$E$5:$X$102,MATCH($C222,'Exercise list'!$C$5:$C$102,0),MATCH(T$5,'Exercise list'!$E$4:$X$4,0)),0)</f>
        <v>0</v>
      </c>
      <c r="U222">
        <f>IFERROR(INDEX('Exercise list'!$E$5:$X$102,MATCH($C222,'Exercise list'!$C$5:$C$102,0),MATCH(U$5,'Exercise list'!$E$4:$X$4,0)),0)</f>
        <v>0</v>
      </c>
      <c r="V222">
        <f>IFERROR(INDEX('Exercise list'!$E$5:$X$102,MATCH($C222,'Exercise list'!$C$5:$C$102,0),MATCH(V$5,'Exercise list'!$E$4:$X$4,0)),0)</f>
        <v>0</v>
      </c>
      <c r="W222">
        <f>IFERROR(INDEX('Exercise list'!$E$5:$X$102,MATCH($C222,'Exercise list'!$C$5:$C$102,0),MATCH(W$5,'Exercise list'!$E$4:$X$4,0)),0)</f>
        <v>0</v>
      </c>
      <c r="X222">
        <f>IFERROR(INDEX('Exercise list'!$E$5:$X$102,MATCH($C222,'Exercise list'!$C$5:$C$102,0),MATCH(X$5,'Exercise list'!$E$4:$X$4,0)),0)</f>
        <v>0</v>
      </c>
      <c r="Y222">
        <f>IFERROR(INDEX('Exercise list'!$E$5:$X$102,MATCH($C222,'Exercise list'!$C$5:$C$102,0),MATCH(Y$5,'Exercise list'!$E$4:$X$4,0)),0)</f>
        <v>0</v>
      </c>
      <c r="Z222">
        <f>IFERROR(INDEX('Exercise list'!$E$5:$X$102,MATCH($C222,'Exercise list'!$C$5:$C$102,0),MATCH(Z$5,'Exercise list'!$E$4:$X$4,0)),0)</f>
        <v>0</v>
      </c>
      <c r="AA222">
        <f>IFERROR(INDEX('Exercise list'!$E$5:$X$102,MATCH($C222,'Exercise list'!$C$5:$C$102,0),MATCH(AA$5,'Exercise list'!$E$4:$X$4,0)),0)</f>
        <v>0</v>
      </c>
      <c r="AB222">
        <f>IFERROR(INDEX('Exercise list'!$E$5:$X$102,MATCH($C222,'Exercise list'!$C$5:$C$102,0),MATCH(AB$5,'Exercise list'!$E$4:$X$4,0)),0)</f>
        <v>0</v>
      </c>
      <c r="AC222">
        <f>IFERROR(INDEX('Exercise list'!$E$5:$X$102,MATCH($C222,'Exercise list'!$C$5:$C$102,0),MATCH(AC$5,'Exercise list'!$E$4:$X$4,0)),0)</f>
        <v>0</v>
      </c>
      <c r="AD222">
        <f>IFERROR(INDEX('Exercise list'!$E$5:$X$102,MATCH($C222,'Exercise list'!$C$5:$C$102,0),MATCH(AD$5,'Exercise list'!$E$4:$X$4,0)),0)</f>
        <v>0</v>
      </c>
      <c r="AE222">
        <f>IFERROR(INDEX('Exercise list'!$E$5:$X$102,MATCH($C222,'Exercise list'!$C$5:$C$102,0),MATCH(AE$5,'Exercise list'!$E$4:$X$4,0)),0)</f>
        <v>0</v>
      </c>
      <c r="AF222">
        <f>IFERROR(INDEX('Exercise list'!$E$5:$X$102,MATCH($C222,'Exercise list'!$C$5:$C$102,0),MATCH(AF$5,'Exercise list'!$E$4:$X$4,0)),0)</f>
        <v>0</v>
      </c>
      <c r="AG222">
        <f>IFERROR(INDEX('Exercise list'!$E$5:$X$102,MATCH($C222,'Exercise list'!$C$5:$C$102,0),MATCH(AG$5,'Exercise list'!$E$4:$X$4,0)),0)</f>
        <v>0</v>
      </c>
      <c r="AH222">
        <f>IFERROR(INDEX('Exercise list'!$E$5:$X$102,MATCH($C222,'Exercise list'!$C$5:$C$102,0),MATCH(AH$5,'Exercise list'!$E$4:$X$4,0)),0)</f>
        <v>0</v>
      </c>
      <c r="AI222">
        <f>IFERROR(INDEX('Exercise list'!$E$5:$X$102,MATCH($C222,'Exercise list'!$C$5:$C$102,0),MATCH(AI$5,'Exercise list'!$E$4:$X$4,0)),0)</f>
        <v>0</v>
      </c>
      <c r="AK222">
        <f>IF(OR($J222=1,COUNTIFS($A$5:$A221,"&gt;="&amp;$A222-1,$A$5:$A221,"&lt;="&amp;$A222,$B$5:$B221,$B222)&gt;0,MIN(1-'Exercise list'!E$2,IF($A222=$A221,AK221,1))-P222&lt;0),-1,MIN(1,IF($A222=$A221,AK221,1)-P222+$D$2))</f>
        <v>1</v>
      </c>
      <c r="AL222">
        <f>IF(OR($J222=1,COUNTIFS($A$5:$A221,"&gt;="&amp;$A222-1,$A$5:$A221,"&lt;="&amp;$A222,$B$5:$B221,$B222)&gt;0,MIN(1-'Exercise list'!F$2,IF($A222=$A221,AL221,1))-Q222&lt;0),-1,MIN(1,IF($A222=$A221,AL221,1)-Q222+$D$2))</f>
        <v>1</v>
      </c>
      <c r="AM222">
        <f>IF(OR($J222=1,COUNTIFS($A$5:$A221,"&gt;="&amp;$A222-1,$A$5:$A221,"&lt;="&amp;$A222,$B$5:$B221,$B222)&gt;0,MIN(1-'Exercise list'!G$2,IF($A222=$A221,AM221,1))-R222&lt;0),-1,MIN(1,IF($A222=$A221,AM221,1)-R222+$D$2))</f>
        <v>1</v>
      </c>
      <c r="AN222">
        <f>IF(OR($J222=1,COUNTIFS($A$5:$A221,"&gt;="&amp;$A222-1,$A$5:$A221,"&lt;="&amp;$A222,$B$5:$B221,$B222)&gt;0,MIN(1-'Exercise list'!H$2,IF($A222=$A221,AN221,1))-S222&lt;0),-1,MIN(1,IF($A222=$A221,AN221,1)-S222+$D$2))</f>
        <v>1</v>
      </c>
      <c r="AO222">
        <f>IF(OR($J222=1,COUNTIFS($A$5:$A221,"&gt;="&amp;$A222-1,$A$5:$A221,"&lt;="&amp;$A222,$B$5:$B221,$B222)&gt;0,MIN(1-'Exercise list'!I$2,IF($A222=$A221,AO221,1))-T222&lt;0),-1,MIN(1,IF($A222=$A221,AO221,1)-T222+$D$2))</f>
        <v>1</v>
      </c>
      <c r="AP222">
        <f>IF(OR($J222=1,COUNTIFS($A$5:$A221,"&gt;="&amp;$A222-1,$A$5:$A221,"&lt;="&amp;$A222,$B$5:$B221,$B222)&gt;0,MIN(1-'Exercise list'!J$2,IF($A222=$A221,AP221,1))-U222&lt;0),-1,MIN(1,IF($A222=$A221,AP221,1)-U222+$D$2))</f>
        <v>1</v>
      </c>
      <c r="AQ222">
        <f>IF(OR($J222=1,COUNTIFS($A$5:$A221,"&gt;="&amp;$A222-1,$A$5:$A221,"&lt;="&amp;$A222,$B$5:$B221,$B222)&gt;0,MIN(1-'Exercise list'!K$2,IF($A222=$A221,AQ221,1))-V222&lt;0),-1,MIN(1,IF($A222=$A221,AQ221,1)-V222+$D$2))</f>
        <v>1</v>
      </c>
      <c r="AR222">
        <f>IF(OR($J222=1,COUNTIFS($A$5:$A221,"&gt;="&amp;$A222-1,$A$5:$A221,"&lt;="&amp;$A222,$B$5:$B221,$B222)&gt;0,MIN(1-'Exercise list'!L$2,IF($A222=$A221,AR221,1))-W222&lt;0),-1,MIN(1,IF($A222=$A221,AR221,1)-W222+$D$2))</f>
        <v>1</v>
      </c>
      <c r="AS222">
        <f>IF(OR($J222=1,COUNTIFS($A$5:$A221,"&gt;="&amp;$A222-1,$A$5:$A221,"&lt;="&amp;$A222,$B$5:$B221,$B222)&gt;0,MIN(1-'Exercise list'!M$2,IF($A222=$A221,AS221,1))-X222&lt;0),-1,MIN(1,IF($A222=$A221,AS221,1)-X222+$D$2))</f>
        <v>1</v>
      </c>
      <c r="AT222">
        <f>IF(OR($J222=1,COUNTIFS($A$5:$A221,"&gt;="&amp;$A222-1,$A$5:$A221,"&lt;="&amp;$A222,$B$5:$B221,$B222)&gt;0,MIN(1-'Exercise list'!N$2,IF($A222=$A221,AT221,1))-Y222&lt;0),-1,MIN(1,IF($A222=$A221,AT221,1)-Y222+$D$2))</f>
        <v>1</v>
      </c>
      <c r="AU222">
        <f>IF(OR($J222=1,COUNTIFS($A$5:$A221,"&gt;="&amp;$A222-1,$A$5:$A221,"&lt;="&amp;$A222,$B$5:$B221,$B222)&gt;0,MIN(1-'Exercise list'!O$2,IF($A222=$A221,AU221,1))-Z222&lt;0),-1,MIN(1,IF($A222=$A221,AU221,1)-Z222+$D$2))</f>
        <v>1</v>
      </c>
      <c r="AV222">
        <f>IF(OR($J222=1,COUNTIFS($A$5:$A221,"&gt;="&amp;$A222-1,$A$5:$A221,"&lt;="&amp;$A222,$B$5:$B221,$B222)&gt;0,MIN(1-'Exercise list'!P$2,IF($A222=$A221,AV221,1))-AA222&lt;0),-1,MIN(1,IF($A222=$A221,AV221,1)-AA222+$D$2))</f>
        <v>1</v>
      </c>
      <c r="AW222">
        <f>IF(OR($J222=1,COUNTIFS($A$5:$A221,"&gt;="&amp;$A222-1,$A$5:$A221,"&lt;="&amp;$A222,$B$5:$B221,$B222)&gt;0,MIN(1-'Exercise list'!Q$2,IF($A222=$A221,AW221,1))-AB222&lt;0),-1,MIN(1,IF($A222=$A221,AW221,1)-AB222+$D$2))</f>
        <v>1</v>
      </c>
      <c r="AX222">
        <f>IF(OR($J222=1,COUNTIFS($A$5:$A221,"&gt;="&amp;$A222-1,$A$5:$A221,"&lt;="&amp;$A222,$B$5:$B221,$B222)&gt;0,MIN(1-'Exercise list'!R$2,IF($A222=$A221,AX221,1))-AC222&lt;0),-1,MIN(1,IF($A222=$A221,AX221,1)-AC222+$D$2))</f>
        <v>1</v>
      </c>
      <c r="AY222">
        <f>IF(OR($J222=1,COUNTIFS($A$5:$A221,"&gt;="&amp;$A222-1,$A$5:$A221,"&lt;="&amp;$A222,$B$5:$B221,$B222)&gt;0,MIN(1-'Exercise list'!S$2,IF($A222=$A221,AY221,1))-AD222&lt;0),-1,MIN(1,IF($A222=$A221,AY221,1)-AD222+$D$2))</f>
        <v>1</v>
      </c>
      <c r="AZ222">
        <f>IF(OR($J222=1,COUNTIFS($A$5:$A221,"&gt;="&amp;$A222-1,$A$5:$A221,"&lt;="&amp;$A222,$B$5:$B221,$B222)&gt;0,MIN(1-'Exercise list'!T$2,IF($A222=$A221,AZ221,1))-AE222&lt;0),-1,MIN(1,IF($A222=$A221,AZ221,1)-AE222+$D$2))</f>
        <v>1</v>
      </c>
      <c r="BA222">
        <f>IF(OR($J222=1,COUNTIFS($A$5:$A221,"&gt;="&amp;$A222-1,$A$5:$A221,"&lt;="&amp;$A222,$B$5:$B221,$B222)&gt;0,MIN(1-'Exercise list'!U$2,IF($A222=$A221,BA221,1))-AF222&lt;0),-1,MIN(1,IF($A222=$A221,BA221,1)-AF222+$D$2))</f>
        <v>1</v>
      </c>
      <c r="BB222">
        <f>IF(OR($J222=1,COUNTIFS($A$5:$A221,"&gt;="&amp;$A222-1,$A$5:$A221,"&lt;="&amp;$A222,$B$5:$B221,$B222)&gt;0,MIN(1-'Exercise list'!V$2,IF($A222=$A221,BB221,1))-AG222&lt;0),-1,MIN(1,IF($A222=$A221,BB221,1)-AG222+$D$2))</f>
        <v>1</v>
      </c>
      <c r="BC222">
        <f>IF(OR($J222=1,COUNTIFS($A$5:$A221,"&gt;="&amp;$A222-1,$A$5:$A221,"&lt;="&amp;$A222,$B$5:$B221,$B222)&gt;0,MIN(1-'Exercise list'!W$2,IF($A222=$A221,BC221,1))-AH222&lt;0),-1,MIN(1,IF($A222=$A221,BC221,1)-AH222+$D$2))</f>
        <v>1</v>
      </c>
      <c r="BD222">
        <f>IF(OR($J222=1,COUNTIFS($A$5:$A221,"&gt;="&amp;$A222-1,$A$5:$A221,"&lt;="&amp;$A222,$B$5:$B221,$B222)&gt;0,MIN(1-'Exercise list'!X$2,IF($A222=$A221,BD221,1))-AI222&lt;0),-1,MIN(1,IF($A222=$A221,BD221,1)-AI222+$D$2))</f>
        <v>1</v>
      </c>
      <c r="BF222" s="16">
        <f t="shared" si="145"/>
        <v>0.19596031081758858</v>
      </c>
      <c r="BG222" s="16">
        <f t="shared" si="146"/>
        <v>0.21844636935459236</v>
      </c>
      <c r="BH222" s="16">
        <f t="shared" si="147"/>
        <v>0.14609696635987124</v>
      </c>
      <c r="BI222" s="16">
        <f t="shared" si="148"/>
        <v>0.13198015366034541</v>
      </c>
      <c r="BJ222" s="16">
        <f t="shared" si="149"/>
        <v>8.3367914198418713E-2</v>
      </c>
      <c r="BK222" s="16">
        <f t="shared" si="150"/>
        <v>0.10640640223148412</v>
      </c>
      <c r="BL222" s="16">
        <f t="shared" si="151"/>
        <v>0.21963504743569431</v>
      </c>
      <c r="BM222" s="16">
        <f t="shared" si="152"/>
        <v>3.8988008374820568E-3</v>
      </c>
      <c r="BN222" s="16">
        <f t="shared" si="153"/>
        <v>0.14537706087090876</v>
      </c>
      <c r="BO222" s="16">
        <f t="shared" si="154"/>
        <v>0.29209790661993401</v>
      </c>
      <c r="BP222" s="16">
        <f t="shared" si="155"/>
        <v>0.31584545163401867</v>
      </c>
      <c r="BQ222" s="16">
        <f t="shared" si="156"/>
        <v>0.1000007994126096</v>
      </c>
      <c r="BR222" s="16">
        <f t="shared" si="157"/>
        <v>0.13164487759885393</v>
      </c>
      <c r="BS222" s="16">
        <f t="shared" si="158"/>
        <v>2.9803550189863123E-2</v>
      </c>
      <c r="BT222" s="16">
        <f t="shared" si="159"/>
        <v>0.13492040904978705</v>
      </c>
      <c r="BU222" s="16">
        <f t="shared" si="160"/>
        <v>0.11703687414398131</v>
      </c>
      <c r="BV222" s="16">
        <f t="shared" si="161"/>
        <v>0.14633353213781661</v>
      </c>
      <c r="BW222" s="16">
        <f t="shared" si="162"/>
        <v>7.5588015111767173E-2</v>
      </c>
      <c r="BX222" s="16">
        <f t="shared" si="163"/>
        <v>8.0345659937185704E-2</v>
      </c>
      <c r="BY222" s="16">
        <f t="shared" si="164"/>
        <v>5.9014643151272549E-2</v>
      </c>
      <c r="CA222" s="16" t="str">
        <f t="shared" si="185"/>
        <v/>
      </c>
      <c r="CB222" s="16" t="str">
        <f t="shared" si="166"/>
        <v/>
      </c>
      <c r="CC222" s="16" t="str">
        <f t="shared" si="167"/>
        <v/>
      </c>
      <c r="CD222" s="16" t="str">
        <f t="shared" si="168"/>
        <v/>
      </c>
      <c r="CE222" s="16" t="str">
        <f t="shared" si="169"/>
        <v/>
      </c>
      <c r="CF222" s="16" t="str">
        <f t="shared" si="170"/>
        <v/>
      </c>
      <c r="CG222" s="16" t="str">
        <f t="shared" si="171"/>
        <v/>
      </c>
      <c r="CH222" s="16" t="str">
        <f t="shared" si="172"/>
        <v/>
      </c>
      <c r="CI222" s="16" t="str">
        <f t="shared" si="173"/>
        <v/>
      </c>
      <c r="CJ222" s="16" t="str">
        <f t="shared" si="174"/>
        <v/>
      </c>
      <c r="CK222" s="16" t="str">
        <f t="shared" si="175"/>
        <v/>
      </c>
      <c r="CL222" s="16" t="str">
        <f t="shared" si="176"/>
        <v/>
      </c>
      <c r="CM222" s="16" t="str">
        <f t="shared" si="177"/>
        <v/>
      </c>
      <c r="CN222" s="16" t="str">
        <f t="shared" si="178"/>
        <v/>
      </c>
      <c r="CO222" s="16" t="str">
        <f t="shared" si="179"/>
        <v/>
      </c>
      <c r="CP222" s="16" t="str">
        <f t="shared" si="180"/>
        <v/>
      </c>
      <c r="CQ222" s="16" t="str">
        <f t="shared" si="181"/>
        <v/>
      </c>
      <c r="CR222" s="16" t="str">
        <f t="shared" si="182"/>
        <v/>
      </c>
      <c r="CS222" s="16" t="str">
        <f t="shared" si="183"/>
        <v/>
      </c>
      <c r="CT222" s="16" t="str">
        <f t="shared" si="184"/>
        <v/>
      </c>
    </row>
    <row r="223" spans="1:99" x14ac:dyDescent="0.25">
      <c r="A223" s="20"/>
      <c r="B223" s="21"/>
      <c r="C223" s="22" t="str" cm="1">
        <f t="array" ref="C223">IF(B223="","",INDEX('Exercise list'!$C$5:$C$102,B223))</f>
        <v/>
      </c>
      <c r="D223" s="17" t="str">
        <f t="shared" si="142"/>
        <v/>
      </c>
      <c r="E223" s="108" t="str">
        <f t="shared" si="165"/>
        <v/>
      </c>
      <c r="F223" s="65" t="str" cm="1">
        <f t="array" ref="F223">IF(B223="","",0.1+IFERROR(INDEX($F$6:$F222,SUMPRODUCT(MAX(ROW($C$6:$C222)*($C223=$C$6:$C222))-ROW($A$5)))*0.9^($A223-INDEX($A$6:A222,SUMPRODUCT(MAX(ROW($C$6:$C222)*($C223=$C$6:$C222))-ROW($A$5)))),0))</f>
        <v/>
      </c>
      <c r="G223" s="25" t="e">
        <f>INDEX('Exercise list'!$Y$5:$Y$102,MATCH(C223,'Exercise list'!$C$5:$C$102,0))</f>
        <v>#N/A</v>
      </c>
      <c r="H223" s="116">
        <f t="shared" si="143"/>
        <v>0</v>
      </c>
      <c r="I223" s="18">
        <f t="shared" si="144"/>
        <v>5</v>
      </c>
      <c r="J223" s="18" t="str" cm="1">
        <f t="array" ref="J223">IF(B223="","",INDEX('Exercise list'!$D$5:$D$102,B223))</f>
        <v/>
      </c>
      <c r="K223" s="17"/>
      <c r="L223" s="51" t="str" cm="1">
        <f t="array" ref="L223">IF(K223="","",INDEX('Exercise list'!$C$5:$C$102,K223))</f>
        <v/>
      </c>
      <c r="M223" s="18"/>
      <c r="N223" s="76" t="str" cm="1">
        <f t="array" ref="N223">IF(M223="","",INDEX('Exercise list'!$C$5:$C$102,M223))</f>
        <v/>
      </c>
      <c r="O223" s="19"/>
      <c r="P223" s="19">
        <f>IFERROR(INDEX('Exercise list'!$E$5:$X$102,MATCH($C223,'Exercise list'!$C$5:$C$102,0),MATCH(P$5,'Exercise list'!$E$4:$X$4,0)),0)</f>
        <v>0</v>
      </c>
      <c r="Q223" s="19">
        <f>IFERROR(INDEX('Exercise list'!$E$5:$X$102,MATCH($C223,'Exercise list'!$C$5:$C$102,0),MATCH(Q$5,'Exercise list'!$E$4:$X$4,0)),0)</f>
        <v>0</v>
      </c>
      <c r="R223" s="19">
        <f>IFERROR(INDEX('Exercise list'!$E$5:$X$102,MATCH($C223,'Exercise list'!$C$5:$C$102,0),MATCH(R$5,'Exercise list'!$E$4:$X$4,0)),0)</f>
        <v>0</v>
      </c>
      <c r="S223" s="19">
        <f>IFERROR(INDEX('Exercise list'!$E$5:$X$102,MATCH($C223,'Exercise list'!$C$5:$C$102,0),MATCH(S$5,'Exercise list'!$E$4:$X$4,0)),0)</f>
        <v>0</v>
      </c>
      <c r="T223" s="19">
        <f>IFERROR(INDEX('Exercise list'!$E$5:$X$102,MATCH($C223,'Exercise list'!$C$5:$C$102,0),MATCH(T$5,'Exercise list'!$E$4:$X$4,0)),0)</f>
        <v>0</v>
      </c>
      <c r="U223" s="19">
        <f>IFERROR(INDEX('Exercise list'!$E$5:$X$102,MATCH($C223,'Exercise list'!$C$5:$C$102,0),MATCH(U$5,'Exercise list'!$E$4:$X$4,0)),0)</f>
        <v>0</v>
      </c>
      <c r="V223" s="19">
        <f>IFERROR(INDEX('Exercise list'!$E$5:$X$102,MATCH($C223,'Exercise list'!$C$5:$C$102,0),MATCH(V$5,'Exercise list'!$E$4:$X$4,0)),0)</f>
        <v>0</v>
      </c>
      <c r="W223" s="19">
        <f>IFERROR(INDEX('Exercise list'!$E$5:$X$102,MATCH($C223,'Exercise list'!$C$5:$C$102,0),MATCH(W$5,'Exercise list'!$E$4:$X$4,0)),0)</f>
        <v>0</v>
      </c>
      <c r="X223" s="19">
        <f>IFERROR(INDEX('Exercise list'!$E$5:$X$102,MATCH($C223,'Exercise list'!$C$5:$C$102,0),MATCH(X$5,'Exercise list'!$E$4:$X$4,0)),0)</f>
        <v>0</v>
      </c>
      <c r="Y223" s="19">
        <f>IFERROR(INDEX('Exercise list'!$E$5:$X$102,MATCH($C223,'Exercise list'!$C$5:$C$102,0),MATCH(Y$5,'Exercise list'!$E$4:$X$4,0)),0)</f>
        <v>0</v>
      </c>
      <c r="Z223" s="19">
        <f>IFERROR(INDEX('Exercise list'!$E$5:$X$102,MATCH($C223,'Exercise list'!$C$5:$C$102,0),MATCH(Z$5,'Exercise list'!$E$4:$X$4,0)),0)</f>
        <v>0</v>
      </c>
      <c r="AA223" s="19">
        <f>IFERROR(INDEX('Exercise list'!$E$5:$X$102,MATCH($C223,'Exercise list'!$C$5:$C$102,0),MATCH(AA$5,'Exercise list'!$E$4:$X$4,0)),0)</f>
        <v>0</v>
      </c>
      <c r="AB223" s="19">
        <f>IFERROR(INDEX('Exercise list'!$E$5:$X$102,MATCH($C223,'Exercise list'!$C$5:$C$102,0),MATCH(AB$5,'Exercise list'!$E$4:$X$4,0)),0)</f>
        <v>0</v>
      </c>
      <c r="AC223" s="19">
        <f>IFERROR(INDEX('Exercise list'!$E$5:$X$102,MATCH($C223,'Exercise list'!$C$5:$C$102,0),MATCH(AC$5,'Exercise list'!$E$4:$X$4,0)),0)</f>
        <v>0</v>
      </c>
      <c r="AD223" s="19">
        <f>IFERROR(INDEX('Exercise list'!$E$5:$X$102,MATCH($C223,'Exercise list'!$C$5:$C$102,0),MATCH(AD$5,'Exercise list'!$E$4:$X$4,0)),0)</f>
        <v>0</v>
      </c>
      <c r="AE223" s="19">
        <f>IFERROR(INDEX('Exercise list'!$E$5:$X$102,MATCH($C223,'Exercise list'!$C$5:$C$102,0),MATCH(AE$5,'Exercise list'!$E$4:$X$4,0)),0)</f>
        <v>0</v>
      </c>
      <c r="AF223" s="19">
        <f>IFERROR(INDEX('Exercise list'!$E$5:$X$102,MATCH($C223,'Exercise list'!$C$5:$C$102,0),MATCH(AF$5,'Exercise list'!$E$4:$X$4,0)),0)</f>
        <v>0</v>
      </c>
      <c r="AG223" s="19">
        <f>IFERROR(INDEX('Exercise list'!$E$5:$X$102,MATCH($C223,'Exercise list'!$C$5:$C$102,0),MATCH(AG$5,'Exercise list'!$E$4:$X$4,0)),0)</f>
        <v>0</v>
      </c>
      <c r="AH223" s="19">
        <f>IFERROR(INDEX('Exercise list'!$E$5:$X$102,MATCH($C223,'Exercise list'!$C$5:$C$102,0),MATCH(AH$5,'Exercise list'!$E$4:$X$4,0)),0)</f>
        <v>0</v>
      </c>
      <c r="AI223" s="19">
        <f>IFERROR(INDEX('Exercise list'!$E$5:$X$102,MATCH($C223,'Exercise list'!$C$5:$C$102,0),MATCH(AI$5,'Exercise list'!$E$4:$X$4,0)),0)</f>
        <v>0</v>
      </c>
      <c r="AJ223" s="19"/>
      <c r="AK223" s="19">
        <f>IF(OR($J223=1,COUNTIFS($A$5:$A222,"&gt;="&amp;$A223-1,$A$5:$A222,"&lt;="&amp;$A223,$B$5:$B222,$B223)&gt;0,MIN(1-'Exercise list'!E$2,IF($A223=$A222,AK222,1))-P223&lt;0),-1,MIN(1,IF($A223=$A222,AK222,1)-P223+$D$2))</f>
        <v>1</v>
      </c>
      <c r="AL223" s="19">
        <f>IF(OR($J223=1,COUNTIFS($A$5:$A222,"&gt;="&amp;$A223-1,$A$5:$A222,"&lt;="&amp;$A223,$B$5:$B222,$B223)&gt;0,MIN(1-'Exercise list'!F$2,IF($A223=$A222,AL222,1))-Q223&lt;0),-1,MIN(1,IF($A223=$A222,AL222,1)-Q223+$D$2))</f>
        <v>1</v>
      </c>
      <c r="AM223" s="19">
        <f>IF(OR($J223=1,COUNTIFS($A$5:$A222,"&gt;="&amp;$A223-1,$A$5:$A222,"&lt;="&amp;$A223,$B$5:$B222,$B223)&gt;0,MIN(1-'Exercise list'!G$2,IF($A223=$A222,AM222,1))-R223&lt;0),-1,MIN(1,IF($A223=$A222,AM222,1)-R223+$D$2))</f>
        <v>1</v>
      </c>
      <c r="AN223" s="19">
        <f>IF(OR($J223=1,COUNTIFS($A$5:$A222,"&gt;="&amp;$A223-1,$A$5:$A222,"&lt;="&amp;$A223,$B$5:$B222,$B223)&gt;0,MIN(1-'Exercise list'!H$2,IF($A223=$A222,AN222,1))-S223&lt;0),-1,MIN(1,IF($A223=$A222,AN222,1)-S223+$D$2))</f>
        <v>1</v>
      </c>
      <c r="AO223" s="19">
        <f>IF(OR($J223=1,COUNTIFS($A$5:$A222,"&gt;="&amp;$A223-1,$A$5:$A222,"&lt;="&amp;$A223,$B$5:$B222,$B223)&gt;0,MIN(1-'Exercise list'!I$2,IF($A223=$A222,AO222,1))-T223&lt;0),-1,MIN(1,IF($A223=$A222,AO222,1)-T223+$D$2))</f>
        <v>1</v>
      </c>
      <c r="AP223" s="19">
        <f>IF(OR($J223=1,COUNTIFS($A$5:$A222,"&gt;="&amp;$A223-1,$A$5:$A222,"&lt;="&amp;$A223,$B$5:$B222,$B223)&gt;0,MIN(1-'Exercise list'!J$2,IF($A223=$A222,AP222,1))-U223&lt;0),-1,MIN(1,IF($A223=$A222,AP222,1)-U223+$D$2))</f>
        <v>1</v>
      </c>
      <c r="AQ223" s="19">
        <f>IF(OR($J223=1,COUNTIFS($A$5:$A222,"&gt;="&amp;$A223-1,$A$5:$A222,"&lt;="&amp;$A223,$B$5:$B222,$B223)&gt;0,MIN(1-'Exercise list'!K$2,IF($A223=$A222,AQ222,1))-V223&lt;0),-1,MIN(1,IF($A223=$A222,AQ222,1)-V223+$D$2))</f>
        <v>1</v>
      </c>
      <c r="AR223" s="19">
        <f>IF(OR($J223=1,COUNTIFS($A$5:$A222,"&gt;="&amp;$A223-1,$A$5:$A222,"&lt;="&amp;$A223,$B$5:$B222,$B223)&gt;0,MIN(1-'Exercise list'!L$2,IF($A223=$A222,AR222,1))-W223&lt;0),-1,MIN(1,IF($A223=$A222,AR222,1)-W223+$D$2))</f>
        <v>1</v>
      </c>
      <c r="AS223" s="19">
        <f>IF(OR($J223=1,COUNTIFS($A$5:$A222,"&gt;="&amp;$A223-1,$A$5:$A222,"&lt;="&amp;$A223,$B$5:$B222,$B223)&gt;0,MIN(1-'Exercise list'!M$2,IF($A223=$A222,AS222,1))-X223&lt;0),-1,MIN(1,IF($A223=$A222,AS222,1)-X223+$D$2))</f>
        <v>1</v>
      </c>
      <c r="AT223" s="19">
        <f>IF(OR($J223=1,COUNTIFS($A$5:$A222,"&gt;="&amp;$A223-1,$A$5:$A222,"&lt;="&amp;$A223,$B$5:$B222,$B223)&gt;0,MIN(1-'Exercise list'!N$2,IF($A223=$A222,AT222,1))-Y223&lt;0),-1,MIN(1,IF($A223=$A222,AT222,1)-Y223+$D$2))</f>
        <v>1</v>
      </c>
      <c r="AU223" s="19">
        <f>IF(OR($J223=1,COUNTIFS($A$5:$A222,"&gt;="&amp;$A223-1,$A$5:$A222,"&lt;="&amp;$A223,$B$5:$B222,$B223)&gt;0,MIN(1-'Exercise list'!O$2,IF($A223=$A222,AU222,1))-Z223&lt;0),-1,MIN(1,IF($A223=$A222,AU222,1)-Z223+$D$2))</f>
        <v>1</v>
      </c>
      <c r="AV223" s="19">
        <f>IF(OR($J223=1,COUNTIFS($A$5:$A222,"&gt;="&amp;$A223-1,$A$5:$A222,"&lt;="&amp;$A223,$B$5:$B222,$B223)&gt;0,MIN(1-'Exercise list'!P$2,IF($A223=$A222,AV222,1))-AA223&lt;0),-1,MIN(1,IF($A223=$A222,AV222,1)-AA223+$D$2))</f>
        <v>1</v>
      </c>
      <c r="AW223" s="19">
        <f>IF(OR($J223=1,COUNTIFS($A$5:$A222,"&gt;="&amp;$A223-1,$A$5:$A222,"&lt;="&amp;$A223,$B$5:$B222,$B223)&gt;0,MIN(1-'Exercise list'!Q$2,IF($A223=$A222,AW222,1))-AB223&lt;0),-1,MIN(1,IF($A223=$A222,AW222,1)-AB223+$D$2))</f>
        <v>1</v>
      </c>
      <c r="AX223" s="19">
        <f>IF(OR($J223=1,COUNTIFS($A$5:$A222,"&gt;="&amp;$A223-1,$A$5:$A222,"&lt;="&amp;$A223,$B$5:$B222,$B223)&gt;0,MIN(1-'Exercise list'!R$2,IF($A223=$A222,AX222,1))-AC223&lt;0),-1,MIN(1,IF($A223=$A222,AX222,1)-AC223+$D$2))</f>
        <v>1</v>
      </c>
      <c r="AY223" s="19">
        <f>IF(OR($J223=1,COUNTIFS($A$5:$A222,"&gt;="&amp;$A223-1,$A$5:$A222,"&lt;="&amp;$A223,$B$5:$B222,$B223)&gt;0,MIN(1-'Exercise list'!S$2,IF($A223=$A222,AY222,1))-AD223&lt;0),-1,MIN(1,IF($A223=$A222,AY222,1)-AD223+$D$2))</f>
        <v>1</v>
      </c>
      <c r="AZ223" s="19">
        <f>IF(OR($J223=1,COUNTIFS($A$5:$A222,"&gt;="&amp;$A223-1,$A$5:$A222,"&lt;="&amp;$A223,$B$5:$B222,$B223)&gt;0,MIN(1-'Exercise list'!T$2,IF($A223=$A222,AZ222,1))-AE223&lt;0),-1,MIN(1,IF($A223=$A222,AZ222,1)-AE223+$D$2))</f>
        <v>1</v>
      </c>
      <c r="BA223" s="19">
        <f>IF(OR($J223=1,COUNTIFS($A$5:$A222,"&gt;="&amp;$A223-1,$A$5:$A222,"&lt;="&amp;$A223,$B$5:$B222,$B223)&gt;0,MIN(1-'Exercise list'!U$2,IF($A223=$A222,BA222,1))-AF223&lt;0),-1,MIN(1,IF($A223=$A222,BA222,1)-AF223+$D$2))</f>
        <v>1</v>
      </c>
      <c r="BB223" s="19">
        <f>IF(OR($J223=1,COUNTIFS($A$5:$A222,"&gt;="&amp;$A223-1,$A$5:$A222,"&lt;="&amp;$A223,$B$5:$B222,$B223)&gt;0,MIN(1-'Exercise list'!V$2,IF($A223=$A222,BB222,1))-AG223&lt;0),-1,MIN(1,IF($A223=$A222,BB222,1)-AG223+$D$2))</f>
        <v>1</v>
      </c>
      <c r="BC223" s="19">
        <f>IF(OR($J223=1,COUNTIFS($A$5:$A222,"&gt;="&amp;$A223-1,$A$5:$A222,"&lt;="&amp;$A223,$B$5:$B222,$B223)&gt;0,MIN(1-'Exercise list'!W$2,IF($A223=$A222,BC222,1))-AH223&lt;0),-1,MIN(1,IF($A223=$A222,BC222,1)-AH223+$D$2))</f>
        <v>1</v>
      </c>
      <c r="BD223" s="19">
        <f>IF(OR($J223=1,COUNTIFS($A$5:$A222,"&gt;="&amp;$A223-1,$A$5:$A222,"&lt;="&amp;$A223,$B$5:$B222,$B223)&gt;0,MIN(1-'Exercise list'!X$2,IF($A223=$A222,BD222,1))-AI223&lt;0),-1,MIN(1,IF($A223=$A222,BD222,1)-AI223+$D$2))</f>
        <v>1</v>
      </c>
      <c r="BE223" s="19"/>
      <c r="BF223" s="23">
        <f t="shared" si="145"/>
        <v>0.19596031081758858</v>
      </c>
      <c r="BG223" s="23">
        <f t="shared" si="146"/>
        <v>0.21844636935459236</v>
      </c>
      <c r="BH223" s="23">
        <f t="shared" si="147"/>
        <v>0.14609696635987124</v>
      </c>
      <c r="BI223" s="23">
        <f t="shared" si="148"/>
        <v>0.13198015366034541</v>
      </c>
      <c r="BJ223" s="23">
        <f t="shared" si="149"/>
        <v>8.3367914198418713E-2</v>
      </c>
      <c r="BK223" s="23">
        <f t="shared" si="150"/>
        <v>0.10640640223148412</v>
      </c>
      <c r="BL223" s="23">
        <f t="shared" si="151"/>
        <v>0.21963504743569431</v>
      </c>
      <c r="BM223" s="23">
        <f t="shared" si="152"/>
        <v>3.8988008374820568E-3</v>
      </c>
      <c r="BN223" s="23">
        <f t="shared" si="153"/>
        <v>0.14537706087090876</v>
      </c>
      <c r="BO223" s="23">
        <f t="shared" si="154"/>
        <v>0.29209790661993401</v>
      </c>
      <c r="BP223" s="23">
        <f t="shared" si="155"/>
        <v>0.31584545163401867</v>
      </c>
      <c r="BQ223" s="23">
        <f t="shared" si="156"/>
        <v>0.1000007994126096</v>
      </c>
      <c r="BR223" s="23">
        <f t="shared" si="157"/>
        <v>0.13164487759885393</v>
      </c>
      <c r="BS223" s="23">
        <f t="shared" si="158"/>
        <v>2.9803550189863123E-2</v>
      </c>
      <c r="BT223" s="23">
        <f t="shared" si="159"/>
        <v>0.13492040904978705</v>
      </c>
      <c r="BU223" s="23">
        <f t="shared" si="160"/>
        <v>0.11703687414398131</v>
      </c>
      <c r="BV223" s="23">
        <f t="shared" si="161"/>
        <v>0.14633353213781661</v>
      </c>
      <c r="BW223" s="23">
        <f t="shared" si="162"/>
        <v>7.5588015111767173E-2</v>
      </c>
      <c r="BX223" s="23">
        <f t="shared" si="163"/>
        <v>8.0345659937185704E-2</v>
      </c>
      <c r="BY223" s="23">
        <f t="shared" si="164"/>
        <v>5.9014643151272549E-2</v>
      </c>
      <c r="BZ223" s="19"/>
      <c r="CA223" s="23" t="str">
        <f t="shared" si="185"/>
        <v/>
      </c>
      <c r="CB223" s="23" t="str">
        <f t="shared" si="166"/>
        <v/>
      </c>
      <c r="CC223" s="23" t="str">
        <f t="shared" si="167"/>
        <v/>
      </c>
      <c r="CD223" s="23" t="str">
        <f t="shared" si="168"/>
        <v/>
      </c>
      <c r="CE223" s="23" t="str">
        <f t="shared" si="169"/>
        <v/>
      </c>
      <c r="CF223" s="23" t="str">
        <f t="shared" si="170"/>
        <v/>
      </c>
      <c r="CG223" s="23" t="str">
        <f t="shared" si="171"/>
        <v/>
      </c>
      <c r="CH223" s="23" t="str">
        <f t="shared" si="172"/>
        <v/>
      </c>
      <c r="CI223" s="23" t="str">
        <f t="shared" si="173"/>
        <v/>
      </c>
      <c r="CJ223" s="23" t="str">
        <f t="shared" si="174"/>
        <v/>
      </c>
      <c r="CK223" s="23" t="str">
        <f t="shared" si="175"/>
        <v/>
      </c>
      <c r="CL223" s="23" t="str">
        <f t="shared" si="176"/>
        <v/>
      </c>
      <c r="CM223" s="23" t="str">
        <f t="shared" si="177"/>
        <v/>
      </c>
      <c r="CN223" s="23" t="str">
        <f t="shared" si="178"/>
        <v/>
      </c>
      <c r="CO223" s="23" t="str">
        <f t="shared" si="179"/>
        <v/>
      </c>
      <c r="CP223" s="23" t="str">
        <f t="shared" si="180"/>
        <v/>
      </c>
      <c r="CQ223" s="23" t="str">
        <f t="shared" si="181"/>
        <v/>
      </c>
      <c r="CR223" s="23" t="str">
        <f t="shared" si="182"/>
        <v/>
      </c>
      <c r="CS223" s="23" t="str">
        <f t="shared" si="183"/>
        <v/>
      </c>
      <c r="CT223" s="23" t="str">
        <f t="shared" si="184"/>
        <v/>
      </c>
      <c r="CU223" s="19"/>
    </row>
    <row r="224" spans="1:99" x14ac:dyDescent="0.25">
      <c r="A224" s="13"/>
      <c r="B224" s="14"/>
      <c r="C224" s="15" t="str" cm="1">
        <f t="array" ref="C224">IF(B224="","",INDEX('Exercise list'!$C$5:$C$102,B224))</f>
        <v/>
      </c>
      <c r="D224" s="12" t="str">
        <f t="shared" si="142"/>
        <v/>
      </c>
      <c r="E224" s="107" t="str">
        <f t="shared" si="165"/>
        <v/>
      </c>
      <c r="F224" s="63" t="str" cm="1">
        <f t="array" ref="F224">IF(B224="","",0.1+IFERROR(INDEX($F$6:$F223,SUMPRODUCT(MAX(ROW($C$6:$C223)*($C224=$C$6:$C223))-ROW($A$5)))*0.9^($A224-INDEX($A$6:A223,SUMPRODUCT(MAX(ROW($C$6:$C223)*($C224=$C$6:$C223))-ROW($A$5)))),0))</f>
        <v/>
      </c>
      <c r="G224" s="64" t="e">
        <f>INDEX('Exercise list'!$Y$5:$Y$102,MATCH(C224,'Exercise list'!$C$5:$C$102,0))</f>
        <v>#N/A</v>
      </c>
      <c r="H224" s="115">
        <f t="shared" si="143"/>
        <v>0</v>
      </c>
      <c r="I224" s="42">
        <f t="shared" si="144"/>
        <v>5</v>
      </c>
      <c r="J224" s="6" t="str" cm="1">
        <f t="array" ref="J224">IF(B224="","",INDEX('Exercise list'!$D$5:$D$102,B224))</f>
        <v/>
      </c>
      <c r="K224" s="12"/>
      <c r="L224" s="74" t="str" cm="1">
        <f t="array" ref="L224">IF(K224="","",INDEX('Exercise list'!$C$5:$C$102,K224))</f>
        <v/>
      </c>
      <c r="M224" s="6"/>
      <c r="N224" s="75" t="str" cm="1">
        <f t="array" ref="N224">IF(M224="","",INDEX('Exercise list'!$C$5:$C$102,M224))</f>
        <v/>
      </c>
      <c r="P224">
        <f>IFERROR(INDEX('Exercise list'!$E$5:$X$102,MATCH($C224,'Exercise list'!$C$5:$C$102,0),MATCH(P$5,'Exercise list'!$E$4:$X$4,0)),0)</f>
        <v>0</v>
      </c>
      <c r="Q224">
        <f>IFERROR(INDEX('Exercise list'!$E$5:$X$102,MATCH($C224,'Exercise list'!$C$5:$C$102,0),MATCH(Q$5,'Exercise list'!$E$4:$X$4,0)),0)</f>
        <v>0</v>
      </c>
      <c r="R224">
        <f>IFERROR(INDEX('Exercise list'!$E$5:$X$102,MATCH($C224,'Exercise list'!$C$5:$C$102,0),MATCH(R$5,'Exercise list'!$E$4:$X$4,0)),0)</f>
        <v>0</v>
      </c>
      <c r="S224">
        <f>IFERROR(INDEX('Exercise list'!$E$5:$X$102,MATCH($C224,'Exercise list'!$C$5:$C$102,0),MATCH(S$5,'Exercise list'!$E$4:$X$4,0)),0)</f>
        <v>0</v>
      </c>
      <c r="T224">
        <f>IFERROR(INDEX('Exercise list'!$E$5:$X$102,MATCH($C224,'Exercise list'!$C$5:$C$102,0),MATCH(T$5,'Exercise list'!$E$4:$X$4,0)),0)</f>
        <v>0</v>
      </c>
      <c r="U224">
        <f>IFERROR(INDEX('Exercise list'!$E$5:$X$102,MATCH($C224,'Exercise list'!$C$5:$C$102,0),MATCH(U$5,'Exercise list'!$E$4:$X$4,0)),0)</f>
        <v>0</v>
      </c>
      <c r="V224">
        <f>IFERROR(INDEX('Exercise list'!$E$5:$X$102,MATCH($C224,'Exercise list'!$C$5:$C$102,0),MATCH(V$5,'Exercise list'!$E$4:$X$4,0)),0)</f>
        <v>0</v>
      </c>
      <c r="W224">
        <f>IFERROR(INDEX('Exercise list'!$E$5:$X$102,MATCH($C224,'Exercise list'!$C$5:$C$102,0),MATCH(W$5,'Exercise list'!$E$4:$X$4,0)),0)</f>
        <v>0</v>
      </c>
      <c r="X224">
        <f>IFERROR(INDEX('Exercise list'!$E$5:$X$102,MATCH($C224,'Exercise list'!$C$5:$C$102,0),MATCH(X$5,'Exercise list'!$E$4:$X$4,0)),0)</f>
        <v>0</v>
      </c>
      <c r="Y224">
        <f>IFERROR(INDEX('Exercise list'!$E$5:$X$102,MATCH($C224,'Exercise list'!$C$5:$C$102,0),MATCH(Y$5,'Exercise list'!$E$4:$X$4,0)),0)</f>
        <v>0</v>
      </c>
      <c r="Z224">
        <f>IFERROR(INDEX('Exercise list'!$E$5:$X$102,MATCH($C224,'Exercise list'!$C$5:$C$102,0),MATCH(Z$5,'Exercise list'!$E$4:$X$4,0)),0)</f>
        <v>0</v>
      </c>
      <c r="AA224">
        <f>IFERROR(INDEX('Exercise list'!$E$5:$X$102,MATCH($C224,'Exercise list'!$C$5:$C$102,0),MATCH(AA$5,'Exercise list'!$E$4:$X$4,0)),0)</f>
        <v>0</v>
      </c>
      <c r="AB224">
        <f>IFERROR(INDEX('Exercise list'!$E$5:$X$102,MATCH($C224,'Exercise list'!$C$5:$C$102,0),MATCH(AB$5,'Exercise list'!$E$4:$X$4,0)),0)</f>
        <v>0</v>
      </c>
      <c r="AC224">
        <f>IFERROR(INDEX('Exercise list'!$E$5:$X$102,MATCH($C224,'Exercise list'!$C$5:$C$102,0),MATCH(AC$5,'Exercise list'!$E$4:$X$4,0)),0)</f>
        <v>0</v>
      </c>
      <c r="AD224">
        <f>IFERROR(INDEX('Exercise list'!$E$5:$X$102,MATCH($C224,'Exercise list'!$C$5:$C$102,0),MATCH(AD$5,'Exercise list'!$E$4:$X$4,0)),0)</f>
        <v>0</v>
      </c>
      <c r="AE224">
        <f>IFERROR(INDEX('Exercise list'!$E$5:$X$102,MATCH($C224,'Exercise list'!$C$5:$C$102,0),MATCH(AE$5,'Exercise list'!$E$4:$X$4,0)),0)</f>
        <v>0</v>
      </c>
      <c r="AF224">
        <f>IFERROR(INDEX('Exercise list'!$E$5:$X$102,MATCH($C224,'Exercise list'!$C$5:$C$102,0),MATCH(AF$5,'Exercise list'!$E$4:$X$4,0)),0)</f>
        <v>0</v>
      </c>
      <c r="AG224">
        <f>IFERROR(INDEX('Exercise list'!$E$5:$X$102,MATCH($C224,'Exercise list'!$C$5:$C$102,0),MATCH(AG$5,'Exercise list'!$E$4:$X$4,0)),0)</f>
        <v>0</v>
      </c>
      <c r="AH224">
        <f>IFERROR(INDEX('Exercise list'!$E$5:$X$102,MATCH($C224,'Exercise list'!$C$5:$C$102,0),MATCH(AH$5,'Exercise list'!$E$4:$X$4,0)),0)</f>
        <v>0</v>
      </c>
      <c r="AI224">
        <f>IFERROR(INDEX('Exercise list'!$E$5:$X$102,MATCH($C224,'Exercise list'!$C$5:$C$102,0),MATCH(AI$5,'Exercise list'!$E$4:$X$4,0)),0)</f>
        <v>0</v>
      </c>
      <c r="AK224">
        <f>IF(OR($J224=1,COUNTIFS($A$5:$A223,"&gt;="&amp;$A224-1,$A$5:$A223,"&lt;="&amp;$A224,$B$5:$B223,$B224)&gt;0,MIN(1-'Exercise list'!E$2,IF($A224=$A223,AK223,1))-P224&lt;0),-1,MIN(1,IF($A224=$A223,AK223,1)-P224+$D$2))</f>
        <v>1</v>
      </c>
      <c r="AL224">
        <f>IF(OR($J224=1,COUNTIFS($A$5:$A223,"&gt;="&amp;$A224-1,$A$5:$A223,"&lt;="&amp;$A224,$B$5:$B223,$B224)&gt;0,MIN(1-'Exercise list'!F$2,IF($A224=$A223,AL223,1))-Q224&lt;0),-1,MIN(1,IF($A224=$A223,AL223,1)-Q224+$D$2))</f>
        <v>1</v>
      </c>
      <c r="AM224">
        <f>IF(OR($J224=1,COUNTIFS($A$5:$A223,"&gt;="&amp;$A224-1,$A$5:$A223,"&lt;="&amp;$A224,$B$5:$B223,$B224)&gt;0,MIN(1-'Exercise list'!G$2,IF($A224=$A223,AM223,1))-R224&lt;0),-1,MIN(1,IF($A224=$A223,AM223,1)-R224+$D$2))</f>
        <v>1</v>
      </c>
      <c r="AN224">
        <f>IF(OR($J224=1,COUNTIFS($A$5:$A223,"&gt;="&amp;$A224-1,$A$5:$A223,"&lt;="&amp;$A224,$B$5:$B223,$B224)&gt;0,MIN(1-'Exercise list'!H$2,IF($A224=$A223,AN223,1))-S224&lt;0),-1,MIN(1,IF($A224=$A223,AN223,1)-S224+$D$2))</f>
        <v>1</v>
      </c>
      <c r="AO224">
        <f>IF(OR($J224=1,COUNTIFS($A$5:$A223,"&gt;="&amp;$A224-1,$A$5:$A223,"&lt;="&amp;$A224,$B$5:$B223,$B224)&gt;0,MIN(1-'Exercise list'!I$2,IF($A224=$A223,AO223,1))-T224&lt;0),-1,MIN(1,IF($A224=$A223,AO223,1)-T224+$D$2))</f>
        <v>1</v>
      </c>
      <c r="AP224">
        <f>IF(OR($J224=1,COUNTIFS($A$5:$A223,"&gt;="&amp;$A224-1,$A$5:$A223,"&lt;="&amp;$A224,$B$5:$B223,$B224)&gt;0,MIN(1-'Exercise list'!J$2,IF($A224=$A223,AP223,1))-U224&lt;0),-1,MIN(1,IF($A224=$A223,AP223,1)-U224+$D$2))</f>
        <v>1</v>
      </c>
      <c r="AQ224">
        <f>IF(OR($J224=1,COUNTIFS($A$5:$A223,"&gt;="&amp;$A224-1,$A$5:$A223,"&lt;="&amp;$A224,$B$5:$B223,$B224)&gt;0,MIN(1-'Exercise list'!K$2,IF($A224=$A223,AQ223,1))-V224&lt;0),-1,MIN(1,IF($A224=$A223,AQ223,1)-V224+$D$2))</f>
        <v>1</v>
      </c>
      <c r="AR224">
        <f>IF(OR($J224=1,COUNTIFS($A$5:$A223,"&gt;="&amp;$A224-1,$A$5:$A223,"&lt;="&amp;$A224,$B$5:$B223,$B224)&gt;0,MIN(1-'Exercise list'!L$2,IF($A224=$A223,AR223,1))-W224&lt;0),-1,MIN(1,IF($A224=$A223,AR223,1)-W224+$D$2))</f>
        <v>1</v>
      </c>
      <c r="AS224">
        <f>IF(OR($J224=1,COUNTIFS($A$5:$A223,"&gt;="&amp;$A224-1,$A$5:$A223,"&lt;="&amp;$A224,$B$5:$B223,$B224)&gt;0,MIN(1-'Exercise list'!M$2,IF($A224=$A223,AS223,1))-X224&lt;0),-1,MIN(1,IF($A224=$A223,AS223,1)-X224+$D$2))</f>
        <v>1</v>
      </c>
      <c r="AT224">
        <f>IF(OR($J224=1,COUNTIFS($A$5:$A223,"&gt;="&amp;$A224-1,$A$5:$A223,"&lt;="&amp;$A224,$B$5:$B223,$B224)&gt;0,MIN(1-'Exercise list'!N$2,IF($A224=$A223,AT223,1))-Y224&lt;0),-1,MIN(1,IF($A224=$A223,AT223,1)-Y224+$D$2))</f>
        <v>1</v>
      </c>
      <c r="AU224">
        <f>IF(OR($J224=1,COUNTIFS($A$5:$A223,"&gt;="&amp;$A224-1,$A$5:$A223,"&lt;="&amp;$A224,$B$5:$B223,$B224)&gt;0,MIN(1-'Exercise list'!O$2,IF($A224=$A223,AU223,1))-Z224&lt;0),-1,MIN(1,IF($A224=$A223,AU223,1)-Z224+$D$2))</f>
        <v>1</v>
      </c>
      <c r="AV224">
        <f>IF(OR($J224=1,COUNTIFS($A$5:$A223,"&gt;="&amp;$A224-1,$A$5:$A223,"&lt;="&amp;$A224,$B$5:$B223,$B224)&gt;0,MIN(1-'Exercise list'!P$2,IF($A224=$A223,AV223,1))-AA224&lt;0),-1,MIN(1,IF($A224=$A223,AV223,1)-AA224+$D$2))</f>
        <v>1</v>
      </c>
      <c r="AW224">
        <f>IF(OR($J224=1,COUNTIFS($A$5:$A223,"&gt;="&amp;$A224-1,$A$5:$A223,"&lt;="&amp;$A224,$B$5:$B223,$B224)&gt;0,MIN(1-'Exercise list'!Q$2,IF($A224=$A223,AW223,1))-AB224&lt;0),-1,MIN(1,IF($A224=$A223,AW223,1)-AB224+$D$2))</f>
        <v>1</v>
      </c>
      <c r="AX224">
        <f>IF(OR($J224=1,COUNTIFS($A$5:$A223,"&gt;="&amp;$A224-1,$A$5:$A223,"&lt;="&amp;$A224,$B$5:$B223,$B224)&gt;0,MIN(1-'Exercise list'!R$2,IF($A224=$A223,AX223,1))-AC224&lt;0),-1,MIN(1,IF($A224=$A223,AX223,1)-AC224+$D$2))</f>
        <v>1</v>
      </c>
      <c r="AY224">
        <f>IF(OR($J224=1,COUNTIFS($A$5:$A223,"&gt;="&amp;$A224-1,$A$5:$A223,"&lt;="&amp;$A224,$B$5:$B223,$B224)&gt;0,MIN(1-'Exercise list'!S$2,IF($A224=$A223,AY223,1))-AD224&lt;0),-1,MIN(1,IF($A224=$A223,AY223,1)-AD224+$D$2))</f>
        <v>1</v>
      </c>
      <c r="AZ224">
        <f>IF(OR($J224=1,COUNTIFS($A$5:$A223,"&gt;="&amp;$A224-1,$A$5:$A223,"&lt;="&amp;$A224,$B$5:$B223,$B224)&gt;0,MIN(1-'Exercise list'!T$2,IF($A224=$A223,AZ223,1))-AE224&lt;0),-1,MIN(1,IF($A224=$A223,AZ223,1)-AE224+$D$2))</f>
        <v>1</v>
      </c>
      <c r="BA224">
        <f>IF(OR($J224=1,COUNTIFS($A$5:$A223,"&gt;="&amp;$A224-1,$A$5:$A223,"&lt;="&amp;$A224,$B$5:$B223,$B224)&gt;0,MIN(1-'Exercise list'!U$2,IF($A224=$A223,BA223,1))-AF224&lt;0),-1,MIN(1,IF($A224=$A223,BA223,1)-AF224+$D$2))</f>
        <v>1</v>
      </c>
      <c r="BB224">
        <f>IF(OR($J224=1,COUNTIFS($A$5:$A223,"&gt;="&amp;$A224-1,$A$5:$A223,"&lt;="&amp;$A224,$B$5:$B223,$B224)&gt;0,MIN(1-'Exercise list'!V$2,IF($A224=$A223,BB223,1))-AG224&lt;0),-1,MIN(1,IF($A224=$A223,BB223,1)-AG224+$D$2))</f>
        <v>1</v>
      </c>
      <c r="BC224">
        <f>IF(OR($J224=1,COUNTIFS($A$5:$A223,"&gt;="&amp;$A224-1,$A$5:$A223,"&lt;="&amp;$A224,$B$5:$B223,$B224)&gt;0,MIN(1-'Exercise list'!W$2,IF($A224=$A223,BC223,1))-AH224&lt;0),-1,MIN(1,IF($A224=$A223,BC223,1)-AH224+$D$2))</f>
        <v>1</v>
      </c>
      <c r="BD224">
        <f>IF(OR($J224=1,COUNTIFS($A$5:$A223,"&gt;="&amp;$A224-1,$A$5:$A223,"&lt;="&amp;$A224,$B$5:$B223,$B224)&gt;0,MIN(1-'Exercise list'!X$2,IF($A224=$A223,BD223,1))-AI224&lt;0),-1,MIN(1,IF($A224=$A223,BD223,1)-AI224+$D$2))</f>
        <v>1</v>
      </c>
      <c r="BF224" s="16">
        <f t="shared" si="145"/>
        <v>0.19596031081758858</v>
      </c>
      <c r="BG224" s="16">
        <f t="shared" si="146"/>
        <v>0.21844636935459236</v>
      </c>
      <c r="BH224" s="16">
        <f t="shared" si="147"/>
        <v>0.14609696635987124</v>
      </c>
      <c r="BI224" s="16">
        <f t="shared" si="148"/>
        <v>0.13198015366034541</v>
      </c>
      <c r="BJ224" s="16">
        <f t="shared" si="149"/>
        <v>8.3367914198418713E-2</v>
      </c>
      <c r="BK224" s="16">
        <f t="shared" si="150"/>
        <v>0.10640640223148412</v>
      </c>
      <c r="BL224" s="16">
        <f t="shared" si="151"/>
        <v>0.21963504743569431</v>
      </c>
      <c r="BM224" s="16">
        <f t="shared" si="152"/>
        <v>3.8988008374820568E-3</v>
      </c>
      <c r="BN224" s="16">
        <f t="shared" si="153"/>
        <v>0.14537706087090876</v>
      </c>
      <c r="BO224" s="16">
        <f t="shared" si="154"/>
        <v>0.29209790661993401</v>
      </c>
      <c r="BP224" s="16">
        <f t="shared" si="155"/>
        <v>0.31584545163401867</v>
      </c>
      <c r="BQ224" s="16">
        <f t="shared" si="156"/>
        <v>0.1000007994126096</v>
      </c>
      <c r="BR224" s="16">
        <f t="shared" si="157"/>
        <v>0.13164487759885393</v>
      </c>
      <c r="BS224" s="16">
        <f t="shared" si="158"/>
        <v>2.9803550189863123E-2</v>
      </c>
      <c r="BT224" s="16">
        <f t="shared" si="159"/>
        <v>0.13492040904978705</v>
      </c>
      <c r="BU224" s="16">
        <f t="shared" si="160"/>
        <v>0.11703687414398131</v>
      </c>
      <c r="BV224" s="16">
        <f t="shared" si="161"/>
        <v>0.14633353213781661</v>
      </c>
      <c r="BW224" s="16">
        <f t="shared" si="162"/>
        <v>7.5588015111767173E-2</v>
      </c>
      <c r="BX224" s="16">
        <f t="shared" si="163"/>
        <v>8.0345659937185704E-2</v>
      </c>
      <c r="BY224" s="16">
        <f t="shared" si="164"/>
        <v>5.9014643151272549E-2</v>
      </c>
      <c r="CA224" s="16" t="str">
        <f t="shared" si="185"/>
        <v/>
      </c>
      <c r="CB224" s="16" t="str">
        <f t="shared" si="166"/>
        <v/>
      </c>
      <c r="CC224" s="16" t="str">
        <f t="shared" si="167"/>
        <v/>
      </c>
      <c r="CD224" s="16" t="str">
        <f t="shared" si="168"/>
        <v/>
      </c>
      <c r="CE224" s="16" t="str">
        <f t="shared" si="169"/>
        <v/>
      </c>
      <c r="CF224" s="16" t="str">
        <f t="shared" si="170"/>
        <v/>
      </c>
      <c r="CG224" s="16" t="str">
        <f t="shared" si="171"/>
        <v/>
      </c>
      <c r="CH224" s="16" t="str">
        <f t="shared" si="172"/>
        <v/>
      </c>
      <c r="CI224" s="16" t="str">
        <f t="shared" si="173"/>
        <v/>
      </c>
      <c r="CJ224" s="16" t="str">
        <f t="shared" si="174"/>
        <v/>
      </c>
      <c r="CK224" s="16" t="str">
        <f t="shared" si="175"/>
        <v/>
      </c>
      <c r="CL224" s="16" t="str">
        <f t="shared" si="176"/>
        <v/>
      </c>
      <c r="CM224" s="16" t="str">
        <f t="shared" si="177"/>
        <v/>
      </c>
      <c r="CN224" s="16" t="str">
        <f t="shared" si="178"/>
        <v/>
      </c>
      <c r="CO224" s="16" t="str">
        <f t="shared" si="179"/>
        <v/>
      </c>
      <c r="CP224" s="16" t="str">
        <f t="shared" si="180"/>
        <v/>
      </c>
      <c r="CQ224" s="16" t="str">
        <f t="shared" si="181"/>
        <v/>
      </c>
      <c r="CR224" s="16" t="str">
        <f t="shared" si="182"/>
        <v/>
      </c>
      <c r="CS224" s="16" t="str">
        <f t="shared" si="183"/>
        <v/>
      </c>
      <c r="CT224" s="16" t="str">
        <f t="shared" si="184"/>
        <v/>
      </c>
    </row>
    <row r="225" spans="1:99" x14ac:dyDescent="0.25">
      <c r="A225" s="13"/>
      <c r="B225" s="14"/>
      <c r="C225" s="15" t="str" cm="1">
        <f t="array" ref="C225">IF(B225="","",INDEX('Exercise list'!$C$5:$C$102,B225))</f>
        <v/>
      </c>
      <c r="D225" s="12" t="str">
        <f t="shared" si="142"/>
        <v/>
      </c>
      <c r="E225" s="107" t="str">
        <f t="shared" si="165"/>
        <v/>
      </c>
      <c r="F225" s="63" t="str" cm="1">
        <f t="array" ref="F225">IF(B225="","",0.1+IFERROR(INDEX($F$6:$F224,SUMPRODUCT(MAX(ROW($C$6:$C224)*($C225=$C$6:$C224))-ROW($A$5)))*0.9^($A225-INDEX($A$6:A224,SUMPRODUCT(MAX(ROW($C$6:$C224)*($C225=$C$6:$C224))-ROW($A$5)))),0))</f>
        <v/>
      </c>
      <c r="G225" s="64" t="e">
        <f>INDEX('Exercise list'!$Y$5:$Y$102,MATCH(C225,'Exercise list'!$C$5:$C$102,0))</f>
        <v>#N/A</v>
      </c>
      <c r="H225" s="115">
        <f t="shared" si="143"/>
        <v>0</v>
      </c>
      <c r="I225" s="6">
        <f t="shared" si="144"/>
        <v>5</v>
      </c>
      <c r="J225" s="6" t="str" cm="1">
        <f t="array" ref="J225">IF(B225="","",INDEX('Exercise list'!$D$5:$D$102,B225))</f>
        <v/>
      </c>
      <c r="K225" s="12"/>
      <c r="L225" s="74" t="str" cm="1">
        <f t="array" ref="L225">IF(K225="","",INDEX('Exercise list'!$C$5:$C$102,K225))</f>
        <v/>
      </c>
      <c r="M225" s="6"/>
      <c r="N225" s="75" t="str" cm="1">
        <f t="array" ref="N225">IF(M225="","",INDEX('Exercise list'!$C$5:$C$102,M225))</f>
        <v/>
      </c>
      <c r="P225">
        <f>IFERROR(INDEX('Exercise list'!$E$5:$X$102,MATCH($C225,'Exercise list'!$C$5:$C$102,0),MATCH(P$5,'Exercise list'!$E$4:$X$4,0)),0)</f>
        <v>0</v>
      </c>
      <c r="Q225">
        <f>IFERROR(INDEX('Exercise list'!$E$5:$X$102,MATCH($C225,'Exercise list'!$C$5:$C$102,0),MATCH(Q$5,'Exercise list'!$E$4:$X$4,0)),0)</f>
        <v>0</v>
      </c>
      <c r="R225">
        <f>IFERROR(INDEX('Exercise list'!$E$5:$X$102,MATCH($C225,'Exercise list'!$C$5:$C$102,0),MATCH(R$5,'Exercise list'!$E$4:$X$4,0)),0)</f>
        <v>0</v>
      </c>
      <c r="S225">
        <f>IFERROR(INDEX('Exercise list'!$E$5:$X$102,MATCH($C225,'Exercise list'!$C$5:$C$102,0),MATCH(S$5,'Exercise list'!$E$4:$X$4,0)),0)</f>
        <v>0</v>
      </c>
      <c r="T225">
        <f>IFERROR(INDEX('Exercise list'!$E$5:$X$102,MATCH($C225,'Exercise list'!$C$5:$C$102,0),MATCH(T$5,'Exercise list'!$E$4:$X$4,0)),0)</f>
        <v>0</v>
      </c>
      <c r="U225">
        <f>IFERROR(INDEX('Exercise list'!$E$5:$X$102,MATCH($C225,'Exercise list'!$C$5:$C$102,0),MATCH(U$5,'Exercise list'!$E$4:$X$4,0)),0)</f>
        <v>0</v>
      </c>
      <c r="V225">
        <f>IFERROR(INDEX('Exercise list'!$E$5:$X$102,MATCH($C225,'Exercise list'!$C$5:$C$102,0),MATCH(V$5,'Exercise list'!$E$4:$X$4,0)),0)</f>
        <v>0</v>
      </c>
      <c r="W225">
        <f>IFERROR(INDEX('Exercise list'!$E$5:$X$102,MATCH($C225,'Exercise list'!$C$5:$C$102,0),MATCH(W$5,'Exercise list'!$E$4:$X$4,0)),0)</f>
        <v>0</v>
      </c>
      <c r="X225">
        <f>IFERROR(INDEX('Exercise list'!$E$5:$X$102,MATCH($C225,'Exercise list'!$C$5:$C$102,0),MATCH(X$5,'Exercise list'!$E$4:$X$4,0)),0)</f>
        <v>0</v>
      </c>
      <c r="Y225">
        <f>IFERROR(INDEX('Exercise list'!$E$5:$X$102,MATCH($C225,'Exercise list'!$C$5:$C$102,0),MATCH(Y$5,'Exercise list'!$E$4:$X$4,0)),0)</f>
        <v>0</v>
      </c>
      <c r="Z225">
        <f>IFERROR(INDEX('Exercise list'!$E$5:$X$102,MATCH($C225,'Exercise list'!$C$5:$C$102,0),MATCH(Z$5,'Exercise list'!$E$4:$X$4,0)),0)</f>
        <v>0</v>
      </c>
      <c r="AA225">
        <f>IFERROR(INDEX('Exercise list'!$E$5:$X$102,MATCH($C225,'Exercise list'!$C$5:$C$102,0),MATCH(AA$5,'Exercise list'!$E$4:$X$4,0)),0)</f>
        <v>0</v>
      </c>
      <c r="AB225">
        <f>IFERROR(INDEX('Exercise list'!$E$5:$X$102,MATCH($C225,'Exercise list'!$C$5:$C$102,0),MATCH(AB$5,'Exercise list'!$E$4:$X$4,0)),0)</f>
        <v>0</v>
      </c>
      <c r="AC225">
        <f>IFERROR(INDEX('Exercise list'!$E$5:$X$102,MATCH($C225,'Exercise list'!$C$5:$C$102,0),MATCH(AC$5,'Exercise list'!$E$4:$X$4,0)),0)</f>
        <v>0</v>
      </c>
      <c r="AD225">
        <f>IFERROR(INDEX('Exercise list'!$E$5:$X$102,MATCH($C225,'Exercise list'!$C$5:$C$102,0),MATCH(AD$5,'Exercise list'!$E$4:$X$4,0)),0)</f>
        <v>0</v>
      </c>
      <c r="AE225">
        <f>IFERROR(INDEX('Exercise list'!$E$5:$X$102,MATCH($C225,'Exercise list'!$C$5:$C$102,0),MATCH(AE$5,'Exercise list'!$E$4:$X$4,0)),0)</f>
        <v>0</v>
      </c>
      <c r="AF225">
        <f>IFERROR(INDEX('Exercise list'!$E$5:$X$102,MATCH($C225,'Exercise list'!$C$5:$C$102,0),MATCH(AF$5,'Exercise list'!$E$4:$X$4,0)),0)</f>
        <v>0</v>
      </c>
      <c r="AG225">
        <f>IFERROR(INDEX('Exercise list'!$E$5:$X$102,MATCH($C225,'Exercise list'!$C$5:$C$102,0),MATCH(AG$5,'Exercise list'!$E$4:$X$4,0)),0)</f>
        <v>0</v>
      </c>
      <c r="AH225">
        <f>IFERROR(INDEX('Exercise list'!$E$5:$X$102,MATCH($C225,'Exercise list'!$C$5:$C$102,0),MATCH(AH$5,'Exercise list'!$E$4:$X$4,0)),0)</f>
        <v>0</v>
      </c>
      <c r="AI225">
        <f>IFERROR(INDEX('Exercise list'!$E$5:$X$102,MATCH($C225,'Exercise list'!$C$5:$C$102,0),MATCH(AI$5,'Exercise list'!$E$4:$X$4,0)),0)</f>
        <v>0</v>
      </c>
      <c r="AK225">
        <f>IF(OR($J225=1,COUNTIFS($A$5:$A224,"&gt;="&amp;$A225-1,$A$5:$A224,"&lt;="&amp;$A225,$B$5:$B224,$B225)&gt;0,MIN(1-'Exercise list'!E$2,IF($A225=$A224,AK224,1))-P225&lt;0),-1,MIN(1,IF($A225=$A224,AK224,1)-P225+$D$2))</f>
        <v>1</v>
      </c>
      <c r="AL225">
        <f>IF(OR($J225=1,COUNTIFS($A$5:$A224,"&gt;="&amp;$A225-1,$A$5:$A224,"&lt;="&amp;$A225,$B$5:$B224,$B225)&gt;0,MIN(1-'Exercise list'!F$2,IF($A225=$A224,AL224,1))-Q225&lt;0),-1,MIN(1,IF($A225=$A224,AL224,1)-Q225+$D$2))</f>
        <v>1</v>
      </c>
      <c r="AM225">
        <f>IF(OR($J225=1,COUNTIFS($A$5:$A224,"&gt;="&amp;$A225-1,$A$5:$A224,"&lt;="&amp;$A225,$B$5:$B224,$B225)&gt;0,MIN(1-'Exercise list'!G$2,IF($A225=$A224,AM224,1))-R225&lt;0),-1,MIN(1,IF($A225=$A224,AM224,1)-R225+$D$2))</f>
        <v>1</v>
      </c>
      <c r="AN225">
        <f>IF(OR($J225=1,COUNTIFS($A$5:$A224,"&gt;="&amp;$A225-1,$A$5:$A224,"&lt;="&amp;$A225,$B$5:$B224,$B225)&gt;0,MIN(1-'Exercise list'!H$2,IF($A225=$A224,AN224,1))-S225&lt;0),-1,MIN(1,IF($A225=$A224,AN224,1)-S225+$D$2))</f>
        <v>1</v>
      </c>
      <c r="AO225">
        <f>IF(OR($J225=1,COUNTIFS($A$5:$A224,"&gt;="&amp;$A225-1,$A$5:$A224,"&lt;="&amp;$A225,$B$5:$B224,$B225)&gt;0,MIN(1-'Exercise list'!I$2,IF($A225=$A224,AO224,1))-T225&lt;0),-1,MIN(1,IF($A225=$A224,AO224,1)-T225+$D$2))</f>
        <v>1</v>
      </c>
      <c r="AP225">
        <f>IF(OR($J225=1,COUNTIFS($A$5:$A224,"&gt;="&amp;$A225-1,$A$5:$A224,"&lt;="&amp;$A225,$B$5:$B224,$B225)&gt;0,MIN(1-'Exercise list'!J$2,IF($A225=$A224,AP224,1))-U225&lt;0),-1,MIN(1,IF($A225=$A224,AP224,1)-U225+$D$2))</f>
        <v>1</v>
      </c>
      <c r="AQ225">
        <f>IF(OR($J225=1,COUNTIFS($A$5:$A224,"&gt;="&amp;$A225-1,$A$5:$A224,"&lt;="&amp;$A225,$B$5:$B224,$B225)&gt;0,MIN(1-'Exercise list'!K$2,IF($A225=$A224,AQ224,1))-V225&lt;0),-1,MIN(1,IF($A225=$A224,AQ224,1)-V225+$D$2))</f>
        <v>1</v>
      </c>
      <c r="AR225">
        <f>IF(OR($J225=1,COUNTIFS($A$5:$A224,"&gt;="&amp;$A225-1,$A$5:$A224,"&lt;="&amp;$A225,$B$5:$B224,$B225)&gt;0,MIN(1-'Exercise list'!L$2,IF($A225=$A224,AR224,1))-W225&lt;0),-1,MIN(1,IF($A225=$A224,AR224,1)-W225+$D$2))</f>
        <v>1</v>
      </c>
      <c r="AS225">
        <f>IF(OR($J225=1,COUNTIFS($A$5:$A224,"&gt;="&amp;$A225-1,$A$5:$A224,"&lt;="&amp;$A225,$B$5:$B224,$B225)&gt;0,MIN(1-'Exercise list'!M$2,IF($A225=$A224,AS224,1))-X225&lt;0),-1,MIN(1,IF($A225=$A224,AS224,1)-X225+$D$2))</f>
        <v>1</v>
      </c>
      <c r="AT225">
        <f>IF(OR($J225=1,COUNTIFS($A$5:$A224,"&gt;="&amp;$A225-1,$A$5:$A224,"&lt;="&amp;$A225,$B$5:$B224,$B225)&gt;0,MIN(1-'Exercise list'!N$2,IF($A225=$A224,AT224,1))-Y225&lt;0),-1,MIN(1,IF($A225=$A224,AT224,1)-Y225+$D$2))</f>
        <v>1</v>
      </c>
      <c r="AU225">
        <f>IF(OR($J225=1,COUNTIFS($A$5:$A224,"&gt;="&amp;$A225-1,$A$5:$A224,"&lt;="&amp;$A225,$B$5:$B224,$B225)&gt;0,MIN(1-'Exercise list'!O$2,IF($A225=$A224,AU224,1))-Z225&lt;0),-1,MIN(1,IF($A225=$A224,AU224,1)-Z225+$D$2))</f>
        <v>1</v>
      </c>
      <c r="AV225">
        <f>IF(OR($J225=1,COUNTIFS($A$5:$A224,"&gt;="&amp;$A225-1,$A$5:$A224,"&lt;="&amp;$A225,$B$5:$B224,$B225)&gt;0,MIN(1-'Exercise list'!P$2,IF($A225=$A224,AV224,1))-AA225&lt;0),-1,MIN(1,IF($A225=$A224,AV224,1)-AA225+$D$2))</f>
        <v>1</v>
      </c>
      <c r="AW225">
        <f>IF(OR($J225=1,COUNTIFS($A$5:$A224,"&gt;="&amp;$A225-1,$A$5:$A224,"&lt;="&amp;$A225,$B$5:$B224,$B225)&gt;0,MIN(1-'Exercise list'!Q$2,IF($A225=$A224,AW224,1))-AB225&lt;0),-1,MIN(1,IF($A225=$A224,AW224,1)-AB225+$D$2))</f>
        <v>1</v>
      </c>
      <c r="AX225">
        <f>IF(OR($J225=1,COUNTIFS($A$5:$A224,"&gt;="&amp;$A225-1,$A$5:$A224,"&lt;="&amp;$A225,$B$5:$B224,$B225)&gt;0,MIN(1-'Exercise list'!R$2,IF($A225=$A224,AX224,1))-AC225&lt;0),-1,MIN(1,IF($A225=$A224,AX224,1)-AC225+$D$2))</f>
        <v>1</v>
      </c>
      <c r="AY225">
        <f>IF(OR($J225=1,COUNTIFS($A$5:$A224,"&gt;="&amp;$A225-1,$A$5:$A224,"&lt;="&amp;$A225,$B$5:$B224,$B225)&gt;0,MIN(1-'Exercise list'!S$2,IF($A225=$A224,AY224,1))-AD225&lt;0),-1,MIN(1,IF($A225=$A224,AY224,1)-AD225+$D$2))</f>
        <v>1</v>
      </c>
      <c r="AZ225">
        <f>IF(OR($J225=1,COUNTIFS($A$5:$A224,"&gt;="&amp;$A225-1,$A$5:$A224,"&lt;="&amp;$A225,$B$5:$B224,$B225)&gt;0,MIN(1-'Exercise list'!T$2,IF($A225=$A224,AZ224,1))-AE225&lt;0),-1,MIN(1,IF($A225=$A224,AZ224,1)-AE225+$D$2))</f>
        <v>1</v>
      </c>
      <c r="BA225">
        <f>IF(OR($J225=1,COUNTIFS($A$5:$A224,"&gt;="&amp;$A225-1,$A$5:$A224,"&lt;="&amp;$A225,$B$5:$B224,$B225)&gt;0,MIN(1-'Exercise list'!U$2,IF($A225=$A224,BA224,1))-AF225&lt;0),-1,MIN(1,IF($A225=$A224,BA224,1)-AF225+$D$2))</f>
        <v>1</v>
      </c>
      <c r="BB225">
        <f>IF(OR($J225=1,COUNTIFS($A$5:$A224,"&gt;="&amp;$A225-1,$A$5:$A224,"&lt;="&amp;$A225,$B$5:$B224,$B225)&gt;0,MIN(1-'Exercise list'!V$2,IF($A225=$A224,BB224,1))-AG225&lt;0),-1,MIN(1,IF($A225=$A224,BB224,1)-AG225+$D$2))</f>
        <v>1</v>
      </c>
      <c r="BC225">
        <f>IF(OR($J225=1,COUNTIFS($A$5:$A224,"&gt;="&amp;$A225-1,$A$5:$A224,"&lt;="&amp;$A225,$B$5:$B224,$B225)&gt;0,MIN(1-'Exercise list'!W$2,IF($A225=$A224,BC224,1))-AH225&lt;0),-1,MIN(1,IF($A225=$A224,BC224,1)-AH225+$D$2))</f>
        <v>1</v>
      </c>
      <c r="BD225">
        <f>IF(OR($J225=1,COUNTIFS($A$5:$A224,"&gt;="&amp;$A225-1,$A$5:$A224,"&lt;="&amp;$A225,$B$5:$B224,$B225)&gt;0,MIN(1-'Exercise list'!X$2,IF($A225=$A224,BD224,1))-AI225&lt;0),-1,MIN(1,IF($A225=$A224,BD224,1)-AI225+$D$2))</f>
        <v>1</v>
      </c>
      <c r="BF225" s="16">
        <f t="shared" si="145"/>
        <v>0.19596031081758858</v>
      </c>
      <c r="BG225" s="16">
        <f t="shared" si="146"/>
        <v>0.21844636935459236</v>
      </c>
      <c r="BH225" s="16">
        <f t="shared" si="147"/>
        <v>0.14609696635987124</v>
      </c>
      <c r="BI225" s="16">
        <f t="shared" si="148"/>
        <v>0.13198015366034541</v>
      </c>
      <c r="BJ225" s="16">
        <f t="shared" si="149"/>
        <v>8.3367914198418713E-2</v>
      </c>
      <c r="BK225" s="16">
        <f t="shared" si="150"/>
        <v>0.10640640223148412</v>
      </c>
      <c r="BL225" s="16">
        <f t="shared" si="151"/>
        <v>0.21963504743569431</v>
      </c>
      <c r="BM225" s="16">
        <f t="shared" si="152"/>
        <v>3.8988008374820568E-3</v>
      </c>
      <c r="BN225" s="16">
        <f t="shared" si="153"/>
        <v>0.14537706087090876</v>
      </c>
      <c r="BO225" s="16">
        <f t="shared" si="154"/>
        <v>0.29209790661993401</v>
      </c>
      <c r="BP225" s="16">
        <f t="shared" si="155"/>
        <v>0.31584545163401867</v>
      </c>
      <c r="BQ225" s="16">
        <f t="shared" si="156"/>
        <v>0.1000007994126096</v>
      </c>
      <c r="BR225" s="16">
        <f t="shared" si="157"/>
        <v>0.13164487759885393</v>
      </c>
      <c r="BS225" s="16">
        <f t="shared" si="158"/>
        <v>2.9803550189863123E-2</v>
      </c>
      <c r="BT225" s="16">
        <f t="shared" si="159"/>
        <v>0.13492040904978705</v>
      </c>
      <c r="BU225" s="16">
        <f t="shared" si="160"/>
        <v>0.11703687414398131</v>
      </c>
      <c r="BV225" s="16">
        <f t="shared" si="161"/>
        <v>0.14633353213781661</v>
      </c>
      <c r="BW225" s="16">
        <f t="shared" si="162"/>
        <v>7.5588015111767173E-2</v>
      </c>
      <c r="BX225" s="16">
        <f t="shared" si="163"/>
        <v>8.0345659937185704E-2</v>
      </c>
      <c r="BY225" s="16">
        <f t="shared" si="164"/>
        <v>5.9014643151272549E-2</v>
      </c>
      <c r="CA225" s="16" t="str">
        <f t="shared" si="185"/>
        <v/>
      </c>
      <c r="CB225" s="16" t="str">
        <f t="shared" si="166"/>
        <v/>
      </c>
      <c r="CC225" s="16" t="str">
        <f t="shared" si="167"/>
        <v/>
      </c>
      <c r="CD225" s="16" t="str">
        <f t="shared" si="168"/>
        <v/>
      </c>
      <c r="CE225" s="16" t="str">
        <f t="shared" si="169"/>
        <v/>
      </c>
      <c r="CF225" s="16" t="str">
        <f t="shared" si="170"/>
        <v/>
      </c>
      <c r="CG225" s="16" t="str">
        <f t="shared" si="171"/>
        <v/>
      </c>
      <c r="CH225" s="16" t="str">
        <f t="shared" si="172"/>
        <v/>
      </c>
      <c r="CI225" s="16" t="str">
        <f t="shared" si="173"/>
        <v/>
      </c>
      <c r="CJ225" s="16" t="str">
        <f t="shared" si="174"/>
        <v/>
      </c>
      <c r="CK225" s="16" t="str">
        <f t="shared" si="175"/>
        <v/>
      </c>
      <c r="CL225" s="16" t="str">
        <f t="shared" si="176"/>
        <v/>
      </c>
      <c r="CM225" s="16" t="str">
        <f t="shared" si="177"/>
        <v/>
      </c>
      <c r="CN225" s="16" t="str">
        <f t="shared" si="178"/>
        <v/>
      </c>
      <c r="CO225" s="16" t="str">
        <f t="shared" si="179"/>
        <v/>
      </c>
      <c r="CP225" s="16" t="str">
        <f t="shared" si="180"/>
        <v/>
      </c>
      <c r="CQ225" s="16" t="str">
        <f t="shared" si="181"/>
        <v/>
      </c>
      <c r="CR225" s="16" t="str">
        <f t="shared" si="182"/>
        <v/>
      </c>
      <c r="CS225" s="16" t="str">
        <f t="shared" si="183"/>
        <v/>
      </c>
      <c r="CT225" s="16" t="str">
        <f t="shared" si="184"/>
        <v/>
      </c>
    </row>
    <row r="226" spans="1:99" x14ac:dyDescent="0.25">
      <c r="A226" s="13"/>
      <c r="B226" s="14"/>
      <c r="C226" s="15" t="str" cm="1">
        <f t="array" ref="C226">IF(B226="","",INDEX('Exercise list'!$C$5:$C$102,B226))</f>
        <v/>
      </c>
      <c r="D226" s="12" t="str">
        <f t="shared" si="142"/>
        <v/>
      </c>
      <c r="E226" s="107" t="str">
        <f t="shared" si="165"/>
        <v/>
      </c>
      <c r="F226" s="63" t="str" cm="1">
        <f t="array" ref="F226">IF(B226="","",0.1+IFERROR(INDEX($F$6:$F225,SUMPRODUCT(MAX(ROW($C$6:$C225)*($C226=$C$6:$C225))-ROW($A$5)))*0.9^($A226-INDEX($A$6:A225,SUMPRODUCT(MAX(ROW($C$6:$C225)*($C226=$C$6:$C225))-ROW($A$5)))),0))</f>
        <v/>
      </c>
      <c r="G226" s="64" t="e">
        <f>INDEX('Exercise list'!$Y$5:$Y$102,MATCH(C226,'Exercise list'!$C$5:$C$102,0))</f>
        <v>#N/A</v>
      </c>
      <c r="H226" s="115">
        <f t="shared" si="143"/>
        <v>0</v>
      </c>
      <c r="I226" s="6">
        <f t="shared" si="144"/>
        <v>5</v>
      </c>
      <c r="J226" s="6" t="str" cm="1">
        <f t="array" ref="J226">IF(B226="","",INDEX('Exercise list'!$D$5:$D$102,B226))</f>
        <v/>
      </c>
      <c r="K226" s="12"/>
      <c r="L226" s="74" t="str" cm="1">
        <f t="array" ref="L226">IF(K226="","",INDEX('Exercise list'!$C$5:$C$102,K226))</f>
        <v/>
      </c>
      <c r="M226" s="6"/>
      <c r="N226" s="75" t="str" cm="1">
        <f t="array" ref="N226">IF(M226="","",INDEX('Exercise list'!$C$5:$C$102,M226))</f>
        <v/>
      </c>
      <c r="P226">
        <f>IFERROR(INDEX('Exercise list'!$E$5:$X$102,MATCH($C226,'Exercise list'!$C$5:$C$102,0),MATCH(P$5,'Exercise list'!$E$4:$X$4,0)),0)</f>
        <v>0</v>
      </c>
      <c r="Q226">
        <f>IFERROR(INDEX('Exercise list'!$E$5:$X$102,MATCH($C226,'Exercise list'!$C$5:$C$102,0),MATCH(Q$5,'Exercise list'!$E$4:$X$4,0)),0)</f>
        <v>0</v>
      </c>
      <c r="R226">
        <f>IFERROR(INDEX('Exercise list'!$E$5:$X$102,MATCH($C226,'Exercise list'!$C$5:$C$102,0),MATCH(R$5,'Exercise list'!$E$4:$X$4,0)),0)</f>
        <v>0</v>
      </c>
      <c r="S226">
        <f>IFERROR(INDEX('Exercise list'!$E$5:$X$102,MATCH($C226,'Exercise list'!$C$5:$C$102,0),MATCH(S$5,'Exercise list'!$E$4:$X$4,0)),0)</f>
        <v>0</v>
      </c>
      <c r="T226">
        <f>IFERROR(INDEX('Exercise list'!$E$5:$X$102,MATCH($C226,'Exercise list'!$C$5:$C$102,0),MATCH(T$5,'Exercise list'!$E$4:$X$4,0)),0)</f>
        <v>0</v>
      </c>
      <c r="U226">
        <f>IFERROR(INDEX('Exercise list'!$E$5:$X$102,MATCH($C226,'Exercise list'!$C$5:$C$102,0),MATCH(U$5,'Exercise list'!$E$4:$X$4,0)),0)</f>
        <v>0</v>
      </c>
      <c r="V226">
        <f>IFERROR(INDEX('Exercise list'!$E$5:$X$102,MATCH($C226,'Exercise list'!$C$5:$C$102,0),MATCH(V$5,'Exercise list'!$E$4:$X$4,0)),0)</f>
        <v>0</v>
      </c>
      <c r="W226">
        <f>IFERROR(INDEX('Exercise list'!$E$5:$X$102,MATCH($C226,'Exercise list'!$C$5:$C$102,0),MATCH(W$5,'Exercise list'!$E$4:$X$4,0)),0)</f>
        <v>0</v>
      </c>
      <c r="X226">
        <f>IFERROR(INDEX('Exercise list'!$E$5:$X$102,MATCH($C226,'Exercise list'!$C$5:$C$102,0),MATCH(X$5,'Exercise list'!$E$4:$X$4,0)),0)</f>
        <v>0</v>
      </c>
      <c r="Y226">
        <f>IFERROR(INDEX('Exercise list'!$E$5:$X$102,MATCH($C226,'Exercise list'!$C$5:$C$102,0),MATCH(Y$5,'Exercise list'!$E$4:$X$4,0)),0)</f>
        <v>0</v>
      </c>
      <c r="Z226">
        <f>IFERROR(INDEX('Exercise list'!$E$5:$X$102,MATCH($C226,'Exercise list'!$C$5:$C$102,0),MATCH(Z$5,'Exercise list'!$E$4:$X$4,0)),0)</f>
        <v>0</v>
      </c>
      <c r="AA226">
        <f>IFERROR(INDEX('Exercise list'!$E$5:$X$102,MATCH($C226,'Exercise list'!$C$5:$C$102,0),MATCH(AA$5,'Exercise list'!$E$4:$X$4,0)),0)</f>
        <v>0</v>
      </c>
      <c r="AB226">
        <f>IFERROR(INDEX('Exercise list'!$E$5:$X$102,MATCH($C226,'Exercise list'!$C$5:$C$102,0),MATCH(AB$5,'Exercise list'!$E$4:$X$4,0)),0)</f>
        <v>0</v>
      </c>
      <c r="AC226">
        <f>IFERROR(INDEX('Exercise list'!$E$5:$X$102,MATCH($C226,'Exercise list'!$C$5:$C$102,0),MATCH(AC$5,'Exercise list'!$E$4:$X$4,0)),0)</f>
        <v>0</v>
      </c>
      <c r="AD226">
        <f>IFERROR(INDEX('Exercise list'!$E$5:$X$102,MATCH($C226,'Exercise list'!$C$5:$C$102,0),MATCH(AD$5,'Exercise list'!$E$4:$X$4,0)),0)</f>
        <v>0</v>
      </c>
      <c r="AE226">
        <f>IFERROR(INDEX('Exercise list'!$E$5:$X$102,MATCH($C226,'Exercise list'!$C$5:$C$102,0),MATCH(AE$5,'Exercise list'!$E$4:$X$4,0)),0)</f>
        <v>0</v>
      </c>
      <c r="AF226">
        <f>IFERROR(INDEX('Exercise list'!$E$5:$X$102,MATCH($C226,'Exercise list'!$C$5:$C$102,0),MATCH(AF$5,'Exercise list'!$E$4:$X$4,0)),0)</f>
        <v>0</v>
      </c>
      <c r="AG226">
        <f>IFERROR(INDEX('Exercise list'!$E$5:$X$102,MATCH($C226,'Exercise list'!$C$5:$C$102,0),MATCH(AG$5,'Exercise list'!$E$4:$X$4,0)),0)</f>
        <v>0</v>
      </c>
      <c r="AH226">
        <f>IFERROR(INDEX('Exercise list'!$E$5:$X$102,MATCH($C226,'Exercise list'!$C$5:$C$102,0),MATCH(AH$5,'Exercise list'!$E$4:$X$4,0)),0)</f>
        <v>0</v>
      </c>
      <c r="AI226">
        <f>IFERROR(INDEX('Exercise list'!$E$5:$X$102,MATCH($C226,'Exercise list'!$C$5:$C$102,0),MATCH(AI$5,'Exercise list'!$E$4:$X$4,0)),0)</f>
        <v>0</v>
      </c>
      <c r="AK226">
        <f>IF(OR($J226=1,COUNTIFS($A$5:$A225,"&gt;="&amp;$A226-1,$A$5:$A225,"&lt;="&amp;$A226,$B$5:$B225,$B226)&gt;0,MIN(1-'Exercise list'!E$2,IF($A226=$A225,AK225,1))-P226&lt;0),-1,MIN(1,IF($A226=$A225,AK225,1)-P226+$D$2))</f>
        <v>1</v>
      </c>
      <c r="AL226">
        <f>IF(OR($J226=1,COUNTIFS($A$5:$A225,"&gt;="&amp;$A226-1,$A$5:$A225,"&lt;="&amp;$A226,$B$5:$B225,$B226)&gt;0,MIN(1-'Exercise list'!F$2,IF($A226=$A225,AL225,1))-Q226&lt;0),-1,MIN(1,IF($A226=$A225,AL225,1)-Q226+$D$2))</f>
        <v>1</v>
      </c>
      <c r="AM226">
        <f>IF(OR($J226=1,COUNTIFS($A$5:$A225,"&gt;="&amp;$A226-1,$A$5:$A225,"&lt;="&amp;$A226,$B$5:$B225,$B226)&gt;0,MIN(1-'Exercise list'!G$2,IF($A226=$A225,AM225,1))-R226&lt;0),-1,MIN(1,IF($A226=$A225,AM225,1)-R226+$D$2))</f>
        <v>1</v>
      </c>
      <c r="AN226">
        <f>IF(OR($J226=1,COUNTIFS($A$5:$A225,"&gt;="&amp;$A226-1,$A$5:$A225,"&lt;="&amp;$A226,$B$5:$B225,$B226)&gt;0,MIN(1-'Exercise list'!H$2,IF($A226=$A225,AN225,1))-S226&lt;0),-1,MIN(1,IF($A226=$A225,AN225,1)-S226+$D$2))</f>
        <v>1</v>
      </c>
      <c r="AO226">
        <f>IF(OR($J226=1,COUNTIFS($A$5:$A225,"&gt;="&amp;$A226-1,$A$5:$A225,"&lt;="&amp;$A226,$B$5:$B225,$B226)&gt;0,MIN(1-'Exercise list'!I$2,IF($A226=$A225,AO225,1))-T226&lt;0),-1,MIN(1,IF($A226=$A225,AO225,1)-T226+$D$2))</f>
        <v>1</v>
      </c>
      <c r="AP226">
        <f>IF(OR($J226=1,COUNTIFS($A$5:$A225,"&gt;="&amp;$A226-1,$A$5:$A225,"&lt;="&amp;$A226,$B$5:$B225,$B226)&gt;0,MIN(1-'Exercise list'!J$2,IF($A226=$A225,AP225,1))-U226&lt;0),-1,MIN(1,IF($A226=$A225,AP225,1)-U226+$D$2))</f>
        <v>1</v>
      </c>
      <c r="AQ226">
        <f>IF(OR($J226=1,COUNTIFS($A$5:$A225,"&gt;="&amp;$A226-1,$A$5:$A225,"&lt;="&amp;$A226,$B$5:$B225,$B226)&gt;0,MIN(1-'Exercise list'!K$2,IF($A226=$A225,AQ225,1))-V226&lt;0),-1,MIN(1,IF($A226=$A225,AQ225,1)-V226+$D$2))</f>
        <v>1</v>
      </c>
      <c r="AR226">
        <f>IF(OR($J226=1,COUNTIFS($A$5:$A225,"&gt;="&amp;$A226-1,$A$5:$A225,"&lt;="&amp;$A226,$B$5:$B225,$B226)&gt;0,MIN(1-'Exercise list'!L$2,IF($A226=$A225,AR225,1))-W226&lt;0),-1,MIN(1,IF($A226=$A225,AR225,1)-W226+$D$2))</f>
        <v>1</v>
      </c>
      <c r="AS226">
        <f>IF(OR($J226=1,COUNTIFS($A$5:$A225,"&gt;="&amp;$A226-1,$A$5:$A225,"&lt;="&amp;$A226,$B$5:$B225,$B226)&gt;0,MIN(1-'Exercise list'!M$2,IF($A226=$A225,AS225,1))-X226&lt;0),-1,MIN(1,IF($A226=$A225,AS225,1)-X226+$D$2))</f>
        <v>1</v>
      </c>
      <c r="AT226">
        <f>IF(OR($J226=1,COUNTIFS($A$5:$A225,"&gt;="&amp;$A226-1,$A$5:$A225,"&lt;="&amp;$A226,$B$5:$B225,$B226)&gt;0,MIN(1-'Exercise list'!N$2,IF($A226=$A225,AT225,1))-Y226&lt;0),-1,MIN(1,IF($A226=$A225,AT225,1)-Y226+$D$2))</f>
        <v>1</v>
      </c>
      <c r="AU226">
        <f>IF(OR($J226=1,COUNTIFS($A$5:$A225,"&gt;="&amp;$A226-1,$A$5:$A225,"&lt;="&amp;$A226,$B$5:$B225,$B226)&gt;0,MIN(1-'Exercise list'!O$2,IF($A226=$A225,AU225,1))-Z226&lt;0),-1,MIN(1,IF($A226=$A225,AU225,1)-Z226+$D$2))</f>
        <v>1</v>
      </c>
      <c r="AV226">
        <f>IF(OR($J226=1,COUNTIFS($A$5:$A225,"&gt;="&amp;$A226-1,$A$5:$A225,"&lt;="&amp;$A226,$B$5:$B225,$B226)&gt;0,MIN(1-'Exercise list'!P$2,IF($A226=$A225,AV225,1))-AA226&lt;0),-1,MIN(1,IF($A226=$A225,AV225,1)-AA226+$D$2))</f>
        <v>1</v>
      </c>
      <c r="AW226">
        <f>IF(OR($J226=1,COUNTIFS($A$5:$A225,"&gt;="&amp;$A226-1,$A$5:$A225,"&lt;="&amp;$A226,$B$5:$B225,$B226)&gt;0,MIN(1-'Exercise list'!Q$2,IF($A226=$A225,AW225,1))-AB226&lt;0),-1,MIN(1,IF($A226=$A225,AW225,1)-AB226+$D$2))</f>
        <v>1</v>
      </c>
      <c r="AX226">
        <f>IF(OR($J226=1,COUNTIFS($A$5:$A225,"&gt;="&amp;$A226-1,$A$5:$A225,"&lt;="&amp;$A226,$B$5:$B225,$B226)&gt;0,MIN(1-'Exercise list'!R$2,IF($A226=$A225,AX225,1))-AC226&lt;0),-1,MIN(1,IF($A226=$A225,AX225,1)-AC226+$D$2))</f>
        <v>1</v>
      </c>
      <c r="AY226">
        <f>IF(OR($J226=1,COUNTIFS($A$5:$A225,"&gt;="&amp;$A226-1,$A$5:$A225,"&lt;="&amp;$A226,$B$5:$B225,$B226)&gt;0,MIN(1-'Exercise list'!S$2,IF($A226=$A225,AY225,1))-AD226&lt;0),-1,MIN(1,IF($A226=$A225,AY225,1)-AD226+$D$2))</f>
        <v>1</v>
      </c>
      <c r="AZ226">
        <f>IF(OR($J226=1,COUNTIFS($A$5:$A225,"&gt;="&amp;$A226-1,$A$5:$A225,"&lt;="&amp;$A226,$B$5:$B225,$B226)&gt;0,MIN(1-'Exercise list'!T$2,IF($A226=$A225,AZ225,1))-AE226&lt;0),-1,MIN(1,IF($A226=$A225,AZ225,1)-AE226+$D$2))</f>
        <v>1</v>
      </c>
      <c r="BA226">
        <f>IF(OR($J226=1,COUNTIFS($A$5:$A225,"&gt;="&amp;$A226-1,$A$5:$A225,"&lt;="&amp;$A226,$B$5:$B225,$B226)&gt;0,MIN(1-'Exercise list'!U$2,IF($A226=$A225,BA225,1))-AF226&lt;0),-1,MIN(1,IF($A226=$A225,BA225,1)-AF226+$D$2))</f>
        <v>1</v>
      </c>
      <c r="BB226">
        <f>IF(OR($J226=1,COUNTIFS($A$5:$A225,"&gt;="&amp;$A226-1,$A$5:$A225,"&lt;="&amp;$A226,$B$5:$B225,$B226)&gt;0,MIN(1-'Exercise list'!V$2,IF($A226=$A225,BB225,1))-AG226&lt;0),-1,MIN(1,IF($A226=$A225,BB225,1)-AG226+$D$2))</f>
        <v>1</v>
      </c>
      <c r="BC226">
        <f>IF(OR($J226=1,COUNTIFS($A$5:$A225,"&gt;="&amp;$A226-1,$A$5:$A225,"&lt;="&amp;$A226,$B$5:$B225,$B226)&gt;0,MIN(1-'Exercise list'!W$2,IF($A226=$A225,BC225,1))-AH226&lt;0),-1,MIN(1,IF($A226=$A225,BC225,1)-AH226+$D$2))</f>
        <v>1</v>
      </c>
      <c r="BD226">
        <f>IF(OR($J226=1,COUNTIFS($A$5:$A225,"&gt;="&amp;$A226-1,$A$5:$A225,"&lt;="&amp;$A226,$B$5:$B225,$B226)&gt;0,MIN(1-'Exercise list'!X$2,IF($A226=$A225,BD225,1))-AI226&lt;0),-1,MIN(1,IF($A226=$A225,BD225,1)-AI226+$D$2))</f>
        <v>1</v>
      </c>
      <c r="BF226" s="16">
        <f t="shared" si="145"/>
        <v>0.19596031081758858</v>
      </c>
      <c r="BG226" s="16">
        <f t="shared" si="146"/>
        <v>0.21844636935459236</v>
      </c>
      <c r="BH226" s="16">
        <f t="shared" si="147"/>
        <v>0.14609696635987124</v>
      </c>
      <c r="BI226" s="16">
        <f t="shared" si="148"/>
        <v>0.13198015366034541</v>
      </c>
      <c r="BJ226" s="16">
        <f t="shared" si="149"/>
        <v>8.3367914198418713E-2</v>
      </c>
      <c r="BK226" s="16">
        <f t="shared" si="150"/>
        <v>0.10640640223148412</v>
      </c>
      <c r="BL226" s="16">
        <f t="shared" si="151"/>
        <v>0.21963504743569431</v>
      </c>
      <c r="BM226" s="16">
        <f t="shared" si="152"/>
        <v>3.8988008374820568E-3</v>
      </c>
      <c r="BN226" s="16">
        <f t="shared" si="153"/>
        <v>0.14537706087090876</v>
      </c>
      <c r="BO226" s="16">
        <f t="shared" si="154"/>
        <v>0.29209790661993401</v>
      </c>
      <c r="BP226" s="16">
        <f t="shared" si="155"/>
        <v>0.31584545163401867</v>
      </c>
      <c r="BQ226" s="16">
        <f t="shared" si="156"/>
        <v>0.1000007994126096</v>
      </c>
      <c r="BR226" s="16">
        <f t="shared" si="157"/>
        <v>0.13164487759885393</v>
      </c>
      <c r="BS226" s="16">
        <f t="shared" si="158"/>
        <v>2.9803550189863123E-2</v>
      </c>
      <c r="BT226" s="16">
        <f t="shared" si="159"/>
        <v>0.13492040904978705</v>
      </c>
      <c r="BU226" s="16">
        <f t="shared" si="160"/>
        <v>0.11703687414398131</v>
      </c>
      <c r="BV226" s="16">
        <f t="shared" si="161"/>
        <v>0.14633353213781661</v>
      </c>
      <c r="BW226" s="16">
        <f t="shared" si="162"/>
        <v>7.5588015111767173E-2</v>
      </c>
      <c r="BX226" s="16">
        <f t="shared" si="163"/>
        <v>8.0345659937185704E-2</v>
      </c>
      <c r="BY226" s="16">
        <f t="shared" si="164"/>
        <v>5.9014643151272549E-2</v>
      </c>
      <c r="CA226" s="16" t="str">
        <f t="shared" si="185"/>
        <v/>
      </c>
      <c r="CB226" s="16" t="str">
        <f t="shared" si="166"/>
        <v/>
      </c>
      <c r="CC226" s="16" t="str">
        <f t="shared" si="167"/>
        <v/>
      </c>
      <c r="CD226" s="16" t="str">
        <f t="shared" si="168"/>
        <v/>
      </c>
      <c r="CE226" s="16" t="str">
        <f t="shared" si="169"/>
        <v/>
      </c>
      <c r="CF226" s="16" t="str">
        <f t="shared" si="170"/>
        <v/>
      </c>
      <c r="CG226" s="16" t="str">
        <f t="shared" si="171"/>
        <v/>
      </c>
      <c r="CH226" s="16" t="str">
        <f t="shared" si="172"/>
        <v/>
      </c>
      <c r="CI226" s="16" t="str">
        <f t="shared" si="173"/>
        <v/>
      </c>
      <c r="CJ226" s="16" t="str">
        <f t="shared" si="174"/>
        <v/>
      </c>
      <c r="CK226" s="16" t="str">
        <f t="shared" si="175"/>
        <v/>
      </c>
      <c r="CL226" s="16" t="str">
        <f t="shared" si="176"/>
        <v/>
      </c>
      <c r="CM226" s="16" t="str">
        <f t="shared" si="177"/>
        <v/>
      </c>
      <c r="CN226" s="16" t="str">
        <f t="shared" si="178"/>
        <v/>
      </c>
      <c r="CO226" s="16" t="str">
        <f t="shared" si="179"/>
        <v/>
      </c>
      <c r="CP226" s="16" t="str">
        <f t="shared" si="180"/>
        <v/>
      </c>
      <c r="CQ226" s="16" t="str">
        <f t="shared" si="181"/>
        <v/>
      </c>
      <c r="CR226" s="16" t="str">
        <f t="shared" si="182"/>
        <v/>
      </c>
      <c r="CS226" s="16" t="str">
        <f t="shared" si="183"/>
        <v/>
      </c>
      <c r="CT226" s="16" t="str">
        <f t="shared" si="184"/>
        <v/>
      </c>
    </row>
    <row r="227" spans="1:99" x14ac:dyDescent="0.25">
      <c r="A227" s="13"/>
      <c r="B227" s="14"/>
      <c r="C227" s="15" t="str" cm="1">
        <f t="array" ref="C227">IF(B227="","",INDEX('Exercise list'!$C$5:$C$102,B227))</f>
        <v/>
      </c>
      <c r="D227" s="12" t="str">
        <f t="shared" ref="D227:D290" si="186">IF(C227="","",MIN(AK227:BD227))</f>
        <v/>
      </c>
      <c r="E227" s="107" t="str">
        <f t="shared" si="165"/>
        <v/>
      </c>
      <c r="F227" s="63" t="str" cm="1">
        <f t="array" ref="F227">IF(B227="","",0.1+IFERROR(INDEX($F$6:$F226,SUMPRODUCT(MAX(ROW($C$6:$C226)*($C227=$C$6:$C226))-ROW($A$5)))*0.9^($A227-INDEX($A$6:A226,SUMPRODUCT(MAX(ROW($C$6:$C226)*($C227=$C$6:$C226))-ROW($A$5)))),0))</f>
        <v/>
      </c>
      <c r="G227" s="64" t="e">
        <f>INDEX('Exercise list'!$Y$5:$Y$102,MATCH(C227,'Exercise list'!$C$5:$C$102,0))</f>
        <v>#N/A</v>
      </c>
      <c r="H227" s="115">
        <f t="shared" ref="H227:H290" si="187">SQRT(SUMPRODUCT(CA227:CT227,CA227:CT227)/20)</f>
        <v>0</v>
      </c>
      <c r="I227" s="6">
        <f t="shared" ref="I227:I290" si="188">IF(A227&gt;A226,1,IF(A227&gt;A225,2,IF(A227&gt;A224,3,IF(A227&gt;A223,4,5))))</f>
        <v>5</v>
      </c>
      <c r="J227" s="6" t="str" cm="1">
        <f t="array" ref="J227">IF(B227="","",INDEX('Exercise list'!$D$5:$D$102,B227))</f>
        <v/>
      </c>
      <c r="K227" s="12"/>
      <c r="L227" s="74" t="str" cm="1">
        <f t="array" ref="L227">IF(K227="","",INDEX('Exercise list'!$C$5:$C$102,K227))</f>
        <v/>
      </c>
      <c r="M227" s="6"/>
      <c r="N227" s="75" t="str" cm="1">
        <f t="array" ref="N227">IF(M227="","",INDEX('Exercise list'!$C$5:$C$102,M227))</f>
        <v/>
      </c>
      <c r="P227">
        <f>IFERROR(INDEX('Exercise list'!$E$5:$X$102,MATCH($C227,'Exercise list'!$C$5:$C$102,0),MATCH(P$5,'Exercise list'!$E$4:$X$4,0)),0)</f>
        <v>0</v>
      </c>
      <c r="Q227">
        <f>IFERROR(INDEX('Exercise list'!$E$5:$X$102,MATCH($C227,'Exercise list'!$C$5:$C$102,0),MATCH(Q$5,'Exercise list'!$E$4:$X$4,0)),0)</f>
        <v>0</v>
      </c>
      <c r="R227">
        <f>IFERROR(INDEX('Exercise list'!$E$5:$X$102,MATCH($C227,'Exercise list'!$C$5:$C$102,0),MATCH(R$5,'Exercise list'!$E$4:$X$4,0)),0)</f>
        <v>0</v>
      </c>
      <c r="S227">
        <f>IFERROR(INDEX('Exercise list'!$E$5:$X$102,MATCH($C227,'Exercise list'!$C$5:$C$102,0),MATCH(S$5,'Exercise list'!$E$4:$X$4,0)),0)</f>
        <v>0</v>
      </c>
      <c r="T227">
        <f>IFERROR(INDEX('Exercise list'!$E$5:$X$102,MATCH($C227,'Exercise list'!$C$5:$C$102,0),MATCH(T$5,'Exercise list'!$E$4:$X$4,0)),0)</f>
        <v>0</v>
      </c>
      <c r="U227">
        <f>IFERROR(INDEX('Exercise list'!$E$5:$X$102,MATCH($C227,'Exercise list'!$C$5:$C$102,0),MATCH(U$5,'Exercise list'!$E$4:$X$4,0)),0)</f>
        <v>0</v>
      </c>
      <c r="V227">
        <f>IFERROR(INDEX('Exercise list'!$E$5:$X$102,MATCH($C227,'Exercise list'!$C$5:$C$102,0),MATCH(V$5,'Exercise list'!$E$4:$X$4,0)),0)</f>
        <v>0</v>
      </c>
      <c r="W227">
        <f>IFERROR(INDEX('Exercise list'!$E$5:$X$102,MATCH($C227,'Exercise list'!$C$5:$C$102,0),MATCH(W$5,'Exercise list'!$E$4:$X$4,0)),0)</f>
        <v>0</v>
      </c>
      <c r="X227">
        <f>IFERROR(INDEX('Exercise list'!$E$5:$X$102,MATCH($C227,'Exercise list'!$C$5:$C$102,0),MATCH(X$5,'Exercise list'!$E$4:$X$4,0)),0)</f>
        <v>0</v>
      </c>
      <c r="Y227">
        <f>IFERROR(INDEX('Exercise list'!$E$5:$X$102,MATCH($C227,'Exercise list'!$C$5:$C$102,0),MATCH(Y$5,'Exercise list'!$E$4:$X$4,0)),0)</f>
        <v>0</v>
      </c>
      <c r="Z227">
        <f>IFERROR(INDEX('Exercise list'!$E$5:$X$102,MATCH($C227,'Exercise list'!$C$5:$C$102,0),MATCH(Z$5,'Exercise list'!$E$4:$X$4,0)),0)</f>
        <v>0</v>
      </c>
      <c r="AA227">
        <f>IFERROR(INDEX('Exercise list'!$E$5:$X$102,MATCH($C227,'Exercise list'!$C$5:$C$102,0),MATCH(AA$5,'Exercise list'!$E$4:$X$4,0)),0)</f>
        <v>0</v>
      </c>
      <c r="AB227">
        <f>IFERROR(INDEX('Exercise list'!$E$5:$X$102,MATCH($C227,'Exercise list'!$C$5:$C$102,0),MATCH(AB$5,'Exercise list'!$E$4:$X$4,0)),0)</f>
        <v>0</v>
      </c>
      <c r="AC227">
        <f>IFERROR(INDEX('Exercise list'!$E$5:$X$102,MATCH($C227,'Exercise list'!$C$5:$C$102,0),MATCH(AC$5,'Exercise list'!$E$4:$X$4,0)),0)</f>
        <v>0</v>
      </c>
      <c r="AD227">
        <f>IFERROR(INDEX('Exercise list'!$E$5:$X$102,MATCH($C227,'Exercise list'!$C$5:$C$102,0),MATCH(AD$5,'Exercise list'!$E$4:$X$4,0)),0)</f>
        <v>0</v>
      </c>
      <c r="AE227">
        <f>IFERROR(INDEX('Exercise list'!$E$5:$X$102,MATCH($C227,'Exercise list'!$C$5:$C$102,0),MATCH(AE$5,'Exercise list'!$E$4:$X$4,0)),0)</f>
        <v>0</v>
      </c>
      <c r="AF227">
        <f>IFERROR(INDEX('Exercise list'!$E$5:$X$102,MATCH($C227,'Exercise list'!$C$5:$C$102,0),MATCH(AF$5,'Exercise list'!$E$4:$X$4,0)),0)</f>
        <v>0</v>
      </c>
      <c r="AG227">
        <f>IFERROR(INDEX('Exercise list'!$E$5:$X$102,MATCH($C227,'Exercise list'!$C$5:$C$102,0),MATCH(AG$5,'Exercise list'!$E$4:$X$4,0)),0)</f>
        <v>0</v>
      </c>
      <c r="AH227">
        <f>IFERROR(INDEX('Exercise list'!$E$5:$X$102,MATCH($C227,'Exercise list'!$C$5:$C$102,0),MATCH(AH$5,'Exercise list'!$E$4:$X$4,0)),0)</f>
        <v>0</v>
      </c>
      <c r="AI227">
        <f>IFERROR(INDEX('Exercise list'!$E$5:$X$102,MATCH($C227,'Exercise list'!$C$5:$C$102,0),MATCH(AI$5,'Exercise list'!$E$4:$X$4,0)),0)</f>
        <v>0</v>
      </c>
      <c r="AK227">
        <f>IF(OR($J227=1,COUNTIFS($A$5:$A226,"&gt;="&amp;$A227-1,$A$5:$A226,"&lt;="&amp;$A227,$B$5:$B226,$B227)&gt;0,MIN(1-'Exercise list'!E$2,IF($A227=$A226,AK226,1))-P227&lt;0),-1,MIN(1,IF($A227=$A226,AK226,1)-P227+$D$2))</f>
        <v>1</v>
      </c>
      <c r="AL227">
        <f>IF(OR($J227=1,COUNTIFS($A$5:$A226,"&gt;="&amp;$A227-1,$A$5:$A226,"&lt;="&amp;$A227,$B$5:$B226,$B227)&gt;0,MIN(1-'Exercise list'!F$2,IF($A227=$A226,AL226,1))-Q227&lt;0),-1,MIN(1,IF($A227=$A226,AL226,1)-Q227+$D$2))</f>
        <v>1</v>
      </c>
      <c r="AM227">
        <f>IF(OR($J227=1,COUNTIFS($A$5:$A226,"&gt;="&amp;$A227-1,$A$5:$A226,"&lt;="&amp;$A227,$B$5:$B226,$B227)&gt;0,MIN(1-'Exercise list'!G$2,IF($A227=$A226,AM226,1))-R227&lt;0),-1,MIN(1,IF($A227=$A226,AM226,1)-R227+$D$2))</f>
        <v>1</v>
      </c>
      <c r="AN227">
        <f>IF(OR($J227=1,COUNTIFS($A$5:$A226,"&gt;="&amp;$A227-1,$A$5:$A226,"&lt;="&amp;$A227,$B$5:$B226,$B227)&gt;0,MIN(1-'Exercise list'!H$2,IF($A227=$A226,AN226,1))-S227&lt;0),-1,MIN(1,IF($A227=$A226,AN226,1)-S227+$D$2))</f>
        <v>1</v>
      </c>
      <c r="AO227">
        <f>IF(OR($J227=1,COUNTIFS($A$5:$A226,"&gt;="&amp;$A227-1,$A$5:$A226,"&lt;="&amp;$A227,$B$5:$B226,$B227)&gt;0,MIN(1-'Exercise list'!I$2,IF($A227=$A226,AO226,1))-T227&lt;0),-1,MIN(1,IF($A227=$A226,AO226,1)-T227+$D$2))</f>
        <v>1</v>
      </c>
      <c r="AP227">
        <f>IF(OR($J227=1,COUNTIFS($A$5:$A226,"&gt;="&amp;$A227-1,$A$5:$A226,"&lt;="&amp;$A227,$B$5:$B226,$B227)&gt;0,MIN(1-'Exercise list'!J$2,IF($A227=$A226,AP226,1))-U227&lt;0),-1,MIN(1,IF($A227=$A226,AP226,1)-U227+$D$2))</f>
        <v>1</v>
      </c>
      <c r="AQ227">
        <f>IF(OR($J227=1,COUNTIFS($A$5:$A226,"&gt;="&amp;$A227-1,$A$5:$A226,"&lt;="&amp;$A227,$B$5:$B226,$B227)&gt;0,MIN(1-'Exercise list'!K$2,IF($A227=$A226,AQ226,1))-V227&lt;0),-1,MIN(1,IF($A227=$A226,AQ226,1)-V227+$D$2))</f>
        <v>1</v>
      </c>
      <c r="AR227">
        <f>IF(OR($J227=1,COUNTIFS($A$5:$A226,"&gt;="&amp;$A227-1,$A$5:$A226,"&lt;="&amp;$A227,$B$5:$B226,$B227)&gt;0,MIN(1-'Exercise list'!L$2,IF($A227=$A226,AR226,1))-W227&lt;0),-1,MIN(1,IF($A227=$A226,AR226,1)-W227+$D$2))</f>
        <v>1</v>
      </c>
      <c r="AS227">
        <f>IF(OR($J227=1,COUNTIFS($A$5:$A226,"&gt;="&amp;$A227-1,$A$5:$A226,"&lt;="&amp;$A227,$B$5:$B226,$B227)&gt;0,MIN(1-'Exercise list'!M$2,IF($A227=$A226,AS226,1))-X227&lt;0),-1,MIN(1,IF($A227=$A226,AS226,1)-X227+$D$2))</f>
        <v>1</v>
      </c>
      <c r="AT227">
        <f>IF(OR($J227=1,COUNTIFS($A$5:$A226,"&gt;="&amp;$A227-1,$A$5:$A226,"&lt;="&amp;$A227,$B$5:$B226,$B227)&gt;0,MIN(1-'Exercise list'!N$2,IF($A227=$A226,AT226,1))-Y227&lt;0),-1,MIN(1,IF($A227=$A226,AT226,1)-Y227+$D$2))</f>
        <v>1</v>
      </c>
      <c r="AU227">
        <f>IF(OR($J227=1,COUNTIFS($A$5:$A226,"&gt;="&amp;$A227-1,$A$5:$A226,"&lt;="&amp;$A227,$B$5:$B226,$B227)&gt;0,MIN(1-'Exercise list'!O$2,IF($A227=$A226,AU226,1))-Z227&lt;0),-1,MIN(1,IF($A227=$A226,AU226,1)-Z227+$D$2))</f>
        <v>1</v>
      </c>
      <c r="AV227">
        <f>IF(OR($J227=1,COUNTIFS($A$5:$A226,"&gt;="&amp;$A227-1,$A$5:$A226,"&lt;="&amp;$A227,$B$5:$B226,$B227)&gt;0,MIN(1-'Exercise list'!P$2,IF($A227=$A226,AV226,1))-AA227&lt;0),-1,MIN(1,IF($A227=$A226,AV226,1)-AA227+$D$2))</f>
        <v>1</v>
      </c>
      <c r="AW227">
        <f>IF(OR($J227=1,COUNTIFS($A$5:$A226,"&gt;="&amp;$A227-1,$A$5:$A226,"&lt;="&amp;$A227,$B$5:$B226,$B227)&gt;0,MIN(1-'Exercise list'!Q$2,IF($A227=$A226,AW226,1))-AB227&lt;0),-1,MIN(1,IF($A227=$A226,AW226,1)-AB227+$D$2))</f>
        <v>1</v>
      </c>
      <c r="AX227">
        <f>IF(OR($J227=1,COUNTIFS($A$5:$A226,"&gt;="&amp;$A227-1,$A$5:$A226,"&lt;="&amp;$A227,$B$5:$B226,$B227)&gt;0,MIN(1-'Exercise list'!R$2,IF($A227=$A226,AX226,1))-AC227&lt;0),-1,MIN(1,IF($A227=$A226,AX226,1)-AC227+$D$2))</f>
        <v>1</v>
      </c>
      <c r="AY227">
        <f>IF(OR($J227=1,COUNTIFS($A$5:$A226,"&gt;="&amp;$A227-1,$A$5:$A226,"&lt;="&amp;$A227,$B$5:$B226,$B227)&gt;0,MIN(1-'Exercise list'!S$2,IF($A227=$A226,AY226,1))-AD227&lt;0),-1,MIN(1,IF($A227=$A226,AY226,1)-AD227+$D$2))</f>
        <v>1</v>
      </c>
      <c r="AZ227">
        <f>IF(OR($J227=1,COUNTIFS($A$5:$A226,"&gt;="&amp;$A227-1,$A$5:$A226,"&lt;="&amp;$A227,$B$5:$B226,$B227)&gt;0,MIN(1-'Exercise list'!T$2,IF($A227=$A226,AZ226,1))-AE227&lt;0),-1,MIN(1,IF($A227=$A226,AZ226,1)-AE227+$D$2))</f>
        <v>1</v>
      </c>
      <c r="BA227">
        <f>IF(OR($J227=1,COUNTIFS($A$5:$A226,"&gt;="&amp;$A227-1,$A$5:$A226,"&lt;="&amp;$A227,$B$5:$B226,$B227)&gt;0,MIN(1-'Exercise list'!U$2,IF($A227=$A226,BA226,1))-AF227&lt;0),-1,MIN(1,IF($A227=$A226,BA226,1)-AF227+$D$2))</f>
        <v>1</v>
      </c>
      <c r="BB227">
        <f>IF(OR($J227=1,COUNTIFS($A$5:$A226,"&gt;="&amp;$A227-1,$A$5:$A226,"&lt;="&amp;$A227,$B$5:$B226,$B227)&gt;0,MIN(1-'Exercise list'!V$2,IF($A227=$A226,BB226,1))-AG227&lt;0),-1,MIN(1,IF($A227=$A226,BB226,1)-AG227+$D$2))</f>
        <v>1</v>
      </c>
      <c r="BC227">
        <f>IF(OR($J227=1,COUNTIFS($A$5:$A226,"&gt;="&amp;$A227-1,$A$5:$A226,"&lt;="&amp;$A227,$B$5:$B226,$B227)&gt;0,MIN(1-'Exercise list'!W$2,IF($A227=$A226,BC226,1))-AH227&lt;0),-1,MIN(1,IF($A227=$A226,BC226,1)-AH227+$D$2))</f>
        <v>1</v>
      </c>
      <c r="BD227">
        <f>IF(OR($J227=1,COUNTIFS($A$5:$A226,"&gt;="&amp;$A227-1,$A$5:$A226,"&lt;="&amp;$A227,$B$5:$B226,$B227)&gt;0,MIN(1-'Exercise list'!X$2,IF($A227=$A226,BD226,1))-AI227&lt;0),-1,MIN(1,IF($A227=$A226,BD226,1)-AI227+$D$2))</f>
        <v>1</v>
      </c>
      <c r="BF227" s="16">
        <f t="shared" ref="BF227:BF290" si="189">IF($B227&lt;6,BF226,$AN$2*P227+(1-$AN$2)*BF226)</f>
        <v>0.19596031081758858</v>
      </c>
      <c r="BG227" s="16">
        <f t="shared" ref="BG227:BG290" si="190">IF($B227&lt;6,BG226,$AN$2*Q227+(1-$AN$2)*BG226)</f>
        <v>0.21844636935459236</v>
      </c>
      <c r="BH227" s="16">
        <f t="shared" ref="BH227:BH290" si="191">IF($B227&lt;6,BH226,$AN$2*R227+(1-$AN$2)*BH226)</f>
        <v>0.14609696635987124</v>
      </c>
      <c r="BI227" s="16">
        <f t="shared" ref="BI227:BI290" si="192">IF($B227&lt;6,BI226,$AN$2*S227+(1-$AN$2)*BI226)</f>
        <v>0.13198015366034541</v>
      </c>
      <c r="BJ227" s="16">
        <f t="shared" ref="BJ227:BJ290" si="193">IF($B227&lt;6,BJ226,$AN$2*T227+(1-$AN$2)*BJ226)</f>
        <v>8.3367914198418713E-2</v>
      </c>
      <c r="BK227" s="16">
        <f t="shared" ref="BK227:BK290" si="194">IF($B227&lt;6,BK226,$AN$2*U227+(1-$AN$2)*BK226)</f>
        <v>0.10640640223148412</v>
      </c>
      <c r="BL227" s="16">
        <f t="shared" ref="BL227:BL290" si="195">IF($B227&lt;6,BL226,$AN$2*V227+(1-$AN$2)*BL226)</f>
        <v>0.21963504743569431</v>
      </c>
      <c r="BM227" s="16">
        <f t="shared" ref="BM227:BM290" si="196">IF($B227&lt;6,BM226,$AN$2*W227+(1-$AN$2)*BM226)</f>
        <v>3.8988008374820568E-3</v>
      </c>
      <c r="BN227" s="16">
        <f t="shared" ref="BN227:BN290" si="197">IF($B227&lt;6,BN226,$AN$2*X227+(1-$AN$2)*BN226)</f>
        <v>0.14537706087090876</v>
      </c>
      <c r="BO227" s="16">
        <f t="shared" ref="BO227:BO290" si="198">IF($B227&lt;6,BO226,$AN$2*Y227+(1-$AN$2)*BO226)</f>
        <v>0.29209790661993401</v>
      </c>
      <c r="BP227" s="16">
        <f t="shared" ref="BP227:BP290" si="199">IF($B227&lt;6,BP226,$AN$2*Z227+(1-$AN$2)*BP226)</f>
        <v>0.31584545163401867</v>
      </c>
      <c r="BQ227" s="16">
        <f t="shared" ref="BQ227:BQ290" si="200">IF($B227&lt;6,BQ226,$AN$2*AA227+(1-$AN$2)*BQ226)</f>
        <v>0.1000007994126096</v>
      </c>
      <c r="BR227" s="16">
        <f t="shared" ref="BR227:BR290" si="201">IF($B227&lt;6,BR226,$AN$2*AB227+(1-$AN$2)*BR226)</f>
        <v>0.13164487759885393</v>
      </c>
      <c r="BS227" s="16">
        <f t="shared" ref="BS227:BS290" si="202">IF($B227&lt;6,BS226,$AN$2*AC227+(1-$AN$2)*BS226)</f>
        <v>2.9803550189863123E-2</v>
      </c>
      <c r="BT227" s="16">
        <f t="shared" ref="BT227:BT290" si="203">IF($B227&lt;6,BT226,$AN$2*AD227+(1-$AN$2)*BT226)</f>
        <v>0.13492040904978705</v>
      </c>
      <c r="BU227" s="16">
        <f t="shared" ref="BU227:BU290" si="204">IF($B227&lt;6,BU226,$AN$2*AE227+(1-$AN$2)*BU226)</f>
        <v>0.11703687414398131</v>
      </c>
      <c r="BV227" s="16">
        <f t="shared" ref="BV227:BV290" si="205">IF($B227&lt;6,BV226,$AN$2*AF227+(1-$AN$2)*BV226)</f>
        <v>0.14633353213781661</v>
      </c>
      <c r="BW227" s="16">
        <f t="shared" ref="BW227:BW290" si="206">IF($B227&lt;6,BW226,$AN$2*AG227+(1-$AN$2)*BW226)</f>
        <v>7.5588015111767173E-2</v>
      </c>
      <c r="BX227" s="16">
        <f t="shared" ref="BX227:BX290" si="207">IF($B227&lt;6,BX226,$AN$2*AH227+(1-$AN$2)*BX226)</f>
        <v>8.0345659937185704E-2</v>
      </c>
      <c r="BY227" s="16">
        <f t="shared" ref="BY227:BY290" si="208">IF($B227&lt;6,BY226,$AN$2*AI227+(1-$AN$2)*BY226)</f>
        <v>5.9014643151272549E-2</v>
      </c>
      <c r="CA227" s="16" t="str">
        <f t="shared" si="185"/>
        <v/>
      </c>
      <c r="CB227" s="16" t="str">
        <f t="shared" si="166"/>
        <v/>
      </c>
      <c r="CC227" s="16" t="str">
        <f t="shared" si="167"/>
        <v/>
      </c>
      <c r="CD227" s="16" t="str">
        <f t="shared" si="168"/>
        <v/>
      </c>
      <c r="CE227" s="16" t="str">
        <f t="shared" si="169"/>
        <v/>
      </c>
      <c r="CF227" s="16" t="str">
        <f t="shared" si="170"/>
        <v/>
      </c>
      <c r="CG227" s="16" t="str">
        <f t="shared" si="171"/>
        <v/>
      </c>
      <c r="CH227" s="16" t="str">
        <f t="shared" si="172"/>
        <v/>
      </c>
      <c r="CI227" s="16" t="str">
        <f t="shared" si="173"/>
        <v/>
      </c>
      <c r="CJ227" s="16" t="str">
        <f t="shared" si="174"/>
        <v/>
      </c>
      <c r="CK227" s="16" t="str">
        <f t="shared" si="175"/>
        <v/>
      </c>
      <c r="CL227" s="16" t="str">
        <f t="shared" si="176"/>
        <v/>
      </c>
      <c r="CM227" s="16" t="str">
        <f t="shared" si="177"/>
        <v/>
      </c>
      <c r="CN227" s="16" t="str">
        <f t="shared" si="178"/>
        <v/>
      </c>
      <c r="CO227" s="16" t="str">
        <f t="shared" si="179"/>
        <v/>
      </c>
      <c r="CP227" s="16" t="str">
        <f t="shared" si="180"/>
        <v/>
      </c>
      <c r="CQ227" s="16" t="str">
        <f t="shared" si="181"/>
        <v/>
      </c>
      <c r="CR227" s="16" t="str">
        <f t="shared" si="182"/>
        <v/>
      </c>
      <c r="CS227" s="16" t="str">
        <f t="shared" si="183"/>
        <v/>
      </c>
      <c r="CT227" s="16" t="str">
        <f t="shared" si="184"/>
        <v/>
      </c>
    </row>
    <row r="228" spans="1:99" x14ac:dyDescent="0.25">
      <c r="A228" s="20"/>
      <c r="B228" s="21"/>
      <c r="C228" s="22" t="str" cm="1">
        <f t="array" ref="C228">IF(B228="","",INDEX('Exercise list'!$C$5:$C$102,B228))</f>
        <v/>
      </c>
      <c r="D228" s="17" t="str">
        <f t="shared" si="186"/>
        <v/>
      </c>
      <c r="E228" s="108" t="str">
        <f t="shared" ref="E228:E291" si="209">IF(C228="","",IFERROR(
(1+9*(F228-$F$3)/($F$4-$F$3))^$F$2*
IF(B228&lt;=5,1,
(1+9*(G228-$G$3)/($G$4-$G$3))^$G$2*
(1+9*(H228-$H$3)/($H$4-$H$3))^$H$2),
0))</f>
        <v/>
      </c>
      <c r="F228" s="65" t="str" cm="1">
        <f t="array" ref="F228">IF(B228="","",0.1+IFERROR(INDEX($F$6:$F227,SUMPRODUCT(MAX(ROW($C$6:$C227)*($C228=$C$6:$C227))-ROW($A$5)))*0.9^($A228-INDEX($A$6:A227,SUMPRODUCT(MAX(ROW($C$6:$C227)*($C228=$C$6:$C227))-ROW($A$5)))),0))</f>
        <v/>
      </c>
      <c r="G228" s="25" t="e">
        <f>INDEX('Exercise list'!$Y$5:$Y$102,MATCH(C228,'Exercise list'!$C$5:$C$102,0))</f>
        <v>#N/A</v>
      </c>
      <c r="H228" s="116">
        <f t="shared" si="187"/>
        <v>0</v>
      </c>
      <c r="I228" s="18">
        <f t="shared" si="188"/>
        <v>5</v>
      </c>
      <c r="J228" s="18" t="str" cm="1">
        <f t="array" ref="J228">IF(B228="","",INDEX('Exercise list'!$D$5:$D$102,B228))</f>
        <v/>
      </c>
      <c r="K228" s="17"/>
      <c r="L228" s="51" t="str" cm="1">
        <f t="array" ref="L228">IF(K228="","",INDEX('Exercise list'!$C$5:$C$102,K228))</f>
        <v/>
      </c>
      <c r="M228" s="18"/>
      <c r="N228" s="76" t="str" cm="1">
        <f t="array" ref="N228">IF(M228="","",INDEX('Exercise list'!$C$5:$C$102,M228))</f>
        <v/>
      </c>
      <c r="O228" s="19"/>
      <c r="P228" s="19">
        <f>IFERROR(INDEX('Exercise list'!$E$5:$X$102,MATCH($C228,'Exercise list'!$C$5:$C$102,0),MATCH(P$5,'Exercise list'!$E$4:$X$4,0)),0)</f>
        <v>0</v>
      </c>
      <c r="Q228" s="19">
        <f>IFERROR(INDEX('Exercise list'!$E$5:$X$102,MATCH($C228,'Exercise list'!$C$5:$C$102,0),MATCH(Q$5,'Exercise list'!$E$4:$X$4,0)),0)</f>
        <v>0</v>
      </c>
      <c r="R228" s="19">
        <f>IFERROR(INDEX('Exercise list'!$E$5:$X$102,MATCH($C228,'Exercise list'!$C$5:$C$102,0),MATCH(R$5,'Exercise list'!$E$4:$X$4,0)),0)</f>
        <v>0</v>
      </c>
      <c r="S228" s="19">
        <f>IFERROR(INDEX('Exercise list'!$E$5:$X$102,MATCH($C228,'Exercise list'!$C$5:$C$102,0),MATCH(S$5,'Exercise list'!$E$4:$X$4,0)),0)</f>
        <v>0</v>
      </c>
      <c r="T228" s="19">
        <f>IFERROR(INDEX('Exercise list'!$E$5:$X$102,MATCH($C228,'Exercise list'!$C$5:$C$102,0),MATCH(T$5,'Exercise list'!$E$4:$X$4,0)),0)</f>
        <v>0</v>
      </c>
      <c r="U228" s="19">
        <f>IFERROR(INDEX('Exercise list'!$E$5:$X$102,MATCH($C228,'Exercise list'!$C$5:$C$102,0),MATCH(U$5,'Exercise list'!$E$4:$X$4,0)),0)</f>
        <v>0</v>
      </c>
      <c r="V228" s="19">
        <f>IFERROR(INDEX('Exercise list'!$E$5:$X$102,MATCH($C228,'Exercise list'!$C$5:$C$102,0),MATCH(V$5,'Exercise list'!$E$4:$X$4,0)),0)</f>
        <v>0</v>
      </c>
      <c r="W228" s="19">
        <f>IFERROR(INDEX('Exercise list'!$E$5:$X$102,MATCH($C228,'Exercise list'!$C$5:$C$102,0),MATCH(W$5,'Exercise list'!$E$4:$X$4,0)),0)</f>
        <v>0</v>
      </c>
      <c r="X228" s="19">
        <f>IFERROR(INDEX('Exercise list'!$E$5:$X$102,MATCH($C228,'Exercise list'!$C$5:$C$102,0),MATCH(X$5,'Exercise list'!$E$4:$X$4,0)),0)</f>
        <v>0</v>
      </c>
      <c r="Y228" s="19">
        <f>IFERROR(INDEX('Exercise list'!$E$5:$X$102,MATCH($C228,'Exercise list'!$C$5:$C$102,0),MATCH(Y$5,'Exercise list'!$E$4:$X$4,0)),0)</f>
        <v>0</v>
      </c>
      <c r="Z228" s="19">
        <f>IFERROR(INDEX('Exercise list'!$E$5:$X$102,MATCH($C228,'Exercise list'!$C$5:$C$102,0),MATCH(Z$5,'Exercise list'!$E$4:$X$4,0)),0)</f>
        <v>0</v>
      </c>
      <c r="AA228" s="19">
        <f>IFERROR(INDEX('Exercise list'!$E$5:$X$102,MATCH($C228,'Exercise list'!$C$5:$C$102,0),MATCH(AA$5,'Exercise list'!$E$4:$X$4,0)),0)</f>
        <v>0</v>
      </c>
      <c r="AB228" s="19">
        <f>IFERROR(INDEX('Exercise list'!$E$5:$X$102,MATCH($C228,'Exercise list'!$C$5:$C$102,0),MATCH(AB$5,'Exercise list'!$E$4:$X$4,0)),0)</f>
        <v>0</v>
      </c>
      <c r="AC228" s="19">
        <f>IFERROR(INDEX('Exercise list'!$E$5:$X$102,MATCH($C228,'Exercise list'!$C$5:$C$102,0),MATCH(AC$5,'Exercise list'!$E$4:$X$4,0)),0)</f>
        <v>0</v>
      </c>
      <c r="AD228" s="19">
        <f>IFERROR(INDEX('Exercise list'!$E$5:$X$102,MATCH($C228,'Exercise list'!$C$5:$C$102,0),MATCH(AD$5,'Exercise list'!$E$4:$X$4,0)),0)</f>
        <v>0</v>
      </c>
      <c r="AE228" s="19">
        <f>IFERROR(INDEX('Exercise list'!$E$5:$X$102,MATCH($C228,'Exercise list'!$C$5:$C$102,0),MATCH(AE$5,'Exercise list'!$E$4:$X$4,0)),0)</f>
        <v>0</v>
      </c>
      <c r="AF228" s="19">
        <f>IFERROR(INDEX('Exercise list'!$E$5:$X$102,MATCH($C228,'Exercise list'!$C$5:$C$102,0),MATCH(AF$5,'Exercise list'!$E$4:$X$4,0)),0)</f>
        <v>0</v>
      </c>
      <c r="AG228" s="19">
        <f>IFERROR(INDEX('Exercise list'!$E$5:$X$102,MATCH($C228,'Exercise list'!$C$5:$C$102,0),MATCH(AG$5,'Exercise list'!$E$4:$X$4,0)),0)</f>
        <v>0</v>
      </c>
      <c r="AH228" s="19">
        <f>IFERROR(INDEX('Exercise list'!$E$5:$X$102,MATCH($C228,'Exercise list'!$C$5:$C$102,0),MATCH(AH$5,'Exercise list'!$E$4:$X$4,0)),0)</f>
        <v>0</v>
      </c>
      <c r="AI228" s="19">
        <f>IFERROR(INDEX('Exercise list'!$E$5:$X$102,MATCH($C228,'Exercise list'!$C$5:$C$102,0),MATCH(AI$5,'Exercise list'!$E$4:$X$4,0)),0)</f>
        <v>0</v>
      </c>
      <c r="AJ228" s="19"/>
      <c r="AK228" s="19">
        <f>IF(OR($J228=1,COUNTIFS($A$5:$A227,"&gt;="&amp;$A228-1,$A$5:$A227,"&lt;="&amp;$A228,$B$5:$B227,$B228)&gt;0,MIN(1-'Exercise list'!E$2,IF($A228=$A227,AK227,1))-P228&lt;0),-1,MIN(1,IF($A228=$A227,AK227,1)-P228+$D$2))</f>
        <v>1</v>
      </c>
      <c r="AL228" s="19">
        <f>IF(OR($J228=1,COUNTIFS($A$5:$A227,"&gt;="&amp;$A228-1,$A$5:$A227,"&lt;="&amp;$A228,$B$5:$B227,$B228)&gt;0,MIN(1-'Exercise list'!F$2,IF($A228=$A227,AL227,1))-Q228&lt;0),-1,MIN(1,IF($A228=$A227,AL227,1)-Q228+$D$2))</f>
        <v>1</v>
      </c>
      <c r="AM228" s="19">
        <f>IF(OR($J228=1,COUNTIFS($A$5:$A227,"&gt;="&amp;$A228-1,$A$5:$A227,"&lt;="&amp;$A228,$B$5:$B227,$B228)&gt;0,MIN(1-'Exercise list'!G$2,IF($A228=$A227,AM227,1))-R228&lt;0),-1,MIN(1,IF($A228=$A227,AM227,1)-R228+$D$2))</f>
        <v>1</v>
      </c>
      <c r="AN228" s="19">
        <f>IF(OR($J228=1,COUNTIFS($A$5:$A227,"&gt;="&amp;$A228-1,$A$5:$A227,"&lt;="&amp;$A228,$B$5:$B227,$B228)&gt;0,MIN(1-'Exercise list'!H$2,IF($A228=$A227,AN227,1))-S228&lt;0),-1,MIN(1,IF($A228=$A227,AN227,1)-S228+$D$2))</f>
        <v>1</v>
      </c>
      <c r="AO228" s="19">
        <f>IF(OR($J228=1,COUNTIFS($A$5:$A227,"&gt;="&amp;$A228-1,$A$5:$A227,"&lt;="&amp;$A228,$B$5:$B227,$B228)&gt;0,MIN(1-'Exercise list'!I$2,IF($A228=$A227,AO227,1))-T228&lt;0),-1,MIN(1,IF($A228=$A227,AO227,1)-T228+$D$2))</f>
        <v>1</v>
      </c>
      <c r="AP228" s="19">
        <f>IF(OR($J228=1,COUNTIFS($A$5:$A227,"&gt;="&amp;$A228-1,$A$5:$A227,"&lt;="&amp;$A228,$B$5:$B227,$B228)&gt;0,MIN(1-'Exercise list'!J$2,IF($A228=$A227,AP227,1))-U228&lt;0),-1,MIN(1,IF($A228=$A227,AP227,1)-U228+$D$2))</f>
        <v>1</v>
      </c>
      <c r="AQ228" s="19">
        <f>IF(OR($J228=1,COUNTIFS($A$5:$A227,"&gt;="&amp;$A228-1,$A$5:$A227,"&lt;="&amp;$A228,$B$5:$B227,$B228)&gt;0,MIN(1-'Exercise list'!K$2,IF($A228=$A227,AQ227,1))-V228&lt;0),-1,MIN(1,IF($A228=$A227,AQ227,1)-V228+$D$2))</f>
        <v>1</v>
      </c>
      <c r="AR228" s="19">
        <f>IF(OR($J228=1,COUNTIFS($A$5:$A227,"&gt;="&amp;$A228-1,$A$5:$A227,"&lt;="&amp;$A228,$B$5:$B227,$B228)&gt;0,MIN(1-'Exercise list'!L$2,IF($A228=$A227,AR227,1))-W228&lt;0),-1,MIN(1,IF($A228=$A227,AR227,1)-W228+$D$2))</f>
        <v>1</v>
      </c>
      <c r="AS228" s="19">
        <f>IF(OR($J228=1,COUNTIFS($A$5:$A227,"&gt;="&amp;$A228-1,$A$5:$A227,"&lt;="&amp;$A228,$B$5:$B227,$B228)&gt;0,MIN(1-'Exercise list'!M$2,IF($A228=$A227,AS227,1))-X228&lt;0),-1,MIN(1,IF($A228=$A227,AS227,1)-X228+$D$2))</f>
        <v>1</v>
      </c>
      <c r="AT228" s="19">
        <f>IF(OR($J228=1,COUNTIFS($A$5:$A227,"&gt;="&amp;$A228-1,$A$5:$A227,"&lt;="&amp;$A228,$B$5:$B227,$B228)&gt;0,MIN(1-'Exercise list'!N$2,IF($A228=$A227,AT227,1))-Y228&lt;0),-1,MIN(1,IF($A228=$A227,AT227,1)-Y228+$D$2))</f>
        <v>1</v>
      </c>
      <c r="AU228" s="19">
        <f>IF(OR($J228=1,COUNTIFS($A$5:$A227,"&gt;="&amp;$A228-1,$A$5:$A227,"&lt;="&amp;$A228,$B$5:$B227,$B228)&gt;0,MIN(1-'Exercise list'!O$2,IF($A228=$A227,AU227,1))-Z228&lt;0),-1,MIN(1,IF($A228=$A227,AU227,1)-Z228+$D$2))</f>
        <v>1</v>
      </c>
      <c r="AV228" s="19">
        <f>IF(OR($J228=1,COUNTIFS($A$5:$A227,"&gt;="&amp;$A228-1,$A$5:$A227,"&lt;="&amp;$A228,$B$5:$B227,$B228)&gt;0,MIN(1-'Exercise list'!P$2,IF($A228=$A227,AV227,1))-AA228&lt;0),-1,MIN(1,IF($A228=$A227,AV227,1)-AA228+$D$2))</f>
        <v>1</v>
      </c>
      <c r="AW228" s="19">
        <f>IF(OR($J228=1,COUNTIFS($A$5:$A227,"&gt;="&amp;$A228-1,$A$5:$A227,"&lt;="&amp;$A228,$B$5:$B227,$B228)&gt;0,MIN(1-'Exercise list'!Q$2,IF($A228=$A227,AW227,1))-AB228&lt;0),-1,MIN(1,IF($A228=$A227,AW227,1)-AB228+$D$2))</f>
        <v>1</v>
      </c>
      <c r="AX228" s="19">
        <f>IF(OR($J228=1,COUNTIFS($A$5:$A227,"&gt;="&amp;$A228-1,$A$5:$A227,"&lt;="&amp;$A228,$B$5:$B227,$B228)&gt;0,MIN(1-'Exercise list'!R$2,IF($A228=$A227,AX227,1))-AC228&lt;0),-1,MIN(1,IF($A228=$A227,AX227,1)-AC228+$D$2))</f>
        <v>1</v>
      </c>
      <c r="AY228" s="19">
        <f>IF(OR($J228=1,COUNTIFS($A$5:$A227,"&gt;="&amp;$A228-1,$A$5:$A227,"&lt;="&amp;$A228,$B$5:$B227,$B228)&gt;0,MIN(1-'Exercise list'!S$2,IF($A228=$A227,AY227,1))-AD228&lt;0),-1,MIN(1,IF($A228=$A227,AY227,1)-AD228+$D$2))</f>
        <v>1</v>
      </c>
      <c r="AZ228" s="19">
        <f>IF(OR($J228=1,COUNTIFS($A$5:$A227,"&gt;="&amp;$A228-1,$A$5:$A227,"&lt;="&amp;$A228,$B$5:$B227,$B228)&gt;0,MIN(1-'Exercise list'!T$2,IF($A228=$A227,AZ227,1))-AE228&lt;0),-1,MIN(1,IF($A228=$A227,AZ227,1)-AE228+$D$2))</f>
        <v>1</v>
      </c>
      <c r="BA228" s="19">
        <f>IF(OR($J228=1,COUNTIFS($A$5:$A227,"&gt;="&amp;$A228-1,$A$5:$A227,"&lt;="&amp;$A228,$B$5:$B227,$B228)&gt;0,MIN(1-'Exercise list'!U$2,IF($A228=$A227,BA227,1))-AF228&lt;0),-1,MIN(1,IF($A228=$A227,BA227,1)-AF228+$D$2))</f>
        <v>1</v>
      </c>
      <c r="BB228" s="19">
        <f>IF(OR($J228=1,COUNTIFS($A$5:$A227,"&gt;="&amp;$A228-1,$A$5:$A227,"&lt;="&amp;$A228,$B$5:$B227,$B228)&gt;0,MIN(1-'Exercise list'!V$2,IF($A228=$A227,BB227,1))-AG228&lt;0),-1,MIN(1,IF($A228=$A227,BB227,1)-AG228+$D$2))</f>
        <v>1</v>
      </c>
      <c r="BC228" s="19">
        <f>IF(OR($J228=1,COUNTIFS($A$5:$A227,"&gt;="&amp;$A228-1,$A$5:$A227,"&lt;="&amp;$A228,$B$5:$B227,$B228)&gt;0,MIN(1-'Exercise list'!W$2,IF($A228=$A227,BC227,1))-AH228&lt;0),-1,MIN(1,IF($A228=$A227,BC227,1)-AH228+$D$2))</f>
        <v>1</v>
      </c>
      <c r="BD228" s="19">
        <f>IF(OR($J228=1,COUNTIFS($A$5:$A227,"&gt;="&amp;$A228-1,$A$5:$A227,"&lt;="&amp;$A228,$B$5:$B227,$B228)&gt;0,MIN(1-'Exercise list'!X$2,IF($A228=$A227,BD227,1))-AI228&lt;0),-1,MIN(1,IF($A228=$A227,BD227,1)-AI228+$D$2))</f>
        <v>1</v>
      </c>
      <c r="BE228" s="19"/>
      <c r="BF228" s="23">
        <f t="shared" si="189"/>
        <v>0.19596031081758858</v>
      </c>
      <c r="BG228" s="23">
        <f t="shared" si="190"/>
        <v>0.21844636935459236</v>
      </c>
      <c r="BH228" s="23">
        <f t="shared" si="191"/>
        <v>0.14609696635987124</v>
      </c>
      <c r="BI228" s="23">
        <f t="shared" si="192"/>
        <v>0.13198015366034541</v>
      </c>
      <c r="BJ228" s="23">
        <f t="shared" si="193"/>
        <v>8.3367914198418713E-2</v>
      </c>
      <c r="BK228" s="23">
        <f t="shared" si="194"/>
        <v>0.10640640223148412</v>
      </c>
      <c r="BL228" s="23">
        <f t="shared" si="195"/>
        <v>0.21963504743569431</v>
      </c>
      <c r="BM228" s="23">
        <f t="shared" si="196"/>
        <v>3.8988008374820568E-3</v>
      </c>
      <c r="BN228" s="23">
        <f t="shared" si="197"/>
        <v>0.14537706087090876</v>
      </c>
      <c r="BO228" s="23">
        <f t="shared" si="198"/>
        <v>0.29209790661993401</v>
      </c>
      <c r="BP228" s="23">
        <f t="shared" si="199"/>
        <v>0.31584545163401867</v>
      </c>
      <c r="BQ228" s="23">
        <f t="shared" si="200"/>
        <v>0.1000007994126096</v>
      </c>
      <c r="BR228" s="23">
        <f t="shared" si="201"/>
        <v>0.13164487759885393</v>
      </c>
      <c r="BS228" s="23">
        <f t="shared" si="202"/>
        <v>2.9803550189863123E-2</v>
      </c>
      <c r="BT228" s="23">
        <f t="shared" si="203"/>
        <v>0.13492040904978705</v>
      </c>
      <c r="BU228" s="23">
        <f t="shared" si="204"/>
        <v>0.11703687414398131</v>
      </c>
      <c r="BV228" s="23">
        <f t="shared" si="205"/>
        <v>0.14633353213781661</v>
      </c>
      <c r="BW228" s="23">
        <f t="shared" si="206"/>
        <v>7.5588015111767173E-2</v>
      </c>
      <c r="BX228" s="23">
        <f t="shared" si="207"/>
        <v>8.0345659937185704E-2</v>
      </c>
      <c r="BY228" s="23">
        <f t="shared" si="208"/>
        <v>5.9014643151272549E-2</v>
      </c>
      <c r="BZ228" s="19"/>
      <c r="CA228" s="23" t="str">
        <f t="shared" si="185"/>
        <v/>
      </c>
      <c r="CB228" s="23" t="str">
        <f t="shared" si="166"/>
        <v/>
      </c>
      <c r="CC228" s="23" t="str">
        <f t="shared" si="167"/>
        <v/>
      </c>
      <c r="CD228" s="23" t="str">
        <f t="shared" si="168"/>
        <v/>
      </c>
      <c r="CE228" s="23" t="str">
        <f t="shared" si="169"/>
        <v/>
      </c>
      <c r="CF228" s="23" t="str">
        <f t="shared" si="170"/>
        <v/>
      </c>
      <c r="CG228" s="23" t="str">
        <f t="shared" si="171"/>
        <v/>
      </c>
      <c r="CH228" s="23" t="str">
        <f t="shared" si="172"/>
        <v/>
      </c>
      <c r="CI228" s="23" t="str">
        <f t="shared" si="173"/>
        <v/>
      </c>
      <c r="CJ228" s="23" t="str">
        <f t="shared" si="174"/>
        <v/>
      </c>
      <c r="CK228" s="23" t="str">
        <f t="shared" si="175"/>
        <v/>
      </c>
      <c r="CL228" s="23" t="str">
        <f t="shared" si="176"/>
        <v/>
      </c>
      <c r="CM228" s="23" t="str">
        <f t="shared" si="177"/>
        <v/>
      </c>
      <c r="CN228" s="23" t="str">
        <f t="shared" si="178"/>
        <v/>
      </c>
      <c r="CO228" s="23" t="str">
        <f t="shared" si="179"/>
        <v/>
      </c>
      <c r="CP228" s="23" t="str">
        <f t="shared" si="180"/>
        <v/>
      </c>
      <c r="CQ228" s="23" t="str">
        <f t="shared" si="181"/>
        <v/>
      </c>
      <c r="CR228" s="23" t="str">
        <f t="shared" si="182"/>
        <v/>
      </c>
      <c r="CS228" s="23" t="str">
        <f t="shared" si="183"/>
        <v/>
      </c>
      <c r="CT228" s="23" t="str">
        <f t="shared" si="184"/>
        <v/>
      </c>
      <c r="CU228" s="19"/>
    </row>
    <row r="229" spans="1:99" x14ac:dyDescent="0.25">
      <c r="A229" s="13"/>
      <c r="B229" s="14"/>
      <c r="C229" s="15" t="str" cm="1">
        <f t="array" ref="C229">IF(B229="","",INDEX('Exercise list'!$C$5:$C$102,B229))</f>
        <v/>
      </c>
      <c r="D229" s="12" t="str">
        <f t="shared" si="186"/>
        <v/>
      </c>
      <c r="E229" s="107" t="str">
        <f t="shared" si="209"/>
        <v/>
      </c>
      <c r="F229" s="63" t="str" cm="1">
        <f t="array" ref="F229">IF(B229="","",0.1+IFERROR(INDEX($F$6:$F228,SUMPRODUCT(MAX(ROW($C$6:$C228)*($C229=$C$6:$C228))-ROW($A$5)))*0.9^($A229-INDEX($A$6:A228,SUMPRODUCT(MAX(ROW($C$6:$C228)*($C229=$C$6:$C228))-ROW($A$5)))),0))</f>
        <v/>
      </c>
      <c r="G229" s="64" t="e">
        <f>INDEX('Exercise list'!$Y$5:$Y$102,MATCH(C229,'Exercise list'!$C$5:$C$102,0))</f>
        <v>#N/A</v>
      </c>
      <c r="H229" s="115">
        <f t="shared" si="187"/>
        <v>0</v>
      </c>
      <c r="I229" s="42">
        <f t="shared" si="188"/>
        <v>5</v>
      </c>
      <c r="J229" s="6" t="str" cm="1">
        <f t="array" ref="J229">IF(B229="","",INDEX('Exercise list'!$D$5:$D$102,B229))</f>
        <v/>
      </c>
      <c r="K229" s="12"/>
      <c r="L229" s="74" t="str" cm="1">
        <f t="array" ref="L229">IF(K229="","",INDEX('Exercise list'!$C$5:$C$102,K229))</f>
        <v/>
      </c>
      <c r="M229" s="6"/>
      <c r="N229" s="75" t="str" cm="1">
        <f t="array" ref="N229">IF(M229="","",INDEX('Exercise list'!$C$5:$C$102,M229))</f>
        <v/>
      </c>
      <c r="P229">
        <f>IFERROR(INDEX('Exercise list'!$E$5:$X$102,MATCH($C229,'Exercise list'!$C$5:$C$102,0),MATCH(P$5,'Exercise list'!$E$4:$X$4,0)),0)</f>
        <v>0</v>
      </c>
      <c r="Q229">
        <f>IFERROR(INDEX('Exercise list'!$E$5:$X$102,MATCH($C229,'Exercise list'!$C$5:$C$102,0),MATCH(Q$5,'Exercise list'!$E$4:$X$4,0)),0)</f>
        <v>0</v>
      </c>
      <c r="R229">
        <f>IFERROR(INDEX('Exercise list'!$E$5:$X$102,MATCH($C229,'Exercise list'!$C$5:$C$102,0),MATCH(R$5,'Exercise list'!$E$4:$X$4,0)),0)</f>
        <v>0</v>
      </c>
      <c r="S229">
        <f>IFERROR(INDEX('Exercise list'!$E$5:$X$102,MATCH($C229,'Exercise list'!$C$5:$C$102,0),MATCH(S$5,'Exercise list'!$E$4:$X$4,0)),0)</f>
        <v>0</v>
      </c>
      <c r="T229">
        <f>IFERROR(INDEX('Exercise list'!$E$5:$X$102,MATCH($C229,'Exercise list'!$C$5:$C$102,0),MATCH(T$5,'Exercise list'!$E$4:$X$4,0)),0)</f>
        <v>0</v>
      </c>
      <c r="U229">
        <f>IFERROR(INDEX('Exercise list'!$E$5:$X$102,MATCH($C229,'Exercise list'!$C$5:$C$102,0),MATCH(U$5,'Exercise list'!$E$4:$X$4,0)),0)</f>
        <v>0</v>
      </c>
      <c r="V229">
        <f>IFERROR(INDEX('Exercise list'!$E$5:$X$102,MATCH($C229,'Exercise list'!$C$5:$C$102,0),MATCH(V$5,'Exercise list'!$E$4:$X$4,0)),0)</f>
        <v>0</v>
      </c>
      <c r="W229">
        <f>IFERROR(INDEX('Exercise list'!$E$5:$X$102,MATCH($C229,'Exercise list'!$C$5:$C$102,0),MATCH(W$5,'Exercise list'!$E$4:$X$4,0)),0)</f>
        <v>0</v>
      </c>
      <c r="X229">
        <f>IFERROR(INDEX('Exercise list'!$E$5:$X$102,MATCH($C229,'Exercise list'!$C$5:$C$102,0),MATCH(X$5,'Exercise list'!$E$4:$X$4,0)),0)</f>
        <v>0</v>
      </c>
      <c r="Y229">
        <f>IFERROR(INDEX('Exercise list'!$E$5:$X$102,MATCH($C229,'Exercise list'!$C$5:$C$102,0),MATCH(Y$5,'Exercise list'!$E$4:$X$4,0)),0)</f>
        <v>0</v>
      </c>
      <c r="Z229">
        <f>IFERROR(INDEX('Exercise list'!$E$5:$X$102,MATCH($C229,'Exercise list'!$C$5:$C$102,0),MATCH(Z$5,'Exercise list'!$E$4:$X$4,0)),0)</f>
        <v>0</v>
      </c>
      <c r="AA229">
        <f>IFERROR(INDEX('Exercise list'!$E$5:$X$102,MATCH($C229,'Exercise list'!$C$5:$C$102,0),MATCH(AA$5,'Exercise list'!$E$4:$X$4,0)),0)</f>
        <v>0</v>
      </c>
      <c r="AB229">
        <f>IFERROR(INDEX('Exercise list'!$E$5:$X$102,MATCH($C229,'Exercise list'!$C$5:$C$102,0),MATCH(AB$5,'Exercise list'!$E$4:$X$4,0)),0)</f>
        <v>0</v>
      </c>
      <c r="AC229">
        <f>IFERROR(INDEX('Exercise list'!$E$5:$X$102,MATCH($C229,'Exercise list'!$C$5:$C$102,0),MATCH(AC$5,'Exercise list'!$E$4:$X$4,0)),0)</f>
        <v>0</v>
      </c>
      <c r="AD229">
        <f>IFERROR(INDEX('Exercise list'!$E$5:$X$102,MATCH($C229,'Exercise list'!$C$5:$C$102,0),MATCH(AD$5,'Exercise list'!$E$4:$X$4,0)),0)</f>
        <v>0</v>
      </c>
      <c r="AE229">
        <f>IFERROR(INDEX('Exercise list'!$E$5:$X$102,MATCH($C229,'Exercise list'!$C$5:$C$102,0),MATCH(AE$5,'Exercise list'!$E$4:$X$4,0)),0)</f>
        <v>0</v>
      </c>
      <c r="AF229">
        <f>IFERROR(INDEX('Exercise list'!$E$5:$X$102,MATCH($C229,'Exercise list'!$C$5:$C$102,0),MATCH(AF$5,'Exercise list'!$E$4:$X$4,0)),0)</f>
        <v>0</v>
      </c>
      <c r="AG229">
        <f>IFERROR(INDEX('Exercise list'!$E$5:$X$102,MATCH($C229,'Exercise list'!$C$5:$C$102,0),MATCH(AG$5,'Exercise list'!$E$4:$X$4,0)),0)</f>
        <v>0</v>
      </c>
      <c r="AH229">
        <f>IFERROR(INDEX('Exercise list'!$E$5:$X$102,MATCH($C229,'Exercise list'!$C$5:$C$102,0),MATCH(AH$5,'Exercise list'!$E$4:$X$4,0)),0)</f>
        <v>0</v>
      </c>
      <c r="AI229">
        <f>IFERROR(INDEX('Exercise list'!$E$5:$X$102,MATCH($C229,'Exercise list'!$C$5:$C$102,0),MATCH(AI$5,'Exercise list'!$E$4:$X$4,0)),0)</f>
        <v>0</v>
      </c>
      <c r="AK229">
        <f>IF(OR($J229=1,COUNTIFS($A$5:$A228,"&gt;="&amp;$A229-1,$A$5:$A228,"&lt;="&amp;$A229,$B$5:$B228,$B229)&gt;0,MIN(1-'Exercise list'!E$2,IF($A229=$A228,AK228,1))-P229&lt;0),-1,MIN(1,IF($A229=$A228,AK228,1)-P229+$D$2))</f>
        <v>1</v>
      </c>
      <c r="AL229">
        <f>IF(OR($J229=1,COUNTIFS($A$5:$A228,"&gt;="&amp;$A229-1,$A$5:$A228,"&lt;="&amp;$A229,$B$5:$B228,$B229)&gt;0,MIN(1-'Exercise list'!F$2,IF($A229=$A228,AL228,1))-Q229&lt;0),-1,MIN(1,IF($A229=$A228,AL228,1)-Q229+$D$2))</f>
        <v>1</v>
      </c>
      <c r="AM229">
        <f>IF(OR($J229=1,COUNTIFS($A$5:$A228,"&gt;="&amp;$A229-1,$A$5:$A228,"&lt;="&amp;$A229,$B$5:$B228,$B229)&gt;0,MIN(1-'Exercise list'!G$2,IF($A229=$A228,AM228,1))-R229&lt;0),-1,MIN(1,IF($A229=$A228,AM228,1)-R229+$D$2))</f>
        <v>1</v>
      </c>
      <c r="AN229">
        <f>IF(OR($J229=1,COUNTIFS($A$5:$A228,"&gt;="&amp;$A229-1,$A$5:$A228,"&lt;="&amp;$A229,$B$5:$B228,$B229)&gt;0,MIN(1-'Exercise list'!H$2,IF($A229=$A228,AN228,1))-S229&lt;0),-1,MIN(1,IF($A229=$A228,AN228,1)-S229+$D$2))</f>
        <v>1</v>
      </c>
      <c r="AO229">
        <f>IF(OR($J229=1,COUNTIFS($A$5:$A228,"&gt;="&amp;$A229-1,$A$5:$A228,"&lt;="&amp;$A229,$B$5:$B228,$B229)&gt;0,MIN(1-'Exercise list'!I$2,IF($A229=$A228,AO228,1))-T229&lt;0),-1,MIN(1,IF($A229=$A228,AO228,1)-T229+$D$2))</f>
        <v>1</v>
      </c>
      <c r="AP229">
        <f>IF(OR($J229=1,COUNTIFS($A$5:$A228,"&gt;="&amp;$A229-1,$A$5:$A228,"&lt;="&amp;$A229,$B$5:$B228,$B229)&gt;0,MIN(1-'Exercise list'!J$2,IF($A229=$A228,AP228,1))-U229&lt;0),-1,MIN(1,IF($A229=$A228,AP228,1)-U229+$D$2))</f>
        <v>1</v>
      </c>
      <c r="AQ229">
        <f>IF(OR($J229=1,COUNTIFS($A$5:$A228,"&gt;="&amp;$A229-1,$A$5:$A228,"&lt;="&amp;$A229,$B$5:$B228,$B229)&gt;0,MIN(1-'Exercise list'!K$2,IF($A229=$A228,AQ228,1))-V229&lt;0),-1,MIN(1,IF($A229=$A228,AQ228,1)-V229+$D$2))</f>
        <v>1</v>
      </c>
      <c r="AR229">
        <f>IF(OR($J229=1,COUNTIFS($A$5:$A228,"&gt;="&amp;$A229-1,$A$5:$A228,"&lt;="&amp;$A229,$B$5:$B228,$B229)&gt;0,MIN(1-'Exercise list'!L$2,IF($A229=$A228,AR228,1))-W229&lt;0),-1,MIN(1,IF($A229=$A228,AR228,1)-W229+$D$2))</f>
        <v>1</v>
      </c>
      <c r="AS229">
        <f>IF(OR($J229=1,COUNTIFS($A$5:$A228,"&gt;="&amp;$A229-1,$A$5:$A228,"&lt;="&amp;$A229,$B$5:$B228,$B229)&gt;0,MIN(1-'Exercise list'!M$2,IF($A229=$A228,AS228,1))-X229&lt;0),-1,MIN(1,IF($A229=$A228,AS228,1)-X229+$D$2))</f>
        <v>1</v>
      </c>
      <c r="AT229">
        <f>IF(OR($J229=1,COUNTIFS($A$5:$A228,"&gt;="&amp;$A229-1,$A$5:$A228,"&lt;="&amp;$A229,$B$5:$B228,$B229)&gt;0,MIN(1-'Exercise list'!N$2,IF($A229=$A228,AT228,1))-Y229&lt;0),-1,MIN(1,IF($A229=$A228,AT228,1)-Y229+$D$2))</f>
        <v>1</v>
      </c>
      <c r="AU229">
        <f>IF(OR($J229=1,COUNTIFS($A$5:$A228,"&gt;="&amp;$A229-1,$A$5:$A228,"&lt;="&amp;$A229,$B$5:$B228,$B229)&gt;0,MIN(1-'Exercise list'!O$2,IF($A229=$A228,AU228,1))-Z229&lt;0),-1,MIN(1,IF($A229=$A228,AU228,1)-Z229+$D$2))</f>
        <v>1</v>
      </c>
      <c r="AV229">
        <f>IF(OR($J229=1,COUNTIFS($A$5:$A228,"&gt;="&amp;$A229-1,$A$5:$A228,"&lt;="&amp;$A229,$B$5:$B228,$B229)&gt;0,MIN(1-'Exercise list'!P$2,IF($A229=$A228,AV228,1))-AA229&lt;0),-1,MIN(1,IF($A229=$A228,AV228,1)-AA229+$D$2))</f>
        <v>1</v>
      </c>
      <c r="AW229">
        <f>IF(OR($J229=1,COUNTIFS($A$5:$A228,"&gt;="&amp;$A229-1,$A$5:$A228,"&lt;="&amp;$A229,$B$5:$B228,$B229)&gt;0,MIN(1-'Exercise list'!Q$2,IF($A229=$A228,AW228,1))-AB229&lt;0),-1,MIN(1,IF($A229=$A228,AW228,1)-AB229+$D$2))</f>
        <v>1</v>
      </c>
      <c r="AX229">
        <f>IF(OR($J229=1,COUNTIFS($A$5:$A228,"&gt;="&amp;$A229-1,$A$5:$A228,"&lt;="&amp;$A229,$B$5:$B228,$B229)&gt;0,MIN(1-'Exercise list'!R$2,IF($A229=$A228,AX228,1))-AC229&lt;0),-1,MIN(1,IF($A229=$A228,AX228,1)-AC229+$D$2))</f>
        <v>1</v>
      </c>
      <c r="AY229">
        <f>IF(OR($J229=1,COUNTIFS($A$5:$A228,"&gt;="&amp;$A229-1,$A$5:$A228,"&lt;="&amp;$A229,$B$5:$B228,$B229)&gt;0,MIN(1-'Exercise list'!S$2,IF($A229=$A228,AY228,1))-AD229&lt;0),-1,MIN(1,IF($A229=$A228,AY228,1)-AD229+$D$2))</f>
        <v>1</v>
      </c>
      <c r="AZ229">
        <f>IF(OR($J229=1,COUNTIFS($A$5:$A228,"&gt;="&amp;$A229-1,$A$5:$A228,"&lt;="&amp;$A229,$B$5:$B228,$B229)&gt;0,MIN(1-'Exercise list'!T$2,IF($A229=$A228,AZ228,1))-AE229&lt;0),-1,MIN(1,IF($A229=$A228,AZ228,1)-AE229+$D$2))</f>
        <v>1</v>
      </c>
      <c r="BA229">
        <f>IF(OR($J229=1,COUNTIFS($A$5:$A228,"&gt;="&amp;$A229-1,$A$5:$A228,"&lt;="&amp;$A229,$B$5:$B228,$B229)&gt;0,MIN(1-'Exercise list'!U$2,IF($A229=$A228,BA228,1))-AF229&lt;0),-1,MIN(1,IF($A229=$A228,BA228,1)-AF229+$D$2))</f>
        <v>1</v>
      </c>
      <c r="BB229">
        <f>IF(OR($J229=1,COUNTIFS($A$5:$A228,"&gt;="&amp;$A229-1,$A$5:$A228,"&lt;="&amp;$A229,$B$5:$B228,$B229)&gt;0,MIN(1-'Exercise list'!V$2,IF($A229=$A228,BB228,1))-AG229&lt;0),-1,MIN(1,IF($A229=$A228,BB228,1)-AG229+$D$2))</f>
        <v>1</v>
      </c>
      <c r="BC229">
        <f>IF(OR($J229=1,COUNTIFS($A$5:$A228,"&gt;="&amp;$A229-1,$A$5:$A228,"&lt;="&amp;$A229,$B$5:$B228,$B229)&gt;0,MIN(1-'Exercise list'!W$2,IF($A229=$A228,BC228,1))-AH229&lt;0),-1,MIN(1,IF($A229=$A228,BC228,1)-AH229+$D$2))</f>
        <v>1</v>
      </c>
      <c r="BD229">
        <f>IF(OR($J229=1,COUNTIFS($A$5:$A228,"&gt;="&amp;$A229-1,$A$5:$A228,"&lt;="&amp;$A229,$B$5:$B228,$B229)&gt;0,MIN(1-'Exercise list'!X$2,IF($A229=$A228,BD228,1))-AI229&lt;0),-1,MIN(1,IF($A229=$A228,BD228,1)-AI229+$D$2))</f>
        <v>1</v>
      </c>
      <c r="BF229" s="16">
        <f t="shared" si="189"/>
        <v>0.19596031081758858</v>
      </c>
      <c r="BG229" s="16">
        <f t="shared" si="190"/>
        <v>0.21844636935459236</v>
      </c>
      <c r="BH229" s="16">
        <f t="shared" si="191"/>
        <v>0.14609696635987124</v>
      </c>
      <c r="BI229" s="16">
        <f t="shared" si="192"/>
        <v>0.13198015366034541</v>
      </c>
      <c r="BJ229" s="16">
        <f t="shared" si="193"/>
        <v>8.3367914198418713E-2</v>
      </c>
      <c r="BK229" s="16">
        <f t="shared" si="194"/>
        <v>0.10640640223148412</v>
      </c>
      <c r="BL229" s="16">
        <f t="shared" si="195"/>
        <v>0.21963504743569431</v>
      </c>
      <c r="BM229" s="16">
        <f t="shared" si="196"/>
        <v>3.8988008374820568E-3</v>
      </c>
      <c r="BN229" s="16">
        <f t="shared" si="197"/>
        <v>0.14537706087090876</v>
      </c>
      <c r="BO229" s="16">
        <f t="shared" si="198"/>
        <v>0.29209790661993401</v>
      </c>
      <c r="BP229" s="16">
        <f t="shared" si="199"/>
        <v>0.31584545163401867</v>
      </c>
      <c r="BQ229" s="16">
        <f t="shared" si="200"/>
        <v>0.1000007994126096</v>
      </c>
      <c r="BR229" s="16">
        <f t="shared" si="201"/>
        <v>0.13164487759885393</v>
      </c>
      <c r="BS229" s="16">
        <f t="shared" si="202"/>
        <v>2.9803550189863123E-2</v>
      </c>
      <c r="BT229" s="16">
        <f t="shared" si="203"/>
        <v>0.13492040904978705</v>
      </c>
      <c r="BU229" s="16">
        <f t="shared" si="204"/>
        <v>0.11703687414398131</v>
      </c>
      <c r="BV229" s="16">
        <f t="shared" si="205"/>
        <v>0.14633353213781661</v>
      </c>
      <c r="BW229" s="16">
        <f t="shared" si="206"/>
        <v>7.5588015111767173E-2</v>
      </c>
      <c r="BX229" s="16">
        <f t="shared" si="207"/>
        <v>8.0345659937185704E-2</v>
      </c>
      <c r="BY229" s="16">
        <f t="shared" si="208"/>
        <v>5.9014643151272549E-2</v>
      </c>
      <c r="CA229" s="16" t="str">
        <f t="shared" si="185"/>
        <v/>
      </c>
      <c r="CB229" s="16" t="str">
        <f t="shared" si="166"/>
        <v/>
      </c>
      <c r="CC229" s="16" t="str">
        <f t="shared" si="167"/>
        <v/>
      </c>
      <c r="CD229" s="16" t="str">
        <f t="shared" si="168"/>
        <v/>
      </c>
      <c r="CE229" s="16" t="str">
        <f t="shared" si="169"/>
        <v/>
      </c>
      <c r="CF229" s="16" t="str">
        <f t="shared" si="170"/>
        <v/>
      </c>
      <c r="CG229" s="16" t="str">
        <f t="shared" si="171"/>
        <v/>
      </c>
      <c r="CH229" s="16" t="str">
        <f t="shared" si="172"/>
        <v/>
      </c>
      <c r="CI229" s="16" t="str">
        <f t="shared" si="173"/>
        <v/>
      </c>
      <c r="CJ229" s="16" t="str">
        <f t="shared" si="174"/>
        <v/>
      </c>
      <c r="CK229" s="16" t="str">
        <f t="shared" si="175"/>
        <v/>
      </c>
      <c r="CL229" s="16" t="str">
        <f t="shared" si="176"/>
        <v/>
      </c>
      <c r="CM229" s="16" t="str">
        <f t="shared" si="177"/>
        <v/>
      </c>
      <c r="CN229" s="16" t="str">
        <f t="shared" si="178"/>
        <v/>
      </c>
      <c r="CO229" s="16" t="str">
        <f t="shared" si="179"/>
        <v/>
      </c>
      <c r="CP229" s="16" t="str">
        <f t="shared" si="180"/>
        <v/>
      </c>
      <c r="CQ229" s="16" t="str">
        <f t="shared" si="181"/>
        <v/>
      </c>
      <c r="CR229" s="16" t="str">
        <f t="shared" si="182"/>
        <v/>
      </c>
      <c r="CS229" s="16" t="str">
        <f t="shared" si="183"/>
        <v/>
      </c>
      <c r="CT229" s="16" t="str">
        <f t="shared" si="184"/>
        <v/>
      </c>
    </row>
    <row r="230" spans="1:99" x14ac:dyDescent="0.25">
      <c r="A230" s="13"/>
      <c r="B230" s="14"/>
      <c r="C230" s="15" t="str" cm="1">
        <f t="array" ref="C230">IF(B230="","",INDEX('Exercise list'!$C$5:$C$102,B230))</f>
        <v/>
      </c>
      <c r="D230" s="12" t="str">
        <f t="shared" si="186"/>
        <v/>
      </c>
      <c r="E230" s="107" t="str">
        <f t="shared" si="209"/>
        <v/>
      </c>
      <c r="F230" s="63" t="str" cm="1">
        <f t="array" ref="F230">IF(B230="","",0.1+IFERROR(INDEX($F$6:$F229,SUMPRODUCT(MAX(ROW($C$6:$C229)*($C230=$C$6:$C229))-ROW($A$5)))*0.9^($A230-INDEX($A$6:A229,SUMPRODUCT(MAX(ROW($C$6:$C229)*($C230=$C$6:$C229))-ROW($A$5)))),0))</f>
        <v/>
      </c>
      <c r="G230" s="64" t="e">
        <f>INDEX('Exercise list'!$Y$5:$Y$102,MATCH(C230,'Exercise list'!$C$5:$C$102,0))</f>
        <v>#N/A</v>
      </c>
      <c r="H230" s="115">
        <f t="shared" si="187"/>
        <v>0</v>
      </c>
      <c r="I230" s="6">
        <f t="shared" si="188"/>
        <v>5</v>
      </c>
      <c r="J230" s="6" t="str" cm="1">
        <f t="array" ref="J230">IF(B230="","",INDEX('Exercise list'!$D$5:$D$102,B230))</f>
        <v/>
      </c>
      <c r="K230" s="12"/>
      <c r="L230" s="74" t="str" cm="1">
        <f t="array" ref="L230">IF(K230="","",INDEX('Exercise list'!$C$5:$C$102,K230))</f>
        <v/>
      </c>
      <c r="M230" s="6"/>
      <c r="N230" s="75" t="str" cm="1">
        <f t="array" ref="N230">IF(M230="","",INDEX('Exercise list'!$C$5:$C$102,M230))</f>
        <v/>
      </c>
      <c r="P230">
        <f>IFERROR(INDEX('Exercise list'!$E$5:$X$102,MATCH($C230,'Exercise list'!$C$5:$C$102,0),MATCH(P$5,'Exercise list'!$E$4:$X$4,0)),0)</f>
        <v>0</v>
      </c>
      <c r="Q230">
        <f>IFERROR(INDEX('Exercise list'!$E$5:$X$102,MATCH($C230,'Exercise list'!$C$5:$C$102,0),MATCH(Q$5,'Exercise list'!$E$4:$X$4,0)),0)</f>
        <v>0</v>
      </c>
      <c r="R230">
        <f>IFERROR(INDEX('Exercise list'!$E$5:$X$102,MATCH($C230,'Exercise list'!$C$5:$C$102,0),MATCH(R$5,'Exercise list'!$E$4:$X$4,0)),0)</f>
        <v>0</v>
      </c>
      <c r="S230">
        <f>IFERROR(INDEX('Exercise list'!$E$5:$X$102,MATCH($C230,'Exercise list'!$C$5:$C$102,0),MATCH(S$5,'Exercise list'!$E$4:$X$4,0)),0)</f>
        <v>0</v>
      </c>
      <c r="T230">
        <f>IFERROR(INDEX('Exercise list'!$E$5:$X$102,MATCH($C230,'Exercise list'!$C$5:$C$102,0),MATCH(T$5,'Exercise list'!$E$4:$X$4,0)),0)</f>
        <v>0</v>
      </c>
      <c r="U230">
        <f>IFERROR(INDEX('Exercise list'!$E$5:$X$102,MATCH($C230,'Exercise list'!$C$5:$C$102,0),MATCH(U$5,'Exercise list'!$E$4:$X$4,0)),0)</f>
        <v>0</v>
      </c>
      <c r="V230">
        <f>IFERROR(INDEX('Exercise list'!$E$5:$X$102,MATCH($C230,'Exercise list'!$C$5:$C$102,0),MATCH(V$5,'Exercise list'!$E$4:$X$4,0)),0)</f>
        <v>0</v>
      </c>
      <c r="W230">
        <f>IFERROR(INDEX('Exercise list'!$E$5:$X$102,MATCH($C230,'Exercise list'!$C$5:$C$102,0),MATCH(W$5,'Exercise list'!$E$4:$X$4,0)),0)</f>
        <v>0</v>
      </c>
      <c r="X230">
        <f>IFERROR(INDEX('Exercise list'!$E$5:$X$102,MATCH($C230,'Exercise list'!$C$5:$C$102,0),MATCH(X$5,'Exercise list'!$E$4:$X$4,0)),0)</f>
        <v>0</v>
      </c>
      <c r="Y230">
        <f>IFERROR(INDEX('Exercise list'!$E$5:$X$102,MATCH($C230,'Exercise list'!$C$5:$C$102,0),MATCH(Y$5,'Exercise list'!$E$4:$X$4,0)),0)</f>
        <v>0</v>
      </c>
      <c r="Z230">
        <f>IFERROR(INDEX('Exercise list'!$E$5:$X$102,MATCH($C230,'Exercise list'!$C$5:$C$102,0),MATCH(Z$5,'Exercise list'!$E$4:$X$4,0)),0)</f>
        <v>0</v>
      </c>
      <c r="AA230">
        <f>IFERROR(INDEX('Exercise list'!$E$5:$X$102,MATCH($C230,'Exercise list'!$C$5:$C$102,0),MATCH(AA$5,'Exercise list'!$E$4:$X$4,0)),0)</f>
        <v>0</v>
      </c>
      <c r="AB230">
        <f>IFERROR(INDEX('Exercise list'!$E$5:$X$102,MATCH($C230,'Exercise list'!$C$5:$C$102,0),MATCH(AB$5,'Exercise list'!$E$4:$X$4,0)),0)</f>
        <v>0</v>
      </c>
      <c r="AC230">
        <f>IFERROR(INDEX('Exercise list'!$E$5:$X$102,MATCH($C230,'Exercise list'!$C$5:$C$102,0),MATCH(AC$5,'Exercise list'!$E$4:$X$4,0)),0)</f>
        <v>0</v>
      </c>
      <c r="AD230">
        <f>IFERROR(INDEX('Exercise list'!$E$5:$X$102,MATCH($C230,'Exercise list'!$C$5:$C$102,0),MATCH(AD$5,'Exercise list'!$E$4:$X$4,0)),0)</f>
        <v>0</v>
      </c>
      <c r="AE230">
        <f>IFERROR(INDEX('Exercise list'!$E$5:$X$102,MATCH($C230,'Exercise list'!$C$5:$C$102,0),MATCH(AE$5,'Exercise list'!$E$4:$X$4,0)),0)</f>
        <v>0</v>
      </c>
      <c r="AF230">
        <f>IFERROR(INDEX('Exercise list'!$E$5:$X$102,MATCH($C230,'Exercise list'!$C$5:$C$102,0),MATCH(AF$5,'Exercise list'!$E$4:$X$4,0)),0)</f>
        <v>0</v>
      </c>
      <c r="AG230">
        <f>IFERROR(INDEX('Exercise list'!$E$5:$X$102,MATCH($C230,'Exercise list'!$C$5:$C$102,0),MATCH(AG$5,'Exercise list'!$E$4:$X$4,0)),0)</f>
        <v>0</v>
      </c>
      <c r="AH230">
        <f>IFERROR(INDEX('Exercise list'!$E$5:$X$102,MATCH($C230,'Exercise list'!$C$5:$C$102,0),MATCH(AH$5,'Exercise list'!$E$4:$X$4,0)),0)</f>
        <v>0</v>
      </c>
      <c r="AI230">
        <f>IFERROR(INDEX('Exercise list'!$E$5:$X$102,MATCH($C230,'Exercise list'!$C$5:$C$102,0),MATCH(AI$5,'Exercise list'!$E$4:$X$4,0)),0)</f>
        <v>0</v>
      </c>
      <c r="AK230">
        <f>IF(OR($J230=1,COUNTIFS($A$5:$A229,"&gt;="&amp;$A230-1,$A$5:$A229,"&lt;="&amp;$A230,$B$5:$B229,$B230)&gt;0,MIN(1-'Exercise list'!E$2,IF($A230=$A229,AK229,1))-P230&lt;0),-1,MIN(1,IF($A230=$A229,AK229,1)-P230+$D$2))</f>
        <v>1</v>
      </c>
      <c r="AL230">
        <f>IF(OR($J230=1,COUNTIFS($A$5:$A229,"&gt;="&amp;$A230-1,$A$5:$A229,"&lt;="&amp;$A230,$B$5:$B229,$B230)&gt;0,MIN(1-'Exercise list'!F$2,IF($A230=$A229,AL229,1))-Q230&lt;0),-1,MIN(1,IF($A230=$A229,AL229,1)-Q230+$D$2))</f>
        <v>1</v>
      </c>
      <c r="AM230">
        <f>IF(OR($J230=1,COUNTIFS($A$5:$A229,"&gt;="&amp;$A230-1,$A$5:$A229,"&lt;="&amp;$A230,$B$5:$B229,$B230)&gt;0,MIN(1-'Exercise list'!G$2,IF($A230=$A229,AM229,1))-R230&lt;0),-1,MIN(1,IF($A230=$A229,AM229,1)-R230+$D$2))</f>
        <v>1</v>
      </c>
      <c r="AN230">
        <f>IF(OR($J230=1,COUNTIFS($A$5:$A229,"&gt;="&amp;$A230-1,$A$5:$A229,"&lt;="&amp;$A230,$B$5:$B229,$B230)&gt;0,MIN(1-'Exercise list'!H$2,IF($A230=$A229,AN229,1))-S230&lt;0),-1,MIN(1,IF($A230=$A229,AN229,1)-S230+$D$2))</f>
        <v>1</v>
      </c>
      <c r="AO230">
        <f>IF(OR($J230=1,COUNTIFS($A$5:$A229,"&gt;="&amp;$A230-1,$A$5:$A229,"&lt;="&amp;$A230,$B$5:$B229,$B230)&gt;0,MIN(1-'Exercise list'!I$2,IF($A230=$A229,AO229,1))-T230&lt;0),-1,MIN(1,IF($A230=$A229,AO229,1)-T230+$D$2))</f>
        <v>1</v>
      </c>
      <c r="AP230">
        <f>IF(OR($J230=1,COUNTIFS($A$5:$A229,"&gt;="&amp;$A230-1,$A$5:$A229,"&lt;="&amp;$A230,$B$5:$B229,$B230)&gt;0,MIN(1-'Exercise list'!J$2,IF($A230=$A229,AP229,1))-U230&lt;0),-1,MIN(1,IF($A230=$A229,AP229,1)-U230+$D$2))</f>
        <v>1</v>
      </c>
      <c r="AQ230">
        <f>IF(OR($J230=1,COUNTIFS($A$5:$A229,"&gt;="&amp;$A230-1,$A$5:$A229,"&lt;="&amp;$A230,$B$5:$B229,$B230)&gt;0,MIN(1-'Exercise list'!K$2,IF($A230=$A229,AQ229,1))-V230&lt;0),-1,MIN(1,IF($A230=$A229,AQ229,1)-V230+$D$2))</f>
        <v>1</v>
      </c>
      <c r="AR230">
        <f>IF(OR($J230=1,COUNTIFS($A$5:$A229,"&gt;="&amp;$A230-1,$A$5:$A229,"&lt;="&amp;$A230,$B$5:$B229,$B230)&gt;0,MIN(1-'Exercise list'!L$2,IF($A230=$A229,AR229,1))-W230&lt;0),-1,MIN(1,IF($A230=$A229,AR229,1)-W230+$D$2))</f>
        <v>1</v>
      </c>
      <c r="AS230">
        <f>IF(OR($J230=1,COUNTIFS($A$5:$A229,"&gt;="&amp;$A230-1,$A$5:$A229,"&lt;="&amp;$A230,$B$5:$B229,$B230)&gt;0,MIN(1-'Exercise list'!M$2,IF($A230=$A229,AS229,1))-X230&lt;0),-1,MIN(1,IF($A230=$A229,AS229,1)-X230+$D$2))</f>
        <v>1</v>
      </c>
      <c r="AT230">
        <f>IF(OR($J230=1,COUNTIFS($A$5:$A229,"&gt;="&amp;$A230-1,$A$5:$A229,"&lt;="&amp;$A230,$B$5:$B229,$B230)&gt;0,MIN(1-'Exercise list'!N$2,IF($A230=$A229,AT229,1))-Y230&lt;0),-1,MIN(1,IF($A230=$A229,AT229,1)-Y230+$D$2))</f>
        <v>1</v>
      </c>
      <c r="AU230">
        <f>IF(OR($J230=1,COUNTIFS($A$5:$A229,"&gt;="&amp;$A230-1,$A$5:$A229,"&lt;="&amp;$A230,$B$5:$B229,$B230)&gt;0,MIN(1-'Exercise list'!O$2,IF($A230=$A229,AU229,1))-Z230&lt;0),-1,MIN(1,IF($A230=$A229,AU229,1)-Z230+$D$2))</f>
        <v>1</v>
      </c>
      <c r="AV230">
        <f>IF(OR($J230=1,COUNTIFS($A$5:$A229,"&gt;="&amp;$A230-1,$A$5:$A229,"&lt;="&amp;$A230,$B$5:$B229,$B230)&gt;0,MIN(1-'Exercise list'!P$2,IF($A230=$A229,AV229,1))-AA230&lt;0),-1,MIN(1,IF($A230=$A229,AV229,1)-AA230+$D$2))</f>
        <v>1</v>
      </c>
      <c r="AW230">
        <f>IF(OR($J230=1,COUNTIFS($A$5:$A229,"&gt;="&amp;$A230-1,$A$5:$A229,"&lt;="&amp;$A230,$B$5:$B229,$B230)&gt;0,MIN(1-'Exercise list'!Q$2,IF($A230=$A229,AW229,1))-AB230&lt;0),-1,MIN(1,IF($A230=$A229,AW229,1)-AB230+$D$2))</f>
        <v>1</v>
      </c>
      <c r="AX230">
        <f>IF(OR($J230=1,COUNTIFS($A$5:$A229,"&gt;="&amp;$A230-1,$A$5:$A229,"&lt;="&amp;$A230,$B$5:$B229,$B230)&gt;0,MIN(1-'Exercise list'!R$2,IF($A230=$A229,AX229,1))-AC230&lt;0),-1,MIN(1,IF($A230=$A229,AX229,1)-AC230+$D$2))</f>
        <v>1</v>
      </c>
      <c r="AY230">
        <f>IF(OR($J230=1,COUNTIFS($A$5:$A229,"&gt;="&amp;$A230-1,$A$5:$A229,"&lt;="&amp;$A230,$B$5:$B229,$B230)&gt;0,MIN(1-'Exercise list'!S$2,IF($A230=$A229,AY229,1))-AD230&lt;0),-1,MIN(1,IF($A230=$A229,AY229,1)-AD230+$D$2))</f>
        <v>1</v>
      </c>
      <c r="AZ230">
        <f>IF(OR($J230=1,COUNTIFS($A$5:$A229,"&gt;="&amp;$A230-1,$A$5:$A229,"&lt;="&amp;$A230,$B$5:$B229,$B230)&gt;0,MIN(1-'Exercise list'!T$2,IF($A230=$A229,AZ229,1))-AE230&lt;0),-1,MIN(1,IF($A230=$A229,AZ229,1)-AE230+$D$2))</f>
        <v>1</v>
      </c>
      <c r="BA230">
        <f>IF(OR($J230=1,COUNTIFS($A$5:$A229,"&gt;="&amp;$A230-1,$A$5:$A229,"&lt;="&amp;$A230,$B$5:$B229,$B230)&gt;0,MIN(1-'Exercise list'!U$2,IF($A230=$A229,BA229,1))-AF230&lt;0),-1,MIN(1,IF($A230=$A229,BA229,1)-AF230+$D$2))</f>
        <v>1</v>
      </c>
      <c r="BB230">
        <f>IF(OR($J230=1,COUNTIFS($A$5:$A229,"&gt;="&amp;$A230-1,$A$5:$A229,"&lt;="&amp;$A230,$B$5:$B229,$B230)&gt;0,MIN(1-'Exercise list'!V$2,IF($A230=$A229,BB229,1))-AG230&lt;0),-1,MIN(1,IF($A230=$A229,BB229,1)-AG230+$D$2))</f>
        <v>1</v>
      </c>
      <c r="BC230">
        <f>IF(OR($J230=1,COUNTIFS($A$5:$A229,"&gt;="&amp;$A230-1,$A$5:$A229,"&lt;="&amp;$A230,$B$5:$B229,$B230)&gt;0,MIN(1-'Exercise list'!W$2,IF($A230=$A229,BC229,1))-AH230&lt;0),-1,MIN(1,IF($A230=$A229,BC229,1)-AH230+$D$2))</f>
        <v>1</v>
      </c>
      <c r="BD230">
        <f>IF(OR($J230=1,COUNTIFS($A$5:$A229,"&gt;="&amp;$A230-1,$A$5:$A229,"&lt;="&amp;$A230,$B$5:$B229,$B230)&gt;0,MIN(1-'Exercise list'!X$2,IF($A230=$A229,BD229,1))-AI230&lt;0),-1,MIN(1,IF($A230=$A229,BD229,1)-AI230+$D$2))</f>
        <v>1</v>
      </c>
      <c r="BF230" s="16">
        <f t="shared" si="189"/>
        <v>0.19596031081758858</v>
      </c>
      <c r="BG230" s="16">
        <f t="shared" si="190"/>
        <v>0.21844636935459236</v>
      </c>
      <c r="BH230" s="16">
        <f t="shared" si="191"/>
        <v>0.14609696635987124</v>
      </c>
      <c r="BI230" s="16">
        <f t="shared" si="192"/>
        <v>0.13198015366034541</v>
      </c>
      <c r="BJ230" s="16">
        <f t="shared" si="193"/>
        <v>8.3367914198418713E-2</v>
      </c>
      <c r="BK230" s="16">
        <f t="shared" si="194"/>
        <v>0.10640640223148412</v>
      </c>
      <c r="BL230" s="16">
        <f t="shared" si="195"/>
        <v>0.21963504743569431</v>
      </c>
      <c r="BM230" s="16">
        <f t="shared" si="196"/>
        <v>3.8988008374820568E-3</v>
      </c>
      <c r="BN230" s="16">
        <f t="shared" si="197"/>
        <v>0.14537706087090876</v>
      </c>
      <c r="BO230" s="16">
        <f t="shared" si="198"/>
        <v>0.29209790661993401</v>
      </c>
      <c r="BP230" s="16">
        <f t="shared" si="199"/>
        <v>0.31584545163401867</v>
      </c>
      <c r="BQ230" s="16">
        <f t="shared" si="200"/>
        <v>0.1000007994126096</v>
      </c>
      <c r="BR230" s="16">
        <f t="shared" si="201"/>
        <v>0.13164487759885393</v>
      </c>
      <c r="BS230" s="16">
        <f t="shared" si="202"/>
        <v>2.9803550189863123E-2</v>
      </c>
      <c r="BT230" s="16">
        <f t="shared" si="203"/>
        <v>0.13492040904978705</v>
      </c>
      <c r="BU230" s="16">
        <f t="shared" si="204"/>
        <v>0.11703687414398131</v>
      </c>
      <c r="BV230" s="16">
        <f t="shared" si="205"/>
        <v>0.14633353213781661</v>
      </c>
      <c r="BW230" s="16">
        <f t="shared" si="206"/>
        <v>7.5588015111767173E-2</v>
      </c>
      <c r="BX230" s="16">
        <f t="shared" si="207"/>
        <v>8.0345659937185704E-2</v>
      </c>
      <c r="BY230" s="16">
        <f t="shared" si="208"/>
        <v>5.9014643151272549E-2</v>
      </c>
      <c r="CA230" s="16" t="str">
        <f t="shared" si="185"/>
        <v/>
      </c>
      <c r="CB230" s="16" t="str">
        <f t="shared" si="166"/>
        <v/>
      </c>
      <c r="CC230" s="16" t="str">
        <f t="shared" si="167"/>
        <v/>
      </c>
      <c r="CD230" s="16" t="str">
        <f t="shared" si="168"/>
        <v/>
      </c>
      <c r="CE230" s="16" t="str">
        <f t="shared" si="169"/>
        <v/>
      </c>
      <c r="CF230" s="16" t="str">
        <f t="shared" si="170"/>
        <v/>
      </c>
      <c r="CG230" s="16" t="str">
        <f t="shared" si="171"/>
        <v/>
      </c>
      <c r="CH230" s="16" t="str">
        <f t="shared" si="172"/>
        <v/>
      </c>
      <c r="CI230" s="16" t="str">
        <f t="shared" si="173"/>
        <v/>
      </c>
      <c r="CJ230" s="16" t="str">
        <f t="shared" si="174"/>
        <v/>
      </c>
      <c r="CK230" s="16" t="str">
        <f t="shared" si="175"/>
        <v/>
      </c>
      <c r="CL230" s="16" t="str">
        <f t="shared" si="176"/>
        <v/>
      </c>
      <c r="CM230" s="16" t="str">
        <f t="shared" si="177"/>
        <v/>
      </c>
      <c r="CN230" s="16" t="str">
        <f t="shared" si="178"/>
        <v/>
      </c>
      <c r="CO230" s="16" t="str">
        <f t="shared" si="179"/>
        <v/>
      </c>
      <c r="CP230" s="16" t="str">
        <f t="shared" si="180"/>
        <v/>
      </c>
      <c r="CQ230" s="16" t="str">
        <f t="shared" si="181"/>
        <v/>
      </c>
      <c r="CR230" s="16" t="str">
        <f t="shared" si="182"/>
        <v/>
      </c>
      <c r="CS230" s="16" t="str">
        <f t="shared" si="183"/>
        <v/>
      </c>
      <c r="CT230" s="16" t="str">
        <f t="shared" si="184"/>
        <v/>
      </c>
    </row>
    <row r="231" spans="1:99" x14ac:dyDescent="0.25">
      <c r="A231" s="13"/>
      <c r="B231" s="14"/>
      <c r="C231" s="15" t="str" cm="1">
        <f t="array" ref="C231">IF(B231="","",INDEX('Exercise list'!$C$5:$C$102,B231))</f>
        <v/>
      </c>
      <c r="D231" s="12" t="str">
        <f t="shared" si="186"/>
        <v/>
      </c>
      <c r="E231" s="107" t="str">
        <f t="shared" si="209"/>
        <v/>
      </c>
      <c r="F231" s="63" t="str" cm="1">
        <f t="array" ref="F231">IF(B231="","",0.1+IFERROR(INDEX($F$6:$F230,SUMPRODUCT(MAX(ROW($C$6:$C230)*($C231=$C$6:$C230))-ROW($A$5)))*0.9^($A231-INDEX($A$6:A230,SUMPRODUCT(MAX(ROW($C$6:$C230)*($C231=$C$6:$C230))-ROW($A$5)))),0))</f>
        <v/>
      </c>
      <c r="G231" s="64" t="e">
        <f>INDEX('Exercise list'!$Y$5:$Y$102,MATCH(C231,'Exercise list'!$C$5:$C$102,0))</f>
        <v>#N/A</v>
      </c>
      <c r="H231" s="115">
        <f t="shared" si="187"/>
        <v>0</v>
      </c>
      <c r="I231" s="6">
        <f t="shared" si="188"/>
        <v>5</v>
      </c>
      <c r="J231" s="6" t="str" cm="1">
        <f t="array" ref="J231">IF(B231="","",INDEX('Exercise list'!$D$5:$D$102,B231))</f>
        <v/>
      </c>
      <c r="K231" s="12"/>
      <c r="L231" s="74" t="str" cm="1">
        <f t="array" ref="L231">IF(K231="","",INDEX('Exercise list'!$C$5:$C$102,K231))</f>
        <v/>
      </c>
      <c r="M231" s="6"/>
      <c r="N231" s="75" t="str" cm="1">
        <f t="array" ref="N231">IF(M231="","",INDEX('Exercise list'!$C$5:$C$102,M231))</f>
        <v/>
      </c>
      <c r="P231">
        <f>IFERROR(INDEX('Exercise list'!$E$5:$X$102,MATCH($C231,'Exercise list'!$C$5:$C$102,0),MATCH(P$5,'Exercise list'!$E$4:$X$4,0)),0)</f>
        <v>0</v>
      </c>
      <c r="Q231">
        <f>IFERROR(INDEX('Exercise list'!$E$5:$X$102,MATCH($C231,'Exercise list'!$C$5:$C$102,0),MATCH(Q$5,'Exercise list'!$E$4:$X$4,0)),0)</f>
        <v>0</v>
      </c>
      <c r="R231">
        <f>IFERROR(INDEX('Exercise list'!$E$5:$X$102,MATCH($C231,'Exercise list'!$C$5:$C$102,0),MATCH(R$5,'Exercise list'!$E$4:$X$4,0)),0)</f>
        <v>0</v>
      </c>
      <c r="S231">
        <f>IFERROR(INDEX('Exercise list'!$E$5:$X$102,MATCH($C231,'Exercise list'!$C$5:$C$102,0),MATCH(S$5,'Exercise list'!$E$4:$X$4,0)),0)</f>
        <v>0</v>
      </c>
      <c r="T231">
        <f>IFERROR(INDEX('Exercise list'!$E$5:$X$102,MATCH($C231,'Exercise list'!$C$5:$C$102,0),MATCH(T$5,'Exercise list'!$E$4:$X$4,0)),0)</f>
        <v>0</v>
      </c>
      <c r="U231">
        <f>IFERROR(INDEX('Exercise list'!$E$5:$X$102,MATCH($C231,'Exercise list'!$C$5:$C$102,0),MATCH(U$5,'Exercise list'!$E$4:$X$4,0)),0)</f>
        <v>0</v>
      </c>
      <c r="V231">
        <f>IFERROR(INDEX('Exercise list'!$E$5:$X$102,MATCH($C231,'Exercise list'!$C$5:$C$102,0),MATCH(V$5,'Exercise list'!$E$4:$X$4,0)),0)</f>
        <v>0</v>
      </c>
      <c r="W231">
        <f>IFERROR(INDEX('Exercise list'!$E$5:$X$102,MATCH($C231,'Exercise list'!$C$5:$C$102,0),MATCH(W$5,'Exercise list'!$E$4:$X$4,0)),0)</f>
        <v>0</v>
      </c>
      <c r="X231">
        <f>IFERROR(INDEX('Exercise list'!$E$5:$X$102,MATCH($C231,'Exercise list'!$C$5:$C$102,0),MATCH(X$5,'Exercise list'!$E$4:$X$4,0)),0)</f>
        <v>0</v>
      </c>
      <c r="Y231">
        <f>IFERROR(INDEX('Exercise list'!$E$5:$X$102,MATCH($C231,'Exercise list'!$C$5:$C$102,0),MATCH(Y$5,'Exercise list'!$E$4:$X$4,0)),0)</f>
        <v>0</v>
      </c>
      <c r="Z231">
        <f>IFERROR(INDEX('Exercise list'!$E$5:$X$102,MATCH($C231,'Exercise list'!$C$5:$C$102,0),MATCH(Z$5,'Exercise list'!$E$4:$X$4,0)),0)</f>
        <v>0</v>
      </c>
      <c r="AA231">
        <f>IFERROR(INDEX('Exercise list'!$E$5:$X$102,MATCH($C231,'Exercise list'!$C$5:$C$102,0),MATCH(AA$5,'Exercise list'!$E$4:$X$4,0)),0)</f>
        <v>0</v>
      </c>
      <c r="AB231">
        <f>IFERROR(INDEX('Exercise list'!$E$5:$X$102,MATCH($C231,'Exercise list'!$C$5:$C$102,0),MATCH(AB$5,'Exercise list'!$E$4:$X$4,0)),0)</f>
        <v>0</v>
      </c>
      <c r="AC231">
        <f>IFERROR(INDEX('Exercise list'!$E$5:$X$102,MATCH($C231,'Exercise list'!$C$5:$C$102,0),MATCH(AC$5,'Exercise list'!$E$4:$X$4,0)),0)</f>
        <v>0</v>
      </c>
      <c r="AD231">
        <f>IFERROR(INDEX('Exercise list'!$E$5:$X$102,MATCH($C231,'Exercise list'!$C$5:$C$102,0),MATCH(AD$5,'Exercise list'!$E$4:$X$4,0)),0)</f>
        <v>0</v>
      </c>
      <c r="AE231">
        <f>IFERROR(INDEX('Exercise list'!$E$5:$X$102,MATCH($C231,'Exercise list'!$C$5:$C$102,0),MATCH(AE$5,'Exercise list'!$E$4:$X$4,0)),0)</f>
        <v>0</v>
      </c>
      <c r="AF231">
        <f>IFERROR(INDEX('Exercise list'!$E$5:$X$102,MATCH($C231,'Exercise list'!$C$5:$C$102,0),MATCH(AF$5,'Exercise list'!$E$4:$X$4,0)),0)</f>
        <v>0</v>
      </c>
      <c r="AG231">
        <f>IFERROR(INDEX('Exercise list'!$E$5:$X$102,MATCH($C231,'Exercise list'!$C$5:$C$102,0),MATCH(AG$5,'Exercise list'!$E$4:$X$4,0)),0)</f>
        <v>0</v>
      </c>
      <c r="AH231">
        <f>IFERROR(INDEX('Exercise list'!$E$5:$X$102,MATCH($C231,'Exercise list'!$C$5:$C$102,0),MATCH(AH$5,'Exercise list'!$E$4:$X$4,0)),0)</f>
        <v>0</v>
      </c>
      <c r="AI231">
        <f>IFERROR(INDEX('Exercise list'!$E$5:$X$102,MATCH($C231,'Exercise list'!$C$5:$C$102,0),MATCH(AI$5,'Exercise list'!$E$4:$X$4,0)),0)</f>
        <v>0</v>
      </c>
      <c r="AK231">
        <f>IF(OR($J231=1,COUNTIFS($A$5:$A230,"&gt;="&amp;$A231-1,$A$5:$A230,"&lt;="&amp;$A231,$B$5:$B230,$B231)&gt;0,MIN(1-'Exercise list'!E$2,IF($A231=$A230,AK230,1))-P231&lt;0),-1,MIN(1,IF($A231=$A230,AK230,1)-P231+$D$2))</f>
        <v>1</v>
      </c>
      <c r="AL231">
        <f>IF(OR($J231=1,COUNTIFS($A$5:$A230,"&gt;="&amp;$A231-1,$A$5:$A230,"&lt;="&amp;$A231,$B$5:$B230,$B231)&gt;0,MIN(1-'Exercise list'!F$2,IF($A231=$A230,AL230,1))-Q231&lt;0),-1,MIN(1,IF($A231=$A230,AL230,1)-Q231+$D$2))</f>
        <v>1</v>
      </c>
      <c r="AM231">
        <f>IF(OR($J231=1,COUNTIFS($A$5:$A230,"&gt;="&amp;$A231-1,$A$5:$A230,"&lt;="&amp;$A231,$B$5:$B230,$B231)&gt;0,MIN(1-'Exercise list'!G$2,IF($A231=$A230,AM230,1))-R231&lt;0),-1,MIN(1,IF($A231=$A230,AM230,1)-R231+$D$2))</f>
        <v>1</v>
      </c>
      <c r="AN231">
        <f>IF(OR($J231=1,COUNTIFS($A$5:$A230,"&gt;="&amp;$A231-1,$A$5:$A230,"&lt;="&amp;$A231,$B$5:$B230,$B231)&gt;0,MIN(1-'Exercise list'!H$2,IF($A231=$A230,AN230,1))-S231&lt;0),-1,MIN(1,IF($A231=$A230,AN230,1)-S231+$D$2))</f>
        <v>1</v>
      </c>
      <c r="AO231">
        <f>IF(OR($J231=1,COUNTIFS($A$5:$A230,"&gt;="&amp;$A231-1,$A$5:$A230,"&lt;="&amp;$A231,$B$5:$B230,$B231)&gt;0,MIN(1-'Exercise list'!I$2,IF($A231=$A230,AO230,1))-T231&lt;0),-1,MIN(1,IF($A231=$A230,AO230,1)-T231+$D$2))</f>
        <v>1</v>
      </c>
      <c r="AP231">
        <f>IF(OR($J231=1,COUNTIFS($A$5:$A230,"&gt;="&amp;$A231-1,$A$5:$A230,"&lt;="&amp;$A231,$B$5:$B230,$B231)&gt;0,MIN(1-'Exercise list'!J$2,IF($A231=$A230,AP230,1))-U231&lt;0),-1,MIN(1,IF($A231=$A230,AP230,1)-U231+$D$2))</f>
        <v>1</v>
      </c>
      <c r="AQ231">
        <f>IF(OR($J231=1,COUNTIFS($A$5:$A230,"&gt;="&amp;$A231-1,$A$5:$A230,"&lt;="&amp;$A231,$B$5:$B230,$B231)&gt;0,MIN(1-'Exercise list'!K$2,IF($A231=$A230,AQ230,1))-V231&lt;0),-1,MIN(1,IF($A231=$A230,AQ230,1)-V231+$D$2))</f>
        <v>1</v>
      </c>
      <c r="AR231">
        <f>IF(OR($J231=1,COUNTIFS($A$5:$A230,"&gt;="&amp;$A231-1,$A$5:$A230,"&lt;="&amp;$A231,$B$5:$B230,$B231)&gt;0,MIN(1-'Exercise list'!L$2,IF($A231=$A230,AR230,1))-W231&lt;0),-1,MIN(1,IF($A231=$A230,AR230,1)-W231+$D$2))</f>
        <v>1</v>
      </c>
      <c r="AS231">
        <f>IF(OR($J231=1,COUNTIFS($A$5:$A230,"&gt;="&amp;$A231-1,$A$5:$A230,"&lt;="&amp;$A231,$B$5:$B230,$B231)&gt;0,MIN(1-'Exercise list'!M$2,IF($A231=$A230,AS230,1))-X231&lt;0),-1,MIN(1,IF($A231=$A230,AS230,1)-X231+$D$2))</f>
        <v>1</v>
      </c>
      <c r="AT231">
        <f>IF(OR($J231=1,COUNTIFS($A$5:$A230,"&gt;="&amp;$A231-1,$A$5:$A230,"&lt;="&amp;$A231,$B$5:$B230,$B231)&gt;0,MIN(1-'Exercise list'!N$2,IF($A231=$A230,AT230,1))-Y231&lt;0),-1,MIN(1,IF($A231=$A230,AT230,1)-Y231+$D$2))</f>
        <v>1</v>
      </c>
      <c r="AU231">
        <f>IF(OR($J231=1,COUNTIFS($A$5:$A230,"&gt;="&amp;$A231-1,$A$5:$A230,"&lt;="&amp;$A231,$B$5:$B230,$B231)&gt;0,MIN(1-'Exercise list'!O$2,IF($A231=$A230,AU230,1))-Z231&lt;0),-1,MIN(1,IF($A231=$A230,AU230,1)-Z231+$D$2))</f>
        <v>1</v>
      </c>
      <c r="AV231">
        <f>IF(OR($J231=1,COUNTIFS($A$5:$A230,"&gt;="&amp;$A231-1,$A$5:$A230,"&lt;="&amp;$A231,$B$5:$B230,$B231)&gt;0,MIN(1-'Exercise list'!P$2,IF($A231=$A230,AV230,1))-AA231&lt;0),-1,MIN(1,IF($A231=$A230,AV230,1)-AA231+$D$2))</f>
        <v>1</v>
      </c>
      <c r="AW231">
        <f>IF(OR($J231=1,COUNTIFS($A$5:$A230,"&gt;="&amp;$A231-1,$A$5:$A230,"&lt;="&amp;$A231,$B$5:$B230,$B231)&gt;0,MIN(1-'Exercise list'!Q$2,IF($A231=$A230,AW230,1))-AB231&lt;0),-1,MIN(1,IF($A231=$A230,AW230,1)-AB231+$D$2))</f>
        <v>1</v>
      </c>
      <c r="AX231">
        <f>IF(OR($J231=1,COUNTIFS($A$5:$A230,"&gt;="&amp;$A231-1,$A$5:$A230,"&lt;="&amp;$A231,$B$5:$B230,$B231)&gt;0,MIN(1-'Exercise list'!R$2,IF($A231=$A230,AX230,1))-AC231&lt;0),-1,MIN(1,IF($A231=$A230,AX230,1)-AC231+$D$2))</f>
        <v>1</v>
      </c>
      <c r="AY231">
        <f>IF(OR($J231=1,COUNTIFS($A$5:$A230,"&gt;="&amp;$A231-1,$A$5:$A230,"&lt;="&amp;$A231,$B$5:$B230,$B231)&gt;0,MIN(1-'Exercise list'!S$2,IF($A231=$A230,AY230,1))-AD231&lt;0),-1,MIN(1,IF($A231=$A230,AY230,1)-AD231+$D$2))</f>
        <v>1</v>
      </c>
      <c r="AZ231">
        <f>IF(OR($J231=1,COUNTIFS($A$5:$A230,"&gt;="&amp;$A231-1,$A$5:$A230,"&lt;="&amp;$A231,$B$5:$B230,$B231)&gt;0,MIN(1-'Exercise list'!T$2,IF($A231=$A230,AZ230,1))-AE231&lt;0),-1,MIN(1,IF($A231=$A230,AZ230,1)-AE231+$D$2))</f>
        <v>1</v>
      </c>
      <c r="BA231">
        <f>IF(OR($J231=1,COUNTIFS($A$5:$A230,"&gt;="&amp;$A231-1,$A$5:$A230,"&lt;="&amp;$A231,$B$5:$B230,$B231)&gt;0,MIN(1-'Exercise list'!U$2,IF($A231=$A230,BA230,1))-AF231&lt;0),-1,MIN(1,IF($A231=$A230,BA230,1)-AF231+$D$2))</f>
        <v>1</v>
      </c>
      <c r="BB231">
        <f>IF(OR($J231=1,COUNTIFS($A$5:$A230,"&gt;="&amp;$A231-1,$A$5:$A230,"&lt;="&amp;$A231,$B$5:$B230,$B231)&gt;0,MIN(1-'Exercise list'!V$2,IF($A231=$A230,BB230,1))-AG231&lt;0),-1,MIN(1,IF($A231=$A230,BB230,1)-AG231+$D$2))</f>
        <v>1</v>
      </c>
      <c r="BC231">
        <f>IF(OR($J231=1,COUNTIFS($A$5:$A230,"&gt;="&amp;$A231-1,$A$5:$A230,"&lt;="&amp;$A231,$B$5:$B230,$B231)&gt;0,MIN(1-'Exercise list'!W$2,IF($A231=$A230,BC230,1))-AH231&lt;0),-1,MIN(1,IF($A231=$A230,BC230,1)-AH231+$D$2))</f>
        <v>1</v>
      </c>
      <c r="BD231">
        <f>IF(OR($J231=1,COUNTIFS($A$5:$A230,"&gt;="&amp;$A231-1,$A$5:$A230,"&lt;="&amp;$A231,$B$5:$B230,$B231)&gt;0,MIN(1-'Exercise list'!X$2,IF($A231=$A230,BD230,1))-AI231&lt;0),-1,MIN(1,IF($A231=$A230,BD230,1)-AI231+$D$2))</f>
        <v>1</v>
      </c>
      <c r="BF231" s="16">
        <f t="shared" si="189"/>
        <v>0.19596031081758858</v>
      </c>
      <c r="BG231" s="16">
        <f t="shared" si="190"/>
        <v>0.21844636935459236</v>
      </c>
      <c r="BH231" s="16">
        <f t="shared" si="191"/>
        <v>0.14609696635987124</v>
      </c>
      <c r="BI231" s="16">
        <f t="shared" si="192"/>
        <v>0.13198015366034541</v>
      </c>
      <c r="BJ231" s="16">
        <f t="shared" si="193"/>
        <v>8.3367914198418713E-2</v>
      </c>
      <c r="BK231" s="16">
        <f t="shared" si="194"/>
        <v>0.10640640223148412</v>
      </c>
      <c r="BL231" s="16">
        <f t="shared" si="195"/>
        <v>0.21963504743569431</v>
      </c>
      <c r="BM231" s="16">
        <f t="shared" si="196"/>
        <v>3.8988008374820568E-3</v>
      </c>
      <c r="BN231" s="16">
        <f t="shared" si="197"/>
        <v>0.14537706087090876</v>
      </c>
      <c r="BO231" s="16">
        <f t="shared" si="198"/>
        <v>0.29209790661993401</v>
      </c>
      <c r="BP231" s="16">
        <f t="shared" si="199"/>
        <v>0.31584545163401867</v>
      </c>
      <c r="BQ231" s="16">
        <f t="shared" si="200"/>
        <v>0.1000007994126096</v>
      </c>
      <c r="BR231" s="16">
        <f t="shared" si="201"/>
        <v>0.13164487759885393</v>
      </c>
      <c r="BS231" s="16">
        <f t="shared" si="202"/>
        <v>2.9803550189863123E-2</v>
      </c>
      <c r="BT231" s="16">
        <f t="shared" si="203"/>
        <v>0.13492040904978705</v>
      </c>
      <c r="BU231" s="16">
        <f t="shared" si="204"/>
        <v>0.11703687414398131</v>
      </c>
      <c r="BV231" s="16">
        <f t="shared" si="205"/>
        <v>0.14633353213781661</v>
      </c>
      <c r="BW231" s="16">
        <f t="shared" si="206"/>
        <v>7.5588015111767173E-2</v>
      </c>
      <c r="BX231" s="16">
        <f t="shared" si="207"/>
        <v>8.0345659937185704E-2</v>
      </c>
      <c r="BY231" s="16">
        <f t="shared" si="208"/>
        <v>5.9014643151272549E-2</v>
      </c>
      <c r="CA231" s="16" t="str">
        <f t="shared" si="185"/>
        <v/>
      </c>
      <c r="CB231" s="16" t="str">
        <f t="shared" si="166"/>
        <v/>
      </c>
      <c r="CC231" s="16" t="str">
        <f t="shared" si="167"/>
        <v/>
      </c>
      <c r="CD231" s="16" t="str">
        <f t="shared" si="168"/>
        <v/>
      </c>
      <c r="CE231" s="16" t="str">
        <f t="shared" si="169"/>
        <v/>
      </c>
      <c r="CF231" s="16" t="str">
        <f t="shared" si="170"/>
        <v/>
      </c>
      <c r="CG231" s="16" t="str">
        <f t="shared" si="171"/>
        <v/>
      </c>
      <c r="CH231" s="16" t="str">
        <f t="shared" si="172"/>
        <v/>
      </c>
      <c r="CI231" s="16" t="str">
        <f t="shared" si="173"/>
        <v/>
      </c>
      <c r="CJ231" s="16" t="str">
        <f t="shared" si="174"/>
        <v/>
      </c>
      <c r="CK231" s="16" t="str">
        <f t="shared" si="175"/>
        <v/>
      </c>
      <c r="CL231" s="16" t="str">
        <f t="shared" si="176"/>
        <v/>
      </c>
      <c r="CM231" s="16" t="str">
        <f t="shared" si="177"/>
        <v/>
      </c>
      <c r="CN231" s="16" t="str">
        <f t="shared" si="178"/>
        <v/>
      </c>
      <c r="CO231" s="16" t="str">
        <f t="shared" si="179"/>
        <v/>
      </c>
      <c r="CP231" s="16" t="str">
        <f t="shared" si="180"/>
        <v/>
      </c>
      <c r="CQ231" s="16" t="str">
        <f t="shared" si="181"/>
        <v/>
      </c>
      <c r="CR231" s="16" t="str">
        <f t="shared" si="182"/>
        <v/>
      </c>
      <c r="CS231" s="16" t="str">
        <f t="shared" si="183"/>
        <v/>
      </c>
      <c r="CT231" s="16" t="str">
        <f t="shared" si="184"/>
        <v/>
      </c>
    </row>
    <row r="232" spans="1:99" x14ac:dyDescent="0.25">
      <c r="A232" s="13"/>
      <c r="B232" s="14"/>
      <c r="C232" s="15" t="str" cm="1">
        <f t="array" ref="C232">IF(B232="","",INDEX('Exercise list'!$C$5:$C$102,B232))</f>
        <v/>
      </c>
      <c r="D232" s="12" t="str">
        <f t="shared" si="186"/>
        <v/>
      </c>
      <c r="E232" s="107" t="str">
        <f t="shared" si="209"/>
        <v/>
      </c>
      <c r="F232" s="63" t="str" cm="1">
        <f t="array" ref="F232">IF(B232="","",0.1+IFERROR(INDEX($F$6:$F231,SUMPRODUCT(MAX(ROW($C$6:$C231)*($C232=$C$6:$C231))-ROW($A$5)))*0.9^($A232-INDEX($A$6:A231,SUMPRODUCT(MAX(ROW($C$6:$C231)*($C232=$C$6:$C231))-ROW($A$5)))),0))</f>
        <v/>
      </c>
      <c r="G232" s="64" t="e">
        <f>INDEX('Exercise list'!$Y$5:$Y$102,MATCH(C232,'Exercise list'!$C$5:$C$102,0))</f>
        <v>#N/A</v>
      </c>
      <c r="H232" s="115">
        <f t="shared" si="187"/>
        <v>0</v>
      </c>
      <c r="I232" s="6">
        <f t="shared" si="188"/>
        <v>5</v>
      </c>
      <c r="J232" s="6" t="str" cm="1">
        <f t="array" ref="J232">IF(B232="","",INDEX('Exercise list'!$D$5:$D$102,B232))</f>
        <v/>
      </c>
      <c r="K232" s="12"/>
      <c r="L232" s="74" t="str" cm="1">
        <f t="array" ref="L232">IF(K232="","",INDEX('Exercise list'!$C$5:$C$102,K232))</f>
        <v/>
      </c>
      <c r="M232" s="6"/>
      <c r="N232" s="75" t="str" cm="1">
        <f t="array" ref="N232">IF(M232="","",INDEX('Exercise list'!$C$5:$C$102,M232))</f>
        <v/>
      </c>
      <c r="P232">
        <f>IFERROR(INDEX('Exercise list'!$E$5:$X$102,MATCH($C232,'Exercise list'!$C$5:$C$102,0),MATCH(P$5,'Exercise list'!$E$4:$X$4,0)),0)</f>
        <v>0</v>
      </c>
      <c r="Q232">
        <f>IFERROR(INDEX('Exercise list'!$E$5:$X$102,MATCH($C232,'Exercise list'!$C$5:$C$102,0),MATCH(Q$5,'Exercise list'!$E$4:$X$4,0)),0)</f>
        <v>0</v>
      </c>
      <c r="R232">
        <f>IFERROR(INDEX('Exercise list'!$E$5:$X$102,MATCH($C232,'Exercise list'!$C$5:$C$102,0),MATCH(R$5,'Exercise list'!$E$4:$X$4,0)),0)</f>
        <v>0</v>
      </c>
      <c r="S232">
        <f>IFERROR(INDEX('Exercise list'!$E$5:$X$102,MATCH($C232,'Exercise list'!$C$5:$C$102,0),MATCH(S$5,'Exercise list'!$E$4:$X$4,0)),0)</f>
        <v>0</v>
      </c>
      <c r="T232">
        <f>IFERROR(INDEX('Exercise list'!$E$5:$X$102,MATCH($C232,'Exercise list'!$C$5:$C$102,0),MATCH(T$5,'Exercise list'!$E$4:$X$4,0)),0)</f>
        <v>0</v>
      </c>
      <c r="U232">
        <f>IFERROR(INDEX('Exercise list'!$E$5:$X$102,MATCH($C232,'Exercise list'!$C$5:$C$102,0),MATCH(U$5,'Exercise list'!$E$4:$X$4,0)),0)</f>
        <v>0</v>
      </c>
      <c r="V232">
        <f>IFERROR(INDEX('Exercise list'!$E$5:$X$102,MATCH($C232,'Exercise list'!$C$5:$C$102,0),MATCH(V$5,'Exercise list'!$E$4:$X$4,0)),0)</f>
        <v>0</v>
      </c>
      <c r="W232">
        <f>IFERROR(INDEX('Exercise list'!$E$5:$X$102,MATCH($C232,'Exercise list'!$C$5:$C$102,0),MATCH(W$5,'Exercise list'!$E$4:$X$4,0)),0)</f>
        <v>0</v>
      </c>
      <c r="X232">
        <f>IFERROR(INDEX('Exercise list'!$E$5:$X$102,MATCH($C232,'Exercise list'!$C$5:$C$102,0),MATCH(X$5,'Exercise list'!$E$4:$X$4,0)),0)</f>
        <v>0</v>
      </c>
      <c r="Y232">
        <f>IFERROR(INDEX('Exercise list'!$E$5:$X$102,MATCH($C232,'Exercise list'!$C$5:$C$102,0),MATCH(Y$5,'Exercise list'!$E$4:$X$4,0)),0)</f>
        <v>0</v>
      </c>
      <c r="Z232">
        <f>IFERROR(INDEX('Exercise list'!$E$5:$X$102,MATCH($C232,'Exercise list'!$C$5:$C$102,0),MATCH(Z$5,'Exercise list'!$E$4:$X$4,0)),0)</f>
        <v>0</v>
      </c>
      <c r="AA232">
        <f>IFERROR(INDEX('Exercise list'!$E$5:$X$102,MATCH($C232,'Exercise list'!$C$5:$C$102,0),MATCH(AA$5,'Exercise list'!$E$4:$X$4,0)),0)</f>
        <v>0</v>
      </c>
      <c r="AB232">
        <f>IFERROR(INDEX('Exercise list'!$E$5:$X$102,MATCH($C232,'Exercise list'!$C$5:$C$102,0),MATCH(AB$5,'Exercise list'!$E$4:$X$4,0)),0)</f>
        <v>0</v>
      </c>
      <c r="AC232">
        <f>IFERROR(INDEX('Exercise list'!$E$5:$X$102,MATCH($C232,'Exercise list'!$C$5:$C$102,0),MATCH(AC$5,'Exercise list'!$E$4:$X$4,0)),0)</f>
        <v>0</v>
      </c>
      <c r="AD232">
        <f>IFERROR(INDEX('Exercise list'!$E$5:$X$102,MATCH($C232,'Exercise list'!$C$5:$C$102,0),MATCH(AD$5,'Exercise list'!$E$4:$X$4,0)),0)</f>
        <v>0</v>
      </c>
      <c r="AE232">
        <f>IFERROR(INDEX('Exercise list'!$E$5:$X$102,MATCH($C232,'Exercise list'!$C$5:$C$102,0),MATCH(AE$5,'Exercise list'!$E$4:$X$4,0)),0)</f>
        <v>0</v>
      </c>
      <c r="AF232">
        <f>IFERROR(INDEX('Exercise list'!$E$5:$X$102,MATCH($C232,'Exercise list'!$C$5:$C$102,0),MATCH(AF$5,'Exercise list'!$E$4:$X$4,0)),0)</f>
        <v>0</v>
      </c>
      <c r="AG232">
        <f>IFERROR(INDEX('Exercise list'!$E$5:$X$102,MATCH($C232,'Exercise list'!$C$5:$C$102,0),MATCH(AG$5,'Exercise list'!$E$4:$X$4,0)),0)</f>
        <v>0</v>
      </c>
      <c r="AH232">
        <f>IFERROR(INDEX('Exercise list'!$E$5:$X$102,MATCH($C232,'Exercise list'!$C$5:$C$102,0),MATCH(AH$5,'Exercise list'!$E$4:$X$4,0)),0)</f>
        <v>0</v>
      </c>
      <c r="AI232">
        <f>IFERROR(INDEX('Exercise list'!$E$5:$X$102,MATCH($C232,'Exercise list'!$C$5:$C$102,0),MATCH(AI$5,'Exercise list'!$E$4:$X$4,0)),0)</f>
        <v>0</v>
      </c>
      <c r="AK232">
        <f>IF(OR($J232=1,COUNTIFS($A$5:$A231,"&gt;="&amp;$A232-1,$A$5:$A231,"&lt;="&amp;$A232,$B$5:$B231,$B232)&gt;0,MIN(1-'Exercise list'!E$2,IF($A232=$A231,AK231,1))-P232&lt;0),-1,MIN(1,IF($A232=$A231,AK231,1)-P232+$D$2))</f>
        <v>1</v>
      </c>
      <c r="AL232">
        <f>IF(OR($J232=1,COUNTIFS($A$5:$A231,"&gt;="&amp;$A232-1,$A$5:$A231,"&lt;="&amp;$A232,$B$5:$B231,$B232)&gt;0,MIN(1-'Exercise list'!F$2,IF($A232=$A231,AL231,1))-Q232&lt;0),-1,MIN(1,IF($A232=$A231,AL231,1)-Q232+$D$2))</f>
        <v>1</v>
      </c>
      <c r="AM232">
        <f>IF(OR($J232=1,COUNTIFS($A$5:$A231,"&gt;="&amp;$A232-1,$A$5:$A231,"&lt;="&amp;$A232,$B$5:$B231,$B232)&gt;0,MIN(1-'Exercise list'!G$2,IF($A232=$A231,AM231,1))-R232&lt;0),-1,MIN(1,IF($A232=$A231,AM231,1)-R232+$D$2))</f>
        <v>1</v>
      </c>
      <c r="AN232">
        <f>IF(OR($J232=1,COUNTIFS($A$5:$A231,"&gt;="&amp;$A232-1,$A$5:$A231,"&lt;="&amp;$A232,$B$5:$B231,$B232)&gt;0,MIN(1-'Exercise list'!H$2,IF($A232=$A231,AN231,1))-S232&lt;0),-1,MIN(1,IF($A232=$A231,AN231,1)-S232+$D$2))</f>
        <v>1</v>
      </c>
      <c r="AO232">
        <f>IF(OR($J232=1,COUNTIFS($A$5:$A231,"&gt;="&amp;$A232-1,$A$5:$A231,"&lt;="&amp;$A232,$B$5:$B231,$B232)&gt;0,MIN(1-'Exercise list'!I$2,IF($A232=$A231,AO231,1))-T232&lt;0),-1,MIN(1,IF($A232=$A231,AO231,1)-T232+$D$2))</f>
        <v>1</v>
      </c>
      <c r="AP232">
        <f>IF(OR($J232=1,COUNTIFS($A$5:$A231,"&gt;="&amp;$A232-1,$A$5:$A231,"&lt;="&amp;$A232,$B$5:$B231,$B232)&gt;0,MIN(1-'Exercise list'!J$2,IF($A232=$A231,AP231,1))-U232&lt;0),-1,MIN(1,IF($A232=$A231,AP231,1)-U232+$D$2))</f>
        <v>1</v>
      </c>
      <c r="AQ232">
        <f>IF(OR($J232=1,COUNTIFS($A$5:$A231,"&gt;="&amp;$A232-1,$A$5:$A231,"&lt;="&amp;$A232,$B$5:$B231,$B232)&gt;0,MIN(1-'Exercise list'!K$2,IF($A232=$A231,AQ231,1))-V232&lt;0),-1,MIN(1,IF($A232=$A231,AQ231,1)-V232+$D$2))</f>
        <v>1</v>
      </c>
      <c r="AR232">
        <f>IF(OR($J232=1,COUNTIFS($A$5:$A231,"&gt;="&amp;$A232-1,$A$5:$A231,"&lt;="&amp;$A232,$B$5:$B231,$B232)&gt;0,MIN(1-'Exercise list'!L$2,IF($A232=$A231,AR231,1))-W232&lt;0),-1,MIN(1,IF($A232=$A231,AR231,1)-W232+$D$2))</f>
        <v>1</v>
      </c>
      <c r="AS232">
        <f>IF(OR($J232=1,COUNTIFS($A$5:$A231,"&gt;="&amp;$A232-1,$A$5:$A231,"&lt;="&amp;$A232,$B$5:$B231,$B232)&gt;0,MIN(1-'Exercise list'!M$2,IF($A232=$A231,AS231,1))-X232&lt;0),-1,MIN(1,IF($A232=$A231,AS231,1)-X232+$D$2))</f>
        <v>1</v>
      </c>
      <c r="AT232">
        <f>IF(OR($J232=1,COUNTIFS($A$5:$A231,"&gt;="&amp;$A232-1,$A$5:$A231,"&lt;="&amp;$A232,$B$5:$B231,$B232)&gt;0,MIN(1-'Exercise list'!N$2,IF($A232=$A231,AT231,1))-Y232&lt;0),-1,MIN(1,IF($A232=$A231,AT231,1)-Y232+$D$2))</f>
        <v>1</v>
      </c>
      <c r="AU232">
        <f>IF(OR($J232=1,COUNTIFS($A$5:$A231,"&gt;="&amp;$A232-1,$A$5:$A231,"&lt;="&amp;$A232,$B$5:$B231,$B232)&gt;0,MIN(1-'Exercise list'!O$2,IF($A232=$A231,AU231,1))-Z232&lt;0),-1,MIN(1,IF($A232=$A231,AU231,1)-Z232+$D$2))</f>
        <v>1</v>
      </c>
      <c r="AV232">
        <f>IF(OR($J232=1,COUNTIFS($A$5:$A231,"&gt;="&amp;$A232-1,$A$5:$A231,"&lt;="&amp;$A232,$B$5:$B231,$B232)&gt;0,MIN(1-'Exercise list'!P$2,IF($A232=$A231,AV231,1))-AA232&lt;0),-1,MIN(1,IF($A232=$A231,AV231,1)-AA232+$D$2))</f>
        <v>1</v>
      </c>
      <c r="AW232">
        <f>IF(OR($J232=1,COUNTIFS($A$5:$A231,"&gt;="&amp;$A232-1,$A$5:$A231,"&lt;="&amp;$A232,$B$5:$B231,$B232)&gt;0,MIN(1-'Exercise list'!Q$2,IF($A232=$A231,AW231,1))-AB232&lt;0),-1,MIN(1,IF($A232=$A231,AW231,1)-AB232+$D$2))</f>
        <v>1</v>
      </c>
      <c r="AX232">
        <f>IF(OR($J232=1,COUNTIFS($A$5:$A231,"&gt;="&amp;$A232-1,$A$5:$A231,"&lt;="&amp;$A232,$B$5:$B231,$B232)&gt;0,MIN(1-'Exercise list'!R$2,IF($A232=$A231,AX231,1))-AC232&lt;0),-1,MIN(1,IF($A232=$A231,AX231,1)-AC232+$D$2))</f>
        <v>1</v>
      </c>
      <c r="AY232">
        <f>IF(OR($J232=1,COUNTIFS($A$5:$A231,"&gt;="&amp;$A232-1,$A$5:$A231,"&lt;="&amp;$A232,$B$5:$B231,$B232)&gt;0,MIN(1-'Exercise list'!S$2,IF($A232=$A231,AY231,1))-AD232&lt;0),-1,MIN(1,IF($A232=$A231,AY231,1)-AD232+$D$2))</f>
        <v>1</v>
      </c>
      <c r="AZ232">
        <f>IF(OR($J232=1,COUNTIFS($A$5:$A231,"&gt;="&amp;$A232-1,$A$5:$A231,"&lt;="&amp;$A232,$B$5:$B231,$B232)&gt;0,MIN(1-'Exercise list'!T$2,IF($A232=$A231,AZ231,1))-AE232&lt;0),-1,MIN(1,IF($A232=$A231,AZ231,1)-AE232+$D$2))</f>
        <v>1</v>
      </c>
      <c r="BA232">
        <f>IF(OR($J232=1,COUNTIFS($A$5:$A231,"&gt;="&amp;$A232-1,$A$5:$A231,"&lt;="&amp;$A232,$B$5:$B231,$B232)&gt;0,MIN(1-'Exercise list'!U$2,IF($A232=$A231,BA231,1))-AF232&lt;0),-1,MIN(1,IF($A232=$A231,BA231,1)-AF232+$D$2))</f>
        <v>1</v>
      </c>
      <c r="BB232">
        <f>IF(OR($J232=1,COUNTIFS($A$5:$A231,"&gt;="&amp;$A232-1,$A$5:$A231,"&lt;="&amp;$A232,$B$5:$B231,$B232)&gt;0,MIN(1-'Exercise list'!V$2,IF($A232=$A231,BB231,1))-AG232&lt;0),-1,MIN(1,IF($A232=$A231,BB231,1)-AG232+$D$2))</f>
        <v>1</v>
      </c>
      <c r="BC232">
        <f>IF(OR($J232=1,COUNTIFS($A$5:$A231,"&gt;="&amp;$A232-1,$A$5:$A231,"&lt;="&amp;$A232,$B$5:$B231,$B232)&gt;0,MIN(1-'Exercise list'!W$2,IF($A232=$A231,BC231,1))-AH232&lt;0),-1,MIN(1,IF($A232=$A231,BC231,1)-AH232+$D$2))</f>
        <v>1</v>
      </c>
      <c r="BD232">
        <f>IF(OR($J232=1,COUNTIFS($A$5:$A231,"&gt;="&amp;$A232-1,$A$5:$A231,"&lt;="&amp;$A232,$B$5:$B231,$B232)&gt;0,MIN(1-'Exercise list'!X$2,IF($A232=$A231,BD231,1))-AI232&lt;0),-1,MIN(1,IF($A232=$A231,BD231,1)-AI232+$D$2))</f>
        <v>1</v>
      </c>
      <c r="BF232" s="16">
        <f t="shared" si="189"/>
        <v>0.19596031081758858</v>
      </c>
      <c r="BG232" s="16">
        <f t="shared" si="190"/>
        <v>0.21844636935459236</v>
      </c>
      <c r="BH232" s="16">
        <f t="shared" si="191"/>
        <v>0.14609696635987124</v>
      </c>
      <c r="BI232" s="16">
        <f t="shared" si="192"/>
        <v>0.13198015366034541</v>
      </c>
      <c r="BJ232" s="16">
        <f t="shared" si="193"/>
        <v>8.3367914198418713E-2</v>
      </c>
      <c r="BK232" s="16">
        <f t="shared" si="194"/>
        <v>0.10640640223148412</v>
      </c>
      <c r="BL232" s="16">
        <f t="shared" si="195"/>
        <v>0.21963504743569431</v>
      </c>
      <c r="BM232" s="16">
        <f t="shared" si="196"/>
        <v>3.8988008374820568E-3</v>
      </c>
      <c r="BN232" s="16">
        <f t="shared" si="197"/>
        <v>0.14537706087090876</v>
      </c>
      <c r="BO232" s="16">
        <f t="shared" si="198"/>
        <v>0.29209790661993401</v>
      </c>
      <c r="BP232" s="16">
        <f t="shared" si="199"/>
        <v>0.31584545163401867</v>
      </c>
      <c r="BQ232" s="16">
        <f t="shared" si="200"/>
        <v>0.1000007994126096</v>
      </c>
      <c r="BR232" s="16">
        <f t="shared" si="201"/>
        <v>0.13164487759885393</v>
      </c>
      <c r="BS232" s="16">
        <f t="shared" si="202"/>
        <v>2.9803550189863123E-2</v>
      </c>
      <c r="BT232" s="16">
        <f t="shared" si="203"/>
        <v>0.13492040904978705</v>
      </c>
      <c r="BU232" s="16">
        <f t="shared" si="204"/>
        <v>0.11703687414398131</v>
      </c>
      <c r="BV232" s="16">
        <f t="shared" si="205"/>
        <v>0.14633353213781661</v>
      </c>
      <c r="BW232" s="16">
        <f t="shared" si="206"/>
        <v>7.5588015111767173E-2</v>
      </c>
      <c r="BX232" s="16">
        <f t="shared" si="207"/>
        <v>8.0345659937185704E-2</v>
      </c>
      <c r="BY232" s="16">
        <f t="shared" si="208"/>
        <v>5.9014643151272549E-2</v>
      </c>
      <c r="CA232" s="16" t="str">
        <f t="shared" si="185"/>
        <v/>
      </c>
      <c r="CB232" s="16" t="str">
        <f t="shared" si="166"/>
        <v/>
      </c>
      <c r="CC232" s="16" t="str">
        <f t="shared" si="167"/>
        <v/>
      </c>
      <c r="CD232" s="16" t="str">
        <f t="shared" si="168"/>
        <v/>
      </c>
      <c r="CE232" s="16" t="str">
        <f t="shared" si="169"/>
        <v/>
      </c>
      <c r="CF232" s="16" t="str">
        <f t="shared" si="170"/>
        <v/>
      </c>
      <c r="CG232" s="16" t="str">
        <f t="shared" si="171"/>
        <v/>
      </c>
      <c r="CH232" s="16" t="str">
        <f t="shared" si="172"/>
        <v/>
      </c>
      <c r="CI232" s="16" t="str">
        <f t="shared" si="173"/>
        <v/>
      </c>
      <c r="CJ232" s="16" t="str">
        <f t="shared" si="174"/>
        <v/>
      </c>
      <c r="CK232" s="16" t="str">
        <f t="shared" si="175"/>
        <v/>
      </c>
      <c r="CL232" s="16" t="str">
        <f t="shared" si="176"/>
        <v/>
      </c>
      <c r="CM232" s="16" t="str">
        <f t="shared" si="177"/>
        <v/>
      </c>
      <c r="CN232" s="16" t="str">
        <f t="shared" si="178"/>
        <v/>
      </c>
      <c r="CO232" s="16" t="str">
        <f t="shared" si="179"/>
        <v/>
      </c>
      <c r="CP232" s="16" t="str">
        <f t="shared" si="180"/>
        <v/>
      </c>
      <c r="CQ232" s="16" t="str">
        <f t="shared" si="181"/>
        <v/>
      </c>
      <c r="CR232" s="16" t="str">
        <f t="shared" si="182"/>
        <v/>
      </c>
      <c r="CS232" s="16" t="str">
        <f t="shared" si="183"/>
        <v/>
      </c>
      <c r="CT232" s="16" t="str">
        <f t="shared" si="184"/>
        <v/>
      </c>
    </row>
    <row r="233" spans="1:99" x14ac:dyDescent="0.25">
      <c r="A233" s="20"/>
      <c r="B233" s="21"/>
      <c r="C233" s="22" t="str" cm="1">
        <f t="array" ref="C233">IF(B233="","",INDEX('Exercise list'!$C$5:$C$102,B233))</f>
        <v/>
      </c>
      <c r="D233" s="17" t="str">
        <f t="shared" si="186"/>
        <v/>
      </c>
      <c r="E233" s="108" t="str">
        <f t="shared" si="209"/>
        <v/>
      </c>
      <c r="F233" s="65" t="str" cm="1">
        <f t="array" ref="F233">IF(B233="","",0.1+IFERROR(INDEX($F$6:$F232,SUMPRODUCT(MAX(ROW($C$6:$C232)*($C233=$C$6:$C232))-ROW($A$5)))*0.9^($A233-INDEX($A$6:A232,SUMPRODUCT(MAX(ROW($C$6:$C232)*($C233=$C$6:$C232))-ROW($A$5)))),0))</f>
        <v/>
      </c>
      <c r="G233" s="25" t="e">
        <f>INDEX('Exercise list'!$Y$5:$Y$102,MATCH(C233,'Exercise list'!$C$5:$C$102,0))</f>
        <v>#N/A</v>
      </c>
      <c r="H233" s="116">
        <f t="shared" si="187"/>
        <v>0</v>
      </c>
      <c r="I233" s="18">
        <f t="shared" si="188"/>
        <v>5</v>
      </c>
      <c r="J233" s="18" t="str" cm="1">
        <f t="array" ref="J233">IF(B233="","",INDEX('Exercise list'!$D$5:$D$102,B233))</f>
        <v/>
      </c>
      <c r="K233" s="17"/>
      <c r="L233" s="51" t="str" cm="1">
        <f t="array" ref="L233">IF(K233="","",INDEX('Exercise list'!$C$5:$C$102,K233))</f>
        <v/>
      </c>
      <c r="M233" s="18"/>
      <c r="N233" s="76" t="str" cm="1">
        <f t="array" ref="N233">IF(M233="","",INDEX('Exercise list'!$C$5:$C$102,M233))</f>
        <v/>
      </c>
      <c r="O233" s="19"/>
      <c r="P233" s="19">
        <f>IFERROR(INDEX('Exercise list'!$E$5:$X$102,MATCH($C233,'Exercise list'!$C$5:$C$102,0),MATCH(P$5,'Exercise list'!$E$4:$X$4,0)),0)</f>
        <v>0</v>
      </c>
      <c r="Q233" s="19">
        <f>IFERROR(INDEX('Exercise list'!$E$5:$X$102,MATCH($C233,'Exercise list'!$C$5:$C$102,0),MATCH(Q$5,'Exercise list'!$E$4:$X$4,0)),0)</f>
        <v>0</v>
      </c>
      <c r="R233" s="19">
        <f>IFERROR(INDEX('Exercise list'!$E$5:$X$102,MATCH($C233,'Exercise list'!$C$5:$C$102,0),MATCH(R$5,'Exercise list'!$E$4:$X$4,0)),0)</f>
        <v>0</v>
      </c>
      <c r="S233" s="19">
        <f>IFERROR(INDEX('Exercise list'!$E$5:$X$102,MATCH($C233,'Exercise list'!$C$5:$C$102,0),MATCH(S$5,'Exercise list'!$E$4:$X$4,0)),0)</f>
        <v>0</v>
      </c>
      <c r="T233" s="19">
        <f>IFERROR(INDEX('Exercise list'!$E$5:$X$102,MATCH($C233,'Exercise list'!$C$5:$C$102,0),MATCH(T$5,'Exercise list'!$E$4:$X$4,0)),0)</f>
        <v>0</v>
      </c>
      <c r="U233" s="19">
        <f>IFERROR(INDEX('Exercise list'!$E$5:$X$102,MATCH($C233,'Exercise list'!$C$5:$C$102,0),MATCH(U$5,'Exercise list'!$E$4:$X$4,0)),0)</f>
        <v>0</v>
      </c>
      <c r="V233" s="19">
        <f>IFERROR(INDEX('Exercise list'!$E$5:$X$102,MATCH($C233,'Exercise list'!$C$5:$C$102,0),MATCH(V$5,'Exercise list'!$E$4:$X$4,0)),0)</f>
        <v>0</v>
      </c>
      <c r="W233" s="19">
        <f>IFERROR(INDEX('Exercise list'!$E$5:$X$102,MATCH($C233,'Exercise list'!$C$5:$C$102,0),MATCH(W$5,'Exercise list'!$E$4:$X$4,0)),0)</f>
        <v>0</v>
      </c>
      <c r="X233" s="19">
        <f>IFERROR(INDEX('Exercise list'!$E$5:$X$102,MATCH($C233,'Exercise list'!$C$5:$C$102,0),MATCH(X$5,'Exercise list'!$E$4:$X$4,0)),0)</f>
        <v>0</v>
      </c>
      <c r="Y233" s="19">
        <f>IFERROR(INDEX('Exercise list'!$E$5:$X$102,MATCH($C233,'Exercise list'!$C$5:$C$102,0),MATCH(Y$5,'Exercise list'!$E$4:$X$4,0)),0)</f>
        <v>0</v>
      </c>
      <c r="Z233" s="19">
        <f>IFERROR(INDEX('Exercise list'!$E$5:$X$102,MATCH($C233,'Exercise list'!$C$5:$C$102,0),MATCH(Z$5,'Exercise list'!$E$4:$X$4,0)),0)</f>
        <v>0</v>
      </c>
      <c r="AA233" s="19">
        <f>IFERROR(INDEX('Exercise list'!$E$5:$X$102,MATCH($C233,'Exercise list'!$C$5:$C$102,0),MATCH(AA$5,'Exercise list'!$E$4:$X$4,0)),0)</f>
        <v>0</v>
      </c>
      <c r="AB233" s="19">
        <f>IFERROR(INDEX('Exercise list'!$E$5:$X$102,MATCH($C233,'Exercise list'!$C$5:$C$102,0),MATCH(AB$5,'Exercise list'!$E$4:$X$4,0)),0)</f>
        <v>0</v>
      </c>
      <c r="AC233" s="19">
        <f>IFERROR(INDEX('Exercise list'!$E$5:$X$102,MATCH($C233,'Exercise list'!$C$5:$C$102,0),MATCH(AC$5,'Exercise list'!$E$4:$X$4,0)),0)</f>
        <v>0</v>
      </c>
      <c r="AD233" s="19">
        <f>IFERROR(INDEX('Exercise list'!$E$5:$X$102,MATCH($C233,'Exercise list'!$C$5:$C$102,0),MATCH(AD$5,'Exercise list'!$E$4:$X$4,0)),0)</f>
        <v>0</v>
      </c>
      <c r="AE233" s="19">
        <f>IFERROR(INDEX('Exercise list'!$E$5:$X$102,MATCH($C233,'Exercise list'!$C$5:$C$102,0),MATCH(AE$5,'Exercise list'!$E$4:$X$4,0)),0)</f>
        <v>0</v>
      </c>
      <c r="AF233" s="19">
        <f>IFERROR(INDEX('Exercise list'!$E$5:$X$102,MATCH($C233,'Exercise list'!$C$5:$C$102,0),MATCH(AF$5,'Exercise list'!$E$4:$X$4,0)),0)</f>
        <v>0</v>
      </c>
      <c r="AG233" s="19">
        <f>IFERROR(INDEX('Exercise list'!$E$5:$X$102,MATCH($C233,'Exercise list'!$C$5:$C$102,0),MATCH(AG$5,'Exercise list'!$E$4:$X$4,0)),0)</f>
        <v>0</v>
      </c>
      <c r="AH233" s="19">
        <f>IFERROR(INDEX('Exercise list'!$E$5:$X$102,MATCH($C233,'Exercise list'!$C$5:$C$102,0),MATCH(AH$5,'Exercise list'!$E$4:$X$4,0)),0)</f>
        <v>0</v>
      </c>
      <c r="AI233" s="19">
        <f>IFERROR(INDEX('Exercise list'!$E$5:$X$102,MATCH($C233,'Exercise list'!$C$5:$C$102,0),MATCH(AI$5,'Exercise list'!$E$4:$X$4,0)),0)</f>
        <v>0</v>
      </c>
      <c r="AJ233" s="19"/>
      <c r="AK233" s="19">
        <f>IF(OR($J233=1,COUNTIFS($A$5:$A232,"&gt;="&amp;$A233-1,$A$5:$A232,"&lt;="&amp;$A233,$B$5:$B232,$B233)&gt;0,MIN(1-'Exercise list'!E$2,IF($A233=$A232,AK232,1))-P233&lt;0),-1,MIN(1,IF($A233=$A232,AK232,1)-P233+$D$2))</f>
        <v>1</v>
      </c>
      <c r="AL233" s="19">
        <f>IF(OR($J233=1,COUNTIFS($A$5:$A232,"&gt;="&amp;$A233-1,$A$5:$A232,"&lt;="&amp;$A233,$B$5:$B232,$B233)&gt;0,MIN(1-'Exercise list'!F$2,IF($A233=$A232,AL232,1))-Q233&lt;0),-1,MIN(1,IF($A233=$A232,AL232,1)-Q233+$D$2))</f>
        <v>1</v>
      </c>
      <c r="AM233" s="19">
        <f>IF(OR($J233=1,COUNTIFS($A$5:$A232,"&gt;="&amp;$A233-1,$A$5:$A232,"&lt;="&amp;$A233,$B$5:$B232,$B233)&gt;0,MIN(1-'Exercise list'!G$2,IF($A233=$A232,AM232,1))-R233&lt;0),-1,MIN(1,IF($A233=$A232,AM232,1)-R233+$D$2))</f>
        <v>1</v>
      </c>
      <c r="AN233" s="19">
        <f>IF(OR($J233=1,COUNTIFS($A$5:$A232,"&gt;="&amp;$A233-1,$A$5:$A232,"&lt;="&amp;$A233,$B$5:$B232,$B233)&gt;0,MIN(1-'Exercise list'!H$2,IF($A233=$A232,AN232,1))-S233&lt;0),-1,MIN(1,IF($A233=$A232,AN232,1)-S233+$D$2))</f>
        <v>1</v>
      </c>
      <c r="AO233" s="19">
        <f>IF(OR($J233=1,COUNTIFS($A$5:$A232,"&gt;="&amp;$A233-1,$A$5:$A232,"&lt;="&amp;$A233,$B$5:$B232,$B233)&gt;0,MIN(1-'Exercise list'!I$2,IF($A233=$A232,AO232,1))-T233&lt;0),-1,MIN(1,IF($A233=$A232,AO232,1)-T233+$D$2))</f>
        <v>1</v>
      </c>
      <c r="AP233" s="19">
        <f>IF(OR($J233=1,COUNTIFS($A$5:$A232,"&gt;="&amp;$A233-1,$A$5:$A232,"&lt;="&amp;$A233,$B$5:$B232,$B233)&gt;0,MIN(1-'Exercise list'!J$2,IF($A233=$A232,AP232,1))-U233&lt;0),-1,MIN(1,IF($A233=$A232,AP232,1)-U233+$D$2))</f>
        <v>1</v>
      </c>
      <c r="AQ233" s="19">
        <f>IF(OR($J233=1,COUNTIFS($A$5:$A232,"&gt;="&amp;$A233-1,$A$5:$A232,"&lt;="&amp;$A233,$B$5:$B232,$B233)&gt;0,MIN(1-'Exercise list'!K$2,IF($A233=$A232,AQ232,1))-V233&lt;0),-1,MIN(1,IF($A233=$A232,AQ232,1)-V233+$D$2))</f>
        <v>1</v>
      </c>
      <c r="AR233" s="19">
        <f>IF(OR($J233=1,COUNTIFS($A$5:$A232,"&gt;="&amp;$A233-1,$A$5:$A232,"&lt;="&amp;$A233,$B$5:$B232,$B233)&gt;0,MIN(1-'Exercise list'!L$2,IF($A233=$A232,AR232,1))-W233&lt;0),-1,MIN(1,IF($A233=$A232,AR232,1)-W233+$D$2))</f>
        <v>1</v>
      </c>
      <c r="AS233" s="19">
        <f>IF(OR($J233=1,COUNTIFS($A$5:$A232,"&gt;="&amp;$A233-1,$A$5:$A232,"&lt;="&amp;$A233,$B$5:$B232,$B233)&gt;0,MIN(1-'Exercise list'!M$2,IF($A233=$A232,AS232,1))-X233&lt;0),-1,MIN(1,IF($A233=$A232,AS232,1)-X233+$D$2))</f>
        <v>1</v>
      </c>
      <c r="AT233" s="19">
        <f>IF(OR($J233=1,COUNTIFS($A$5:$A232,"&gt;="&amp;$A233-1,$A$5:$A232,"&lt;="&amp;$A233,$B$5:$B232,$B233)&gt;0,MIN(1-'Exercise list'!N$2,IF($A233=$A232,AT232,1))-Y233&lt;0),-1,MIN(1,IF($A233=$A232,AT232,1)-Y233+$D$2))</f>
        <v>1</v>
      </c>
      <c r="AU233" s="19">
        <f>IF(OR($J233=1,COUNTIFS($A$5:$A232,"&gt;="&amp;$A233-1,$A$5:$A232,"&lt;="&amp;$A233,$B$5:$B232,$B233)&gt;0,MIN(1-'Exercise list'!O$2,IF($A233=$A232,AU232,1))-Z233&lt;0),-1,MIN(1,IF($A233=$A232,AU232,1)-Z233+$D$2))</f>
        <v>1</v>
      </c>
      <c r="AV233" s="19">
        <f>IF(OR($J233=1,COUNTIFS($A$5:$A232,"&gt;="&amp;$A233-1,$A$5:$A232,"&lt;="&amp;$A233,$B$5:$B232,$B233)&gt;0,MIN(1-'Exercise list'!P$2,IF($A233=$A232,AV232,1))-AA233&lt;0),-1,MIN(1,IF($A233=$A232,AV232,1)-AA233+$D$2))</f>
        <v>1</v>
      </c>
      <c r="AW233" s="19">
        <f>IF(OR($J233=1,COUNTIFS($A$5:$A232,"&gt;="&amp;$A233-1,$A$5:$A232,"&lt;="&amp;$A233,$B$5:$B232,$B233)&gt;0,MIN(1-'Exercise list'!Q$2,IF($A233=$A232,AW232,1))-AB233&lt;0),-1,MIN(1,IF($A233=$A232,AW232,1)-AB233+$D$2))</f>
        <v>1</v>
      </c>
      <c r="AX233" s="19">
        <f>IF(OR($J233=1,COUNTIFS($A$5:$A232,"&gt;="&amp;$A233-1,$A$5:$A232,"&lt;="&amp;$A233,$B$5:$B232,$B233)&gt;0,MIN(1-'Exercise list'!R$2,IF($A233=$A232,AX232,1))-AC233&lt;0),-1,MIN(1,IF($A233=$A232,AX232,1)-AC233+$D$2))</f>
        <v>1</v>
      </c>
      <c r="AY233" s="19">
        <f>IF(OR($J233=1,COUNTIFS($A$5:$A232,"&gt;="&amp;$A233-1,$A$5:$A232,"&lt;="&amp;$A233,$B$5:$B232,$B233)&gt;0,MIN(1-'Exercise list'!S$2,IF($A233=$A232,AY232,1))-AD233&lt;0),-1,MIN(1,IF($A233=$A232,AY232,1)-AD233+$D$2))</f>
        <v>1</v>
      </c>
      <c r="AZ233" s="19">
        <f>IF(OR($J233=1,COUNTIFS($A$5:$A232,"&gt;="&amp;$A233-1,$A$5:$A232,"&lt;="&amp;$A233,$B$5:$B232,$B233)&gt;0,MIN(1-'Exercise list'!T$2,IF($A233=$A232,AZ232,1))-AE233&lt;0),-1,MIN(1,IF($A233=$A232,AZ232,1)-AE233+$D$2))</f>
        <v>1</v>
      </c>
      <c r="BA233" s="19">
        <f>IF(OR($J233=1,COUNTIFS($A$5:$A232,"&gt;="&amp;$A233-1,$A$5:$A232,"&lt;="&amp;$A233,$B$5:$B232,$B233)&gt;0,MIN(1-'Exercise list'!U$2,IF($A233=$A232,BA232,1))-AF233&lt;0),-1,MIN(1,IF($A233=$A232,BA232,1)-AF233+$D$2))</f>
        <v>1</v>
      </c>
      <c r="BB233" s="19">
        <f>IF(OR($J233=1,COUNTIFS($A$5:$A232,"&gt;="&amp;$A233-1,$A$5:$A232,"&lt;="&amp;$A233,$B$5:$B232,$B233)&gt;0,MIN(1-'Exercise list'!V$2,IF($A233=$A232,BB232,1))-AG233&lt;0),-1,MIN(1,IF($A233=$A232,BB232,1)-AG233+$D$2))</f>
        <v>1</v>
      </c>
      <c r="BC233" s="19">
        <f>IF(OR($J233=1,COUNTIFS($A$5:$A232,"&gt;="&amp;$A233-1,$A$5:$A232,"&lt;="&amp;$A233,$B$5:$B232,$B233)&gt;0,MIN(1-'Exercise list'!W$2,IF($A233=$A232,BC232,1))-AH233&lt;0),-1,MIN(1,IF($A233=$A232,BC232,1)-AH233+$D$2))</f>
        <v>1</v>
      </c>
      <c r="BD233" s="19">
        <f>IF(OR($J233=1,COUNTIFS($A$5:$A232,"&gt;="&amp;$A233-1,$A$5:$A232,"&lt;="&amp;$A233,$B$5:$B232,$B233)&gt;0,MIN(1-'Exercise list'!X$2,IF($A233=$A232,BD232,1))-AI233&lt;0),-1,MIN(1,IF($A233=$A232,BD232,1)-AI233+$D$2))</f>
        <v>1</v>
      </c>
      <c r="BE233" s="19"/>
      <c r="BF233" s="23">
        <f t="shared" si="189"/>
        <v>0.19596031081758858</v>
      </c>
      <c r="BG233" s="23">
        <f t="shared" si="190"/>
        <v>0.21844636935459236</v>
      </c>
      <c r="BH233" s="23">
        <f t="shared" si="191"/>
        <v>0.14609696635987124</v>
      </c>
      <c r="BI233" s="23">
        <f t="shared" si="192"/>
        <v>0.13198015366034541</v>
      </c>
      <c r="BJ233" s="23">
        <f t="shared" si="193"/>
        <v>8.3367914198418713E-2</v>
      </c>
      <c r="BK233" s="23">
        <f t="shared" si="194"/>
        <v>0.10640640223148412</v>
      </c>
      <c r="BL233" s="23">
        <f t="shared" si="195"/>
        <v>0.21963504743569431</v>
      </c>
      <c r="BM233" s="23">
        <f t="shared" si="196"/>
        <v>3.8988008374820568E-3</v>
      </c>
      <c r="BN233" s="23">
        <f t="shared" si="197"/>
        <v>0.14537706087090876</v>
      </c>
      <c r="BO233" s="23">
        <f t="shared" si="198"/>
        <v>0.29209790661993401</v>
      </c>
      <c r="BP233" s="23">
        <f t="shared" si="199"/>
        <v>0.31584545163401867</v>
      </c>
      <c r="BQ233" s="23">
        <f t="shared" si="200"/>
        <v>0.1000007994126096</v>
      </c>
      <c r="BR233" s="23">
        <f t="shared" si="201"/>
        <v>0.13164487759885393</v>
      </c>
      <c r="BS233" s="23">
        <f t="shared" si="202"/>
        <v>2.9803550189863123E-2</v>
      </c>
      <c r="BT233" s="23">
        <f t="shared" si="203"/>
        <v>0.13492040904978705</v>
      </c>
      <c r="BU233" s="23">
        <f t="shared" si="204"/>
        <v>0.11703687414398131</v>
      </c>
      <c r="BV233" s="23">
        <f t="shared" si="205"/>
        <v>0.14633353213781661</v>
      </c>
      <c r="BW233" s="23">
        <f t="shared" si="206"/>
        <v>7.5588015111767173E-2</v>
      </c>
      <c r="BX233" s="23">
        <f t="shared" si="207"/>
        <v>8.0345659937185704E-2</v>
      </c>
      <c r="BY233" s="23">
        <f t="shared" si="208"/>
        <v>5.9014643151272549E-2</v>
      </c>
      <c r="BZ233" s="19"/>
      <c r="CA233" s="23" t="str">
        <f t="shared" si="185"/>
        <v/>
      </c>
      <c r="CB233" s="23" t="str">
        <f t="shared" si="166"/>
        <v/>
      </c>
      <c r="CC233" s="23" t="str">
        <f t="shared" si="167"/>
        <v/>
      </c>
      <c r="CD233" s="23" t="str">
        <f t="shared" si="168"/>
        <v/>
      </c>
      <c r="CE233" s="23" t="str">
        <f t="shared" si="169"/>
        <v/>
      </c>
      <c r="CF233" s="23" t="str">
        <f t="shared" si="170"/>
        <v/>
      </c>
      <c r="CG233" s="23" t="str">
        <f t="shared" si="171"/>
        <v/>
      </c>
      <c r="CH233" s="23" t="str">
        <f t="shared" si="172"/>
        <v/>
      </c>
      <c r="CI233" s="23" t="str">
        <f t="shared" si="173"/>
        <v/>
      </c>
      <c r="CJ233" s="23" t="str">
        <f t="shared" si="174"/>
        <v/>
      </c>
      <c r="CK233" s="23" t="str">
        <f t="shared" si="175"/>
        <v/>
      </c>
      <c r="CL233" s="23" t="str">
        <f t="shared" si="176"/>
        <v/>
      </c>
      <c r="CM233" s="23" t="str">
        <f t="shared" si="177"/>
        <v/>
      </c>
      <c r="CN233" s="23" t="str">
        <f t="shared" si="178"/>
        <v/>
      </c>
      <c r="CO233" s="23" t="str">
        <f t="shared" si="179"/>
        <v/>
      </c>
      <c r="CP233" s="23" t="str">
        <f t="shared" si="180"/>
        <v/>
      </c>
      <c r="CQ233" s="23" t="str">
        <f t="shared" si="181"/>
        <v/>
      </c>
      <c r="CR233" s="23" t="str">
        <f t="shared" si="182"/>
        <v/>
      </c>
      <c r="CS233" s="23" t="str">
        <f t="shared" si="183"/>
        <v/>
      </c>
      <c r="CT233" s="23" t="str">
        <f t="shared" si="184"/>
        <v/>
      </c>
      <c r="CU233" s="19"/>
    </row>
    <row r="234" spans="1:99" x14ac:dyDescent="0.25">
      <c r="A234" s="13"/>
      <c r="B234" s="14"/>
      <c r="C234" s="15" t="str" cm="1">
        <f t="array" ref="C234">IF(B234="","",INDEX('Exercise list'!$C$5:$C$102,B234))</f>
        <v/>
      </c>
      <c r="D234" s="12" t="str">
        <f t="shared" si="186"/>
        <v/>
      </c>
      <c r="E234" s="107" t="str">
        <f t="shared" si="209"/>
        <v/>
      </c>
      <c r="F234" s="63" t="str" cm="1">
        <f t="array" ref="F234">IF(B234="","",0.1+IFERROR(INDEX($F$6:$F233,SUMPRODUCT(MAX(ROW($C$6:$C233)*($C234=$C$6:$C233))-ROW($A$5)))*0.9^($A234-INDEX($A$6:A233,SUMPRODUCT(MAX(ROW($C$6:$C233)*($C234=$C$6:$C233))-ROW($A$5)))),0))</f>
        <v/>
      </c>
      <c r="G234" s="64" t="e">
        <f>INDEX('Exercise list'!$Y$5:$Y$102,MATCH(C234,'Exercise list'!$C$5:$C$102,0))</f>
        <v>#N/A</v>
      </c>
      <c r="H234" s="115">
        <f t="shared" si="187"/>
        <v>0</v>
      </c>
      <c r="I234" s="42">
        <f t="shared" si="188"/>
        <v>5</v>
      </c>
      <c r="J234" s="6" t="str" cm="1">
        <f t="array" ref="J234">IF(B234="","",INDEX('Exercise list'!$D$5:$D$102,B234))</f>
        <v/>
      </c>
      <c r="K234" s="12"/>
      <c r="L234" s="74" t="str" cm="1">
        <f t="array" ref="L234">IF(K234="","",INDEX('Exercise list'!$C$5:$C$102,K234))</f>
        <v/>
      </c>
      <c r="M234" s="6"/>
      <c r="N234" s="75" t="str" cm="1">
        <f t="array" ref="N234">IF(M234="","",INDEX('Exercise list'!$C$5:$C$102,M234))</f>
        <v/>
      </c>
      <c r="P234">
        <f>IFERROR(INDEX('Exercise list'!$E$5:$X$102,MATCH($C234,'Exercise list'!$C$5:$C$102,0),MATCH(P$5,'Exercise list'!$E$4:$X$4,0)),0)</f>
        <v>0</v>
      </c>
      <c r="Q234">
        <f>IFERROR(INDEX('Exercise list'!$E$5:$X$102,MATCH($C234,'Exercise list'!$C$5:$C$102,0),MATCH(Q$5,'Exercise list'!$E$4:$X$4,0)),0)</f>
        <v>0</v>
      </c>
      <c r="R234">
        <f>IFERROR(INDEX('Exercise list'!$E$5:$X$102,MATCH($C234,'Exercise list'!$C$5:$C$102,0),MATCH(R$5,'Exercise list'!$E$4:$X$4,0)),0)</f>
        <v>0</v>
      </c>
      <c r="S234">
        <f>IFERROR(INDEX('Exercise list'!$E$5:$X$102,MATCH($C234,'Exercise list'!$C$5:$C$102,0),MATCH(S$5,'Exercise list'!$E$4:$X$4,0)),0)</f>
        <v>0</v>
      </c>
      <c r="T234">
        <f>IFERROR(INDEX('Exercise list'!$E$5:$X$102,MATCH($C234,'Exercise list'!$C$5:$C$102,0),MATCH(T$5,'Exercise list'!$E$4:$X$4,0)),0)</f>
        <v>0</v>
      </c>
      <c r="U234">
        <f>IFERROR(INDEX('Exercise list'!$E$5:$X$102,MATCH($C234,'Exercise list'!$C$5:$C$102,0),MATCH(U$5,'Exercise list'!$E$4:$X$4,0)),0)</f>
        <v>0</v>
      </c>
      <c r="V234">
        <f>IFERROR(INDEX('Exercise list'!$E$5:$X$102,MATCH($C234,'Exercise list'!$C$5:$C$102,0),MATCH(V$5,'Exercise list'!$E$4:$X$4,0)),0)</f>
        <v>0</v>
      </c>
      <c r="W234">
        <f>IFERROR(INDEX('Exercise list'!$E$5:$X$102,MATCH($C234,'Exercise list'!$C$5:$C$102,0),MATCH(W$5,'Exercise list'!$E$4:$X$4,0)),0)</f>
        <v>0</v>
      </c>
      <c r="X234">
        <f>IFERROR(INDEX('Exercise list'!$E$5:$X$102,MATCH($C234,'Exercise list'!$C$5:$C$102,0),MATCH(X$5,'Exercise list'!$E$4:$X$4,0)),0)</f>
        <v>0</v>
      </c>
      <c r="Y234">
        <f>IFERROR(INDEX('Exercise list'!$E$5:$X$102,MATCH($C234,'Exercise list'!$C$5:$C$102,0),MATCH(Y$5,'Exercise list'!$E$4:$X$4,0)),0)</f>
        <v>0</v>
      </c>
      <c r="Z234">
        <f>IFERROR(INDEX('Exercise list'!$E$5:$X$102,MATCH($C234,'Exercise list'!$C$5:$C$102,0),MATCH(Z$5,'Exercise list'!$E$4:$X$4,0)),0)</f>
        <v>0</v>
      </c>
      <c r="AA234">
        <f>IFERROR(INDEX('Exercise list'!$E$5:$X$102,MATCH($C234,'Exercise list'!$C$5:$C$102,0),MATCH(AA$5,'Exercise list'!$E$4:$X$4,0)),0)</f>
        <v>0</v>
      </c>
      <c r="AB234">
        <f>IFERROR(INDEX('Exercise list'!$E$5:$X$102,MATCH($C234,'Exercise list'!$C$5:$C$102,0),MATCH(AB$5,'Exercise list'!$E$4:$X$4,0)),0)</f>
        <v>0</v>
      </c>
      <c r="AC234">
        <f>IFERROR(INDEX('Exercise list'!$E$5:$X$102,MATCH($C234,'Exercise list'!$C$5:$C$102,0),MATCH(AC$5,'Exercise list'!$E$4:$X$4,0)),0)</f>
        <v>0</v>
      </c>
      <c r="AD234">
        <f>IFERROR(INDEX('Exercise list'!$E$5:$X$102,MATCH($C234,'Exercise list'!$C$5:$C$102,0),MATCH(AD$5,'Exercise list'!$E$4:$X$4,0)),0)</f>
        <v>0</v>
      </c>
      <c r="AE234">
        <f>IFERROR(INDEX('Exercise list'!$E$5:$X$102,MATCH($C234,'Exercise list'!$C$5:$C$102,0),MATCH(AE$5,'Exercise list'!$E$4:$X$4,0)),0)</f>
        <v>0</v>
      </c>
      <c r="AF234">
        <f>IFERROR(INDEX('Exercise list'!$E$5:$X$102,MATCH($C234,'Exercise list'!$C$5:$C$102,0),MATCH(AF$5,'Exercise list'!$E$4:$X$4,0)),0)</f>
        <v>0</v>
      </c>
      <c r="AG234">
        <f>IFERROR(INDEX('Exercise list'!$E$5:$X$102,MATCH($C234,'Exercise list'!$C$5:$C$102,0),MATCH(AG$5,'Exercise list'!$E$4:$X$4,0)),0)</f>
        <v>0</v>
      </c>
      <c r="AH234">
        <f>IFERROR(INDEX('Exercise list'!$E$5:$X$102,MATCH($C234,'Exercise list'!$C$5:$C$102,0),MATCH(AH$5,'Exercise list'!$E$4:$X$4,0)),0)</f>
        <v>0</v>
      </c>
      <c r="AI234">
        <f>IFERROR(INDEX('Exercise list'!$E$5:$X$102,MATCH($C234,'Exercise list'!$C$5:$C$102,0),MATCH(AI$5,'Exercise list'!$E$4:$X$4,0)),0)</f>
        <v>0</v>
      </c>
      <c r="AK234">
        <f>IF(OR($J234=1,COUNTIFS($A$5:$A233,"&gt;="&amp;$A234-1,$A$5:$A233,"&lt;="&amp;$A234,$B$5:$B233,$B234)&gt;0,MIN(1-'Exercise list'!E$2,IF($A234=$A233,AK233,1))-P234&lt;0),-1,MIN(1,IF($A234=$A233,AK233,1)-P234+$D$2))</f>
        <v>1</v>
      </c>
      <c r="AL234">
        <f>IF(OR($J234=1,COUNTIFS($A$5:$A233,"&gt;="&amp;$A234-1,$A$5:$A233,"&lt;="&amp;$A234,$B$5:$B233,$B234)&gt;0,MIN(1-'Exercise list'!F$2,IF($A234=$A233,AL233,1))-Q234&lt;0),-1,MIN(1,IF($A234=$A233,AL233,1)-Q234+$D$2))</f>
        <v>1</v>
      </c>
      <c r="AM234">
        <f>IF(OR($J234=1,COUNTIFS($A$5:$A233,"&gt;="&amp;$A234-1,$A$5:$A233,"&lt;="&amp;$A234,$B$5:$B233,$B234)&gt;0,MIN(1-'Exercise list'!G$2,IF($A234=$A233,AM233,1))-R234&lt;0),-1,MIN(1,IF($A234=$A233,AM233,1)-R234+$D$2))</f>
        <v>1</v>
      </c>
      <c r="AN234">
        <f>IF(OR($J234=1,COUNTIFS($A$5:$A233,"&gt;="&amp;$A234-1,$A$5:$A233,"&lt;="&amp;$A234,$B$5:$B233,$B234)&gt;0,MIN(1-'Exercise list'!H$2,IF($A234=$A233,AN233,1))-S234&lt;0),-1,MIN(1,IF($A234=$A233,AN233,1)-S234+$D$2))</f>
        <v>1</v>
      </c>
      <c r="AO234">
        <f>IF(OR($J234=1,COUNTIFS($A$5:$A233,"&gt;="&amp;$A234-1,$A$5:$A233,"&lt;="&amp;$A234,$B$5:$B233,$B234)&gt;0,MIN(1-'Exercise list'!I$2,IF($A234=$A233,AO233,1))-T234&lt;0),-1,MIN(1,IF($A234=$A233,AO233,1)-T234+$D$2))</f>
        <v>1</v>
      </c>
      <c r="AP234">
        <f>IF(OR($J234=1,COUNTIFS($A$5:$A233,"&gt;="&amp;$A234-1,$A$5:$A233,"&lt;="&amp;$A234,$B$5:$B233,$B234)&gt;0,MIN(1-'Exercise list'!J$2,IF($A234=$A233,AP233,1))-U234&lt;0),-1,MIN(1,IF($A234=$A233,AP233,1)-U234+$D$2))</f>
        <v>1</v>
      </c>
      <c r="AQ234">
        <f>IF(OR($J234=1,COUNTIFS($A$5:$A233,"&gt;="&amp;$A234-1,$A$5:$A233,"&lt;="&amp;$A234,$B$5:$B233,$B234)&gt;0,MIN(1-'Exercise list'!K$2,IF($A234=$A233,AQ233,1))-V234&lt;0),-1,MIN(1,IF($A234=$A233,AQ233,1)-V234+$D$2))</f>
        <v>1</v>
      </c>
      <c r="AR234">
        <f>IF(OR($J234=1,COUNTIFS($A$5:$A233,"&gt;="&amp;$A234-1,$A$5:$A233,"&lt;="&amp;$A234,$B$5:$B233,$B234)&gt;0,MIN(1-'Exercise list'!L$2,IF($A234=$A233,AR233,1))-W234&lt;0),-1,MIN(1,IF($A234=$A233,AR233,1)-W234+$D$2))</f>
        <v>1</v>
      </c>
      <c r="AS234">
        <f>IF(OR($J234=1,COUNTIFS($A$5:$A233,"&gt;="&amp;$A234-1,$A$5:$A233,"&lt;="&amp;$A234,$B$5:$B233,$B234)&gt;0,MIN(1-'Exercise list'!M$2,IF($A234=$A233,AS233,1))-X234&lt;0),-1,MIN(1,IF($A234=$A233,AS233,1)-X234+$D$2))</f>
        <v>1</v>
      </c>
      <c r="AT234">
        <f>IF(OR($J234=1,COUNTIFS($A$5:$A233,"&gt;="&amp;$A234-1,$A$5:$A233,"&lt;="&amp;$A234,$B$5:$B233,$B234)&gt;0,MIN(1-'Exercise list'!N$2,IF($A234=$A233,AT233,1))-Y234&lt;0),-1,MIN(1,IF($A234=$A233,AT233,1)-Y234+$D$2))</f>
        <v>1</v>
      </c>
      <c r="AU234">
        <f>IF(OR($J234=1,COUNTIFS($A$5:$A233,"&gt;="&amp;$A234-1,$A$5:$A233,"&lt;="&amp;$A234,$B$5:$B233,$B234)&gt;0,MIN(1-'Exercise list'!O$2,IF($A234=$A233,AU233,1))-Z234&lt;0),-1,MIN(1,IF($A234=$A233,AU233,1)-Z234+$D$2))</f>
        <v>1</v>
      </c>
      <c r="AV234">
        <f>IF(OR($J234=1,COUNTIFS($A$5:$A233,"&gt;="&amp;$A234-1,$A$5:$A233,"&lt;="&amp;$A234,$B$5:$B233,$B234)&gt;0,MIN(1-'Exercise list'!P$2,IF($A234=$A233,AV233,1))-AA234&lt;0),-1,MIN(1,IF($A234=$A233,AV233,1)-AA234+$D$2))</f>
        <v>1</v>
      </c>
      <c r="AW234">
        <f>IF(OR($J234=1,COUNTIFS($A$5:$A233,"&gt;="&amp;$A234-1,$A$5:$A233,"&lt;="&amp;$A234,$B$5:$B233,$B234)&gt;0,MIN(1-'Exercise list'!Q$2,IF($A234=$A233,AW233,1))-AB234&lt;0),-1,MIN(1,IF($A234=$A233,AW233,1)-AB234+$D$2))</f>
        <v>1</v>
      </c>
      <c r="AX234">
        <f>IF(OR($J234=1,COUNTIFS($A$5:$A233,"&gt;="&amp;$A234-1,$A$5:$A233,"&lt;="&amp;$A234,$B$5:$B233,$B234)&gt;0,MIN(1-'Exercise list'!R$2,IF($A234=$A233,AX233,1))-AC234&lt;0),-1,MIN(1,IF($A234=$A233,AX233,1)-AC234+$D$2))</f>
        <v>1</v>
      </c>
      <c r="AY234">
        <f>IF(OR($J234=1,COUNTIFS($A$5:$A233,"&gt;="&amp;$A234-1,$A$5:$A233,"&lt;="&amp;$A234,$B$5:$B233,$B234)&gt;0,MIN(1-'Exercise list'!S$2,IF($A234=$A233,AY233,1))-AD234&lt;0),-1,MIN(1,IF($A234=$A233,AY233,1)-AD234+$D$2))</f>
        <v>1</v>
      </c>
      <c r="AZ234">
        <f>IF(OR($J234=1,COUNTIFS($A$5:$A233,"&gt;="&amp;$A234-1,$A$5:$A233,"&lt;="&amp;$A234,$B$5:$B233,$B234)&gt;0,MIN(1-'Exercise list'!T$2,IF($A234=$A233,AZ233,1))-AE234&lt;0),-1,MIN(1,IF($A234=$A233,AZ233,1)-AE234+$D$2))</f>
        <v>1</v>
      </c>
      <c r="BA234">
        <f>IF(OR($J234=1,COUNTIFS($A$5:$A233,"&gt;="&amp;$A234-1,$A$5:$A233,"&lt;="&amp;$A234,$B$5:$B233,$B234)&gt;0,MIN(1-'Exercise list'!U$2,IF($A234=$A233,BA233,1))-AF234&lt;0),-1,MIN(1,IF($A234=$A233,BA233,1)-AF234+$D$2))</f>
        <v>1</v>
      </c>
      <c r="BB234">
        <f>IF(OR($J234=1,COUNTIFS($A$5:$A233,"&gt;="&amp;$A234-1,$A$5:$A233,"&lt;="&amp;$A234,$B$5:$B233,$B234)&gt;0,MIN(1-'Exercise list'!V$2,IF($A234=$A233,BB233,1))-AG234&lt;0),-1,MIN(1,IF($A234=$A233,BB233,1)-AG234+$D$2))</f>
        <v>1</v>
      </c>
      <c r="BC234">
        <f>IF(OR($J234=1,COUNTIFS($A$5:$A233,"&gt;="&amp;$A234-1,$A$5:$A233,"&lt;="&amp;$A234,$B$5:$B233,$B234)&gt;0,MIN(1-'Exercise list'!W$2,IF($A234=$A233,BC233,1))-AH234&lt;0),-1,MIN(1,IF($A234=$A233,BC233,1)-AH234+$D$2))</f>
        <v>1</v>
      </c>
      <c r="BD234">
        <f>IF(OR($J234=1,COUNTIFS($A$5:$A233,"&gt;="&amp;$A234-1,$A$5:$A233,"&lt;="&amp;$A234,$B$5:$B233,$B234)&gt;0,MIN(1-'Exercise list'!X$2,IF($A234=$A233,BD233,1))-AI234&lt;0),-1,MIN(1,IF($A234=$A233,BD233,1)-AI234+$D$2))</f>
        <v>1</v>
      </c>
      <c r="BF234" s="16">
        <f t="shared" si="189"/>
        <v>0.19596031081758858</v>
      </c>
      <c r="BG234" s="16">
        <f t="shared" si="190"/>
        <v>0.21844636935459236</v>
      </c>
      <c r="BH234" s="16">
        <f t="shared" si="191"/>
        <v>0.14609696635987124</v>
      </c>
      <c r="BI234" s="16">
        <f t="shared" si="192"/>
        <v>0.13198015366034541</v>
      </c>
      <c r="BJ234" s="16">
        <f t="shared" si="193"/>
        <v>8.3367914198418713E-2</v>
      </c>
      <c r="BK234" s="16">
        <f t="shared" si="194"/>
        <v>0.10640640223148412</v>
      </c>
      <c r="BL234" s="16">
        <f t="shared" si="195"/>
        <v>0.21963504743569431</v>
      </c>
      <c r="BM234" s="16">
        <f t="shared" si="196"/>
        <v>3.8988008374820568E-3</v>
      </c>
      <c r="BN234" s="16">
        <f t="shared" si="197"/>
        <v>0.14537706087090876</v>
      </c>
      <c r="BO234" s="16">
        <f t="shared" si="198"/>
        <v>0.29209790661993401</v>
      </c>
      <c r="BP234" s="16">
        <f t="shared" si="199"/>
        <v>0.31584545163401867</v>
      </c>
      <c r="BQ234" s="16">
        <f t="shared" si="200"/>
        <v>0.1000007994126096</v>
      </c>
      <c r="BR234" s="16">
        <f t="shared" si="201"/>
        <v>0.13164487759885393</v>
      </c>
      <c r="BS234" s="16">
        <f t="shared" si="202"/>
        <v>2.9803550189863123E-2</v>
      </c>
      <c r="BT234" s="16">
        <f t="shared" si="203"/>
        <v>0.13492040904978705</v>
      </c>
      <c r="BU234" s="16">
        <f t="shared" si="204"/>
        <v>0.11703687414398131</v>
      </c>
      <c r="BV234" s="16">
        <f t="shared" si="205"/>
        <v>0.14633353213781661</v>
      </c>
      <c r="BW234" s="16">
        <f t="shared" si="206"/>
        <v>7.5588015111767173E-2</v>
      </c>
      <c r="BX234" s="16">
        <f t="shared" si="207"/>
        <v>8.0345659937185704E-2</v>
      </c>
      <c r="BY234" s="16">
        <f t="shared" si="208"/>
        <v>5.9014643151272549E-2</v>
      </c>
      <c r="CA234" s="16" t="str">
        <f t="shared" si="185"/>
        <v/>
      </c>
      <c r="CB234" s="16" t="str">
        <f t="shared" si="166"/>
        <v/>
      </c>
      <c r="CC234" s="16" t="str">
        <f t="shared" si="167"/>
        <v/>
      </c>
      <c r="CD234" s="16" t="str">
        <f t="shared" si="168"/>
        <v/>
      </c>
      <c r="CE234" s="16" t="str">
        <f t="shared" si="169"/>
        <v/>
      </c>
      <c r="CF234" s="16" t="str">
        <f t="shared" si="170"/>
        <v/>
      </c>
      <c r="CG234" s="16" t="str">
        <f t="shared" si="171"/>
        <v/>
      </c>
      <c r="CH234" s="16" t="str">
        <f t="shared" si="172"/>
        <v/>
      </c>
      <c r="CI234" s="16" t="str">
        <f t="shared" si="173"/>
        <v/>
      </c>
      <c r="CJ234" s="16" t="str">
        <f t="shared" si="174"/>
        <v/>
      </c>
      <c r="CK234" s="16" t="str">
        <f t="shared" si="175"/>
        <v/>
      </c>
      <c r="CL234" s="16" t="str">
        <f t="shared" si="176"/>
        <v/>
      </c>
      <c r="CM234" s="16" t="str">
        <f t="shared" si="177"/>
        <v/>
      </c>
      <c r="CN234" s="16" t="str">
        <f t="shared" si="178"/>
        <v/>
      </c>
      <c r="CO234" s="16" t="str">
        <f t="shared" si="179"/>
        <v/>
      </c>
      <c r="CP234" s="16" t="str">
        <f t="shared" si="180"/>
        <v/>
      </c>
      <c r="CQ234" s="16" t="str">
        <f t="shared" si="181"/>
        <v/>
      </c>
      <c r="CR234" s="16" t="str">
        <f t="shared" si="182"/>
        <v/>
      </c>
      <c r="CS234" s="16" t="str">
        <f t="shared" si="183"/>
        <v/>
      </c>
      <c r="CT234" s="16" t="str">
        <f t="shared" si="184"/>
        <v/>
      </c>
    </row>
    <row r="235" spans="1:99" x14ac:dyDescent="0.25">
      <c r="A235" s="13"/>
      <c r="B235" s="14"/>
      <c r="C235" s="15" t="str" cm="1">
        <f t="array" ref="C235">IF(B235="","",INDEX('Exercise list'!$C$5:$C$102,B235))</f>
        <v/>
      </c>
      <c r="D235" s="12" t="str">
        <f t="shared" si="186"/>
        <v/>
      </c>
      <c r="E235" s="107" t="str">
        <f t="shared" si="209"/>
        <v/>
      </c>
      <c r="F235" s="63" t="str" cm="1">
        <f t="array" ref="F235">IF(B235="","",0.1+IFERROR(INDEX($F$6:$F234,SUMPRODUCT(MAX(ROW($C$6:$C234)*($C235=$C$6:$C234))-ROW($A$5)))*0.9^($A235-INDEX($A$6:A234,SUMPRODUCT(MAX(ROW($C$6:$C234)*($C235=$C$6:$C234))-ROW($A$5)))),0))</f>
        <v/>
      </c>
      <c r="G235" s="64" t="e">
        <f>INDEX('Exercise list'!$Y$5:$Y$102,MATCH(C235,'Exercise list'!$C$5:$C$102,0))</f>
        <v>#N/A</v>
      </c>
      <c r="H235" s="115">
        <f t="shared" si="187"/>
        <v>0</v>
      </c>
      <c r="I235" s="6">
        <f t="shared" si="188"/>
        <v>5</v>
      </c>
      <c r="J235" s="6" t="str" cm="1">
        <f t="array" ref="J235">IF(B235="","",INDEX('Exercise list'!$D$5:$D$102,B235))</f>
        <v/>
      </c>
      <c r="K235" s="12"/>
      <c r="L235" s="74" t="str" cm="1">
        <f t="array" ref="L235">IF(K235="","",INDEX('Exercise list'!$C$5:$C$102,K235))</f>
        <v/>
      </c>
      <c r="M235" s="6"/>
      <c r="N235" s="75" t="str" cm="1">
        <f t="array" ref="N235">IF(M235="","",INDEX('Exercise list'!$C$5:$C$102,M235))</f>
        <v/>
      </c>
      <c r="P235">
        <f>IFERROR(INDEX('Exercise list'!$E$5:$X$102,MATCH($C235,'Exercise list'!$C$5:$C$102,0),MATCH(P$5,'Exercise list'!$E$4:$X$4,0)),0)</f>
        <v>0</v>
      </c>
      <c r="Q235">
        <f>IFERROR(INDEX('Exercise list'!$E$5:$X$102,MATCH($C235,'Exercise list'!$C$5:$C$102,0),MATCH(Q$5,'Exercise list'!$E$4:$X$4,0)),0)</f>
        <v>0</v>
      </c>
      <c r="R235">
        <f>IFERROR(INDEX('Exercise list'!$E$5:$X$102,MATCH($C235,'Exercise list'!$C$5:$C$102,0),MATCH(R$5,'Exercise list'!$E$4:$X$4,0)),0)</f>
        <v>0</v>
      </c>
      <c r="S235">
        <f>IFERROR(INDEX('Exercise list'!$E$5:$X$102,MATCH($C235,'Exercise list'!$C$5:$C$102,0),MATCH(S$5,'Exercise list'!$E$4:$X$4,0)),0)</f>
        <v>0</v>
      </c>
      <c r="T235">
        <f>IFERROR(INDEX('Exercise list'!$E$5:$X$102,MATCH($C235,'Exercise list'!$C$5:$C$102,0),MATCH(T$5,'Exercise list'!$E$4:$X$4,0)),0)</f>
        <v>0</v>
      </c>
      <c r="U235">
        <f>IFERROR(INDEX('Exercise list'!$E$5:$X$102,MATCH($C235,'Exercise list'!$C$5:$C$102,0),MATCH(U$5,'Exercise list'!$E$4:$X$4,0)),0)</f>
        <v>0</v>
      </c>
      <c r="V235">
        <f>IFERROR(INDEX('Exercise list'!$E$5:$X$102,MATCH($C235,'Exercise list'!$C$5:$C$102,0),MATCH(V$5,'Exercise list'!$E$4:$X$4,0)),0)</f>
        <v>0</v>
      </c>
      <c r="W235">
        <f>IFERROR(INDEX('Exercise list'!$E$5:$X$102,MATCH($C235,'Exercise list'!$C$5:$C$102,0),MATCH(W$5,'Exercise list'!$E$4:$X$4,0)),0)</f>
        <v>0</v>
      </c>
      <c r="X235">
        <f>IFERROR(INDEX('Exercise list'!$E$5:$X$102,MATCH($C235,'Exercise list'!$C$5:$C$102,0),MATCH(X$5,'Exercise list'!$E$4:$X$4,0)),0)</f>
        <v>0</v>
      </c>
      <c r="Y235">
        <f>IFERROR(INDEX('Exercise list'!$E$5:$X$102,MATCH($C235,'Exercise list'!$C$5:$C$102,0),MATCH(Y$5,'Exercise list'!$E$4:$X$4,0)),0)</f>
        <v>0</v>
      </c>
      <c r="Z235">
        <f>IFERROR(INDEX('Exercise list'!$E$5:$X$102,MATCH($C235,'Exercise list'!$C$5:$C$102,0),MATCH(Z$5,'Exercise list'!$E$4:$X$4,0)),0)</f>
        <v>0</v>
      </c>
      <c r="AA235">
        <f>IFERROR(INDEX('Exercise list'!$E$5:$X$102,MATCH($C235,'Exercise list'!$C$5:$C$102,0),MATCH(AA$5,'Exercise list'!$E$4:$X$4,0)),0)</f>
        <v>0</v>
      </c>
      <c r="AB235">
        <f>IFERROR(INDEX('Exercise list'!$E$5:$X$102,MATCH($C235,'Exercise list'!$C$5:$C$102,0),MATCH(AB$5,'Exercise list'!$E$4:$X$4,0)),0)</f>
        <v>0</v>
      </c>
      <c r="AC235">
        <f>IFERROR(INDEX('Exercise list'!$E$5:$X$102,MATCH($C235,'Exercise list'!$C$5:$C$102,0),MATCH(AC$5,'Exercise list'!$E$4:$X$4,0)),0)</f>
        <v>0</v>
      </c>
      <c r="AD235">
        <f>IFERROR(INDEX('Exercise list'!$E$5:$X$102,MATCH($C235,'Exercise list'!$C$5:$C$102,0),MATCH(AD$5,'Exercise list'!$E$4:$X$4,0)),0)</f>
        <v>0</v>
      </c>
      <c r="AE235">
        <f>IFERROR(INDEX('Exercise list'!$E$5:$X$102,MATCH($C235,'Exercise list'!$C$5:$C$102,0),MATCH(AE$5,'Exercise list'!$E$4:$X$4,0)),0)</f>
        <v>0</v>
      </c>
      <c r="AF235">
        <f>IFERROR(INDEX('Exercise list'!$E$5:$X$102,MATCH($C235,'Exercise list'!$C$5:$C$102,0),MATCH(AF$5,'Exercise list'!$E$4:$X$4,0)),0)</f>
        <v>0</v>
      </c>
      <c r="AG235">
        <f>IFERROR(INDEX('Exercise list'!$E$5:$X$102,MATCH($C235,'Exercise list'!$C$5:$C$102,0),MATCH(AG$5,'Exercise list'!$E$4:$X$4,0)),0)</f>
        <v>0</v>
      </c>
      <c r="AH235">
        <f>IFERROR(INDEX('Exercise list'!$E$5:$X$102,MATCH($C235,'Exercise list'!$C$5:$C$102,0),MATCH(AH$5,'Exercise list'!$E$4:$X$4,0)),0)</f>
        <v>0</v>
      </c>
      <c r="AI235">
        <f>IFERROR(INDEX('Exercise list'!$E$5:$X$102,MATCH($C235,'Exercise list'!$C$5:$C$102,0),MATCH(AI$5,'Exercise list'!$E$4:$X$4,0)),0)</f>
        <v>0</v>
      </c>
      <c r="AK235">
        <f>IF(OR($J235=1,COUNTIFS($A$5:$A234,"&gt;="&amp;$A235-1,$A$5:$A234,"&lt;="&amp;$A235,$B$5:$B234,$B235)&gt;0,MIN(1-'Exercise list'!E$2,IF($A235=$A234,AK234,1))-P235&lt;0),-1,MIN(1,IF($A235=$A234,AK234,1)-P235+$D$2))</f>
        <v>1</v>
      </c>
      <c r="AL235">
        <f>IF(OR($J235=1,COUNTIFS($A$5:$A234,"&gt;="&amp;$A235-1,$A$5:$A234,"&lt;="&amp;$A235,$B$5:$B234,$B235)&gt;0,MIN(1-'Exercise list'!F$2,IF($A235=$A234,AL234,1))-Q235&lt;0),-1,MIN(1,IF($A235=$A234,AL234,1)-Q235+$D$2))</f>
        <v>1</v>
      </c>
      <c r="AM235">
        <f>IF(OR($J235=1,COUNTIFS($A$5:$A234,"&gt;="&amp;$A235-1,$A$5:$A234,"&lt;="&amp;$A235,$B$5:$B234,$B235)&gt;0,MIN(1-'Exercise list'!G$2,IF($A235=$A234,AM234,1))-R235&lt;0),-1,MIN(1,IF($A235=$A234,AM234,1)-R235+$D$2))</f>
        <v>1</v>
      </c>
      <c r="AN235">
        <f>IF(OR($J235=1,COUNTIFS($A$5:$A234,"&gt;="&amp;$A235-1,$A$5:$A234,"&lt;="&amp;$A235,$B$5:$B234,$B235)&gt;0,MIN(1-'Exercise list'!H$2,IF($A235=$A234,AN234,1))-S235&lt;0),-1,MIN(1,IF($A235=$A234,AN234,1)-S235+$D$2))</f>
        <v>1</v>
      </c>
      <c r="AO235">
        <f>IF(OR($J235=1,COUNTIFS($A$5:$A234,"&gt;="&amp;$A235-1,$A$5:$A234,"&lt;="&amp;$A235,$B$5:$B234,$B235)&gt;0,MIN(1-'Exercise list'!I$2,IF($A235=$A234,AO234,1))-T235&lt;0),-1,MIN(1,IF($A235=$A234,AO234,1)-T235+$D$2))</f>
        <v>1</v>
      </c>
      <c r="AP235">
        <f>IF(OR($J235=1,COUNTIFS($A$5:$A234,"&gt;="&amp;$A235-1,$A$5:$A234,"&lt;="&amp;$A235,$B$5:$B234,$B235)&gt;0,MIN(1-'Exercise list'!J$2,IF($A235=$A234,AP234,1))-U235&lt;0),-1,MIN(1,IF($A235=$A234,AP234,1)-U235+$D$2))</f>
        <v>1</v>
      </c>
      <c r="AQ235">
        <f>IF(OR($J235=1,COUNTIFS($A$5:$A234,"&gt;="&amp;$A235-1,$A$5:$A234,"&lt;="&amp;$A235,$B$5:$B234,$B235)&gt;0,MIN(1-'Exercise list'!K$2,IF($A235=$A234,AQ234,1))-V235&lt;0),-1,MIN(1,IF($A235=$A234,AQ234,1)-V235+$D$2))</f>
        <v>1</v>
      </c>
      <c r="AR235">
        <f>IF(OR($J235=1,COUNTIFS($A$5:$A234,"&gt;="&amp;$A235-1,$A$5:$A234,"&lt;="&amp;$A235,$B$5:$B234,$B235)&gt;0,MIN(1-'Exercise list'!L$2,IF($A235=$A234,AR234,1))-W235&lt;0),-1,MIN(1,IF($A235=$A234,AR234,1)-W235+$D$2))</f>
        <v>1</v>
      </c>
      <c r="AS235">
        <f>IF(OR($J235=1,COUNTIFS($A$5:$A234,"&gt;="&amp;$A235-1,$A$5:$A234,"&lt;="&amp;$A235,$B$5:$B234,$B235)&gt;0,MIN(1-'Exercise list'!M$2,IF($A235=$A234,AS234,1))-X235&lt;0),-1,MIN(1,IF($A235=$A234,AS234,1)-X235+$D$2))</f>
        <v>1</v>
      </c>
      <c r="AT235">
        <f>IF(OR($J235=1,COUNTIFS($A$5:$A234,"&gt;="&amp;$A235-1,$A$5:$A234,"&lt;="&amp;$A235,$B$5:$B234,$B235)&gt;0,MIN(1-'Exercise list'!N$2,IF($A235=$A234,AT234,1))-Y235&lt;0),-1,MIN(1,IF($A235=$A234,AT234,1)-Y235+$D$2))</f>
        <v>1</v>
      </c>
      <c r="AU235">
        <f>IF(OR($J235=1,COUNTIFS($A$5:$A234,"&gt;="&amp;$A235-1,$A$5:$A234,"&lt;="&amp;$A235,$B$5:$B234,$B235)&gt;0,MIN(1-'Exercise list'!O$2,IF($A235=$A234,AU234,1))-Z235&lt;0),-1,MIN(1,IF($A235=$A234,AU234,1)-Z235+$D$2))</f>
        <v>1</v>
      </c>
      <c r="AV235">
        <f>IF(OR($J235=1,COUNTIFS($A$5:$A234,"&gt;="&amp;$A235-1,$A$5:$A234,"&lt;="&amp;$A235,$B$5:$B234,$B235)&gt;0,MIN(1-'Exercise list'!P$2,IF($A235=$A234,AV234,1))-AA235&lt;0),-1,MIN(1,IF($A235=$A234,AV234,1)-AA235+$D$2))</f>
        <v>1</v>
      </c>
      <c r="AW235">
        <f>IF(OR($J235=1,COUNTIFS($A$5:$A234,"&gt;="&amp;$A235-1,$A$5:$A234,"&lt;="&amp;$A235,$B$5:$B234,$B235)&gt;0,MIN(1-'Exercise list'!Q$2,IF($A235=$A234,AW234,1))-AB235&lt;0),-1,MIN(1,IF($A235=$A234,AW234,1)-AB235+$D$2))</f>
        <v>1</v>
      </c>
      <c r="AX235">
        <f>IF(OR($J235=1,COUNTIFS($A$5:$A234,"&gt;="&amp;$A235-1,$A$5:$A234,"&lt;="&amp;$A235,$B$5:$B234,$B235)&gt;0,MIN(1-'Exercise list'!R$2,IF($A235=$A234,AX234,1))-AC235&lt;0),-1,MIN(1,IF($A235=$A234,AX234,1)-AC235+$D$2))</f>
        <v>1</v>
      </c>
      <c r="AY235">
        <f>IF(OR($J235=1,COUNTIFS($A$5:$A234,"&gt;="&amp;$A235-1,$A$5:$A234,"&lt;="&amp;$A235,$B$5:$B234,$B235)&gt;0,MIN(1-'Exercise list'!S$2,IF($A235=$A234,AY234,1))-AD235&lt;0),-1,MIN(1,IF($A235=$A234,AY234,1)-AD235+$D$2))</f>
        <v>1</v>
      </c>
      <c r="AZ235">
        <f>IF(OR($J235=1,COUNTIFS($A$5:$A234,"&gt;="&amp;$A235-1,$A$5:$A234,"&lt;="&amp;$A235,$B$5:$B234,$B235)&gt;0,MIN(1-'Exercise list'!T$2,IF($A235=$A234,AZ234,1))-AE235&lt;0),-1,MIN(1,IF($A235=$A234,AZ234,1)-AE235+$D$2))</f>
        <v>1</v>
      </c>
      <c r="BA235">
        <f>IF(OR($J235=1,COUNTIFS($A$5:$A234,"&gt;="&amp;$A235-1,$A$5:$A234,"&lt;="&amp;$A235,$B$5:$B234,$B235)&gt;0,MIN(1-'Exercise list'!U$2,IF($A235=$A234,BA234,1))-AF235&lt;0),-1,MIN(1,IF($A235=$A234,BA234,1)-AF235+$D$2))</f>
        <v>1</v>
      </c>
      <c r="BB235">
        <f>IF(OR($J235=1,COUNTIFS($A$5:$A234,"&gt;="&amp;$A235-1,$A$5:$A234,"&lt;="&amp;$A235,$B$5:$B234,$B235)&gt;0,MIN(1-'Exercise list'!V$2,IF($A235=$A234,BB234,1))-AG235&lt;0),-1,MIN(1,IF($A235=$A234,BB234,1)-AG235+$D$2))</f>
        <v>1</v>
      </c>
      <c r="BC235">
        <f>IF(OR($J235=1,COUNTIFS($A$5:$A234,"&gt;="&amp;$A235-1,$A$5:$A234,"&lt;="&amp;$A235,$B$5:$B234,$B235)&gt;0,MIN(1-'Exercise list'!W$2,IF($A235=$A234,BC234,1))-AH235&lt;0),-1,MIN(1,IF($A235=$A234,BC234,1)-AH235+$D$2))</f>
        <v>1</v>
      </c>
      <c r="BD235">
        <f>IF(OR($J235=1,COUNTIFS($A$5:$A234,"&gt;="&amp;$A235-1,$A$5:$A234,"&lt;="&amp;$A235,$B$5:$B234,$B235)&gt;0,MIN(1-'Exercise list'!X$2,IF($A235=$A234,BD234,1))-AI235&lt;0),-1,MIN(1,IF($A235=$A234,BD234,1)-AI235+$D$2))</f>
        <v>1</v>
      </c>
      <c r="BF235" s="16">
        <f t="shared" si="189"/>
        <v>0.19596031081758858</v>
      </c>
      <c r="BG235" s="16">
        <f t="shared" si="190"/>
        <v>0.21844636935459236</v>
      </c>
      <c r="BH235" s="16">
        <f t="shared" si="191"/>
        <v>0.14609696635987124</v>
      </c>
      <c r="BI235" s="16">
        <f t="shared" si="192"/>
        <v>0.13198015366034541</v>
      </c>
      <c r="BJ235" s="16">
        <f t="shared" si="193"/>
        <v>8.3367914198418713E-2</v>
      </c>
      <c r="BK235" s="16">
        <f t="shared" si="194"/>
        <v>0.10640640223148412</v>
      </c>
      <c r="BL235" s="16">
        <f t="shared" si="195"/>
        <v>0.21963504743569431</v>
      </c>
      <c r="BM235" s="16">
        <f t="shared" si="196"/>
        <v>3.8988008374820568E-3</v>
      </c>
      <c r="BN235" s="16">
        <f t="shared" si="197"/>
        <v>0.14537706087090876</v>
      </c>
      <c r="BO235" s="16">
        <f t="shared" si="198"/>
        <v>0.29209790661993401</v>
      </c>
      <c r="BP235" s="16">
        <f t="shared" si="199"/>
        <v>0.31584545163401867</v>
      </c>
      <c r="BQ235" s="16">
        <f t="shared" si="200"/>
        <v>0.1000007994126096</v>
      </c>
      <c r="BR235" s="16">
        <f t="shared" si="201"/>
        <v>0.13164487759885393</v>
      </c>
      <c r="BS235" s="16">
        <f t="shared" si="202"/>
        <v>2.9803550189863123E-2</v>
      </c>
      <c r="BT235" s="16">
        <f t="shared" si="203"/>
        <v>0.13492040904978705</v>
      </c>
      <c r="BU235" s="16">
        <f t="shared" si="204"/>
        <v>0.11703687414398131</v>
      </c>
      <c r="BV235" s="16">
        <f t="shared" si="205"/>
        <v>0.14633353213781661</v>
      </c>
      <c r="BW235" s="16">
        <f t="shared" si="206"/>
        <v>7.5588015111767173E-2</v>
      </c>
      <c r="BX235" s="16">
        <f t="shared" si="207"/>
        <v>8.0345659937185704E-2</v>
      </c>
      <c r="BY235" s="16">
        <f t="shared" si="208"/>
        <v>5.9014643151272549E-2</v>
      </c>
      <c r="CA235" s="16" t="str">
        <f t="shared" si="185"/>
        <v/>
      </c>
      <c r="CB235" s="16" t="str">
        <f t="shared" si="166"/>
        <v/>
      </c>
      <c r="CC235" s="16" t="str">
        <f t="shared" si="167"/>
        <v/>
      </c>
      <c r="CD235" s="16" t="str">
        <f t="shared" si="168"/>
        <v/>
      </c>
      <c r="CE235" s="16" t="str">
        <f t="shared" si="169"/>
        <v/>
      </c>
      <c r="CF235" s="16" t="str">
        <f t="shared" si="170"/>
        <v/>
      </c>
      <c r="CG235" s="16" t="str">
        <f t="shared" si="171"/>
        <v/>
      </c>
      <c r="CH235" s="16" t="str">
        <f t="shared" si="172"/>
        <v/>
      </c>
      <c r="CI235" s="16" t="str">
        <f t="shared" si="173"/>
        <v/>
      </c>
      <c r="CJ235" s="16" t="str">
        <f t="shared" si="174"/>
        <v/>
      </c>
      <c r="CK235" s="16" t="str">
        <f t="shared" si="175"/>
        <v/>
      </c>
      <c r="CL235" s="16" t="str">
        <f t="shared" si="176"/>
        <v/>
      </c>
      <c r="CM235" s="16" t="str">
        <f t="shared" si="177"/>
        <v/>
      </c>
      <c r="CN235" s="16" t="str">
        <f t="shared" si="178"/>
        <v/>
      </c>
      <c r="CO235" s="16" t="str">
        <f t="shared" si="179"/>
        <v/>
      </c>
      <c r="CP235" s="16" t="str">
        <f t="shared" si="180"/>
        <v/>
      </c>
      <c r="CQ235" s="16" t="str">
        <f t="shared" si="181"/>
        <v/>
      </c>
      <c r="CR235" s="16" t="str">
        <f t="shared" si="182"/>
        <v/>
      </c>
      <c r="CS235" s="16" t="str">
        <f t="shared" si="183"/>
        <v/>
      </c>
      <c r="CT235" s="16" t="str">
        <f t="shared" si="184"/>
        <v/>
      </c>
    </row>
    <row r="236" spans="1:99" x14ac:dyDescent="0.25">
      <c r="A236" s="13"/>
      <c r="B236" s="14"/>
      <c r="C236" s="15" t="str" cm="1">
        <f t="array" ref="C236">IF(B236="","",INDEX('Exercise list'!$C$5:$C$102,B236))</f>
        <v/>
      </c>
      <c r="D236" s="12" t="str">
        <f t="shared" si="186"/>
        <v/>
      </c>
      <c r="E236" s="107" t="str">
        <f t="shared" si="209"/>
        <v/>
      </c>
      <c r="F236" s="63" t="str" cm="1">
        <f t="array" ref="F236">IF(B236="","",0.1+IFERROR(INDEX($F$6:$F235,SUMPRODUCT(MAX(ROW($C$6:$C235)*($C236=$C$6:$C235))-ROW($A$5)))*0.9^($A236-INDEX($A$6:A235,SUMPRODUCT(MAX(ROW($C$6:$C235)*($C236=$C$6:$C235))-ROW($A$5)))),0))</f>
        <v/>
      </c>
      <c r="G236" s="64" t="e">
        <f>INDEX('Exercise list'!$Y$5:$Y$102,MATCH(C236,'Exercise list'!$C$5:$C$102,0))</f>
        <v>#N/A</v>
      </c>
      <c r="H236" s="115">
        <f t="shared" si="187"/>
        <v>0</v>
      </c>
      <c r="I236" s="6">
        <f t="shared" si="188"/>
        <v>5</v>
      </c>
      <c r="J236" s="6" t="str" cm="1">
        <f t="array" ref="J236">IF(B236="","",INDEX('Exercise list'!$D$5:$D$102,B236))</f>
        <v/>
      </c>
      <c r="K236" s="12"/>
      <c r="L236" s="74" t="str" cm="1">
        <f t="array" ref="L236">IF(K236="","",INDEX('Exercise list'!$C$5:$C$102,K236))</f>
        <v/>
      </c>
      <c r="M236" s="6"/>
      <c r="N236" s="75" t="str" cm="1">
        <f t="array" ref="N236">IF(M236="","",INDEX('Exercise list'!$C$5:$C$102,M236))</f>
        <v/>
      </c>
      <c r="P236">
        <f>IFERROR(INDEX('Exercise list'!$E$5:$X$102,MATCH($C236,'Exercise list'!$C$5:$C$102,0),MATCH(P$5,'Exercise list'!$E$4:$X$4,0)),0)</f>
        <v>0</v>
      </c>
      <c r="Q236">
        <f>IFERROR(INDEX('Exercise list'!$E$5:$X$102,MATCH($C236,'Exercise list'!$C$5:$C$102,0),MATCH(Q$5,'Exercise list'!$E$4:$X$4,0)),0)</f>
        <v>0</v>
      </c>
      <c r="R236">
        <f>IFERROR(INDEX('Exercise list'!$E$5:$X$102,MATCH($C236,'Exercise list'!$C$5:$C$102,0),MATCH(R$5,'Exercise list'!$E$4:$X$4,0)),0)</f>
        <v>0</v>
      </c>
      <c r="S236">
        <f>IFERROR(INDEX('Exercise list'!$E$5:$X$102,MATCH($C236,'Exercise list'!$C$5:$C$102,0),MATCH(S$5,'Exercise list'!$E$4:$X$4,0)),0)</f>
        <v>0</v>
      </c>
      <c r="T236">
        <f>IFERROR(INDEX('Exercise list'!$E$5:$X$102,MATCH($C236,'Exercise list'!$C$5:$C$102,0),MATCH(T$5,'Exercise list'!$E$4:$X$4,0)),0)</f>
        <v>0</v>
      </c>
      <c r="U236">
        <f>IFERROR(INDEX('Exercise list'!$E$5:$X$102,MATCH($C236,'Exercise list'!$C$5:$C$102,0),MATCH(U$5,'Exercise list'!$E$4:$X$4,0)),0)</f>
        <v>0</v>
      </c>
      <c r="V236">
        <f>IFERROR(INDEX('Exercise list'!$E$5:$X$102,MATCH($C236,'Exercise list'!$C$5:$C$102,0),MATCH(V$5,'Exercise list'!$E$4:$X$4,0)),0)</f>
        <v>0</v>
      </c>
      <c r="W236">
        <f>IFERROR(INDEX('Exercise list'!$E$5:$X$102,MATCH($C236,'Exercise list'!$C$5:$C$102,0),MATCH(W$5,'Exercise list'!$E$4:$X$4,0)),0)</f>
        <v>0</v>
      </c>
      <c r="X236">
        <f>IFERROR(INDEX('Exercise list'!$E$5:$X$102,MATCH($C236,'Exercise list'!$C$5:$C$102,0),MATCH(X$5,'Exercise list'!$E$4:$X$4,0)),0)</f>
        <v>0</v>
      </c>
      <c r="Y236">
        <f>IFERROR(INDEX('Exercise list'!$E$5:$X$102,MATCH($C236,'Exercise list'!$C$5:$C$102,0),MATCH(Y$5,'Exercise list'!$E$4:$X$4,0)),0)</f>
        <v>0</v>
      </c>
      <c r="Z236">
        <f>IFERROR(INDEX('Exercise list'!$E$5:$X$102,MATCH($C236,'Exercise list'!$C$5:$C$102,0),MATCH(Z$5,'Exercise list'!$E$4:$X$4,0)),0)</f>
        <v>0</v>
      </c>
      <c r="AA236">
        <f>IFERROR(INDEX('Exercise list'!$E$5:$X$102,MATCH($C236,'Exercise list'!$C$5:$C$102,0),MATCH(AA$5,'Exercise list'!$E$4:$X$4,0)),0)</f>
        <v>0</v>
      </c>
      <c r="AB236">
        <f>IFERROR(INDEX('Exercise list'!$E$5:$X$102,MATCH($C236,'Exercise list'!$C$5:$C$102,0),MATCH(AB$5,'Exercise list'!$E$4:$X$4,0)),0)</f>
        <v>0</v>
      </c>
      <c r="AC236">
        <f>IFERROR(INDEX('Exercise list'!$E$5:$X$102,MATCH($C236,'Exercise list'!$C$5:$C$102,0),MATCH(AC$5,'Exercise list'!$E$4:$X$4,0)),0)</f>
        <v>0</v>
      </c>
      <c r="AD236">
        <f>IFERROR(INDEX('Exercise list'!$E$5:$X$102,MATCH($C236,'Exercise list'!$C$5:$C$102,0),MATCH(AD$5,'Exercise list'!$E$4:$X$4,0)),0)</f>
        <v>0</v>
      </c>
      <c r="AE236">
        <f>IFERROR(INDEX('Exercise list'!$E$5:$X$102,MATCH($C236,'Exercise list'!$C$5:$C$102,0),MATCH(AE$5,'Exercise list'!$E$4:$X$4,0)),0)</f>
        <v>0</v>
      </c>
      <c r="AF236">
        <f>IFERROR(INDEX('Exercise list'!$E$5:$X$102,MATCH($C236,'Exercise list'!$C$5:$C$102,0),MATCH(AF$5,'Exercise list'!$E$4:$X$4,0)),0)</f>
        <v>0</v>
      </c>
      <c r="AG236">
        <f>IFERROR(INDEX('Exercise list'!$E$5:$X$102,MATCH($C236,'Exercise list'!$C$5:$C$102,0),MATCH(AG$5,'Exercise list'!$E$4:$X$4,0)),0)</f>
        <v>0</v>
      </c>
      <c r="AH236">
        <f>IFERROR(INDEX('Exercise list'!$E$5:$X$102,MATCH($C236,'Exercise list'!$C$5:$C$102,0),MATCH(AH$5,'Exercise list'!$E$4:$X$4,0)),0)</f>
        <v>0</v>
      </c>
      <c r="AI236">
        <f>IFERROR(INDEX('Exercise list'!$E$5:$X$102,MATCH($C236,'Exercise list'!$C$5:$C$102,0),MATCH(AI$5,'Exercise list'!$E$4:$X$4,0)),0)</f>
        <v>0</v>
      </c>
      <c r="AK236">
        <f>IF(OR($J236=1,COUNTIFS($A$5:$A235,"&gt;="&amp;$A236-1,$A$5:$A235,"&lt;="&amp;$A236,$B$5:$B235,$B236)&gt;0,MIN(1-'Exercise list'!E$2,IF($A236=$A235,AK235,1))-P236&lt;0),-1,MIN(1,IF($A236=$A235,AK235,1)-P236+$D$2))</f>
        <v>1</v>
      </c>
      <c r="AL236">
        <f>IF(OR($J236=1,COUNTIFS($A$5:$A235,"&gt;="&amp;$A236-1,$A$5:$A235,"&lt;="&amp;$A236,$B$5:$B235,$B236)&gt;0,MIN(1-'Exercise list'!F$2,IF($A236=$A235,AL235,1))-Q236&lt;0),-1,MIN(1,IF($A236=$A235,AL235,1)-Q236+$D$2))</f>
        <v>1</v>
      </c>
      <c r="AM236">
        <f>IF(OR($J236=1,COUNTIFS($A$5:$A235,"&gt;="&amp;$A236-1,$A$5:$A235,"&lt;="&amp;$A236,$B$5:$B235,$B236)&gt;0,MIN(1-'Exercise list'!G$2,IF($A236=$A235,AM235,1))-R236&lt;0),-1,MIN(1,IF($A236=$A235,AM235,1)-R236+$D$2))</f>
        <v>1</v>
      </c>
      <c r="AN236">
        <f>IF(OR($J236=1,COUNTIFS($A$5:$A235,"&gt;="&amp;$A236-1,$A$5:$A235,"&lt;="&amp;$A236,$B$5:$B235,$B236)&gt;0,MIN(1-'Exercise list'!H$2,IF($A236=$A235,AN235,1))-S236&lt;0),-1,MIN(1,IF($A236=$A235,AN235,1)-S236+$D$2))</f>
        <v>1</v>
      </c>
      <c r="AO236">
        <f>IF(OR($J236=1,COUNTIFS($A$5:$A235,"&gt;="&amp;$A236-1,$A$5:$A235,"&lt;="&amp;$A236,$B$5:$B235,$B236)&gt;0,MIN(1-'Exercise list'!I$2,IF($A236=$A235,AO235,1))-T236&lt;0),-1,MIN(1,IF($A236=$A235,AO235,1)-T236+$D$2))</f>
        <v>1</v>
      </c>
      <c r="AP236">
        <f>IF(OR($J236=1,COUNTIFS($A$5:$A235,"&gt;="&amp;$A236-1,$A$5:$A235,"&lt;="&amp;$A236,$B$5:$B235,$B236)&gt;0,MIN(1-'Exercise list'!J$2,IF($A236=$A235,AP235,1))-U236&lt;0),-1,MIN(1,IF($A236=$A235,AP235,1)-U236+$D$2))</f>
        <v>1</v>
      </c>
      <c r="AQ236">
        <f>IF(OR($J236=1,COUNTIFS($A$5:$A235,"&gt;="&amp;$A236-1,$A$5:$A235,"&lt;="&amp;$A236,$B$5:$B235,$B236)&gt;0,MIN(1-'Exercise list'!K$2,IF($A236=$A235,AQ235,1))-V236&lt;0),-1,MIN(1,IF($A236=$A235,AQ235,1)-V236+$D$2))</f>
        <v>1</v>
      </c>
      <c r="AR236">
        <f>IF(OR($J236=1,COUNTIFS($A$5:$A235,"&gt;="&amp;$A236-1,$A$5:$A235,"&lt;="&amp;$A236,$B$5:$B235,$B236)&gt;0,MIN(1-'Exercise list'!L$2,IF($A236=$A235,AR235,1))-W236&lt;0),-1,MIN(1,IF($A236=$A235,AR235,1)-W236+$D$2))</f>
        <v>1</v>
      </c>
      <c r="AS236">
        <f>IF(OR($J236=1,COUNTIFS($A$5:$A235,"&gt;="&amp;$A236-1,$A$5:$A235,"&lt;="&amp;$A236,$B$5:$B235,$B236)&gt;0,MIN(1-'Exercise list'!M$2,IF($A236=$A235,AS235,1))-X236&lt;0),-1,MIN(1,IF($A236=$A235,AS235,1)-X236+$D$2))</f>
        <v>1</v>
      </c>
      <c r="AT236">
        <f>IF(OR($J236=1,COUNTIFS($A$5:$A235,"&gt;="&amp;$A236-1,$A$5:$A235,"&lt;="&amp;$A236,$B$5:$B235,$B236)&gt;0,MIN(1-'Exercise list'!N$2,IF($A236=$A235,AT235,1))-Y236&lt;0),-1,MIN(1,IF($A236=$A235,AT235,1)-Y236+$D$2))</f>
        <v>1</v>
      </c>
      <c r="AU236">
        <f>IF(OR($J236=1,COUNTIFS($A$5:$A235,"&gt;="&amp;$A236-1,$A$5:$A235,"&lt;="&amp;$A236,$B$5:$B235,$B236)&gt;0,MIN(1-'Exercise list'!O$2,IF($A236=$A235,AU235,1))-Z236&lt;0),-1,MIN(1,IF($A236=$A235,AU235,1)-Z236+$D$2))</f>
        <v>1</v>
      </c>
      <c r="AV236">
        <f>IF(OR($J236=1,COUNTIFS($A$5:$A235,"&gt;="&amp;$A236-1,$A$5:$A235,"&lt;="&amp;$A236,$B$5:$B235,$B236)&gt;0,MIN(1-'Exercise list'!P$2,IF($A236=$A235,AV235,1))-AA236&lt;0),-1,MIN(1,IF($A236=$A235,AV235,1)-AA236+$D$2))</f>
        <v>1</v>
      </c>
      <c r="AW236">
        <f>IF(OR($J236=1,COUNTIFS($A$5:$A235,"&gt;="&amp;$A236-1,$A$5:$A235,"&lt;="&amp;$A236,$B$5:$B235,$B236)&gt;0,MIN(1-'Exercise list'!Q$2,IF($A236=$A235,AW235,1))-AB236&lt;0),-1,MIN(1,IF($A236=$A235,AW235,1)-AB236+$D$2))</f>
        <v>1</v>
      </c>
      <c r="AX236">
        <f>IF(OR($J236=1,COUNTIFS($A$5:$A235,"&gt;="&amp;$A236-1,$A$5:$A235,"&lt;="&amp;$A236,$B$5:$B235,$B236)&gt;0,MIN(1-'Exercise list'!R$2,IF($A236=$A235,AX235,1))-AC236&lt;0),-1,MIN(1,IF($A236=$A235,AX235,1)-AC236+$D$2))</f>
        <v>1</v>
      </c>
      <c r="AY236">
        <f>IF(OR($J236=1,COUNTIFS($A$5:$A235,"&gt;="&amp;$A236-1,$A$5:$A235,"&lt;="&amp;$A236,$B$5:$B235,$B236)&gt;0,MIN(1-'Exercise list'!S$2,IF($A236=$A235,AY235,1))-AD236&lt;0),-1,MIN(1,IF($A236=$A235,AY235,1)-AD236+$D$2))</f>
        <v>1</v>
      </c>
      <c r="AZ236">
        <f>IF(OR($J236=1,COUNTIFS($A$5:$A235,"&gt;="&amp;$A236-1,$A$5:$A235,"&lt;="&amp;$A236,$B$5:$B235,$B236)&gt;0,MIN(1-'Exercise list'!T$2,IF($A236=$A235,AZ235,1))-AE236&lt;0),-1,MIN(1,IF($A236=$A235,AZ235,1)-AE236+$D$2))</f>
        <v>1</v>
      </c>
      <c r="BA236">
        <f>IF(OR($J236=1,COUNTIFS($A$5:$A235,"&gt;="&amp;$A236-1,$A$5:$A235,"&lt;="&amp;$A236,$B$5:$B235,$B236)&gt;0,MIN(1-'Exercise list'!U$2,IF($A236=$A235,BA235,1))-AF236&lt;0),-1,MIN(1,IF($A236=$A235,BA235,1)-AF236+$D$2))</f>
        <v>1</v>
      </c>
      <c r="BB236">
        <f>IF(OR($J236=1,COUNTIFS($A$5:$A235,"&gt;="&amp;$A236-1,$A$5:$A235,"&lt;="&amp;$A236,$B$5:$B235,$B236)&gt;0,MIN(1-'Exercise list'!V$2,IF($A236=$A235,BB235,1))-AG236&lt;0),-1,MIN(1,IF($A236=$A235,BB235,1)-AG236+$D$2))</f>
        <v>1</v>
      </c>
      <c r="BC236">
        <f>IF(OR($J236=1,COUNTIFS($A$5:$A235,"&gt;="&amp;$A236-1,$A$5:$A235,"&lt;="&amp;$A236,$B$5:$B235,$B236)&gt;0,MIN(1-'Exercise list'!W$2,IF($A236=$A235,BC235,1))-AH236&lt;0),-1,MIN(1,IF($A236=$A235,BC235,1)-AH236+$D$2))</f>
        <v>1</v>
      </c>
      <c r="BD236">
        <f>IF(OR($J236=1,COUNTIFS($A$5:$A235,"&gt;="&amp;$A236-1,$A$5:$A235,"&lt;="&amp;$A236,$B$5:$B235,$B236)&gt;0,MIN(1-'Exercise list'!X$2,IF($A236=$A235,BD235,1))-AI236&lt;0),-1,MIN(1,IF($A236=$A235,BD235,1)-AI236+$D$2))</f>
        <v>1</v>
      </c>
      <c r="BF236" s="16">
        <f t="shared" si="189"/>
        <v>0.19596031081758858</v>
      </c>
      <c r="BG236" s="16">
        <f t="shared" si="190"/>
        <v>0.21844636935459236</v>
      </c>
      <c r="BH236" s="16">
        <f t="shared" si="191"/>
        <v>0.14609696635987124</v>
      </c>
      <c r="BI236" s="16">
        <f t="shared" si="192"/>
        <v>0.13198015366034541</v>
      </c>
      <c r="BJ236" s="16">
        <f t="shared" si="193"/>
        <v>8.3367914198418713E-2</v>
      </c>
      <c r="BK236" s="16">
        <f t="shared" si="194"/>
        <v>0.10640640223148412</v>
      </c>
      <c r="BL236" s="16">
        <f t="shared" si="195"/>
        <v>0.21963504743569431</v>
      </c>
      <c r="BM236" s="16">
        <f t="shared" si="196"/>
        <v>3.8988008374820568E-3</v>
      </c>
      <c r="BN236" s="16">
        <f t="shared" si="197"/>
        <v>0.14537706087090876</v>
      </c>
      <c r="BO236" s="16">
        <f t="shared" si="198"/>
        <v>0.29209790661993401</v>
      </c>
      <c r="BP236" s="16">
        <f t="shared" si="199"/>
        <v>0.31584545163401867</v>
      </c>
      <c r="BQ236" s="16">
        <f t="shared" si="200"/>
        <v>0.1000007994126096</v>
      </c>
      <c r="BR236" s="16">
        <f t="shared" si="201"/>
        <v>0.13164487759885393</v>
      </c>
      <c r="BS236" s="16">
        <f t="shared" si="202"/>
        <v>2.9803550189863123E-2</v>
      </c>
      <c r="BT236" s="16">
        <f t="shared" si="203"/>
        <v>0.13492040904978705</v>
      </c>
      <c r="BU236" s="16">
        <f t="shared" si="204"/>
        <v>0.11703687414398131</v>
      </c>
      <c r="BV236" s="16">
        <f t="shared" si="205"/>
        <v>0.14633353213781661</v>
      </c>
      <c r="BW236" s="16">
        <f t="shared" si="206"/>
        <v>7.5588015111767173E-2</v>
      </c>
      <c r="BX236" s="16">
        <f t="shared" si="207"/>
        <v>8.0345659937185704E-2</v>
      </c>
      <c r="BY236" s="16">
        <f t="shared" si="208"/>
        <v>5.9014643151272549E-2</v>
      </c>
      <c r="CA236" s="16" t="str">
        <f t="shared" si="185"/>
        <v/>
      </c>
      <c r="CB236" s="16" t="str">
        <f t="shared" si="166"/>
        <v/>
      </c>
      <c r="CC236" s="16" t="str">
        <f t="shared" si="167"/>
        <v/>
      </c>
      <c r="CD236" s="16" t="str">
        <f t="shared" si="168"/>
        <v/>
      </c>
      <c r="CE236" s="16" t="str">
        <f t="shared" si="169"/>
        <v/>
      </c>
      <c r="CF236" s="16" t="str">
        <f t="shared" si="170"/>
        <v/>
      </c>
      <c r="CG236" s="16" t="str">
        <f t="shared" si="171"/>
        <v/>
      </c>
      <c r="CH236" s="16" t="str">
        <f t="shared" si="172"/>
        <v/>
      </c>
      <c r="CI236" s="16" t="str">
        <f t="shared" si="173"/>
        <v/>
      </c>
      <c r="CJ236" s="16" t="str">
        <f t="shared" si="174"/>
        <v/>
      </c>
      <c r="CK236" s="16" t="str">
        <f t="shared" si="175"/>
        <v/>
      </c>
      <c r="CL236" s="16" t="str">
        <f t="shared" si="176"/>
        <v/>
      </c>
      <c r="CM236" s="16" t="str">
        <f t="shared" si="177"/>
        <v/>
      </c>
      <c r="CN236" s="16" t="str">
        <f t="shared" si="178"/>
        <v/>
      </c>
      <c r="CO236" s="16" t="str">
        <f t="shared" si="179"/>
        <v/>
      </c>
      <c r="CP236" s="16" t="str">
        <f t="shared" si="180"/>
        <v/>
      </c>
      <c r="CQ236" s="16" t="str">
        <f t="shared" si="181"/>
        <v/>
      </c>
      <c r="CR236" s="16" t="str">
        <f t="shared" si="182"/>
        <v/>
      </c>
      <c r="CS236" s="16" t="str">
        <f t="shared" si="183"/>
        <v/>
      </c>
      <c r="CT236" s="16" t="str">
        <f t="shared" si="184"/>
        <v/>
      </c>
    </row>
    <row r="237" spans="1:99" x14ac:dyDescent="0.25">
      <c r="A237" s="13"/>
      <c r="B237" s="14"/>
      <c r="C237" s="15" t="str" cm="1">
        <f t="array" ref="C237">IF(B237="","",INDEX('Exercise list'!$C$5:$C$102,B237))</f>
        <v/>
      </c>
      <c r="D237" s="12" t="str">
        <f t="shared" si="186"/>
        <v/>
      </c>
      <c r="E237" s="107" t="str">
        <f t="shared" si="209"/>
        <v/>
      </c>
      <c r="F237" s="63" t="str" cm="1">
        <f t="array" ref="F237">IF(B237="","",0.1+IFERROR(INDEX($F$6:$F236,SUMPRODUCT(MAX(ROW($C$6:$C236)*($C237=$C$6:$C236))-ROW($A$5)))*0.9^($A237-INDEX($A$6:A236,SUMPRODUCT(MAX(ROW($C$6:$C236)*($C237=$C$6:$C236))-ROW($A$5)))),0))</f>
        <v/>
      </c>
      <c r="G237" s="64" t="e">
        <f>INDEX('Exercise list'!$Y$5:$Y$102,MATCH(C237,'Exercise list'!$C$5:$C$102,0))</f>
        <v>#N/A</v>
      </c>
      <c r="H237" s="115">
        <f t="shared" si="187"/>
        <v>0</v>
      </c>
      <c r="I237" s="6">
        <f t="shared" si="188"/>
        <v>5</v>
      </c>
      <c r="J237" s="6" t="str" cm="1">
        <f t="array" ref="J237">IF(B237="","",INDEX('Exercise list'!$D$5:$D$102,B237))</f>
        <v/>
      </c>
      <c r="K237" s="12"/>
      <c r="L237" s="74" t="str" cm="1">
        <f t="array" ref="L237">IF(K237="","",INDEX('Exercise list'!$C$5:$C$102,K237))</f>
        <v/>
      </c>
      <c r="M237" s="6"/>
      <c r="N237" s="75" t="str" cm="1">
        <f t="array" ref="N237">IF(M237="","",INDEX('Exercise list'!$C$5:$C$102,M237))</f>
        <v/>
      </c>
      <c r="P237">
        <f>IFERROR(INDEX('Exercise list'!$E$5:$X$102,MATCH($C237,'Exercise list'!$C$5:$C$102,0),MATCH(P$5,'Exercise list'!$E$4:$X$4,0)),0)</f>
        <v>0</v>
      </c>
      <c r="Q237">
        <f>IFERROR(INDEX('Exercise list'!$E$5:$X$102,MATCH($C237,'Exercise list'!$C$5:$C$102,0),MATCH(Q$5,'Exercise list'!$E$4:$X$4,0)),0)</f>
        <v>0</v>
      </c>
      <c r="R237">
        <f>IFERROR(INDEX('Exercise list'!$E$5:$X$102,MATCH($C237,'Exercise list'!$C$5:$C$102,0),MATCH(R$5,'Exercise list'!$E$4:$X$4,0)),0)</f>
        <v>0</v>
      </c>
      <c r="S237">
        <f>IFERROR(INDEX('Exercise list'!$E$5:$X$102,MATCH($C237,'Exercise list'!$C$5:$C$102,0),MATCH(S$5,'Exercise list'!$E$4:$X$4,0)),0)</f>
        <v>0</v>
      </c>
      <c r="T237">
        <f>IFERROR(INDEX('Exercise list'!$E$5:$X$102,MATCH($C237,'Exercise list'!$C$5:$C$102,0),MATCH(T$5,'Exercise list'!$E$4:$X$4,0)),0)</f>
        <v>0</v>
      </c>
      <c r="U237">
        <f>IFERROR(INDEX('Exercise list'!$E$5:$X$102,MATCH($C237,'Exercise list'!$C$5:$C$102,0),MATCH(U$5,'Exercise list'!$E$4:$X$4,0)),0)</f>
        <v>0</v>
      </c>
      <c r="V237">
        <f>IFERROR(INDEX('Exercise list'!$E$5:$X$102,MATCH($C237,'Exercise list'!$C$5:$C$102,0),MATCH(V$5,'Exercise list'!$E$4:$X$4,0)),0)</f>
        <v>0</v>
      </c>
      <c r="W237">
        <f>IFERROR(INDEX('Exercise list'!$E$5:$X$102,MATCH($C237,'Exercise list'!$C$5:$C$102,0),MATCH(W$5,'Exercise list'!$E$4:$X$4,0)),0)</f>
        <v>0</v>
      </c>
      <c r="X237">
        <f>IFERROR(INDEX('Exercise list'!$E$5:$X$102,MATCH($C237,'Exercise list'!$C$5:$C$102,0),MATCH(X$5,'Exercise list'!$E$4:$X$4,0)),0)</f>
        <v>0</v>
      </c>
      <c r="Y237">
        <f>IFERROR(INDEX('Exercise list'!$E$5:$X$102,MATCH($C237,'Exercise list'!$C$5:$C$102,0),MATCH(Y$5,'Exercise list'!$E$4:$X$4,0)),0)</f>
        <v>0</v>
      </c>
      <c r="Z237">
        <f>IFERROR(INDEX('Exercise list'!$E$5:$X$102,MATCH($C237,'Exercise list'!$C$5:$C$102,0),MATCH(Z$5,'Exercise list'!$E$4:$X$4,0)),0)</f>
        <v>0</v>
      </c>
      <c r="AA237">
        <f>IFERROR(INDEX('Exercise list'!$E$5:$X$102,MATCH($C237,'Exercise list'!$C$5:$C$102,0),MATCH(AA$5,'Exercise list'!$E$4:$X$4,0)),0)</f>
        <v>0</v>
      </c>
      <c r="AB237">
        <f>IFERROR(INDEX('Exercise list'!$E$5:$X$102,MATCH($C237,'Exercise list'!$C$5:$C$102,0),MATCH(AB$5,'Exercise list'!$E$4:$X$4,0)),0)</f>
        <v>0</v>
      </c>
      <c r="AC237">
        <f>IFERROR(INDEX('Exercise list'!$E$5:$X$102,MATCH($C237,'Exercise list'!$C$5:$C$102,0),MATCH(AC$5,'Exercise list'!$E$4:$X$4,0)),0)</f>
        <v>0</v>
      </c>
      <c r="AD237">
        <f>IFERROR(INDEX('Exercise list'!$E$5:$X$102,MATCH($C237,'Exercise list'!$C$5:$C$102,0),MATCH(AD$5,'Exercise list'!$E$4:$X$4,0)),0)</f>
        <v>0</v>
      </c>
      <c r="AE237">
        <f>IFERROR(INDEX('Exercise list'!$E$5:$X$102,MATCH($C237,'Exercise list'!$C$5:$C$102,0),MATCH(AE$5,'Exercise list'!$E$4:$X$4,0)),0)</f>
        <v>0</v>
      </c>
      <c r="AF237">
        <f>IFERROR(INDEX('Exercise list'!$E$5:$X$102,MATCH($C237,'Exercise list'!$C$5:$C$102,0),MATCH(AF$5,'Exercise list'!$E$4:$X$4,0)),0)</f>
        <v>0</v>
      </c>
      <c r="AG237">
        <f>IFERROR(INDEX('Exercise list'!$E$5:$X$102,MATCH($C237,'Exercise list'!$C$5:$C$102,0),MATCH(AG$5,'Exercise list'!$E$4:$X$4,0)),0)</f>
        <v>0</v>
      </c>
      <c r="AH237">
        <f>IFERROR(INDEX('Exercise list'!$E$5:$X$102,MATCH($C237,'Exercise list'!$C$5:$C$102,0),MATCH(AH$5,'Exercise list'!$E$4:$X$4,0)),0)</f>
        <v>0</v>
      </c>
      <c r="AI237">
        <f>IFERROR(INDEX('Exercise list'!$E$5:$X$102,MATCH($C237,'Exercise list'!$C$5:$C$102,0),MATCH(AI$5,'Exercise list'!$E$4:$X$4,0)),0)</f>
        <v>0</v>
      </c>
      <c r="AK237">
        <f>IF(OR($J237=1,COUNTIFS($A$5:$A236,"&gt;="&amp;$A237-1,$A$5:$A236,"&lt;="&amp;$A237,$B$5:$B236,$B237)&gt;0,MIN(1-'Exercise list'!E$2,IF($A237=$A236,AK236,1))-P237&lt;0),-1,MIN(1,IF($A237=$A236,AK236,1)-P237+$D$2))</f>
        <v>1</v>
      </c>
      <c r="AL237">
        <f>IF(OR($J237=1,COUNTIFS($A$5:$A236,"&gt;="&amp;$A237-1,$A$5:$A236,"&lt;="&amp;$A237,$B$5:$B236,$B237)&gt;0,MIN(1-'Exercise list'!F$2,IF($A237=$A236,AL236,1))-Q237&lt;0),-1,MIN(1,IF($A237=$A236,AL236,1)-Q237+$D$2))</f>
        <v>1</v>
      </c>
      <c r="AM237">
        <f>IF(OR($J237=1,COUNTIFS($A$5:$A236,"&gt;="&amp;$A237-1,$A$5:$A236,"&lt;="&amp;$A237,$B$5:$B236,$B237)&gt;0,MIN(1-'Exercise list'!G$2,IF($A237=$A236,AM236,1))-R237&lt;0),-1,MIN(1,IF($A237=$A236,AM236,1)-R237+$D$2))</f>
        <v>1</v>
      </c>
      <c r="AN237">
        <f>IF(OR($J237=1,COUNTIFS($A$5:$A236,"&gt;="&amp;$A237-1,$A$5:$A236,"&lt;="&amp;$A237,$B$5:$B236,$B237)&gt;0,MIN(1-'Exercise list'!H$2,IF($A237=$A236,AN236,1))-S237&lt;0),-1,MIN(1,IF($A237=$A236,AN236,1)-S237+$D$2))</f>
        <v>1</v>
      </c>
      <c r="AO237">
        <f>IF(OR($J237=1,COUNTIFS($A$5:$A236,"&gt;="&amp;$A237-1,$A$5:$A236,"&lt;="&amp;$A237,$B$5:$B236,$B237)&gt;0,MIN(1-'Exercise list'!I$2,IF($A237=$A236,AO236,1))-T237&lt;0),-1,MIN(1,IF($A237=$A236,AO236,1)-T237+$D$2))</f>
        <v>1</v>
      </c>
      <c r="AP237">
        <f>IF(OR($J237=1,COUNTIFS($A$5:$A236,"&gt;="&amp;$A237-1,$A$5:$A236,"&lt;="&amp;$A237,$B$5:$B236,$B237)&gt;0,MIN(1-'Exercise list'!J$2,IF($A237=$A236,AP236,1))-U237&lt;0),-1,MIN(1,IF($A237=$A236,AP236,1)-U237+$D$2))</f>
        <v>1</v>
      </c>
      <c r="AQ237">
        <f>IF(OR($J237=1,COUNTIFS($A$5:$A236,"&gt;="&amp;$A237-1,$A$5:$A236,"&lt;="&amp;$A237,$B$5:$B236,$B237)&gt;0,MIN(1-'Exercise list'!K$2,IF($A237=$A236,AQ236,1))-V237&lt;0),-1,MIN(1,IF($A237=$A236,AQ236,1)-V237+$D$2))</f>
        <v>1</v>
      </c>
      <c r="AR237">
        <f>IF(OR($J237=1,COUNTIFS($A$5:$A236,"&gt;="&amp;$A237-1,$A$5:$A236,"&lt;="&amp;$A237,$B$5:$B236,$B237)&gt;0,MIN(1-'Exercise list'!L$2,IF($A237=$A236,AR236,1))-W237&lt;0),-1,MIN(1,IF($A237=$A236,AR236,1)-W237+$D$2))</f>
        <v>1</v>
      </c>
      <c r="AS237">
        <f>IF(OR($J237=1,COUNTIFS($A$5:$A236,"&gt;="&amp;$A237-1,$A$5:$A236,"&lt;="&amp;$A237,$B$5:$B236,$B237)&gt;0,MIN(1-'Exercise list'!M$2,IF($A237=$A236,AS236,1))-X237&lt;0),-1,MIN(1,IF($A237=$A236,AS236,1)-X237+$D$2))</f>
        <v>1</v>
      </c>
      <c r="AT237">
        <f>IF(OR($J237=1,COUNTIFS($A$5:$A236,"&gt;="&amp;$A237-1,$A$5:$A236,"&lt;="&amp;$A237,$B$5:$B236,$B237)&gt;0,MIN(1-'Exercise list'!N$2,IF($A237=$A236,AT236,1))-Y237&lt;0),-1,MIN(1,IF($A237=$A236,AT236,1)-Y237+$D$2))</f>
        <v>1</v>
      </c>
      <c r="AU237">
        <f>IF(OR($J237=1,COUNTIFS($A$5:$A236,"&gt;="&amp;$A237-1,$A$5:$A236,"&lt;="&amp;$A237,$B$5:$B236,$B237)&gt;0,MIN(1-'Exercise list'!O$2,IF($A237=$A236,AU236,1))-Z237&lt;0),-1,MIN(1,IF($A237=$A236,AU236,1)-Z237+$D$2))</f>
        <v>1</v>
      </c>
      <c r="AV237">
        <f>IF(OR($J237=1,COUNTIFS($A$5:$A236,"&gt;="&amp;$A237-1,$A$5:$A236,"&lt;="&amp;$A237,$B$5:$B236,$B237)&gt;0,MIN(1-'Exercise list'!P$2,IF($A237=$A236,AV236,1))-AA237&lt;0),-1,MIN(1,IF($A237=$A236,AV236,1)-AA237+$D$2))</f>
        <v>1</v>
      </c>
      <c r="AW237">
        <f>IF(OR($J237=1,COUNTIFS($A$5:$A236,"&gt;="&amp;$A237-1,$A$5:$A236,"&lt;="&amp;$A237,$B$5:$B236,$B237)&gt;0,MIN(1-'Exercise list'!Q$2,IF($A237=$A236,AW236,1))-AB237&lt;0),-1,MIN(1,IF($A237=$A236,AW236,1)-AB237+$D$2))</f>
        <v>1</v>
      </c>
      <c r="AX237">
        <f>IF(OR($J237=1,COUNTIFS($A$5:$A236,"&gt;="&amp;$A237-1,$A$5:$A236,"&lt;="&amp;$A237,$B$5:$B236,$B237)&gt;0,MIN(1-'Exercise list'!R$2,IF($A237=$A236,AX236,1))-AC237&lt;0),-1,MIN(1,IF($A237=$A236,AX236,1)-AC237+$D$2))</f>
        <v>1</v>
      </c>
      <c r="AY237">
        <f>IF(OR($J237=1,COUNTIFS($A$5:$A236,"&gt;="&amp;$A237-1,$A$5:$A236,"&lt;="&amp;$A237,$B$5:$B236,$B237)&gt;0,MIN(1-'Exercise list'!S$2,IF($A237=$A236,AY236,1))-AD237&lt;0),-1,MIN(1,IF($A237=$A236,AY236,1)-AD237+$D$2))</f>
        <v>1</v>
      </c>
      <c r="AZ237">
        <f>IF(OR($J237=1,COUNTIFS($A$5:$A236,"&gt;="&amp;$A237-1,$A$5:$A236,"&lt;="&amp;$A237,$B$5:$B236,$B237)&gt;0,MIN(1-'Exercise list'!T$2,IF($A237=$A236,AZ236,1))-AE237&lt;0),-1,MIN(1,IF($A237=$A236,AZ236,1)-AE237+$D$2))</f>
        <v>1</v>
      </c>
      <c r="BA237">
        <f>IF(OR($J237=1,COUNTIFS($A$5:$A236,"&gt;="&amp;$A237-1,$A$5:$A236,"&lt;="&amp;$A237,$B$5:$B236,$B237)&gt;0,MIN(1-'Exercise list'!U$2,IF($A237=$A236,BA236,1))-AF237&lt;0),-1,MIN(1,IF($A237=$A236,BA236,1)-AF237+$D$2))</f>
        <v>1</v>
      </c>
      <c r="BB237">
        <f>IF(OR($J237=1,COUNTIFS($A$5:$A236,"&gt;="&amp;$A237-1,$A$5:$A236,"&lt;="&amp;$A237,$B$5:$B236,$B237)&gt;0,MIN(1-'Exercise list'!V$2,IF($A237=$A236,BB236,1))-AG237&lt;0),-1,MIN(1,IF($A237=$A236,BB236,1)-AG237+$D$2))</f>
        <v>1</v>
      </c>
      <c r="BC237">
        <f>IF(OR($J237=1,COUNTIFS($A$5:$A236,"&gt;="&amp;$A237-1,$A$5:$A236,"&lt;="&amp;$A237,$B$5:$B236,$B237)&gt;0,MIN(1-'Exercise list'!W$2,IF($A237=$A236,BC236,1))-AH237&lt;0),-1,MIN(1,IF($A237=$A236,BC236,1)-AH237+$D$2))</f>
        <v>1</v>
      </c>
      <c r="BD237">
        <f>IF(OR($J237=1,COUNTIFS($A$5:$A236,"&gt;="&amp;$A237-1,$A$5:$A236,"&lt;="&amp;$A237,$B$5:$B236,$B237)&gt;0,MIN(1-'Exercise list'!X$2,IF($A237=$A236,BD236,1))-AI237&lt;0),-1,MIN(1,IF($A237=$A236,BD236,1)-AI237+$D$2))</f>
        <v>1</v>
      </c>
      <c r="BF237" s="16">
        <f t="shared" si="189"/>
        <v>0.19596031081758858</v>
      </c>
      <c r="BG237" s="16">
        <f t="shared" si="190"/>
        <v>0.21844636935459236</v>
      </c>
      <c r="BH237" s="16">
        <f t="shared" si="191"/>
        <v>0.14609696635987124</v>
      </c>
      <c r="BI237" s="16">
        <f t="shared" si="192"/>
        <v>0.13198015366034541</v>
      </c>
      <c r="BJ237" s="16">
        <f t="shared" si="193"/>
        <v>8.3367914198418713E-2</v>
      </c>
      <c r="BK237" s="16">
        <f t="shared" si="194"/>
        <v>0.10640640223148412</v>
      </c>
      <c r="BL237" s="16">
        <f t="shared" si="195"/>
        <v>0.21963504743569431</v>
      </c>
      <c r="BM237" s="16">
        <f t="shared" si="196"/>
        <v>3.8988008374820568E-3</v>
      </c>
      <c r="BN237" s="16">
        <f t="shared" si="197"/>
        <v>0.14537706087090876</v>
      </c>
      <c r="BO237" s="16">
        <f t="shared" si="198"/>
        <v>0.29209790661993401</v>
      </c>
      <c r="BP237" s="16">
        <f t="shared" si="199"/>
        <v>0.31584545163401867</v>
      </c>
      <c r="BQ237" s="16">
        <f t="shared" si="200"/>
        <v>0.1000007994126096</v>
      </c>
      <c r="BR237" s="16">
        <f t="shared" si="201"/>
        <v>0.13164487759885393</v>
      </c>
      <c r="BS237" s="16">
        <f t="shared" si="202"/>
        <v>2.9803550189863123E-2</v>
      </c>
      <c r="BT237" s="16">
        <f t="shared" si="203"/>
        <v>0.13492040904978705</v>
      </c>
      <c r="BU237" s="16">
        <f t="shared" si="204"/>
        <v>0.11703687414398131</v>
      </c>
      <c r="BV237" s="16">
        <f t="shared" si="205"/>
        <v>0.14633353213781661</v>
      </c>
      <c r="BW237" s="16">
        <f t="shared" si="206"/>
        <v>7.5588015111767173E-2</v>
      </c>
      <c r="BX237" s="16">
        <f t="shared" si="207"/>
        <v>8.0345659937185704E-2</v>
      </c>
      <c r="BY237" s="16">
        <f t="shared" si="208"/>
        <v>5.9014643151272549E-2</v>
      </c>
      <c r="CA237" s="16" t="str">
        <f t="shared" si="185"/>
        <v/>
      </c>
      <c r="CB237" s="16" t="str">
        <f t="shared" si="166"/>
        <v/>
      </c>
      <c r="CC237" s="16" t="str">
        <f t="shared" si="167"/>
        <v/>
      </c>
      <c r="CD237" s="16" t="str">
        <f t="shared" si="168"/>
        <v/>
      </c>
      <c r="CE237" s="16" t="str">
        <f t="shared" si="169"/>
        <v/>
      </c>
      <c r="CF237" s="16" t="str">
        <f t="shared" si="170"/>
        <v/>
      </c>
      <c r="CG237" s="16" t="str">
        <f t="shared" si="171"/>
        <v/>
      </c>
      <c r="CH237" s="16" t="str">
        <f t="shared" si="172"/>
        <v/>
      </c>
      <c r="CI237" s="16" t="str">
        <f t="shared" si="173"/>
        <v/>
      </c>
      <c r="CJ237" s="16" t="str">
        <f t="shared" si="174"/>
        <v/>
      </c>
      <c r="CK237" s="16" t="str">
        <f t="shared" si="175"/>
        <v/>
      </c>
      <c r="CL237" s="16" t="str">
        <f t="shared" si="176"/>
        <v/>
      </c>
      <c r="CM237" s="16" t="str">
        <f t="shared" si="177"/>
        <v/>
      </c>
      <c r="CN237" s="16" t="str">
        <f t="shared" si="178"/>
        <v/>
      </c>
      <c r="CO237" s="16" t="str">
        <f t="shared" si="179"/>
        <v/>
      </c>
      <c r="CP237" s="16" t="str">
        <f t="shared" si="180"/>
        <v/>
      </c>
      <c r="CQ237" s="16" t="str">
        <f t="shared" si="181"/>
        <v/>
      </c>
      <c r="CR237" s="16" t="str">
        <f t="shared" si="182"/>
        <v/>
      </c>
      <c r="CS237" s="16" t="str">
        <f t="shared" si="183"/>
        <v/>
      </c>
      <c r="CT237" s="16" t="str">
        <f t="shared" si="184"/>
        <v/>
      </c>
    </row>
    <row r="238" spans="1:99" x14ac:dyDescent="0.25">
      <c r="A238" s="20"/>
      <c r="B238" s="21"/>
      <c r="C238" s="22" t="str" cm="1">
        <f t="array" ref="C238">IF(B238="","",INDEX('Exercise list'!$C$5:$C$102,B238))</f>
        <v/>
      </c>
      <c r="D238" s="17" t="str">
        <f t="shared" si="186"/>
        <v/>
      </c>
      <c r="E238" s="108" t="str">
        <f t="shared" si="209"/>
        <v/>
      </c>
      <c r="F238" s="65" t="str" cm="1">
        <f t="array" ref="F238">IF(B238="","",0.1+IFERROR(INDEX($F$6:$F237,SUMPRODUCT(MAX(ROW($C$6:$C237)*($C238=$C$6:$C237))-ROW($A$5)))*0.9^($A238-INDEX($A$6:A237,SUMPRODUCT(MAX(ROW($C$6:$C237)*($C238=$C$6:$C237))-ROW($A$5)))),0))</f>
        <v/>
      </c>
      <c r="G238" s="25" t="e">
        <f>INDEX('Exercise list'!$Y$5:$Y$102,MATCH(C238,'Exercise list'!$C$5:$C$102,0))</f>
        <v>#N/A</v>
      </c>
      <c r="H238" s="116">
        <f t="shared" si="187"/>
        <v>0</v>
      </c>
      <c r="I238" s="18">
        <f t="shared" si="188"/>
        <v>5</v>
      </c>
      <c r="J238" s="18" t="str" cm="1">
        <f t="array" ref="J238">IF(B238="","",INDEX('Exercise list'!$D$5:$D$102,B238))</f>
        <v/>
      </c>
      <c r="K238" s="17"/>
      <c r="L238" s="51" t="str" cm="1">
        <f t="array" ref="L238">IF(K238="","",INDEX('Exercise list'!$C$5:$C$102,K238))</f>
        <v/>
      </c>
      <c r="M238" s="18"/>
      <c r="N238" s="76" t="str" cm="1">
        <f t="array" ref="N238">IF(M238="","",INDEX('Exercise list'!$C$5:$C$102,M238))</f>
        <v/>
      </c>
      <c r="O238" s="19"/>
      <c r="P238" s="19">
        <f>IFERROR(INDEX('Exercise list'!$E$5:$X$102,MATCH($C238,'Exercise list'!$C$5:$C$102,0),MATCH(P$5,'Exercise list'!$E$4:$X$4,0)),0)</f>
        <v>0</v>
      </c>
      <c r="Q238" s="19">
        <f>IFERROR(INDEX('Exercise list'!$E$5:$X$102,MATCH($C238,'Exercise list'!$C$5:$C$102,0),MATCH(Q$5,'Exercise list'!$E$4:$X$4,0)),0)</f>
        <v>0</v>
      </c>
      <c r="R238" s="19">
        <f>IFERROR(INDEX('Exercise list'!$E$5:$X$102,MATCH($C238,'Exercise list'!$C$5:$C$102,0),MATCH(R$5,'Exercise list'!$E$4:$X$4,0)),0)</f>
        <v>0</v>
      </c>
      <c r="S238" s="19">
        <f>IFERROR(INDEX('Exercise list'!$E$5:$X$102,MATCH($C238,'Exercise list'!$C$5:$C$102,0),MATCH(S$5,'Exercise list'!$E$4:$X$4,0)),0)</f>
        <v>0</v>
      </c>
      <c r="T238" s="19">
        <f>IFERROR(INDEX('Exercise list'!$E$5:$X$102,MATCH($C238,'Exercise list'!$C$5:$C$102,0),MATCH(T$5,'Exercise list'!$E$4:$X$4,0)),0)</f>
        <v>0</v>
      </c>
      <c r="U238" s="19">
        <f>IFERROR(INDEX('Exercise list'!$E$5:$X$102,MATCH($C238,'Exercise list'!$C$5:$C$102,0),MATCH(U$5,'Exercise list'!$E$4:$X$4,0)),0)</f>
        <v>0</v>
      </c>
      <c r="V238" s="19">
        <f>IFERROR(INDEX('Exercise list'!$E$5:$X$102,MATCH($C238,'Exercise list'!$C$5:$C$102,0),MATCH(V$5,'Exercise list'!$E$4:$X$4,0)),0)</f>
        <v>0</v>
      </c>
      <c r="W238" s="19">
        <f>IFERROR(INDEX('Exercise list'!$E$5:$X$102,MATCH($C238,'Exercise list'!$C$5:$C$102,0),MATCH(W$5,'Exercise list'!$E$4:$X$4,0)),0)</f>
        <v>0</v>
      </c>
      <c r="X238" s="19">
        <f>IFERROR(INDEX('Exercise list'!$E$5:$X$102,MATCH($C238,'Exercise list'!$C$5:$C$102,0),MATCH(X$5,'Exercise list'!$E$4:$X$4,0)),0)</f>
        <v>0</v>
      </c>
      <c r="Y238" s="19">
        <f>IFERROR(INDEX('Exercise list'!$E$5:$X$102,MATCH($C238,'Exercise list'!$C$5:$C$102,0),MATCH(Y$5,'Exercise list'!$E$4:$X$4,0)),0)</f>
        <v>0</v>
      </c>
      <c r="Z238" s="19">
        <f>IFERROR(INDEX('Exercise list'!$E$5:$X$102,MATCH($C238,'Exercise list'!$C$5:$C$102,0),MATCH(Z$5,'Exercise list'!$E$4:$X$4,0)),0)</f>
        <v>0</v>
      </c>
      <c r="AA238" s="19">
        <f>IFERROR(INDEX('Exercise list'!$E$5:$X$102,MATCH($C238,'Exercise list'!$C$5:$C$102,0),MATCH(AA$5,'Exercise list'!$E$4:$X$4,0)),0)</f>
        <v>0</v>
      </c>
      <c r="AB238" s="19">
        <f>IFERROR(INDEX('Exercise list'!$E$5:$X$102,MATCH($C238,'Exercise list'!$C$5:$C$102,0),MATCH(AB$5,'Exercise list'!$E$4:$X$4,0)),0)</f>
        <v>0</v>
      </c>
      <c r="AC238" s="19">
        <f>IFERROR(INDEX('Exercise list'!$E$5:$X$102,MATCH($C238,'Exercise list'!$C$5:$C$102,0),MATCH(AC$5,'Exercise list'!$E$4:$X$4,0)),0)</f>
        <v>0</v>
      </c>
      <c r="AD238" s="19">
        <f>IFERROR(INDEX('Exercise list'!$E$5:$X$102,MATCH($C238,'Exercise list'!$C$5:$C$102,0),MATCH(AD$5,'Exercise list'!$E$4:$X$4,0)),0)</f>
        <v>0</v>
      </c>
      <c r="AE238" s="19">
        <f>IFERROR(INDEX('Exercise list'!$E$5:$X$102,MATCH($C238,'Exercise list'!$C$5:$C$102,0),MATCH(AE$5,'Exercise list'!$E$4:$X$4,0)),0)</f>
        <v>0</v>
      </c>
      <c r="AF238" s="19">
        <f>IFERROR(INDEX('Exercise list'!$E$5:$X$102,MATCH($C238,'Exercise list'!$C$5:$C$102,0),MATCH(AF$5,'Exercise list'!$E$4:$X$4,0)),0)</f>
        <v>0</v>
      </c>
      <c r="AG238" s="19">
        <f>IFERROR(INDEX('Exercise list'!$E$5:$X$102,MATCH($C238,'Exercise list'!$C$5:$C$102,0),MATCH(AG$5,'Exercise list'!$E$4:$X$4,0)),0)</f>
        <v>0</v>
      </c>
      <c r="AH238" s="19">
        <f>IFERROR(INDEX('Exercise list'!$E$5:$X$102,MATCH($C238,'Exercise list'!$C$5:$C$102,0),MATCH(AH$5,'Exercise list'!$E$4:$X$4,0)),0)</f>
        <v>0</v>
      </c>
      <c r="AI238" s="19">
        <f>IFERROR(INDEX('Exercise list'!$E$5:$X$102,MATCH($C238,'Exercise list'!$C$5:$C$102,0),MATCH(AI$5,'Exercise list'!$E$4:$X$4,0)),0)</f>
        <v>0</v>
      </c>
      <c r="AJ238" s="19"/>
      <c r="AK238" s="19">
        <f>IF(OR($J238=1,COUNTIFS($A$5:$A237,"&gt;="&amp;$A238-1,$A$5:$A237,"&lt;="&amp;$A238,$B$5:$B237,$B238)&gt;0,MIN(1-'Exercise list'!E$2,IF($A238=$A237,AK237,1))-P238&lt;0),-1,MIN(1,IF($A238=$A237,AK237,1)-P238+$D$2))</f>
        <v>1</v>
      </c>
      <c r="AL238" s="19">
        <f>IF(OR($J238=1,COUNTIFS($A$5:$A237,"&gt;="&amp;$A238-1,$A$5:$A237,"&lt;="&amp;$A238,$B$5:$B237,$B238)&gt;0,MIN(1-'Exercise list'!F$2,IF($A238=$A237,AL237,1))-Q238&lt;0),-1,MIN(1,IF($A238=$A237,AL237,1)-Q238+$D$2))</f>
        <v>1</v>
      </c>
      <c r="AM238" s="19">
        <f>IF(OR($J238=1,COUNTIFS($A$5:$A237,"&gt;="&amp;$A238-1,$A$5:$A237,"&lt;="&amp;$A238,$B$5:$B237,$B238)&gt;0,MIN(1-'Exercise list'!G$2,IF($A238=$A237,AM237,1))-R238&lt;0),-1,MIN(1,IF($A238=$A237,AM237,1)-R238+$D$2))</f>
        <v>1</v>
      </c>
      <c r="AN238" s="19">
        <f>IF(OR($J238=1,COUNTIFS($A$5:$A237,"&gt;="&amp;$A238-1,$A$5:$A237,"&lt;="&amp;$A238,$B$5:$B237,$B238)&gt;0,MIN(1-'Exercise list'!H$2,IF($A238=$A237,AN237,1))-S238&lt;0),-1,MIN(1,IF($A238=$A237,AN237,1)-S238+$D$2))</f>
        <v>1</v>
      </c>
      <c r="AO238" s="19">
        <f>IF(OR($J238=1,COUNTIFS($A$5:$A237,"&gt;="&amp;$A238-1,$A$5:$A237,"&lt;="&amp;$A238,$B$5:$B237,$B238)&gt;0,MIN(1-'Exercise list'!I$2,IF($A238=$A237,AO237,1))-T238&lt;0),-1,MIN(1,IF($A238=$A237,AO237,1)-T238+$D$2))</f>
        <v>1</v>
      </c>
      <c r="AP238" s="19">
        <f>IF(OR($J238=1,COUNTIFS($A$5:$A237,"&gt;="&amp;$A238-1,$A$5:$A237,"&lt;="&amp;$A238,$B$5:$B237,$B238)&gt;0,MIN(1-'Exercise list'!J$2,IF($A238=$A237,AP237,1))-U238&lt;0),-1,MIN(1,IF($A238=$A237,AP237,1)-U238+$D$2))</f>
        <v>1</v>
      </c>
      <c r="AQ238" s="19">
        <f>IF(OR($J238=1,COUNTIFS($A$5:$A237,"&gt;="&amp;$A238-1,$A$5:$A237,"&lt;="&amp;$A238,$B$5:$B237,$B238)&gt;0,MIN(1-'Exercise list'!K$2,IF($A238=$A237,AQ237,1))-V238&lt;0),-1,MIN(1,IF($A238=$A237,AQ237,1)-V238+$D$2))</f>
        <v>1</v>
      </c>
      <c r="AR238" s="19">
        <f>IF(OR($J238=1,COUNTIFS($A$5:$A237,"&gt;="&amp;$A238-1,$A$5:$A237,"&lt;="&amp;$A238,$B$5:$B237,$B238)&gt;0,MIN(1-'Exercise list'!L$2,IF($A238=$A237,AR237,1))-W238&lt;0),-1,MIN(1,IF($A238=$A237,AR237,1)-W238+$D$2))</f>
        <v>1</v>
      </c>
      <c r="AS238" s="19">
        <f>IF(OR($J238=1,COUNTIFS($A$5:$A237,"&gt;="&amp;$A238-1,$A$5:$A237,"&lt;="&amp;$A238,$B$5:$B237,$B238)&gt;0,MIN(1-'Exercise list'!M$2,IF($A238=$A237,AS237,1))-X238&lt;0),-1,MIN(1,IF($A238=$A237,AS237,1)-X238+$D$2))</f>
        <v>1</v>
      </c>
      <c r="AT238" s="19">
        <f>IF(OR($J238=1,COUNTIFS($A$5:$A237,"&gt;="&amp;$A238-1,$A$5:$A237,"&lt;="&amp;$A238,$B$5:$B237,$B238)&gt;0,MIN(1-'Exercise list'!N$2,IF($A238=$A237,AT237,1))-Y238&lt;0),-1,MIN(1,IF($A238=$A237,AT237,1)-Y238+$D$2))</f>
        <v>1</v>
      </c>
      <c r="AU238" s="19">
        <f>IF(OR($J238=1,COUNTIFS($A$5:$A237,"&gt;="&amp;$A238-1,$A$5:$A237,"&lt;="&amp;$A238,$B$5:$B237,$B238)&gt;0,MIN(1-'Exercise list'!O$2,IF($A238=$A237,AU237,1))-Z238&lt;0),-1,MIN(1,IF($A238=$A237,AU237,1)-Z238+$D$2))</f>
        <v>1</v>
      </c>
      <c r="AV238" s="19">
        <f>IF(OR($J238=1,COUNTIFS($A$5:$A237,"&gt;="&amp;$A238-1,$A$5:$A237,"&lt;="&amp;$A238,$B$5:$B237,$B238)&gt;0,MIN(1-'Exercise list'!P$2,IF($A238=$A237,AV237,1))-AA238&lt;0),-1,MIN(1,IF($A238=$A237,AV237,1)-AA238+$D$2))</f>
        <v>1</v>
      </c>
      <c r="AW238" s="19">
        <f>IF(OR($J238=1,COUNTIFS($A$5:$A237,"&gt;="&amp;$A238-1,$A$5:$A237,"&lt;="&amp;$A238,$B$5:$B237,$B238)&gt;0,MIN(1-'Exercise list'!Q$2,IF($A238=$A237,AW237,1))-AB238&lt;0),-1,MIN(1,IF($A238=$A237,AW237,1)-AB238+$D$2))</f>
        <v>1</v>
      </c>
      <c r="AX238" s="19">
        <f>IF(OR($J238=1,COUNTIFS($A$5:$A237,"&gt;="&amp;$A238-1,$A$5:$A237,"&lt;="&amp;$A238,$B$5:$B237,$B238)&gt;0,MIN(1-'Exercise list'!R$2,IF($A238=$A237,AX237,1))-AC238&lt;0),-1,MIN(1,IF($A238=$A237,AX237,1)-AC238+$D$2))</f>
        <v>1</v>
      </c>
      <c r="AY238" s="19">
        <f>IF(OR($J238=1,COUNTIFS($A$5:$A237,"&gt;="&amp;$A238-1,$A$5:$A237,"&lt;="&amp;$A238,$B$5:$B237,$B238)&gt;0,MIN(1-'Exercise list'!S$2,IF($A238=$A237,AY237,1))-AD238&lt;0),-1,MIN(1,IF($A238=$A237,AY237,1)-AD238+$D$2))</f>
        <v>1</v>
      </c>
      <c r="AZ238" s="19">
        <f>IF(OR($J238=1,COUNTIFS($A$5:$A237,"&gt;="&amp;$A238-1,$A$5:$A237,"&lt;="&amp;$A238,$B$5:$B237,$B238)&gt;0,MIN(1-'Exercise list'!T$2,IF($A238=$A237,AZ237,1))-AE238&lt;0),-1,MIN(1,IF($A238=$A237,AZ237,1)-AE238+$D$2))</f>
        <v>1</v>
      </c>
      <c r="BA238" s="19">
        <f>IF(OR($J238=1,COUNTIFS($A$5:$A237,"&gt;="&amp;$A238-1,$A$5:$A237,"&lt;="&amp;$A238,$B$5:$B237,$B238)&gt;0,MIN(1-'Exercise list'!U$2,IF($A238=$A237,BA237,1))-AF238&lt;0),-1,MIN(1,IF($A238=$A237,BA237,1)-AF238+$D$2))</f>
        <v>1</v>
      </c>
      <c r="BB238" s="19">
        <f>IF(OR($J238=1,COUNTIFS($A$5:$A237,"&gt;="&amp;$A238-1,$A$5:$A237,"&lt;="&amp;$A238,$B$5:$B237,$B238)&gt;0,MIN(1-'Exercise list'!V$2,IF($A238=$A237,BB237,1))-AG238&lt;0),-1,MIN(1,IF($A238=$A237,BB237,1)-AG238+$D$2))</f>
        <v>1</v>
      </c>
      <c r="BC238" s="19">
        <f>IF(OR($J238=1,COUNTIFS($A$5:$A237,"&gt;="&amp;$A238-1,$A$5:$A237,"&lt;="&amp;$A238,$B$5:$B237,$B238)&gt;0,MIN(1-'Exercise list'!W$2,IF($A238=$A237,BC237,1))-AH238&lt;0),-1,MIN(1,IF($A238=$A237,BC237,1)-AH238+$D$2))</f>
        <v>1</v>
      </c>
      <c r="BD238" s="19">
        <f>IF(OR($J238=1,COUNTIFS($A$5:$A237,"&gt;="&amp;$A238-1,$A$5:$A237,"&lt;="&amp;$A238,$B$5:$B237,$B238)&gt;0,MIN(1-'Exercise list'!X$2,IF($A238=$A237,BD237,1))-AI238&lt;0),-1,MIN(1,IF($A238=$A237,BD237,1)-AI238+$D$2))</f>
        <v>1</v>
      </c>
      <c r="BE238" s="19"/>
      <c r="BF238" s="23">
        <f t="shared" si="189"/>
        <v>0.19596031081758858</v>
      </c>
      <c r="BG238" s="23">
        <f t="shared" si="190"/>
        <v>0.21844636935459236</v>
      </c>
      <c r="BH238" s="23">
        <f t="shared" si="191"/>
        <v>0.14609696635987124</v>
      </c>
      <c r="BI238" s="23">
        <f t="shared" si="192"/>
        <v>0.13198015366034541</v>
      </c>
      <c r="BJ238" s="23">
        <f t="shared" si="193"/>
        <v>8.3367914198418713E-2</v>
      </c>
      <c r="BK238" s="23">
        <f t="shared" si="194"/>
        <v>0.10640640223148412</v>
      </c>
      <c r="BL238" s="23">
        <f t="shared" si="195"/>
        <v>0.21963504743569431</v>
      </c>
      <c r="BM238" s="23">
        <f t="shared" si="196"/>
        <v>3.8988008374820568E-3</v>
      </c>
      <c r="BN238" s="23">
        <f t="shared" si="197"/>
        <v>0.14537706087090876</v>
      </c>
      <c r="BO238" s="23">
        <f t="shared" si="198"/>
        <v>0.29209790661993401</v>
      </c>
      <c r="BP238" s="23">
        <f t="shared" si="199"/>
        <v>0.31584545163401867</v>
      </c>
      <c r="BQ238" s="23">
        <f t="shared" si="200"/>
        <v>0.1000007994126096</v>
      </c>
      <c r="BR238" s="23">
        <f t="shared" si="201"/>
        <v>0.13164487759885393</v>
      </c>
      <c r="BS238" s="23">
        <f t="shared" si="202"/>
        <v>2.9803550189863123E-2</v>
      </c>
      <c r="BT238" s="23">
        <f t="shared" si="203"/>
        <v>0.13492040904978705</v>
      </c>
      <c r="BU238" s="23">
        <f t="shared" si="204"/>
        <v>0.11703687414398131</v>
      </c>
      <c r="BV238" s="23">
        <f t="shared" si="205"/>
        <v>0.14633353213781661</v>
      </c>
      <c r="BW238" s="23">
        <f t="shared" si="206"/>
        <v>7.5588015111767173E-2</v>
      </c>
      <c r="BX238" s="23">
        <f t="shared" si="207"/>
        <v>8.0345659937185704E-2</v>
      </c>
      <c r="BY238" s="23">
        <f t="shared" si="208"/>
        <v>5.9014643151272549E-2</v>
      </c>
      <c r="BZ238" s="19"/>
      <c r="CA238" s="23" t="str">
        <f t="shared" si="185"/>
        <v/>
      </c>
      <c r="CB238" s="23" t="str">
        <f t="shared" si="166"/>
        <v/>
      </c>
      <c r="CC238" s="23" t="str">
        <f t="shared" si="167"/>
        <v/>
      </c>
      <c r="CD238" s="23" t="str">
        <f t="shared" si="168"/>
        <v/>
      </c>
      <c r="CE238" s="23" t="str">
        <f t="shared" si="169"/>
        <v/>
      </c>
      <c r="CF238" s="23" t="str">
        <f t="shared" si="170"/>
        <v/>
      </c>
      <c r="CG238" s="23" t="str">
        <f t="shared" si="171"/>
        <v/>
      </c>
      <c r="CH238" s="23" t="str">
        <f t="shared" si="172"/>
        <v/>
      </c>
      <c r="CI238" s="23" t="str">
        <f t="shared" si="173"/>
        <v/>
      </c>
      <c r="CJ238" s="23" t="str">
        <f t="shared" si="174"/>
        <v/>
      </c>
      <c r="CK238" s="23" t="str">
        <f t="shared" si="175"/>
        <v/>
      </c>
      <c r="CL238" s="23" t="str">
        <f t="shared" si="176"/>
        <v/>
      </c>
      <c r="CM238" s="23" t="str">
        <f t="shared" si="177"/>
        <v/>
      </c>
      <c r="CN238" s="23" t="str">
        <f t="shared" si="178"/>
        <v/>
      </c>
      <c r="CO238" s="23" t="str">
        <f t="shared" si="179"/>
        <v/>
      </c>
      <c r="CP238" s="23" t="str">
        <f t="shared" si="180"/>
        <v/>
      </c>
      <c r="CQ238" s="23" t="str">
        <f t="shared" si="181"/>
        <v/>
      </c>
      <c r="CR238" s="23" t="str">
        <f t="shared" si="182"/>
        <v/>
      </c>
      <c r="CS238" s="23" t="str">
        <f t="shared" si="183"/>
        <v/>
      </c>
      <c r="CT238" s="23" t="str">
        <f t="shared" si="184"/>
        <v/>
      </c>
      <c r="CU238" s="19"/>
    </row>
    <row r="239" spans="1:99" x14ac:dyDescent="0.25">
      <c r="A239" s="13"/>
      <c r="B239" s="14"/>
      <c r="C239" s="15" t="str" cm="1">
        <f t="array" ref="C239">IF(B239="","",INDEX('Exercise list'!$C$5:$C$102,B239))</f>
        <v/>
      </c>
      <c r="D239" s="12" t="str">
        <f t="shared" si="186"/>
        <v/>
      </c>
      <c r="E239" s="107" t="str">
        <f t="shared" si="209"/>
        <v/>
      </c>
      <c r="F239" s="63" t="str" cm="1">
        <f t="array" ref="F239">IF(B239="","",0.1+IFERROR(INDEX($F$6:$F238,SUMPRODUCT(MAX(ROW($C$6:$C238)*($C239=$C$6:$C238))-ROW($A$5)))*0.9^($A239-INDEX($A$6:A238,SUMPRODUCT(MAX(ROW($C$6:$C238)*($C239=$C$6:$C238))-ROW($A$5)))),0))</f>
        <v/>
      </c>
      <c r="G239" s="64" t="e">
        <f>INDEX('Exercise list'!$Y$5:$Y$102,MATCH(C239,'Exercise list'!$C$5:$C$102,0))</f>
        <v>#N/A</v>
      </c>
      <c r="H239" s="115">
        <f t="shared" si="187"/>
        <v>0</v>
      </c>
      <c r="I239" s="42">
        <f t="shared" si="188"/>
        <v>5</v>
      </c>
      <c r="J239" s="6" t="str" cm="1">
        <f t="array" ref="J239">IF(B239="","",INDEX('Exercise list'!$D$5:$D$102,B239))</f>
        <v/>
      </c>
      <c r="K239" s="12"/>
      <c r="L239" s="74" t="str" cm="1">
        <f t="array" ref="L239">IF(K239="","",INDEX('Exercise list'!$C$5:$C$102,K239))</f>
        <v/>
      </c>
      <c r="M239" s="6"/>
      <c r="N239" s="75" t="str" cm="1">
        <f t="array" ref="N239">IF(M239="","",INDEX('Exercise list'!$C$5:$C$102,M239))</f>
        <v/>
      </c>
      <c r="P239">
        <f>IFERROR(INDEX('Exercise list'!$E$5:$X$102,MATCH($C239,'Exercise list'!$C$5:$C$102,0),MATCH(P$5,'Exercise list'!$E$4:$X$4,0)),0)</f>
        <v>0</v>
      </c>
      <c r="Q239">
        <f>IFERROR(INDEX('Exercise list'!$E$5:$X$102,MATCH($C239,'Exercise list'!$C$5:$C$102,0),MATCH(Q$5,'Exercise list'!$E$4:$X$4,0)),0)</f>
        <v>0</v>
      </c>
      <c r="R239">
        <f>IFERROR(INDEX('Exercise list'!$E$5:$X$102,MATCH($C239,'Exercise list'!$C$5:$C$102,0),MATCH(R$5,'Exercise list'!$E$4:$X$4,0)),0)</f>
        <v>0</v>
      </c>
      <c r="S239">
        <f>IFERROR(INDEX('Exercise list'!$E$5:$X$102,MATCH($C239,'Exercise list'!$C$5:$C$102,0),MATCH(S$5,'Exercise list'!$E$4:$X$4,0)),0)</f>
        <v>0</v>
      </c>
      <c r="T239">
        <f>IFERROR(INDEX('Exercise list'!$E$5:$X$102,MATCH($C239,'Exercise list'!$C$5:$C$102,0),MATCH(T$5,'Exercise list'!$E$4:$X$4,0)),0)</f>
        <v>0</v>
      </c>
      <c r="U239">
        <f>IFERROR(INDEX('Exercise list'!$E$5:$X$102,MATCH($C239,'Exercise list'!$C$5:$C$102,0),MATCH(U$5,'Exercise list'!$E$4:$X$4,0)),0)</f>
        <v>0</v>
      </c>
      <c r="V239">
        <f>IFERROR(INDEX('Exercise list'!$E$5:$X$102,MATCH($C239,'Exercise list'!$C$5:$C$102,0),MATCH(V$5,'Exercise list'!$E$4:$X$4,0)),0)</f>
        <v>0</v>
      </c>
      <c r="W239">
        <f>IFERROR(INDEX('Exercise list'!$E$5:$X$102,MATCH($C239,'Exercise list'!$C$5:$C$102,0),MATCH(W$5,'Exercise list'!$E$4:$X$4,0)),0)</f>
        <v>0</v>
      </c>
      <c r="X239">
        <f>IFERROR(INDEX('Exercise list'!$E$5:$X$102,MATCH($C239,'Exercise list'!$C$5:$C$102,0),MATCH(X$5,'Exercise list'!$E$4:$X$4,0)),0)</f>
        <v>0</v>
      </c>
      <c r="Y239">
        <f>IFERROR(INDEX('Exercise list'!$E$5:$X$102,MATCH($C239,'Exercise list'!$C$5:$C$102,0),MATCH(Y$5,'Exercise list'!$E$4:$X$4,0)),0)</f>
        <v>0</v>
      </c>
      <c r="Z239">
        <f>IFERROR(INDEX('Exercise list'!$E$5:$X$102,MATCH($C239,'Exercise list'!$C$5:$C$102,0),MATCH(Z$5,'Exercise list'!$E$4:$X$4,0)),0)</f>
        <v>0</v>
      </c>
      <c r="AA239">
        <f>IFERROR(INDEX('Exercise list'!$E$5:$X$102,MATCH($C239,'Exercise list'!$C$5:$C$102,0),MATCH(AA$5,'Exercise list'!$E$4:$X$4,0)),0)</f>
        <v>0</v>
      </c>
      <c r="AB239">
        <f>IFERROR(INDEX('Exercise list'!$E$5:$X$102,MATCH($C239,'Exercise list'!$C$5:$C$102,0),MATCH(AB$5,'Exercise list'!$E$4:$X$4,0)),0)</f>
        <v>0</v>
      </c>
      <c r="AC239">
        <f>IFERROR(INDEX('Exercise list'!$E$5:$X$102,MATCH($C239,'Exercise list'!$C$5:$C$102,0),MATCH(AC$5,'Exercise list'!$E$4:$X$4,0)),0)</f>
        <v>0</v>
      </c>
      <c r="AD239">
        <f>IFERROR(INDEX('Exercise list'!$E$5:$X$102,MATCH($C239,'Exercise list'!$C$5:$C$102,0),MATCH(AD$5,'Exercise list'!$E$4:$X$4,0)),0)</f>
        <v>0</v>
      </c>
      <c r="AE239">
        <f>IFERROR(INDEX('Exercise list'!$E$5:$X$102,MATCH($C239,'Exercise list'!$C$5:$C$102,0),MATCH(AE$5,'Exercise list'!$E$4:$X$4,0)),0)</f>
        <v>0</v>
      </c>
      <c r="AF239">
        <f>IFERROR(INDEX('Exercise list'!$E$5:$X$102,MATCH($C239,'Exercise list'!$C$5:$C$102,0),MATCH(AF$5,'Exercise list'!$E$4:$X$4,0)),0)</f>
        <v>0</v>
      </c>
      <c r="AG239">
        <f>IFERROR(INDEX('Exercise list'!$E$5:$X$102,MATCH($C239,'Exercise list'!$C$5:$C$102,0),MATCH(AG$5,'Exercise list'!$E$4:$X$4,0)),0)</f>
        <v>0</v>
      </c>
      <c r="AH239">
        <f>IFERROR(INDEX('Exercise list'!$E$5:$X$102,MATCH($C239,'Exercise list'!$C$5:$C$102,0),MATCH(AH$5,'Exercise list'!$E$4:$X$4,0)),0)</f>
        <v>0</v>
      </c>
      <c r="AI239">
        <f>IFERROR(INDEX('Exercise list'!$E$5:$X$102,MATCH($C239,'Exercise list'!$C$5:$C$102,0),MATCH(AI$5,'Exercise list'!$E$4:$X$4,0)),0)</f>
        <v>0</v>
      </c>
      <c r="AK239">
        <f>IF(OR($J239=1,COUNTIFS($A$5:$A238,"&gt;="&amp;$A239-1,$A$5:$A238,"&lt;="&amp;$A239,$B$5:$B238,$B239)&gt;0,MIN(1-'Exercise list'!E$2,IF($A239=$A238,AK238,1))-P239&lt;0),-1,MIN(1,IF($A239=$A238,AK238,1)-P239+$D$2))</f>
        <v>1</v>
      </c>
      <c r="AL239">
        <f>IF(OR($J239=1,COUNTIFS($A$5:$A238,"&gt;="&amp;$A239-1,$A$5:$A238,"&lt;="&amp;$A239,$B$5:$B238,$B239)&gt;0,MIN(1-'Exercise list'!F$2,IF($A239=$A238,AL238,1))-Q239&lt;0),-1,MIN(1,IF($A239=$A238,AL238,1)-Q239+$D$2))</f>
        <v>1</v>
      </c>
      <c r="AM239">
        <f>IF(OR($J239=1,COUNTIFS($A$5:$A238,"&gt;="&amp;$A239-1,$A$5:$A238,"&lt;="&amp;$A239,$B$5:$B238,$B239)&gt;0,MIN(1-'Exercise list'!G$2,IF($A239=$A238,AM238,1))-R239&lt;0),-1,MIN(1,IF($A239=$A238,AM238,1)-R239+$D$2))</f>
        <v>1</v>
      </c>
      <c r="AN239">
        <f>IF(OR($J239=1,COUNTIFS($A$5:$A238,"&gt;="&amp;$A239-1,$A$5:$A238,"&lt;="&amp;$A239,$B$5:$B238,$B239)&gt;0,MIN(1-'Exercise list'!H$2,IF($A239=$A238,AN238,1))-S239&lt;0),-1,MIN(1,IF($A239=$A238,AN238,1)-S239+$D$2))</f>
        <v>1</v>
      </c>
      <c r="AO239">
        <f>IF(OR($J239=1,COUNTIFS($A$5:$A238,"&gt;="&amp;$A239-1,$A$5:$A238,"&lt;="&amp;$A239,$B$5:$B238,$B239)&gt;0,MIN(1-'Exercise list'!I$2,IF($A239=$A238,AO238,1))-T239&lt;0),-1,MIN(1,IF($A239=$A238,AO238,1)-T239+$D$2))</f>
        <v>1</v>
      </c>
      <c r="AP239">
        <f>IF(OR($J239=1,COUNTIFS($A$5:$A238,"&gt;="&amp;$A239-1,$A$5:$A238,"&lt;="&amp;$A239,$B$5:$B238,$B239)&gt;0,MIN(1-'Exercise list'!J$2,IF($A239=$A238,AP238,1))-U239&lt;0),-1,MIN(1,IF($A239=$A238,AP238,1)-U239+$D$2))</f>
        <v>1</v>
      </c>
      <c r="AQ239">
        <f>IF(OR($J239=1,COUNTIFS($A$5:$A238,"&gt;="&amp;$A239-1,$A$5:$A238,"&lt;="&amp;$A239,$B$5:$B238,$B239)&gt;0,MIN(1-'Exercise list'!K$2,IF($A239=$A238,AQ238,1))-V239&lt;0),-1,MIN(1,IF($A239=$A238,AQ238,1)-V239+$D$2))</f>
        <v>1</v>
      </c>
      <c r="AR239">
        <f>IF(OR($J239=1,COUNTIFS($A$5:$A238,"&gt;="&amp;$A239-1,$A$5:$A238,"&lt;="&amp;$A239,$B$5:$B238,$B239)&gt;0,MIN(1-'Exercise list'!L$2,IF($A239=$A238,AR238,1))-W239&lt;0),-1,MIN(1,IF($A239=$A238,AR238,1)-W239+$D$2))</f>
        <v>1</v>
      </c>
      <c r="AS239">
        <f>IF(OR($J239=1,COUNTIFS($A$5:$A238,"&gt;="&amp;$A239-1,$A$5:$A238,"&lt;="&amp;$A239,$B$5:$B238,$B239)&gt;0,MIN(1-'Exercise list'!M$2,IF($A239=$A238,AS238,1))-X239&lt;0),-1,MIN(1,IF($A239=$A238,AS238,1)-X239+$D$2))</f>
        <v>1</v>
      </c>
      <c r="AT239">
        <f>IF(OR($J239=1,COUNTIFS($A$5:$A238,"&gt;="&amp;$A239-1,$A$5:$A238,"&lt;="&amp;$A239,$B$5:$B238,$B239)&gt;0,MIN(1-'Exercise list'!N$2,IF($A239=$A238,AT238,1))-Y239&lt;0),-1,MIN(1,IF($A239=$A238,AT238,1)-Y239+$D$2))</f>
        <v>1</v>
      </c>
      <c r="AU239">
        <f>IF(OR($J239=1,COUNTIFS($A$5:$A238,"&gt;="&amp;$A239-1,$A$5:$A238,"&lt;="&amp;$A239,$B$5:$B238,$B239)&gt;0,MIN(1-'Exercise list'!O$2,IF($A239=$A238,AU238,1))-Z239&lt;0),-1,MIN(1,IF($A239=$A238,AU238,1)-Z239+$D$2))</f>
        <v>1</v>
      </c>
      <c r="AV239">
        <f>IF(OR($J239=1,COUNTIFS($A$5:$A238,"&gt;="&amp;$A239-1,$A$5:$A238,"&lt;="&amp;$A239,$B$5:$B238,$B239)&gt;0,MIN(1-'Exercise list'!P$2,IF($A239=$A238,AV238,1))-AA239&lt;0),-1,MIN(1,IF($A239=$A238,AV238,1)-AA239+$D$2))</f>
        <v>1</v>
      </c>
      <c r="AW239">
        <f>IF(OR($J239=1,COUNTIFS($A$5:$A238,"&gt;="&amp;$A239-1,$A$5:$A238,"&lt;="&amp;$A239,$B$5:$B238,$B239)&gt;0,MIN(1-'Exercise list'!Q$2,IF($A239=$A238,AW238,1))-AB239&lt;0),-1,MIN(1,IF($A239=$A238,AW238,1)-AB239+$D$2))</f>
        <v>1</v>
      </c>
      <c r="AX239">
        <f>IF(OR($J239=1,COUNTIFS($A$5:$A238,"&gt;="&amp;$A239-1,$A$5:$A238,"&lt;="&amp;$A239,$B$5:$B238,$B239)&gt;0,MIN(1-'Exercise list'!R$2,IF($A239=$A238,AX238,1))-AC239&lt;0),-1,MIN(1,IF($A239=$A238,AX238,1)-AC239+$D$2))</f>
        <v>1</v>
      </c>
      <c r="AY239">
        <f>IF(OR($J239=1,COUNTIFS($A$5:$A238,"&gt;="&amp;$A239-1,$A$5:$A238,"&lt;="&amp;$A239,$B$5:$B238,$B239)&gt;0,MIN(1-'Exercise list'!S$2,IF($A239=$A238,AY238,1))-AD239&lt;0),-1,MIN(1,IF($A239=$A238,AY238,1)-AD239+$D$2))</f>
        <v>1</v>
      </c>
      <c r="AZ239">
        <f>IF(OR($J239=1,COUNTIFS($A$5:$A238,"&gt;="&amp;$A239-1,$A$5:$A238,"&lt;="&amp;$A239,$B$5:$B238,$B239)&gt;0,MIN(1-'Exercise list'!T$2,IF($A239=$A238,AZ238,1))-AE239&lt;0),-1,MIN(1,IF($A239=$A238,AZ238,1)-AE239+$D$2))</f>
        <v>1</v>
      </c>
      <c r="BA239">
        <f>IF(OR($J239=1,COUNTIFS($A$5:$A238,"&gt;="&amp;$A239-1,$A$5:$A238,"&lt;="&amp;$A239,$B$5:$B238,$B239)&gt;0,MIN(1-'Exercise list'!U$2,IF($A239=$A238,BA238,1))-AF239&lt;0),-1,MIN(1,IF($A239=$A238,BA238,1)-AF239+$D$2))</f>
        <v>1</v>
      </c>
      <c r="BB239">
        <f>IF(OR($J239=1,COUNTIFS($A$5:$A238,"&gt;="&amp;$A239-1,$A$5:$A238,"&lt;="&amp;$A239,$B$5:$B238,$B239)&gt;0,MIN(1-'Exercise list'!V$2,IF($A239=$A238,BB238,1))-AG239&lt;0),-1,MIN(1,IF($A239=$A238,BB238,1)-AG239+$D$2))</f>
        <v>1</v>
      </c>
      <c r="BC239">
        <f>IF(OR($J239=1,COUNTIFS($A$5:$A238,"&gt;="&amp;$A239-1,$A$5:$A238,"&lt;="&amp;$A239,$B$5:$B238,$B239)&gt;0,MIN(1-'Exercise list'!W$2,IF($A239=$A238,BC238,1))-AH239&lt;0),-1,MIN(1,IF($A239=$A238,BC238,1)-AH239+$D$2))</f>
        <v>1</v>
      </c>
      <c r="BD239">
        <f>IF(OR($J239=1,COUNTIFS($A$5:$A238,"&gt;="&amp;$A239-1,$A$5:$A238,"&lt;="&amp;$A239,$B$5:$B238,$B239)&gt;0,MIN(1-'Exercise list'!X$2,IF($A239=$A238,BD238,1))-AI239&lt;0),-1,MIN(1,IF($A239=$A238,BD238,1)-AI239+$D$2))</f>
        <v>1</v>
      </c>
      <c r="BF239" s="16">
        <f t="shared" si="189"/>
        <v>0.19596031081758858</v>
      </c>
      <c r="BG239" s="16">
        <f t="shared" si="190"/>
        <v>0.21844636935459236</v>
      </c>
      <c r="BH239" s="16">
        <f t="shared" si="191"/>
        <v>0.14609696635987124</v>
      </c>
      <c r="BI239" s="16">
        <f t="shared" si="192"/>
        <v>0.13198015366034541</v>
      </c>
      <c r="BJ239" s="16">
        <f t="shared" si="193"/>
        <v>8.3367914198418713E-2</v>
      </c>
      <c r="BK239" s="16">
        <f t="shared" si="194"/>
        <v>0.10640640223148412</v>
      </c>
      <c r="BL239" s="16">
        <f t="shared" si="195"/>
        <v>0.21963504743569431</v>
      </c>
      <c r="BM239" s="16">
        <f t="shared" si="196"/>
        <v>3.8988008374820568E-3</v>
      </c>
      <c r="BN239" s="16">
        <f t="shared" si="197"/>
        <v>0.14537706087090876</v>
      </c>
      <c r="BO239" s="16">
        <f t="shared" si="198"/>
        <v>0.29209790661993401</v>
      </c>
      <c r="BP239" s="16">
        <f t="shared" si="199"/>
        <v>0.31584545163401867</v>
      </c>
      <c r="BQ239" s="16">
        <f t="shared" si="200"/>
        <v>0.1000007994126096</v>
      </c>
      <c r="BR239" s="16">
        <f t="shared" si="201"/>
        <v>0.13164487759885393</v>
      </c>
      <c r="BS239" s="16">
        <f t="shared" si="202"/>
        <v>2.9803550189863123E-2</v>
      </c>
      <c r="BT239" s="16">
        <f t="shared" si="203"/>
        <v>0.13492040904978705</v>
      </c>
      <c r="BU239" s="16">
        <f t="shared" si="204"/>
        <v>0.11703687414398131</v>
      </c>
      <c r="BV239" s="16">
        <f t="shared" si="205"/>
        <v>0.14633353213781661</v>
      </c>
      <c r="BW239" s="16">
        <f t="shared" si="206"/>
        <v>7.5588015111767173E-2</v>
      </c>
      <c r="BX239" s="16">
        <f t="shared" si="207"/>
        <v>8.0345659937185704E-2</v>
      </c>
      <c r="BY239" s="16">
        <f t="shared" si="208"/>
        <v>5.9014643151272549E-2</v>
      </c>
      <c r="CA239" s="16" t="str">
        <f t="shared" si="185"/>
        <v/>
      </c>
      <c r="CB239" s="16" t="str">
        <f t="shared" si="166"/>
        <v/>
      </c>
      <c r="CC239" s="16" t="str">
        <f t="shared" si="167"/>
        <v/>
      </c>
      <c r="CD239" s="16" t="str">
        <f t="shared" si="168"/>
        <v/>
      </c>
      <c r="CE239" s="16" t="str">
        <f t="shared" si="169"/>
        <v/>
      </c>
      <c r="CF239" s="16" t="str">
        <f t="shared" si="170"/>
        <v/>
      </c>
      <c r="CG239" s="16" t="str">
        <f t="shared" si="171"/>
        <v/>
      </c>
      <c r="CH239" s="16" t="str">
        <f t="shared" si="172"/>
        <v/>
      </c>
      <c r="CI239" s="16" t="str">
        <f t="shared" si="173"/>
        <v/>
      </c>
      <c r="CJ239" s="16" t="str">
        <f t="shared" si="174"/>
        <v/>
      </c>
      <c r="CK239" s="16" t="str">
        <f t="shared" si="175"/>
        <v/>
      </c>
      <c r="CL239" s="16" t="str">
        <f t="shared" si="176"/>
        <v/>
      </c>
      <c r="CM239" s="16" t="str">
        <f t="shared" si="177"/>
        <v/>
      </c>
      <c r="CN239" s="16" t="str">
        <f t="shared" si="178"/>
        <v/>
      </c>
      <c r="CO239" s="16" t="str">
        <f t="shared" si="179"/>
        <v/>
      </c>
      <c r="CP239" s="16" t="str">
        <f t="shared" si="180"/>
        <v/>
      </c>
      <c r="CQ239" s="16" t="str">
        <f t="shared" si="181"/>
        <v/>
      </c>
      <c r="CR239" s="16" t="str">
        <f t="shared" si="182"/>
        <v/>
      </c>
      <c r="CS239" s="16" t="str">
        <f t="shared" si="183"/>
        <v/>
      </c>
      <c r="CT239" s="16" t="str">
        <f t="shared" si="184"/>
        <v/>
      </c>
    </row>
    <row r="240" spans="1:99" x14ac:dyDescent="0.25">
      <c r="A240" s="13"/>
      <c r="B240" s="14"/>
      <c r="C240" s="15" t="str" cm="1">
        <f t="array" ref="C240">IF(B240="","",INDEX('Exercise list'!$C$5:$C$102,B240))</f>
        <v/>
      </c>
      <c r="D240" s="12" t="str">
        <f t="shared" si="186"/>
        <v/>
      </c>
      <c r="E240" s="107" t="str">
        <f t="shared" si="209"/>
        <v/>
      </c>
      <c r="F240" s="63" t="str" cm="1">
        <f t="array" ref="F240">IF(B240="","",0.1+IFERROR(INDEX($F$6:$F239,SUMPRODUCT(MAX(ROW($C$6:$C239)*($C240=$C$6:$C239))-ROW($A$5)))*0.9^($A240-INDEX($A$6:A239,SUMPRODUCT(MAX(ROW($C$6:$C239)*($C240=$C$6:$C239))-ROW($A$5)))),0))</f>
        <v/>
      </c>
      <c r="G240" s="64" t="e">
        <f>INDEX('Exercise list'!$Y$5:$Y$102,MATCH(C240,'Exercise list'!$C$5:$C$102,0))</f>
        <v>#N/A</v>
      </c>
      <c r="H240" s="115">
        <f t="shared" si="187"/>
        <v>0</v>
      </c>
      <c r="I240" s="6">
        <f t="shared" si="188"/>
        <v>5</v>
      </c>
      <c r="J240" s="6" t="str" cm="1">
        <f t="array" ref="J240">IF(B240="","",INDEX('Exercise list'!$D$5:$D$102,B240))</f>
        <v/>
      </c>
      <c r="K240" s="12"/>
      <c r="L240" s="74" t="str" cm="1">
        <f t="array" ref="L240">IF(K240="","",INDEX('Exercise list'!$C$5:$C$102,K240))</f>
        <v/>
      </c>
      <c r="M240" s="6"/>
      <c r="N240" s="75" t="str" cm="1">
        <f t="array" ref="N240">IF(M240="","",INDEX('Exercise list'!$C$5:$C$102,M240))</f>
        <v/>
      </c>
      <c r="P240">
        <f>IFERROR(INDEX('Exercise list'!$E$5:$X$102,MATCH($C240,'Exercise list'!$C$5:$C$102,0),MATCH(P$5,'Exercise list'!$E$4:$X$4,0)),0)</f>
        <v>0</v>
      </c>
      <c r="Q240">
        <f>IFERROR(INDEX('Exercise list'!$E$5:$X$102,MATCH($C240,'Exercise list'!$C$5:$C$102,0),MATCH(Q$5,'Exercise list'!$E$4:$X$4,0)),0)</f>
        <v>0</v>
      </c>
      <c r="R240">
        <f>IFERROR(INDEX('Exercise list'!$E$5:$X$102,MATCH($C240,'Exercise list'!$C$5:$C$102,0),MATCH(R$5,'Exercise list'!$E$4:$X$4,0)),0)</f>
        <v>0</v>
      </c>
      <c r="S240">
        <f>IFERROR(INDEX('Exercise list'!$E$5:$X$102,MATCH($C240,'Exercise list'!$C$5:$C$102,0),MATCH(S$5,'Exercise list'!$E$4:$X$4,0)),0)</f>
        <v>0</v>
      </c>
      <c r="T240">
        <f>IFERROR(INDEX('Exercise list'!$E$5:$X$102,MATCH($C240,'Exercise list'!$C$5:$C$102,0),MATCH(T$5,'Exercise list'!$E$4:$X$4,0)),0)</f>
        <v>0</v>
      </c>
      <c r="U240">
        <f>IFERROR(INDEX('Exercise list'!$E$5:$X$102,MATCH($C240,'Exercise list'!$C$5:$C$102,0),MATCH(U$5,'Exercise list'!$E$4:$X$4,0)),0)</f>
        <v>0</v>
      </c>
      <c r="V240">
        <f>IFERROR(INDEX('Exercise list'!$E$5:$X$102,MATCH($C240,'Exercise list'!$C$5:$C$102,0),MATCH(V$5,'Exercise list'!$E$4:$X$4,0)),0)</f>
        <v>0</v>
      </c>
      <c r="W240">
        <f>IFERROR(INDEX('Exercise list'!$E$5:$X$102,MATCH($C240,'Exercise list'!$C$5:$C$102,0),MATCH(W$5,'Exercise list'!$E$4:$X$4,0)),0)</f>
        <v>0</v>
      </c>
      <c r="X240">
        <f>IFERROR(INDEX('Exercise list'!$E$5:$X$102,MATCH($C240,'Exercise list'!$C$5:$C$102,0),MATCH(X$5,'Exercise list'!$E$4:$X$4,0)),0)</f>
        <v>0</v>
      </c>
      <c r="Y240">
        <f>IFERROR(INDEX('Exercise list'!$E$5:$X$102,MATCH($C240,'Exercise list'!$C$5:$C$102,0),MATCH(Y$5,'Exercise list'!$E$4:$X$4,0)),0)</f>
        <v>0</v>
      </c>
      <c r="Z240">
        <f>IFERROR(INDEX('Exercise list'!$E$5:$X$102,MATCH($C240,'Exercise list'!$C$5:$C$102,0),MATCH(Z$5,'Exercise list'!$E$4:$X$4,0)),0)</f>
        <v>0</v>
      </c>
      <c r="AA240">
        <f>IFERROR(INDEX('Exercise list'!$E$5:$X$102,MATCH($C240,'Exercise list'!$C$5:$C$102,0),MATCH(AA$5,'Exercise list'!$E$4:$X$4,0)),0)</f>
        <v>0</v>
      </c>
      <c r="AB240">
        <f>IFERROR(INDEX('Exercise list'!$E$5:$X$102,MATCH($C240,'Exercise list'!$C$5:$C$102,0),MATCH(AB$5,'Exercise list'!$E$4:$X$4,0)),0)</f>
        <v>0</v>
      </c>
      <c r="AC240">
        <f>IFERROR(INDEX('Exercise list'!$E$5:$X$102,MATCH($C240,'Exercise list'!$C$5:$C$102,0),MATCH(AC$5,'Exercise list'!$E$4:$X$4,0)),0)</f>
        <v>0</v>
      </c>
      <c r="AD240">
        <f>IFERROR(INDEX('Exercise list'!$E$5:$X$102,MATCH($C240,'Exercise list'!$C$5:$C$102,0),MATCH(AD$5,'Exercise list'!$E$4:$X$4,0)),0)</f>
        <v>0</v>
      </c>
      <c r="AE240">
        <f>IFERROR(INDEX('Exercise list'!$E$5:$X$102,MATCH($C240,'Exercise list'!$C$5:$C$102,0),MATCH(AE$5,'Exercise list'!$E$4:$X$4,0)),0)</f>
        <v>0</v>
      </c>
      <c r="AF240">
        <f>IFERROR(INDEX('Exercise list'!$E$5:$X$102,MATCH($C240,'Exercise list'!$C$5:$C$102,0),MATCH(AF$5,'Exercise list'!$E$4:$X$4,0)),0)</f>
        <v>0</v>
      </c>
      <c r="AG240">
        <f>IFERROR(INDEX('Exercise list'!$E$5:$X$102,MATCH($C240,'Exercise list'!$C$5:$C$102,0),MATCH(AG$5,'Exercise list'!$E$4:$X$4,0)),0)</f>
        <v>0</v>
      </c>
      <c r="AH240">
        <f>IFERROR(INDEX('Exercise list'!$E$5:$X$102,MATCH($C240,'Exercise list'!$C$5:$C$102,0),MATCH(AH$5,'Exercise list'!$E$4:$X$4,0)),0)</f>
        <v>0</v>
      </c>
      <c r="AI240">
        <f>IFERROR(INDEX('Exercise list'!$E$5:$X$102,MATCH($C240,'Exercise list'!$C$5:$C$102,0),MATCH(AI$5,'Exercise list'!$E$4:$X$4,0)),0)</f>
        <v>0</v>
      </c>
      <c r="AK240">
        <f>IF(OR($J240=1,COUNTIFS($A$5:$A239,"&gt;="&amp;$A240-1,$A$5:$A239,"&lt;="&amp;$A240,$B$5:$B239,$B240)&gt;0,MIN(1-'Exercise list'!E$2,IF($A240=$A239,AK239,1))-P240&lt;0),-1,MIN(1,IF($A240=$A239,AK239,1)-P240+$D$2))</f>
        <v>1</v>
      </c>
      <c r="AL240">
        <f>IF(OR($J240=1,COUNTIFS($A$5:$A239,"&gt;="&amp;$A240-1,$A$5:$A239,"&lt;="&amp;$A240,$B$5:$B239,$B240)&gt;0,MIN(1-'Exercise list'!F$2,IF($A240=$A239,AL239,1))-Q240&lt;0),-1,MIN(1,IF($A240=$A239,AL239,1)-Q240+$D$2))</f>
        <v>1</v>
      </c>
      <c r="AM240">
        <f>IF(OR($J240=1,COUNTIFS($A$5:$A239,"&gt;="&amp;$A240-1,$A$5:$A239,"&lt;="&amp;$A240,$B$5:$B239,$B240)&gt;0,MIN(1-'Exercise list'!G$2,IF($A240=$A239,AM239,1))-R240&lt;0),-1,MIN(1,IF($A240=$A239,AM239,1)-R240+$D$2))</f>
        <v>1</v>
      </c>
      <c r="AN240">
        <f>IF(OR($J240=1,COUNTIFS($A$5:$A239,"&gt;="&amp;$A240-1,$A$5:$A239,"&lt;="&amp;$A240,$B$5:$B239,$B240)&gt;0,MIN(1-'Exercise list'!H$2,IF($A240=$A239,AN239,1))-S240&lt;0),-1,MIN(1,IF($A240=$A239,AN239,1)-S240+$D$2))</f>
        <v>1</v>
      </c>
      <c r="AO240">
        <f>IF(OR($J240=1,COUNTIFS($A$5:$A239,"&gt;="&amp;$A240-1,$A$5:$A239,"&lt;="&amp;$A240,$B$5:$B239,$B240)&gt;0,MIN(1-'Exercise list'!I$2,IF($A240=$A239,AO239,1))-T240&lt;0),-1,MIN(1,IF($A240=$A239,AO239,1)-T240+$D$2))</f>
        <v>1</v>
      </c>
      <c r="AP240">
        <f>IF(OR($J240=1,COUNTIFS($A$5:$A239,"&gt;="&amp;$A240-1,$A$5:$A239,"&lt;="&amp;$A240,$B$5:$B239,$B240)&gt;0,MIN(1-'Exercise list'!J$2,IF($A240=$A239,AP239,1))-U240&lt;0),-1,MIN(1,IF($A240=$A239,AP239,1)-U240+$D$2))</f>
        <v>1</v>
      </c>
      <c r="AQ240">
        <f>IF(OR($J240=1,COUNTIFS($A$5:$A239,"&gt;="&amp;$A240-1,$A$5:$A239,"&lt;="&amp;$A240,$B$5:$B239,$B240)&gt;0,MIN(1-'Exercise list'!K$2,IF($A240=$A239,AQ239,1))-V240&lt;0),-1,MIN(1,IF($A240=$A239,AQ239,1)-V240+$D$2))</f>
        <v>1</v>
      </c>
      <c r="AR240">
        <f>IF(OR($J240=1,COUNTIFS($A$5:$A239,"&gt;="&amp;$A240-1,$A$5:$A239,"&lt;="&amp;$A240,$B$5:$B239,$B240)&gt;0,MIN(1-'Exercise list'!L$2,IF($A240=$A239,AR239,1))-W240&lt;0),-1,MIN(1,IF($A240=$A239,AR239,1)-W240+$D$2))</f>
        <v>1</v>
      </c>
      <c r="AS240">
        <f>IF(OR($J240=1,COUNTIFS($A$5:$A239,"&gt;="&amp;$A240-1,$A$5:$A239,"&lt;="&amp;$A240,$B$5:$B239,$B240)&gt;0,MIN(1-'Exercise list'!M$2,IF($A240=$A239,AS239,1))-X240&lt;0),-1,MIN(1,IF($A240=$A239,AS239,1)-X240+$D$2))</f>
        <v>1</v>
      </c>
      <c r="AT240">
        <f>IF(OR($J240=1,COUNTIFS($A$5:$A239,"&gt;="&amp;$A240-1,$A$5:$A239,"&lt;="&amp;$A240,$B$5:$B239,$B240)&gt;0,MIN(1-'Exercise list'!N$2,IF($A240=$A239,AT239,1))-Y240&lt;0),-1,MIN(1,IF($A240=$A239,AT239,1)-Y240+$D$2))</f>
        <v>1</v>
      </c>
      <c r="AU240">
        <f>IF(OR($J240=1,COUNTIFS($A$5:$A239,"&gt;="&amp;$A240-1,$A$5:$A239,"&lt;="&amp;$A240,$B$5:$B239,$B240)&gt;0,MIN(1-'Exercise list'!O$2,IF($A240=$A239,AU239,1))-Z240&lt;0),-1,MIN(1,IF($A240=$A239,AU239,1)-Z240+$D$2))</f>
        <v>1</v>
      </c>
      <c r="AV240">
        <f>IF(OR($J240=1,COUNTIFS($A$5:$A239,"&gt;="&amp;$A240-1,$A$5:$A239,"&lt;="&amp;$A240,$B$5:$B239,$B240)&gt;0,MIN(1-'Exercise list'!P$2,IF($A240=$A239,AV239,1))-AA240&lt;0),-1,MIN(1,IF($A240=$A239,AV239,1)-AA240+$D$2))</f>
        <v>1</v>
      </c>
      <c r="AW240">
        <f>IF(OR($J240=1,COUNTIFS($A$5:$A239,"&gt;="&amp;$A240-1,$A$5:$A239,"&lt;="&amp;$A240,$B$5:$B239,$B240)&gt;0,MIN(1-'Exercise list'!Q$2,IF($A240=$A239,AW239,1))-AB240&lt;0),-1,MIN(1,IF($A240=$A239,AW239,1)-AB240+$D$2))</f>
        <v>1</v>
      </c>
      <c r="AX240">
        <f>IF(OR($J240=1,COUNTIFS($A$5:$A239,"&gt;="&amp;$A240-1,$A$5:$A239,"&lt;="&amp;$A240,$B$5:$B239,$B240)&gt;0,MIN(1-'Exercise list'!R$2,IF($A240=$A239,AX239,1))-AC240&lt;0),-1,MIN(1,IF($A240=$A239,AX239,1)-AC240+$D$2))</f>
        <v>1</v>
      </c>
      <c r="AY240">
        <f>IF(OR($J240=1,COUNTIFS($A$5:$A239,"&gt;="&amp;$A240-1,$A$5:$A239,"&lt;="&amp;$A240,$B$5:$B239,$B240)&gt;0,MIN(1-'Exercise list'!S$2,IF($A240=$A239,AY239,1))-AD240&lt;0),-1,MIN(1,IF($A240=$A239,AY239,1)-AD240+$D$2))</f>
        <v>1</v>
      </c>
      <c r="AZ240">
        <f>IF(OR($J240=1,COUNTIFS($A$5:$A239,"&gt;="&amp;$A240-1,$A$5:$A239,"&lt;="&amp;$A240,$B$5:$B239,$B240)&gt;0,MIN(1-'Exercise list'!T$2,IF($A240=$A239,AZ239,1))-AE240&lt;0),-1,MIN(1,IF($A240=$A239,AZ239,1)-AE240+$D$2))</f>
        <v>1</v>
      </c>
      <c r="BA240">
        <f>IF(OR($J240=1,COUNTIFS($A$5:$A239,"&gt;="&amp;$A240-1,$A$5:$A239,"&lt;="&amp;$A240,$B$5:$B239,$B240)&gt;0,MIN(1-'Exercise list'!U$2,IF($A240=$A239,BA239,1))-AF240&lt;0),-1,MIN(1,IF($A240=$A239,BA239,1)-AF240+$D$2))</f>
        <v>1</v>
      </c>
      <c r="BB240">
        <f>IF(OR($J240=1,COUNTIFS($A$5:$A239,"&gt;="&amp;$A240-1,$A$5:$A239,"&lt;="&amp;$A240,$B$5:$B239,$B240)&gt;0,MIN(1-'Exercise list'!V$2,IF($A240=$A239,BB239,1))-AG240&lt;0),-1,MIN(1,IF($A240=$A239,BB239,1)-AG240+$D$2))</f>
        <v>1</v>
      </c>
      <c r="BC240">
        <f>IF(OR($J240=1,COUNTIFS($A$5:$A239,"&gt;="&amp;$A240-1,$A$5:$A239,"&lt;="&amp;$A240,$B$5:$B239,$B240)&gt;0,MIN(1-'Exercise list'!W$2,IF($A240=$A239,BC239,1))-AH240&lt;0),-1,MIN(1,IF($A240=$A239,BC239,1)-AH240+$D$2))</f>
        <v>1</v>
      </c>
      <c r="BD240">
        <f>IF(OR($J240=1,COUNTIFS($A$5:$A239,"&gt;="&amp;$A240-1,$A$5:$A239,"&lt;="&amp;$A240,$B$5:$B239,$B240)&gt;0,MIN(1-'Exercise list'!X$2,IF($A240=$A239,BD239,1))-AI240&lt;0),-1,MIN(1,IF($A240=$A239,BD239,1)-AI240+$D$2))</f>
        <v>1</v>
      </c>
      <c r="BF240" s="16">
        <f t="shared" si="189"/>
        <v>0.19596031081758858</v>
      </c>
      <c r="BG240" s="16">
        <f t="shared" si="190"/>
        <v>0.21844636935459236</v>
      </c>
      <c r="BH240" s="16">
        <f t="shared" si="191"/>
        <v>0.14609696635987124</v>
      </c>
      <c r="BI240" s="16">
        <f t="shared" si="192"/>
        <v>0.13198015366034541</v>
      </c>
      <c r="BJ240" s="16">
        <f t="shared" si="193"/>
        <v>8.3367914198418713E-2</v>
      </c>
      <c r="BK240" s="16">
        <f t="shared" si="194"/>
        <v>0.10640640223148412</v>
      </c>
      <c r="BL240" s="16">
        <f t="shared" si="195"/>
        <v>0.21963504743569431</v>
      </c>
      <c r="BM240" s="16">
        <f t="shared" si="196"/>
        <v>3.8988008374820568E-3</v>
      </c>
      <c r="BN240" s="16">
        <f t="shared" si="197"/>
        <v>0.14537706087090876</v>
      </c>
      <c r="BO240" s="16">
        <f t="shared" si="198"/>
        <v>0.29209790661993401</v>
      </c>
      <c r="BP240" s="16">
        <f t="shared" si="199"/>
        <v>0.31584545163401867</v>
      </c>
      <c r="BQ240" s="16">
        <f t="shared" si="200"/>
        <v>0.1000007994126096</v>
      </c>
      <c r="BR240" s="16">
        <f t="shared" si="201"/>
        <v>0.13164487759885393</v>
      </c>
      <c r="BS240" s="16">
        <f t="shared" si="202"/>
        <v>2.9803550189863123E-2</v>
      </c>
      <c r="BT240" s="16">
        <f t="shared" si="203"/>
        <v>0.13492040904978705</v>
      </c>
      <c r="BU240" s="16">
        <f t="shared" si="204"/>
        <v>0.11703687414398131</v>
      </c>
      <c r="BV240" s="16">
        <f t="shared" si="205"/>
        <v>0.14633353213781661</v>
      </c>
      <c r="BW240" s="16">
        <f t="shared" si="206"/>
        <v>7.5588015111767173E-2</v>
      </c>
      <c r="BX240" s="16">
        <f t="shared" si="207"/>
        <v>8.0345659937185704E-2</v>
      </c>
      <c r="BY240" s="16">
        <f t="shared" si="208"/>
        <v>5.9014643151272549E-2</v>
      </c>
      <c r="CA240" s="16" t="str">
        <f t="shared" si="185"/>
        <v/>
      </c>
      <c r="CB240" s="16" t="str">
        <f t="shared" si="166"/>
        <v/>
      </c>
      <c r="CC240" s="16" t="str">
        <f t="shared" si="167"/>
        <v/>
      </c>
      <c r="CD240" s="16" t="str">
        <f t="shared" si="168"/>
        <v/>
      </c>
      <c r="CE240" s="16" t="str">
        <f t="shared" si="169"/>
        <v/>
      </c>
      <c r="CF240" s="16" t="str">
        <f t="shared" si="170"/>
        <v/>
      </c>
      <c r="CG240" s="16" t="str">
        <f t="shared" si="171"/>
        <v/>
      </c>
      <c r="CH240" s="16" t="str">
        <f t="shared" si="172"/>
        <v/>
      </c>
      <c r="CI240" s="16" t="str">
        <f t="shared" si="173"/>
        <v/>
      </c>
      <c r="CJ240" s="16" t="str">
        <f t="shared" si="174"/>
        <v/>
      </c>
      <c r="CK240" s="16" t="str">
        <f t="shared" si="175"/>
        <v/>
      </c>
      <c r="CL240" s="16" t="str">
        <f t="shared" si="176"/>
        <v/>
      </c>
      <c r="CM240" s="16" t="str">
        <f t="shared" si="177"/>
        <v/>
      </c>
      <c r="CN240" s="16" t="str">
        <f t="shared" si="178"/>
        <v/>
      </c>
      <c r="CO240" s="16" t="str">
        <f t="shared" si="179"/>
        <v/>
      </c>
      <c r="CP240" s="16" t="str">
        <f t="shared" si="180"/>
        <v/>
      </c>
      <c r="CQ240" s="16" t="str">
        <f t="shared" si="181"/>
        <v/>
      </c>
      <c r="CR240" s="16" t="str">
        <f t="shared" si="182"/>
        <v/>
      </c>
      <c r="CS240" s="16" t="str">
        <f t="shared" si="183"/>
        <v/>
      </c>
      <c r="CT240" s="16" t="str">
        <f t="shared" si="184"/>
        <v/>
      </c>
    </row>
    <row r="241" spans="1:99" x14ac:dyDescent="0.25">
      <c r="A241" s="13"/>
      <c r="B241" s="14"/>
      <c r="C241" s="15" t="str" cm="1">
        <f t="array" ref="C241">IF(B241="","",INDEX('Exercise list'!$C$5:$C$102,B241))</f>
        <v/>
      </c>
      <c r="D241" s="12" t="str">
        <f t="shared" si="186"/>
        <v/>
      </c>
      <c r="E241" s="107" t="str">
        <f t="shared" si="209"/>
        <v/>
      </c>
      <c r="F241" s="63" t="str" cm="1">
        <f t="array" ref="F241">IF(B241="","",0.1+IFERROR(INDEX($F$6:$F240,SUMPRODUCT(MAX(ROW($C$6:$C240)*($C241=$C$6:$C240))-ROW($A$5)))*0.9^($A241-INDEX($A$6:A240,SUMPRODUCT(MAX(ROW($C$6:$C240)*($C241=$C$6:$C240))-ROW($A$5)))),0))</f>
        <v/>
      </c>
      <c r="G241" s="64" t="e">
        <f>INDEX('Exercise list'!$Y$5:$Y$102,MATCH(C241,'Exercise list'!$C$5:$C$102,0))</f>
        <v>#N/A</v>
      </c>
      <c r="H241" s="115">
        <f t="shared" si="187"/>
        <v>0</v>
      </c>
      <c r="I241" s="6">
        <f t="shared" si="188"/>
        <v>5</v>
      </c>
      <c r="J241" s="6" t="str" cm="1">
        <f t="array" ref="J241">IF(B241="","",INDEX('Exercise list'!$D$5:$D$102,B241))</f>
        <v/>
      </c>
      <c r="K241" s="12"/>
      <c r="L241" s="74" t="str" cm="1">
        <f t="array" ref="L241">IF(K241="","",INDEX('Exercise list'!$C$5:$C$102,K241))</f>
        <v/>
      </c>
      <c r="M241" s="6"/>
      <c r="N241" s="75" t="str" cm="1">
        <f t="array" ref="N241">IF(M241="","",INDEX('Exercise list'!$C$5:$C$102,M241))</f>
        <v/>
      </c>
      <c r="P241">
        <f>IFERROR(INDEX('Exercise list'!$E$5:$X$102,MATCH($C241,'Exercise list'!$C$5:$C$102,0),MATCH(P$5,'Exercise list'!$E$4:$X$4,0)),0)</f>
        <v>0</v>
      </c>
      <c r="Q241">
        <f>IFERROR(INDEX('Exercise list'!$E$5:$X$102,MATCH($C241,'Exercise list'!$C$5:$C$102,0),MATCH(Q$5,'Exercise list'!$E$4:$X$4,0)),0)</f>
        <v>0</v>
      </c>
      <c r="R241">
        <f>IFERROR(INDEX('Exercise list'!$E$5:$X$102,MATCH($C241,'Exercise list'!$C$5:$C$102,0),MATCH(R$5,'Exercise list'!$E$4:$X$4,0)),0)</f>
        <v>0</v>
      </c>
      <c r="S241">
        <f>IFERROR(INDEX('Exercise list'!$E$5:$X$102,MATCH($C241,'Exercise list'!$C$5:$C$102,0),MATCH(S$5,'Exercise list'!$E$4:$X$4,0)),0)</f>
        <v>0</v>
      </c>
      <c r="T241">
        <f>IFERROR(INDEX('Exercise list'!$E$5:$X$102,MATCH($C241,'Exercise list'!$C$5:$C$102,0),MATCH(T$5,'Exercise list'!$E$4:$X$4,0)),0)</f>
        <v>0</v>
      </c>
      <c r="U241">
        <f>IFERROR(INDEX('Exercise list'!$E$5:$X$102,MATCH($C241,'Exercise list'!$C$5:$C$102,0),MATCH(U$5,'Exercise list'!$E$4:$X$4,0)),0)</f>
        <v>0</v>
      </c>
      <c r="V241">
        <f>IFERROR(INDEX('Exercise list'!$E$5:$X$102,MATCH($C241,'Exercise list'!$C$5:$C$102,0),MATCH(V$5,'Exercise list'!$E$4:$X$4,0)),0)</f>
        <v>0</v>
      </c>
      <c r="W241">
        <f>IFERROR(INDEX('Exercise list'!$E$5:$X$102,MATCH($C241,'Exercise list'!$C$5:$C$102,0),MATCH(W$5,'Exercise list'!$E$4:$X$4,0)),0)</f>
        <v>0</v>
      </c>
      <c r="X241">
        <f>IFERROR(INDEX('Exercise list'!$E$5:$X$102,MATCH($C241,'Exercise list'!$C$5:$C$102,0),MATCH(X$5,'Exercise list'!$E$4:$X$4,0)),0)</f>
        <v>0</v>
      </c>
      <c r="Y241">
        <f>IFERROR(INDEX('Exercise list'!$E$5:$X$102,MATCH($C241,'Exercise list'!$C$5:$C$102,0),MATCH(Y$5,'Exercise list'!$E$4:$X$4,0)),0)</f>
        <v>0</v>
      </c>
      <c r="Z241">
        <f>IFERROR(INDEX('Exercise list'!$E$5:$X$102,MATCH($C241,'Exercise list'!$C$5:$C$102,0),MATCH(Z$5,'Exercise list'!$E$4:$X$4,0)),0)</f>
        <v>0</v>
      </c>
      <c r="AA241">
        <f>IFERROR(INDEX('Exercise list'!$E$5:$X$102,MATCH($C241,'Exercise list'!$C$5:$C$102,0),MATCH(AA$5,'Exercise list'!$E$4:$X$4,0)),0)</f>
        <v>0</v>
      </c>
      <c r="AB241">
        <f>IFERROR(INDEX('Exercise list'!$E$5:$X$102,MATCH($C241,'Exercise list'!$C$5:$C$102,0),MATCH(AB$5,'Exercise list'!$E$4:$X$4,0)),0)</f>
        <v>0</v>
      </c>
      <c r="AC241">
        <f>IFERROR(INDEX('Exercise list'!$E$5:$X$102,MATCH($C241,'Exercise list'!$C$5:$C$102,0),MATCH(AC$5,'Exercise list'!$E$4:$X$4,0)),0)</f>
        <v>0</v>
      </c>
      <c r="AD241">
        <f>IFERROR(INDEX('Exercise list'!$E$5:$X$102,MATCH($C241,'Exercise list'!$C$5:$C$102,0),MATCH(AD$5,'Exercise list'!$E$4:$X$4,0)),0)</f>
        <v>0</v>
      </c>
      <c r="AE241">
        <f>IFERROR(INDEX('Exercise list'!$E$5:$X$102,MATCH($C241,'Exercise list'!$C$5:$C$102,0),MATCH(AE$5,'Exercise list'!$E$4:$X$4,0)),0)</f>
        <v>0</v>
      </c>
      <c r="AF241">
        <f>IFERROR(INDEX('Exercise list'!$E$5:$X$102,MATCH($C241,'Exercise list'!$C$5:$C$102,0),MATCH(AF$5,'Exercise list'!$E$4:$X$4,0)),0)</f>
        <v>0</v>
      </c>
      <c r="AG241">
        <f>IFERROR(INDEX('Exercise list'!$E$5:$X$102,MATCH($C241,'Exercise list'!$C$5:$C$102,0),MATCH(AG$5,'Exercise list'!$E$4:$X$4,0)),0)</f>
        <v>0</v>
      </c>
      <c r="AH241">
        <f>IFERROR(INDEX('Exercise list'!$E$5:$X$102,MATCH($C241,'Exercise list'!$C$5:$C$102,0),MATCH(AH$5,'Exercise list'!$E$4:$X$4,0)),0)</f>
        <v>0</v>
      </c>
      <c r="AI241">
        <f>IFERROR(INDEX('Exercise list'!$E$5:$X$102,MATCH($C241,'Exercise list'!$C$5:$C$102,0),MATCH(AI$5,'Exercise list'!$E$4:$X$4,0)),0)</f>
        <v>0</v>
      </c>
      <c r="AK241">
        <f>IF(OR($J241=1,COUNTIFS($A$5:$A240,"&gt;="&amp;$A241-1,$A$5:$A240,"&lt;="&amp;$A241,$B$5:$B240,$B241)&gt;0,MIN(1-'Exercise list'!E$2,IF($A241=$A240,AK240,1))-P241&lt;0),-1,MIN(1,IF($A241=$A240,AK240,1)-P241+$D$2))</f>
        <v>1</v>
      </c>
      <c r="AL241">
        <f>IF(OR($J241=1,COUNTIFS($A$5:$A240,"&gt;="&amp;$A241-1,$A$5:$A240,"&lt;="&amp;$A241,$B$5:$B240,$B241)&gt;0,MIN(1-'Exercise list'!F$2,IF($A241=$A240,AL240,1))-Q241&lt;0),-1,MIN(1,IF($A241=$A240,AL240,1)-Q241+$D$2))</f>
        <v>1</v>
      </c>
      <c r="AM241">
        <f>IF(OR($J241=1,COUNTIFS($A$5:$A240,"&gt;="&amp;$A241-1,$A$5:$A240,"&lt;="&amp;$A241,$B$5:$B240,$B241)&gt;0,MIN(1-'Exercise list'!G$2,IF($A241=$A240,AM240,1))-R241&lt;0),-1,MIN(1,IF($A241=$A240,AM240,1)-R241+$D$2))</f>
        <v>1</v>
      </c>
      <c r="AN241">
        <f>IF(OR($J241=1,COUNTIFS($A$5:$A240,"&gt;="&amp;$A241-1,$A$5:$A240,"&lt;="&amp;$A241,$B$5:$B240,$B241)&gt;0,MIN(1-'Exercise list'!H$2,IF($A241=$A240,AN240,1))-S241&lt;0),-1,MIN(1,IF($A241=$A240,AN240,1)-S241+$D$2))</f>
        <v>1</v>
      </c>
      <c r="AO241">
        <f>IF(OR($J241=1,COUNTIFS($A$5:$A240,"&gt;="&amp;$A241-1,$A$5:$A240,"&lt;="&amp;$A241,$B$5:$B240,$B241)&gt;0,MIN(1-'Exercise list'!I$2,IF($A241=$A240,AO240,1))-T241&lt;0),-1,MIN(1,IF($A241=$A240,AO240,1)-T241+$D$2))</f>
        <v>1</v>
      </c>
      <c r="AP241">
        <f>IF(OR($J241=1,COUNTIFS($A$5:$A240,"&gt;="&amp;$A241-1,$A$5:$A240,"&lt;="&amp;$A241,$B$5:$B240,$B241)&gt;0,MIN(1-'Exercise list'!J$2,IF($A241=$A240,AP240,1))-U241&lt;0),-1,MIN(1,IF($A241=$A240,AP240,1)-U241+$D$2))</f>
        <v>1</v>
      </c>
      <c r="AQ241">
        <f>IF(OR($J241=1,COUNTIFS($A$5:$A240,"&gt;="&amp;$A241-1,$A$5:$A240,"&lt;="&amp;$A241,$B$5:$B240,$B241)&gt;0,MIN(1-'Exercise list'!K$2,IF($A241=$A240,AQ240,1))-V241&lt;0),-1,MIN(1,IF($A241=$A240,AQ240,1)-V241+$D$2))</f>
        <v>1</v>
      </c>
      <c r="AR241">
        <f>IF(OR($J241=1,COUNTIFS($A$5:$A240,"&gt;="&amp;$A241-1,$A$5:$A240,"&lt;="&amp;$A241,$B$5:$B240,$B241)&gt;0,MIN(1-'Exercise list'!L$2,IF($A241=$A240,AR240,1))-W241&lt;0),-1,MIN(1,IF($A241=$A240,AR240,1)-W241+$D$2))</f>
        <v>1</v>
      </c>
      <c r="AS241">
        <f>IF(OR($J241=1,COUNTIFS($A$5:$A240,"&gt;="&amp;$A241-1,$A$5:$A240,"&lt;="&amp;$A241,$B$5:$B240,$B241)&gt;0,MIN(1-'Exercise list'!M$2,IF($A241=$A240,AS240,1))-X241&lt;0),-1,MIN(1,IF($A241=$A240,AS240,1)-X241+$D$2))</f>
        <v>1</v>
      </c>
      <c r="AT241">
        <f>IF(OR($J241=1,COUNTIFS($A$5:$A240,"&gt;="&amp;$A241-1,$A$5:$A240,"&lt;="&amp;$A241,$B$5:$B240,$B241)&gt;0,MIN(1-'Exercise list'!N$2,IF($A241=$A240,AT240,1))-Y241&lt;0),-1,MIN(1,IF($A241=$A240,AT240,1)-Y241+$D$2))</f>
        <v>1</v>
      </c>
      <c r="AU241">
        <f>IF(OR($J241=1,COUNTIFS($A$5:$A240,"&gt;="&amp;$A241-1,$A$5:$A240,"&lt;="&amp;$A241,$B$5:$B240,$B241)&gt;0,MIN(1-'Exercise list'!O$2,IF($A241=$A240,AU240,1))-Z241&lt;0),-1,MIN(1,IF($A241=$A240,AU240,1)-Z241+$D$2))</f>
        <v>1</v>
      </c>
      <c r="AV241">
        <f>IF(OR($J241=1,COUNTIFS($A$5:$A240,"&gt;="&amp;$A241-1,$A$5:$A240,"&lt;="&amp;$A241,$B$5:$B240,$B241)&gt;0,MIN(1-'Exercise list'!P$2,IF($A241=$A240,AV240,1))-AA241&lt;0),-1,MIN(1,IF($A241=$A240,AV240,1)-AA241+$D$2))</f>
        <v>1</v>
      </c>
      <c r="AW241">
        <f>IF(OR($J241=1,COUNTIFS($A$5:$A240,"&gt;="&amp;$A241-1,$A$5:$A240,"&lt;="&amp;$A241,$B$5:$B240,$B241)&gt;0,MIN(1-'Exercise list'!Q$2,IF($A241=$A240,AW240,1))-AB241&lt;0),-1,MIN(1,IF($A241=$A240,AW240,1)-AB241+$D$2))</f>
        <v>1</v>
      </c>
      <c r="AX241">
        <f>IF(OR($J241=1,COUNTIFS($A$5:$A240,"&gt;="&amp;$A241-1,$A$5:$A240,"&lt;="&amp;$A241,$B$5:$B240,$B241)&gt;0,MIN(1-'Exercise list'!R$2,IF($A241=$A240,AX240,1))-AC241&lt;0),-1,MIN(1,IF($A241=$A240,AX240,1)-AC241+$D$2))</f>
        <v>1</v>
      </c>
      <c r="AY241">
        <f>IF(OR($J241=1,COUNTIFS($A$5:$A240,"&gt;="&amp;$A241-1,$A$5:$A240,"&lt;="&amp;$A241,$B$5:$B240,$B241)&gt;0,MIN(1-'Exercise list'!S$2,IF($A241=$A240,AY240,1))-AD241&lt;0),-1,MIN(1,IF($A241=$A240,AY240,1)-AD241+$D$2))</f>
        <v>1</v>
      </c>
      <c r="AZ241">
        <f>IF(OR($J241=1,COUNTIFS($A$5:$A240,"&gt;="&amp;$A241-1,$A$5:$A240,"&lt;="&amp;$A241,$B$5:$B240,$B241)&gt;0,MIN(1-'Exercise list'!T$2,IF($A241=$A240,AZ240,1))-AE241&lt;0),-1,MIN(1,IF($A241=$A240,AZ240,1)-AE241+$D$2))</f>
        <v>1</v>
      </c>
      <c r="BA241">
        <f>IF(OR($J241=1,COUNTIFS($A$5:$A240,"&gt;="&amp;$A241-1,$A$5:$A240,"&lt;="&amp;$A241,$B$5:$B240,$B241)&gt;0,MIN(1-'Exercise list'!U$2,IF($A241=$A240,BA240,1))-AF241&lt;0),-1,MIN(1,IF($A241=$A240,BA240,1)-AF241+$D$2))</f>
        <v>1</v>
      </c>
      <c r="BB241">
        <f>IF(OR($J241=1,COUNTIFS($A$5:$A240,"&gt;="&amp;$A241-1,$A$5:$A240,"&lt;="&amp;$A241,$B$5:$B240,$B241)&gt;0,MIN(1-'Exercise list'!V$2,IF($A241=$A240,BB240,1))-AG241&lt;0),-1,MIN(1,IF($A241=$A240,BB240,1)-AG241+$D$2))</f>
        <v>1</v>
      </c>
      <c r="BC241">
        <f>IF(OR($J241=1,COUNTIFS($A$5:$A240,"&gt;="&amp;$A241-1,$A$5:$A240,"&lt;="&amp;$A241,$B$5:$B240,$B241)&gt;0,MIN(1-'Exercise list'!W$2,IF($A241=$A240,BC240,1))-AH241&lt;0),-1,MIN(1,IF($A241=$A240,BC240,1)-AH241+$D$2))</f>
        <v>1</v>
      </c>
      <c r="BD241">
        <f>IF(OR($J241=1,COUNTIFS($A$5:$A240,"&gt;="&amp;$A241-1,$A$5:$A240,"&lt;="&amp;$A241,$B$5:$B240,$B241)&gt;0,MIN(1-'Exercise list'!X$2,IF($A241=$A240,BD240,1))-AI241&lt;0),-1,MIN(1,IF($A241=$A240,BD240,1)-AI241+$D$2))</f>
        <v>1</v>
      </c>
      <c r="BF241" s="16">
        <f t="shared" si="189"/>
        <v>0.19596031081758858</v>
      </c>
      <c r="BG241" s="16">
        <f t="shared" si="190"/>
        <v>0.21844636935459236</v>
      </c>
      <c r="BH241" s="16">
        <f t="shared" si="191"/>
        <v>0.14609696635987124</v>
      </c>
      <c r="BI241" s="16">
        <f t="shared" si="192"/>
        <v>0.13198015366034541</v>
      </c>
      <c r="BJ241" s="16">
        <f t="shared" si="193"/>
        <v>8.3367914198418713E-2</v>
      </c>
      <c r="BK241" s="16">
        <f t="shared" si="194"/>
        <v>0.10640640223148412</v>
      </c>
      <c r="BL241" s="16">
        <f t="shared" si="195"/>
        <v>0.21963504743569431</v>
      </c>
      <c r="BM241" s="16">
        <f t="shared" si="196"/>
        <v>3.8988008374820568E-3</v>
      </c>
      <c r="BN241" s="16">
        <f t="shared" si="197"/>
        <v>0.14537706087090876</v>
      </c>
      <c r="BO241" s="16">
        <f t="shared" si="198"/>
        <v>0.29209790661993401</v>
      </c>
      <c r="BP241" s="16">
        <f t="shared" si="199"/>
        <v>0.31584545163401867</v>
      </c>
      <c r="BQ241" s="16">
        <f t="shared" si="200"/>
        <v>0.1000007994126096</v>
      </c>
      <c r="BR241" s="16">
        <f t="shared" si="201"/>
        <v>0.13164487759885393</v>
      </c>
      <c r="BS241" s="16">
        <f t="shared" si="202"/>
        <v>2.9803550189863123E-2</v>
      </c>
      <c r="BT241" s="16">
        <f t="shared" si="203"/>
        <v>0.13492040904978705</v>
      </c>
      <c r="BU241" s="16">
        <f t="shared" si="204"/>
        <v>0.11703687414398131</v>
      </c>
      <c r="BV241" s="16">
        <f t="shared" si="205"/>
        <v>0.14633353213781661</v>
      </c>
      <c r="BW241" s="16">
        <f t="shared" si="206"/>
        <v>7.5588015111767173E-2</v>
      </c>
      <c r="BX241" s="16">
        <f t="shared" si="207"/>
        <v>8.0345659937185704E-2</v>
      </c>
      <c r="BY241" s="16">
        <f t="shared" si="208"/>
        <v>5.9014643151272549E-2</v>
      </c>
      <c r="CA241" s="16" t="str">
        <f t="shared" si="185"/>
        <v/>
      </c>
      <c r="CB241" s="16" t="str">
        <f t="shared" si="166"/>
        <v/>
      </c>
      <c r="CC241" s="16" t="str">
        <f t="shared" si="167"/>
        <v/>
      </c>
      <c r="CD241" s="16" t="str">
        <f t="shared" si="168"/>
        <v/>
      </c>
      <c r="CE241" s="16" t="str">
        <f t="shared" si="169"/>
        <v/>
      </c>
      <c r="CF241" s="16" t="str">
        <f t="shared" si="170"/>
        <v/>
      </c>
      <c r="CG241" s="16" t="str">
        <f t="shared" si="171"/>
        <v/>
      </c>
      <c r="CH241" s="16" t="str">
        <f t="shared" si="172"/>
        <v/>
      </c>
      <c r="CI241" s="16" t="str">
        <f t="shared" si="173"/>
        <v/>
      </c>
      <c r="CJ241" s="16" t="str">
        <f t="shared" si="174"/>
        <v/>
      </c>
      <c r="CK241" s="16" t="str">
        <f t="shared" si="175"/>
        <v/>
      </c>
      <c r="CL241" s="16" t="str">
        <f t="shared" si="176"/>
        <v/>
      </c>
      <c r="CM241" s="16" t="str">
        <f t="shared" si="177"/>
        <v/>
      </c>
      <c r="CN241" s="16" t="str">
        <f t="shared" si="178"/>
        <v/>
      </c>
      <c r="CO241" s="16" t="str">
        <f t="shared" si="179"/>
        <v/>
      </c>
      <c r="CP241" s="16" t="str">
        <f t="shared" si="180"/>
        <v/>
      </c>
      <c r="CQ241" s="16" t="str">
        <f t="shared" si="181"/>
        <v/>
      </c>
      <c r="CR241" s="16" t="str">
        <f t="shared" si="182"/>
        <v/>
      </c>
      <c r="CS241" s="16" t="str">
        <f t="shared" si="183"/>
        <v/>
      </c>
      <c r="CT241" s="16" t="str">
        <f t="shared" si="184"/>
        <v/>
      </c>
    </row>
    <row r="242" spans="1:99" x14ac:dyDescent="0.25">
      <c r="A242" s="13"/>
      <c r="B242" s="14"/>
      <c r="C242" s="15" t="str" cm="1">
        <f t="array" ref="C242">IF(B242="","",INDEX('Exercise list'!$C$5:$C$102,B242))</f>
        <v/>
      </c>
      <c r="D242" s="12" t="str">
        <f t="shared" si="186"/>
        <v/>
      </c>
      <c r="E242" s="107" t="str">
        <f t="shared" si="209"/>
        <v/>
      </c>
      <c r="F242" s="63" t="str" cm="1">
        <f t="array" ref="F242">IF(B242="","",0.1+IFERROR(INDEX($F$6:$F241,SUMPRODUCT(MAX(ROW($C$6:$C241)*($C242=$C$6:$C241))-ROW($A$5)))*0.9^($A242-INDEX($A$6:A241,SUMPRODUCT(MAX(ROW($C$6:$C241)*($C242=$C$6:$C241))-ROW($A$5)))),0))</f>
        <v/>
      </c>
      <c r="G242" s="64" t="e">
        <f>INDEX('Exercise list'!$Y$5:$Y$102,MATCH(C242,'Exercise list'!$C$5:$C$102,0))</f>
        <v>#N/A</v>
      </c>
      <c r="H242" s="115">
        <f t="shared" si="187"/>
        <v>0</v>
      </c>
      <c r="I242" s="6">
        <f t="shared" si="188"/>
        <v>5</v>
      </c>
      <c r="J242" s="6" t="str" cm="1">
        <f t="array" ref="J242">IF(B242="","",INDEX('Exercise list'!$D$5:$D$102,B242))</f>
        <v/>
      </c>
      <c r="K242" s="12"/>
      <c r="L242" s="74" t="str" cm="1">
        <f t="array" ref="L242">IF(K242="","",INDEX('Exercise list'!$C$5:$C$102,K242))</f>
        <v/>
      </c>
      <c r="M242" s="6"/>
      <c r="N242" s="75" t="str" cm="1">
        <f t="array" ref="N242">IF(M242="","",INDEX('Exercise list'!$C$5:$C$102,M242))</f>
        <v/>
      </c>
      <c r="P242">
        <f>IFERROR(INDEX('Exercise list'!$E$5:$X$102,MATCH($C242,'Exercise list'!$C$5:$C$102,0),MATCH(P$5,'Exercise list'!$E$4:$X$4,0)),0)</f>
        <v>0</v>
      </c>
      <c r="Q242">
        <f>IFERROR(INDEX('Exercise list'!$E$5:$X$102,MATCH($C242,'Exercise list'!$C$5:$C$102,0),MATCH(Q$5,'Exercise list'!$E$4:$X$4,0)),0)</f>
        <v>0</v>
      </c>
      <c r="R242">
        <f>IFERROR(INDEX('Exercise list'!$E$5:$X$102,MATCH($C242,'Exercise list'!$C$5:$C$102,0),MATCH(R$5,'Exercise list'!$E$4:$X$4,0)),0)</f>
        <v>0</v>
      </c>
      <c r="S242">
        <f>IFERROR(INDEX('Exercise list'!$E$5:$X$102,MATCH($C242,'Exercise list'!$C$5:$C$102,0),MATCH(S$5,'Exercise list'!$E$4:$X$4,0)),0)</f>
        <v>0</v>
      </c>
      <c r="T242">
        <f>IFERROR(INDEX('Exercise list'!$E$5:$X$102,MATCH($C242,'Exercise list'!$C$5:$C$102,0),MATCH(T$5,'Exercise list'!$E$4:$X$4,0)),0)</f>
        <v>0</v>
      </c>
      <c r="U242">
        <f>IFERROR(INDEX('Exercise list'!$E$5:$X$102,MATCH($C242,'Exercise list'!$C$5:$C$102,0),MATCH(U$5,'Exercise list'!$E$4:$X$4,0)),0)</f>
        <v>0</v>
      </c>
      <c r="V242">
        <f>IFERROR(INDEX('Exercise list'!$E$5:$X$102,MATCH($C242,'Exercise list'!$C$5:$C$102,0),MATCH(V$5,'Exercise list'!$E$4:$X$4,0)),0)</f>
        <v>0</v>
      </c>
      <c r="W242">
        <f>IFERROR(INDEX('Exercise list'!$E$5:$X$102,MATCH($C242,'Exercise list'!$C$5:$C$102,0),MATCH(W$5,'Exercise list'!$E$4:$X$4,0)),0)</f>
        <v>0</v>
      </c>
      <c r="X242">
        <f>IFERROR(INDEX('Exercise list'!$E$5:$X$102,MATCH($C242,'Exercise list'!$C$5:$C$102,0),MATCH(X$5,'Exercise list'!$E$4:$X$4,0)),0)</f>
        <v>0</v>
      </c>
      <c r="Y242">
        <f>IFERROR(INDEX('Exercise list'!$E$5:$X$102,MATCH($C242,'Exercise list'!$C$5:$C$102,0),MATCH(Y$5,'Exercise list'!$E$4:$X$4,0)),0)</f>
        <v>0</v>
      </c>
      <c r="Z242">
        <f>IFERROR(INDEX('Exercise list'!$E$5:$X$102,MATCH($C242,'Exercise list'!$C$5:$C$102,0),MATCH(Z$5,'Exercise list'!$E$4:$X$4,0)),0)</f>
        <v>0</v>
      </c>
      <c r="AA242">
        <f>IFERROR(INDEX('Exercise list'!$E$5:$X$102,MATCH($C242,'Exercise list'!$C$5:$C$102,0),MATCH(AA$5,'Exercise list'!$E$4:$X$4,0)),0)</f>
        <v>0</v>
      </c>
      <c r="AB242">
        <f>IFERROR(INDEX('Exercise list'!$E$5:$X$102,MATCH($C242,'Exercise list'!$C$5:$C$102,0),MATCH(AB$5,'Exercise list'!$E$4:$X$4,0)),0)</f>
        <v>0</v>
      </c>
      <c r="AC242">
        <f>IFERROR(INDEX('Exercise list'!$E$5:$X$102,MATCH($C242,'Exercise list'!$C$5:$C$102,0),MATCH(AC$5,'Exercise list'!$E$4:$X$4,0)),0)</f>
        <v>0</v>
      </c>
      <c r="AD242">
        <f>IFERROR(INDEX('Exercise list'!$E$5:$X$102,MATCH($C242,'Exercise list'!$C$5:$C$102,0),MATCH(AD$5,'Exercise list'!$E$4:$X$4,0)),0)</f>
        <v>0</v>
      </c>
      <c r="AE242">
        <f>IFERROR(INDEX('Exercise list'!$E$5:$X$102,MATCH($C242,'Exercise list'!$C$5:$C$102,0),MATCH(AE$5,'Exercise list'!$E$4:$X$4,0)),0)</f>
        <v>0</v>
      </c>
      <c r="AF242">
        <f>IFERROR(INDEX('Exercise list'!$E$5:$X$102,MATCH($C242,'Exercise list'!$C$5:$C$102,0),MATCH(AF$5,'Exercise list'!$E$4:$X$4,0)),0)</f>
        <v>0</v>
      </c>
      <c r="AG242">
        <f>IFERROR(INDEX('Exercise list'!$E$5:$X$102,MATCH($C242,'Exercise list'!$C$5:$C$102,0),MATCH(AG$5,'Exercise list'!$E$4:$X$4,0)),0)</f>
        <v>0</v>
      </c>
      <c r="AH242">
        <f>IFERROR(INDEX('Exercise list'!$E$5:$X$102,MATCH($C242,'Exercise list'!$C$5:$C$102,0),MATCH(AH$5,'Exercise list'!$E$4:$X$4,0)),0)</f>
        <v>0</v>
      </c>
      <c r="AI242">
        <f>IFERROR(INDEX('Exercise list'!$E$5:$X$102,MATCH($C242,'Exercise list'!$C$5:$C$102,0),MATCH(AI$5,'Exercise list'!$E$4:$X$4,0)),0)</f>
        <v>0</v>
      </c>
      <c r="AK242">
        <f>IF(OR($J242=1,COUNTIFS($A$5:$A241,"&gt;="&amp;$A242-1,$A$5:$A241,"&lt;="&amp;$A242,$B$5:$B241,$B242)&gt;0,MIN(1-'Exercise list'!E$2,IF($A242=$A241,AK241,1))-P242&lt;0),-1,MIN(1,IF($A242=$A241,AK241,1)-P242+$D$2))</f>
        <v>1</v>
      </c>
      <c r="AL242">
        <f>IF(OR($J242=1,COUNTIFS($A$5:$A241,"&gt;="&amp;$A242-1,$A$5:$A241,"&lt;="&amp;$A242,$B$5:$B241,$B242)&gt;0,MIN(1-'Exercise list'!F$2,IF($A242=$A241,AL241,1))-Q242&lt;0),-1,MIN(1,IF($A242=$A241,AL241,1)-Q242+$D$2))</f>
        <v>1</v>
      </c>
      <c r="AM242">
        <f>IF(OR($J242=1,COUNTIFS($A$5:$A241,"&gt;="&amp;$A242-1,$A$5:$A241,"&lt;="&amp;$A242,$B$5:$B241,$B242)&gt;0,MIN(1-'Exercise list'!G$2,IF($A242=$A241,AM241,1))-R242&lt;0),-1,MIN(1,IF($A242=$A241,AM241,1)-R242+$D$2))</f>
        <v>1</v>
      </c>
      <c r="AN242">
        <f>IF(OR($J242=1,COUNTIFS($A$5:$A241,"&gt;="&amp;$A242-1,$A$5:$A241,"&lt;="&amp;$A242,$B$5:$B241,$B242)&gt;0,MIN(1-'Exercise list'!H$2,IF($A242=$A241,AN241,1))-S242&lt;0),-1,MIN(1,IF($A242=$A241,AN241,1)-S242+$D$2))</f>
        <v>1</v>
      </c>
      <c r="AO242">
        <f>IF(OR($J242=1,COUNTIFS($A$5:$A241,"&gt;="&amp;$A242-1,$A$5:$A241,"&lt;="&amp;$A242,$B$5:$B241,$B242)&gt;0,MIN(1-'Exercise list'!I$2,IF($A242=$A241,AO241,1))-T242&lt;0),-1,MIN(1,IF($A242=$A241,AO241,1)-T242+$D$2))</f>
        <v>1</v>
      </c>
      <c r="AP242">
        <f>IF(OR($J242=1,COUNTIFS($A$5:$A241,"&gt;="&amp;$A242-1,$A$5:$A241,"&lt;="&amp;$A242,$B$5:$B241,$B242)&gt;0,MIN(1-'Exercise list'!J$2,IF($A242=$A241,AP241,1))-U242&lt;0),-1,MIN(1,IF($A242=$A241,AP241,1)-U242+$D$2))</f>
        <v>1</v>
      </c>
      <c r="AQ242">
        <f>IF(OR($J242=1,COUNTIFS($A$5:$A241,"&gt;="&amp;$A242-1,$A$5:$A241,"&lt;="&amp;$A242,$B$5:$B241,$B242)&gt;0,MIN(1-'Exercise list'!K$2,IF($A242=$A241,AQ241,1))-V242&lt;0),-1,MIN(1,IF($A242=$A241,AQ241,1)-V242+$D$2))</f>
        <v>1</v>
      </c>
      <c r="AR242">
        <f>IF(OR($J242=1,COUNTIFS($A$5:$A241,"&gt;="&amp;$A242-1,$A$5:$A241,"&lt;="&amp;$A242,$B$5:$B241,$B242)&gt;0,MIN(1-'Exercise list'!L$2,IF($A242=$A241,AR241,1))-W242&lt;0),-1,MIN(1,IF($A242=$A241,AR241,1)-W242+$D$2))</f>
        <v>1</v>
      </c>
      <c r="AS242">
        <f>IF(OR($J242=1,COUNTIFS($A$5:$A241,"&gt;="&amp;$A242-1,$A$5:$A241,"&lt;="&amp;$A242,$B$5:$B241,$B242)&gt;0,MIN(1-'Exercise list'!M$2,IF($A242=$A241,AS241,1))-X242&lt;0),-1,MIN(1,IF($A242=$A241,AS241,1)-X242+$D$2))</f>
        <v>1</v>
      </c>
      <c r="AT242">
        <f>IF(OR($J242=1,COUNTIFS($A$5:$A241,"&gt;="&amp;$A242-1,$A$5:$A241,"&lt;="&amp;$A242,$B$5:$B241,$B242)&gt;0,MIN(1-'Exercise list'!N$2,IF($A242=$A241,AT241,1))-Y242&lt;0),-1,MIN(1,IF($A242=$A241,AT241,1)-Y242+$D$2))</f>
        <v>1</v>
      </c>
      <c r="AU242">
        <f>IF(OR($J242=1,COUNTIFS($A$5:$A241,"&gt;="&amp;$A242-1,$A$5:$A241,"&lt;="&amp;$A242,$B$5:$B241,$B242)&gt;0,MIN(1-'Exercise list'!O$2,IF($A242=$A241,AU241,1))-Z242&lt;0),-1,MIN(1,IF($A242=$A241,AU241,1)-Z242+$D$2))</f>
        <v>1</v>
      </c>
      <c r="AV242">
        <f>IF(OR($J242=1,COUNTIFS($A$5:$A241,"&gt;="&amp;$A242-1,$A$5:$A241,"&lt;="&amp;$A242,$B$5:$B241,$B242)&gt;0,MIN(1-'Exercise list'!P$2,IF($A242=$A241,AV241,1))-AA242&lt;0),-1,MIN(1,IF($A242=$A241,AV241,1)-AA242+$D$2))</f>
        <v>1</v>
      </c>
      <c r="AW242">
        <f>IF(OR($J242=1,COUNTIFS($A$5:$A241,"&gt;="&amp;$A242-1,$A$5:$A241,"&lt;="&amp;$A242,$B$5:$B241,$B242)&gt;0,MIN(1-'Exercise list'!Q$2,IF($A242=$A241,AW241,1))-AB242&lt;0),-1,MIN(1,IF($A242=$A241,AW241,1)-AB242+$D$2))</f>
        <v>1</v>
      </c>
      <c r="AX242">
        <f>IF(OR($J242=1,COUNTIFS($A$5:$A241,"&gt;="&amp;$A242-1,$A$5:$A241,"&lt;="&amp;$A242,$B$5:$B241,$B242)&gt;0,MIN(1-'Exercise list'!R$2,IF($A242=$A241,AX241,1))-AC242&lt;0),-1,MIN(1,IF($A242=$A241,AX241,1)-AC242+$D$2))</f>
        <v>1</v>
      </c>
      <c r="AY242">
        <f>IF(OR($J242=1,COUNTIFS($A$5:$A241,"&gt;="&amp;$A242-1,$A$5:$A241,"&lt;="&amp;$A242,$B$5:$B241,$B242)&gt;0,MIN(1-'Exercise list'!S$2,IF($A242=$A241,AY241,1))-AD242&lt;0),-1,MIN(1,IF($A242=$A241,AY241,1)-AD242+$D$2))</f>
        <v>1</v>
      </c>
      <c r="AZ242">
        <f>IF(OR($J242=1,COUNTIFS($A$5:$A241,"&gt;="&amp;$A242-1,$A$5:$A241,"&lt;="&amp;$A242,$B$5:$B241,$B242)&gt;0,MIN(1-'Exercise list'!T$2,IF($A242=$A241,AZ241,1))-AE242&lt;0),-1,MIN(1,IF($A242=$A241,AZ241,1)-AE242+$D$2))</f>
        <v>1</v>
      </c>
      <c r="BA242">
        <f>IF(OR($J242=1,COUNTIFS($A$5:$A241,"&gt;="&amp;$A242-1,$A$5:$A241,"&lt;="&amp;$A242,$B$5:$B241,$B242)&gt;0,MIN(1-'Exercise list'!U$2,IF($A242=$A241,BA241,1))-AF242&lt;0),-1,MIN(1,IF($A242=$A241,BA241,1)-AF242+$D$2))</f>
        <v>1</v>
      </c>
      <c r="BB242">
        <f>IF(OR($J242=1,COUNTIFS($A$5:$A241,"&gt;="&amp;$A242-1,$A$5:$A241,"&lt;="&amp;$A242,$B$5:$B241,$B242)&gt;0,MIN(1-'Exercise list'!V$2,IF($A242=$A241,BB241,1))-AG242&lt;0),-1,MIN(1,IF($A242=$A241,BB241,1)-AG242+$D$2))</f>
        <v>1</v>
      </c>
      <c r="BC242">
        <f>IF(OR($J242=1,COUNTIFS($A$5:$A241,"&gt;="&amp;$A242-1,$A$5:$A241,"&lt;="&amp;$A242,$B$5:$B241,$B242)&gt;0,MIN(1-'Exercise list'!W$2,IF($A242=$A241,BC241,1))-AH242&lt;0),-1,MIN(1,IF($A242=$A241,BC241,1)-AH242+$D$2))</f>
        <v>1</v>
      </c>
      <c r="BD242">
        <f>IF(OR($J242=1,COUNTIFS($A$5:$A241,"&gt;="&amp;$A242-1,$A$5:$A241,"&lt;="&amp;$A242,$B$5:$B241,$B242)&gt;0,MIN(1-'Exercise list'!X$2,IF($A242=$A241,BD241,1))-AI242&lt;0),-1,MIN(1,IF($A242=$A241,BD241,1)-AI242+$D$2))</f>
        <v>1</v>
      </c>
      <c r="BF242" s="16">
        <f t="shared" si="189"/>
        <v>0.19596031081758858</v>
      </c>
      <c r="BG242" s="16">
        <f t="shared" si="190"/>
        <v>0.21844636935459236</v>
      </c>
      <c r="BH242" s="16">
        <f t="shared" si="191"/>
        <v>0.14609696635987124</v>
      </c>
      <c r="BI242" s="16">
        <f t="shared" si="192"/>
        <v>0.13198015366034541</v>
      </c>
      <c r="BJ242" s="16">
        <f t="shared" si="193"/>
        <v>8.3367914198418713E-2</v>
      </c>
      <c r="BK242" s="16">
        <f t="shared" si="194"/>
        <v>0.10640640223148412</v>
      </c>
      <c r="BL242" s="16">
        <f t="shared" si="195"/>
        <v>0.21963504743569431</v>
      </c>
      <c r="BM242" s="16">
        <f t="shared" si="196"/>
        <v>3.8988008374820568E-3</v>
      </c>
      <c r="BN242" s="16">
        <f t="shared" si="197"/>
        <v>0.14537706087090876</v>
      </c>
      <c r="BO242" s="16">
        <f t="shared" si="198"/>
        <v>0.29209790661993401</v>
      </c>
      <c r="BP242" s="16">
        <f t="shared" si="199"/>
        <v>0.31584545163401867</v>
      </c>
      <c r="BQ242" s="16">
        <f t="shared" si="200"/>
        <v>0.1000007994126096</v>
      </c>
      <c r="BR242" s="16">
        <f t="shared" si="201"/>
        <v>0.13164487759885393</v>
      </c>
      <c r="BS242" s="16">
        <f t="shared" si="202"/>
        <v>2.9803550189863123E-2</v>
      </c>
      <c r="BT242" s="16">
        <f t="shared" si="203"/>
        <v>0.13492040904978705</v>
      </c>
      <c r="BU242" s="16">
        <f t="shared" si="204"/>
        <v>0.11703687414398131</v>
      </c>
      <c r="BV242" s="16">
        <f t="shared" si="205"/>
        <v>0.14633353213781661</v>
      </c>
      <c r="BW242" s="16">
        <f t="shared" si="206"/>
        <v>7.5588015111767173E-2</v>
      </c>
      <c r="BX242" s="16">
        <f t="shared" si="207"/>
        <v>8.0345659937185704E-2</v>
      </c>
      <c r="BY242" s="16">
        <f t="shared" si="208"/>
        <v>5.9014643151272549E-2</v>
      </c>
      <c r="CA242" s="16" t="str">
        <f t="shared" si="185"/>
        <v/>
      </c>
      <c r="CB242" s="16" t="str">
        <f t="shared" si="166"/>
        <v/>
      </c>
      <c r="CC242" s="16" t="str">
        <f t="shared" si="167"/>
        <v/>
      </c>
      <c r="CD242" s="16" t="str">
        <f t="shared" si="168"/>
        <v/>
      </c>
      <c r="CE242" s="16" t="str">
        <f t="shared" si="169"/>
        <v/>
      </c>
      <c r="CF242" s="16" t="str">
        <f t="shared" si="170"/>
        <v/>
      </c>
      <c r="CG242" s="16" t="str">
        <f t="shared" si="171"/>
        <v/>
      </c>
      <c r="CH242" s="16" t="str">
        <f t="shared" si="172"/>
        <v/>
      </c>
      <c r="CI242" s="16" t="str">
        <f t="shared" si="173"/>
        <v/>
      </c>
      <c r="CJ242" s="16" t="str">
        <f t="shared" si="174"/>
        <v/>
      </c>
      <c r="CK242" s="16" t="str">
        <f t="shared" si="175"/>
        <v/>
      </c>
      <c r="CL242" s="16" t="str">
        <f t="shared" si="176"/>
        <v/>
      </c>
      <c r="CM242" s="16" t="str">
        <f t="shared" si="177"/>
        <v/>
      </c>
      <c r="CN242" s="16" t="str">
        <f t="shared" si="178"/>
        <v/>
      </c>
      <c r="CO242" s="16" t="str">
        <f t="shared" si="179"/>
        <v/>
      </c>
      <c r="CP242" s="16" t="str">
        <f t="shared" si="180"/>
        <v/>
      </c>
      <c r="CQ242" s="16" t="str">
        <f t="shared" si="181"/>
        <v/>
      </c>
      <c r="CR242" s="16" t="str">
        <f t="shared" si="182"/>
        <v/>
      </c>
      <c r="CS242" s="16" t="str">
        <f t="shared" si="183"/>
        <v/>
      </c>
      <c r="CT242" s="16" t="str">
        <f t="shared" si="184"/>
        <v/>
      </c>
    </row>
    <row r="243" spans="1:99" x14ac:dyDescent="0.25">
      <c r="A243" s="20"/>
      <c r="B243" s="21"/>
      <c r="C243" s="22" t="str" cm="1">
        <f t="array" ref="C243">IF(B243="","",INDEX('Exercise list'!$C$5:$C$102,B243))</f>
        <v/>
      </c>
      <c r="D243" s="17" t="str">
        <f t="shared" si="186"/>
        <v/>
      </c>
      <c r="E243" s="108" t="str">
        <f t="shared" si="209"/>
        <v/>
      </c>
      <c r="F243" s="65" t="str" cm="1">
        <f t="array" ref="F243">IF(B243="","",0.1+IFERROR(INDEX($F$6:$F242,SUMPRODUCT(MAX(ROW($C$6:$C242)*($C243=$C$6:$C242))-ROW($A$5)))*0.9^($A243-INDEX($A$6:A242,SUMPRODUCT(MAX(ROW($C$6:$C242)*($C243=$C$6:$C242))-ROW($A$5)))),0))</f>
        <v/>
      </c>
      <c r="G243" s="25" t="e">
        <f>INDEX('Exercise list'!$Y$5:$Y$102,MATCH(C243,'Exercise list'!$C$5:$C$102,0))</f>
        <v>#N/A</v>
      </c>
      <c r="H243" s="116">
        <f t="shared" si="187"/>
        <v>0</v>
      </c>
      <c r="I243" s="18">
        <f t="shared" si="188"/>
        <v>5</v>
      </c>
      <c r="J243" s="18" t="str" cm="1">
        <f t="array" ref="J243">IF(B243="","",INDEX('Exercise list'!$D$5:$D$102,B243))</f>
        <v/>
      </c>
      <c r="K243" s="17"/>
      <c r="L243" s="51" t="str" cm="1">
        <f t="array" ref="L243">IF(K243="","",INDEX('Exercise list'!$C$5:$C$102,K243))</f>
        <v/>
      </c>
      <c r="M243" s="18"/>
      <c r="N243" s="76" t="str" cm="1">
        <f t="array" ref="N243">IF(M243="","",INDEX('Exercise list'!$C$5:$C$102,M243))</f>
        <v/>
      </c>
      <c r="O243" s="19"/>
      <c r="P243" s="19">
        <f>IFERROR(INDEX('Exercise list'!$E$5:$X$102,MATCH($C243,'Exercise list'!$C$5:$C$102,0),MATCH(P$5,'Exercise list'!$E$4:$X$4,0)),0)</f>
        <v>0</v>
      </c>
      <c r="Q243" s="19">
        <f>IFERROR(INDEX('Exercise list'!$E$5:$X$102,MATCH($C243,'Exercise list'!$C$5:$C$102,0),MATCH(Q$5,'Exercise list'!$E$4:$X$4,0)),0)</f>
        <v>0</v>
      </c>
      <c r="R243" s="19">
        <f>IFERROR(INDEX('Exercise list'!$E$5:$X$102,MATCH($C243,'Exercise list'!$C$5:$C$102,0),MATCH(R$5,'Exercise list'!$E$4:$X$4,0)),0)</f>
        <v>0</v>
      </c>
      <c r="S243" s="19">
        <f>IFERROR(INDEX('Exercise list'!$E$5:$X$102,MATCH($C243,'Exercise list'!$C$5:$C$102,0),MATCH(S$5,'Exercise list'!$E$4:$X$4,0)),0)</f>
        <v>0</v>
      </c>
      <c r="T243" s="19">
        <f>IFERROR(INDEX('Exercise list'!$E$5:$X$102,MATCH($C243,'Exercise list'!$C$5:$C$102,0),MATCH(T$5,'Exercise list'!$E$4:$X$4,0)),0)</f>
        <v>0</v>
      </c>
      <c r="U243" s="19">
        <f>IFERROR(INDEX('Exercise list'!$E$5:$X$102,MATCH($C243,'Exercise list'!$C$5:$C$102,0),MATCH(U$5,'Exercise list'!$E$4:$X$4,0)),0)</f>
        <v>0</v>
      </c>
      <c r="V243" s="19">
        <f>IFERROR(INDEX('Exercise list'!$E$5:$X$102,MATCH($C243,'Exercise list'!$C$5:$C$102,0),MATCH(V$5,'Exercise list'!$E$4:$X$4,0)),0)</f>
        <v>0</v>
      </c>
      <c r="W243" s="19">
        <f>IFERROR(INDEX('Exercise list'!$E$5:$X$102,MATCH($C243,'Exercise list'!$C$5:$C$102,0),MATCH(W$5,'Exercise list'!$E$4:$X$4,0)),0)</f>
        <v>0</v>
      </c>
      <c r="X243" s="19">
        <f>IFERROR(INDEX('Exercise list'!$E$5:$X$102,MATCH($C243,'Exercise list'!$C$5:$C$102,0),MATCH(X$5,'Exercise list'!$E$4:$X$4,0)),0)</f>
        <v>0</v>
      </c>
      <c r="Y243" s="19">
        <f>IFERROR(INDEX('Exercise list'!$E$5:$X$102,MATCH($C243,'Exercise list'!$C$5:$C$102,0),MATCH(Y$5,'Exercise list'!$E$4:$X$4,0)),0)</f>
        <v>0</v>
      </c>
      <c r="Z243" s="19">
        <f>IFERROR(INDEX('Exercise list'!$E$5:$X$102,MATCH($C243,'Exercise list'!$C$5:$C$102,0),MATCH(Z$5,'Exercise list'!$E$4:$X$4,0)),0)</f>
        <v>0</v>
      </c>
      <c r="AA243" s="19">
        <f>IFERROR(INDEX('Exercise list'!$E$5:$X$102,MATCH($C243,'Exercise list'!$C$5:$C$102,0),MATCH(AA$5,'Exercise list'!$E$4:$X$4,0)),0)</f>
        <v>0</v>
      </c>
      <c r="AB243" s="19">
        <f>IFERROR(INDEX('Exercise list'!$E$5:$X$102,MATCH($C243,'Exercise list'!$C$5:$C$102,0),MATCH(AB$5,'Exercise list'!$E$4:$X$4,0)),0)</f>
        <v>0</v>
      </c>
      <c r="AC243" s="19">
        <f>IFERROR(INDEX('Exercise list'!$E$5:$X$102,MATCH($C243,'Exercise list'!$C$5:$C$102,0),MATCH(AC$5,'Exercise list'!$E$4:$X$4,0)),0)</f>
        <v>0</v>
      </c>
      <c r="AD243" s="19">
        <f>IFERROR(INDEX('Exercise list'!$E$5:$X$102,MATCH($C243,'Exercise list'!$C$5:$C$102,0),MATCH(AD$5,'Exercise list'!$E$4:$X$4,0)),0)</f>
        <v>0</v>
      </c>
      <c r="AE243" s="19">
        <f>IFERROR(INDEX('Exercise list'!$E$5:$X$102,MATCH($C243,'Exercise list'!$C$5:$C$102,0),MATCH(AE$5,'Exercise list'!$E$4:$X$4,0)),0)</f>
        <v>0</v>
      </c>
      <c r="AF243" s="19">
        <f>IFERROR(INDEX('Exercise list'!$E$5:$X$102,MATCH($C243,'Exercise list'!$C$5:$C$102,0),MATCH(AF$5,'Exercise list'!$E$4:$X$4,0)),0)</f>
        <v>0</v>
      </c>
      <c r="AG243" s="19">
        <f>IFERROR(INDEX('Exercise list'!$E$5:$X$102,MATCH($C243,'Exercise list'!$C$5:$C$102,0),MATCH(AG$5,'Exercise list'!$E$4:$X$4,0)),0)</f>
        <v>0</v>
      </c>
      <c r="AH243" s="19">
        <f>IFERROR(INDEX('Exercise list'!$E$5:$X$102,MATCH($C243,'Exercise list'!$C$5:$C$102,0),MATCH(AH$5,'Exercise list'!$E$4:$X$4,0)),0)</f>
        <v>0</v>
      </c>
      <c r="AI243" s="19">
        <f>IFERROR(INDEX('Exercise list'!$E$5:$X$102,MATCH($C243,'Exercise list'!$C$5:$C$102,0),MATCH(AI$5,'Exercise list'!$E$4:$X$4,0)),0)</f>
        <v>0</v>
      </c>
      <c r="AJ243" s="19"/>
      <c r="AK243" s="19">
        <f>IF(OR($J243=1,COUNTIFS($A$5:$A242,"&gt;="&amp;$A243-1,$A$5:$A242,"&lt;="&amp;$A243,$B$5:$B242,$B243)&gt;0,MIN(1-'Exercise list'!E$2,IF($A243=$A242,AK242,1))-P243&lt;0),-1,MIN(1,IF($A243=$A242,AK242,1)-P243+$D$2))</f>
        <v>1</v>
      </c>
      <c r="AL243" s="19">
        <f>IF(OR($J243=1,COUNTIFS($A$5:$A242,"&gt;="&amp;$A243-1,$A$5:$A242,"&lt;="&amp;$A243,$B$5:$B242,$B243)&gt;0,MIN(1-'Exercise list'!F$2,IF($A243=$A242,AL242,1))-Q243&lt;0),-1,MIN(1,IF($A243=$A242,AL242,1)-Q243+$D$2))</f>
        <v>1</v>
      </c>
      <c r="AM243" s="19">
        <f>IF(OR($J243=1,COUNTIFS($A$5:$A242,"&gt;="&amp;$A243-1,$A$5:$A242,"&lt;="&amp;$A243,$B$5:$B242,$B243)&gt;0,MIN(1-'Exercise list'!G$2,IF($A243=$A242,AM242,1))-R243&lt;0),-1,MIN(1,IF($A243=$A242,AM242,1)-R243+$D$2))</f>
        <v>1</v>
      </c>
      <c r="AN243" s="19">
        <f>IF(OR($J243=1,COUNTIFS($A$5:$A242,"&gt;="&amp;$A243-1,$A$5:$A242,"&lt;="&amp;$A243,$B$5:$B242,$B243)&gt;0,MIN(1-'Exercise list'!H$2,IF($A243=$A242,AN242,1))-S243&lt;0),-1,MIN(1,IF($A243=$A242,AN242,1)-S243+$D$2))</f>
        <v>1</v>
      </c>
      <c r="AO243" s="19">
        <f>IF(OR($J243=1,COUNTIFS($A$5:$A242,"&gt;="&amp;$A243-1,$A$5:$A242,"&lt;="&amp;$A243,$B$5:$B242,$B243)&gt;0,MIN(1-'Exercise list'!I$2,IF($A243=$A242,AO242,1))-T243&lt;0),-1,MIN(1,IF($A243=$A242,AO242,1)-T243+$D$2))</f>
        <v>1</v>
      </c>
      <c r="AP243" s="19">
        <f>IF(OR($J243=1,COUNTIFS($A$5:$A242,"&gt;="&amp;$A243-1,$A$5:$A242,"&lt;="&amp;$A243,$B$5:$B242,$B243)&gt;0,MIN(1-'Exercise list'!J$2,IF($A243=$A242,AP242,1))-U243&lt;0),-1,MIN(1,IF($A243=$A242,AP242,1)-U243+$D$2))</f>
        <v>1</v>
      </c>
      <c r="AQ243" s="19">
        <f>IF(OR($J243=1,COUNTIFS($A$5:$A242,"&gt;="&amp;$A243-1,$A$5:$A242,"&lt;="&amp;$A243,$B$5:$B242,$B243)&gt;0,MIN(1-'Exercise list'!K$2,IF($A243=$A242,AQ242,1))-V243&lt;0),-1,MIN(1,IF($A243=$A242,AQ242,1)-V243+$D$2))</f>
        <v>1</v>
      </c>
      <c r="AR243" s="19">
        <f>IF(OR($J243=1,COUNTIFS($A$5:$A242,"&gt;="&amp;$A243-1,$A$5:$A242,"&lt;="&amp;$A243,$B$5:$B242,$B243)&gt;0,MIN(1-'Exercise list'!L$2,IF($A243=$A242,AR242,1))-W243&lt;0),-1,MIN(1,IF($A243=$A242,AR242,1)-W243+$D$2))</f>
        <v>1</v>
      </c>
      <c r="AS243" s="19">
        <f>IF(OR($J243=1,COUNTIFS($A$5:$A242,"&gt;="&amp;$A243-1,$A$5:$A242,"&lt;="&amp;$A243,$B$5:$B242,$B243)&gt;0,MIN(1-'Exercise list'!M$2,IF($A243=$A242,AS242,1))-X243&lt;0),-1,MIN(1,IF($A243=$A242,AS242,1)-X243+$D$2))</f>
        <v>1</v>
      </c>
      <c r="AT243" s="19">
        <f>IF(OR($J243=1,COUNTIFS($A$5:$A242,"&gt;="&amp;$A243-1,$A$5:$A242,"&lt;="&amp;$A243,$B$5:$B242,$B243)&gt;0,MIN(1-'Exercise list'!N$2,IF($A243=$A242,AT242,1))-Y243&lt;0),-1,MIN(1,IF($A243=$A242,AT242,1)-Y243+$D$2))</f>
        <v>1</v>
      </c>
      <c r="AU243" s="19">
        <f>IF(OR($J243=1,COUNTIFS($A$5:$A242,"&gt;="&amp;$A243-1,$A$5:$A242,"&lt;="&amp;$A243,$B$5:$B242,$B243)&gt;0,MIN(1-'Exercise list'!O$2,IF($A243=$A242,AU242,1))-Z243&lt;0),-1,MIN(1,IF($A243=$A242,AU242,1)-Z243+$D$2))</f>
        <v>1</v>
      </c>
      <c r="AV243" s="19">
        <f>IF(OR($J243=1,COUNTIFS($A$5:$A242,"&gt;="&amp;$A243-1,$A$5:$A242,"&lt;="&amp;$A243,$B$5:$B242,$B243)&gt;0,MIN(1-'Exercise list'!P$2,IF($A243=$A242,AV242,1))-AA243&lt;0),-1,MIN(1,IF($A243=$A242,AV242,1)-AA243+$D$2))</f>
        <v>1</v>
      </c>
      <c r="AW243" s="19">
        <f>IF(OR($J243=1,COUNTIFS($A$5:$A242,"&gt;="&amp;$A243-1,$A$5:$A242,"&lt;="&amp;$A243,$B$5:$B242,$B243)&gt;0,MIN(1-'Exercise list'!Q$2,IF($A243=$A242,AW242,1))-AB243&lt;0),-1,MIN(1,IF($A243=$A242,AW242,1)-AB243+$D$2))</f>
        <v>1</v>
      </c>
      <c r="AX243" s="19">
        <f>IF(OR($J243=1,COUNTIFS($A$5:$A242,"&gt;="&amp;$A243-1,$A$5:$A242,"&lt;="&amp;$A243,$B$5:$B242,$B243)&gt;0,MIN(1-'Exercise list'!R$2,IF($A243=$A242,AX242,1))-AC243&lt;0),-1,MIN(1,IF($A243=$A242,AX242,1)-AC243+$D$2))</f>
        <v>1</v>
      </c>
      <c r="AY243" s="19">
        <f>IF(OR($J243=1,COUNTIFS($A$5:$A242,"&gt;="&amp;$A243-1,$A$5:$A242,"&lt;="&amp;$A243,$B$5:$B242,$B243)&gt;0,MIN(1-'Exercise list'!S$2,IF($A243=$A242,AY242,1))-AD243&lt;0),-1,MIN(1,IF($A243=$A242,AY242,1)-AD243+$D$2))</f>
        <v>1</v>
      </c>
      <c r="AZ243" s="19">
        <f>IF(OR($J243=1,COUNTIFS($A$5:$A242,"&gt;="&amp;$A243-1,$A$5:$A242,"&lt;="&amp;$A243,$B$5:$B242,$B243)&gt;0,MIN(1-'Exercise list'!T$2,IF($A243=$A242,AZ242,1))-AE243&lt;0),-1,MIN(1,IF($A243=$A242,AZ242,1)-AE243+$D$2))</f>
        <v>1</v>
      </c>
      <c r="BA243" s="19">
        <f>IF(OR($J243=1,COUNTIFS($A$5:$A242,"&gt;="&amp;$A243-1,$A$5:$A242,"&lt;="&amp;$A243,$B$5:$B242,$B243)&gt;0,MIN(1-'Exercise list'!U$2,IF($A243=$A242,BA242,1))-AF243&lt;0),-1,MIN(1,IF($A243=$A242,BA242,1)-AF243+$D$2))</f>
        <v>1</v>
      </c>
      <c r="BB243" s="19">
        <f>IF(OR($J243=1,COUNTIFS($A$5:$A242,"&gt;="&amp;$A243-1,$A$5:$A242,"&lt;="&amp;$A243,$B$5:$B242,$B243)&gt;0,MIN(1-'Exercise list'!V$2,IF($A243=$A242,BB242,1))-AG243&lt;0),-1,MIN(1,IF($A243=$A242,BB242,1)-AG243+$D$2))</f>
        <v>1</v>
      </c>
      <c r="BC243" s="19">
        <f>IF(OR($J243=1,COUNTIFS($A$5:$A242,"&gt;="&amp;$A243-1,$A$5:$A242,"&lt;="&amp;$A243,$B$5:$B242,$B243)&gt;0,MIN(1-'Exercise list'!W$2,IF($A243=$A242,BC242,1))-AH243&lt;0),-1,MIN(1,IF($A243=$A242,BC242,1)-AH243+$D$2))</f>
        <v>1</v>
      </c>
      <c r="BD243" s="19">
        <f>IF(OR($J243=1,COUNTIFS($A$5:$A242,"&gt;="&amp;$A243-1,$A$5:$A242,"&lt;="&amp;$A243,$B$5:$B242,$B243)&gt;0,MIN(1-'Exercise list'!X$2,IF($A243=$A242,BD242,1))-AI243&lt;0),-1,MIN(1,IF($A243=$A242,BD242,1)-AI243+$D$2))</f>
        <v>1</v>
      </c>
      <c r="BE243" s="19"/>
      <c r="BF243" s="23">
        <f t="shared" si="189"/>
        <v>0.19596031081758858</v>
      </c>
      <c r="BG243" s="23">
        <f t="shared" si="190"/>
        <v>0.21844636935459236</v>
      </c>
      <c r="BH243" s="23">
        <f t="shared" si="191"/>
        <v>0.14609696635987124</v>
      </c>
      <c r="BI243" s="23">
        <f t="shared" si="192"/>
        <v>0.13198015366034541</v>
      </c>
      <c r="BJ243" s="23">
        <f t="shared" si="193"/>
        <v>8.3367914198418713E-2</v>
      </c>
      <c r="BK243" s="23">
        <f t="shared" si="194"/>
        <v>0.10640640223148412</v>
      </c>
      <c r="BL243" s="23">
        <f t="shared" si="195"/>
        <v>0.21963504743569431</v>
      </c>
      <c r="BM243" s="23">
        <f t="shared" si="196"/>
        <v>3.8988008374820568E-3</v>
      </c>
      <c r="BN243" s="23">
        <f t="shared" si="197"/>
        <v>0.14537706087090876</v>
      </c>
      <c r="BO243" s="23">
        <f t="shared" si="198"/>
        <v>0.29209790661993401</v>
      </c>
      <c r="BP243" s="23">
        <f t="shared" si="199"/>
        <v>0.31584545163401867</v>
      </c>
      <c r="BQ243" s="23">
        <f t="shared" si="200"/>
        <v>0.1000007994126096</v>
      </c>
      <c r="BR243" s="23">
        <f t="shared" si="201"/>
        <v>0.13164487759885393</v>
      </c>
      <c r="BS243" s="23">
        <f t="shared" si="202"/>
        <v>2.9803550189863123E-2</v>
      </c>
      <c r="BT243" s="23">
        <f t="shared" si="203"/>
        <v>0.13492040904978705</v>
      </c>
      <c r="BU243" s="23">
        <f t="shared" si="204"/>
        <v>0.11703687414398131</v>
      </c>
      <c r="BV243" s="23">
        <f t="shared" si="205"/>
        <v>0.14633353213781661</v>
      </c>
      <c r="BW243" s="23">
        <f t="shared" si="206"/>
        <v>7.5588015111767173E-2</v>
      </c>
      <c r="BX243" s="23">
        <f t="shared" si="207"/>
        <v>8.0345659937185704E-2</v>
      </c>
      <c r="BY243" s="23">
        <f t="shared" si="208"/>
        <v>5.9014643151272549E-2</v>
      </c>
      <c r="BZ243" s="19"/>
      <c r="CA243" s="23" t="str">
        <f t="shared" si="185"/>
        <v/>
      </c>
      <c r="CB243" s="23" t="str">
        <f t="shared" si="166"/>
        <v/>
      </c>
      <c r="CC243" s="23" t="str">
        <f t="shared" si="167"/>
        <v/>
      </c>
      <c r="CD243" s="23" t="str">
        <f t="shared" si="168"/>
        <v/>
      </c>
      <c r="CE243" s="23" t="str">
        <f t="shared" si="169"/>
        <v/>
      </c>
      <c r="CF243" s="23" t="str">
        <f t="shared" si="170"/>
        <v/>
      </c>
      <c r="CG243" s="23" t="str">
        <f t="shared" si="171"/>
        <v/>
      </c>
      <c r="CH243" s="23" t="str">
        <f t="shared" si="172"/>
        <v/>
      </c>
      <c r="CI243" s="23" t="str">
        <f t="shared" si="173"/>
        <v/>
      </c>
      <c r="CJ243" s="23" t="str">
        <f t="shared" si="174"/>
        <v/>
      </c>
      <c r="CK243" s="23" t="str">
        <f t="shared" si="175"/>
        <v/>
      </c>
      <c r="CL243" s="23" t="str">
        <f t="shared" si="176"/>
        <v/>
      </c>
      <c r="CM243" s="23" t="str">
        <f t="shared" si="177"/>
        <v/>
      </c>
      <c r="CN243" s="23" t="str">
        <f t="shared" si="178"/>
        <v/>
      </c>
      <c r="CO243" s="23" t="str">
        <f t="shared" si="179"/>
        <v/>
      </c>
      <c r="CP243" s="23" t="str">
        <f t="shared" si="180"/>
        <v/>
      </c>
      <c r="CQ243" s="23" t="str">
        <f t="shared" si="181"/>
        <v/>
      </c>
      <c r="CR243" s="23" t="str">
        <f t="shared" si="182"/>
        <v/>
      </c>
      <c r="CS243" s="23" t="str">
        <f t="shared" si="183"/>
        <v/>
      </c>
      <c r="CT243" s="23" t="str">
        <f t="shared" si="184"/>
        <v/>
      </c>
      <c r="CU243" s="19"/>
    </row>
    <row r="244" spans="1:99" x14ac:dyDescent="0.25">
      <c r="A244" s="13"/>
      <c r="B244" s="14"/>
      <c r="C244" s="15" t="str" cm="1">
        <f t="array" ref="C244">IF(B244="","",INDEX('Exercise list'!$C$5:$C$102,B244))</f>
        <v/>
      </c>
      <c r="D244" s="12" t="str">
        <f t="shared" si="186"/>
        <v/>
      </c>
      <c r="E244" s="107" t="str">
        <f t="shared" si="209"/>
        <v/>
      </c>
      <c r="F244" s="63" t="str" cm="1">
        <f t="array" ref="F244">IF(B244="","",0.1+IFERROR(INDEX($F$6:$F243,SUMPRODUCT(MAX(ROW($C$6:$C243)*($C244=$C$6:$C243))-ROW($A$5)))*0.9^($A244-INDEX($A$6:A243,SUMPRODUCT(MAX(ROW($C$6:$C243)*($C244=$C$6:$C243))-ROW($A$5)))),0))</f>
        <v/>
      </c>
      <c r="G244" s="64" t="e">
        <f>INDEX('Exercise list'!$Y$5:$Y$102,MATCH(C244,'Exercise list'!$C$5:$C$102,0))</f>
        <v>#N/A</v>
      </c>
      <c r="H244" s="115">
        <f t="shared" si="187"/>
        <v>0</v>
      </c>
      <c r="I244" s="42">
        <f t="shared" si="188"/>
        <v>5</v>
      </c>
      <c r="J244" s="6" t="str" cm="1">
        <f t="array" ref="J244">IF(B244="","",INDEX('Exercise list'!$D$5:$D$102,B244))</f>
        <v/>
      </c>
      <c r="K244" s="12"/>
      <c r="L244" s="74" t="str" cm="1">
        <f t="array" ref="L244">IF(K244="","",INDEX('Exercise list'!$C$5:$C$102,K244))</f>
        <v/>
      </c>
      <c r="M244" s="6"/>
      <c r="N244" s="75" t="str" cm="1">
        <f t="array" ref="N244">IF(M244="","",INDEX('Exercise list'!$C$5:$C$102,M244))</f>
        <v/>
      </c>
      <c r="P244">
        <f>IFERROR(INDEX('Exercise list'!$E$5:$X$102,MATCH($C244,'Exercise list'!$C$5:$C$102,0),MATCH(P$5,'Exercise list'!$E$4:$X$4,0)),0)</f>
        <v>0</v>
      </c>
      <c r="Q244">
        <f>IFERROR(INDEX('Exercise list'!$E$5:$X$102,MATCH($C244,'Exercise list'!$C$5:$C$102,0),MATCH(Q$5,'Exercise list'!$E$4:$X$4,0)),0)</f>
        <v>0</v>
      </c>
      <c r="R244">
        <f>IFERROR(INDEX('Exercise list'!$E$5:$X$102,MATCH($C244,'Exercise list'!$C$5:$C$102,0),MATCH(R$5,'Exercise list'!$E$4:$X$4,0)),0)</f>
        <v>0</v>
      </c>
      <c r="S244">
        <f>IFERROR(INDEX('Exercise list'!$E$5:$X$102,MATCH($C244,'Exercise list'!$C$5:$C$102,0),MATCH(S$5,'Exercise list'!$E$4:$X$4,0)),0)</f>
        <v>0</v>
      </c>
      <c r="T244">
        <f>IFERROR(INDEX('Exercise list'!$E$5:$X$102,MATCH($C244,'Exercise list'!$C$5:$C$102,0),MATCH(T$5,'Exercise list'!$E$4:$X$4,0)),0)</f>
        <v>0</v>
      </c>
      <c r="U244">
        <f>IFERROR(INDEX('Exercise list'!$E$5:$X$102,MATCH($C244,'Exercise list'!$C$5:$C$102,0),MATCH(U$5,'Exercise list'!$E$4:$X$4,0)),0)</f>
        <v>0</v>
      </c>
      <c r="V244">
        <f>IFERROR(INDEX('Exercise list'!$E$5:$X$102,MATCH($C244,'Exercise list'!$C$5:$C$102,0),MATCH(V$5,'Exercise list'!$E$4:$X$4,0)),0)</f>
        <v>0</v>
      </c>
      <c r="W244">
        <f>IFERROR(INDEX('Exercise list'!$E$5:$X$102,MATCH($C244,'Exercise list'!$C$5:$C$102,0),MATCH(W$5,'Exercise list'!$E$4:$X$4,0)),0)</f>
        <v>0</v>
      </c>
      <c r="X244">
        <f>IFERROR(INDEX('Exercise list'!$E$5:$X$102,MATCH($C244,'Exercise list'!$C$5:$C$102,0),MATCH(X$5,'Exercise list'!$E$4:$X$4,0)),0)</f>
        <v>0</v>
      </c>
      <c r="Y244">
        <f>IFERROR(INDEX('Exercise list'!$E$5:$X$102,MATCH($C244,'Exercise list'!$C$5:$C$102,0),MATCH(Y$5,'Exercise list'!$E$4:$X$4,0)),0)</f>
        <v>0</v>
      </c>
      <c r="Z244">
        <f>IFERROR(INDEX('Exercise list'!$E$5:$X$102,MATCH($C244,'Exercise list'!$C$5:$C$102,0),MATCH(Z$5,'Exercise list'!$E$4:$X$4,0)),0)</f>
        <v>0</v>
      </c>
      <c r="AA244">
        <f>IFERROR(INDEX('Exercise list'!$E$5:$X$102,MATCH($C244,'Exercise list'!$C$5:$C$102,0),MATCH(AA$5,'Exercise list'!$E$4:$X$4,0)),0)</f>
        <v>0</v>
      </c>
      <c r="AB244">
        <f>IFERROR(INDEX('Exercise list'!$E$5:$X$102,MATCH($C244,'Exercise list'!$C$5:$C$102,0),MATCH(AB$5,'Exercise list'!$E$4:$X$4,0)),0)</f>
        <v>0</v>
      </c>
      <c r="AC244">
        <f>IFERROR(INDEX('Exercise list'!$E$5:$X$102,MATCH($C244,'Exercise list'!$C$5:$C$102,0),MATCH(AC$5,'Exercise list'!$E$4:$X$4,0)),0)</f>
        <v>0</v>
      </c>
      <c r="AD244">
        <f>IFERROR(INDEX('Exercise list'!$E$5:$X$102,MATCH($C244,'Exercise list'!$C$5:$C$102,0),MATCH(AD$5,'Exercise list'!$E$4:$X$4,0)),0)</f>
        <v>0</v>
      </c>
      <c r="AE244">
        <f>IFERROR(INDEX('Exercise list'!$E$5:$X$102,MATCH($C244,'Exercise list'!$C$5:$C$102,0),MATCH(AE$5,'Exercise list'!$E$4:$X$4,0)),0)</f>
        <v>0</v>
      </c>
      <c r="AF244">
        <f>IFERROR(INDEX('Exercise list'!$E$5:$X$102,MATCH($C244,'Exercise list'!$C$5:$C$102,0),MATCH(AF$5,'Exercise list'!$E$4:$X$4,0)),0)</f>
        <v>0</v>
      </c>
      <c r="AG244">
        <f>IFERROR(INDEX('Exercise list'!$E$5:$X$102,MATCH($C244,'Exercise list'!$C$5:$C$102,0),MATCH(AG$5,'Exercise list'!$E$4:$X$4,0)),0)</f>
        <v>0</v>
      </c>
      <c r="AH244">
        <f>IFERROR(INDEX('Exercise list'!$E$5:$X$102,MATCH($C244,'Exercise list'!$C$5:$C$102,0),MATCH(AH$5,'Exercise list'!$E$4:$X$4,0)),0)</f>
        <v>0</v>
      </c>
      <c r="AI244">
        <f>IFERROR(INDEX('Exercise list'!$E$5:$X$102,MATCH($C244,'Exercise list'!$C$5:$C$102,0),MATCH(AI$5,'Exercise list'!$E$4:$X$4,0)),0)</f>
        <v>0</v>
      </c>
      <c r="AK244">
        <f>IF(OR($J244=1,COUNTIFS($A$5:$A243,"&gt;="&amp;$A244-1,$A$5:$A243,"&lt;="&amp;$A244,$B$5:$B243,$B244)&gt;0,MIN(1-'Exercise list'!E$2,IF($A244=$A243,AK243,1))-P244&lt;0),-1,MIN(1,IF($A244=$A243,AK243,1)-P244+$D$2))</f>
        <v>1</v>
      </c>
      <c r="AL244">
        <f>IF(OR($J244=1,COUNTIFS($A$5:$A243,"&gt;="&amp;$A244-1,$A$5:$A243,"&lt;="&amp;$A244,$B$5:$B243,$B244)&gt;0,MIN(1-'Exercise list'!F$2,IF($A244=$A243,AL243,1))-Q244&lt;0),-1,MIN(1,IF($A244=$A243,AL243,1)-Q244+$D$2))</f>
        <v>1</v>
      </c>
      <c r="AM244">
        <f>IF(OR($J244=1,COUNTIFS($A$5:$A243,"&gt;="&amp;$A244-1,$A$5:$A243,"&lt;="&amp;$A244,$B$5:$B243,$B244)&gt;0,MIN(1-'Exercise list'!G$2,IF($A244=$A243,AM243,1))-R244&lt;0),-1,MIN(1,IF($A244=$A243,AM243,1)-R244+$D$2))</f>
        <v>1</v>
      </c>
      <c r="AN244">
        <f>IF(OR($J244=1,COUNTIFS($A$5:$A243,"&gt;="&amp;$A244-1,$A$5:$A243,"&lt;="&amp;$A244,$B$5:$B243,$B244)&gt;0,MIN(1-'Exercise list'!H$2,IF($A244=$A243,AN243,1))-S244&lt;0),-1,MIN(1,IF($A244=$A243,AN243,1)-S244+$D$2))</f>
        <v>1</v>
      </c>
      <c r="AO244">
        <f>IF(OR($J244=1,COUNTIFS($A$5:$A243,"&gt;="&amp;$A244-1,$A$5:$A243,"&lt;="&amp;$A244,$B$5:$B243,$B244)&gt;0,MIN(1-'Exercise list'!I$2,IF($A244=$A243,AO243,1))-T244&lt;0),-1,MIN(1,IF($A244=$A243,AO243,1)-T244+$D$2))</f>
        <v>1</v>
      </c>
      <c r="AP244">
        <f>IF(OR($J244=1,COUNTIFS($A$5:$A243,"&gt;="&amp;$A244-1,$A$5:$A243,"&lt;="&amp;$A244,$B$5:$B243,$B244)&gt;0,MIN(1-'Exercise list'!J$2,IF($A244=$A243,AP243,1))-U244&lt;0),-1,MIN(1,IF($A244=$A243,AP243,1)-U244+$D$2))</f>
        <v>1</v>
      </c>
      <c r="AQ244">
        <f>IF(OR($J244=1,COUNTIFS($A$5:$A243,"&gt;="&amp;$A244-1,$A$5:$A243,"&lt;="&amp;$A244,$B$5:$B243,$B244)&gt;0,MIN(1-'Exercise list'!K$2,IF($A244=$A243,AQ243,1))-V244&lt;0),-1,MIN(1,IF($A244=$A243,AQ243,1)-V244+$D$2))</f>
        <v>1</v>
      </c>
      <c r="AR244">
        <f>IF(OR($J244=1,COUNTIFS($A$5:$A243,"&gt;="&amp;$A244-1,$A$5:$A243,"&lt;="&amp;$A244,$B$5:$B243,$B244)&gt;0,MIN(1-'Exercise list'!L$2,IF($A244=$A243,AR243,1))-W244&lt;0),-1,MIN(1,IF($A244=$A243,AR243,1)-W244+$D$2))</f>
        <v>1</v>
      </c>
      <c r="AS244">
        <f>IF(OR($J244=1,COUNTIFS($A$5:$A243,"&gt;="&amp;$A244-1,$A$5:$A243,"&lt;="&amp;$A244,$B$5:$B243,$B244)&gt;0,MIN(1-'Exercise list'!M$2,IF($A244=$A243,AS243,1))-X244&lt;0),-1,MIN(1,IF($A244=$A243,AS243,1)-X244+$D$2))</f>
        <v>1</v>
      </c>
      <c r="AT244">
        <f>IF(OR($J244=1,COUNTIFS($A$5:$A243,"&gt;="&amp;$A244-1,$A$5:$A243,"&lt;="&amp;$A244,$B$5:$B243,$B244)&gt;0,MIN(1-'Exercise list'!N$2,IF($A244=$A243,AT243,1))-Y244&lt;0),-1,MIN(1,IF($A244=$A243,AT243,1)-Y244+$D$2))</f>
        <v>1</v>
      </c>
      <c r="AU244">
        <f>IF(OR($J244=1,COUNTIFS($A$5:$A243,"&gt;="&amp;$A244-1,$A$5:$A243,"&lt;="&amp;$A244,$B$5:$B243,$B244)&gt;0,MIN(1-'Exercise list'!O$2,IF($A244=$A243,AU243,1))-Z244&lt;0),-1,MIN(1,IF($A244=$A243,AU243,1)-Z244+$D$2))</f>
        <v>1</v>
      </c>
      <c r="AV244">
        <f>IF(OR($J244=1,COUNTIFS($A$5:$A243,"&gt;="&amp;$A244-1,$A$5:$A243,"&lt;="&amp;$A244,$B$5:$B243,$B244)&gt;0,MIN(1-'Exercise list'!P$2,IF($A244=$A243,AV243,1))-AA244&lt;0),-1,MIN(1,IF($A244=$A243,AV243,1)-AA244+$D$2))</f>
        <v>1</v>
      </c>
      <c r="AW244">
        <f>IF(OR($J244=1,COUNTIFS($A$5:$A243,"&gt;="&amp;$A244-1,$A$5:$A243,"&lt;="&amp;$A244,$B$5:$B243,$B244)&gt;0,MIN(1-'Exercise list'!Q$2,IF($A244=$A243,AW243,1))-AB244&lt;0),-1,MIN(1,IF($A244=$A243,AW243,1)-AB244+$D$2))</f>
        <v>1</v>
      </c>
      <c r="AX244">
        <f>IF(OR($J244=1,COUNTIFS($A$5:$A243,"&gt;="&amp;$A244-1,$A$5:$A243,"&lt;="&amp;$A244,$B$5:$B243,$B244)&gt;0,MIN(1-'Exercise list'!R$2,IF($A244=$A243,AX243,1))-AC244&lt;0),-1,MIN(1,IF($A244=$A243,AX243,1)-AC244+$D$2))</f>
        <v>1</v>
      </c>
      <c r="AY244">
        <f>IF(OR($J244=1,COUNTIFS($A$5:$A243,"&gt;="&amp;$A244-1,$A$5:$A243,"&lt;="&amp;$A244,$B$5:$B243,$B244)&gt;0,MIN(1-'Exercise list'!S$2,IF($A244=$A243,AY243,1))-AD244&lt;0),-1,MIN(1,IF($A244=$A243,AY243,1)-AD244+$D$2))</f>
        <v>1</v>
      </c>
      <c r="AZ244">
        <f>IF(OR($J244=1,COUNTIFS($A$5:$A243,"&gt;="&amp;$A244-1,$A$5:$A243,"&lt;="&amp;$A244,$B$5:$B243,$B244)&gt;0,MIN(1-'Exercise list'!T$2,IF($A244=$A243,AZ243,1))-AE244&lt;0),-1,MIN(1,IF($A244=$A243,AZ243,1)-AE244+$D$2))</f>
        <v>1</v>
      </c>
      <c r="BA244">
        <f>IF(OR($J244=1,COUNTIFS($A$5:$A243,"&gt;="&amp;$A244-1,$A$5:$A243,"&lt;="&amp;$A244,$B$5:$B243,$B244)&gt;0,MIN(1-'Exercise list'!U$2,IF($A244=$A243,BA243,1))-AF244&lt;0),-1,MIN(1,IF($A244=$A243,BA243,1)-AF244+$D$2))</f>
        <v>1</v>
      </c>
      <c r="BB244">
        <f>IF(OR($J244=1,COUNTIFS($A$5:$A243,"&gt;="&amp;$A244-1,$A$5:$A243,"&lt;="&amp;$A244,$B$5:$B243,$B244)&gt;0,MIN(1-'Exercise list'!V$2,IF($A244=$A243,BB243,1))-AG244&lt;0),-1,MIN(1,IF($A244=$A243,BB243,1)-AG244+$D$2))</f>
        <v>1</v>
      </c>
      <c r="BC244">
        <f>IF(OR($J244=1,COUNTIFS($A$5:$A243,"&gt;="&amp;$A244-1,$A$5:$A243,"&lt;="&amp;$A244,$B$5:$B243,$B244)&gt;0,MIN(1-'Exercise list'!W$2,IF($A244=$A243,BC243,1))-AH244&lt;0),-1,MIN(1,IF($A244=$A243,BC243,1)-AH244+$D$2))</f>
        <v>1</v>
      </c>
      <c r="BD244">
        <f>IF(OR($J244=1,COUNTIFS($A$5:$A243,"&gt;="&amp;$A244-1,$A$5:$A243,"&lt;="&amp;$A244,$B$5:$B243,$B244)&gt;0,MIN(1-'Exercise list'!X$2,IF($A244=$A243,BD243,1))-AI244&lt;0),-1,MIN(1,IF($A244=$A243,BD243,1)-AI244+$D$2))</f>
        <v>1</v>
      </c>
      <c r="BF244" s="16">
        <f t="shared" si="189"/>
        <v>0.19596031081758858</v>
      </c>
      <c r="BG244" s="16">
        <f t="shared" si="190"/>
        <v>0.21844636935459236</v>
      </c>
      <c r="BH244" s="16">
        <f t="shared" si="191"/>
        <v>0.14609696635987124</v>
      </c>
      <c r="BI244" s="16">
        <f t="shared" si="192"/>
        <v>0.13198015366034541</v>
      </c>
      <c r="BJ244" s="16">
        <f t="shared" si="193"/>
        <v>8.3367914198418713E-2</v>
      </c>
      <c r="BK244" s="16">
        <f t="shared" si="194"/>
        <v>0.10640640223148412</v>
      </c>
      <c r="BL244" s="16">
        <f t="shared" si="195"/>
        <v>0.21963504743569431</v>
      </c>
      <c r="BM244" s="16">
        <f t="shared" si="196"/>
        <v>3.8988008374820568E-3</v>
      </c>
      <c r="BN244" s="16">
        <f t="shared" si="197"/>
        <v>0.14537706087090876</v>
      </c>
      <c r="BO244" s="16">
        <f t="shared" si="198"/>
        <v>0.29209790661993401</v>
      </c>
      <c r="BP244" s="16">
        <f t="shared" si="199"/>
        <v>0.31584545163401867</v>
      </c>
      <c r="BQ244" s="16">
        <f t="shared" si="200"/>
        <v>0.1000007994126096</v>
      </c>
      <c r="BR244" s="16">
        <f t="shared" si="201"/>
        <v>0.13164487759885393</v>
      </c>
      <c r="BS244" s="16">
        <f t="shared" si="202"/>
        <v>2.9803550189863123E-2</v>
      </c>
      <c r="BT244" s="16">
        <f t="shared" si="203"/>
        <v>0.13492040904978705</v>
      </c>
      <c r="BU244" s="16">
        <f t="shared" si="204"/>
        <v>0.11703687414398131</v>
      </c>
      <c r="BV244" s="16">
        <f t="shared" si="205"/>
        <v>0.14633353213781661</v>
      </c>
      <c r="BW244" s="16">
        <f t="shared" si="206"/>
        <v>7.5588015111767173E-2</v>
      </c>
      <c r="BX244" s="16">
        <f t="shared" si="207"/>
        <v>8.0345659937185704E-2</v>
      </c>
      <c r="BY244" s="16">
        <f t="shared" si="208"/>
        <v>5.9014643151272549E-2</v>
      </c>
      <c r="CA244" s="16" t="str">
        <f t="shared" si="185"/>
        <v/>
      </c>
      <c r="CB244" s="16" t="str">
        <f t="shared" si="166"/>
        <v/>
      </c>
      <c r="CC244" s="16" t="str">
        <f t="shared" si="167"/>
        <v/>
      </c>
      <c r="CD244" s="16" t="str">
        <f t="shared" si="168"/>
        <v/>
      </c>
      <c r="CE244" s="16" t="str">
        <f t="shared" si="169"/>
        <v/>
      </c>
      <c r="CF244" s="16" t="str">
        <f t="shared" si="170"/>
        <v/>
      </c>
      <c r="CG244" s="16" t="str">
        <f t="shared" si="171"/>
        <v/>
      </c>
      <c r="CH244" s="16" t="str">
        <f t="shared" si="172"/>
        <v/>
      </c>
      <c r="CI244" s="16" t="str">
        <f t="shared" si="173"/>
        <v/>
      </c>
      <c r="CJ244" s="16" t="str">
        <f t="shared" si="174"/>
        <v/>
      </c>
      <c r="CK244" s="16" t="str">
        <f t="shared" si="175"/>
        <v/>
      </c>
      <c r="CL244" s="16" t="str">
        <f t="shared" si="176"/>
        <v/>
      </c>
      <c r="CM244" s="16" t="str">
        <f t="shared" si="177"/>
        <v/>
      </c>
      <c r="CN244" s="16" t="str">
        <f t="shared" si="178"/>
        <v/>
      </c>
      <c r="CO244" s="16" t="str">
        <f t="shared" si="179"/>
        <v/>
      </c>
      <c r="CP244" s="16" t="str">
        <f t="shared" si="180"/>
        <v/>
      </c>
      <c r="CQ244" s="16" t="str">
        <f t="shared" si="181"/>
        <v/>
      </c>
      <c r="CR244" s="16" t="str">
        <f t="shared" si="182"/>
        <v/>
      </c>
      <c r="CS244" s="16" t="str">
        <f t="shared" si="183"/>
        <v/>
      </c>
      <c r="CT244" s="16" t="str">
        <f t="shared" si="184"/>
        <v/>
      </c>
    </row>
    <row r="245" spans="1:99" x14ac:dyDescent="0.25">
      <c r="A245" s="13"/>
      <c r="B245" s="14"/>
      <c r="C245" s="15" t="str" cm="1">
        <f t="array" ref="C245">IF(B245="","",INDEX('Exercise list'!$C$5:$C$102,B245))</f>
        <v/>
      </c>
      <c r="D245" s="12" t="str">
        <f t="shared" si="186"/>
        <v/>
      </c>
      <c r="E245" s="107" t="str">
        <f t="shared" si="209"/>
        <v/>
      </c>
      <c r="F245" s="63" t="str" cm="1">
        <f t="array" ref="F245">IF(B245="","",0.1+IFERROR(INDEX($F$6:$F244,SUMPRODUCT(MAX(ROW($C$6:$C244)*($C245=$C$6:$C244))-ROW($A$5)))*0.9^($A245-INDEX($A$6:A244,SUMPRODUCT(MAX(ROW($C$6:$C244)*($C245=$C$6:$C244))-ROW($A$5)))),0))</f>
        <v/>
      </c>
      <c r="G245" s="64" t="e">
        <f>INDEX('Exercise list'!$Y$5:$Y$102,MATCH(C245,'Exercise list'!$C$5:$C$102,0))</f>
        <v>#N/A</v>
      </c>
      <c r="H245" s="115">
        <f t="shared" si="187"/>
        <v>0</v>
      </c>
      <c r="I245" s="6">
        <f t="shared" si="188"/>
        <v>5</v>
      </c>
      <c r="J245" s="6" t="str" cm="1">
        <f t="array" ref="J245">IF(B245="","",INDEX('Exercise list'!$D$5:$D$102,B245))</f>
        <v/>
      </c>
      <c r="K245" s="12"/>
      <c r="L245" s="74" t="str" cm="1">
        <f t="array" ref="L245">IF(K245="","",INDEX('Exercise list'!$C$5:$C$102,K245))</f>
        <v/>
      </c>
      <c r="M245" s="6"/>
      <c r="N245" s="75" t="str" cm="1">
        <f t="array" ref="N245">IF(M245="","",INDEX('Exercise list'!$C$5:$C$102,M245))</f>
        <v/>
      </c>
      <c r="P245">
        <f>IFERROR(INDEX('Exercise list'!$E$5:$X$102,MATCH($C245,'Exercise list'!$C$5:$C$102,0),MATCH(P$5,'Exercise list'!$E$4:$X$4,0)),0)</f>
        <v>0</v>
      </c>
      <c r="Q245">
        <f>IFERROR(INDEX('Exercise list'!$E$5:$X$102,MATCH($C245,'Exercise list'!$C$5:$C$102,0),MATCH(Q$5,'Exercise list'!$E$4:$X$4,0)),0)</f>
        <v>0</v>
      </c>
      <c r="R245">
        <f>IFERROR(INDEX('Exercise list'!$E$5:$X$102,MATCH($C245,'Exercise list'!$C$5:$C$102,0),MATCH(R$5,'Exercise list'!$E$4:$X$4,0)),0)</f>
        <v>0</v>
      </c>
      <c r="S245">
        <f>IFERROR(INDEX('Exercise list'!$E$5:$X$102,MATCH($C245,'Exercise list'!$C$5:$C$102,0),MATCH(S$5,'Exercise list'!$E$4:$X$4,0)),0)</f>
        <v>0</v>
      </c>
      <c r="T245">
        <f>IFERROR(INDEX('Exercise list'!$E$5:$X$102,MATCH($C245,'Exercise list'!$C$5:$C$102,0),MATCH(T$5,'Exercise list'!$E$4:$X$4,0)),0)</f>
        <v>0</v>
      </c>
      <c r="U245">
        <f>IFERROR(INDEX('Exercise list'!$E$5:$X$102,MATCH($C245,'Exercise list'!$C$5:$C$102,0),MATCH(U$5,'Exercise list'!$E$4:$X$4,0)),0)</f>
        <v>0</v>
      </c>
      <c r="V245">
        <f>IFERROR(INDEX('Exercise list'!$E$5:$X$102,MATCH($C245,'Exercise list'!$C$5:$C$102,0),MATCH(V$5,'Exercise list'!$E$4:$X$4,0)),0)</f>
        <v>0</v>
      </c>
      <c r="W245">
        <f>IFERROR(INDEX('Exercise list'!$E$5:$X$102,MATCH($C245,'Exercise list'!$C$5:$C$102,0),MATCH(W$5,'Exercise list'!$E$4:$X$4,0)),0)</f>
        <v>0</v>
      </c>
      <c r="X245">
        <f>IFERROR(INDEX('Exercise list'!$E$5:$X$102,MATCH($C245,'Exercise list'!$C$5:$C$102,0),MATCH(X$5,'Exercise list'!$E$4:$X$4,0)),0)</f>
        <v>0</v>
      </c>
      <c r="Y245">
        <f>IFERROR(INDEX('Exercise list'!$E$5:$X$102,MATCH($C245,'Exercise list'!$C$5:$C$102,0),MATCH(Y$5,'Exercise list'!$E$4:$X$4,0)),0)</f>
        <v>0</v>
      </c>
      <c r="Z245">
        <f>IFERROR(INDEX('Exercise list'!$E$5:$X$102,MATCH($C245,'Exercise list'!$C$5:$C$102,0),MATCH(Z$5,'Exercise list'!$E$4:$X$4,0)),0)</f>
        <v>0</v>
      </c>
      <c r="AA245">
        <f>IFERROR(INDEX('Exercise list'!$E$5:$X$102,MATCH($C245,'Exercise list'!$C$5:$C$102,0),MATCH(AA$5,'Exercise list'!$E$4:$X$4,0)),0)</f>
        <v>0</v>
      </c>
      <c r="AB245">
        <f>IFERROR(INDEX('Exercise list'!$E$5:$X$102,MATCH($C245,'Exercise list'!$C$5:$C$102,0),MATCH(AB$5,'Exercise list'!$E$4:$X$4,0)),0)</f>
        <v>0</v>
      </c>
      <c r="AC245">
        <f>IFERROR(INDEX('Exercise list'!$E$5:$X$102,MATCH($C245,'Exercise list'!$C$5:$C$102,0),MATCH(AC$5,'Exercise list'!$E$4:$X$4,0)),0)</f>
        <v>0</v>
      </c>
      <c r="AD245">
        <f>IFERROR(INDEX('Exercise list'!$E$5:$X$102,MATCH($C245,'Exercise list'!$C$5:$C$102,0),MATCH(AD$5,'Exercise list'!$E$4:$X$4,0)),0)</f>
        <v>0</v>
      </c>
      <c r="AE245">
        <f>IFERROR(INDEX('Exercise list'!$E$5:$X$102,MATCH($C245,'Exercise list'!$C$5:$C$102,0),MATCH(AE$5,'Exercise list'!$E$4:$X$4,0)),0)</f>
        <v>0</v>
      </c>
      <c r="AF245">
        <f>IFERROR(INDEX('Exercise list'!$E$5:$X$102,MATCH($C245,'Exercise list'!$C$5:$C$102,0),MATCH(AF$5,'Exercise list'!$E$4:$X$4,0)),0)</f>
        <v>0</v>
      </c>
      <c r="AG245">
        <f>IFERROR(INDEX('Exercise list'!$E$5:$X$102,MATCH($C245,'Exercise list'!$C$5:$C$102,0),MATCH(AG$5,'Exercise list'!$E$4:$X$4,0)),0)</f>
        <v>0</v>
      </c>
      <c r="AH245">
        <f>IFERROR(INDEX('Exercise list'!$E$5:$X$102,MATCH($C245,'Exercise list'!$C$5:$C$102,0),MATCH(AH$5,'Exercise list'!$E$4:$X$4,0)),0)</f>
        <v>0</v>
      </c>
      <c r="AI245">
        <f>IFERROR(INDEX('Exercise list'!$E$5:$X$102,MATCH($C245,'Exercise list'!$C$5:$C$102,0),MATCH(AI$5,'Exercise list'!$E$4:$X$4,0)),0)</f>
        <v>0</v>
      </c>
      <c r="AK245">
        <f>IF(OR($J245=1,COUNTIFS($A$5:$A244,"&gt;="&amp;$A245-1,$A$5:$A244,"&lt;="&amp;$A245,$B$5:$B244,$B245)&gt;0,MIN(1-'Exercise list'!E$2,IF($A245=$A244,AK244,1))-P245&lt;0),-1,MIN(1,IF($A245=$A244,AK244,1)-P245+$D$2))</f>
        <v>1</v>
      </c>
      <c r="AL245">
        <f>IF(OR($J245=1,COUNTIFS($A$5:$A244,"&gt;="&amp;$A245-1,$A$5:$A244,"&lt;="&amp;$A245,$B$5:$B244,$B245)&gt;0,MIN(1-'Exercise list'!F$2,IF($A245=$A244,AL244,1))-Q245&lt;0),-1,MIN(1,IF($A245=$A244,AL244,1)-Q245+$D$2))</f>
        <v>1</v>
      </c>
      <c r="AM245">
        <f>IF(OR($J245=1,COUNTIFS($A$5:$A244,"&gt;="&amp;$A245-1,$A$5:$A244,"&lt;="&amp;$A245,$B$5:$B244,$B245)&gt;0,MIN(1-'Exercise list'!G$2,IF($A245=$A244,AM244,1))-R245&lt;0),-1,MIN(1,IF($A245=$A244,AM244,1)-R245+$D$2))</f>
        <v>1</v>
      </c>
      <c r="AN245">
        <f>IF(OR($J245=1,COUNTIFS($A$5:$A244,"&gt;="&amp;$A245-1,$A$5:$A244,"&lt;="&amp;$A245,$B$5:$B244,$B245)&gt;0,MIN(1-'Exercise list'!H$2,IF($A245=$A244,AN244,1))-S245&lt;0),-1,MIN(1,IF($A245=$A244,AN244,1)-S245+$D$2))</f>
        <v>1</v>
      </c>
      <c r="AO245">
        <f>IF(OR($J245=1,COUNTIFS($A$5:$A244,"&gt;="&amp;$A245-1,$A$5:$A244,"&lt;="&amp;$A245,$B$5:$B244,$B245)&gt;0,MIN(1-'Exercise list'!I$2,IF($A245=$A244,AO244,1))-T245&lt;0),-1,MIN(1,IF($A245=$A244,AO244,1)-T245+$D$2))</f>
        <v>1</v>
      </c>
      <c r="AP245">
        <f>IF(OR($J245=1,COUNTIFS($A$5:$A244,"&gt;="&amp;$A245-1,$A$5:$A244,"&lt;="&amp;$A245,$B$5:$B244,$B245)&gt;0,MIN(1-'Exercise list'!J$2,IF($A245=$A244,AP244,1))-U245&lt;0),-1,MIN(1,IF($A245=$A244,AP244,1)-U245+$D$2))</f>
        <v>1</v>
      </c>
      <c r="AQ245">
        <f>IF(OR($J245=1,COUNTIFS($A$5:$A244,"&gt;="&amp;$A245-1,$A$5:$A244,"&lt;="&amp;$A245,$B$5:$B244,$B245)&gt;0,MIN(1-'Exercise list'!K$2,IF($A245=$A244,AQ244,1))-V245&lt;0),-1,MIN(1,IF($A245=$A244,AQ244,1)-V245+$D$2))</f>
        <v>1</v>
      </c>
      <c r="AR245">
        <f>IF(OR($J245=1,COUNTIFS($A$5:$A244,"&gt;="&amp;$A245-1,$A$5:$A244,"&lt;="&amp;$A245,$B$5:$B244,$B245)&gt;0,MIN(1-'Exercise list'!L$2,IF($A245=$A244,AR244,1))-W245&lt;0),-1,MIN(1,IF($A245=$A244,AR244,1)-W245+$D$2))</f>
        <v>1</v>
      </c>
      <c r="AS245">
        <f>IF(OR($J245=1,COUNTIFS($A$5:$A244,"&gt;="&amp;$A245-1,$A$5:$A244,"&lt;="&amp;$A245,$B$5:$B244,$B245)&gt;0,MIN(1-'Exercise list'!M$2,IF($A245=$A244,AS244,1))-X245&lt;0),-1,MIN(1,IF($A245=$A244,AS244,1)-X245+$D$2))</f>
        <v>1</v>
      </c>
      <c r="AT245">
        <f>IF(OR($J245=1,COUNTIFS($A$5:$A244,"&gt;="&amp;$A245-1,$A$5:$A244,"&lt;="&amp;$A245,$B$5:$B244,$B245)&gt;0,MIN(1-'Exercise list'!N$2,IF($A245=$A244,AT244,1))-Y245&lt;0),-1,MIN(1,IF($A245=$A244,AT244,1)-Y245+$D$2))</f>
        <v>1</v>
      </c>
      <c r="AU245">
        <f>IF(OR($J245=1,COUNTIFS($A$5:$A244,"&gt;="&amp;$A245-1,$A$5:$A244,"&lt;="&amp;$A245,$B$5:$B244,$B245)&gt;0,MIN(1-'Exercise list'!O$2,IF($A245=$A244,AU244,1))-Z245&lt;0),-1,MIN(1,IF($A245=$A244,AU244,1)-Z245+$D$2))</f>
        <v>1</v>
      </c>
      <c r="AV245">
        <f>IF(OR($J245=1,COUNTIFS($A$5:$A244,"&gt;="&amp;$A245-1,$A$5:$A244,"&lt;="&amp;$A245,$B$5:$B244,$B245)&gt;0,MIN(1-'Exercise list'!P$2,IF($A245=$A244,AV244,1))-AA245&lt;0),-1,MIN(1,IF($A245=$A244,AV244,1)-AA245+$D$2))</f>
        <v>1</v>
      </c>
      <c r="AW245">
        <f>IF(OR($J245=1,COUNTIFS($A$5:$A244,"&gt;="&amp;$A245-1,$A$5:$A244,"&lt;="&amp;$A245,$B$5:$B244,$B245)&gt;0,MIN(1-'Exercise list'!Q$2,IF($A245=$A244,AW244,1))-AB245&lt;0),-1,MIN(1,IF($A245=$A244,AW244,1)-AB245+$D$2))</f>
        <v>1</v>
      </c>
      <c r="AX245">
        <f>IF(OR($J245=1,COUNTIFS($A$5:$A244,"&gt;="&amp;$A245-1,$A$5:$A244,"&lt;="&amp;$A245,$B$5:$B244,$B245)&gt;0,MIN(1-'Exercise list'!R$2,IF($A245=$A244,AX244,1))-AC245&lt;0),-1,MIN(1,IF($A245=$A244,AX244,1)-AC245+$D$2))</f>
        <v>1</v>
      </c>
      <c r="AY245">
        <f>IF(OR($J245=1,COUNTIFS($A$5:$A244,"&gt;="&amp;$A245-1,$A$5:$A244,"&lt;="&amp;$A245,$B$5:$B244,$B245)&gt;0,MIN(1-'Exercise list'!S$2,IF($A245=$A244,AY244,1))-AD245&lt;0),-1,MIN(1,IF($A245=$A244,AY244,1)-AD245+$D$2))</f>
        <v>1</v>
      </c>
      <c r="AZ245">
        <f>IF(OR($J245=1,COUNTIFS($A$5:$A244,"&gt;="&amp;$A245-1,$A$5:$A244,"&lt;="&amp;$A245,$B$5:$B244,$B245)&gt;0,MIN(1-'Exercise list'!T$2,IF($A245=$A244,AZ244,1))-AE245&lt;0),-1,MIN(1,IF($A245=$A244,AZ244,1)-AE245+$D$2))</f>
        <v>1</v>
      </c>
      <c r="BA245">
        <f>IF(OR($J245=1,COUNTIFS($A$5:$A244,"&gt;="&amp;$A245-1,$A$5:$A244,"&lt;="&amp;$A245,$B$5:$B244,$B245)&gt;0,MIN(1-'Exercise list'!U$2,IF($A245=$A244,BA244,1))-AF245&lt;0),-1,MIN(1,IF($A245=$A244,BA244,1)-AF245+$D$2))</f>
        <v>1</v>
      </c>
      <c r="BB245">
        <f>IF(OR($J245=1,COUNTIFS($A$5:$A244,"&gt;="&amp;$A245-1,$A$5:$A244,"&lt;="&amp;$A245,$B$5:$B244,$B245)&gt;0,MIN(1-'Exercise list'!V$2,IF($A245=$A244,BB244,1))-AG245&lt;0),-1,MIN(1,IF($A245=$A244,BB244,1)-AG245+$D$2))</f>
        <v>1</v>
      </c>
      <c r="BC245">
        <f>IF(OR($J245=1,COUNTIFS($A$5:$A244,"&gt;="&amp;$A245-1,$A$5:$A244,"&lt;="&amp;$A245,$B$5:$B244,$B245)&gt;0,MIN(1-'Exercise list'!W$2,IF($A245=$A244,BC244,1))-AH245&lt;0),-1,MIN(1,IF($A245=$A244,BC244,1)-AH245+$D$2))</f>
        <v>1</v>
      </c>
      <c r="BD245">
        <f>IF(OR($J245=1,COUNTIFS($A$5:$A244,"&gt;="&amp;$A245-1,$A$5:$A244,"&lt;="&amp;$A245,$B$5:$B244,$B245)&gt;0,MIN(1-'Exercise list'!X$2,IF($A245=$A244,BD244,1))-AI245&lt;0),-1,MIN(1,IF($A245=$A244,BD244,1)-AI245+$D$2))</f>
        <v>1</v>
      </c>
      <c r="BF245" s="16">
        <f t="shared" si="189"/>
        <v>0.19596031081758858</v>
      </c>
      <c r="BG245" s="16">
        <f t="shared" si="190"/>
        <v>0.21844636935459236</v>
      </c>
      <c r="BH245" s="16">
        <f t="shared" si="191"/>
        <v>0.14609696635987124</v>
      </c>
      <c r="BI245" s="16">
        <f t="shared" si="192"/>
        <v>0.13198015366034541</v>
      </c>
      <c r="BJ245" s="16">
        <f t="shared" si="193"/>
        <v>8.3367914198418713E-2</v>
      </c>
      <c r="BK245" s="16">
        <f t="shared" si="194"/>
        <v>0.10640640223148412</v>
      </c>
      <c r="BL245" s="16">
        <f t="shared" si="195"/>
        <v>0.21963504743569431</v>
      </c>
      <c r="BM245" s="16">
        <f t="shared" si="196"/>
        <v>3.8988008374820568E-3</v>
      </c>
      <c r="BN245" s="16">
        <f t="shared" si="197"/>
        <v>0.14537706087090876</v>
      </c>
      <c r="BO245" s="16">
        <f t="shared" si="198"/>
        <v>0.29209790661993401</v>
      </c>
      <c r="BP245" s="16">
        <f t="shared" si="199"/>
        <v>0.31584545163401867</v>
      </c>
      <c r="BQ245" s="16">
        <f t="shared" si="200"/>
        <v>0.1000007994126096</v>
      </c>
      <c r="BR245" s="16">
        <f t="shared" si="201"/>
        <v>0.13164487759885393</v>
      </c>
      <c r="BS245" s="16">
        <f t="shared" si="202"/>
        <v>2.9803550189863123E-2</v>
      </c>
      <c r="BT245" s="16">
        <f t="shared" si="203"/>
        <v>0.13492040904978705</v>
      </c>
      <c r="BU245" s="16">
        <f t="shared" si="204"/>
        <v>0.11703687414398131</v>
      </c>
      <c r="BV245" s="16">
        <f t="shared" si="205"/>
        <v>0.14633353213781661</v>
      </c>
      <c r="BW245" s="16">
        <f t="shared" si="206"/>
        <v>7.5588015111767173E-2</v>
      </c>
      <c r="BX245" s="16">
        <f t="shared" si="207"/>
        <v>8.0345659937185704E-2</v>
      </c>
      <c r="BY245" s="16">
        <f t="shared" si="208"/>
        <v>5.9014643151272549E-2</v>
      </c>
      <c r="CA245" s="16" t="str">
        <f t="shared" si="185"/>
        <v/>
      </c>
      <c r="CB245" s="16" t="str">
        <f t="shared" si="166"/>
        <v/>
      </c>
      <c r="CC245" s="16" t="str">
        <f t="shared" si="167"/>
        <v/>
      </c>
      <c r="CD245" s="16" t="str">
        <f t="shared" si="168"/>
        <v/>
      </c>
      <c r="CE245" s="16" t="str">
        <f t="shared" si="169"/>
        <v/>
      </c>
      <c r="CF245" s="16" t="str">
        <f t="shared" si="170"/>
        <v/>
      </c>
      <c r="CG245" s="16" t="str">
        <f t="shared" si="171"/>
        <v/>
      </c>
      <c r="CH245" s="16" t="str">
        <f t="shared" si="172"/>
        <v/>
      </c>
      <c r="CI245" s="16" t="str">
        <f t="shared" si="173"/>
        <v/>
      </c>
      <c r="CJ245" s="16" t="str">
        <f t="shared" si="174"/>
        <v/>
      </c>
      <c r="CK245" s="16" t="str">
        <f t="shared" si="175"/>
        <v/>
      </c>
      <c r="CL245" s="16" t="str">
        <f t="shared" si="176"/>
        <v/>
      </c>
      <c r="CM245" s="16" t="str">
        <f t="shared" si="177"/>
        <v/>
      </c>
      <c r="CN245" s="16" t="str">
        <f t="shared" si="178"/>
        <v/>
      </c>
      <c r="CO245" s="16" t="str">
        <f t="shared" si="179"/>
        <v/>
      </c>
      <c r="CP245" s="16" t="str">
        <f t="shared" si="180"/>
        <v/>
      </c>
      <c r="CQ245" s="16" t="str">
        <f t="shared" si="181"/>
        <v/>
      </c>
      <c r="CR245" s="16" t="str">
        <f t="shared" si="182"/>
        <v/>
      </c>
      <c r="CS245" s="16" t="str">
        <f t="shared" si="183"/>
        <v/>
      </c>
      <c r="CT245" s="16" t="str">
        <f t="shared" si="184"/>
        <v/>
      </c>
    </row>
    <row r="246" spans="1:99" x14ac:dyDescent="0.25">
      <c r="A246" s="13"/>
      <c r="B246" s="14"/>
      <c r="C246" s="15" t="str" cm="1">
        <f t="array" ref="C246">IF(B246="","",INDEX('Exercise list'!$C$5:$C$102,B246))</f>
        <v/>
      </c>
      <c r="D246" s="12" t="str">
        <f t="shared" si="186"/>
        <v/>
      </c>
      <c r="E246" s="107" t="str">
        <f t="shared" si="209"/>
        <v/>
      </c>
      <c r="F246" s="63" t="str" cm="1">
        <f t="array" ref="F246">IF(B246="","",0.1+IFERROR(INDEX($F$6:$F245,SUMPRODUCT(MAX(ROW($C$6:$C245)*($C246=$C$6:$C245))-ROW($A$5)))*0.9^($A246-INDEX($A$6:A245,SUMPRODUCT(MAX(ROW($C$6:$C245)*($C246=$C$6:$C245))-ROW($A$5)))),0))</f>
        <v/>
      </c>
      <c r="G246" s="64" t="e">
        <f>INDEX('Exercise list'!$Y$5:$Y$102,MATCH(C246,'Exercise list'!$C$5:$C$102,0))</f>
        <v>#N/A</v>
      </c>
      <c r="H246" s="115">
        <f t="shared" si="187"/>
        <v>0</v>
      </c>
      <c r="I246" s="6">
        <f t="shared" si="188"/>
        <v>5</v>
      </c>
      <c r="J246" s="6" t="str" cm="1">
        <f t="array" ref="J246">IF(B246="","",INDEX('Exercise list'!$D$5:$D$102,B246))</f>
        <v/>
      </c>
      <c r="K246" s="12"/>
      <c r="L246" s="74" t="str" cm="1">
        <f t="array" ref="L246">IF(K246="","",INDEX('Exercise list'!$C$5:$C$102,K246))</f>
        <v/>
      </c>
      <c r="M246" s="6"/>
      <c r="N246" s="75" t="str" cm="1">
        <f t="array" ref="N246">IF(M246="","",INDEX('Exercise list'!$C$5:$C$102,M246))</f>
        <v/>
      </c>
      <c r="P246">
        <f>IFERROR(INDEX('Exercise list'!$E$5:$X$102,MATCH($C246,'Exercise list'!$C$5:$C$102,0),MATCH(P$5,'Exercise list'!$E$4:$X$4,0)),0)</f>
        <v>0</v>
      </c>
      <c r="Q246">
        <f>IFERROR(INDEX('Exercise list'!$E$5:$X$102,MATCH($C246,'Exercise list'!$C$5:$C$102,0),MATCH(Q$5,'Exercise list'!$E$4:$X$4,0)),0)</f>
        <v>0</v>
      </c>
      <c r="R246">
        <f>IFERROR(INDEX('Exercise list'!$E$5:$X$102,MATCH($C246,'Exercise list'!$C$5:$C$102,0),MATCH(R$5,'Exercise list'!$E$4:$X$4,0)),0)</f>
        <v>0</v>
      </c>
      <c r="S246">
        <f>IFERROR(INDEX('Exercise list'!$E$5:$X$102,MATCH($C246,'Exercise list'!$C$5:$C$102,0),MATCH(S$5,'Exercise list'!$E$4:$X$4,0)),0)</f>
        <v>0</v>
      </c>
      <c r="T246">
        <f>IFERROR(INDEX('Exercise list'!$E$5:$X$102,MATCH($C246,'Exercise list'!$C$5:$C$102,0),MATCH(T$5,'Exercise list'!$E$4:$X$4,0)),0)</f>
        <v>0</v>
      </c>
      <c r="U246">
        <f>IFERROR(INDEX('Exercise list'!$E$5:$X$102,MATCH($C246,'Exercise list'!$C$5:$C$102,0),MATCH(U$5,'Exercise list'!$E$4:$X$4,0)),0)</f>
        <v>0</v>
      </c>
      <c r="V246">
        <f>IFERROR(INDEX('Exercise list'!$E$5:$X$102,MATCH($C246,'Exercise list'!$C$5:$C$102,0),MATCH(V$5,'Exercise list'!$E$4:$X$4,0)),0)</f>
        <v>0</v>
      </c>
      <c r="W246">
        <f>IFERROR(INDEX('Exercise list'!$E$5:$X$102,MATCH($C246,'Exercise list'!$C$5:$C$102,0),MATCH(W$5,'Exercise list'!$E$4:$X$4,0)),0)</f>
        <v>0</v>
      </c>
      <c r="X246">
        <f>IFERROR(INDEX('Exercise list'!$E$5:$X$102,MATCH($C246,'Exercise list'!$C$5:$C$102,0),MATCH(X$5,'Exercise list'!$E$4:$X$4,0)),0)</f>
        <v>0</v>
      </c>
      <c r="Y246">
        <f>IFERROR(INDEX('Exercise list'!$E$5:$X$102,MATCH($C246,'Exercise list'!$C$5:$C$102,0),MATCH(Y$5,'Exercise list'!$E$4:$X$4,0)),0)</f>
        <v>0</v>
      </c>
      <c r="Z246">
        <f>IFERROR(INDEX('Exercise list'!$E$5:$X$102,MATCH($C246,'Exercise list'!$C$5:$C$102,0),MATCH(Z$5,'Exercise list'!$E$4:$X$4,0)),0)</f>
        <v>0</v>
      </c>
      <c r="AA246">
        <f>IFERROR(INDEX('Exercise list'!$E$5:$X$102,MATCH($C246,'Exercise list'!$C$5:$C$102,0),MATCH(AA$5,'Exercise list'!$E$4:$X$4,0)),0)</f>
        <v>0</v>
      </c>
      <c r="AB246">
        <f>IFERROR(INDEX('Exercise list'!$E$5:$X$102,MATCH($C246,'Exercise list'!$C$5:$C$102,0),MATCH(AB$5,'Exercise list'!$E$4:$X$4,0)),0)</f>
        <v>0</v>
      </c>
      <c r="AC246">
        <f>IFERROR(INDEX('Exercise list'!$E$5:$X$102,MATCH($C246,'Exercise list'!$C$5:$C$102,0),MATCH(AC$5,'Exercise list'!$E$4:$X$4,0)),0)</f>
        <v>0</v>
      </c>
      <c r="AD246">
        <f>IFERROR(INDEX('Exercise list'!$E$5:$X$102,MATCH($C246,'Exercise list'!$C$5:$C$102,0),MATCH(AD$5,'Exercise list'!$E$4:$X$4,0)),0)</f>
        <v>0</v>
      </c>
      <c r="AE246">
        <f>IFERROR(INDEX('Exercise list'!$E$5:$X$102,MATCH($C246,'Exercise list'!$C$5:$C$102,0),MATCH(AE$5,'Exercise list'!$E$4:$X$4,0)),0)</f>
        <v>0</v>
      </c>
      <c r="AF246">
        <f>IFERROR(INDEX('Exercise list'!$E$5:$X$102,MATCH($C246,'Exercise list'!$C$5:$C$102,0),MATCH(AF$5,'Exercise list'!$E$4:$X$4,0)),0)</f>
        <v>0</v>
      </c>
      <c r="AG246">
        <f>IFERROR(INDEX('Exercise list'!$E$5:$X$102,MATCH($C246,'Exercise list'!$C$5:$C$102,0),MATCH(AG$5,'Exercise list'!$E$4:$X$4,0)),0)</f>
        <v>0</v>
      </c>
      <c r="AH246">
        <f>IFERROR(INDEX('Exercise list'!$E$5:$X$102,MATCH($C246,'Exercise list'!$C$5:$C$102,0),MATCH(AH$5,'Exercise list'!$E$4:$X$4,0)),0)</f>
        <v>0</v>
      </c>
      <c r="AI246">
        <f>IFERROR(INDEX('Exercise list'!$E$5:$X$102,MATCH($C246,'Exercise list'!$C$5:$C$102,0),MATCH(AI$5,'Exercise list'!$E$4:$X$4,0)),0)</f>
        <v>0</v>
      </c>
      <c r="AK246">
        <f>IF(OR($J246=1,COUNTIFS($A$5:$A245,"&gt;="&amp;$A246-1,$A$5:$A245,"&lt;="&amp;$A246,$B$5:$B245,$B246)&gt;0,MIN(1-'Exercise list'!E$2,IF($A246=$A245,AK245,1))-P246&lt;0),-1,MIN(1,IF($A246=$A245,AK245,1)-P246+$D$2))</f>
        <v>1</v>
      </c>
      <c r="AL246">
        <f>IF(OR($J246=1,COUNTIFS($A$5:$A245,"&gt;="&amp;$A246-1,$A$5:$A245,"&lt;="&amp;$A246,$B$5:$B245,$B246)&gt;0,MIN(1-'Exercise list'!F$2,IF($A246=$A245,AL245,1))-Q246&lt;0),-1,MIN(1,IF($A246=$A245,AL245,1)-Q246+$D$2))</f>
        <v>1</v>
      </c>
      <c r="AM246">
        <f>IF(OR($J246=1,COUNTIFS($A$5:$A245,"&gt;="&amp;$A246-1,$A$5:$A245,"&lt;="&amp;$A246,$B$5:$B245,$B246)&gt;0,MIN(1-'Exercise list'!G$2,IF($A246=$A245,AM245,1))-R246&lt;0),-1,MIN(1,IF($A246=$A245,AM245,1)-R246+$D$2))</f>
        <v>1</v>
      </c>
      <c r="AN246">
        <f>IF(OR($J246=1,COUNTIFS($A$5:$A245,"&gt;="&amp;$A246-1,$A$5:$A245,"&lt;="&amp;$A246,$B$5:$B245,$B246)&gt;0,MIN(1-'Exercise list'!H$2,IF($A246=$A245,AN245,1))-S246&lt;0),-1,MIN(1,IF($A246=$A245,AN245,1)-S246+$D$2))</f>
        <v>1</v>
      </c>
      <c r="AO246">
        <f>IF(OR($J246=1,COUNTIFS($A$5:$A245,"&gt;="&amp;$A246-1,$A$5:$A245,"&lt;="&amp;$A246,$B$5:$B245,$B246)&gt;0,MIN(1-'Exercise list'!I$2,IF($A246=$A245,AO245,1))-T246&lt;0),-1,MIN(1,IF($A246=$A245,AO245,1)-T246+$D$2))</f>
        <v>1</v>
      </c>
      <c r="AP246">
        <f>IF(OR($J246=1,COUNTIFS($A$5:$A245,"&gt;="&amp;$A246-1,$A$5:$A245,"&lt;="&amp;$A246,$B$5:$B245,$B246)&gt;0,MIN(1-'Exercise list'!J$2,IF($A246=$A245,AP245,1))-U246&lt;0),-1,MIN(1,IF($A246=$A245,AP245,1)-U246+$D$2))</f>
        <v>1</v>
      </c>
      <c r="AQ246">
        <f>IF(OR($J246=1,COUNTIFS($A$5:$A245,"&gt;="&amp;$A246-1,$A$5:$A245,"&lt;="&amp;$A246,$B$5:$B245,$B246)&gt;0,MIN(1-'Exercise list'!K$2,IF($A246=$A245,AQ245,1))-V246&lt;0),-1,MIN(1,IF($A246=$A245,AQ245,1)-V246+$D$2))</f>
        <v>1</v>
      </c>
      <c r="AR246">
        <f>IF(OR($J246=1,COUNTIFS($A$5:$A245,"&gt;="&amp;$A246-1,$A$5:$A245,"&lt;="&amp;$A246,$B$5:$B245,$B246)&gt;0,MIN(1-'Exercise list'!L$2,IF($A246=$A245,AR245,1))-W246&lt;0),-1,MIN(1,IF($A246=$A245,AR245,1)-W246+$D$2))</f>
        <v>1</v>
      </c>
      <c r="AS246">
        <f>IF(OR($J246=1,COUNTIFS($A$5:$A245,"&gt;="&amp;$A246-1,$A$5:$A245,"&lt;="&amp;$A246,$B$5:$B245,$B246)&gt;0,MIN(1-'Exercise list'!M$2,IF($A246=$A245,AS245,1))-X246&lt;0),-1,MIN(1,IF($A246=$A245,AS245,1)-X246+$D$2))</f>
        <v>1</v>
      </c>
      <c r="AT246">
        <f>IF(OR($J246=1,COUNTIFS($A$5:$A245,"&gt;="&amp;$A246-1,$A$5:$A245,"&lt;="&amp;$A246,$B$5:$B245,$B246)&gt;0,MIN(1-'Exercise list'!N$2,IF($A246=$A245,AT245,1))-Y246&lt;0),-1,MIN(1,IF($A246=$A245,AT245,1)-Y246+$D$2))</f>
        <v>1</v>
      </c>
      <c r="AU246">
        <f>IF(OR($J246=1,COUNTIFS($A$5:$A245,"&gt;="&amp;$A246-1,$A$5:$A245,"&lt;="&amp;$A246,$B$5:$B245,$B246)&gt;0,MIN(1-'Exercise list'!O$2,IF($A246=$A245,AU245,1))-Z246&lt;0),-1,MIN(1,IF($A246=$A245,AU245,1)-Z246+$D$2))</f>
        <v>1</v>
      </c>
      <c r="AV246">
        <f>IF(OR($J246=1,COUNTIFS($A$5:$A245,"&gt;="&amp;$A246-1,$A$5:$A245,"&lt;="&amp;$A246,$B$5:$B245,$B246)&gt;0,MIN(1-'Exercise list'!P$2,IF($A246=$A245,AV245,1))-AA246&lt;0),-1,MIN(1,IF($A246=$A245,AV245,1)-AA246+$D$2))</f>
        <v>1</v>
      </c>
      <c r="AW246">
        <f>IF(OR($J246=1,COUNTIFS($A$5:$A245,"&gt;="&amp;$A246-1,$A$5:$A245,"&lt;="&amp;$A246,$B$5:$B245,$B246)&gt;0,MIN(1-'Exercise list'!Q$2,IF($A246=$A245,AW245,1))-AB246&lt;0),-1,MIN(1,IF($A246=$A245,AW245,1)-AB246+$D$2))</f>
        <v>1</v>
      </c>
      <c r="AX246">
        <f>IF(OR($J246=1,COUNTIFS($A$5:$A245,"&gt;="&amp;$A246-1,$A$5:$A245,"&lt;="&amp;$A246,$B$5:$B245,$B246)&gt;0,MIN(1-'Exercise list'!R$2,IF($A246=$A245,AX245,1))-AC246&lt;0),-1,MIN(1,IF($A246=$A245,AX245,1)-AC246+$D$2))</f>
        <v>1</v>
      </c>
      <c r="AY246">
        <f>IF(OR($J246=1,COUNTIFS($A$5:$A245,"&gt;="&amp;$A246-1,$A$5:$A245,"&lt;="&amp;$A246,$B$5:$B245,$B246)&gt;0,MIN(1-'Exercise list'!S$2,IF($A246=$A245,AY245,1))-AD246&lt;0),-1,MIN(1,IF($A246=$A245,AY245,1)-AD246+$D$2))</f>
        <v>1</v>
      </c>
      <c r="AZ246">
        <f>IF(OR($J246=1,COUNTIFS($A$5:$A245,"&gt;="&amp;$A246-1,$A$5:$A245,"&lt;="&amp;$A246,$B$5:$B245,$B246)&gt;0,MIN(1-'Exercise list'!T$2,IF($A246=$A245,AZ245,1))-AE246&lt;0),-1,MIN(1,IF($A246=$A245,AZ245,1)-AE246+$D$2))</f>
        <v>1</v>
      </c>
      <c r="BA246">
        <f>IF(OR($J246=1,COUNTIFS($A$5:$A245,"&gt;="&amp;$A246-1,$A$5:$A245,"&lt;="&amp;$A246,$B$5:$B245,$B246)&gt;0,MIN(1-'Exercise list'!U$2,IF($A246=$A245,BA245,1))-AF246&lt;0),-1,MIN(1,IF($A246=$A245,BA245,1)-AF246+$D$2))</f>
        <v>1</v>
      </c>
      <c r="BB246">
        <f>IF(OR($J246=1,COUNTIFS($A$5:$A245,"&gt;="&amp;$A246-1,$A$5:$A245,"&lt;="&amp;$A246,$B$5:$B245,$B246)&gt;0,MIN(1-'Exercise list'!V$2,IF($A246=$A245,BB245,1))-AG246&lt;0),-1,MIN(1,IF($A246=$A245,BB245,1)-AG246+$D$2))</f>
        <v>1</v>
      </c>
      <c r="BC246">
        <f>IF(OR($J246=1,COUNTIFS($A$5:$A245,"&gt;="&amp;$A246-1,$A$5:$A245,"&lt;="&amp;$A246,$B$5:$B245,$B246)&gt;0,MIN(1-'Exercise list'!W$2,IF($A246=$A245,BC245,1))-AH246&lt;0),-1,MIN(1,IF($A246=$A245,BC245,1)-AH246+$D$2))</f>
        <v>1</v>
      </c>
      <c r="BD246">
        <f>IF(OR($J246=1,COUNTIFS($A$5:$A245,"&gt;="&amp;$A246-1,$A$5:$A245,"&lt;="&amp;$A246,$B$5:$B245,$B246)&gt;0,MIN(1-'Exercise list'!X$2,IF($A246=$A245,BD245,1))-AI246&lt;0),-1,MIN(1,IF($A246=$A245,BD245,1)-AI246+$D$2))</f>
        <v>1</v>
      </c>
      <c r="BF246" s="16">
        <f t="shared" si="189"/>
        <v>0.19596031081758858</v>
      </c>
      <c r="BG246" s="16">
        <f t="shared" si="190"/>
        <v>0.21844636935459236</v>
      </c>
      <c r="BH246" s="16">
        <f t="shared" si="191"/>
        <v>0.14609696635987124</v>
      </c>
      <c r="BI246" s="16">
        <f t="shared" si="192"/>
        <v>0.13198015366034541</v>
      </c>
      <c r="BJ246" s="16">
        <f t="shared" si="193"/>
        <v>8.3367914198418713E-2</v>
      </c>
      <c r="BK246" s="16">
        <f t="shared" si="194"/>
        <v>0.10640640223148412</v>
      </c>
      <c r="BL246" s="16">
        <f t="shared" si="195"/>
        <v>0.21963504743569431</v>
      </c>
      <c r="BM246" s="16">
        <f t="shared" si="196"/>
        <v>3.8988008374820568E-3</v>
      </c>
      <c r="BN246" s="16">
        <f t="shared" si="197"/>
        <v>0.14537706087090876</v>
      </c>
      <c r="BO246" s="16">
        <f t="shared" si="198"/>
        <v>0.29209790661993401</v>
      </c>
      <c r="BP246" s="16">
        <f t="shared" si="199"/>
        <v>0.31584545163401867</v>
      </c>
      <c r="BQ246" s="16">
        <f t="shared" si="200"/>
        <v>0.1000007994126096</v>
      </c>
      <c r="BR246" s="16">
        <f t="shared" si="201"/>
        <v>0.13164487759885393</v>
      </c>
      <c r="BS246" s="16">
        <f t="shared" si="202"/>
        <v>2.9803550189863123E-2</v>
      </c>
      <c r="BT246" s="16">
        <f t="shared" si="203"/>
        <v>0.13492040904978705</v>
      </c>
      <c r="BU246" s="16">
        <f t="shared" si="204"/>
        <v>0.11703687414398131</v>
      </c>
      <c r="BV246" s="16">
        <f t="shared" si="205"/>
        <v>0.14633353213781661</v>
      </c>
      <c r="BW246" s="16">
        <f t="shared" si="206"/>
        <v>7.5588015111767173E-2</v>
      </c>
      <c r="BX246" s="16">
        <f t="shared" si="207"/>
        <v>8.0345659937185704E-2</v>
      </c>
      <c r="BY246" s="16">
        <f t="shared" si="208"/>
        <v>5.9014643151272549E-2</v>
      </c>
      <c r="CA246" s="16" t="str">
        <f t="shared" si="185"/>
        <v/>
      </c>
      <c r="CB246" s="16" t="str">
        <f t="shared" si="166"/>
        <v/>
      </c>
      <c r="CC246" s="16" t="str">
        <f t="shared" si="167"/>
        <v/>
      </c>
      <c r="CD246" s="16" t="str">
        <f t="shared" si="168"/>
        <v/>
      </c>
      <c r="CE246" s="16" t="str">
        <f t="shared" si="169"/>
        <v/>
      </c>
      <c r="CF246" s="16" t="str">
        <f t="shared" si="170"/>
        <v/>
      </c>
      <c r="CG246" s="16" t="str">
        <f t="shared" si="171"/>
        <v/>
      </c>
      <c r="CH246" s="16" t="str">
        <f t="shared" si="172"/>
        <v/>
      </c>
      <c r="CI246" s="16" t="str">
        <f t="shared" si="173"/>
        <v/>
      </c>
      <c r="CJ246" s="16" t="str">
        <f t="shared" si="174"/>
        <v/>
      </c>
      <c r="CK246" s="16" t="str">
        <f t="shared" si="175"/>
        <v/>
      </c>
      <c r="CL246" s="16" t="str">
        <f t="shared" si="176"/>
        <v/>
      </c>
      <c r="CM246" s="16" t="str">
        <f t="shared" si="177"/>
        <v/>
      </c>
      <c r="CN246" s="16" t="str">
        <f t="shared" si="178"/>
        <v/>
      </c>
      <c r="CO246" s="16" t="str">
        <f t="shared" si="179"/>
        <v/>
      </c>
      <c r="CP246" s="16" t="str">
        <f t="shared" si="180"/>
        <v/>
      </c>
      <c r="CQ246" s="16" t="str">
        <f t="shared" si="181"/>
        <v/>
      </c>
      <c r="CR246" s="16" t="str">
        <f t="shared" si="182"/>
        <v/>
      </c>
      <c r="CS246" s="16" t="str">
        <f t="shared" si="183"/>
        <v/>
      </c>
      <c r="CT246" s="16" t="str">
        <f t="shared" si="184"/>
        <v/>
      </c>
    </row>
    <row r="247" spans="1:99" x14ac:dyDescent="0.25">
      <c r="A247" s="13"/>
      <c r="B247" s="14"/>
      <c r="C247" s="15" t="str" cm="1">
        <f t="array" ref="C247">IF(B247="","",INDEX('Exercise list'!$C$5:$C$102,B247))</f>
        <v/>
      </c>
      <c r="D247" s="12" t="str">
        <f t="shared" si="186"/>
        <v/>
      </c>
      <c r="E247" s="107" t="str">
        <f t="shared" si="209"/>
        <v/>
      </c>
      <c r="F247" s="63" t="str" cm="1">
        <f t="array" ref="F247">IF(B247="","",0.1+IFERROR(INDEX($F$6:$F246,SUMPRODUCT(MAX(ROW($C$6:$C246)*($C247=$C$6:$C246))-ROW($A$5)))*0.9^($A247-INDEX($A$6:A246,SUMPRODUCT(MAX(ROW($C$6:$C246)*($C247=$C$6:$C246))-ROW($A$5)))),0))</f>
        <v/>
      </c>
      <c r="G247" s="64" t="e">
        <f>INDEX('Exercise list'!$Y$5:$Y$102,MATCH(C247,'Exercise list'!$C$5:$C$102,0))</f>
        <v>#N/A</v>
      </c>
      <c r="H247" s="115">
        <f t="shared" si="187"/>
        <v>0</v>
      </c>
      <c r="I247" s="6">
        <f t="shared" si="188"/>
        <v>5</v>
      </c>
      <c r="J247" s="6" t="str" cm="1">
        <f t="array" ref="J247">IF(B247="","",INDEX('Exercise list'!$D$5:$D$102,B247))</f>
        <v/>
      </c>
      <c r="K247" s="12"/>
      <c r="L247" s="74" t="str" cm="1">
        <f t="array" ref="L247">IF(K247="","",INDEX('Exercise list'!$C$5:$C$102,K247))</f>
        <v/>
      </c>
      <c r="M247" s="6"/>
      <c r="N247" s="75" t="str" cm="1">
        <f t="array" ref="N247">IF(M247="","",INDEX('Exercise list'!$C$5:$C$102,M247))</f>
        <v/>
      </c>
      <c r="P247">
        <f>IFERROR(INDEX('Exercise list'!$E$5:$X$102,MATCH($C247,'Exercise list'!$C$5:$C$102,0),MATCH(P$5,'Exercise list'!$E$4:$X$4,0)),0)</f>
        <v>0</v>
      </c>
      <c r="Q247">
        <f>IFERROR(INDEX('Exercise list'!$E$5:$X$102,MATCH($C247,'Exercise list'!$C$5:$C$102,0),MATCH(Q$5,'Exercise list'!$E$4:$X$4,0)),0)</f>
        <v>0</v>
      </c>
      <c r="R247">
        <f>IFERROR(INDEX('Exercise list'!$E$5:$X$102,MATCH($C247,'Exercise list'!$C$5:$C$102,0),MATCH(R$5,'Exercise list'!$E$4:$X$4,0)),0)</f>
        <v>0</v>
      </c>
      <c r="S247">
        <f>IFERROR(INDEX('Exercise list'!$E$5:$X$102,MATCH($C247,'Exercise list'!$C$5:$C$102,0),MATCH(S$5,'Exercise list'!$E$4:$X$4,0)),0)</f>
        <v>0</v>
      </c>
      <c r="T247">
        <f>IFERROR(INDEX('Exercise list'!$E$5:$X$102,MATCH($C247,'Exercise list'!$C$5:$C$102,0),MATCH(T$5,'Exercise list'!$E$4:$X$4,0)),0)</f>
        <v>0</v>
      </c>
      <c r="U247">
        <f>IFERROR(INDEX('Exercise list'!$E$5:$X$102,MATCH($C247,'Exercise list'!$C$5:$C$102,0),MATCH(U$5,'Exercise list'!$E$4:$X$4,0)),0)</f>
        <v>0</v>
      </c>
      <c r="V247">
        <f>IFERROR(INDEX('Exercise list'!$E$5:$X$102,MATCH($C247,'Exercise list'!$C$5:$C$102,0),MATCH(V$5,'Exercise list'!$E$4:$X$4,0)),0)</f>
        <v>0</v>
      </c>
      <c r="W247">
        <f>IFERROR(INDEX('Exercise list'!$E$5:$X$102,MATCH($C247,'Exercise list'!$C$5:$C$102,0),MATCH(W$5,'Exercise list'!$E$4:$X$4,0)),0)</f>
        <v>0</v>
      </c>
      <c r="X247">
        <f>IFERROR(INDEX('Exercise list'!$E$5:$X$102,MATCH($C247,'Exercise list'!$C$5:$C$102,0),MATCH(X$5,'Exercise list'!$E$4:$X$4,0)),0)</f>
        <v>0</v>
      </c>
      <c r="Y247">
        <f>IFERROR(INDEX('Exercise list'!$E$5:$X$102,MATCH($C247,'Exercise list'!$C$5:$C$102,0),MATCH(Y$5,'Exercise list'!$E$4:$X$4,0)),0)</f>
        <v>0</v>
      </c>
      <c r="Z247">
        <f>IFERROR(INDEX('Exercise list'!$E$5:$X$102,MATCH($C247,'Exercise list'!$C$5:$C$102,0),MATCH(Z$5,'Exercise list'!$E$4:$X$4,0)),0)</f>
        <v>0</v>
      </c>
      <c r="AA247">
        <f>IFERROR(INDEX('Exercise list'!$E$5:$X$102,MATCH($C247,'Exercise list'!$C$5:$C$102,0),MATCH(AA$5,'Exercise list'!$E$4:$X$4,0)),0)</f>
        <v>0</v>
      </c>
      <c r="AB247">
        <f>IFERROR(INDEX('Exercise list'!$E$5:$X$102,MATCH($C247,'Exercise list'!$C$5:$C$102,0),MATCH(AB$5,'Exercise list'!$E$4:$X$4,0)),0)</f>
        <v>0</v>
      </c>
      <c r="AC247">
        <f>IFERROR(INDEX('Exercise list'!$E$5:$X$102,MATCH($C247,'Exercise list'!$C$5:$C$102,0),MATCH(AC$5,'Exercise list'!$E$4:$X$4,0)),0)</f>
        <v>0</v>
      </c>
      <c r="AD247">
        <f>IFERROR(INDEX('Exercise list'!$E$5:$X$102,MATCH($C247,'Exercise list'!$C$5:$C$102,0),MATCH(AD$5,'Exercise list'!$E$4:$X$4,0)),0)</f>
        <v>0</v>
      </c>
      <c r="AE247">
        <f>IFERROR(INDEX('Exercise list'!$E$5:$X$102,MATCH($C247,'Exercise list'!$C$5:$C$102,0),MATCH(AE$5,'Exercise list'!$E$4:$X$4,0)),0)</f>
        <v>0</v>
      </c>
      <c r="AF247">
        <f>IFERROR(INDEX('Exercise list'!$E$5:$X$102,MATCH($C247,'Exercise list'!$C$5:$C$102,0),MATCH(AF$5,'Exercise list'!$E$4:$X$4,0)),0)</f>
        <v>0</v>
      </c>
      <c r="AG247">
        <f>IFERROR(INDEX('Exercise list'!$E$5:$X$102,MATCH($C247,'Exercise list'!$C$5:$C$102,0),MATCH(AG$5,'Exercise list'!$E$4:$X$4,0)),0)</f>
        <v>0</v>
      </c>
      <c r="AH247">
        <f>IFERROR(INDEX('Exercise list'!$E$5:$X$102,MATCH($C247,'Exercise list'!$C$5:$C$102,0),MATCH(AH$5,'Exercise list'!$E$4:$X$4,0)),0)</f>
        <v>0</v>
      </c>
      <c r="AI247">
        <f>IFERROR(INDEX('Exercise list'!$E$5:$X$102,MATCH($C247,'Exercise list'!$C$5:$C$102,0),MATCH(AI$5,'Exercise list'!$E$4:$X$4,0)),0)</f>
        <v>0</v>
      </c>
      <c r="AK247">
        <f>IF(OR($J247=1,COUNTIFS($A$5:$A246,"&gt;="&amp;$A247-1,$A$5:$A246,"&lt;="&amp;$A247,$B$5:$B246,$B247)&gt;0,MIN(1-'Exercise list'!E$2,IF($A247=$A246,AK246,1))-P247&lt;0),-1,MIN(1,IF($A247=$A246,AK246,1)-P247+$D$2))</f>
        <v>1</v>
      </c>
      <c r="AL247">
        <f>IF(OR($J247=1,COUNTIFS($A$5:$A246,"&gt;="&amp;$A247-1,$A$5:$A246,"&lt;="&amp;$A247,$B$5:$B246,$B247)&gt;0,MIN(1-'Exercise list'!F$2,IF($A247=$A246,AL246,1))-Q247&lt;0),-1,MIN(1,IF($A247=$A246,AL246,1)-Q247+$D$2))</f>
        <v>1</v>
      </c>
      <c r="AM247">
        <f>IF(OR($J247=1,COUNTIFS($A$5:$A246,"&gt;="&amp;$A247-1,$A$5:$A246,"&lt;="&amp;$A247,$B$5:$B246,$B247)&gt;0,MIN(1-'Exercise list'!G$2,IF($A247=$A246,AM246,1))-R247&lt;0),-1,MIN(1,IF($A247=$A246,AM246,1)-R247+$D$2))</f>
        <v>1</v>
      </c>
      <c r="AN247">
        <f>IF(OR($J247=1,COUNTIFS($A$5:$A246,"&gt;="&amp;$A247-1,$A$5:$A246,"&lt;="&amp;$A247,$B$5:$B246,$B247)&gt;0,MIN(1-'Exercise list'!H$2,IF($A247=$A246,AN246,1))-S247&lt;0),-1,MIN(1,IF($A247=$A246,AN246,1)-S247+$D$2))</f>
        <v>1</v>
      </c>
      <c r="AO247">
        <f>IF(OR($J247=1,COUNTIFS($A$5:$A246,"&gt;="&amp;$A247-1,$A$5:$A246,"&lt;="&amp;$A247,$B$5:$B246,$B247)&gt;0,MIN(1-'Exercise list'!I$2,IF($A247=$A246,AO246,1))-T247&lt;0),-1,MIN(1,IF($A247=$A246,AO246,1)-T247+$D$2))</f>
        <v>1</v>
      </c>
      <c r="AP247">
        <f>IF(OR($J247=1,COUNTIFS($A$5:$A246,"&gt;="&amp;$A247-1,$A$5:$A246,"&lt;="&amp;$A247,$B$5:$B246,$B247)&gt;0,MIN(1-'Exercise list'!J$2,IF($A247=$A246,AP246,1))-U247&lt;0),-1,MIN(1,IF($A247=$A246,AP246,1)-U247+$D$2))</f>
        <v>1</v>
      </c>
      <c r="AQ247">
        <f>IF(OR($J247=1,COUNTIFS($A$5:$A246,"&gt;="&amp;$A247-1,$A$5:$A246,"&lt;="&amp;$A247,$B$5:$B246,$B247)&gt;0,MIN(1-'Exercise list'!K$2,IF($A247=$A246,AQ246,1))-V247&lt;0),-1,MIN(1,IF($A247=$A246,AQ246,1)-V247+$D$2))</f>
        <v>1</v>
      </c>
      <c r="AR247">
        <f>IF(OR($J247=1,COUNTIFS($A$5:$A246,"&gt;="&amp;$A247-1,$A$5:$A246,"&lt;="&amp;$A247,$B$5:$B246,$B247)&gt;0,MIN(1-'Exercise list'!L$2,IF($A247=$A246,AR246,1))-W247&lt;0),-1,MIN(1,IF($A247=$A246,AR246,1)-W247+$D$2))</f>
        <v>1</v>
      </c>
      <c r="AS247">
        <f>IF(OR($J247=1,COUNTIFS($A$5:$A246,"&gt;="&amp;$A247-1,$A$5:$A246,"&lt;="&amp;$A247,$B$5:$B246,$B247)&gt;0,MIN(1-'Exercise list'!M$2,IF($A247=$A246,AS246,1))-X247&lt;0),-1,MIN(1,IF($A247=$A246,AS246,1)-X247+$D$2))</f>
        <v>1</v>
      </c>
      <c r="AT247">
        <f>IF(OR($J247=1,COUNTIFS($A$5:$A246,"&gt;="&amp;$A247-1,$A$5:$A246,"&lt;="&amp;$A247,$B$5:$B246,$B247)&gt;0,MIN(1-'Exercise list'!N$2,IF($A247=$A246,AT246,1))-Y247&lt;0),-1,MIN(1,IF($A247=$A246,AT246,1)-Y247+$D$2))</f>
        <v>1</v>
      </c>
      <c r="AU247">
        <f>IF(OR($J247=1,COUNTIFS($A$5:$A246,"&gt;="&amp;$A247-1,$A$5:$A246,"&lt;="&amp;$A247,$B$5:$B246,$B247)&gt;0,MIN(1-'Exercise list'!O$2,IF($A247=$A246,AU246,1))-Z247&lt;0),-1,MIN(1,IF($A247=$A246,AU246,1)-Z247+$D$2))</f>
        <v>1</v>
      </c>
      <c r="AV247">
        <f>IF(OR($J247=1,COUNTIFS($A$5:$A246,"&gt;="&amp;$A247-1,$A$5:$A246,"&lt;="&amp;$A247,$B$5:$B246,$B247)&gt;0,MIN(1-'Exercise list'!P$2,IF($A247=$A246,AV246,1))-AA247&lt;0),-1,MIN(1,IF($A247=$A246,AV246,1)-AA247+$D$2))</f>
        <v>1</v>
      </c>
      <c r="AW247">
        <f>IF(OR($J247=1,COUNTIFS($A$5:$A246,"&gt;="&amp;$A247-1,$A$5:$A246,"&lt;="&amp;$A247,$B$5:$B246,$B247)&gt;0,MIN(1-'Exercise list'!Q$2,IF($A247=$A246,AW246,1))-AB247&lt;0),-1,MIN(1,IF($A247=$A246,AW246,1)-AB247+$D$2))</f>
        <v>1</v>
      </c>
      <c r="AX247">
        <f>IF(OR($J247=1,COUNTIFS($A$5:$A246,"&gt;="&amp;$A247-1,$A$5:$A246,"&lt;="&amp;$A247,$B$5:$B246,$B247)&gt;0,MIN(1-'Exercise list'!R$2,IF($A247=$A246,AX246,1))-AC247&lt;0),-1,MIN(1,IF($A247=$A246,AX246,1)-AC247+$D$2))</f>
        <v>1</v>
      </c>
      <c r="AY247">
        <f>IF(OR($J247=1,COUNTIFS($A$5:$A246,"&gt;="&amp;$A247-1,$A$5:$A246,"&lt;="&amp;$A247,$B$5:$B246,$B247)&gt;0,MIN(1-'Exercise list'!S$2,IF($A247=$A246,AY246,1))-AD247&lt;0),-1,MIN(1,IF($A247=$A246,AY246,1)-AD247+$D$2))</f>
        <v>1</v>
      </c>
      <c r="AZ247">
        <f>IF(OR($J247=1,COUNTIFS($A$5:$A246,"&gt;="&amp;$A247-1,$A$5:$A246,"&lt;="&amp;$A247,$B$5:$B246,$B247)&gt;0,MIN(1-'Exercise list'!T$2,IF($A247=$A246,AZ246,1))-AE247&lt;0),-1,MIN(1,IF($A247=$A246,AZ246,1)-AE247+$D$2))</f>
        <v>1</v>
      </c>
      <c r="BA247">
        <f>IF(OR($J247=1,COUNTIFS($A$5:$A246,"&gt;="&amp;$A247-1,$A$5:$A246,"&lt;="&amp;$A247,$B$5:$B246,$B247)&gt;0,MIN(1-'Exercise list'!U$2,IF($A247=$A246,BA246,1))-AF247&lt;0),-1,MIN(1,IF($A247=$A246,BA246,1)-AF247+$D$2))</f>
        <v>1</v>
      </c>
      <c r="BB247">
        <f>IF(OR($J247=1,COUNTIFS($A$5:$A246,"&gt;="&amp;$A247-1,$A$5:$A246,"&lt;="&amp;$A247,$B$5:$B246,$B247)&gt;0,MIN(1-'Exercise list'!V$2,IF($A247=$A246,BB246,1))-AG247&lt;0),-1,MIN(1,IF($A247=$A246,BB246,1)-AG247+$D$2))</f>
        <v>1</v>
      </c>
      <c r="BC247">
        <f>IF(OR($J247=1,COUNTIFS($A$5:$A246,"&gt;="&amp;$A247-1,$A$5:$A246,"&lt;="&amp;$A247,$B$5:$B246,$B247)&gt;0,MIN(1-'Exercise list'!W$2,IF($A247=$A246,BC246,1))-AH247&lt;0),-1,MIN(1,IF($A247=$A246,BC246,1)-AH247+$D$2))</f>
        <v>1</v>
      </c>
      <c r="BD247">
        <f>IF(OR($J247=1,COUNTIFS($A$5:$A246,"&gt;="&amp;$A247-1,$A$5:$A246,"&lt;="&amp;$A247,$B$5:$B246,$B247)&gt;0,MIN(1-'Exercise list'!X$2,IF($A247=$A246,BD246,1))-AI247&lt;0),-1,MIN(1,IF($A247=$A246,BD246,1)-AI247+$D$2))</f>
        <v>1</v>
      </c>
      <c r="BF247" s="16">
        <f t="shared" si="189"/>
        <v>0.19596031081758858</v>
      </c>
      <c r="BG247" s="16">
        <f t="shared" si="190"/>
        <v>0.21844636935459236</v>
      </c>
      <c r="BH247" s="16">
        <f t="shared" si="191"/>
        <v>0.14609696635987124</v>
      </c>
      <c r="BI247" s="16">
        <f t="shared" si="192"/>
        <v>0.13198015366034541</v>
      </c>
      <c r="BJ247" s="16">
        <f t="shared" si="193"/>
        <v>8.3367914198418713E-2</v>
      </c>
      <c r="BK247" s="16">
        <f t="shared" si="194"/>
        <v>0.10640640223148412</v>
      </c>
      <c r="BL247" s="16">
        <f t="shared" si="195"/>
        <v>0.21963504743569431</v>
      </c>
      <c r="BM247" s="16">
        <f t="shared" si="196"/>
        <v>3.8988008374820568E-3</v>
      </c>
      <c r="BN247" s="16">
        <f t="shared" si="197"/>
        <v>0.14537706087090876</v>
      </c>
      <c r="BO247" s="16">
        <f t="shared" si="198"/>
        <v>0.29209790661993401</v>
      </c>
      <c r="BP247" s="16">
        <f t="shared" si="199"/>
        <v>0.31584545163401867</v>
      </c>
      <c r="BQ247" s="16">
        <f t="shared" si="200"/>
        <v>0.1000007994126096</v>
      </c>
      <c r="BR247" s="16">
        <f t="shared" si="201"/>
        <v>0.13164487759885393</v>
      </c>
      <c r="BS247" s="16">
        <f t="shared" si="202"/>
        <v>2.9803550189863123E-2</v>
      </c>
      <c r="BT247" s="16">
        <f t="shared" si="203"/>
        <v>0.13492040904978705</v>
      </c>
      <c r="BU247" s="16">
        <f t="shared" si="204"/>
        <v>0.11703687414398131</v>
      </c>
      <c r="BV247" s="16">
        <f t="shared" si="205"/>
        <v>0.14633353213781661</v>
      </c>
      <c r="BW247" s="16">
        <f t="shared" si="206"/>
        <v>7.5588015111767173E-2</v>
      </c>
      <c r="BX247" s="16">
        <f t="shared" si="207"/>
        <v>8.0345659937185704E-2</v>
      </c>
      <c r="BY247" s="16">
        <f t="shared" si="208"/>
        <v>5.9014643151272549E-2</v>
      </c>
      <c r="CA247" s="16" t="str">
        <f t="shared" si="185"/>
        <v/>
      </c>
      <c r="CB247" s="16" t="str">
        <f t="shared" si="166"/>
        <v/>
      </c>
      <c r="CC247" s="16" t="str">
        <f t="shared" si="167"/>
        <v/>
      </c>
      <c r="CD247" s="16" t="str">
        <f t="shared" si="168"/>
        <v/>
      </c>
      <c r="CE247" s="16" t="str">
        <f t="shared" si="169"/>
        <v/>
      </c>
      <c r="CF247" s="16" t="str">
        <f t="shared" si="170"/>
        <v/>
      </c>
      <c r="CG247" s="16" t="str">
        <f t="shared" si="171"/>
        <v/>
      </c>
      <c r="CH247" s="16" t="str">
        <f t="shared" si="172"/>
        <v/>
      </c>
      <c r="CI247" s="16" t="str">
        <f t="shared" si="173"/>
        <v/>
      </c>
      <c r="CJ247" s="16" t="str">
        <f t="shared" si="174"/>
        <v/>
      </c>
      <c r="CK247" s="16" t="str">
        <f t="shared" si="175"/>
        <v/>
      </c>
      <c r="CL247" s="16" t="str">
        <f t="shared" si="176"/>
        <v/>
      </c>
      <c r="CM247" s="16" t="str">
        <f t="shared" si="177"/>
        <v/>
      </c>
      <c r="CN247" s="16" t="str">
        <f t="shared" si="178"/>
        <v/>
      </c>
      <c r="CO247" s="16" t="str">
        <f t="shared" si="179"/>
        <v/>
      </c>
      <c r="CP247" s="16" t="str">
        <f t="shared" si="180"/>
        <v/>
      </c>
      <c r="CQ247" s="16" t="str">
        <f t="shared" si="181"/>
        <v/>
      </c>
      <c r="CR247" s="16" t="str">
        <f t="shared" si="182"/>
        <v/>
      </c>
      <c r="CS247" s="16" t="str">
        <f t="shared" si="183"/>
        <v/>
      </c>
      <c r="CT247" s="16" t="str">
        <f t="shared" si="184"/>
        <v/>
      </c>
    </row>
    <row r="248" spans="1:99" x14ac:dyDescent="0.25">
      <c r="A248" s="20"/>
      <c r="B248" s="21"/>
      <c r="C248" s="22" t="str" cm="1">
        <f t="array" ref="C248">IF(B248="","",INDEX('Exercise list'!$C$5:$C$102,B248))</f>
        <v/>
      </c>
      <c r="D248" s="17" t="str">
        <f t="shared" si="186"/>
        <v/>
      </c>
      <c r="E248" s="108" t="str">
        <f t="shared" si="209"/>
        <v/>
      </c>
      <c r="F248" s="65" t="str" cm="1">
        <f t="array" ref="F248">IF(B248="","",0.1+IFERROR(INDEX($F$6:$F247,SUMPRODUCT(MAX(ROW($C$6:$C247)*($C248=$C$6:$C247))-ROW($A$5)))*0.9^($A248-INDEX($A$6:A247,SUMPRODUCT(MAX(ROW($C$6:$C247)*($C248=$C$6:$C247))-ROW($A$5)))),0))</f>
        <v/>
      </c>
      <c r="G248" s="25" t="e">
        <f>INDEX('Exercise list'!$Y$5:$Y$102,MATCH(C248,'Exercise list'!$C$5:$C$102,0))</f>
        <v>#N/A</v>
      </c>
      <c r="H248" s="116">
        <f t="shared" si="187"/>
        <v>0</v>
      </c>
      <c r="I248" s="18">
        <f t="shared" si="188"/>
        <v>5</v>
      </c>
      <c r="J248" s="18" t="str" cm="1">
        <f t="array" ref="J248">IF(B248="","",INDEX('Exercise list'!$D$5:$D$102,B248))</f>
        <v/>
      </c>
      <c r="K248" s="17"/>
      <c r="L248" s="51" t="str" cm="1">
        <f t="array" ref="L248">IF(K248="","",INDEX('Exercise list'!$C$5:$C$102,K248))</f>
        <v/>
      </c>
      <c r="M248" s="18"/>
      <c r="N248" s="76" t="str" cm="1">
        <f t="array" ref="N248">IF(M248="","",INDEX('Exercise list'!$C$5:$C$102,M248))</f>
        <v/>
      </c>
      <c r="O248" s="19"/>
      <c r="P248" s="19">
        <f>IFERROR(INDEX('Exercise list'!$E$5:$X$102,MATCH($C248,'Exercise list'!$C$5:$C$102,0),MATCH(P$5,'Exercise list'!$E$4:$X$4,0)),0)</f>
        <v>0</v>
      </c>
      <c r="Q248" s="19">
        <f>IFERROR(INDEX('Exercise list'!$E$5:$X$102,MATCH($C248,'Exercise list'!$C$5:$C$102,0),MATCH(Q$5,'Exercise list'!$E$4:$X$4,0)),0)</f>
        <v>0</v>
      </c>
      <c r="R248" s="19">
        <f>IFERROR(INDEX('Exercise list'!$E$5:$X$102,MATCH($C248,'Exercise list'!$C$5:$C$102,0),MATCH(R$5,'Exercise list'!$E$4:$X$4,0)),0)</f>
        <v>0</v>
      </c>
      <c r="S248" s="19">
        <f>IFERROR(INDEX('Exercise list'!$E$5:$X$102,MATCH($C248,'Exercise list'!$C$5:$C$102,0),MATCH(S$5,'Exercise list'!$E$4:$X$4,0)),0)</f>
        <v>0</v>
      </c>
      <c r="T248" s="19">
        <f>IFERROR(INDEX('Exercise list'!$E$5:$X$102,MATCH($C248,'Exercise list'!$C$5:$C$102,0),MATCH(T$5,'Exercise list'!$E$4:$X$4,0)),0)</f>
        <v>0</v>
      </c>
      <c r="U248" s="19">
        <f>IFERROR(INDEX('Exercise list'!$E$5:$X$102,MATCH($C248,'Exercise list'!$C$5:$C$102,0),MATCH(U$5,'Exercise list'!$E$4:$X$4,0)),0)</f>
        <v>0</v>
      </c>
      <c r="V248" s="19">
        <f>IFERROR(INDEX('Exercise list'!$E$5:$X$102,MATCH($C248,'Exercise list'!$C$5:$C$102,0),MATCH(V$5,'Exercise list'!$E$4:$X$4,0)),0)</f>
        <v>0</v>
      </c>
      <c r="W248" s="19">
        <f>IFERROR(INDEX('Exercise list'!$E$5:$X$102,MATCH($C248,'Exercise list'!$C$5:$C$102,0),MATCH(W$5,'Exercise list'!$E$4:$X$4,0)),0)</f>
        <v>0</v>
      </c>
      <c r="X248" s="19">
        <f>IFERROR(INDEX('Exercise list'!$E$5:$X$102,MATCH($C248,'Exercise list'!$C$5:$C$102,0),MATCH(X$5,'Exercise list'!$E$4:$X$4,0)),0)</f>
        <v>0</v>
      </c>
      <c r="Y248" s="19">
        <f>IFERROR(INDEX('Exercise list'!$E$5:$X$102,MATCH($C248,'Exercise list'!$C$5:$C$102,0),MATCH(Y$5,'Exercise list'!$E$4:$X$4,0)),0)</f>
        <v>0</v>
      </c>
      <c r="Z248" s="19">
        <f>IFERROR(INDEX('Exercise list'!$E$5:$X$102,MATCH($C248,'Exercise list'!$C$5:$C$102,0),MATCH(Z$5,'Exercise list'!$E$4:$X$4,0)),0)</f>
        <v>0</v>
      </c>
      <c r="AA248" s="19">
        <f>IFERROR(INDEX('Exercise list'!$E$5:$X$102,MATCH($C248,'Exercise list'!$C$5:$C$102,0),MATCH(AA$5,'Exercise list'!$E$4:$X$4,0)),0)</f>
        <v>0</v>
      </c>
      <c r="AB248" s="19">
        <f>IFERROR(INDEX('Exercise list'!$E$5:$X$102,MATCH($C248,'Exercise list'!$C$5:$C$102,0),MATCH(AB$5,'Exercise list'!$E$4:$X$4,0)),0)</f>
        <v>0</v>
      </c>
      <c r="AC248" s="19">
        <f>IFERROR(INDEX('Exercise list'!$E$5:$X$102,MATCH($C248,'Exercise list'!$C$5:$C$102,0),MATCH(AC$5,'Exercise list'!$E$4:$X$4,0)),0)</f>
        <v>0</v>
      </c>
      <c r="AD248" s="19">
        <f>IFERROR(INDEX('Exercise list'!$E$5:$X$102,MATCH($C248,'Exercise list'!$C$5:$C$102,0),MATCH(AD$5,'Exercise list'!$E$4:$X$4,0)),0)</f>
        <v>0</v>
      </c>
      <c r="AE248" s="19">
        <f>IFERROR(INDEX('Exercise list'!$E$5:$X$102,MATCH($C248,'Exercise list'!$C$5:$C$102,0),MATCH(AE$5,'Exercise list'!$E$4:$X$4,0)),0)</f>
        <v>0</v>
      </c>
      <c r="AF248" s="19">
        <f>IFERROR(INDEX('Exercise list'!$E$5:$X$102,MATCH($C248,'Exercise list'!$C$5:$C$102,0),MATCH(AF$5,'Exercise list'!$E$4:$X$4,0)),0)</f>
        <v>0</v>
      </c>
      <c r="AG248" s="19">
        <f>IFERROR(INDEX('Exercise list'!$E$5:$X$102,MATCH($C248,'Exercise list'!$C$5:$C$102,0),MATCH(AG$5,'Exercise list'!$E$4:$X$4,0)),0)</f>
        <v>0</v>
      </c>
      <c r="AH248" s="19">
        <f>IFERROR(INDEX('Exercise list'!$E$5:$X$102,MATCH($C248,'Exercise list'!$C$5:$C$102,0),MATCH(AH$5,'Exercise list'!$E$4:$X$4,0)),0)</f>
        <v>0</v>
      </c>
      <c r="AI248" s="19">
        <f>IFERROR(INDEX('Exercise list'!$E$5:$X$102,MATCH($C248,'Exercise list'!$C$5:$C$102,0),MATCH(AI$5,'Exercise list'!$E$4:$X$4,0)),0)</f>
        <v>0</v>
      </c>
      <c r="AJ248" s="19"/>
      <c r="AK248" s="19">
        <f>IF(OR($J248=1,COUNTIFS($A$5:$A247,"&gt;="&amp;$A248-1,$A$5:$A247,"&lt;="&amp;$A248,$B$5:$B247,$B248)&gt;0,MIN(1-'Exercise list'!E$2,IF($A248=$A247,AK247,1))-P248&lt;0),-1,MIN(1,IF($A248=$A247,AK247,1)-P248+$D$2))</f>
        <v>1</v>
      </c>
      <c r="AL248" s="19">
        <f>IF(OR($J248=1,COUNTIFS($A$5:$A247,"&gt;="&amp;$A248-1,$A$5:$A247,"&lt;="&amp;$A248,$B$5:$B247,$B248)&gt;0,MIN(1-'Exercise list'!F$2,IF($A248=$A247,AL247,1))-Q248&lt;0),-1,MIN(1,IF($A248=$A247,AL247,1)-Q248+$D$2))</f>
        <v>1</v>
      </c>
      <c r="AM248" s="19">
        <f>IF(OR($J248=1,COUNTIFS($A$5:$A247,"&gt;="&amp;$A248-1,$A$5:$A247,"&lt;="&amp;$A248,$B$5:$B247,$B248)&gt;0,MIN(1-'Exercise list'!G$2,IF($A248=$A247,AM247,1))-R248&lt;0),-1,MIN(1,IF($A248=$A247,AM247,1)-R248+$D$2))</f>
        <v>1</v>
      </c>
      <c r="AN248" s="19">
        <f>IF(OR($J248=1,COUNTIFS($A$5:$A247,"&gt;="&amp;$A248-1,$A$5:$A247,"&lt;="&amp;$A248,$B$5:$B247,$B248)&gt;0,MIN(1-'Exercise list'!H$2,IF($A248=$A247,AN247,1))-S248&lt;0),-1,MIN(1,IF($A248=$A247,AN247,1)-S248+$D$2))</f>
        <v>1</v>
      </c>
      <c r="AO248" s="19">
        <f>IF(OR($J248=1,COUNTIFS($A$5:$A247,"&gt;="&amp;$A248-1,$A$5:$A247,"&lt;="&amp;$A248,$B$5:$B247,$B248)&gt;0,MIN(1-'Exercise list'!I$2,IF($A248=$A247,AO247,1))-T248&lt;0),-1,MIN(1,IF($A248=$A247,AO247,1)-T248+$D$2))</f>
        <v>1</v>
      </c>
      <c r="AP248" s="19">
        <f>IF(OR($J248=1,COUNTIFS($A$5:$A247,"&gt;="&amp;$A248-1,$A$5:$A247,"&lt;="&amp;$A248,$B$5:$B247,$B248)&gt;0,MIN(1-'Exercise list'!J$2,IF($A248=$A247,AP247,1))-U248&lt;0),-1,MIN(1,IF($A248=$A247,AP247,1)-U248+$D$2))</f>
        <v>1</v>
      </c>
      <c r="AQ248" s="19">
        <f>IF(OR($J248=1,COUNTIFS($A$5:$A247,"&gt;="&amp;$A248-1,$A$5:$A247,"&lt;="&amp;$A248,$B$5:$B247,$B248)&gt;0,MIN(1-'Exercise list'!K$2,IF($A248=$A247,AQ247,1))-V248&lt;0),-1,MIN(1,IF($A248=$A247,AQ247,1)-V248+$D$2))</f>
        <v>1</v>
      </c>
      <c r="AR248" s="19">
        <f>IF(OR($J248=1,COUNTIFS($A$5:$A247,"&gt;="&amp;$A248-1,$A$5:$A247,"&lt;="&amp;$A248,$B$5:$B247,$B248)&gt;0,MIN(1-'Exercise list'!L$2,IF($A248=$A247,AR247,1))-W248&lt;0),-1,MIN(1,IF($A248=$A247,AR247,1)-W248+$D$2))</f>
        <v>1</v>
      </c>
      <c r="AS248" s="19">
        <f>IF(OR($J248=1,COUNTIFS($A$5:$A247,"&gt;="&amp;$A248-1,$A$5:$A247,"&lt;="&amp;$A248,$B$5:$B247,$B248)&gt;0,MIN(1-'Exercise list'!M$2,IF($A248=$A247,AS247,1))-X248&lt;0),-1,MIN(1,IF($A248=$A247,AS247,1)-X248+$D$2))</f>
        <v>1</v>
      </c>
      <c r="AT248" s="19">
        <f>IF(OR($J248=1,COUNTIFS($A$5:$A247,"&gt;="&amp;$A248-1,$A$5:$A247,"&lt;="&amp;$A248,$B$5:$B247,$B248)&gt;0,MIN(1-'Exercise list'!N$2,IF($A248=$A247,AT247,1))-Y248&lt;0),-1,MIN(1,IF($A248=$A247,AT247,1)-Y248+$D$2))</f>
        <v>1</v>
      </c>
      <c r="AU248" s="19">
        <f>IF(OR($J248=1,COUNTIFS($A$5:$A247,"&gt;="&amp;$A248-1,$A$5:$A247,"&lt;="&amp;$A248,$B$5:$B247,$B248)&gt;0,MIN(1-'Exercise list'!O$2,IF($A248=$A247,AU247,1))-Z248&lt;0),-1,MIN(1,IF($A248=$A247,AU247,1)-Z248+$D$2))</f>
        <v>1</v>
      </c>
      <c r="AV248" s="19">
        <f>IF(OR($J248=1,COUNTIFS($A$5:$A247,"&gt;="&amp;$A248-1,$A$5:$A247,"&lt;="&amp;$A248,$B$5:$B247,$B248)&gt;0,MIN(1-'Exercise list'!P$2,IF($A248=$A247,AV247,1))-AA248&lt;0),-1,MIN(1,IF($A248=$A247,AV247,1)-AA248+$D$2))</f>
        <v>1</v>
      </c>
      <c r="AW248" s="19">
        <f>IF(OR($J248=1,COUNTIFS($A$5:$A247,"&gt;="&amp;$A248-1,$A$5:$A247,"&lt;="&amp;$A248,$B$5:$B247,$B248)&gt;0,MIN(1-'Exercise list'!Q$2,IF($A248=$A247,AW247,1))-AB248&lt;0),-1,MIN(1,IF($A248=$A247,AW247,1)-AB248+$D$2))</f>
        <v>1</v>
      </c>
      <c r="AX248" s="19">
        <f>IF(OR($J248=1,COUNTIFS($A$5:$A247,"&gt;="&amp;$A248-1,$A$5:$A247,"&lt;="&amp;$A248,$B$5:$B247,$B248)&gt;0,MIN(1-'Exercise list'!R$2,IF($A248=$A247,AX247,1))-AC248&lt;0),-1,MIN(1,IF($A248=$A247,AX247,1)-AC248+$D$2))</f>
        <v>1</v>
      </c>
      <c r="AY248" s="19">
        <f>IF(OR($J248=1,COUNTIFS($A$5:$A247,"&gt;="&amp;$A248-1,$A$5:$A247,"&lt;="&amp;$A248,$B$5:$B247,$B248)&gt;0,MIN(1-'Exercise list'!S$2,IF($A248=$A247,AY247,1))-AD248&lt;0),-1,MIN(1,IF($A248=$A247,AY247,1)-AD248+$D$2))</f>
        <v>1</v>
      </c>
      <c r="AZ248" s="19">
        <f>IF(OR($J248=1,COUNTIFS($A$5:$A247,"&gt;="&amp;$A248-1,$A$5:$A247,"&lt;="&amp;$A248,$B$5:$B247,$B248)&gt;0,MIN(1-'Exercise list'!T$2,IF($A248=$A247,AZ247,1))-AE248&lt;0),-1,MIN(1,IF($A248=$A247,AZ247,1)-AE248+$D$2))</f>
        <v>1</v>
      </c>
      <c r="BA248" s="19">
        <f>IF(OR($J248=1,COUNTIFS($A$5:$A247,"&gt;="&amp;$A248-1,$A$5:$A247,"&lt;="&amp;$A248,$B$5:$B247,$B248)&gt;0,MIN(1-'Exercise list'!U$2,IF($A248=$A247,BA247,1))-AF248&lt;0),-1,MIN(1,IF($A248=$A247,BA247,1)-AF248+$D$2))</f>
        <v>1</v>
      </c>
      <c r="BB248" s="19">
        <f>IF(OR($J248=1,COUNTIFS($A$5:$A247,"&gt;="&amp;$A248-1,$A$5:$A247,"&lt;="&amp;$A248,$B$5:$B247,$B248)&gt;0,MIN(1-'Exercise list'!V$2,IF($A248=$A247,BB247,1))-AG248&lt;0),-1,MIN(1,IF($A248=$A247,BB247,1)-AG248+$D$2))</f>
        <v>1</v>
      </c>
      <c r="BC248" s="19">
        <f>IF(OR($J248=1,COUNTIFS($A$5:$A247,"&gt;="&amp;$A248-1,$A$5:$A247,"&lt;="&amp;$A248,$B$5:$B247,$B248)&gt;0,MIN(1-'Exercise list'!W$2,IF($A248=$A247,BC247,1))-AH248&lt;0),-1,MIN(1,IF($A248=$A247,BC247,1)-AH248+$D$2))</f>
        <v>1</v>
      </c>
      <c r="BD248" s="19">
        <f>IF(OR($J248=1,COUNTIFS($A$5:$A247,"&gt;="&amp;$A248-1,$A$5:$A247,"&lt;="&amp;$A248,$B$5:$B247,$B248)&gt;0,MIN(1-'Exercise list'!X$2,IF($A248=$A247,BD247,1))-AI248&lt;0),-1,MIN(1,IF($A248=$A247,BD247,1)-AI248+$D$2))</f>
        <v>1</v>
      </c>
      <c r="BE248" s="19"/>
      <c r="BF248" s="23">
        <f t="shared" si="189"/>
        <v>0.19596031081758858</v>
      </c>
      <c r="BG248" s="23">
        <f t="shared" si="190"/>
        <v>0.21844636935459236</v>
      </c>
      <c r="BH248" s="23">
        <f t="shared" si="191"/>
        <v>0.14609696635987124</v>
      </c>
      <c r="BI248" s="23">
        <f t="shared" si="192"/>
        <v>0.13198015366034541</v>
      </c>
      <c r="BJ248" s="23">
        <f t="shared" si="193"/>
        <v>8.3367914198418713E-2</v>
      </c>
      <c r="BK248" s="23">
        <f t="shared" si="194"/>
        <v>0.10640640223148412</v>
      </c>
      <c r="BL248" s="23">
        <f t="shared" si="195"/>
        <v>0.21963504743569431</v>
      </c>
      <c r="BM248" s="23">
        <f t="shared" si="196"/>
        <v>3.8988008374820568E-3</v>
      </c>
      <c r="BN248" s="23">
        <f t="shared" si="197"/>
        <v>0.14537706087090876</v>
      </c>
      <c r="BO248" s="23">
        <f t="shared" si="198"/>
        <v>0.29209790661993401</v>
      </c>
      <c r="BP248" s="23">
        <f t="shared" si="199"/>
        <v>0.31584545163401867</v>
      </c>
      <c r="BQ248" s="23">
        <f t="shared" si="200"/>
        <v>0.1000007994126096</v>
      </c>
      <c r="BR248" s="23">
        <f t="shared" si="201"/>
        <v>0.13164487759885393</v>
      </c>
      <c r="BS248" s="23">
        <f t="shared" si="202"/>
        <v>2.9803550189863123E-2</v>
      </c>
      <c r="BT248" s="23">
        <f t="shared" si="203"/>
        <v>0.13492040904978705</v>
      </c>
      <c r="BU248" s="23">
        <f t="shared" si="204"/>
        <v>0.11703687414398131</v>
      </c>
      <c r="BV248" s="23">
        <f t="shared" si="205"/>
        <v>0.14633353213781661</v>
      </c>
      <c r="BW248" s="23">
        <f t="shared" si="206"/>
        <v>7.5588015111767173E-2</v>
      </c>
      <c r="BX248" s="23">
        <f t="shared" si="207"/>
        <v>8.0345659937185704E-2</v>
      </c>
      <c r="BY248" s="23">
        <f t="shared" si="208"/>
        <v>5.9014643151272549E-2</v>
      </c>
      <c r="BZ248" s="19"/>
      <c r="CA248" s="23" t="str">
        <f t="shared" si="185"/>
        <v/>
      </c>
      <c r="CB248" s="23" t="str">
        <f t="shared" si="166"/>
        <v/>
      </c>
      <c r="CC248" s="23" t="str">
        <f t="shared" si="167"/>
        <v/>
      </c>
      <c r="CD248" s="23" t="str">
        <f t="shared" si="168"/>
        <v/>
      </c>
      <c r="CE248" s="23" t="str">
        <f t="shared" si="169"/>
        <v/>
      </c>
      <c r="CF248" s="23" t="str">
        <f t="shared" si="170"/>
        <v/>
      </c>
      <c r="CG248" s="23" t="str">
        <f t="shared" si="171"/>
        <v/>
      </c>
      <c r="CH248" s="23" t="str">
        <f t="shared" si="172"/>
        <v/>
      </c>
      <c r="CI248" s="23" t="str">
        <f t="shared" si="173"/>
        <v/>
      </c>
      <c r="CJ248" s="23" t="str">
        <f t="shared" si="174"/>
        <v/>
      </c>
      <c r="CK248" s="23" t="str">
        <f t="shared" si="175"/>
        <v/>
      </c>
      <c r="CL248" s="23" t="str">
        <f t="shared" si="176"/>
        <v/>
      </c>
      <c r="CM248" s="23" t="str">
        <f t="shared" si="177"/>
        <v/>
      </c>
      <c r="CN248" s="23" t="str">
        <f t="shared" si="178"/>
        <v/>
      </c>
      <c r="CO248" s="23" t="str">
        <f t="shared" si="179"/>
        <v/>
      </c>
      <c r="CP248" s="23" t="str">
        <f t="shared" si="180"/>
        <v/>
      </c>
      <c r="CQ248" s="23" t="str">
        <f t="shared" si="181"/>
        <v/>
      </c>
      <c r="CR248" s="23" t="str">
        <f t="shared" si="182"/>
        <v/>
      </c>
      <c r="CS248" s="23" t="str">
        <f t="shared" si="183"/>
        <v/>
      </c>
      <c r="CT248" s="23" t="str">
        <f t="shared" si="184"/>
        <v/>
      </c>
      <c r="CU248" s="19"/>
    </row>
    <row r="249" spans="1:99" x14ac:dyDescent="0.25">
      <c r="A249" s="13"/>
      <c r="B249" s="14"/>
      <c r="C249" s="15" t="str" cm="1">
        <f t="array" ref="C249">IF(B249="","",INDEX('Exercise list'!$C$5:$C$102,B249))</f>
        <v/>
      </c>
      <c r="D249" s="12" t="str">
        <f t="shared" si="186"/>
        <v/>
      </c>
      <c r="E249" s="107" t="str">
        <f t="shared" si="209"/>
        <v/>
      </c>
      <c r="F249" s="63" t="str" cm="1">
        <f t="array" ref="F249">IF(B249="","",0.1+IFERROR(INDEX($F$6:$F248,SUMPRODUCT(MAX(ROW($C$6:$C248)*($C249=$C$6:$C248))-ROW($A$5)))*0.9^($A249-INDEX($A$6:A248,SUMPRODUCT(MAX(ROW($C$6:$C248)*($C249=$C$6:$C248))-ROW($A$5)))),0))</f>
        <v/>
      </c>
      <c r="G249" s="64" t="e">
        <f>INDEX('Exercise list'!$Y$5:$Y$102,MATCH(C249,'Exercise list'!$C$5:$C$102,0))</f>
        <v>#N/A</v>
      </c>
      <c r="H249" s="115">
        <f t="shared" si="187"/>
        <v>0</v>
      </c>
      <c r="I249" s="42">
        <f t="shared" si="188"/>
        <v>5</v>
      </c>
      <c r="J249" s="6" t="str" cm="1">
        <f t="array" ref="J249">IF(B249="","",INDEX('Exercise list'!$D$5:$D$102,B249))</f>
        <v/>
      </c>
      <c r="K249" s="12"/>
      <c r="L249" s="74" t="str" cm="1">
        <f t="array" ref="L249">IF(K249="","",INDEX('Exercise list'!$C$5:$C$102,K249))</f>
        <v/>
      </c>
      <c r="M249" s="6"/>
      <c r="N249" s="75" t="str" cm="1">
        <f t="array" ref="N249">IF(M249="","",INDEX('Exercise list'!$C$5:$C$102,M249))</f>
        <v/>
      </c>
      <c r="P249">
        <f>IFERROR(INDEX('Exercise list'!$E$5:$X$102,MATCH($C249,'Exercise list'!$C$5:$C$102,0),MATCH(P$5,'Exercise list'!$E$4:$X$4,0)),0)</f>
        <v>0</v>
      </c>
      <c r="Q249">
        <f>IFERROR(INDEX('Exercise list'!$E$5:$X$102,MATCH($C249,'Exercise list'!$C$5:$C$102,0),MATCH(Q$5,'Exercise list'!$E$4:$X$4,0)),0)</f>
        <v>0</v>
      </c>
      <c r="R249">
        <f>IFERROR(INDEX('Exercise list'!$E$5:$X$102,MATCH($C249,'Exercise list'!$C$5:$C$102,0),MATCH(R$5,'Exercise list'!$E$4:$X$4,0)),0)</f>
        <v>0</v>
      </c>
      <c r="S249">
        <f>IFERROR(INDEX('Exercise list'!$E$5:$X$102,MATCH($C249,'Exercise list'!$C$5:$C$102,0),MATCH(S$5,'Exercise list'!$E$4:$X$4,0)),0)</f>
        <v>0</v>
      </c>
      <c r="T249">
        <f>IFERROR(INDEX('Exercise list'!$E$5:$X$102,MATCH($C249,'Exercise list'!$C$5:$C$102,0),MATCH(T$5,'Exercise list'!$E$4:$X$4,0)),0)</f>
        <v>0</v>
      </c>
      <c r="U249">
        <f>IFERROR(INDEX('Exercise list'!$E$5:$X$102,MATCH($C249,'Exercise list'!$C$5:$C$102,0),MATCH(U$5,'Exercise list'!$E$4:$X$4,0)),0)</f>
        <v>0</v>
      </c>
      <c r="V249">
        <f>IFERROR(INDEX('Exercise list'!$E$5:$X$102,MATCH($C249,'Exercise list'!$C$5:$C$102,0),MATCH(V$5,'Exercise list'!$E$4:$X$4,0)),0)</f>
        <v>0</v>
      </c>
      <c r="W249">
        <f>IFERROR(INDEX('Exercise list'!$E$5:$X$102,MATCH($C249,'Exercise list'!$C$5:$C$102,0),MATCH(W$5,'Exercise list'!$E$4:$X$4,0)),0)</f>
        <v>0</v>
      </c>
      <c r="X249">
        <f>IFERROR(INDEX('Exercise list'!$E$5:$X$102,MATCH($C249,'Exercise list'!$C$5:$C$102,0),MATCH(X$5,'Exercise list'!$E$4:$X$4,0)),0)</f>
        <v>0</v>
      </c>
      <c r="Y249">
        <f>IFERROR(INDEX('Exercise list'!$E$5:$X$102,MATCH($C249,'Exercise list'!$C$5:$C$102,0),MATCH(Y$5,'Exercise list'!$E$4:$X$4,0)),0)</f>
        <v>0</v>
      </c>
      <c r="Z249">
        <f>IFERROR(INDEX('Exercise list'!$E$5:$X$102,MATCH($C249,'Exercise list'!$C$5:$C$102,0),MATCH(Z$5,'Exercise list'!$E$4:$X$4,0)),0)</f>
        <v>0</v>
      </c>
      <c r="AA249">
        <f>IFERROR(INDEX('Exercise list'!$E$5:$X$102,MATCH($C249,'Exercise list'!$C$5:$C$102,0),MATCH(AA$5,'Exercise list'!$E$4:$X$4,0)),0)</f>
        <v>0</v>
      </c>
      <c r="AB249">
        <f>IFERROR(INDEX('Exercise list'!$E$5:$X$102,MATCH($C249,'Exercise list'!$C$5:$C$102,0),MATCH(AB$5,'Exercise list'!$E$4:$X$4,0)),0)</f>
        <v>0</v>
      </c>
      <c r="AC249">
        <f>IFERROR(INDEX('Exercise list'!$E$5:$X$102,MATCH($C249,'Exercise list'!$C$5:$C$102,0),MATCH(AC$5,'Exercise list'!$E$4:$X$4,0)),0)</f>
        <v>0</v>
      </c>
      <c r="AD249">
        <f>IFERROR(INDEX('Exercise list'!$E$5:$X$102,MATCH($C249,'Exercise list'!$C$5:$C$102,0),MATCH(AD$5,'Exercise list'!$E$4:$X$4,0)),0)</f>
        <v>0</v>
      </c>
      <c r="AE249">
        <f>IFERROR(INDEX('Exercise list'!$E$5:$X$102,MATCH($C249,'Exercise list'!$C$5:$C$102,0),MATCH(AE$5,'Exercise list'!$E$4:$X$4,0)),0)</f>
        <v>0</v>
      </c>
      <c r="AF249">
        <f>IFERROR(INDEX('Exercise list'!$E$5:$X$102,MATCH($C249,'Exercise list'!$C$5:$C$102,0),MATCH(AF$5,'Exercise list'!$E$4:$X$4,0)),0)</f>
        <v>0</v>
      </c>
      <c r="AG249">
        <f>IFERROR(INDEX('Exercise list'!$E$5:$X$102,MATCH($C249,'Exercise list'!$C$5:$C$102,0),MATCH(AG$5,'Exercise list'!$E$4:$X$4,0)),0)</f>
        <v>0</v>
      </c>
      <c r="AH249">
        <f>IFERROR(INDEX('Exercise list'!$E$5:$X$102,MATCH($C249,'Exercise list'!$C$5:$C$102,0),MATCH(AH$5,'Exercise list'!$E$4:$X$4,0)),0)</f>
        <v>0</v>
      </c>
      <c r="AI249">
        <f>IFERROR(INDEX('Exercise list'!$E$5:$X$102,MATCH($C249,'Exercise list'!$C$5:$C$102,0),MATCH(AI$5,'Exercise list'!$E$4:$X$4,0)),0)</f>
        <v>0</v>
      </c>
      <c r="AK249">
        <f>IF(OR($J249=1,COUNTIFS($A$5:$A248,"&gt;="&amp;$A249-1,$A$5:$A248,"&lt;="&amp;$A249,$B$5:$B248,$B249)&gt;0,MIN(1-'Exercise list'!E$2,IF($A249=$A248,AK248,1))-P249&lt;0),-1,MIN(1,IF($A249=$A248,AK248,1)-P249+$D$2))</f>
        <v>1</v>
      </c>
      <c r="AL249">
        <f>IF(OR($J249=1,COUNTIFS($A$5:$A248,"&gt;="&amp;$A249-1,$A$5:$A248,"&lt;="&amp;$A249,$B$5:$B248,$B249)&gt;0,MIN(1-'Exercise list'!F$2,IF($A249=$A248,AL248,1))-Q249&lt;0),-1,MIN(1,IF($A249=$A248,AL248,1)-Q249+$D$2))</f>
        <v>1</v>
      </c>
      <c r="AM249">
        <f>IF(OR($J249=1,COUNTIFS($A$5:$A248,"&gt;="&amp;$A249-1,$A$5:$A248,"&lt;="&amp;$A249,$B$5:$B248,$B249)&gt;0,MIN(1-'Exercise list'!G$2,IF($A249=$A248,AM248,1))-R249&lt;0),-1,MIN(1,IF($A249=$A248,AM248,1)-R249+$D$2))</f>
        <v>1</v>
      </c>
      <c r="AN249">
        <f>IF(OR($J249=1,COUNTIFS($A$5:$A248,"&gt;="&amp;$A249-1,$A$5:$A248,"&lt;="&amp;$A249,$B$5:$B248,$B249)&gt;0,MIN(1-'Exercise list'!H$2,IF($A249=$A248,AN248,1))-S249&lt;0),-1,MIN(1,IF($A249=$A248,AN248,1)-S249+$D$2))</f>
        <v>1</v>
      </c>
      <c r="AO249">
        <f>IF(OR($J249=1,COUNTIFS($A$5:$A248,"&gt;="&amp;$A249-1,$A$5:$A248,"&lt;="&amp;$A249,$B$5:$B248,$B249)&gt;0,MIN(1-'Exercise list'!I$2,IF($A249=$A248,AO248,1))-T249&lt;0),-1,MIN(1,IF($A249=$A248,AO248,1)-T249+$D$2))</f>
        <v>1</v>
      </c>
      <c r="AP249">
        <f>IF(OR($J249=1,COUNTIFS($A$5:$A248,"&gt;="&amp;$A249-1,$A$5:$A248,"&lt;="&amp;$A249,$B$5:$B248,$B249)&gt;0,MIN(1-'Exercise list'!J$2,IF($A249=$A248,AP248,1))-U249&lt;0),-1,MIN(1,IF($A249=$A248,AP248,1)-U249+$D$2))</f>
        <v>1</v>
      </c>
      <c r="AQ249">
        <f>IF(OR($J249=1,COUNTIFS($A$5:$A248,"&gt;="&amp;$A249-1,$A$5:$A248,"&lt;="&amp;$A249,$B$5:$B248,$B249)&gt;0,MIN(1-'Exercise list'!K$2,IF($A249=$A248,AQ248,1))-V249&lt;0),-1,MIN(1,IF($A249=$A248,AQ248,1)-V249+$D$2))</f>
        <v>1</v>
      </c>
      <c r="AR249">
        <f>IF(OR($J249=1,COUNTIFS($A$5:$A248,"&gt;="&amp;$A249-1,$A$5:$A248,"&lt;="&amp;$A249,$B$5:$B248,$B249)&gt;0,MIN(1-'Exercise list'!L$2,IF($A249=$A248,AR248,1))-W249&lt;0),-1,MIN(1,IF($A249=$A248,AR248,1)-W249+$D$2))</f>
        <v>1</v>
      </c>
      <c r="AS249">
        <f>IF(OR($J249=1,COUNTIFS($A$5:$A248,"&gt;="&amp;$A249-1,$A$5:$A248,"&lt;="&amp;$A249,$B$5:$B248,$B249)&gt;0,MIN(1-'Exercise list'!M$2,IF($A249=$A248,AS248,1))-X249&lt;0),-1,MIN(1,IF($A249=$A248,AS248,1)-X249+$D$2))</f>
        <v>1</v>
      </c>
      <c r="AT249">
        <f>IF(OR($J249=1,COUNTIFS($A$5:$A248,"&gt;="&amp;$A249-1,$A$5:$A248,"&lt;="&amp;$A249,$B$5:$B248,$B249)&gt;0,MIN(1-'Exercise list'!N$2,IF($A249=$A248,AT248,1))-Y249&lt;0),-1,MIN(1,IF($A249=$A248,AT248,1)-Y249+$D$2))</f>
        <v>1</v>
      </c>
      <c r="AU249">
        <f>IF(OR($J249=1,COUNTIFS($A$5:$A248,"&gt;="&amp;$A249-1,$A$5:$A248,"&lt;="&amp;$A249,$B$5:$B248,$B249)&gt;0,MIN(1-'Exercise list'!O$2,IF($A249=$A248,AU248,1))-Z249&lt;0),-1,MIN(1,IF($A249=$A248,AU248,1)-Z249+$D$2))</f>
        <v>1</v>
      </c>
      <c r="AV249">
        <f>IF(OR($J249=1,COUNTIFS($A$5:$A248,"&gt;="&amp;$A249-1,$A$5:$A248,"&lt;="&amp;$A249,$B$5:$B248,$B249)&gt;0,MIN(1-'Exercise list'!P$2,IF($A249=$A248,AV248,1))-AA249&lt;0),-1,MIN(1,IF($A249=$A248,AV248,1)-AA249+$D$2))</f>
        <v>1</v>
      </c>
      <c r="AW249">
        <f>IF(OR($J249=1,COUNTIFS($A$5:$A248,"&gt;="&amp;$A249-1,$A$5:$A248,"&lt;="&amp;$A249,$B$5:$B248,$B249)&gt;0,MIN(1-'Exercise list'!Q$2,IF($A249=$A248,AW248,1))-AB249&lt;0),-1,MIN(1,IF($A249=$A248,AW248,1)-AB249+$D$2))</f>
        <v>1</v>
      </c>
      <c r="AX249">
        <f>IF(OR($J249=1,COUNTIFS($A$5:$A248,"&gt;="&amp;$A249-1,$A$5:$A248,"&lt;="&amp;$A249,$B$5:$B248,$B249)&gt;0,MIN(1-'Exercise list'!R$2,IF($A249=$A248,AX248,1))-AC249&lt;0),-1,MIN(1,IF($A249=$A248,AX248,1)-AC249+$D$2))</f>
        <v>1</v>
      </c>
      <c r="AY249">
        <f>IF(OR($J249=1,COUNTIFS($A$5:$A248,"&gt;="&amp;$A249-1,$A$5:$A248,"&lt;="&amp;$A249,$B$5:$B248,$B249)&gt;0,MIN(1-'Exercise list'!S$2,IF($A249=$A248,AY248,1))-AD249&lt;0),-1,MIN(1,IF($A249=$A248,AY248,1)-AD249+$D$2))</f>
        <v>1</v>
      </c>
      <c r="AZ249">
        <f>IF(OR($J249=1,COUNTIFS($A$5:$A248,"&gt;="&amp;$A249-1,$A$5:$A248,"&lt;="&amp;$A249,$B$5:$B248,$B249)&gt;0,MIN(1-'Exercise list'!T$2,IF($A249=$A248,AZ248,1))-AE249&lt;0),-1,MIN(1,IF($A249=$A248,AZ248,1)-AE249+$D$2))</f>
        <v>1</v>
      </c>
      <c r="BA249">
        <f>IF(OR($J249=1,COUNTIFS($A$5:$A248,"&gt;="&amp;$A249-1,$A$5:$A248,"&lt;="&amp;$A249,$B$5:$B248,$B249)&gt;0,MIN(1-'Exercise list'!U$2,IF($A249=$A248,BA248,1))-AF249&lt;0),-1,MIN(1,IF($A249=$A248,BA248,1)-AF249+$D$2))</f>
        <v>1</v>
      </c>
      <c r="BB249">
        <f>IF(OR($J249=1,COUNTIFS($A$5:$A248,"&gt;="&amp;$A249-1,$A$5:$A248,"&lt;="&amp;$A249,$B$5:$B248,$B249)&gt;0,MIN(1-'Exercise list'!V$2,IF($A249=$A248,BB248,1))-AG249&lt;0),-1,MIN(1,IF($A249=$A248,BB248,1)-AG249+$D$2))</f>
        <v>1</v>
      </c>
      <c r="BC249">
        <f>IF(OR($J249=1,COUNTIFS($A$5:$A248,"&gt;="&amp;$A249-1,$A$5:$A248,"&lt;="&amp;$A249,$B$5:$B248,$B249)&gt;0,MIN(1-'Exercise list'!W$2,IF($A249=$A248,BC248,1))-AH249&lt;0),-1,MIN(1,IF($A249=$A248,BC248,1)-AH249+$D$2))</f>
        <v>1</v>
      </c>
      <c r="BD249">
        <f>IF(OR($J249=1,COUNTIFS($A$5:$A248,"&gt;="&amp;$A249-1,$A$5:$A248,"&lt;="&amp;$A249,$B$5:$B248,$B249)&gt;0,MIN(1-'Exercise list'!X$2,IF($A249=$A248,BD248,1))-AI249&lt;0),-1,MIN(1,IF($A249=$A248,BD248,1)-AI249+$D$2))</f>
        <v>1</v>
      </c>
      <c r="BF249" s="16">
        <f t="shared" si="189"/>
        <v>0.19596031081758858</v>
      </c>
      <c r="BG249" s="16">
        <f t="shared" si="190"/>
        <v>0.21844636935459236</v>
      </c>
      <c r="BH249" s="16">
        <f t="shared" si="191"/>
        <v>0.14609696635987124</v>
      </c>
      <c r="BI249" s="16">
        <f t="shared" si="192"/>
        <v>0.13198015366034541</v>
      </c>
      <c r="BJ249" s="16">
        <f t="shared" si="193"/>
        <v>8.3367914198418713E-2</v>
      </c>
      <c r="BK249" s="16">
        <f t="shared" si="194"/>
        <v>0.10640640223148412</v>
      </c>
      <c r="BL249" s="16">
        <f t="shared" si="195"/>
        <v>0.21963504743569431</v>
      </c>
      <c r="BM249" s="16">
        <f t="shared" si="196"/>
        <v>3.8988008374820568E-3</v>
      </c>
      <c r="BN249" s="16">
        <f t="shared" si="197"/>
        <v>0.14537706087090876</v>
      </c>
      <c r="BO249" s="16">
        <f t="shared" si="198"/>
        <v>0.29209790661993401</v>
      </c>
      <c r="BP249" s="16">
        <f t="shared" si="199"/>
        <v>0.31584545163401867</v>
      </c>
      <c r="BQ249" s="16">
        <f t="shared" si="200"/>
        <v>0.1000007994126096</v>
      </c>
      <c r="BR249" s="16">
        <f t="shared" si="201"/>
        <v>0.13164487759885393</v>
      </c>
      <c r="BS249" s="16">
        <f t="shared" si="202"/>
        <v>2.9803550189863123E-2</v>
      </c>
      <c r="BT249" s="16">
        <f t="shared" si="203"/>
        <v>0.13492040904978705</v>
      </c>
      <c r="BU249" s="16">
        <f t="shared" si="204"/>
        <v>0.11703687414398131</v>
      </c>
      <c r="BV249" s="16">
        <f t="shared" si="205"/>
        <v>0.14633353213781661</v>
      </c>
      <c r="BW249" s="16">
        <f t="shared" si="206"/>
        <v>7.5588015111767173E-2</v>
      </c>
      <c r="BX249" s="16">
        <f t="shared" si="207"/>
        <v>8.0345659937185704E-2</v>
      </c>
      <c r="BY249" s="16">
        <f t="shared" si="208"/>
        <v>5.9014643151272549E-2</v>
      </c>
      <c r="CA249" s="16" t="str">
        <f t="shared" si="185"/>
        <v/>
      </c>
      <c r="CB249" s="16" t="str">
        <f t="shared" si="166"/>
        <v/>
      </c>
      <c r="CC249" s="16" t="str">
        <f t="shared" si="167"/>
        <v/>
      </c>
      <c r="CD249" s="16" t="str">
        <f t="shared" si="168"/>
        <v/>
      </c>
      <c r="CE249" s="16" t="str">
        <f t="shared" si="169"/>
        <v/>
      </c>
      <c r="CF249" s="16" t="str">
        <f t="shared" si="170"/>
        <v/>
      </c>
      <c r="CG249" s="16" t="str">
        <f t="shared" si="171"/>
        <v/>
      </c>
      <c r="CH249" s="16" t="str">
        <f t="shared" si="172"/>
        <v/>
      </c>
      <c r="CI249" s="16" t="str">
        <f t="shared" si="173"/>
        <v/>
      </c>
      <c r="CJ249" s="16" t="str">
        <f t="shared" si="174"/>
        <v/>
      </c>
      <c r="CK249" s="16" t="str">
        <f t="shared" si="175"/>
        <v/>
      </c>
      <c r="CL249" s="16" t="str">
        <f t="shared" si="176"/>
        <v/>
      </c>
      <c r="CM249" s="16" t="str">
        <f t="shared" si="177"/>
        <v/>
      </c>
      <c r="CN249" s="16" t="str">
        <f t="shared" si="178"/>
        <v/>
      </c>
      <c r="CO249" s="16" t="str">
        <f t="shared" si="179"/>
        <v/>
      </c>
      <c r="CP249" s="16" t="str">
        <f t="shared" si="180"/>
        <v/>
      </c>
      <c r="CQ249" s="16" t="str">
        <f t="shared" si="181"/>
        <v/>
      </c>
      <c r="CR249" s="16" t="str">
        <f t="shared" si="182"/>
        <v/>
      </c>
      <c r="CS249" s="16" t="str">
        <f t="shared" si="183"/>
        <v/>
      </c>
      <c r="CT249" s="16" t="str">
        <f t="shared" si="184"/>
        <v/>
      </c>
    </row>
    <row r="250" spans="1:99" x14ac:dyDescent="0.25">
      <c r="A250" s="13"/>
      <c r="B250" s="14"/>
      <c r="C250" s="15" t="str" cm="1">
        <f t="array" ref="C250">IF(B250="","",INDEX('Exercise list'!$C$5:$C$102,B250))</f>
        <v/>
      </c>
      <c r="D250" s="12" t="str">
        <f t="shared" si="186"/>
        <v/>
      </c>
      <c r="E250" s="107" t="str">
        <f t="shared" si="209"/>
        <v/>
      </c>
      <c r="F250" s="63" t="str" cm="1">
        <f t="array" ref="F250">IF(B250="","",0.1+IFERROR(INDEX($F$6:$F249,SUMPRODUCT(MAX(ROW($C$6:$C249)*($C250=$C$6:$C249))-ROW($A$5)))*0.9^($A250-INDEX($A$6:A249,SUMPRODUCT(MAX(ROW($C$6:$C249)*($C250=$C$6:$C249))-ROW($A$5)))),0))</f>
        <v/>
      </c>
      <c r="G250" s="64" t="e">
        <f>INDEX('Exercise list'!$Y$5:$Y$102,MATCH(C250,'Exercise list'!$C$5:$C$102,0))</f>
        <v>#N/A</v>
      </c>
      <c r="H250" s="115">
        <f t="shared" si="187"/>
        <v>0</v>
      </c>
      <c r="I250" s="6">
        <f t="shared" si="188"/>
        <v>5</v>
      </c>
      <c r="J250" s="6" t="str" cm="1">
        <f t="array" ref="J250">IF(B250="","",INDEX('Exercise list'!$D$5:$D$102,B250))</f>
        <v/>
      </c>
      <c r="K250" s="12"/>
      <c r="L250" s="74" t="str" cm="1">
        <f t="array" ref="L250">IF(K250="","",INDEX('Exercise list'!$C$5:$C$102,K250))</f>
        <v/>
      </c>
      <c r="M250" s="6"/>
      <c r="N250" s="75" t="str" cm="1">
        <f t="array" ref="N250">IF(M250="","",INDEX('Exercise list'!$C$5:$C$102,M250))</f>
        <v/>
      </c>
      <c r="P250">
        <f>IFERROR(INDEX('Exercise list'!$E$5:$X$102,MATCH($C250,'Exercise list'!$C$5:$C$102,0),MATCH(P$5,'Exercise list'!$E$4:$X$4,0)),0)</f>
        <v>0</v>
      </c>
      <c r="Q250">
        <f>IFERROR(INDEX('Exercise list'!$E$5:$X$102,MATCH($C250,'Exercise list'!$C$5:$C$102,0),MATCH(Q$5,'Exercise list'!$E$4:$X$4,0)),0)</f>
        <v>0</v>
      </c>
      <c r="R250">
        <f>IFERROR(INDEX('Exercise list'!$E$5:$X$102,MATCH($C250,'Exercise list'!$C$5:$C$102,0),MATCH(R$5,'Exercise list'!$E$4:$X$4,0)),0)</f>
        <v>0</v>
      </c>
      <c r="S250">
        <f>IFERROR(INDEX('Exercise list'!$E$5:$X$102,MATCH($C250,'Exercise list'!$C$5:$C$102,0),MATCH(S$5,'Exercise list'!$E$4:$X$4,0)),0)</f>
        <v>0</v>
      </c>
      <c r="T250">
        <f>IFERROR(INDEX('Exercise list'!$E$5:$X$102,MATCH($C250,'Exercise list'!$C$5:$C$102,0),MATCH(T$5,'Exercise list'!$E$4:$X$4,0)),0)</f>
        <v>0</v>
      </c>
      <c r="U250">
        <f>IFERROR(INDEX('Exercise list'!$E$5:$X$102,MATCH($C250,'Exercise list'!$C$5:$C$102,0),MATCH(U$5,'Exercise list'!$E$4:$X$4,0)),0)</f>
        <v>0</v>
      </c>
      <c r="V250">
        <f>IFERROR(INDEX('Exercise list'!$E$5:$X$102,MATCH($C250,'Exercise list'!$C$5:$C$102,0),MATCH(V$5,'Exercise list'!$E$4:$X$4,0)),0)</f>
        <v>0</v>
      </c>
      <c r="W250">
        <f>IFERROR(INDEX('Exercise list'!$E$5:$X$102,MATCH($C250,'Exercise list'!$C$5:$C$102,0),MATCH(W$5,'Exercise list'!$E$4:$X$4,0)),0)</f>
        <v>0</v>
      </c>
      <c r="X250">
        <f>IFERROR(INDEX('Exercise list'!$E$5:$X$102,MATCH($C250,'Exercise list'!$C$5:$C$102,0),MATCH(X$5,'Exercise list'!$E$4:$X$4,0)),0)</f>
        <v>0</v>
      </c>
      <c r="Y250">
        <f>IFERROR(INDEX('Exercise list'!$E$5:$X$102,MATCH($C250,'Exercise list'!$C$5:$C$102,0),MATCH(Y$5,'Exercise list'!$E$4:$X$4,0)),0)</f>
        <v>0</v>
      </c>
      <c r="Z250">
        <f>IFERROR(INDEX('Exercise list'!$E$5:$X$102,MATCH($C250,'Exercise list'!$C$5:$C$102,0),MATCH(Z$5,'Exercise list'!$E$4:$X$4,0)),0)</f>
        <v>0</v>
      </c>
      <c r="AA250">
        <f>IFERROR(INDEX('Exercise list'!$E$5:$X$102,MATCH($C250,'Exercise list'!$C$5:$C$102,0),MATCH(AA$5,'Exercise list'!$E$4:$X$4,0)),0)</f>
        <v>0</v>
      </c>
      <c r="AB250">
        <f>IFERROR(INDEX('Exercise list'!$E$5:$X$102,MATCH($C250,'Exercise list'!$C$5:$C$102,0),MATCH(AB$5,'Exercise list'!$E$4:$X$4,0)),0)</f>
        <v>0</v>
      </c>
      <c r="AC250">
        <f>IFERROR(INDEX('Exercise list'!$E$5:$X$102,MATCH($C250,'Exercise list'!$C$5:$C$102,0),MATCH(AC$5,'Exercise list'!$E$4:$X$4,0)),0)</f>
        <v>0</v>
      </c>
      <c r="AD250">
        <f>IFERROR(INDEX('Exercise list'!$E$5:$X$102,MATCH($C250,'Exercise list'!$C$5:$C$102,0),MATCH(AD$5,'Exercise list'!$E$4:$X$4,0)),0)</f>
        <v>0</v>
      </c>
      <c r="AE250">
        <f>IFERROR(INDEX('Exercise list'!$E$5:$X$102,MATCH($C250,'Exercise list'!$C$5:$C$102,0),MATCH(AE$5,'Exercise list'!$E$4:$X$4,0)),0)</f>
        <v>0</v>
      </c>
      <c r="AF250">
        <f>IFERROR(INDEX('Exercise list'!$E$5:$X$102,MATCH($C250,'Exercise list'!$C$5:$C$102,0),MATCH(AF$5,'Exercise list'!$E$4:$X$4,0)),0)</f>
        <v>0</v>
      </c>
      <c r="AG250">
        <f>IFERROR(INDEX('Exercise list'!$E$5:$X$102,MATCH($C250,'Exercise list'!$C$5:$C$102,0),MATCH(AG$5,'Exercise list'!$E$4:$X$4,0)),0)</f>
        <v>0</v>
      </c>
      <c r="AH250">
        <f>IFERROR(INDEX('Exercise list'!$E$5:$X$102,MATCH($C250,'Exercise list'!$C$5:$C$102,0),MATCH(AH$5,'Exercise list'!$E$4:$X$4,0)),0)</f>
        <v>0</v>
      </c>
      <c r="AI250">
        <f>IFERROR(INDEX('Exercise list'!$E$5:$X$102,MATCH($C250,'Exercise list'!$C$5:$C$102,0),MATCH(AI$5,'Exercise list'!$E$4:$X$4,0)),0)</f>
        <v>0</v>
      </c>
      <c r="AK250">
        <f>IF(OR($J250=1,COUNTIFS($A$5:$A249,"&gt;="&amp;$A250-1,$A$5:$A249,"&lt;="&amp;$A250,$B$5:$B249,$B250)&gt;0,MIN(1-'Exercise list'!E$2,IF($A250=$A249,AK249,1))-P250&lt;0),-1,MIN(1,IF($A250=$A249,AK249,1)-P250+$D$2))</f>
        <v>1</v>
      </c>
      <c r="AL250">
        <f>IF(OR($J250=1,COUNTIFS($A$5:$A249,"&gt;="&amp;$A250-1,$A$5:$A249,"&lt;="&amp;$A250,$B$5:$B249,$B250)&gt;0,MIN(1-'Exercise list'!F$2,IF($A250=$A249,AL249,1))-Q250&lt;0),-1,MIN(1,IF($A250=$A249,AL249,1)-Q250+$D$2))</f>
        <v>1</v>
      </c>
      <c r="AM250">
        <f>IF(OR($J250=1,COUNTIFS($A$5:$A249,"&gt;="&amp;$A250-1,$A$5:$A249,"&lt;="&amp;$A250,$B$5:$B249,$B250)&gt;0,MIN(1-'Exercise list'!G$2,IF($A250=$A249,AM249,1))-R250&lt;0),-1,MIN(1,IF($A250=$A249,AM249,1)-R250+$D$2))</f>
        <v>1</v>
      </c>
      <c r="AN250">
        <f>IF(OR($J250=1,COUNTIFS($A$5:$A249,"&gt;="&amp;$A250-1,$A$5:$A249,"&lt;="&amp;$A250,$B$5:$B249,$B250)&gt;0,MIN(1-'Exercise list'!H$2,IF($A250=$A249,AN249,1))-S250&lt;0),-1,MIN(1,IF($A250=$A249,AN249,1)-S250+$D$2))</f>
        <v>1</v>
      </c>
      <c r="AO250">
        <f>IF(OR($J250=1,COUNTIFS($A$5:$A249,"&gt;="&amp;$A250-1,$A$5:$A249,"&lt;="&amp;$A250,$B$5:$B249,$B250)&gt;0,MIN(1-'Exercise list'!I$2,IF($A250=$A249,AO249,1))-T250&lt;0),-1,MIN(1,IF($A250=$A249,AO249,1)-T250+$D$2))</f>
        <v>1</v>
      </c>
      <c r="AP250">
        <f>IF(OR($J250=1,COUNTIFS($A$5:$A249,"&gt;="&amp;$A250-1,$A$5:$A249,"&lt;="&amp;$A250,$B$5:$B249,$B250)&gt;0,MIN(1-'Exercise list'!J$2,IF($A250=$A249,AP249,1))-U250&lt;0),-1,MIN(1,IF($A250=$A249,AP249,1)-U250+$D$2))</f>
        <v>1</v>
      </c>
      <c r="AQ250">
        <f>IF(OR($J250=1,COUNTIFS($A$5:$A249,"&gt;="&amp;$A250-1,$A$5:$A249,"&lt;="&amp;$A250,$B$5:$B249,$B250)&gt;0,MIN(1-'Exercise list'!K$2,IF($A250=$A249,AQ249,1))-V250&lt;0),-1,MIN(1,IF($A250=$A249,AQ249,1)-V250+$D$2))</f>
        <v>1</v>
      </c>
      <c r="AR250">
        <f>IF(OR($J250=1,COUNTIFS($A$5:$A249,"&gt;="&amp;$A250-1,$A$5:$A249,"&lt;="&amp;$A250,$B$5:$B249,$B250)&gt;0,MIN(1-'Exercise list'!L$2,IF($A250=$A249,AR249,1))-W250&lt;0),-1,MIN(1,IF($A250=$A249,AR249,1)-W250+$D$2))</f>
        <v>1</v>
      </c>
      <c r="AS250">
        <f>IF(OR($J250=1,COUNTIFS($A$5:$A249,"&gt;="&amp;$A250-1,$A$5:$A249,"&lt;="&amp;$A250,$B$5:$B249,$B250)&gt;0,MIN(1-'Exercise list'!M$2,IF($A250=$A249,AS249,1))-X250&lt;0),-1,MIN(1,IF($A250=$A249,AS249,1)-X250+$D$2))</f>
        <v>1</v>
      </c>
      <c r="AT250">
        <f>IF(OR($J250=1,COUNTIFS($A$5:$A249,"&gt;="&amp;$A250-1,$A$5:$A249,"&lt;="&amp;$A250,$B$5:$B249,$B250)&gt;0,MIN(1-'Exercise list'!N$2,IF($A250=$A249,AT249,1))-Y250&lt;0),-1,MIN(1,IF($A250=$A249,AT249,1)-Y250+$D$2))</f>
        <v>1</v>
      </c>
      <c r="AU250">
        <f>IF(OR($J250=1,COUNTIFS($A$5:$A249,"&gt;="&amp;$A250-1,$A$5:$A249,"&lt;="&amp;$A250,$B$5:$B249,$B250)&gt;0,MIN(1-'Exercise list'!O$2,IF($A250=$A249,AU249,1))-Z250&lt;0),-1,MIN(1,IF($A250=$A249,AU249,1)-Z250+$D$2))</f>
        <v>1</v>
      </c>
      <c r="AV250">
        <f>IF(OR($J250=1,COUNTIFS($A$5:$A249,"&gt;="&amp;$A250-1,$A$5:$A249,"&lt;="&amp;$A250,$B$5:$B249,$B250)&gt;0,MIN(1-'Exercise list'!P$2,IF($A250=$A249,AV249,1))-AA250&lt;0),-1,MIN(1,IF($A250=$A249,AV249,1)-AA250+$D$2))</f>
        <v>1</v>
      </c>
      <c r="AW250">
        <f>IF(OR($J250=1,COUNTIFS($A$5:$A249,"&gt;="&amp;$A250-1,$A$5:$A249,"&lt;="&amp;$A250,$B$5:$B249,$B250)&gt;0,MIN(1-'Exercise list'!Q$2,IF($A250=$A249,AW249,1))-AB250&lt;0),-1,MIN(1,IF($A250=$A249,AW249,1)-AB250+$D$2))</f>
        <v>1</v>
      </c>
      <c r="AX250">
        <f>IF(OR($J250=1,COUNTIFS($A$5:$A249,"&gt;="&amp;$A250-1,$A$5:$A249,"&lt;="&amp;$A250,$B$5:$B249,$B250)&gt;0,MIN(1-'Exercise list'!R$2,IF($A250=$A249,AX249,1))-AC250&lt;0),-1,MIN(1,IF($A250=$A249,AX249,1)-AC250+$D$2))</f>
        <v>1</v>
      </c>
      <c r="AY250">
        <f>IF(OR($J250=1,COUNTIFS($A$5:$A249,"&gt;="&amp;$A250-1,$A$5:$A249,"&lt;="&amp;$A250,$B$5:$B249,$B250)&gt;0,MIN(1-'Exercise list'!S$2,IF($A250=$A249,AY249,1))-AD250&lt;0),-1,MIN(1,IF($A250=$A249,AY249,1)-AD250+$D$2))</f>
        <v>1</v>
      </c>
      <c r="AZ250">
        <f>IF(OR($J250=1,COUNTIFS($A$5:$A249,"&gt;="&amp;$A250-1,$A$5:$A249,"&lt;="&amp;$A250,$B$5:$B249,$B250)&gt;0,MIN(1-'Exercise list'!T$2,IF($A250=$A249,AZ249,1))-AE250&lt;0),-1,MIN(1,IF($A250=$A249,AZ249,1)-AE250+$D$2))</f>
        <v>1</v>
      </c>
      <c r="BA250">
        <f>IF(OR($J250=1,COUNTIFS($A$5:$A249,"&gt;="&amp;$A250-1,$A$5:$A249,"&lt;="&amp;$A250,$B$5:$B249,$B250)&gt;0,MIN(1-'Exercise list'!U$2,IF($A250=$A249,BA249,1))-AF250&lt;0),-1,MIN(1,IF($A250=$A249,BA249,1)-AF250+$D$2))</f>
        <v>1</v>
      </c>
      <c r="BB250">
        <f>IF(OR($J250=1,COUNTIFS($A$5:$A249,"&gt;="&amp;$A250-1,$A$5:$A249,"&lt;="&amp;$A250,$B$5:$B249,$B250)&gt;0,MIN(1-'Exercise list'!V$2,IF($A250=$A249,BB249,1))-AG250&lt;0),-1,MIN(1,IF($A250=$A249,BB249,1)-AG250+$D$2))</f>
        <v>1</v>
      </c>
      <c r="BC250">
        <f>IF(OR($J250=1,COUNTIFS($A$5:$A249,"&gt;="&amp;$A250-1,$A$5:$A249,"&lt;="&amp;$A250,$B$5:$B249,$B250)&gt;0,MIN(1-'Exercise list'!W$2,IF($A250=$A249,BC249,1))-AH250&lt;0),-1,MIN(1,IF($A250=$A249,BC249,1)-AH250+$D$2))</f>
        <v>1</v>
      </c>
      <c r="BD250">
        <f>IF(OR($J250=1,COUNTIFS($A$5:$A249,"&gt;="&amp;$A250-1,$A$5:$A249,"&lt;="&amp;$A250,$B$5:$B249,$B250)&gt;0,MIN(1-'Exercise list'!X$2,IF($A250=$A249,BD249,1))-AI250&lt;0),-1,MIN(1,IF($A250=$A249,BD249,1)-AI250+$D$2))</f>
        <v>1</v>
      </c>
      <c r="BF250" s="16">
        <f t="shared" si="189"/>
        <v>0.19596031081758858</v>
      </c>
      <c r="BG250" s="16">
        <f t="shared" si="190"/>
        <v>0.21844636935459236</v>
      </c>
      <c r="BH250" s="16">
        <f t="shared" si="191"/>
        <v>0.14609696635987124</v>
      </c>
      <c r="BI250" s="16">
        <f t="shared" si="192"/>
        <v>0.13198015366034541</v>
      </c>
      <c r="BJ250" s="16">
        <f t="shared" si="193"/>
        <v>8.3367914198418713E-2</v>
      </c>
      <c r="BK250" s="16">
        <f t="shared" si="194"/>
        <v>0.10640640223148412</v>
      </c>
      <c r="BL250" s="16">
        <f t="shared" si="195"/>
        <v>0.21963504743569431</v>
      </c>
      <c r="BM250" s="16">
        <f t="shared" si="196"/>
        <v>3.8988008374820568E-3</v>
      </c>
      <c r="BN250" s="16">
        <f t="shared" si="197"/>
        <v>0.14537706087090876</v>
      </c>
      <c r="BO250" s="16">
        <f t="shared" si="198"/>
        <v>0.29209790661993401</v>
      </c>
      <c r="BP250" s="16">
        <f t="shared" si="199"/>
        <v>0.31584545163401867</v>
      </c>
      <c r="BQ250" s="16">
        <f t="shared" si="200"/>
        <v>0.1000007994126096</v>
      </c>
      <c r="BR250" s="16">
        <f t="shared" si="201"/>
        <v>0.13164487759885393</v>
      </c>
      <c r="BS250" s="16">
        <f t="shared" si="202"/>
        <v>2.9803550189863123E-2</v>
      </c>
      <c r="BT250" s="16">
        <f t="shared" si="203"/>
        <v>0.13492040904978705</v>
      </c>
      <c r="BU250" s="16">
        <f t="shared" si="204"/>
        <v>0.11703687414398131</v>
      </c>
      <c r="BV250" s="16">
        <f t="shared" si="205"/>
        <v>0.14633353213781661</v>
      </c>
      <c r="BW250" s="16">
        <f t="shared" si="206"/>
        <v>7.5588015111767173E-2</v>
      </c>
      <c r="BX250" s="16">
        <f t="shared" si="207"/>
        <v>8.0345659937185704E-2</v>
      </c>
      <c r="BY250" s="16">
        <f t="shared" si="208"/>
        <v>5.9014643151272549E-2</v>
      </c>
      <c r="CA250" s="16" t="str">
        <f t="shared" si="185"/>
        <v/>
      </c>
      <c r="CB250" s="16" t="str">
        <f t="shared" si="166"/>
        <v/>
      </c>
      <c r="CC250" s="16" t="str">
        <f t="shared" si="167"/>
        <v/>
      </c>
      <c r="CD250" s="16" t="str">
        <f t="shared" si="168"/>
        <v/>
      </c>
      <c r="CE250" s="16" t="str">
        <f t="shared" si="169"/>
        <v/>
      </c>
      <c r="CF250" s="16" t="str">
        <f t="shared" si="170"/>
        <v/>
      </c>
      <c r="CG250" s="16" t="str">
        <f t="shared" si="171"/>
        <v/>
      </c>
      <c r="CH250" s="16" t="str">
        <f t="shared" si="172"/>
        <v/>
      </c>
      <c r="CI250" s="16" t="str">
        <f t="shared" si="173"/>
        <v/>
      </c>
      <c r="CJ250" s="16" t="str">
        <f t="shared" si="174"/>
        <v/>
      </c>
      <c r="CK250" s="16" t="str">
        <f t="shared" si="175"/>
        <v/>
      </c>
      <c r="CL250" s="16" t="str">
        <f t="shared" si="176"/>
        <v/>
      </c>
      <c r="CM250" s="16" t="str">
        <f t="shared" si="177"/>
        <v/>
      </c>
      <c r="CN250" s="16" t="str">
        <f t="shared" si="178"/>
        <v/>
      </c>
      <c r="CO250" s="16" t="str">
        <f t="shared" si="179"/>
        <v/>
      </c>
      <c r="CP250" s="16" t="str">
        <f t="shared" si="180"/>
        <v/>
      </c>
      <c r="CQ250" s="16" t="str">
        <f t="shared" si="181"/>
        <v/>
      </c>
      <c r="CR250" s="16" t="str">
        <f t="shared" si="182"/>
        <v/>
      </c>
      <c r="CS250" s="16" t="str">
        <f t="shared" si="183"/>
        <v/>
      </c>
      <c r="CT250" s="16" t="str">
        <f t="shared" si="184"/>
        <v/>
      </c>
    </row>
    <row r="251" spans="1:99" x14ac:dyDescent="0.25">
      <c r="A251" s="13"/>
      <c r="B251" s="14"/>
      <c r="C251" s="15" t="str" cm="1">
        <f t="array" ref="C251">IF(B251="","",INDEX('Exercise list'!$C$5:$C$102,B251))</f>
        <v/>
      </c>
      <c r="D251" s="12" t="str">
        <f t="shared" si="186"/>
        <v/>
      </c>
      <c r="E251" s="107" t="str">
        <f t="shared" si="209"/>
        <v/>
      </c>
      <c r="F251" s="63" t="str" cm="1">
        <f t="array" ref="F251">IF(B251="","",0.1+IFERROR(INDEX($F$6:$F250,SUMPRODUCT(MAX(ROW($C$6:$C250)*($C251=$C$6:$C250))-ROW($A$5)))*0.9^($A251-INDEX($A$6:A250,SUMPRODUCT(MAX(ROW($C$6:$C250)*($C251=$C$6:$C250))-ROW($A$5)))),0))</f>
        <v/>
      </c>
      <c r="G251" s="64" t="e">
        <f>INDEX('Exercise list'!$Y$5:$Y$102,MATCH(C251,'Exercise list'!$C$5:$C$102,0))</f>
        <v>#N/A</v>
      </c>
      <c r="H251" s="115">
        <f t="shared" si="187"/>
        <v>0</v>
      </c>
      <c r="I251" s="6">
        <f t="shared" si="188"/>
        <v>5</v>
      </c>
      <c r="J251" s="6" t="str" cm="1">
        <f t="array" ref="J251">IF(B251="","",INDEX('Exercise list'!$D$5:$D$102,B251))</f>
        <v/>
      </c>
      <c r="K251" s="12"/>
      <c r="L251" s="74" t="str" cm="1">
        <f t="array" ref="L251">IF(K251="","",INDEX('Exercise list'!$C$5:$C$102,K251))</f>
        <v/>
      </c>
      <c r="M251" s="6"/>
      <c r="N251" s="75" t="str" cm="1">
        <f t="array" ref="N251">IF(M251="","",INDEX('Exercise list'!$C$5:$C$102,M251))</f>
        <v/>
      </c>
      <c r="P251">
        <f>IFERROR(INDEX('Exercise list'!$E$5:$X$102,MATCH($C251,'Exercise list'!$C$5:$C$102,0),MATCH(P$5,'Exercise list'!$E$4:$X$4,0)),0)</f>
        <v>0</v>
      </c>
      <c r="Q251">
        <f>IFERROR(INDEX('Exercise list'!$E$5:$X$102,MATCH($C251,'Exercise list'!$C$5:$C$102,0),MATCH(Q$5,'Exercise list'!$E$4:$X$4,0)),0)</f>
        <v>0</v>
      </c>
      <c r="R251">
        <f>IFERROR(INDEX('Exercise list'!$E$5:$X$102,MATCH($C251,'Exercise list'!$C$5:$C$102,0),MATCH(R$5,'Exercise list'!$E$4:$X$4,0)),0)</f>
        <v>0</v>
      </c>
      <c r="S251">
        <f>IFERROR(INDEX('Exercise list'!$E$5:$X$102,MATCH($C251,'Exercise list'!$C$5:$C$102,0),MATCH(S$5,'Exercise list'!$E$4:$X$4,0)),0)</f>
        <v>0</v>
      </c>
      <c r="T251">
        <f>IFERROR(INDEX('Exercise list'!$E$5:$X$102,MATCH($C251,'Exercise list'!$C$5:$C$102,0),MATCH(T$5,'Exercise list'!$E$4:$X$4,0)),0)</f>
        <v>0</v>
      </c>
      <c r="U251">
        <f>IFERROR(INDEX('Exercise list'!$E$5:$X$102,MATCH($C251,'Exercise list'!$C$5:$C$102,0),MATCH(U$5,'Exercise list'!$E$4:$X$4,0)),0)</f>
        <v>0</v>
      </c>
      <c r="V251">
        <f>IFERROR(INDEX('Exercise list'!$E$5:$X$102,MATCH($C251,'Exercise list'!$C$5:$C$102,0),MATCH(V$5,'Exercise list'!$E$4:$X$4,0)),0)</f>
        <v>0</v>
      </c>
      <c r="W251">
        <f>IFERROR(INDEX('Exercise list'!$E$5:$X$102,MATCH($C251,'Exercise list'!$C$5:$C$102,0),MATCH(W$5,'Exercise list'!$E$4:$X$4,0)),0)</f>
        <v>0</v>
      </c>
      <c r="X251">
        <f>IFERROR(INDEX('Exercise list'!$E$5:$X$102,MATCH($C251,'Exercise list'!$C$5:$C$102,0),MATCH(X$5,'Exercise list'!$E$4:$X$4,0)),0)</f>
        <v>0</v>
      </c>
      <c r="Y251">
        <f>IFERROR(INDEX('Exercise list'!$E$5:$X$102,MATCH($C251,'Exercise list'!$C$5:$C$102,0),MATCH(Y$5,'Exercise list'!$E$4:$X$4,0)),0)</f>
        <v>0</v>
      </c>
      <c r="Z251">
        <f>IFERROR(INDEX('Exercise list'!$E$5:$X$102,MATCH($C251,'Exercise list'!$C$5:$C$102,0),MATCH(Z$5,'Exercise list'!$E$4:$X$4,0)),0)</f>
        <v>0</v>
      </c>
      <c r="AA251">
        <f>IFERROR(INDEX('Exercise list'!$E$5:$X$102,MATCH($C251,'Exercise list'!$C$5:$C$102,0),MATCH(AA$5,'Exercise list'!$E$4:$X$4,0)),0)</f>
        <v>0</v>
      </c>
      <c r="AB251">
        <f>IFERROR(INDEX('Exercise list'!$E$5:$X$102,MATCH($C251,'Exercise list'!$C$5:$C$102,0),MATCH(AB$5,'Exercise list'!$E$4:$X$4,0)),0)</f>
        <v>0</v>
      </c>
      <c r="AC251">
        <f>IFERROR(INDEX('Exercise list'!$E$5:$X$102,MATCH($C251,'Exercise list'!$C$5:$C$102,0),MATCH(AC$5,'Exercise list'!$E$4:$X$4,0)),0)</f>
        <v>0</v>
      </c>
      <c r="AD251">
        <f>IFERROR(INDEX('Exercise list'!$E$5:$X$102,MATCH($C251,'Exercise list'!$C$5:$C$102,0),MATCH(AD$5,'Exercise list'!$E$4:$X$4,0)),0)</f>
        <v>0</v>
      </c>
      <c r="AE251">
        <f>IFERROR(INDEX('Exercise list'!$E$5:$X$102,MATCH($C251,'Exercise list'!$C$5:$C$102,0),MATCH(AE$5,'Exercise list'!$E$4:$X$4,0)),0)</f>
        <v>0</v>
      </c>
      <c r="AF251">
        <f>IFERROR(INDEX('Exercise list'!$E$5:$X$102,MATCH($C251,'Exercise list'!$C$5:$C$102,0),MATCH(AF$5,'Exercise list'!$E$4:$X$4,0)),0)</f>
        <v>0</v>
      </c>
      <c r="AG251">
        <f>IFERROR(INDEX('Exercise list'!$E$5:$X$102,MATCH($C251,'Exercise list'!$C$5:$C$102,0),MATCH(AG$5,'Exercise list'!$E$4:$X$4,0)),0)</f>
        <v>0</v>
      </c>
      <c r="AH251">
        <f>IFERROR(INDEX('Exercise list'!$E$5:$X$102,MATCH($C251,'Exercise list'!$C$5:$C$102,0),MATCH(AH$5,'Exercise list'!$E$4:$X$4,0)),0)</f>
        <v>0</v>
      </c>
      <c r="AI251">
        <f>IFERROR(INDEX('Exercise list'!$E$5:$X$102,MATCH($C251,'Exercise list'!$C$5:$C$102,0),MATCH(AI$5,'Exercise list'!$E$4:$X$4,0)),0)</f>
        <v>0</v>
      </c>
      <c r="AK251">
        <f>IF(OR($J251=1,COUNTIFS($A$5:$A250,"&gt;="&amp;$A251-1,$A$5:$A250,"&lt;="&amp;$A251,$B$5:$B250,$B251)&gt;0,MIN(1-'Exercise list'!E$2,IF($A251=$A250,AK250,1))-P251&lt;0),-1,MIN(1,IF($A251=$A250,AK250,1)-P251+$D$2))</f>
        <v>1</v>
      </c>
      <c r="AL251">
        <f>IF(OR($J251=1,COUNTIFS($A$5:$A250,"&gt;="&amp;$A251-1,$A$5:$A250,"&lt;="&amp;$A251,$B$5:$B250,$B251)&gt;0,MIN(1-'Exercise list'!F$2,IF($A251=$A250,AL250,1))-Q251&lt;0),-1,MIN(1,IF($A251=$A250,AL250,1)-Q251+$D$2))</f>
        <v>1</v>
      </c>
      <c r="AM251">
        <f>IF(OR($J251=1,COUNTIFS($A$5:$A250,"&gt;="&amp;$A251-1,$A$5:$A250,"&lt;="&amp;$A251,$B$5:$B250,$B251)&gt;0,MIN(1-'Exercise list'!G$2,IF($A251=$A250,AM250,1))-R251&lt;0),-1,MIN(1,IF($A251=$A250,AM250,1)-R251+$D$2))</f>
        <v>1</v>
      </c>
      <c r="AN251">
        <f>IF(OR($J251=1,COUNTIFS($A$5:$A250,"&gt;="&amp;$A251-1,$A$5:$A250,"&lt;="&amp;$A251,$B$5:$B250,$B251)&gt;0,MIN(1-'Exercise list'!H$2,IF($A251=$A250,AN250,1))-S251&lt;0),-1,MIN(1,IF($A251=$A250,AN250,1)-S251+$D$2))</f>
        <v>1</v>
      </c>
      <c r="AO251">
        <f>IF(OR($J251=1,COUNTIFS($A$5:$A250,"&gt;="&amp;$A251-1,$A$5:$A250,"&lt;="&amp;$A251,$B$5:$B250,$B251)&gt;0,MIN(1-'Exercise list'!I$2,IF($A251=$A250,AO250,1))-T251&lt;0),-1,MIN(1,IF($A251=$A250,AO250,1)-T251+$D$2))</f>
        <v>1</v>
      </c>
      <c r="AP251">
        <f>IF(OR($J251=1,COUNTIFS($A$5:$A250,"&gt;="&amp;$A251-1,$A$5:$A250,"&lt;="&amp;$A251,$B$5:$B250,$B251)&gt;0,MIN(1-'Exercise list'!J$2,IF($A251=$A250,AP250,1))-U251&lt;0),-1,MIN(1,IF($A251=$A250,AP250,1)-U251+$D$2))</f>
        <v>1</v>
      </c>
      <c r="AQ251">
        <f>IF(OR($J251=1,COUNTIFS($A$5:$A250,"&gt;="&amp;$A251-1,$A$5:$A250,"&lt;="&amp;$A251,$B$5:$B250,$B251)&gt;0,MIN(1-'Exercise list'!K$2,IF($A251=$A250,AQ250,1))-V251&lt;0),-1,MIN(1,IF($A251=$A250,AQ250,1)-V251+$D$2))</f>
        <v>1</v>
      </c>
      <c r="AR251">
        <f>IF(OR($J251=1,COUNTIFS($A$5:$A250,"&gt;="&amp;$A251-1,$A$5:$A250,"&lt;="&amp;$A251,$B$5:$B250,$B251)&gt;0,MIN(1-'Exercise list'!L$2,IF($A251=$A250,AR250,1))-W251&lt;0),-1,MIN(1,IF($A251=$A250,AR250,1)-W251+$D$2))</f>
        <v>1</v>
      </c>
      <c r="AS251">
        <f>IF(OR($J251=1,COUNTIFS($A$5:$A250,"&gt;="&amp;$A251-1,$A$5:$A250,"&lt;="&amp;$A251,$B$5:$B250,$B251)&gt;0,MIN(1-'Exercise list'!M$2,IF($A251=$A250,AS250,1))-X251&lt;0),-1,MIN(1,IF($A251=$A250,AS250,1)-X251+$D$2))</f>
        <v>1</v>
      </c>
      <c r="AT251">
        <f>IF(OR($J251=1,COUNTIFS($A$5:$A250,"&gt;="&amp;$A251-1,$A$5:$A250,"&lt;="&amp;$A251,$B$5:$B250,$B251)&gt;0,MIN(1-'Exercise list'!N$2,IF($A251=$A250,AT250,1))-Y251&lt;0),-1,MIN(1,IF($A251=$A250,AT250,1)-Y251+$D$2))</f>
        <v>1</v>
      </c>
      <c r="AU251">
        <f>IF(OR($J251=1,COUNTIFS($A$5:$A250,"&gt;="&amp;$A251-1,$A$5:$A250,"&lt;="&amp;$A251,$B$5:$B250,$B251)&gt;0,MIN(1-'Exercise list'!O$2,IF($A251=$A250,AU250,1))-Z251&lt;0),-1,MIN(1,IF($A251=$A250,AU250,1)-Z251+$D$2))</f>
        <v>1</v>
      </c>
      <c r="AV251">
        <f>IF(OR($J251=1,COUNTIFS($A$5:$A250,"&gt;="&amp;$A251-1,$A$5:$A250,"&lt;="&amp;$A251,$B$5:$B250,$B251)&gt;0,MIN(1-'Exercise list'!P$2,IF($A251=$A250,AV250,1))-AA251&lt;0),-1,MIN(1,IF($A251=$A250,AV250,1)-AA251+$D$2))</f>
        <v>1</v>
      </c>
      <c r="AW251">
        <f>IF(OR($J251=1,COUNTIFS($A$5:$A250,"&gt;="&amp;$A251-1,$A$5:$A250,"&lt;="&amp;$A251,$B$5:$B250,$B251)&gt;0,MIN(1-'Exercise list'!Q$2,IF($A251=$A250,AW250,1))-AB251&lt;0),-1,MIN(1,IF($A251=$A250,AW250,1)-AB251+$D$2))</f>
        <v>1</v>
      </c>
      <c r="AX251">
        <f>IF(OR($J251=1,COUNTIFS($A$5:$A250,"&gt;="&amp;$A251-1,$A$5:$A250,"&lt;="&amp;$A251,$B$5:$B250,$B251)&gt;0,MIN(1-'Exercise list'!R$2,IF($A251=$A250,AX250,1))-AC251&lt;0),-1,MIN(1,IF($A251=$A250,AX250,1)-AC251+$D$2))</f>
        <v>1</v>
      </c>
      <c r="AY251">
        <f>IF(OR($J251=1,COUNTIFS($A$5:$A250,"&gt;="&amp;$A251-1,$A$5:$A250,"&lt;="&amp;$A251,$B$5:$B250,$B251)&gt;0,MIN(1-'Exercise list'!S$2,IF($A251=$A250,AY250,1))-AD251&lt;0),-1,MIN(1,IF($A251=$A250,AY250,1)-AD251+$D$2))</f>
        <v>1</v>
      </c>
      <c r="AZ251">
        <f>IF(OR($J251=1,COUNTIFS($A$5:$A250,"&gt;="&amp;$A251-1,$A$5:$A250,"&lt;="&amp;$A251,$B$5:$B250,$B251)&gt;0,MIN(1-'Exercise list'!T$2,IF($A251=$A250,AZ250,1))-AE251&lt;0),-1,MIN(1,IF($A251=$A250,AZ250,1)-AE251+$D$2))</f>
        <v>1</v>
      </c>
      <c r="BA251">
        <f>IF(OR($J251=1,COUNTIFS($A$5:$A250,"&gt;="&amp;$A251-1,$A$5:$A250,"&lt;="&amp;$A251,$B$5:$B250,$B251)&gt;0,MIN(1-'Exercise list'!U$2,IF($A251=$A250,BA250,1))-AF251&lt;0),-1,MIN(1,IF($A251=$A250,BA250,1)-AF251+$D$2))</f>
        <v>1</v>
      </c>
      <c r="BB251">
        <f>IF(OR($J251=1,COUNTIFS($A$5:$A250,"&gt;="&amp;$A251-1,$A$5:$A250,"&lt;="&amp;$A251,$B$5:$B250,$B251)&gt;0,MIN(1-'Exercise list'!V$2,IF($A251=$A250,BB250,1))-AG251&lt;0),-1,MIN(1,IF($A251=$A250,BB250,1)-AG251+$D$2))</f>
        <v>1</v>
      </c>
      <c r="BC251">
        <f>IF(OR($J251=1,COUNTIFS($A$5:$A250,"&gt;="&amp;$A251-1,$A$5:$A250,"&lt;="&amp;$A251,$B$5:$B250,$B251)&gt;0,MIN(1-'Exercise list'!W$2,IF($A251=$A250,BC250,1))-AH251&lt;0),-1,MIN(1,IF($A251=$A250,BC250,1)-AH251+$D$2))</f>
        <v>1</v>
      </c>
      <c r="BD251">
        <f>IF(OR($J251=1,COUNTIFS($A$5:$A250,"&gt;="&amp;$A251-1,$A$5:$A250,"&lt;="&amp;$A251,$B$5:$B250,$B251)&gt;0,MIN(1-'Exercise list'!X$2,IF($A251=$A250,BD250,1))-AI251&lt;0),-1,MIN(1,IF($A251=$A250,BD250,1)-AI251+$D$2))</f>
        <v>1</v>
      </c>
      <c r="BF251" s="16">
        <f t="shared" si="189"/>
        <v>0.19596031081758858</v>
      </c>
      <c r="BG251" s="16">
        <f t="shared" si="190"/>
        <v>0.21844636935459236</v>
      </c>
      <c r="BH251" s="16">
        <f t="shared" si="191"/>
        <v>0.14609696635987124</v>
      </c>
      <c r="BI251" s="16">
        <f t="shared" si="192"/>
        <v>0.13198015366034541</v>
      </c>
      <c r="BJ251" s="16">
        <f t="shared" si="193"/>
        <v>8.3367914198418713E-2</v>
      </c>
      <c r="BK251" s="16">
        <f t="shared" si="194"/>
        <v>0.10640640223148412</v>
      </c>
      <c r="BL251" s="16">
        <f t="shared" si="195"/>
        <v>0.21963504743569431</v>
      </c>
      <c r="BM251" s="16">
        <f t="shared" si="196"/>
        <v>3.8988008374820568E-3</v>
      </c>
      <c r="BN251" s="16">
        <f t="shared" si="197"/>
        <v>0.14537706087090876</v>
      </c>
      <c r="BO251" s="16">
        <f t="shared" si="198"/>
        <v>0.29209790661993401</v>
      </c>
      <c r="BP251" s="16">
        <f t="shared" si="199"/>
        <v>0.31584545163401867</v>
      </c>
      <c r="BQ251" s="16">
        <f t="shared" si="200"/>
        <v>0.1000007994126096</v>
      </c>
      <c r="BR251" s="16">
        <f t="shared" si="201"/>
        <v>0.13164487759885393</v>
      </c>
      <c r="BS251" s="16">
        <f t="shared" si="202"/>
        <v>2.9803550189863123E-2</v>
      </c>
      <c r="BT251" s="16">
        <f t="shared" si="203"/>
        <v>0.13492040904978705</v>
      </c>
      <c r="BU251" s="16">
        <f t="shared" si="204"/>
        <v>0.11703687414398131</v>
      </c>
      <c r="BV251" s="16">
        <f t="shared" si="205"/>
        <v>0.14633353213781661</v>
      </c>
      <c r="BW251" s="16">
        <f t="shared" si="206"/>
        <v>7.5588015111767173E-2</v>
      </c>
      <c r="BX251" s="16">
        <f t="shared" si="207"/>
        <v>8.0345659937185704E-2</v>
      </c>
      <c r="BY251" s="16">
        <f t="shared" si="208"/>
        <v>5.9014643151272549E-2</v>
      </c>
      <c r="CA251" s="16" t="str">
        <f t="shared" si="185"/>
        <v/>
      </c>
      <c r="CB251" s="16" t="str">
        <f t="shared" si="166"/>
        <v/>
      </c>
      <c r="CC251" s="16" t="str">
        <f t="shared" si="167"/>
        <v/>
      </c>
      <c r="CD251" s="16" t="str">
        <f t="shared" si="168"/>
        <v/>
      </c>
      <c r="CE251" s="16" t="str">
        <f t="shared" si="169"/>
        <v/>
      </c>
      <c r="CF251" s="16" t="str">
        <f t="shared" si="170"/>
        <v/>
      </c>
      <c r="CG251" s="16" t="str">
        <f t="shared" si="171"/>
        <v/>
      </c>
      <c r="CH251" s="16" t="str">
        <f t="shared" si="172"/>
        <v/>
      </c>
      <c r="CI251" s="16" t="str">
        <f t="shared" si="173"/>
        <v/>
      </c>
      <c r="CJ251" s="16" t="str">
        <f t="shared" si="174"/>
        <v/>
      </c>
      <c r="CK251" s="16" t="str">
        <f t="shared" si="175"/>
        <v/>
      </c>
      <c r="CL251" s="16" t="str">
        <f t="shared" si="176"/>
        <v/>
      </c>
      <c r="CM251" s="16" t="str">
        <f t="shared" si="177"/>
        <v/>
      </c>
      <c r="CN251" s="16" t="str">
        <f t="shared" si="178"/>
        <v/>
      </c>
      <c r="CO251" s="16" t="str">
        <f t="shared" si="179"/>
        <v/>
      </c>
      <c r="CP251" s="16" t="str">
        <f t="shared" si="180"/>
        <v/>
      </c>
      <c r="CQ251" s="16" t="str">
        <f t="shared" si="181"/>
        <v/>
      </c>
      <c r="CR251" s="16" t="str">
        <f t="shared" si="182"/>
        <v/>
      </c>
      <c r="CS251" s="16" t="str">
        <f t="shared" si="183"/>
        <v/>
      </c>
      <c r="CT251" s="16" t="str">
        <f t="shared" si="184"/>
        <v/>
      </c>
    </row>
    <row r="252" spans="1:99" x14ac:dyDescent="0.25">
      <c r="A252" s="13"/>
      <c r="B252" s="14"/>
      <c r="C252" s="15" t="str" cm="1">
        <f t="array" ref="C252">IF(B252="","",INDEX('Exercise list'!$C$5:$C$102,B252))</f>
        <v/>
      </c>
      <c r="D252" s="12" t="str">
        <f t="shared" si="186"/>
        <v/>
      </c>
      <c r="E252" s="107" t="str">
        <f t="shared" si="209"/>
        <v/>
      </c>
      <c r="F252" s="63" t="str" cm="1">
        <f t="array" ref="F252">IF(B252="","",0.1+IFERROR(INDEX($F$6:$F251,SUMPRODUCT(MAX(ROW($C$6:$C251)*($C252=$C$6:$C251))-ROW($A$5)))*0.9^($A252-INDEX($A$6:A251,SUMPRODUCT(MAX(ROW($C$6:$C251)*($C252=$C$6:$C251))-ROW($A$5)))),0))</f>
        <v/>
      </c>
      <c r="G252" s="64" t="e">
        <f>INDEX('Exercise list'!$Y$5:$Y$102,MATCH(C252,'Exercise list'!$C$5:$C$102,0))</f>
        <v>#N/A</v>
      </c>
      <c r="H252" s="115">
        <f t="shared" si="187"/>
        <v>0</v>
      </c>
      <c r="I252" s="6">
        <f t="shared" si="188"/>
        <v>5</v>
      </c>
      <c r="J252" s="6" t="str" cm="1">
        <f t="array" ref="J252">IF(B252="","",INDEX('Exercise list'!$D$5:$D$102,B252))</f>
        <v/>
      </c>
      <c r="K252" s="12"/>
      <c r="L252" s="74" t="str" cm="1">
        <f t="array" ref="L252">IF(K252="","",INDEX('Exercise list'!$C$5:$C$102,K252))</f>
        <v/>
      </c>
      <c r="M252" s="6"/>
      <c r="N252" s="75" t="str" cm="1">
        <f t="array" ref="N252">IF(M252="","",INDEX('Exercise list'!$C$5:$C$102,M252))</f>
        <v/>
      </c>
      <c r="P252">
        <f>IFERROR(INDEX('Exercise list'!$E$5:$X$102,MATCH($C252,'Exercise list'!$C$5:$C$102,0),MATCH(P$5,'Exercise list'!$E$4:$X$4,0)),0)</f>
        <v>0</v>
      </c>
      <c r="Q252">
        <f>IFERROR(INDEX('Exercise list'!$E$5:$X$102,MATCH($C252,'Exercise list'!$C$5:$C$102,0),MATCH(Q$5,'Exercise list'!$E$4:$X$4,0)),0)</f>
        <v>0</v>
      </c>
      <c r="R252">
        <f>IFERROR(INDEX('Exercise list'!$E$5:$X$102,MATCH($C252,'Exercise list'!$C$5:$C$102,0),MATCH(R$5,'Exercise list'!$E$4:$X$4,0)),0)</f>
        <v>0</v>
      </c>
      <c r="S252">
        <f>IFERROR(INDEX('Exercise list'!$E$5:$X$102,MATCH($C252,'Exercise list'!$C$5:$C$102,0),MATCH(S$5,'Exercise list'!$E$4:$X$4,0)),0)</f>
        <v>0</v>
      </c>
      <c r="T252">
        <f>IFERROR(INDEX('Exercise list'!$E$5:$X$102,MATCH($C252,'Exercise list'!$C$5:$C$102,0),MATCH(T$5,'Exercise list'!$E$4:$X$4,0)),0)</f>
        <v>0</v>
      </c>
      <c r="U252">
        <f>IFERROR(INDEX('Exercise list'!$E$5:$X$102,MATCH($C252,'Exercise list'!$C$5:$C$102,0),MATCH(U$5,'Exercise list'!$E$4:$X$4,0)),0)</f>
        <v>0</v>
      </c>
      <c r="V252">
        <f>IFERROR(INDEX('Exercise list'!$E$5:$X$102,MATCH($C252,'Exercise list'!$C$5:$C$102,0),MATCH(V$5,'Exercise list'!$E$4:$X$4,0)),0)</f>
        <v>0</v>
      </c>
      <c r="W252">
        <f>IFERROR(INDEX('Exercise list'!$E$5:$X$102,MATCH($C252,'Exercise list'!$C$5:$C$102,0),MATCH(W$5,'Exercise list'!$E$4:$X$4,0)),0)</f>
        <v>0</v>
      </c>
      <c r="X252">
        <f>IFERROR(INDEX('Exercise list'!$E$5:$X$102,MATCH($C252,'Exercise list'!$C$5:$C$102,0),MATCH(X$5,'Exercise list'!$E$4:$X$4,0)),0)</f>
        <v>0</v>
      </c>
      <c r="Y252">
        <f>IFERROR(INDEX('Exercise list'!$E$5:$X$102,MATCH($C252,'Exercise list'!$C$5:$C$102,0),MATCH(Y$5,'Exercise list'!$E$4:$X$4,0)),0)</f>
        <v>0</v>
      </c>
      <c r="Z252">
        <f>IFERROR(INDEX('Exercise list'!$E$5:$X$102,MATCH($C252,'Exercise list'!$C$5:$C$102,0),MATCH(Z$5,'Exercise list'!$E$4:$X$4,0)),0)</f>
        <v>0</v>
      </c>
      <c r="AA252">
        <f>IFERROR(INDEX('Exercise list'!$E$5:$X$102,MATCH($C252,'Exercise list'!$C$5:$C$102,0),MATCH(AA$5,'Exercise list'!$E$4:$X$4,0)),0)</f>
        <v>0</v>
      </c>
      <c r="AB252">
        <f>IFERROR(INDEX('Exercise list'!$E$5:$X$102,MATCH($C252,'Exercise list'!$C$5:$C$102,0),MATCH(AB$5,'Exercise list'!$E$4:$X$4,0)),0)</f>
        <v>0</v>
      </c>
      <c r="AC252">
        <f>IFERROR(INDEX('Exercise list'!$E$5:$X$102,MATCH($C252,'Exercise list'!$C$5:$C$102,0),MATCH(AC$5,'Exercise list'!$E$4:$X$4,0)),0)</f>
        <v>0</v>
      </c>
      <c r="AD252">
        <f>IFERROR(INDEX('Exercise list'!$E$5:$X$102,MATCH($C252,'Exercise list'!$C$5:$C$102,0),MATCH(AD$5,'Exercise list'!$E$4:$X$4,0)),0)</f>
        <v>0</v>
      </c>
      <c r="AE252">
        <f>IFERROR(INDEX('Exercise list'!$E$5:$X$102,MATCH($C252,'Exercise list'!$C$5:$C$102,0),MATCH(AE$5,'Exercise list'!$E$4:$X$4,0)),0)</f>
        <v>0</v>
      </c>
      <c r="AF252">
        <f>IFERROR(INDEX('Exercise list'!$E$5:$X$102,MATCH($C252,'Exercise list'!$C$5:$C$102,0),MATCH(AF$5,'Exercise list'!$E$4:$X$4,0)),0)</f>
        <v>0</v>
      </c>
      <c r="AG252">
        <f>IFERROR(INDEX('Exercise list'!$E$5:$X$102,MATCH($C252,'Exercise list'!$C$5:$C$102,0),MATCH(AG$5,'Exercise list'!$E$4:$X$4,0)),0)</f>
        <v>0</v>
      </c>
      <c r="AH252">
        <f>IFERROR(INDEX('Exercise list'!$E$5:$X$102,MATCH($C252,'Exercise list'!$C$5:$C$102,0),MATCH(AH$5,'Exercise list'!$E$4:$X$4,0)),0)</f>
        <v>0</v>
      </c>
      <c r="AI252">
        <f>IFERROR(INDEX('Exercise list'!$E$5:$X$102,MATCH($C252,'Exercise list'!$C$5:$C$102,0),MATCH(AI$5,'Exercise list'!$E$4:$X$4,0)),0)</f>
        <v>0</v>
      </c>
      <c r="AK252">
        <f>IF(OR($J252=1,COUNTIFS($A$5:$A251,"&gt;="&amp;$A252-1,$A$5:$A251,"&lt;="&amp;$A252,$B$5:$B251,$B252)&gt;0,MIN(1-'Exercise list'!E$2,IF($A252=$A251,AK251,1))-P252&lt;0),-1,MIN(1,IF($A252=$A251,AK251,1)-P252+$D$2))</f>
        <v>1</v>
      </c>
      <c r="AL252">
        <f>IF(OR($J252=1,COUNTIFS($A$5:$A251,"&gt;="&amp;$A252-1,$A$5:$A251,"&lt;="&amp;$A252,$B$5:$B251,$B252)&gt;0,MIN(1-'Exercise list'!F$2,IF($A252=$A251,AL251,1))-Q252&lt;0),-1,MIN(1,IF($A252=$A251,AL251,1)-Q252+$D$2))</f>
        <v>1</v>
      </c>
      <c r="AM252">
        <f>IF(OR($J252=1,COUNTIFS($A$5:$A251,"&gt;="&amp;$A252-1,$A$5:$A251,"&lt;="&amp;$A252,$B$5:$B251,$B252)&gt;0,MIN(1-'Exercise list'!G$2,IF($A252=$A251,AM251,1))-R252&lt;0),-1,MIN(1,IF($A252=$A251,AM251,1)-R252+$D$2))</f>
        <v>1</v>
      </c>
      <c r="AN252">
        <f>IF(OR($J252=1,COUNTIFS($A$5:$A251,"&gt;="&amp;$A252-1,$A$5:$A251,"&lt;="&amp;$A252,$B$5:$B251,$B252)&gt;0,MIN(1-'Exercise list'!H$2,IF($A252=$A251,AN251,1))-S252&lt;0),-1,MIN(1,IF($A252=$A251,AN251,1)-S252+$D$2))</f>
        <v>1</v>
      </c>
      <c r="AO252">
        <f>IF(OR($J252=1,COUNTIFS($A$5:$A251,"&gt;="&amp;$A252-1,$A$5:$A251,"&lt;="&amp;$A252,$B$5:$B251,$B252)&gt;0,MIN(1-'Exercise list'!I$2,IF($A252=$A251,AO251,1))-T252&lt;0),-1,MIN(1,IF($A252=$A251,AO251,1)-T252+$D$2))</f>
        <v>1</v>
      </c>
      <c r="AP252">
        <f>IF(OR($J252=1,COUNTIFS($A$5:$A251,"&gt;="&amp;$A252-1,$A$5:$A251,"&lt;="&amp;$A252,$B$5:$B251,$B252)&gt;0,MIN(1-'Exercise list'!J$2,IF($A252=$A251,AP251,1))-U252&lt;0),-1,MIN(1,IF($A252=$A251,AP251,1)-U252+$D$2))</f>
        <v>1</v>
      </c>
      <c r="AQ252">
        <f>IF(OR($J252=1,COUNTIFS($A$5:$A251,"&gt;="&amp;$A252-1,$A$5:$A251,"&lt;="&amp;$A252,$B$5:$B251,$B252)&gt;0,MIN(1-'Exercise list'!K$2,IF($A252=$A251,AQ251,1))-V252&lt;0),-1,MIN(1,IF($A252=$A251,AQ251,1)-V252+$D$2))</f>
        <v>1</v>
      </c>
      <c r="AR252">
        <f>IF(OR($J252=1,COUNTIFS($A$5:$A251,"&gt;="&amp;$A252-1,$A$5:$A251,"&lt;="&amp;$A252,$B$5:$B251,$B252)&gt;0,MIN(1-'Exercise list'!L$2,IF($A252=$A251,AR251,1))-W252&lt;0),-1,MIN(1,IF($A252=$A251,AR251,1)-W252+$D$2))</f>
        <v>1</v>
      </c>
      <c r="AS252">
        <f>IF(OR($J252=1,COUNTIFS($A$5:$A251,"&gt;="&amp;$A252-1,$A$5:$A251,"&lt;="&amp;$A252,$B$5:$B251,$B252)&gt;0,MIN(1-'Exercise list'!M$2,IF($A252=$A251,AS251,1))-X252&lt;0),-1,MIN(1,IF($A252=$A251,AS251,1)-X252+$D$2))</f>
        <v>1</v>
      </c>
      <c r="AT252">
        <f>IF(OR($J252=1,COUNTIFS($A$5:$A251,"&gt;="&amp;$A252-1,$A$5:$A251,"&lt;="&amp;$A252,$B$5:$B251,$B252)&gt;0,MIN(1-'Exercise list'!N$2,IF($A252=$A251,AT251,1))-Y252&lt;0),-1,MIN(1,IF($A252=$A251,AT251,1)-Y252+$D$2))</f>
        <v>1</v>
      </c>
      <c r="AU252">
        <f>IF(OR($J252=1,COUNTIFS($A$5:$A251,"&gt;="&amp;$A252-1,$A$5:$A251,"&lt;="&amp;$A252,$B$5:$B251,$B252)&gt;0,MIN(1-'Exercise list'!O$2,IF($A252=$A251,AU251,1))-Z252&lt;0),-1,MIN(1,IF($A252=$A251,AU251,1)-Z252+$D$2))</f>
        <v>1</v>
      </c>
      <c r="AV252">
        <f>IF(OR($J252=1,COUNTIFS($A$5:$A251,"&gt;="&amp;$A252-1,$A$5:$A251,"&lt;="&amp;$A252,$B$5:$B251,$B252)&gt;0,MIN(1-'Exercise list'!P$2,IF($A252=$A251,AV251,1))-AA252&lt;0),-1,MIN(1,IF($A252=$A251,AV251,1)-AA252+$D$2))</f>
        <v>1</v>
      </c>
      <c r="AW252">
        <f>IF(OR($J252=1,COUNTIFS($A$5:$A251,"&gt;="&amp;$A252-1,$A$5:$A251,"&lt;="&amp;$A252,$B$5:$B251,$B252)&gt;0,MIN(1-'Exercise list'!Q$2,IF($A252=$A251,AW251,1))-AB252&lt;0),-1,MIN(1,IF($A252=$A251,AW251,1)-AB252+$D$2))</f>
        <v>1</v>
      </c>
      <c r="AX252">
        <f>IF(OR($J252=1,COUNTIFS($A$5:$A251,"&gt;="&amp;$A252-1,$A$5:$A251,"&lt;="&amp;$A252,$B$5:$B251,$B252)&gt;0,MIN(1-'Exercise list'!R$2,IF($A252=$A251,AX251,1))-AC252&lt;0),-1,MIN(1,IF($A252=$A251,AX251,1)-AC252+$D$2))</f>
        <v>1</v>
      </c>
      <c r="AY252">
        <f>IF(OR($J252=1,COUNTIFS($A$5:$A251,"&gt;="&amp;$A252-1,$A$5:$A251,"&lt;="&amp;$A252,$B$5:$B251,$B252)&gt;0,MIN(1-'Exercise list'!S$2,IF($A252=$A251,AY251,1))-AD252&lt;0),-1,MIN(1,IF($A252=$A251,AY251,1)-AD252+$D$2))</f>
        <v>1</v>
      </c>
      <c r="AZ252">
        <f>IF(OR($J252=1,COUNTIFS($A$5:$A251,"&gt;="&amp;$A252-1,$A$5:$A251,"&lt;="&amp;$A252,$B$5:$B251,$B252)&gt;0,MIN(1-'Exercise list'!T$2,IF($A252=$A251,AZ251,1))-AE252&lt;0),-1,MIN(1,IF($A252=$A251,AZ251,1)-AE252+$D$2))</f>
        <v>1</v>
      </c>
      <c r="BA252">
        <f>IF(OR($J252=1,COUNTIFS($A$5:$A251,"&gt;="&amp;$A252-1,$A$5:$A251,"&lt;="&amp;$A252,$B$5:$B251,$B252)&gt;0,MIN(1-'Exercise list'!U$2,IF($A252=$A251,BA251,1))-AF252&lt;0),-1,MIN(1,IF($A252=$A251,BA251,1)-AF252+$D$2))</f>
        <v>1</v>
      </c>
      <c r="BB252">
        <f>IF(OR($J252=1,COUNTIFS($A$5:$A251,"&gt;="&amp;$A252-1,$A$5:$A251,"&lt;="&amp;$A252,$B$5:$B251,$B252)&gt;0,MIN(1-'Exercise list'!V$2,IF($A252=$A251,BB251,1))-AG252&lt;0),-1,MIN(1,IF($A252=$A251,BB251,1)-AG252+$D$2))</f>
        <v>1</v>
      </c>
      <c r="BC252">
        <f>IF(OR($J252=1,COUNTIFS($A$5:$A251,"&gt;="&amp;$A252-1,$A$5:$A251,"&lt;="&amp;$A252,$B$5:$B251,$B252)&gt;0,MIN(1-'Exercise list'!W$2,IF($A252=$A251,BC251,1))-AH252&lt;0),-1,MIN(1,IF($A252=$A251,BC251,1)-AH252+$D$2))</f>
        <v>1</v>
      </c>
      <c r="BD252">
        <f>IF(OR($J252=1,COUNTIFS($A$5:$A251,"&gt;="&amp;$A252-1,$A$5:$A251,"&lt;="&amp;$A252,$B$5:$B251,$B252)&gt;0,MIN(1-'Exercise list'!X$2,IF($A252=$A251,BD251,1))-AI252&lt;0),-1,MIN(1,IF($A252=$A251,BD251,1)-AI252+$D$2))</f>
        <v>1</v>
      </c>
      <c r="BF252" s="16">
        <f t="shared" si="189"/>
        <v>0.19596031081758858</v>
      </c>
      <c r="BG252" s="16">
        <f t="shared" si="190"/>
        <v>0.21844636935459236</v>
      </c>
      <c r="BH252" s="16">
        <f t="shared" si="191"/>
        <v>0.14609696635987124</v>
      </c>
      <c r="BI252" s="16">
        <f t="shared" si="192"/>
        <v>0.13198015366034541</v>
      </c>
      <c r="BJ252" s="16">
        <f t="shared" si="193"/>
        <v>8.3367914198418713E-2</v>
      </c>
      <c r="BK252" s="16">
        <f t="shared" si="194"/>
        <v>0.10640640223148412</v>
      </c>
      <c r="BL252" s="16">
        <f t="shared" si="195"/>
        <v>0.21963504743569431</v>
      </c>
      <c r="BM252" s="16">
        <f t="shared" si="196"/>
        <v>3.8988008374820568E-3</v>
      </c>
      <c r="BN252" s="16">
        <f t="shared" si="197"/>
        <v>0.14537706087090876</v>
      </c>
      <c r="BO252" s="16">
        <f t="shared" si="198"/>
        <v>0.29209790661993401</v>
      </c>
      <c r="BP252" s="16">
        <f t="shared" si="199"/>
        <v>0.31584545163401867</v>
      </c>
      <c r="BQ252" s="16">
        <f t="shared" si="200"/>
        <v>0.1000007994126096</v>
      </c>
      <c r="BR252" s="16">
        <f t="shared" si="201"/>
        <v>0.13164487759885393</v>
      </c>
      <c r="BS252" s="16">
        <f t="shared" si="202"/>
        <v>2.9803550189863123E-2</v>
      </c>
      <c r="BT252" s="16">
        <f t="shared" si="203"/>
        <v>0.13492040904978705</v>
      </c>
      <c r="BU252" s="16">
        <f t="shared" si="204"/>
        <v>0.11703687414398131</v>
      </c>
      <c r="BV252" s="16">
        <f t="shared" si="205"/>
        <v>0.14633353213781661</v>
      </c>
      <c r="BW252" s="16">
        <f t="shared" si="206"/>
        <v>7.5588015111767173E-2</v>
      </c>
      <c r="BX252" s="16">
        <f t="shared" si="207"/>
        <v>8.0345659937185704E-2</v>
      </c>
      <c r="BY252" s="16">
        <f t="shared" si="208"/>
        <v>5.9014643151272549E-2</v>
      </c>
      <c r="CA252" s="16" t="str">
        <f t="shared" si="185"/>
        <v/>
      </c>
      <c r="CB252" s="16" t="str">
        <f t="shared" si="166"/>
        <v/>
      </c>
      <c r="CC252" s="16" t="str">
        <f t="shared" si="167"/>
        <v/>
      </c>
      <c r="CD252" s="16" t="str">
        <f t="shared" si="168"/>
        <v/>
      </c>
      <c r="CE252" s="16" t="str">
        <f t="shared" si="169"/>
        <v/>
      </c>
      <c r="CF252" s="16" t="str">
        <f t="shared" si="170"/>
        <v/>
      </c>
      <c r="CG252" s="16" t="str">
        <f t="shared" si="171"/>
        <v/>
      </c>
      <c r="CH252" s="16" t="str">
        <f t="shared" si="172"/>
        <v/>
      </c>
      <c r="CI252" s="16" t="str">
        <f t="shared" si="173"/>
        <v/>
      </c>
      <c r="CJ252" s="16" t="str">
        <f t="shared" si="174"/>
        <v/>
      </c>
      <c r="CK252" s="16" t="str">
        <f t="shared" si="175"/>
        <v/>
      </c>
      <c r="CL252" s="16" t="str">
        <f t="shared" si="176"/>
        <v/>
      </c>
      <c r="CM252" s="16" t="str">
        <f t="shared" si="177"/>
        <v/>
      </c>
      <c r="CN252" s="16" t="str">
        <f t="shared" si="178"/>
        <v/>
      </c>
      <c r="CO252" s="16" t="str">
        <f t="shared" si="179"/>
        <v/>
      </c>
      <c r="CP252" s="16" t="str">
        <f t="shared" si="180"/>
        <v/>
      </c>
      <c r="CQ252" s="16" t="str">
        <f t="shared" si="181"/>
        <v/>
      </c>
      <c r="CR252" s="16" t="str">
        <f t="shared" si="182"/>
        <v/>
      </c>
      <c r="CS252" s="16" t="str">
        <f t="shared" si="183"/>
        <v/>
      </c>
      <c r="CT252" s="16" t="str">
        <f t="shared" si="184"/>
        <v/>
      </c>
    </row>
    <row r="253" spans="1:99" x14ac:dyDescent="0.25">
      <c r="A253" s="20"/>
      <c r="B253" s="21"/>
      <c r="C253" s="22" t="str" cm="1">
        <f t="array" ref="C253">IF(B253="","",INDEX('Exercise list'!$C$5:$C$102,B253))</f>
        <v/>
      </c>
      <c r="D253" s="17" t="str">
        <f t="shared" si="186"/>
        <v/>
      </c>
      <c r="E253" s="108" t="str">
        <f t="shared" si="209"/>
        <v/>
      </c>
      <c r="F253" s="65" t="str" cm="1">
        <f t="array" ref="F253">IF(B253="","",0.1+IFERROR(INDEX($F$6:$F252,SUMPRODUCT(MAX(ROW($C$6:$C252)*($C253=$C$6:$C252))-ROW($A$5)))*0.9^($A253-INDEX($A$6:A252,SUMPRODUCT(MAX(ROW($C$6:$C252)*($C253=$C$6:$C252))-ROW($A$5)))),0))</f>
        <v/>
      </c>
      <c r="G253" s="25" t="e">
        <f>INDEX('Exercise list'!$Y$5:$Y$102,MATCH(C253,'Exercise list'!$C$5:$C$102,0))</f>
        <v>#N/A</v>
      </c>
      <c r="H253" s="116">
        <f t="shared" si="187"/>
        <v>0</v>
      </c>
      <c r="I253" s="18">
        <f t="shared" si="188"/>
        <v>5</v>
      </c>
      <c r="J253" s="18" t="str" cm="1">
        <f t="array" ref="J253">IF(B253="","",INDEX('Exercise list'!$D$5:$D$102,B253))</f>
        <v/>
      </c>
      <c r="K253" s="17"/>
      <c r="L253" s="51" t="str" cm="1">
        <f t="array" ref="L253">IF(K253="","",INDEX('Exercise list'!$C$5:$C$102,K253))</f>
        <v/>
      </c>
      <c r="M253" s="18"/>
      <c r="N253" s="76" t="str" cm="1">
        <f t="array" ref="N253">IF(M253="","",INDEX('Exercise list'!$C$5:$C$102,M253))</f>
        <v/>
      </c>
      <c r="O253" s="19"/>
      <c r="P253" s="19">
        <f>IFERROR(INDEX('Exercise list'!$E$5:$X$102,MATCH($C253,'Exercise list'!$C$5:$C$102,0),MATCH(P$5,'Exercise list'!$E$4:$X$4,0)),0)</f>
        <v>0</v>
      </c>
      <c r="Q253" s="19">
        <f>IFERROR(INDEX('Exercise list'!$E$5:$X$102,MATCH($C253,'Exercise list'!$C$5:$C$102,0),MATCH(Q$5,'Exercise list'!$E$4:$X$4,0)),0)</f>
        <v>0</v>
      </c>
      <c r="R253" s="19">
        <f>IFERROR(INDEX('Exercise list'!$E$5:$X$102,MATCH($C253,'Exercise list'!$C$5:$C$102,0),MATCH(R$5,'Exercise list'!$E$4:$X$4,0)),0)</f>
        <v>0</v>
      </c>
      <c r="S253" s="19">
        <f>IFERROR(INDEX('Exercise list'!$E$5:$X$102,MATCH($C253,'Exercise list'!$C$5:$C$102,0),MATCH(S$5,'Exercise list'!$E$4:$X$4,0)),0)</f>
        <v>0</v>
      </c>
      <c r="T253" s="19">
        <f>IFERROR(INDEX('Exercise list'!$E$5:$X$102,MATCH($C253,'Exercise list'!$C$5:$C$102,0),MATCH(T$5,'Exercise list'!$E$4:$X$4,0)),0)</f>
        <v>0</v>
      </c>
      <c r="U253" s="19">
        <f>IFERROR(INDEX('Exercise list'!$E$5:$X$102,MATCH($C253,'Exercise list'!$C$5:$C$102,0),MATCH(U$5,'Exercise list'!$E$4:$X$4,0)),0)</f>
        <v>0</v>
      </c>
      <c r="V253" s="19">
        <f>IFERROR(INDEX('Exercise list'!$E$5:$X$102,MATCH($C253,'Exercise list'!$C$5:$C$102,0),MATCH(V$5,'Exercise list'!$E$4:$X$4,0)),0)</f>
        <v>0</v>
      </c>
      <c r="W253" s="19">
        <f>IFERROR(INDEX('Exercise list'!$E$5:$X$102,MATCH($C253,'Exercise list'!$C$5:$C$102,0),MATCH(W$5,'Exercise list'!$E$4:$X$4,0)),0)</f>
        <v>0</v>
      </c>
      <c r="X253" s="19">
        <f>IFERROR(INDEX('Exercise list'!$E$5:$X$102,MATCH($C253,'Exercise list'!$C$5:$C$102,0),MATCH(X$5,'Exercise list'!$E$4:$X$4,0)),0)</f>
        <v>0</v>
      </c>
      <c r="Y253" s="19">
        <f>IFERROR(INDEX('Exercise list'!$E$5:$X$102,MATCH($C253,'Exercise list'!$C$5:$C$102,0),MATCH(Y$5,'Exercise list'!$E$4:$X$4,0)),0)</f>
        <v>0</v>
      </c>
      <c r="Z253" s="19">
        <f>IFERROR(INDEX('Exercise list'!$E$5:$X$102,MATCH($C253,'Exercise list'!$C$5:$C$102,0),MATCH(Z$5,'Exercise list'!$E$4:$X$4,0)),0)</f>
        <v>0</v>
      </c>
      <c r="AA253" s="19">
        <f>IFERROR(INDEX('Exercise list'!$E$5:$X$102,MATCH($C253,'Exercise list'!$C$5:$C$102,0),MATCH(AA$5,'Exercise list'!$E$4:$X$4,0)),0)</f>
        <v>0</v>
      </c>
      <c r="AB253" s="19">
        <f>IFERROR(INDEX('Exercise list'!$E$5:$X$102,MATCH($C253,'Exercise list'!$C$5:$C$102,0),MATCH(AB$5,'Exercise list'!$E$4:$X$4,0)),0)</f>
        <v>0</v>
      </c>
      <c r="AC253" s="19">
        <f>IFERROR(INDEX('Exercise list'!$E$5:$X$102,MATCH($C253,'Exercise list'!$C$5:$C$102,0),MATCH(AC$5,'Exercise list'!$E$4:$X$4,0)),0)</f>
        <v>0</v>
      </c>
      <c r="AD253" s="19">
        <f>IFERROR(INDEX('Exercise list'!$E$5:$X$102,MATCH($C253,'Exercise list'!$C$5:$C$102,0),MATCH(AD$5,'Exercise list'!$E$4:$X$4,0)),0)</f>
        <v>0</v>
      </c>
      <c r="AE253" s="19">
        <f>IFERROR(INDEX('Exercise list'!$E$5:$X$102,MATCH($C253,'Exercise list'!$C$5:$C$102,0),MATCH(AE$5,'Exercise list'!$E$4:$X$4,0)),0)</f>
        <v>0</v>
      </c>
      <c r="AF253" s="19">
        <f>IFERROR(INDEX('Exercise list'!$E$5:$X$102,MATCH($C253,'Exercise list'!$C$5:$C$102,0),MATCH(AF$5,'Exercise list'!$E$4:$X$4,0)),0)</f>
        <v>0</v>
      </c>
      <c r="AG253" s="19">
        <f>IFERROR(INDEX('Exercise list'!$E$5:$X$102,MATCH($C253,'Exercise list'!$C$5:$C$102,0),MATCH(AG$5,'Exercise list'!$E$4:$X$4,0)),0)</f>
        <v>0</v>
      </c>
      <c r="AH253" s="19">
        <f>IFERROR(INDEX('Exercise list'!$E$5:$X$102,MATCH($C253,'Exercise list'!$C$5:$C$102,0),MATCH(AH$5,'Exercise list'!$E$4:$X$4,0)),0)</f>
        <v>0</v>
      </c>
      <c r="AI253" s="19">
        <f>IFERROR(INDEX('Exercise list'!$E$5:$X$102,MATCH($C253,'Exercise list'!$C$5:$C$102,0),MATCH(AI$5,'Exercise list'!$E$4:$X$4,0)),0)</f>
        <v>0</v>
      </c>
      <c r="AJ253" s="19"/>
      <c r="AK253" s="19">
        <f>IF(OR($J253=1,COUNTIFS($A$5:$A252,"&gt;="&amp;$A253-1,$A$5:$A252,"&lt;="&amp;$A253,$B$5:$B252,$B253)&gt;0,MIN(1-'Exercise list'!E$2,IF($A253=$A252,AK252,1))-P253&lt;0),-1,MIN(1,IF($A253=$A252,AK252,1)-P253+$D$2))</f>
        <v>1</v>
      </c>
      <c r="AL253" s="19">
        <f>IF(OR($J253=1,COUNTIFS($A$5:$A252,"&gt;="&amp;$A253-1,$A$5:$A252,"&lt;="&amp;$A253,$B$5:$B252,$B253)&gt;0,MIN(1-'Exercise list'!F$2,IF($A253=$A252,AL252,1))-Q253&lt;0),-1,MIN(1,IF($A253=$A252,AL252,1)-Q253+$D$2))</f>
        <v>1</v>
      </c>
      <c r="AM253" s="19">
        <f>IF(OR($J253=1,COUNTIFS($A$5:$A252,"&gt;="&amp;$A253-1,$A$5:$A252,"&lt;="&amp;$A253,$B$5:$B252,$B253)&gt;0,MIN(1-'Exercise list'!G$2,IF($A253=$A252,AM252,1))-R253&lt;0),-1,MIN(1,IF($A253=$A252,AM252,1)-R253+$D$2))</f>
        <v>1</v>
      </c>
      <c r="AN253" s="19">
        <f>IF(OR($J253=1,COUNTIFS($A$5:$A252,"&gt;="&amp;$A253-1,$A$5:$A252,"&lt;="&amp;$A253,$B$5:$B252,$B253)&gt;0,MIN(1-'Exercise list'!H$2,IF($A253=$A252,AN252,1))-S253&lt;0),-1,MIN(1,IF($A253=$A252,AN252,1)-S253+$D$2))</f>
        <v>1</v>
      </c>
      <c r="AO253" s="19">
        <f>IF(OR($J253=1,COUNTIFS($A$5:$A252,"&gt;="&amp;$A253-1,$A$5:$A252,"&lt;="&amp;$A253,$B$5:$B252,$B253)&gt;0,MIN(1-'Exercise list'!I$2,IF($A253=$A252,AO252,1))-T253&lt;0),-1,MIN(1,IF($A253=$A252,AO252,1)-T253+$D$2))</f>
        <v>1</v>
      </c>
      <c r="AP253" s="19">
        <f>IF(OR($J253=1,COUNTIFS($A$5:$A252,"&gt;="&amp;$A253-1,$A$5:$A252,"&lt;="&amp;$A253,$B$5:$B252,$B253)&gt;0,MIN(1-'Exercise list'!J$2,IF($A253=$A252,AP252,1))-U253&lt;0),-1,MIN(1,IF($A253=$A252,AP252,1)-U253+$D$2))</f>
        <v>1</v>
      </c>
      <c r="AQ253" s="19">
        <f>IF(OR($J253=1,COUNTIFS($A$5:$A252,"&gt;="&amp;$A253-1,$A$5:$A252,"&lt;="&amp;$A253,$B$5:$B252,$B253)&gt;0,MIN(1-'Exercise list'!K$2,IF($A253=$A252,AQ252,1))-V253&lt;0),-1,MIN(1,IF($A253=$A252,AQ252,1)-V253+$D$2))</f>
        <v>1</v>
      </c>
      <c r="AR253" s="19">
        <f>IF(OR($J253=1,COUNTIFS($A$5:$A252,"&gt;="&amp;$A253-1,$A$5:$A252,"&lt;="&amp;$A253,$B$5:$B252,$B253)&gt;0,MIN(1-'Exercise list'!L$2,IF($A253=$A252,AR252,1))-W253&lt;0),-1,MIN(1,IF($A253=$A252,AR252,1)-W253+$D$2))</f>
        <v>1</v>
      </c>
      <c r="AS253" s="19">
        <f>IF(OR($J253=1,COUNTIFS($A$5:$A252,"&gt;="&amp;$A253-1,$A$5:$A252,"&lt;="&amp;$A253,$B$5:$B252,$B253)&gt;0,MIN(1-'Exercise list'!M$2,IF($A253=$A252,AS252,1))-X253&lt;0),-1,MIN(1,IF($A253=$A252,AS252,1)-X253+$D$2))</f>
        <v>1</v>
      </c>
      <c r="AT253" s="19">
        <f>IF(OR($J253=1,COUNTIFS($A$5:$A252,"&gt;="&amp;$A253-1,$A$5:$A252,"&lt;="&amp;$A253,$B$5:$B252,$B253)&gt;0,MIN(1-'Exercise list'!N$2,IF($A253=$A252,AT252,1))-Y253&lt;0),-1,MIN(1,IF($A253=$A252,AT252,1)-Y253+$D$2))</f>
        <v>1</v>
      </c>
      <c r="AU253" s="19">
        <f>IF(OR($J253=1,COUNTIFS($A$5:$A252,"&gt;="&amp;$A253-1,$A$5:$A252,"&lt;="&amp;$A253,$B$5:$B252,$B253)&gt;0,MIN(1-'Exercise list'!O$2,IF($A253=$A252,AU252,1))-Z253&lt;0),-1,MIN(1,IF($A253=$A252,AU252,1)-Z253+$D$2))</f>
        <v>1</v>
      </c>
      <c r="AV253" s="19">
        <f>IF(OR($J253=1,COUNTIFS($A$5:$A252,"&gt;="&amp;$A253-1,$A$5:$A252,"&lt;="&amp;$A253,$B$5:$B252,$B253)&gt;0,MIN(1-'Exercise list'!P$2,IF($A253=$A252,AV252,1))-AA253&lt;0),-1,MIN(1,IF($A253=$A252,AV252,1)-AA253+$D$2))</f>
        <v>1</v>
      </c>
      <c r="AW253" s="19">
        <f>IF(OR($J253=1,COUNTIFS($A$5:$A252,"&gt;="&amp;$A253-1,$A$5:$A252,"&lt;="&amp;$A253,$B$5:$B252,$B253)&gt;0,MIN(1-'Exercise list'!Q$2,IF($A253=$A252,AW252,1))-AB253&lt;0),-1,MIN(1,IF($A253=$A252,AW252,1)-AB253+$D$2))</f>
        <v>1</v>
      </c>
      <c r="AX253" s="19">
        <f>IF(OR($J253=1,COUNTIFS($A$5:$A252,"&gt;="&amp;$A253-1,$A$5:$A252,"&lt;="&amp;$A253,$B$5:$B252,$B253)&gt;0,MIN(1-'Exercise list'!R$2,IF($A253=$A252,AX252,1))-AC253&lt;0),-1,MIN(1,IF($A253=$A252,AX252,1)-AC253+$D$2))</f>
        <v>1</v>
      </c>
      <c r="AY253" s="19">
        <f>IF(OR($J253=1,COUNTIFS($A$5:$A252,"&gt;="&amp;$A253-1,$A$5:$A252,"&lt;="&amp;$A253,$B$5:$B252,$B253)&gt;0,MIN(1-'Exercise list'!S$2,IF($A253=$A252,AY252,1))-AD253&lt;0),-1,MIN(1,IF($A253=$A252,AY252,1)-AD253+$D$2))</f>
        <v>1</v>
      </c>
      <c r="AZ253" s="19">
        <f>IF(OR($J253=1,COUNTIFS($A$5:$A252,"&gt;="&amp;$A253-1,$A$5:$A252,"&lt;="&amp;$A253,$B$5:$B252,$B253)&gt;0,MIN(1-'Exercise list'!T$2,IF($A253=$A252,AZ252,1))-AE253&lt;0),-1,MIN(1,IF($A253=$A252,AZ252,1)-AE253+$D$2))</f>
        <v>1</v>
      </c>
      <c r="BA253" s="19">
        <f>IF(OR($J253=1,COUNTIFS($A$5:$A252,"&gt;="&amp;$A253-1,$A$5:$A252,"&lt;="&amp;$A253,$B$5:$B252,$B253)&gt;0,MIN(1-'Exercise list'!U$2,IF($A253=$A252,BA252,1))-AF253&lt;0),-1,MIN(1,IF($A253=$A252,BA252,1)-AF253+$D$2))</f>
        <v>1</v>
      </c>
      <c r="BB253" s="19">
        <f>IF(OR($J253=1,COUNTIFS($A$5:$A252,"&gt;="&amp;$A253-1,$A$5:$A252,"&lt;="&amp;$A253,$B$5:$B252,$B253)&gt;0,MIN(1-'Exercise list'!V$2,IF($A253=$A252,BB252,1))-AG253&lt;0),-1,MIN(1,IF($A253=$A252,BB252,1)-AG253+$D$2))</f>
        <v>1</v>
      </c>
      <c r="BC253" s="19">
        <f>IF(OR($J253=1,COUNTIFS($A$5:$A252,"&gt;="&amp;$A253-1,$A$5:$A252,"&lt;="&amp;$A253,$B$5:$B252,$B253)&gt;0,MIN(1-'Exercise list'!W$2,IF($A253=$A252,BC252,1))-AH253&lt;0),-1,MIN(1,IF($A253=$A252,BC252,1)-AH253+$D$2))</f>
        <v>1</v>
      </c>
      <c r="BD253" s="19">
        <f>IF(OR($J253=1,COUNTIFS($A$5:$A252,"&gt;="&amp;$A253-1,$A$5:$A252,"&lt;="&amp;$A253,$B$5:$B252,$B253)&gt;0,MIN(1-'Exercise list'!X$2,IF($A253=$A252,BD252,1))-AI253&lt;0),-1,MIN(1,IF($A253=$A252,BD252,1)-AI253+$D$2))</f>
        <v>1</v>
      </c>
      <c r="BE253" s="19"/>
      <c r="BF253" s="23">
        <f t="shared" si="189"/>
        <v>0.19596031081758858</v>
      </c>
      <c r="BG253" s="23">
        <f t="shared" si="190"/>
        <v>0.21844636935459236</v>
      </c>
      <c r="BH253" s="23">
        <f t="shared" si="191"/>
        <v>0.14609696635987124</v>
      </c>
      <c r="BI253" s="23">
        <f t="shared" si="192"/>
        <v>0.13198015366034541</v>
      </c>
      <c r="BJ253" s="23">
        <f t="shared" si="193"/>
        <v>8.3367914198418713E-2</v>
      </c>
      <c r="BK253" s="23">
        <f t="shared" si="194"/>
        <v>0.10640640223148412</v>
      </c>
      <c r="BL253" s="23">
        <f t="shared" si="195"/>
        <v>0.21963504743569431</v>
      </c>
      <c r="BM253" s="23">
        <f t="shared" si="196"/>
        <v>3.8988008374820568E-3</v>
      </c>
      <c r="BN253" s="23">
        <f t="shared" si="197"/>
        <v>0.14537706087090876</v>
      </c>
      <c r="BO253" s="23">
        <f t="shared" si="198"/>
        <v>0.29209790661993401</v>
      </c>
      <c r="BP253" s="23">
        <f t="shared" si="199"/>
        <v>0.31584545163401867</v>
      </c>
      <c r="BQ253" s="23">
        <f t="shared" si="200"/>
        <v>0.1000007994126096</v>
      </c>
      <c r="BR253" s="23">
        <f t="shared" si="201"/>
        <v>0.13164487759885393</v>
      </c>
      <c r="BS253" s="23">
        <f t="shared" si="202"/>
        <v>2.9803550189863123E-2</v>
      </c>
      <c r="BT253" s="23">
        <f t="shared" si="203"/>
        <v>0.13492040904978705</v>
      </c>
      <c r="BU253" s="23">
        <f t="shared" si="204"/>
        <v>0.11703687414398131</v>
      </c>
      <c r="BV253" s="23">
        <f t="shared" si="205"/>
        <v>0.14633353213781661</v>
      </c>
      <c r="BW253" s="23">
        <f t="shared" si="206"/>
        <v>7.5588015111767173E-2</v>
      </c>
      <c r="BX253" s="23">
        <f t="shared" si="207"/>
        <v>8.0345659937185704E-2</v>
      </c>
      <c r="BY253" s="23">
        <f t="shared" si="208"/>
        <v>5.9014643151272549E-2</v>
      </c>
      <c r="BZ253" s="19"/>
      <c r="CA253" s="23" t="str">
        <f t="shared" si="185"/>
        <v/>
      </c>
      <c r="CB253" s="23" t="str">
        <f t="shared" si="166"/>
        <v/>
      </c>
      <c r="CC253" s="23" t="str">
        <f t="shared" si="167"/>
        <v/>
      </c>
      <c r="CD253" s="23" t="str">
        <f t="shared" si="168"/>
        <v/>
      </c>
      <c r="CE253" s="23" t="str">
        <f t="shared" si="169"/>
        <v/>
      </c>
      <c r="CF253" s="23" t="str">
        <f t="shared" si="170"/>
        <v/>
      </c>
      <c r="CG253" s="23" t="str">
        <f t="shared" si="171"/>
        <v/>
      </c>
      <c r="CH253" s="23" t="str">
        <f t="shared" si="172"/>
        <v/>
      </c>
      <c r="CI253" s="23" t="str">
        <f t="shared" si="173"/>
        <v/>
      </c>
      <c r="CJ253" s="23" t="str">
        <f t="shared" si="174"/>
        <v/>
      </c>
      <c r="CK253" s="23" t="str">
        <f t="shared" si="175"/>
        <v/>
      </c>
      <c r="CL253" s="23" t="str">
        <f t="shared" si="176"/>
        <v/>
      </c>
      <c r="CM253" s="23" t="str">
        <f t="shared" si="177"/>
        <v/>
      </c>
      <c r="CN253" s="23" t="str">
        <f t="shared" si="178"/>
        <v/>
      </c>
      <c r="CO253" s="23" t="str">
        <f t="shared" si="179"/>
        <v/>
      </c>
      <c r="CP253" s="23" t="str">
        <f t="shared" si="180"/>
        <v/>
      </c>
      <c r="CQ253" s="23" t="str">
        <f t="shared" si="181"/>
        <v/>
      </c>
      <c r="CR253" s="23" t="str">
        <f t="shared" si="182"/>
        <v/>
      </c>
      <c r="CS253" s="23" t="str">
        <f t="shared" si="183"/>
        <v/>
      </c>
      <c r="CT253" s="23" t="str">
        <f t="shared" si="184"/>
        <v/>
      </c>
      <c r="CU253" s="19"/>
    </row>
    <row r="254" spans="1:99" x14ac:dyDescent="0.25">
      <c r="A254" s="13"/>
      <c r="B254" s="14"/>
      <c r="C254" s="15" t="str" cm="1">
        <f t="array" ref="C254">IF(B254="","",INDEX('Exercise list'!$C$5:$C$102,B254))</f>
        <v/>
      </c>
      <c r="D254" s="12" t="str">
        <f t="shared" si="186"/>
        <v/>
      </c>
      <c r="E254" s="107" t="str">
        <f t="shared" si="209"/>
        <v/>
      </c>
      <c r="F254" s="63" t="str" cm="1">
        <f t="array" ref="F254">IF(B254="","",0.1+IFERROR(INDEX($F$6:$F253,SUMPRODUCT(MAX(ROW($C$6:$C253)*($C254=$C$6:$C253))-ROW($A$5)))*0.9^($A254-INDEX($A$6:A253,SUMPRODUCT(MAX(ROW($C$6:$C253)*($C254=$C$6:$C253))-ROW($A$5)))),0))</f>
        <v/>
      </c>
      <c r="G254" s="64" t="e">
        <f>INDEX('Exercise list'!$Y$5:$Y$102,MATCH(C254,'Exercise list'!$C$5:$C$102,0))</f>
        <v>#N/A</v>
      </c>
      <c r="H254" s="115">
        <f t="shared" si="187"/>
        <v>0</v>
      </c>
      <c r="I254" s="42">
        <f t="shared" si="188"/>
        <v>5</v>
      </c>
      <c r="J254" s="6" t="str" cm="1">
        <f t="array" ref="J254">IF(B254="","",INDEX('Exercise list'!$D$5:$D$102,B254))</f>
        <v/>
      </c>
      <c r="K254" s="12"/>
      <c r="L254" s="74" t="str" cm="1">
        <f t="array" ref="L254">IF(K254="","",INDEX('Exercise list'!$C$5:$C$102,K254))</f>
        <v/>
      </c>
      <c r="M254" s="6"/>
      <c r="N254" s="75" t="str" cm="1">
        <f t="array" ref="N254">IF(M254="","",INDEX('Exercise list'!$C$5:$C$102,M254))</f>
        <v/>
      </c>
      <c r="P254">
        <f>IFERROR(INDEX('Exercise list'!$E$5:$X$102,MATCH($C254,'Exercise list'!$C$5:$C$102,0),MATCH(P$5,'Exercise list'!$E$4:$X$4,0)),0)</f>
        <v>0</v>
      </c>
      <c r="Q254">
        <f>IFERROR(INDEX('Exercise list'!$E$5:$X$102,MATCH($C254,'Exercise list'!$C$5:$C$102,0),MATCH(Q$5,'Exercise list'!$E$4:$X$4,0)),0)</f>
        <v>0</v>
      </c>
      <c r="R254">
        <f>IFERROR(INDEX('Exercise list'!$E$5:$X$102,MATCH($C254,'Exercise list'!$C$5:$C$102,0),MATCH(R$5,'Exercise list'!$E$4:$X$4,0)),0)</f>
        <v>0</v>
      </c>
      <c r="S254">
        <f>IFERROR(INDEX('Exercise list'!$E$5:$X$102,MATCH($C254,'Exercise list'!$C$5:$C$102,0),MATCH(S$5,'Exercise list'!$E$4:$X$4,0)),0)</f>
        <v>0</v>
      </c>
      <c r="T254">
        <f>IFERROR(INDEX('Exercise list'!$E$5:$X$102,MATCH($C254,'Exercise list'!$C$5:$C$102,0),MATCH(T$5,'Exercise list'!$E$4:$X$4,0)),0)</f>
        <v>0</v>
      </c>
      <c r="U254">
        <f>IFERROR(INDEX('Exercise list'!$E$5:$X$102,MATCH($C254,'Exercise list'!$C$5:$C$102,0),MATCH(U$5,'Exercise list'!$E$4:$X$4,0)),0)</f>
        <v>0</v>
      </c>
      <c r="V254">
        <f>IFERROR(INDEX('Exercise list'!$E$5:$X$102,MATCH($C254,'Exercise list'!$C$5:$C$102,0),MATCH(V$5,'Exercise list'!$E$4:$X$4,0)),0)</f>
        <v>0</v>
      </c>
      <c r="W254">
        <f>IFERROR(INDEX('Exercise list'!$E$5:$X$102,MATCH($C254,'Exercise list'!$C$5:$C$102,0),MATCH(W$5,'Exercise list'!$E$4:$X$4,0)),0)</f>
        <v>0</v>
      </c>
      <c r="X254">
        <f>IFERROR(INDEX('Exercise list'!$E$5:$X$102,MATCH($C254,'Exercise list'!$C$5:$C$102,0),MATCH(X$5,'Exercise list'!$E$4:$X$4,0)),0)</f>
        <v>0</v>
      </c>
      <c r="Y254">
        <f>IFERROR(INDEX('Exercise list'!$E$5:$X$102,MATCH($C254,'Exercise list'!$C$5:$C$102,0),MATCH(Y$5,'Exercise list'!$E$4:$X$4,0)),0)</f>
        <v>0</v>
      </c>
      <c r="Z254">
        <f>IFERROR(INDEX('Exercise list'!$E$5:$X$102,MATCH($C254,'Exercise list'!$C$5:$C$102,0),MATCH(Z$5,'Exercise list'!$E$4:$X$4,0)),0)</f>
        <v>0</v>
      </c>
      <c r="AA254">
        <f>IFERROR(INDEX('Exercise list'!$E$5:$X$102,MATCH($C254,'Exercise list'!$C$5:$C$102,0),MATCH(AA$5,'Exercise list'!$E$4:$X$4,0)),0)</f>
        <v>0</v>
      </c>
      <c r="AB254">
        <f>IFERROR(INDEX('Exercise list'!$E$5:$X$102,MATCH($C254,'Exercise list'!$C$5:$C$102,0),MATCH(AB$5,'Exercise list'!$E$4:$X$4,0)),0)</f>
        <v>0</v>
      </c>
      <c r="AC254">
        <f>IFERROR(INDEX('Exercise list'!$E$5:$X$102,MATCH($C254,'Exercise list'!$C$5:$C$102,0),MATCH(AC$5,'Exercise list'!$E$4:$X$4,0)),0)</f>
        <v>0</v>
      </c>
      <c r="AD254">
        <f>IFERROR(INDEX('Exercise list'!$E$5:$X$102,MATCH($C254,'Exercise list'!$C$5:$C$102,0),MATCH(AD$5,'Exercise list'!$E$4:$X$4,0)),0)</f>
        <v>0</v>
      </c>
      <c r="AE254">
        <f>IFERROR(INDEX('Exercise list'!$E$5:$X$102,MATCH($C254,'Exercise list'!$C$5:$C$102,0),MATCH(AE$5,'Exercise list'!$E$4:$X$4,0)),0)</f>
        <v>0</v>
      </c>
      <c r="AF254">
        <f>IFERROR(INDEX('Exercise list'!$E$5:$X$102,MATCH($C254,'Exercise list'!$C$5:$C$102,0),MATCH(AF$5,'Exercise list'!$E$4:$X$4,0)),0)</f>
        <v>0</v>
      </c>
      <c r="AG254">
        <f>IFERROR(INDEX('Exercise list'!$E$5:$X$102,MATCH($C254,'Exercise list'!$C$5:$C$102,0),MATCH(AG$5,'Exercise list'!$E$4:$X$4,0)),0)</f>
        <v>0</v>
      </c>
      <c r="AH254">
        <f>IFERROR(INDEX('Exercise list'!$E$5:$X$102,MATCH($C254,'Exercise list'!$C$5:$C$102,0),MATCH(AH$5,'Exercise list'!$E$4:$X$4,0)),0)</f>
        <v>0</v>
      </c>
      <c r="AI254">
        <f>IFERROR(INDEX('Exercise list'!$E$5:$X$102,MATCH($C254,'Exercise list'!$C$5:$C$102,0),MATCH(AI$5,'Exercise list'!$E$4:$X$4,0)),0)</f>
        <v>0</v>
      </c>
      <c r="AK254">
        <f>IF(OR($J254=1,COUNTIFS($A$5:$A253,"&gt;="&amp;$A254-1,$A$5:$A253,"&lt;="&amp;$A254,$B$5:$B253,$B254)&gt;0,MIN(1-'Exercise list'!E$2,IF($A254=$A253,AK253,1))-P254&lt;0),-1,MIN(1,IF($A254=$A253,AK253,1)-P254+$D$2))</f>
        <v>1</v>
      </c>
      <c r="AL254">
        <f>IF(OR($J254=1,COUNTIFS($A$5:$A253,"&gt;="&amp;$A254-1,$A$5:$A253,"&lt;="&amp;$A254,$B$5:$B253,$B254)&gt;0,MIN(1-'Exercise list'!F$2,IF($A254=$A253,AL253,1))-Q254&lt;0),-1,MIN(1,IF($A254=$A253,AL253,1)-Q254+$D$2))</f>
        <v>1</v>
      </c>
      <c r="AM254">
        <f>IF(OR($J254=1,COUNTIFS($A$5:$A253,"&gt;="&amp;$A254-1,$A$5:$A253,"&lt;="&amp;$A254,$B$5:$B253,$B254)&gt;0,MIN(1-'Exercise list'!G$2,IF($A254=$A253,AM253,1))-R254&lt;0),-1,MIN(1,IF($A254=$A253,AM253,1)-R254+$D$2))</f>
        <v>1</v>
      </c>
      <c r="AN254">
        <f>IF(OR($J254=1,COUNTIFS($A$5:$A253,"&gt;="&amp;$A254-1,$A$5:$A253,"&lt;="&amp;$A254,$B$5:$B253,$B254)&gt;0,MIN(1-'Exercise list'!H$2,IF($A254=$A253,AN253,1))-S254&lt;0),-1,MIN(1,IF($A254=$A253,AN253,1)-S254+$D$2))</f>
        <v>1</v>
      </c>
      <c r="AO254">
        <f>IF(OR($J254=1,COUNTIFS($A$5:$A253,"&gt;="&amp;$A254-1,$A$5:$A253,"&lt;="&amp;$A254,$B$5:$B253,$B254)&gt;0,MIN(1-'Exercise list'!I$2,IF($A254=$A253,AO253,1))-T254&lt;0),-1,MIN(1,IF($A254=$A253,AO253,1)-T254+$D$2))</f>
        <v>1</v>
      </c>
      <c r="AP254">
        <f>IF(OR($J254=1,COUNTIFS($A$5:$A253,"&gt;="&amp;$A254-1,$A$5:$A253,"&lt;="&amp;$A254,$B$5:$B253,$B254)&gt;0,MIN(1-'Exercise list'!J$2,IF($A254=$A253,AP253,1))-U254&lt;0),-1,MIN(1,IF($A254=$A253,AP253,1)-U254+$D$2))</f>
        <v>1</v>
      </c>
      <c r="AQ254">
        <f>IF(OR($J254=1,COUNTIFS($A$5:$A253,"&gt;="&amp;$A254-1,$A$5:$A253,"&lt;="&amp;$A254,$B$5:$B253,$B254)&gt;0,MIN(1-'Exercise list'!K$2,IF($A254=$A253,AQ253,1))-V254&lt;0),-1,MIN(1,IF($A254=$A253,AQ253,1)-V254+$D$2))</f>
        <v>1</v>
      </c>
      <c r="AR254">
        <f>IF(OR($J254=1,COUNTIFS($A$5:$A253,"&gt;="&amp;$A254-1,$A$5:$A253,"&lt;="&amp;$A254,$B$5:$B253,$B254)&gt;0,MIN(1-'Exercise list'!L$2,IF($A254=$A253,AR253,1))-W254&lt;0),-1,MIN(1,IF($A254=$A253,AR253,1)-W254+$D$2))</f>
        <v>1</v>
      </c>
      <c r="AS254">
        <f>IF(OR($J254=1,COUNTIFS($A$5:$A253,"&gt;="&amp;$A254-1,$A$5:$A253,"&lt;="&amp;$A254,$B$5:$B253,$B254)&gt;0,MIN(1-'Exercise list'!M$2,IF($A254=$A253,AS253,1))-X254&lt;0),-1,MIN(1,IF($A254=$A253,AS253,1)-X254+$D$2))</f>
        <v>1</v>
      </c>
      <c r="AT254">
        <f>IF(OR($J254=1,COUNTIFS($A$5:$A253,"&gt;="&amp;$A254-1,$A$5:$A253,"&lt;="&amp;$A254,$B$5:$B253,$B254)&gt;0,MIN(1-'Exercise list'!N$2,IF($A254=$A253,AT253,1))-Y254&lt;0),-1,MIN(1,IF($A254=$A253,AT253,1)-Y254+$D$2))</f>
        <v>1</v>
      </c>
      <c r="AU254">
        <f>IF(OR($J254=1,COUNTIFS($A$5:$A253,"&gt;="&amp;$A254-1,$A$5:$A253,"&lt;="&amp;$A254,$B$5:$B253,$B254)&gt;0,MIN(1-'Exercise list'!O$2,IF($A254=$A253,AU253,1))-Z254&lt;0),-1,MIN(1,IF($A254=$A253,AU253,1)-Z254+$D$2))</f>
        <v>1</v>
      </c>
      <c r="AV254">
        <f>IF(OR($J254=1,COUNTIFS($A$5:$A253,"&gt;="&amp;$A254-1,$A$5:$A253,"&lt;="&amp;$A254,$B$5:$B253,$B254)&gt;0,MIN(1-'Exercise list'!P$2,IF($A254=$A253,AV253,1))-AA254&lt;0),-1,MIN(1,IF($A254=$A253,AV253,1)-AA254+$D$2))</f>
        <v>1</v>
      </c>
      <c r="AW254">
        <f>IF(OR($J254=1,COUNTIFS($A$5:$A253,"&gt;="&amp;$A254-1,$A$5:$A253,"&lt;="&amp;$A254,$B$5:$B253,$B254)&gt;0,MIN(1-'Exercise list'!Q$2,IF($A254=$A253,AW253,1))-AB254&lt;0),-1,MIN(1,IF($A254=$A253,AW253,1)-AB254+$D$2))</f>
        <v>1</v>
      </c>
      <c r="AX254">
        <f>IF(OR($J254=1,COUNTIFS($A$5:$A253,"&gt;="&amp;$A254-1,$A$5:$A253,"&lt;="&amp;$A254,$B$5:$B253,$B254)&gt;0,MIN(1-'Exercise list'!R$2,IF($A254=$A253,AX253,1))-AC254&lt;0),-1,MIN(1,IF($A254=$A253,AX253,1)-AC254+$D$2))</f>
        <v>1</v>
      </c>
      <c r="AY254">
        <f>IF(OR($J254=1,COUNTIFS($A$5:$A253,"&gt;="&amp;$A254-1,$A$5:$A253,"&lt;="&amp;$A254,$B$5:$B253,$B254)&gt;0,MIN(1-'Exercise list'!S$2,IF($A254=$A253,AY253,1))-AD254&lt;0),-1,MIN(1,IF($A254=$A253,AY253,1)-AD254+$D$2))</f>
        <v>1</v>
      </c>
      <c r="AZ254">
        <f>IF(OR($J254=1,COUNTIFS($A$5:$A253,"&gt;="&amp;$A254-1,$A$5:$A253,"&lt;="&amp;$A254,$B$5:$B253,$B254)&gt;0,MIN(1-'Exercise list'!T$2,IF($A254=$A253,AZ253,1))-AE254&lt;0),-1,MIN(1,IF($A254=$A253,AZ253,1)-AE254+$D$2))</f>
        <v>1</v>
      </c>
      <c r="BA254">
        <f>IF(OR($J254=1,COUNTIFS($A$5:$A253,"&gt;="&amp;$A254-1,$A$5:$A253,"&lt;="&amp;$A254,$B$5:$B253,$B254)&gt;0,MIN(1-'Exercise list'!U$2,IF($A254=$A253,BA253,1))-AF254&lt;0),-1,MIN(1,IF($A254=$A253,BA253,1)-AF254+$D$2))</f>
        <v>1</v>
      </c>
      <c r="BB254">
        <f>IF(OR($J254=1,COUNTIFS($A$5:$A253,"&gt;="&amp;$A254-1,$A$5:$A253,"&lt;="&amp;$A254,$B$5:$B253,$B254)&gt;0,MIN(1-'Exercise list'!V$2,IF($A254=$A253,BB253,1))-AG254&lt;0),-1,MIN(1,IF($A254=$A253,BB253,1)-AG254+$D$2))</f>
        <v>1</v>
      </c>
      <c r="BC254">
        <f>IF(OR($J254=1,COUNTIFS($A$5:$A253,"&gt;="&amp;$A254-1,$A$5:$A253,"&lt;="&amp;$A254,$B$5:$B253,$B254)&gt;0,MIN(1-'Exercise list'!W$2,IF($A254=$A253,BC253,1))-AH254&lt;0),-1,MIN(1,IF($A254=$A253,BC253,1)-AH254+$D$2))</f>
        <v>1</v>
      </c>
      <c r="BD254">
        <f>IF(OR($J254=1,COUNTIFS($A$5:$A253,"&gt;="&amp;$A254-1,$A$5:$A253,"&lt;="&amp;$A254,$B$5:$B253,$B254)&gt;0,MIN(1-'Exercise list'!X$2,IF($A254=$A253,BD253,1))-AI254&lt;0),-1,MIN(1,IF($A254=$A253,BD253,1)-AI254+$D$2))</f>
        <v>1</v>
      </c>
      <c r="BF254" s="16">
        <f t="shared" si="189"/>
        <v>0.19596031081758858</v>
      </c>
      <c r="BG254" s="16">
        <f t="shared" si="190"/>
        <v>0.21844636935459236</v>
      </c>
      <c r="BH254" s="16">
        <f t="shared" si="191"/>
        <v>0.14609696635987124</v>
      </c>
      <c r="BI254" s="16">
        <f t="shared" si="192"/>
        <v>0.13198015366034541</v>
      </c>
      <c r="BJ254" s="16">
        <f t="shared" si="193"/>
        <v>8.3367914198418713E-2</v>
      </c>
      <c r="BK254" s="16">
        <f t="shared" si="194"/>
        <v>0.10640640223148412</v>
      </c>
      <c r="BL254" s="16">
        <f t="shared" si="195"/>
        <v>0.21963504743569431</v>
      </c>
      <c r="BM254" s="16">
        <f t="shared" si="196"/>
        <v>3.8988008374820568E-3</v>
      </c>
      <c r="BN254" s="16">
        <f t="shared" si="197"/>
        <v>0.14537706087090876</v>
      </c>
      <c r="BO254" s="16">
        <f t="shared" si="198"/>
        <v>0.29209790661993401</v>
      </c>
      <c r="BP254" s="16">
        <f t="shared" si="199"/>
        <v>0.31584545163401867</v>
      </c>
      <c r="BQ254" s="16">
        <f t="shared" si="200"/>
        <v>0.1000007994126096</v>
      </c>
      <c r="BR254" s="16">
        <f t="shared" si="201"/>
        <v>0.13164487759885393</v>
      </c>
      <c r="BS254" s="16">
        <f t="shared" si="202"/>
        <v>2.9803550189863123E-2</v>
      </c>
      <c r="BT254" s="16">
        <f t="shared" si="203"/>
        <v>0.13492040904978705</v>
      </c>
      <c r="BU254" s="16">
        <f t="shared" si="204"/>
        <v>0.11703687414398131</v>
      </c>
      <c r="BV254" s="16">
        <f t="shared" si="205"/>
        <v>0.14633353213781661</v>
      </c>
      <c r="BW254" s="16">
        <f t="shared" si="206"/>
        <v>7.5588015111767173E-2</v>
      </c>
      <c r="BX254" s="16">
        <f t="shared" si="207"/>
        <v>8.0345659937185704E-2</v>
      </c>
      <c r="BY254" s="16">
        <f t="shared" si="208"/>
        <v>5.9014643151272549E-2</v>
      </c>
      <c r="CA254" s="16" t="str">
        <f t="shared" si="185"/>
        <v/>
      </c>
      <c r="CB254" s="16" t="str">
        <f t="shared" si="166"/>
        <v/>
      </c>
      <c r="CC254" s="16" t="str">
        <f t="shared" si="167"/>
        <v/>
      </c>
      <c r="CD254" s="16" t="str">
        <f t="shared" si="168"/>
        <v/>
      </c>
      <c r="CE254" s="16" t="str">
        <f t="shared" si="169"/>
        <v/>
      </c>
      <c r="CF254" s="16" t="str">
        <f t="shared" si="170"/>
        <v/>
      </c>
      <c r="CG254" s="16" t="str">
        <f t="shared" si="171"/>
        <v/>
      </c>
      <c r="CH254" s="16" t="str">
        <f t="shared" si="172"/>
        <v/>
      </c>
      <c r="CI254" s="16" t="str">
        <f t="shared" si="173"/>
        <v/>
      </c>
      <c r="CJ254" s="16" t="str">
        <f t="shared" si="174"/>
        <v/>
      </c>
      <c r="CK254" s="16" t="str">
        <f t="shared" si="175"/>
        <v/>
      </c>
      <c r="CL254" s="16" t="str">
        <f t="shared" si="176"/>
        <v/>
      </c>
      <c r="CM254" s="16" t="str">
        <f t="shared" si="177"/>
        <v/>
      </c>
      <c r="CN254" s="16" t="str">
        <f t="shared" si="178"/>
        <v/>
      </c>
      <c r="CO254" s="16" t="str">
        <f t="shared" si="179"/>
        <v/>
      </c>
      <c r="CP254" s="16" t="str">
        <f t="shared" si="180"/>
        <v/>
      </c>
      <c r="CQ254" s="16" t="str">
        <f t="shared" si="181"/>
        <v/>
      </c>
      <c r="CR254" s="16" t="str">
        <f t="shared" si="182"/>
        <v/>
      </c>
      <c r="CS254" s="16" t="str">
        <f t="shared" si="183"/>
        <v/>
      </c>
      <c r="CT254" s="16" t="str">
        <f t="shared" si="184"/>
        <v/>
      </c>
    </row>
    <row r="255" spans="1:99" x14ac:dyDescent="0.25">
      <c r="A255" s="13"/>
      <c r="B255" s="14"/>
      <c r="C255" s="15" t="str" cm="1">
        <f t="array" ref="C255">IF(B255="","",INDEX('Exercise list'!$C$5:$C$102,B255))</f>
        <v/>
      </c>
      <c r="D255" s="12" t="str">
        <f t="shared" si="186"/>
        <v/>
      </c>
      <c r="E255" s="107" t="str">
        <f t="shared" si="209"/>
        <v/>
      </c>
      <c r="F255" s="63" t="str" cm="1">
        <f t="array" ref="F255">IF(B255="","",0.1+IFERROR(INDEX($F$6:$F254,SUMPRODUCT(MAX(ROW($C$6:$C254)*($C255=$C$6:$C254))-ROW($A$5)))*0.9^($A255-INDEX($A$6:A254,SUMPRODUCT(MAX(ROW($C$6:$C254)*($C255=$C$6:$C254))-ROW($A$5)))),0))</f>
        <v/>
      </c>
      <c r="G255" s="64" t="e">
        <f>INDEX('Exercise list'!$Y$5:$Y$102,MATCH(C255,'Exercise list'!$C$5:$C$102,0))</f>
        <v>#N/A</v>
      </c>
      <c r="H255" s="115">
        <f t="shared" si="187"/>
        <v>0</v>
      </c>
      <c r="I255" s="6">
        <f t="shared" si="188"/>
        <v>5</v>
      </c>
      <c r="J255" s="6" t="str" cm="1">
        <f t="array" ref="J255">IF(B255="","",INDEX('Exercise list'!$D$5:$D$102,B255))</f>
        <v/>
      </c>
      <c r="K255" s="12"/>
      <c r="L255" s="74" t="str" cm="1">
        <f t="array" ref="L255">IF(K255="","",INDEX('Exercise list'!$C$5:$C$102,K255))</f>
        <v/>
      </c>
      <c r="M255" s="6"/>
      <c r="N255" s="75" t="str" cm="1">
        <f t="array" ref="N255">IF(M255="","",INDEX('Exercise list'!$C$5:$C$102,M255))</f>
        <v/>
      </c>
      <c r="P255">
        <f>IFERROR(INDEX('Exercise list'!$E$5:$X$102,MATCH($C255,'Exercise list'!$C$5:$C$102,0),MATCH(P$5,'Exercise list'!$E$4:$X$4,0)),0)</f>
        <v>0</v>
      </c>
      <c r="Q255">
        <f>IFERROR(INDEX('Exercise list'!$E$5:$X$102,MATCH($C255,'Exercise list'!$C$5:$C$102,0),MATCH(Q$5,'Exercise list'!$E$4:$X$4,0)),0)</f>
        <v>0</v>
      </c>
      <c r="R255">
        <f>IFERROR(INDEX('Exercise list'!$E$5:$X$102,MATCH($C255,'Exercise list'!$C$5:$C$102,0),MATCH(R$5,'Exercise list'!$E$4:$X$4,0)),0)</f>
        <v>0</v>
      </c>
      <c r="S255">
        <f>IFERROR(INDEX('Exercise list'!$E$5:$X$102,MATCH($C255,'Exercise list'!$C$5:$C$102,0),MATCH(S$5,'Exercise list'!$E$4:$X$4,0)),0)</f>
        <v>0</v>
      </c>
      <c r="T255">
        <f>IFERROR(INDEX('Exercise list'!$E$5:$X$102,MATCH($C255,'Exercise list'!$C$5:$C$102,0),MATCH(T$5,'Exercise list'!$E$4:$X$4,0)),0)</f>
        <v>0</v>
      </c>
      <c r="U255">
        <f>IFERROR(INDEX('Exercise list'!$E$5:$X$102,MATCH($C255,'Exercise list'!$C$5:$C$102,0),MATCH(U$5,'Exercise list'!$E$4:$X$4,0)),0)</f>
        <v>0</v>
      </c>
      <c r="V255">
        <f>IFERROR(INDEX('Exercise list'!$E$5:$X$102,MATCH($C255,'Exercise list'!$C$5:$C$102,0),MATCH(V$5,'Exercise list'!$E$4:$X$4,0)),0)</f>
        <v>0</v>
      </c>
      <c r="W255">
        <f>IFERROR(INDEX('Exercise list'!$E$5:$X$102,MATCH($C255,'Exercise list'!$C$5:$C$102,0),MATCH(W$5,'Exercise list'!$E$4:$X$4,0)),0)</f>
        <v>0</v>
      </c>
      <c r="X255">
        <f>IFERROR(INDEX('Exercise list'!$E$5:$X$102,MATCH($C255,'Exercise list'!$C$5:$C$102,0),MATCH(X$5,'Exercise list'!$E$4:$X$4,0)),0)</f>
        <v>0</v>
      </c>
      <c r="Y255">
        <f>IFERROR(INDEX('Exercise list'!$E$5:$X$102,MATCH($C255,'Exercise list'!$C$5:$C$102,0),MATCH(Y$5,'Exercise list'!$E$4:$X$4,0)),0)</f>
        <v>0</v>
      </c>
      <c r="Z255">
        <f>IFERROR(INDEX('Exercise list'!$E$5:$X$102,MATCH($C255,'Exercise list'!$C$5:$C$102,0),MATCH(Z$5,'Exercise list'!$E$4:$X$4,0)),0)</f>
        <v>0</v>
      </c>
      <c r="AA255">
        <f>IFERROR(INDEX('Exercise list'!$E$5:$X$102,MATCH($C255,'Exercise list'!$C$5:$C$102,0),MATCH(AA$5,'Exercise list'!$E$4:$X$4,0)),0)</f>
        <v>0</v>
      </c>
      <c r="AB255">
        <f>IFERROR(INDEX('Exercise list'!$E$5:$X$102,MATCH($C255,'Exercise list'!$C$5:$C$102,0),MATCH(AB$5,'Exercise list'!$E$4:$X$4,0)),0)</f>
        <v>0</v>
      </c>
      <c r="AC255">
        <f>IFERROR(INDEX('Exercise list'!$E$5:$X$102,MATCH($C255,'Exercise list'!$C$5:$C$102,0),MATCH(AC$5,'Exercise list'!$E$4:$X$4,0)),0)</f>
        <v>0</v>
      </c>
      <c r="AD255">
        <f>IFERROR(INDEX('Exercise list'!$E$5:$X$102,MATCH($C255,'Exercise list'!$C$5:$C$102,0),MATCH(AD$5,'Exercise list'!$E$4:$X$4,0)),0)</f>
        <v>0</v>
      </c>
      <c r="AE255">
        <f>IFERROR(INDEX('Exercise list'!$E$5:$X$102,MATCH($C255,'Exercise list'!$C$5:$C$102,0),MATCH(AE$5,'Exercise list'!$E$4:$X$4,0)),0)</f>
        <v>0</v>
      </c>
      <c r="AF255">
        <f>IFERROR(INDEX('Exercise list'!$E$5:$X$102,MATCH($C255,'Exercise list'!$C$5:$C$102,0),MATCH(AF$5,'Exercise list'!$E$4:$X$4,0)),0)</f>
        <v>0</v>
      </c>
      <c r="AG255">
        <f>IFERROR(INDEX('Exercise list'!$E$5:$X$102,MATCH($C255,'Exercise list'!$C$5:$C$102,0),MATCH(AG$5,'Exercise list'!$E$4:$X$4,0)),0)</f>
        <v>0</v>
      </c>
      <c r="AH255">
        <f>IFERROR(INDEX('Exercise list'!$E$5:$X$102,MATCH($C255,'Exercise list'!$C$5:$C$102,0),MATCH(AH$5,'Exercise list'!$E$4:$X$4,0)),0)</f>
        <v>0</v>
      </c>
      <c r="AI255">
        <f>IFERROR(INDEX('Exercise list'!$E$5:$X$102,MATCH($C255,'Exercise list'!$C$5:$C$102,0),MATCH(AI$5,'Exercise list'!$E$4:$X$4,0)),0)</f>
        <v>0</v>
      </c>
      <c r="AK255">
        <f>IF(OR($J255=1,COUNTIFS($A$5:$A254,"&gt;="&amp;$A255-1,$A$5:$A254,"&lt;="&amp;$A255,$B$5:$B254,$B255)&gt;0,MIN(1-'Exercise list'!E$2,IF($A255=$A254,AK254,1))-P255&lt;0),-1,MIN(1,IF($A255=$A254,AK254,1)-P255+$D$2))</f>
        <v>1</v>
      </c>
      <c r="AL255">
        <f>IF(OR($J255=1,COUNTIFS($A$5:$A254,"&gt;="&amp;$A255-1,$A$5:$A254,"&lt;="&amp;$A255,$B$5:$B254,$B255)&gt;0,MIN(1-'Exercise list'!F$2,IF($A255=$A254,AL254,1))-Q255&lt;0),-1,MIN(1,IF($A255=$A254,AL254,1)-Q255+$D$2))</f>
        <v>1</v>
      </c>
      <c r="AM255">
        <f>IF(OR($J255=1,COUNTIFS($A$5:$A254,"&gt;="&amp;$A255-1,$A$5:$A254,"&lt;="&amp;$A255,$B$5:$B254,$B255)&gt;0,MIN(1-'Exercise list'!G$2,IF($A255=$A254,AM254,1))-R255&lt;0),-1,MIN(1,IF($A255=$A254,AM254,1)-R255+$D$2))</f>
        <v>1</v>
      </c>
      <c r="AN255">
        <f>IF(OR($J255=1,COUNTIFS($A$5:$A254,"&gt;="&amp;$A255-1,$A$5:$A254,"&lt;="&amp;$A255,$B$5:$B254,$B255)&gt;0,MIN(1-'Exercise list'!H$2,IF($A255=$A254,AN254,1))-S255&lt;0),-1,MIN(1,IF($A255=$A254,AN254,1)-S255+$D$2))</f>
        <v>1</v>
      </c>
      <c r="AO255">
        <f>IF(OR($J255=1,COUNTIFS($A$5:$A254,"&gt;="&amp;$A255-1,$A$5:$A254,"&lt;="&amp;$A255,$B$5:$B254,$B255)&gt;0,MIN(1-'Exercise list'!I$2,IF($A255=$A254,AO254,1))-T255&lt;0),-1,MIN(1,IF($A255=$A254,AO254,1)-T255+$D$2))</f>
        <v>1</v>
      </c>
      <c r="AP255">
        <f>IF(OR($J255=1,COUNTIFS($A$5:$A254,"&gt;="&amp;$A255-1,$A$5:$A254,"&lt;="&amp;$A255,$B$5:$B254,$B255)&gt;0,MIN(1-'Exercise list'!J$2,IF($A255=$A254,AP254,1))-U255&lt;0),-1,MIN(1,IF($A255=$A254,AP254,1)-U255+$D$2))</f>
        <v>1</v>
      </c>
      <c r="AQ255">
        <f>IF(OR($J255=1,COUNTIFS($A$5:$A254,"&gt;="&amp;$A255-1,$A$5:$A254,"&lt;="&amp;$A255,$B$5:$B254,$B255)&gt;0,MIN(1-'Exercise list'!K$2,IF($A255=$A254,AQ254,1))-V255&lt;0),-1,MIN(1,IF($A255=$A254,AQ254,1)-V255+$D$2))</f>
        <v>1</v>
      </c>
      <c r="AR255">
        <f>IF(OR($J255=1,COUNTIFS($A$5:$A254,"&gt;="&amp;$A255-1,$A$5:$A254,"&lt;="&amp;$A255,$B$5:$B254,$B255)&gt;0,MIN(1-'Exercise list'!L$2,IF($A255=$A254,AR254,1))-W255&lt;0),-1,MIN(1,IF($A255=$A254,AR254,1)-W255+$D$2))</f>
        <v>1</v>
      </c>
      <c r="AS255">
        <f>IF(OR($J255=1,COUNTIFS($A$5:$A254,"&gt;="&amp;$A255-1,$A$5:$A254,"&lt;="&amp;$A255,$B$5:$B254,$B255)&gt;0,MIN(1-'Exercise list'!M$2,IF($A255=$A254,AS254,1))-X255&lt;0),-1,MIN(1,IF($A255=$A254,AS254,1)-X255+$D$2))</f>
        <v>1</v>
      </c>
      <c r="AT255">
        <f>IF(OR($J255=1,COUNTIFS($A$5:$A254,"&gt;="&amp;$A255-1,$A$5:$A254,"&lt;="&amp;$A255,$B$5:$B254,$B255)&gt;0,MIN(1-'Exercise list'!N$2,IF($A255=$A254,AT254,1))-Y255&lt;0),-1,MIN(1,IF($A255=$A254,AT254,1)-Y255+$D$2))</f>
        <v>1</v>
      </c>
      <c r="AU255">
        <f>IF(OR($J255=1,COUNTIFS($A$5:$A254,"&gt;="&amp;$A255-1,$A$5:$A254,"&lt;="&amp;$A255,$B$5:$B254,$B255)&gt;0,MIN(1-'Exercise list'!O$2,IF($A255=$A254,AU254,1))-Z255&lt;0),-1,MIN(1,IF($A255=$A254,AU254,1)-Z255+$D$2))</f>
        <v>1</v>
      </c>
      <c r="AV255">
        <f>IF(OR($J255=1,COUNTIFS($A$5:$A254,"&gt;="&amp;$A255-1,$A$5:$A254,"&lt;="&amp;$A255,$B$5:$B254,$B255)&gt;0,MIN(1-'Exercise list'!P$2,IF($A255=$A254,AV254,1))-AA255&lt;0),-1,MIN(1,IF($A255=$A254,AV254,1)-AA255+$D$2))</f>
        <v>1</v>
      </c>
      <c r="AW255">
        <f>IF(OR($J255=1,COUNTIFS($A$5:$A254,"&gt;="&amp;$A255-1,$A$5:$A254,"&lt;="&amp;$A255,$B$5:$B254,$B255)&gt;0,MIN(1-'Exercise list'!Q$2,IF($A255=$A254,AW254,1))-AB255&lt;0),-1,MIN(1,IF($A255=$A254,AW254,1)-AB255+$D$2))</f>
        <v>1</v>
      </c>
      <c r="AX255">
        <f>IF(OR($J255=1,COUNTIFS($A$5:$A254,"&gt;="&amp;$A255-1,$A$5:$A254,"&lt;="&amp;$A255,$B$5:$B254,$B255)&gt;0,MIN(1-'Exercise list'!R$2,IF($A255=$A254,AX254,1))-AC255&lt;0),-1,MIN(1,IF($A255=$A254,AX254,1)-AC255+$D$2))</f>
        <v>1</v>
      </c>
      <c r="AY255">
        <f>IF(OR($J255=1,COUNTIFS($A$5:$A254,"&gt;="&amp;$A255-1,$A$5:$A254,"&lt;="&amp;$A255,$B$5:$B254,$B255)&gt;0,MIN(1-'Exercise list'!S$2,IF($A255=$A254,AY254,1))-AD255&lt;0),-1,MIN(1,IF($A255=$A254,AY254,1)-AD255+$D$2))</f>
        <v>1</v>
      </c>
      <c r="AZ255">
        <f>IF(OR($J255=1,COUNTIFS($A$5:$A254,"&gt;="&amp;$A255-1,$A$5:$A254,"&lt;="&amp;$A255,$B$5:$B254,$B255)&gt;0,MIN(1-'Exercise list'!T$2,IF($A255=$A254,AZ254,1))-AE255&lt;0),-1,MIN(1,IF($A255=$A254,AZ254,1)-AE255+$D$2))</f>
        <v>1</v>
      </c>
      <c r="BA255">
        <f>IF(OR($J255=1,COUNTIFS($A$5:$A254,"&gt;="&amp;$A255-1,$A$5:$A254,"&lt;="&amp;$A255,$B$5:$B254,$B255)&gt;0,MIN(1-'Exercise list'!U$2,IF($A255=$A254,BA254,1))-AF255&lt;0),-1,MIN(1,IF($A255=$A254,BA254,1)-AF255+$D$2))</f>
        <v>1</v>
      </c>
      <c r="BB255">
        <f>IF(OR($J255=1,COUNTIFS($A$5:$A254,"&gt;="&amp;$A255-1,$A$5:$A254,"&lt;="&amp;$A255,$B$5:$B254,$B255)&gt;0,MIN(1-'Exercise list'!V$2,IF($A255=$A254,BB254,1))-AG255&lt;0),-1,MIN(1,IF($A255=$A254,BB254,1)-AG255+$D$2))</f>
        <v>1</v>
      </c>
      <c r="BC255">
        <f>IF(OR($J255=1,COUNTIFS($A$5:$A254,"&gt;="&amp;$A255-1,$A$5:$A254,"&lt;="&amp;$A255,$B$5:$B254,$B255)&gt;0,MIN(1-'Exercise list'!W$2,IF($A255=$A254,BC254,1))-AH255&lt;0),-1,MIN(1,IF($A255=$A254,BC254,1)-AH255+$D$2))</f>
        <v>1</v>
      </c>
      <c r="BD255">
        <f>IF(OR($J255=1,COUNTIFS($A$5:$A254,"&gt;="&amp;$A255-1,$A$5:$A254,"&lt;="&amp;$A255,$B$5:$B254,$B255)&gt;0,MIN(1-'Exercise list'!X$2,IF($A255=$A254,BD254,1))-AI255&lt;0),-1,MIN(1,IF($A255=$A254,BD254,1)-AI255+$D$2))</f>
        <v>1</v>
      </c>
      <c r="BF255" s="16">
        <f t="shared" si="189"/>
        <v>0.19596031081758858</v>
      </c>
      <c r="BG255" s="16">
        <f t="shared" si="190"/>
        <v>0.21844636935459236</v>
      </c>
      <c r="BH255" s="16">
        <f t="shared" si="191"/>
        <v>0.14609696635987124</v>
      </c>
      <c r="BI255" s="16">
        <f t="shared" si="192"/>
        <v>0.13198015366034541</v>
      </c>
      <c r="BJ255" s="16">
        <f t="shared" si="193"/>
        <v>8.3367914198418713E-2</v>
      </c>
      <c r="BK255" s="16">
        <f t="shared" si="194"/>
        <v>0.10640640223148412</v>
      </c>
      <c r="BL255" s="16">
        <f t="shared" si="195"/>
        <v>0.21963504743569431</v>
      </c>
      <c r="BM255" s="16">
        <f t="shared" si="196"/>
        <v>3.8988008374820568E-3</v>
      </c>
      <c r="BN255" s="16">
        <f t="shared" si="197"/>
        <v>0.14537706087090876</v>
      </c>
      <c r="BO255" s="16">
        <f t="shared" si="198"/>
        <v>0.29209790661993401</v>
      </c>
      <c r="BP255" s="16">
        <f t="shared" si="199"/>
        <v>0.31584545163401867</v>
      </c>
      <c r="BQ255" s="16">
        <f t="shared" si="200"/>
        <v>0.1000007994126096</v>
      </c>
      <c r="BR255" s="16">
        <f t="shared" si="201"/>
        <v>0.13164487759885393</v>
      </c>
      <c r="BS255" s="16">
        <f t="shared" si="202"/>
        <v>2.9803550189863123E-2</v>
      </c>
      <c r="BT255" s="16">
        <f t="shared" si="203"/>
        <v>0.13492040904978705</v>
      </c>
      <c r="BU255" s="16">
        <f t="shared" si="204"/>
        <v>0.11703687414398131</v>
      </c>
      <c r="BV255" s="16">
        <f t="shared" si="205"/>
        <v>0.14633353213781661</v>
      </c>
      <c r="BW255" s="16">
        <f t="shared" si="206"/>
        <v>7.5588015111767173E-2</v>
      </c>
      <c r="BX255" s="16">
        <f t="shared" si="207"/>
        <v>8.0345659937185704E-2</v>
      </c>
      <c r="BY255" s="16">
        <f t="shared" si="208"/>
        <v>5.9014643151272549E-2</v>
      </c>
      <c r="CA255" s="16" t="str">
        <f t="shared" si="185"/>
        <v/>
      </c>
      <c r="CB255" s="16" t="str">
        <f t="shared" si="166"/>
        <v/>
      </c>
      <c r="CC255" s="16" t="str">
        <f t="shared" si="167"/>
        <v/>
      </c>
      <c r="CD255" s="16" t="str">
        <f t="shared" si="168"/>
        <v/>
      </c>
      <c r="CE255" s="16" t="str">
        <f t="shared" si="169"/>
        <v/>
      </c>
      <c r="CF255" s="16" t="str">
        <f t="shared" si="170"/>
        <v/>
      </c>
      <c r="CG255" s="16" t="str">
        <f t="shared" si="171"/>
        <v/>
      </c>
      <c r="CH255" s="16" t="str">
        <f t="shared" si="172"/>
        <v/>
      </c>
      <c r="CI255" s="16" t="str">
        <f t="shared" si="173"/>
        <v/>
      </c>
      <c r="CJ255" s="16" t="str">
        <f t="shared" si="174"/>
        <v/>
      </c>
      <c r="CK255" s="16" t="str">
        <f t="shared" si="175"/>
        <v/>
      </c>
      <c r="CL255" s="16" t="str">
        <f t="shared" si="176"/>
        <v/>
      </c>
      <c r="CM255" s="16" t="str">
        <f t="shared" si="177"/>
        <v/>
      </c>
      <c r="CN255" s="16" t="str">
        <f t="shared" si="178"/>
        <v/>
      </c>
      <c r="CO255" s="16" t="str">
        <f t="shared" si="179"/>
        <v/>
      </c>
      <c r="CP255" s="16" t="str">
        <f t="shared" si="180"/>
        <v/>
      </c>
      <c r="CQ255" s="16" t="str">
        <f t="shared" si="181"/>
        <v/>
      </c>
      <c r="CR255" s="16" t="str">
        <f t="shared" si="182"/>
        <v/>
      </c>
      <c r="CS255" s="16" t="str">
        <f t="shared" si="183"/>
        <v/>
      </c>
      <c r="CT255" s="16" t="str">
        <f t="shared" si="184"/>
        <v/>
      </c>
    </row>
    <row r="256" spans="1:99" x14ac:dyDescent="0.25">
      <c r="A256" s="13"/>
      <c r="B256" s="14"/>
      <c r="C256" s="15" t="str" cm="1">
        <f t="array" ref="C256">IF(B256="","",INDEX('Exercise list'!$C$5:$C$102,B256))</f>
        <v/>
      </c>
      <c r="D256" s="12" t="str">
        <f t="shared" si="186"/>
        <v/>
      </c>
      <c r="E256" s="107" t="str">
        <f t="shared" si="209"/>
        <v/>
      </c>
      <c r="F256" s="63" t="str" cm="1">
        <f t="array" ref="F256">IF(B256="","",0.1+IFERROR(INDEX($F$6:$F255,SUMPRODUCT(MAX(ROW($C$6:$C255)*($C256=$C$6:$C255))-ROW($A$5)))*0.9^($A256-INDEX($A$6:A255,SUMPRODUCT(MAX(ROW($C$6:$C255)*($C256=$C$6:$C255))-ROW($A$5)))),0))</f>
        <v/>
      </c>
      <c r="G256" s="64" t="e">
        <f>INDEX('Exercise list'!$Y$5:$Y$102,MATCH(C256,'Exercise list'!$C$5:$C$102,0))</f>
        <v>#N/A</v>
      </c>
      <c r="H256" s="115">
        <f t="shared" si="187"/>
        <v>0</v>
      </c>
      <c r="I256" s="6">
        <f t="shared" si="188"/>
        <v>5</v>
      </c>
      <c r="J256" s="6" t="str" cm="1">
        <f t="array" ref="J256">IF(B256="","",INDEX('Exercise list'!$D$5:$D$102,B256))</f>
        <v/>
      </c>
      <c r="K256" s="12"/>
      <c r="L256" s="74" t="str" cm="1">
        <f t="array" ref="L256">IF(K256="","",INDEX('Exercise list'!$C$5:$C$102,K256))</f>
        <v/>
      </c>
      <c r="M256" s="6"/>
      <c r="N256" s="75" t="str" cm="1">
        <f t="array" ref="N256">IF(M256="","",INDEX('Exercise list'!$C$5:$C$102,M256))</f>
        <v/>
      </c>
      <c r="P256">
        <f>IFERROR(INDEX('Exercise list'!$E$5:$X$102,MATCH($C256,'Exercise list'!$C$5:$C$102,0),MATCH(P$5,'Exercise list'!$E$4:$X$4,0)),0)</f>
        <v>0</v>
      </c>
      <c r="Q256">
        <f>IFERROR(INDEX('Exercise list'!$E$5:$X$102,MATCH($C256,'Exercise list'!$C$5:$C$102,0),MATCH(Q$5,'Exercise list'!$E$4:$X$4,0)),0)</f>
        <v>0</v>
      </c>
      <c r="R256">
        <f>IFERROR(INDEX('Exercise list'!$E$5:$X$102,MATCH($C256,'Exercise list'!$C$5:$C$102,0),MATCH(R$5,'Exercise list'!$E$4:$X$4,0)),0)</f>
        <v>0</v>
      </c>
      <c r="S256">
        <f>IFERROR(INDEX('Exercise list'!$E$5:$X$102,MATCH($C256,'Exercise list'!$C$5:$C$102,0),MATCH(S$5,'Exercise list'!$E$4:$X$4,0)),0)</f>
        <v>0</v>
      </c>
      <c r="T256">
        <f>IFERROR(INDEX('Exercise list'!$E$5:$X$102,MATCH($C256,'Exercise list'!$C$5:$C$102,0),MATCH(T$5,'Exercise list'!$E$4:$X$4,0)),0)</f>
        <v>0</v>
      </c>
      <c r="U256">
        <f>IFERROR(INDEX('Exercise list'!$E$5:$X$102,MATCH($C256,'Exercise list'!$C$5:$C$102,0),MATCH(U$5,'Exercise list'!$E$4:$X$4,0)),0)</f>
        <v>0</v>
      </c>
      <c r="V256">
        <f>IFERROR(INDEX('Exercise list'!$E$5:$X$102,MATCH($C256,'Exercise list'!$C$5:$C$102,0),MATCH(V$5,'Exercise list'!$E$4:$X$4,0)),0)</f>
        <v>0</v>
      </c>
      <c r="W256">
        <f>IFERROR(INDEX('Exercise list'!$E$5:$X$102,MATCH($C256,'Exercise list'!$C$5:$C$102,0),MATCH(W$5,'Exercise list'!$E$4:$X$4,0)),0)</f>
        <v>0</v>
      </c>
      <c r="X256">
        <f>IFERROR(INDEX('Exercise list'!$E$5:$X$102,MATCH($C256,'Exercise list'!$C$5:$C$102,0),MATCH(X$5,'Exercise list'!$E$4:$X$4,0)),0)</f>
        <v>0</v>
      </c>
      <c r="Y256">
        <f>IFERROR(INDEX('Exercise list'!$E$5:$X$102,MATCH($C256,'Exercise list'!$C$5:$C$102,0),MATCH(Y$5,'Exercise list'!$E$4:$X$4,0)),0)</f>
        <v>0</v>
      </c>
      <c r="Z256">
        <f>IFERROR(INDEX('Exercise list'!$E$5:$X$102,MATCH($C256,'Exercise list'!$C$5:$C$102,0),MATCH(Z$5,'Exercise list'!$E$4:$X$4,0)),0)</f>
        <v>0</v>
      </c>
      <c r="AA256">
        <f>IFERROR(INDEX('Exercise list'!$E$5:$X$102,MATCH($C256,'Exercise list'!$C$5:$C$102,0),MATCH(AA$5,'Exercise list'!$E$4:$X$4,0)),0)</f>
        <v>0</v>
      </c>
      <c r="AB256">
        <f>IFERROR(INDEX('Exercise list'!$E$5:$X$102,MATCH($C256,'Exercise list'!$C$5:$C$102,0),MATCH(AB$5,'Exercise list'!$E$4:$X$4,0)),0)</f>
        <v>0</v>
      </c>
      <c r="AC256">
        <f>IFERROR(INDEX('Exercise list'!$E$5:$X$102,MATCH($C256,'Exercise list'!$C$5:$C$102,0),MATCH(AC$5,'Exercise list'!$E$4:$X$4,0)),0)</f>
        <v>0</v>
      </c>
      <c r="AD256">
        <f>IFERROR(INDEX('Exercise list'!$E$5:$X$102,MATCH($C256,'Exercise list'!$C$5:$C$102,0),MATCH(AD$5,'Exercise list'!$E$4:$X$4,0)),0)</f>
        <v>0</v>
      </c>
      <c r="AE256">
        <f>IFERROR(INDEX('Exercise list'!$E$5:$X$102,MATCH($C256,'Exercise list'!$C$5:$C$102,0),MATCH(AE$5,'Exercise list'!$E$4:$X$4,0)),0)</f>
        <v>0</v>
      </c>
      <c r="AF256">
        <f>IFERROR(INDEX('Exercise list'!$E$5:$X$102,MATCH($C256,'Exercise list'!$C$5:$C$102,0),MATCH(AF$5,'Exercise list'!$E$4:$X$4,0)),0)</f>
        <v>0</v>
      </c>
      <c r="AG256">
        <f>IFERROR(INDEX('Exercise list'!$E$5:$X$102,MATCH($C256,'Exercise list'!$C$5:$C$102,0),MATCH(AG$5,'Exercise list'!$E$4:$X$4,0)),0)</f>
        <v>0</v>
      </c>
      <c r="AH256">
        <f>IFERROR(INDEX('Exercise list'!$E$5:$X$102,MATCH($C256,'Exercise list'!$C$5:$C$102,0),MATCH(AH$5,'Exercise list'!$E$4:$X$4,0)),0)</f>
        <v>0</v>
      </c>
      <c r="AI256">
        <f>IFERROR(INDEX('Exercise list'!$E$5:$X$102,MATCH($C256,'Exercise list'!$C$5:$C$102,0),MATCH(AI$5,'Exercise list'!$E$4:$X$4,0)),0)</f>
        <v>0</v>
      </c>
      <c r="AK256">
        <f>IF(OR($J256=1,COUNTIFS($A$5:$A255,"&gt;="&amp;$A256-1,$A$5:$A255,"&lt;="&amp;$A256,$B$5:$B255,$B256)&gt;0,MIN(1-'Exercise list'!E$2,IF($A256=$A255,AK255,1))-P256&lt;0),-1,MIN(1,IF($A256=$A255,AK255,1)-P256+$D$2))</f>
        <v>1</v>
      </c>
      <c r="AL256">
        <f>IF(OR($J256=1,COUNTIFS($A$5:$A255,"&gt;="&amp;$A256-1,$A$5:$A255,"&lt;="&amp;$A256,$B$5:$B255,$B256)&gt;0,MIN(1-'Exercise list'!F$2,IF($A256=$A255,AL255,1))-Q256&lt;0),-1,MIN(1,IF($A256=$A255,AL255,1)-Q256+$D$2))</f>
        <v>1</v>
      </c>
      <c r="AM256">
        <f>IF(OR($J256=1,COUNTIFS($A$5:$A255,"&gt;="&amp;$A256-1,$A$5:$A255,"&lt;="&amp;$A256,$B$5:$B255,$B256)&gt;0,MIN(1-'Exercise list'!G$2,IF($A256=$A255,AM255,1))-R256&lt;0),-1,MIN(1,IF($A256=$A255,AM255,1)-R256+$D$2))</f>
        <v>1</v>
      </c>
      <c r="AN256">
        <f>IF(OR($J256=1,COUNTIFS($A$5:$A255,"&gt;="&amp;$A256-1,$A$5:$A255,"&lt;="&amp;$A256,$B$5:$B255,$B256)&gt;0,MIN(1-'Exercise list'!H$2,IF($A256=$A255,AN255,1))-S256&lt;0),-1,MIN(1,IF($A256=$A255,AN255,1)-S256+$D$2))</f>
        <v>1</v>
      </c>
      <c r="AO256">
        <f>IF(OR($J256=1,COUNTIFS($A$5:$A255,"&gt;="&amp;$A256-1,$A$5:$A255,"&lt;="&amp;$A256,$B$5:$B255,$B256)&gt;0,MIN(1-'Exercise list'!I$2,IF($A256=$A255,AO255,1))-T256&lt;0),-1,MIN(1,IF($A256=$A255,AO255,1)-T256+$D$2))</f>
        <v>1</v>
      </c>
      <c r="AP256">
        <f>IF(OR($J256=1,COUNTIFS($A$5:$A255,"&gt;="&amp;$A256-1,$A$5:$A255,"&lt;="&amp;$A256,$B$5:$B255,$B256)&gt;0,MIN(1-'Exercise list'!J$2,IF($A256=$A255,AP255,1))-U256&lt;0),-1,MIN(1,IF($A256=$A255,AP255,1)-U256+$D$2))</f>
        <v>1</v>
      </c>
      <c r="AQ256">
        <f>IF(OR($J256=1,COUNTIFS($A$5:$A255,"&gt;="&amp;$A256-1,$A$5:$A255,"&lt;="&amp;$A256,$B$5:$B255,$B256)&gt;0,MIN(1-'Exercise list'!K$2,IF($A256=$A255,AQ255,1))-V256&lt;0),-1,MIN(1,IF($A256=$A255,AQ255,1)-V256+$D$2))</f>
        <v>1</v>
      </c>
      <c r="AR256">
        <f>IF(OR($J256=1,COUNTIFS($A$5:$A255,"&gt;="&amp;$A256-1,$A$5:$A255,"&lt;="&amp;$A256,$B$5:$B255,$B256)&gt;0,MIN(1-'Exercise list'!L$2,IF($A256=$A255,AR255,1))-W256&lt;0),-1,MIN(1,IF($A256=$A255,AR255,1)-W256+$D$2))</f>
        <v>1</v>
      </c>
      <c r="AS256">
        <f>IF(OR($J256=1,COUNTIFS($A$5:$A255,"&gt;="&amp;$A256-1,$A$5:$A255,"&lt;="&amp;$A256,$B$5:$B255,$B256)&gt;0,MIN(1-'Exercise list'!M$2,IF($A256=$A255,AS255,1))-X256&lt;0),-1,MIN(1,IF($A256=$A255,AS255,1)-X256+$D$2))</f>
        <v>1</v>
      </c>
      <c r="AT256">
        <f>IF(OR($J256=1,COUNTIFS($A$5:$A255,"&gt;="&amp;$A256-1,$A$5:$A255,"&lt;="&amp;$A256,$B$5:$B255,$B256)&gt;0,MIN(1-'Exercise list'!N$2,IF($A256=$A255,AT255,1))-Y256&lt;0),-1,MIN(1,IF($A256=$A255,AT255,1)-Y256+$D$2))</f>
        <v>1</v>
      </c>
      <c r="AU256">
        <f>IF(OR($J256=1,COUNTIFS($A$5:$A255,"&gt;="&amp;$A256-1,$A$5:$A255,"&lt;="&amp;$A256,$B$5:$B255,$B256)&gt;0,MIN(1-'Exercise list'!O$2,IF($A256=$A255,AU255,1))-Z256&lt;0),-1,MIN(1,IF($A256=$A255,AU255,1)-Z256+$D$2))</f>
        <v>1</v>
      </c>
      <c r="AV256">
        <f>IF(OR($J256=1,COUNTIFS($A$5:$A255,"&gt;="&amp;$A256-1,$A$5:$A255,"&lt;="&amp;$A256,$B$5:$B255,$B256)&gt;0,MIN(1-'Exercise list'!P$2,IF($A256=$A255,AV255,1))-AA256&lt;0),-1,MIN(1,IF($A256=$A255,AV255,1)-AA256+$D$2))</f>
        <v>1</v>
      </c>
      <c r="AW256">
        <f>IF(OR($J256=1,COUNTIFS($A$5:$A255,"&gt;="&amp;$A256-1,$A$5:$A255,"&lt;="&amp;$A256,$B$5:$B255,$B256)&gt;0,MIN(1-'Exercise list'!Q$2,IF($A256=$A255,AW255,1))-AB256&lt;0),-1,MIN(1,IF($A256=$A255,AW255,1)-AB256+$D$2))</f>
        <v>1</v>
      </c>
      <c r="AX256">
        <f>IF(OR($J256=1,COUNTIFS($A$5:$A255,"&gt;="&amp;$A256-1,$A$5:$A255,"&lt;="&amp;$A256,$B$5:$B255,$B256)&gt;0,MIN(1-'Exercise list'!R$2,IF($A256=$A255,AX255,1))-AC256&lt;0),-1,MIN(1,IF($A256=$A255,AX255,1)-AC256+$D$2))</f>
        <v>1</v>
      </c>
      <c r="AY256">
        <f>IF(OR($J256=1,COUNTIFS($A$5:$A255,"&gt;="&amp;$A256-1,$A$5:$A255,"&lt;="&amp;$A256,$B$5:$B255,$B256)&gt;0,MIN(1-'Exercise list'!S$2,IF($A256=$A255,AY255,1))-AD256&lt;0),-1,MIN(1,IF($A256=$A255,AY255,1)-AD256+$D$2))</f>
        <v>1</v>
      </c>
      <c r="AZ256">
        <f>IF(OR($J256=1,COUNTIFS($A$5:$A255,"&gt;="&amp;$A256-1,$A$5:$A255,"&lt;="&amp;$A256,$B$5:$B255,$B256)&gt;0,MIN(1-'Exercise list'!T$2,IF($A256=$A255,AZ255,1))-AE256&lt;0),-1,MIN(1,IF($A256=$A255,AZ255,1)-AE256+$D$2))</f>
        <v>1</v>
      </c>
      <c r="BA256">
        <f>IF(OR($J256=1,COUNTIFS($A$5:$A255,"&gt;="&amp;$A256-1,$A$5:$A255,"&lt;="&amp;$A256,$B$5:$B255,$B256)&gt;0,MIN(1-'Exercise list'!U$2,IF($A256=$A255,BA255,1))-AF256&lt;0),-1,MIN(1,IF($A256=$A255,BA255,1)-AF256+$D$2))</f>
        <v>1</v>
      </c>
      <c r="BB256">
        <f>IF(OR($J256=1,COUNTIFS($A$5:$A255,"&gt;="&amp;$A256-1,$A$5:$A255,"&lt;="&amp;$A256,$B$5:$B255,$B256)&gt;0,MIN(1-'Exercise list'!V$2,IF($A256=$A255,BB255,1))-AG256&lt;0),-1,MIN(1,IF($A256=$A255,BB255,1)-AG256+$D$2))</f>
        <v>1</v>
      </c>
      <c r="BC256">
        <f>IF(OR($J256=1,COUNTIFS($A$5:$A255,"&gt;="&amp;$A256-1,$A$5:$A255,"&lt;="&amp;$A256,$B$5:$B255,$B256)&gt;0,MIN(1-'Exercise list'!W$2,IF($A256=$A255,BC255,1))-AH256&lt;0),-1,MIN(1,IF($A256=$A255,BC255,1)-AH256+$D$2))</f>
        <v>1</v>
      </c>
      <c r="BD256">
        <f>IF(OR($J256=1,COUNTIFS($A$5:$A255,"&gt;="&amp;$A256-1,$A$5:$A255,"&lt;="&amp;$A256,$B$5:$B255,$B256)&gt;0,MIN(1-'Exercise list'!X$2,IF($A256=$A255,BD255,1))-AI256&lt;0),-1,MIN(1,IF($A256=$A255,BD255,1)-AI256+$D$2))</f>
        <v>1</v>
      </c>
      <c r="BF256" s="16">
        <f t="shared" si="189"/>
        <v>0.19596031081758858</v>
      </c>
      <c r="BG256" s="16">
        <f t="shared" si="190"/>
        <v>0.21844636935459236</v>
      </c>
      <c r="BH256" s="16">
        <f t="shared" si="191"/>
        <v>0.14609696635987124</v>
      </c>
      <c r="BI256" s="16">
        <f t="shared" si="192"/>
        <v>0.13198015366034541</v>
      </c>
      <c r="BJ256" s="16">
        <f t="shared" si="193"/>
        <v>8.3367914198418713E-2</v>
      </c>
      <c r="BK256" s="16">
        <f t="shared" si="194"/>
        <v>0.10640640223148412</v>
      </c>
      <c r="BL256" s="16">
        <f t="shared" si="195"/>
        <v>0.21963504743569431</v>
      </c>
      <c r="BM256" s="16">
        <f t="shared" si="196"/>
        <v>3.8988008374820568E-3</v>
      </c>
      <c r="BN256" s="16">
        <f t="shared" si="197"/>
        <v>0.14537706087090876</v>
      </c>
      <c r="BO256" s="16">
        <f t="shared" si="198"/>
        <v>0.29209790661993401</v>
      </c>
      <c r="BP256" s="16">
        <f t="shared" si="199"/>
        <v>0.31584545163401867</v>
      </c>
      <c r="BQ256" s="16">
        <f t="shared" si="200"/>
        <v>0.1000007994126096</v>
      </c>
      <c r="BR256" s="16">
        <f t="shared" si="201"/>
        <v>0.13164487759885393</v>
      </c>
      <c r="BS256" s="16">
        <f t="shared" si="202"/>
        <v>2.9803550189863123E-2</v>
      </c>
      <c r="BT256" s="16">
        <f t="shared" si="203"/>
        <v>0.13492040904978705</v>
      </c>
      <c r="BU256" s="16">
        <f t="shared" si="204"/>
        <v>0.11703687414398131</v>
      </c>
      <c r="BV256" s="16">
        <f t="shared" si="205"/>
        <v>0.14633353213781661</v>
      </c>
      <c r="BW256" s="16">
        <f t="shared" si="206"/>
        <v>7.5588015111767173E-2</v>
      </c>
      <c r="BX256" s="16">
        <f t="shared" si="207"/>
        <v>8.0345659937185704E-2</v>
      </c>
      <c r="BY256" s="16">
        <f t="shared" si="208"/>
        <v>5.9014643151272549E-2</v>
      </c>
      <c r="CA256" s="16" t="str">
        <f t="shared" si="185"/>
        <v/>
      </c>
      <c r="CB256" s="16" t="str">
        <f t="shared" si="166"/>
        <v/>
      </c>
      <c r="CC256" s="16" t="str">
        <f t="shared" si="167"/>
        <v/>
      </c>
      <c r="CD256" s="16" t="str">
        <f t="shared" si="168"/>
        <v/>
      </c>
      <c r="CE256" s="16" t="str">
        <f t="shared" si="169"/>
        <v/>
      </c>
      <c r="CF256" s="16" t="str">
        <f t="shared" si="170"/>
        <v/>
      </c>
      <c r="CG256" s="16" t="str">
        <f t="shared" si="171"/>
        <v/>
      </c>
      <c r="CH256" s="16" t="str">
        <f t="shared" si="172"/>
        <v/>
      </c>
      <c r="CI256" s="16" t="str">
        <f t="shared" si="173"/>
        <v/>
      </c>
      <c r="CJ256" s="16" t="str">
        <f t="shared" si="174"/>
        <v/>
      </c>
      <c r="CK256" s="16" t="str">
        <f t="shared" si="175"/>
        <v/>
      </c>
      <c r="CL256" s="16" t="str">
        <f t="shared" si="176"/>
        <v/>
      </c>
      <c r="CM256" s="16" t="str">
        <f t="shared" si="177"/>
        <v/>
      </c>
      <c r="CN256" s="16" t="str">
        <f t="shared" si="178"/>
        <v/>
      </c>
      <c r="CO256" s="16" t="str">
        <f t="shared" si="179"/>
        <v/>
      </c>
      <c r="CP256" s="16" t="str">
        <f t="shared" si="180"/>
        <v/>
      </c>
      <c r="CQ256" s="16" t="str">
        <f t="shared" si="181"/>
        <v/>
      </c>
      <c r="CR256" s="16" t="str">
        <f t="shared" si="182"/>
        <v/>
      </c>
      <c r="CS256" s="16" t="str">
        <f t="shared" si="183"/>
        <v/>
      </c>
      <c r="CT256" s="16" t="str">
        <f t="shared" si="184"/>
        <v/>
      </c>
    </row>
    <row r="257" spans="1:99" x14ac:dyDescent="0.25">
      <c r="A257" s="13"/>
      <c r="B257" s="14"/>
      <c r="C257" s="15" t="str" cm="1">
        <f t="array" ref="C257">IF(B257="","",INDEX('Exercise list'!$C$5:$C$102,B257))</f>
        <v/>
      </c>
      <c r="D257" s="12" t="str">
        <f t="shared" si="186"/>
        <v/>
      </c>
      <c r="E257" s="107" t="str">
        <f t="shared" si="209"/>
        <v/>
      </c>
      <c r="F257" s="63" t="str" cm="1">
        <f t="array" ref="F257">IF(B257="","",0.1+IFERROR(INDEX($F$6:$F256,SUMPRODUCT(MAX(ROW($C$6:$C256)*($C257=$C$6:$C256))-ROW($A$5)))*0.9^($A257-INDEX($A$6:A256,SUMPRODUCT(MAX(ROW($C$6:$C256)*($C257=$C$6:$C256))-ROW($A$5)))),0))</f>
        <v/>
      </c>
      <c r="G257" s="64" t="e">
        <f>INDEX('Exercise list'!$Y$5:$Y$102,MATCH(C257,'Exercise list'!$C$5:$C$102,0))</f>
        <v>#N/A</v>
      </c>
      <c r="H257" s="115">
        <f t="shared" si="187"/>
        <v>0</v>
      </c>
      <c r="I257" s="6">
        <f t="shared" si="188"/>
        <v>5</v>
      </c>
      <c r="J257" s="6" t="str" cm="1">
        <f t="array" ref="J257">IF(B257="","",INDEX('Exercise list'!$D$5:$D$102,B257))</f>
        <v/>
      </c>
      <c r="K257" s="12"/>
      <c r="L257" s="74" t="str" cm="1">
        <f t="array" ref="L257">IF(K257="","",INDEX('Exercise list'!$C$5:$C$102,K257))</f>
        <v/>
      </c>
      <c r="M257" s="6"/>
      <c r="N257" s="75" t="str" cm="1">
        <f t="array" ref="N257">IF(M257="","",INDEX('Exercise list'!$C$5:$C$102,M257))</f>
        <v/>
      </c>
      <c r="P257">
        <f>IFERROR(INDEX('Exercise list'!$E$5:$X$102,MATCH($C257,'Exercise list'!$C$5:$C$102,0),MATCH(P$5,'Exercise list'!$E$4:$X$4,0)),0)</f>
        <v>0</v>
      </c>
      <c r="Q257">
        <f>IFERROR(INDEX('Exercise list'!$E$5:$X$102,MATCH($C257,'Exercise list'!$C$5:$C$102,0),MATCH(Q$5,'Exercise list'!$E$4:$X$4,0)),0)</f>
        <v>0</v>
      </c>
      <c r="R257">
        <f>IFERROR(INDEX('Exercise list'!$E$5:$X$102,MATCH($C257,'Exercise list'!$C$5:$C$102,0),MATCH(R$5,'Exercise list'!$E$4:$X$4,0)),0)</f>
        <v>0</v>
      </c>
      <c r="S257">
        <f>IFERROR(INDEX('Exercise list'!$E$5:$X$102,MATCH($C257,'Exercise list'!$C$5:$C$102,0),MATCH(S$5,'Exercise list'!$E$4:$X$4,0)),0)</f>
        <v>0</v>
      </c>
      <c r="T257">
        <f>IFERROR(INDEX('Exercise list'!$E$5:$X$102,MATCH($C257,'Exercise list'!$C$5:$C$102,0),MATCH(T$5,'Exercise list'!$E$4:$X$4,0)),0)</f>
        <v>0</v>
      </c>
      <c r="U257">
        <f>IFERROR(INDEX('Exercise list'!$E$5:$X$102,MATCH($C257,'Exercise list'!$C$5:$C$102,0),MATCH(U$5,'Exercise list'!$E$4:$X$4,0)),0)</f>
        <v>0</v>
      </c>
      <c r="V257">
        <f>IFERROR(INDEX('Exercise list'!$E$5:$X$102,MATCH($C257,'Exercise list'!$C$5:$C$102,0),MATCH(V$5,'Exercise list'!$E$4:$X$4,0)),0)</f>
        <v>0</v>
      </c>
      <c r="W257">
        <f>IFERROR(INDEX('Exercise list'!$E$5:$X$102,MATCH($C257,'Exercise list'!$C$5:$C$102,0),MATCH(W$5,'Exercise list'!$E$4:$X$4,0)),0)</f>
        <v>0</v>
      </c>
      <c r="X257">
        <f>IFERROR(INDEX('Exercise list'!$E$5:$X$102,MATCH($C257,'Exercise list'!$C$5:$C$102,0),MATCH(X$5,'Exercise list'!$E$4:$X$4,0)),0)</f>
        <v>0</v>
      </c>
      <c r="Y257">
        <f>IFERROR(INDEX('Exercise list'!$E$5:$X$102,MATCH($C257,'Exercise list'!$C$5:$C$102,0),MATCH(Y$5,'Exercise list'!$E$4:$X$4,0)),0)</f>
        <v>0</v>
      </c>
      <c r="Z257">
        <f>IFERROR(INDEX('Exercise list'!$E$5:$X$102,MATCH($C257,'Exercise list'!$C$5:$C$102,0),MATCH(Z$5,'Exercise list'!$E$4:$X$4,0)),0)</f>
        <v>0</v>
      </c>
      <c r="AA257">
        <f>IFERROR(INDEX('Exercise list'!$E$5:$X$102,MATCH($C257,'Exercise list'!$C$5:$C$102,0),MATCH(AA$5,'Exercise list'!$E$4:$X$4,0)),0)</f>
        <v>0</v>
      </c>
      <c r="AB257">
        <f>IFERROR(INDEX('Exercise list'!$E$5:$X$102,MATCH($C257,'Exercise list'!$C$5:$C$102,0),MATCH(AB$5,'Exercise list'!$E$4:$X$4,0)),0)</f>
        <v>0</v>
      </c>
      <c r="AC257">
        <f>IFERROR(INDEX('Exercise list'!$E$5:$X$102,MATCH($C257,'Exercise list'!$C$5:$C$102,0),MATCH(AC$5,'Exercise list'!$E$4:$X$4,0)),0)</f>
        <v>0</v>
      </c>
      <c r="AD257">
        <f>IFERROR(INDEX('Exercise list'!$E$5:$X$102,MATCH($C257,'Exercise list'!$C$5:$C$102,0),MATCH(AD$5,'Exercise list'!$E$4:$X$4,0)),0)</f>
        <v>0</v>
      </c>
      <c r="AE257">
        <f>IFERROR(INDEX('Exercise list'!$E$5:$X$102,MATCH($C257,'Exercise list'!$C$5:$C$102,0),MATCH(AE$5,'Exercise list'!$E$4:$X$4,0)),0)</f>
        <v>0</v>
      </c>
      <c r="AF257">
        <f>IFERROR(INDEX('Exercise list'!$E$5:$X$102,MATCH($C257,'Exercise list'!$C$5:$C$102,0),MATCH(AF$5,'Exercise list'!$E$4:$X$4,0)),0)</f>
        <v>0</v>
      </c>
      <c r="AG257">
        <f>IFERROR(INDEX('Exercise list'!$E$5:$X$102,MATCH($C257,'Exercise list'!$C$5:$C$102,0),MATCH(AG$5,'Exercise list'!$E$4:$X$4,0)),0)</f>
        <v>0</v>
      </c>
      <c r="AH257">
        <f>IFERROR(INDEX('Exercise list'!$E$5:$X$102,MATCH($C257,'Exercise list'!$C$5:$C$102,0),MATCH(AH$5,'Exercise list'!$E$4:$X$4,0)),0)</f>
        <v>0</v>
      </c>
      <c r="AI257">
        <f>IFERROR(INDEX('Exercise list'!$E$5:$X$102,MATCH($C257,'Exercise list'!$C$5:$C$102,0),MATCH(AI$5,'Exercise list'!$E$4:$X$4,0)),0)</f>
        <v>0</v>
      </c>
      <c r="AK257">
        <f>IF(OR($J257=1,COUNTIFS($A$5:$A256,"&gt;="&amp;$A257-1,$A$5:$A256,"&lt;="&amp;$A257,$B$5:$B256,$B257)&gt;0,MIN(1-'Exercise list'!E$2,IF($A257=$A256,AK256,1))-P257&lt;0),-1,MIN(1,IF($A257=$A256,AK256,1)-P257+$D$2))</f>
        <v>1</v>
      </c>
      <c r="AL257">
        <f>IF(OR($J257=1,COUNTIFS($A$5:$A256,"&gt;="&amp;$A257-1,$A$5:$A256,"&lt;="&amp;$A257,$B$5:$B256,$B257)&gt;0,MIN(1-'Exercise list'!F$2,IF($A257=$A256,AL256,1))-Q257&lt;0),-1,MIN(1,IF($A257=$A256,AL256,1)-Q257+$D$2))</f>
        <v>1</v>
      </c>
      <c r="AM257">
        <f>IF(OR($J257=1,COUNTIFS($A$5:$A256,"&gt;="&amp;$A257-1,$A$5:$A256,"&lt;="&amp;$A257,$B$5:$B256,$B257)&gt;0,MIN(1-'Exercise list'!G$2,IF($A257=$A256,AM256,1))-R257&lt;0),-1,MIN(1,IF($A257=$A256,AM256,1)-R257+$D$2))</f>
        <v>1</v>
      </c>
      <c r="AN257">
        <f>IF(OR($J257=1,COUNTIFS($A$5:$A256,"&gt;="&amp;$A257-1,$A$5:$A256,"&lt;="&amp;$A257,$B$5:$B256,$B257)&gt;0,MIN(1-'Exercise list'!H$2,IF($A257=$A256,AN256,1))-S257&lt;0),-1,MIN(1,IF($A257=$A256,AN256,1)-S257+$D$2))</f>
        <v>1</v>
      </c>
      <c r="AO257">
        <f>IF(OR($J257=1,COUNTIFS($A$5:$A256,"&gt;="&amp;$A257-1,$A$5:$A256,"&lt;="&amp;$A257,$B$5:$B256,$B257)&gt;0,MIN(1-'Exercise list'!I$2,IF($A257=$A256,AO256,1))-T257&lt;0),-1,MIN(1,IF($A257=$A256,AO256,1)-T257+$D$2))</f>
        <v>1</v>
      </c>
      <c r="AP257">
        <f>IF(OR($J257=1,COUNTIFS($A$5:$A256,"&gt;="&amp;$A257-1,$A$5:$A256,"&lt;="&amp;$A257,$B$5:$B256,$B257)&gt;0,MIN(1-'Exercise list'!J$2,IF($A257=$A256,AP256,1))-U257&lt;0),-1,MIN(1,IF($A257=$A256,AP256,1)-U257+$D$2))</f>
        <v>1</v>
      </c>
      <c r="AQ257">
        <f>IF(OR($J257=1,COUNTIFS($A$5:$A256,"&gt;="&amp;$A257-1,$A$5:$A256,"&lt;="&amp;$A257,$B$5:$B256,$B257)&gt;0,MIN(1-'Exercise list'!K$2,IF($A257=$A256,AQ256,1))-V257&lt;0),-1,MIN(1,IF($A257=$A256,AQ256,1)-V257+$D$2))</f>
        <v>1</v>
      </c>
      <c r="AR257">
        <f>IF(OR($J257=1,COUNTIFS($A$5:$A256,"&gt;="&amp;$A257-1,$A$5:$A256,"&lt;="&amp;$A257,$B$5:$B256,$B257)&gt;0,MIN(1-'Exercise list'!L$2,IF($A257=$A256,AR256,1))-W257&lt;0),-1,MIN(1,IF($A257=$A256,AR256,1)-W257+$D$2))</f>
        <v>1</v>
      </c>
      <c r="AS257">
        <f>IF(OR($J257=1,COUNTIFS($A$5:$A256,"&gt;="&amp;$A257-1,$A$5:$A256,"&lt;="&amp;$A257,$B$5:$B256,$B257)&gt;0,MIN(1-'Exercise list'!M$2,IF($A257=$A256,AS256,1))-X257&lt;0),-1,MIN(1,IF($A257=$A256,AS256,1)-X257+$D$2))</f>
        <v>1</v>
      </c>
      <c r="AT257">
        <f>IF(OR($J257=1,COUNTIFS($A$5:$A256,"&gt;="&amp;$A257-1,$A$5:$A256,"&lt;="&amp;$A257,$B$5:$B256,$B257)&gt;0,MIN(1-'Exercise list'!N$2,IF($A257=$A256,AT256,1))-Y257&lt;0),-1,MIN(1,IF($A257=$A256,AT256,1)-Y257+$D$2))</f>
        <v>1</v>
      </c>
      <c r="AU257">
        <f>IF(OR($J257=1,COUNTIFS($A$5:$A256,"&gt;="&amp;$A257-1,$A$5:$A256,"&lt;="&amp;$A257,$B$5:$B256,$B257)&gt;0,MIN(1-'Exercise list'!O$2,IF($A257=$A256,AU256,1))-Z257&lt;0),-1,MIN(1,IF($A257=$A256,AU256,1)-Z257+$D$2))</f>
        <v>1</v>
      </c>
      <c r="AV257">
        <f>IF(OR($J257=1,COUNTIFS($A$5:$A256,"&gt;="&amp;$A257-1,$A$5:$A256,"&lt;="&amp;$A257,$B$5:$B256,$B257)&gt;0,MIN(1-'Exercise list'!P$2,IF($A257=$A256,AV256,1))-AA257&lt;0),-1,MIN(1,IF($A257=$A256,AV256,1)-AA257+$D$2))</f>
        <v>1</v>
      </c>
      <c r="AW257">
        <f>IF(OR($J257=1,COUNTIFS($A$5:$A256,"&gt;="&amp;$A257-1,$A$5:$A256,"&lt;="&amp;$A257,$B$5:$B256,$B257)&gt;0,MIN(1-'Exercise list'!Q$2,IF($A257=$A256,AW256,1))-AB257&lt;0),-1,MIN(1,IF($A257=$A256,AW256,1)-AB257+$D$2))</f>
        <v>1</v>
      </c>
      <c r="AX257">
        <f>IF(OR($J257=1,COUNTIFS($A$5:$A256,"&gt;="&amp;$A257-1,$A$5:$A256,"&lt;="&amp;$A257,$B$5:$B256,$B257)&gt;0,MIN(1-'Exercise list'!R$2,IF($A257=$A256,AX256,1))-AC257&lt;0),-1,MIN(1,IF($A257=$A256,AX256,1)-AC257+$D$2))</f>
        <v>1</v>
      </c>
      <c r="AY257">
        <f>IF(OR($J257=1,COUNTIFS($A$5:$A256,"&gt;="&amp;$A257-1,$A$5:$A256,"&lt;="&amp;$A257,$B$5:$B256,$B257)&gt;0,MIN(1-'Exercise list'!S$2,IF($A257=$A256,AY256,1))-AD257&lt;0),-1,MIN(1,IF($A257=$A256,AY256,1)-AD257+$D$2))</f>
        <v>1</v>
      </c>
      <c r="AZ257">
        <f>IF(OR($J257=1,COUNTIFS($A$5:$A256,"&gt;="&amp;$A257-1,$A$5:$A256,"&lt;="&amp;$A257,$B$5:$B256,$B257)&gt;0,MIN(1-'Exercise list'!T$2,IF($A257=$A256,AZ256,1))-AE257&lt;0),-1,MIN(1,IF($A257=$A256,AZ256,1)-AE257+$D$2))</f>
        <v>1</v>
      </c>
      <c r="BA257">
        <f>IF(OR($J257=1,COUNTIFS($A$5:$A256,"&gt;="&amp;$A257-1,$A$5:$A256,"&lt;="&amp;$A257,$B$5:$B256,$B257)&gt;0,MIN(1-'Exercise list'!U$2,IF($A257=$A256,BA256,1))-AF257&lt;0),-1,MIN(1,IF($A257=$A256,BA256,1)-AF257+$D$2))</f>
        <v>1</v>
      </c>
      <c r="BB257">
        <f>IF(OR($J257=1,COUNTIFS($A$5:$A256,"&gt;="&amp;$A257-1,$A$5:$A256,"&lt;="&amp;$A257,$B$5:$B256,$B257)&gt;0,MIN(1-'Exercise list'!V$2,IF($A257=$A256,BB256,1))-AG257&lt;0),-1,MIN(1,IF($A257=$A256,BB256,1)-AG257+$D$2))</f>
        <v>1</v>
      </c>
      <c r="BC257">
        <f>IF(OR($J257=1,COUNTIFS($A$5:$A256,"&gt;="&amp;$A257-1,$A$5:$A256,"&lt;="&amp;$A257,$B$5:$B256,$B257)&gt;0,MIN(1-'Exercise list'!W$2,IF($A257=$A256,BC256,1))-AH257&lt;0),-1,MIN(1,IF($A257=$A256,BC256,1)-AH257+$D$2))</f>
        <v>1</v>
      </c>
      <c r="BD257">
        <f>IF(OR($J257=1,COUNTIFS($A$5:$A256,"&gt;="&amp;$A257-1,$A$5:$A256,"&lt;="&amp;$A257,$B$5:$B256,$B257)&gt;0,MIN(1-'Exercise list'!X$2,IF($A257=$A256,BD256,1))-AI257&lt;0),-1,MIN(1,IF($A257=$A256,BD256,1)-AI257+$D$2))</f>
        <v>1</v>
      </c>
      <c r="BF257" s="16">
        <f t="shared" si="189"/>
        <v>0.19596031081758858</v>
      </c>
      <c r="BG257" s="16">
        <f t="shared" si="190"/>
        <v>0.21844636935459236</v>
      </c>
      <c r="BH257" s="16">
        <f t="shared" si="191"/>
        <v>0.14609696635987124</v>
      </c>
      <c r="BI257" s="16">
        <f t="shared" si="192"/>
        <v>0.13198015366034541</v>
      </c>
      <c r="BJ257" s="16">
        <f t="shared" si="193"/>
        <v>8.3367914198418713E-2</v>
      </c>
      <c r="BK257" s="16">
        <f t="shared" si="194"/>
        <v>0.10640640223148412</v>
      </c>
      <c r="BL257" s="16">
        <f t="shared" si="195"/>
        <v>0.21963504743569431</v>
      </c>
      <c r="BM257" s="16">
        <f t="shared" si="196"/>
        <v>3.8988008374820568E-3</v>
      </c>
      <c r="BN257" s="16">
        <f t="shared" si="197"/>
        <v>0.14537706087090876</v>
      </c>
      <c r="BO257" s="16">
        <f t="shared" si="198"/>
        <v>0.29209790661993401</v>
      </c>
      <c r="BP257" s="16">
        <f t="shared" si="199"/>
        <v>0.31584545163401867</v>
      </c>
      <c r="BQ257" s="16">
        <f t="shared" si="200"/>
        <v>0.1000007994126096</v>
      </c>
      <c r="BR257" s="16">
        <f t="shared" si="201"/>
        <v>0.13164487759885393</v>
      </c>
      <c r="BS257" s="16">
        <f t="shared" si="202"/>
        <v>2.9803550189863123E-2</v>
      </c>
      <c r="BT257" s="16">
        <f t="shared" si="203"/>
        <v>0.13492040904978705</v>
      </c>
      <c r="BU257" s="16">
        <f t="shared" si="204"/>
        <v>0.11703687414398131</v>
      </c>
      <c r="BV257" s="16">
        <f t="shared" si="205"/>
        <v>0.14633353213781661</v>
      </c>
      <c r="BW257" s="16">
        <f t="shared" si="206"/>
        <v>7.5588015111767173E-2</v>
      </c>
      <c r="BX257" s="16">
        <f t="shared" si="207"/>
        <v>8.0345659937185704E-2</v>
      </c>
      <c r="BY257" s="16">
        <f t="shared" si="208"/>
        <v>5.9014643151272549E-2</v>
      </c>
      <c r="CA257" s="16" t="str">
        <f t="shared" si="185"/>
        <v/>
      </c>
      <c r="CB257" s="16" t="str">
        <f t="shared" si="166"/>
        <v/>
      </c>
      <c r="CC257" s="16" t="str">
        <f t="shared" si="167"/>
        <v/>
      </c>
      <c r="CD257" s="16" t="str">
        <f t="shared" si="168"/>
        <v/>
      </c>
      <c r="CE257" s="16" t="str">
        <f t="shared" si="169"/>
        <v/>
      </c>
      <c r="CF257" s="16" t="str">
        <f t="shared" si="170"/>
        <v/>
      </c>
      <c r="CG257" s="16" t="str">
        <f t="shared" si="171"/>
        <v/>
      </c>
      <c r="CH257" s="16" t="str">
        <f t="shared" si="172"/>
        <v/>
      </c>
      <c r="CI257" s="16" t="str">
        <f t="shared" si="173"/>
        <v/>
      </c>
      <c r="CJ257" s="16" t="str">
        <f t="shared" si="174"/>
        <v/>
      </c>
      <c r="CK257" s="16" t="str">
        <f t="shared" si="175"/>
        <v/>
      </c>
      <c r="CL257" s="16" t="str">
        <f t="shared" si="176"/>
        <v/>
      </c>
      <c r="CM257" s="16" t="str">
        <f t="shared" si="177"/>
        <v/>
      </c>
      <c r="CN257" s="16" t="str">
        <f t="shared" si="178"/>
        <v/>
      </c>
      <c r="CO257" s="16" t="str">
        <f t="shared" si="179"/>
        <v/>
      </c>
      <c r="CP257" s="16" t="str">
        <f t="shared" si="180"/>
        <v/>
      </c>
      <c r="CQ257" s="16" t="str">
        <f t="shared" si="181"/>
        <v/>
      </c>
      <c r="CR257" s="16" t="str">
        <f t="shared" si="182"/>
        <v/>
      </c>
      <c r="CS257" s="16" t="str">
        <f t="shared" si="183"/>
        <v/>
      </c>
      <c r="CT257" s="16" t="str">
        <f t="shared" si="184"/>
        <v/>
      </c>
    </row>
    <row r="258" spans="1:99" x14ac:dyDescent="0.25">
      <c r="A258" s="20"/>
      <c r="B258" s="21"/>
      <c r="C258" s="22" t="str" cm="1">
        <f t="array" ref="C258">IF(B258="","",INDEX('Exercise list'!$C$5:$C$102,B258))</f>
        <v/>
      </c>
      <c r="D258" s="17" t="str">
        <f t="shared" si="186"/>
        <v/>
      </c>
      <c r="E258" s="108" t="str">
        <f t="shared" si="209"/>
        <v/>
      </c>
      <c r="F258" s="65" t="str" cm="1">
        <f t="array" ref="F258">IF(B258="","",0.1+IFERROR(INDEX($F$6:$F257,SUMPRODUCT(MAX(ROW($C$6:$C257)*($C258=$C$6:$C257))-ROW($A$5)))*0.9^($A258-INDEX($A$6:A257,SUMPRODUCT(MAX(ROW($C$6:$C257)*($C258=$C$6:$C257))-ROW($A$5)))),0))</f>
        <v/>
      </c>
      <c r="G258" s="25" t="e">
        <f>INDEX('Exercise list'!$Y$5:$Y$102,MATCH(C258,'Exercise list'!$C$5:$C$102,0))</f>
        <v>#N/A</v>
      </c>
      <c r="H258" s="116">
        <f t="shared" si="187"/>
        <v>0</v>
      </c>
      <c r="I258" s="18">
        <f t="shared" si="188"/>
        <v>5</v>
      </c>
      <c r="J258" s="18" t="str" cm="1">
        <f t="array" ref="J258">IF(B258="","",INDEX('Exercise list'!$D$5:$D$102,B258))</f>
        <v/>
      </c>
      <c r="K258" s="17"/>
      <c r="L258" s="51" t="str" cm="1">
        <f t="array" ref="L258">IF(K258="","",INDEX('Exercise list'!$C$5:$C$102,K258))</f>
        <v/>
      </c>
      <c r="M258" s="18"/>
      <c r="N258" s="76" t="str" cm="1">
        <f t="array" ref="N258">IF(M258="","",INDEX('Exercise list'!$C$5:$C$102,M258))</f>
        <v/>
      </c>
      <c r="O258" s="19"/>
      <c r="P258" s="19">
        <f>IFERROR(INDEX('Exercise list'!$E$5:$X$102,MATCH($C258,'Exercise list'!$C$5:$C$102,0),MATCH(P$5,'Exercise list'!$E$4:$X$4,0)),0)</f>
        <v>0</v>
      </c>
      <c r="Q258" s="19">
        <f>IFERROR(INDEX('Exercise list'!$E$5:$X$102,MATCH($C258,'Exercise list'!$C$5:$C$102,0),MATCH(Q$5,'Exercise list'!$E$4:$X$4,0)),0)</f>
        <v>0</v>
      </c>
      <c r="R258" s="19">
        <f>IFERROR(INDEX('Exercise list'!$E$5:$X$102,MATCH($C258,'Exercise list'!$C$5:$C$102,0),MATCH(R$5,'Exercise list'!$E$4:$X$4,0)),0)</f>
        <v>0</v>
      </c>
      <c r="S258" s="19">
        <f>IFERROR(INDEX('Exercise list'!$E$5:$X$102,MATCH($C258,'Exercise list'!$C$5:$C$102,0),MATCH(S$5,'Exercise list'!$E$4:$X$4,0)),0)</f>
        <v>0</v>
      </c>
      <c r="T258" s="19">
        <f>IFERROR(INDEX('Exercise list'!$E$5:$X$102,MATCH($C258,'Exercise list'!$C$5:$C$102,0),MATCH(T$5,'Exercise list'!$E$4:$X$4,0)),0)</f>
        <v>0</v>
      </c>
      <c r="U258" s="19">
        <f>IFERROR(INDEX('Exercise list'!$E$5:$X$102,MATCH($C258,'Exercise list'!$C$5:$C$102,0),MATCH(U$5,'Exercise list'!$E$4:$X$4,0)),0)</f>
        <v>0</v>
      </c>
      <c r="V258" s="19">
        <f>IFERROR(INDEX('Exercise list'!$E$5:$X$102,MATCH($C258,'Exercise list'!$C$5:$C$102,0),MATCH(V$5,'Exercise list'!$E$4:$X$4,0)),0)</f>
        <v>0</v>
      </c>
      <c r="W258" s="19">
        <f>IFERROR(INDEX('Exercise list'!$E$5:$X$102,MATCH($C258,'Exercise list'!$C$5:$C$102,0),MATCH(W$5,'Exercise list'!$E$4:$X$4,0)),0)</f>
        <v>0</v>
      </c>
      <c r="X258" s="19">
        <f>IFERROR(INDEX('Exercise list'!$E$5:$X$102,MATCH($C258,'Exercise list'!$C$5:$C$102,0),MATCH(X$5,'Exercise list'!$E$4:$X$4,0)),0)</f>
        <v>0</v>
      </c>
      <c r="Y258" s="19">
        <f>IFERROR(INDEX('Exercise list'!$E$5:$X$102,MATCH($C258,'Exercise list'!$C$5:$C$102,0),MATCH(Y$5,'Exercise list'!$E$4:$X$4,0)),0)</f>
        <v>0</v>
      </c>
      <c r="Z258" s="19">
        <f>IFERROR(INDEX('Exercise list'!$E$5:$X$102,MATCH($C258,'Exercise list'!$C$5:$C$102,0),MATCH(Z$5,'Exercise list'!$E$4:$X$4,0)),0)</f>
        <v>0</v>
      </c>
      <c r="AA258" s="19">
        <f>IFERROR(INDEX('Exercise list'!$E$5:$X$102,MATCH($C258,'Exercise list'!$C$5:$C$102,0),MATCH(AA$5,'Exercise list'!$E$4:$X$4,0)),0)</f>
        <v>0</v>
      </c>
      <c r="AB258" s="19">
        <f>IFERROR(INDEX('Exercise list'!$E$5:$X$102,MATCH($C258,'Exercise list'!$C$5:$C$102,0),MATCH(AB$5,'Exercise list'!$E$4:$X$4,0)),0)</f>
        <v>0</v>
      </c>
      <c r="AC258" s="19">
        <f>IFERROR(INDEX('Exercise list'!$E$5:$X$102,MATCH($C258,'Exercise list'!$C$5:$C$102,0),MATCH(AC$5,'Exercise list'!$E$4:$X$4,0)),0)</f>
        <v>0</v>
      </c>
      <c r="AD258" s="19">
        <f>IFERROR(INDEX('Exercise list'!$E$5:$X$102,MATCH($C258,'Exercise list'!$C$5:$C$102,0),MATCH(AD$5,'Exercise list'!$E$4:$X$4,0)),0)</f>
        <v>0</v>
      </c>
      <c r="AE258" s="19">
        <f>IFERROR(INDEX('Exercise list'!$E$5:$X$102,MATCH($C258,'Exercise list'!$C$5:$C$102,0),MATCH(AE$5,'Exercise list'!$E$4:$X$4,0)),0)</f>
        <v>0</v>
      </c>
      <c r="AF258" s="19">
        <f>IFERROR(INDEX('Exercise list'!$E$5:$X$102,MATCH($C258,'Exercise list'!$C$5:$C$102,0),MATCH(AF$5,'Exercise list'!$E$4:$X$4,0)),0)</f>
        <v>0</v>
      </c>
      <c r="AG258" s="19">
        <f>IFERROR(INDEX('Exercise list'!$E$5:$X$102,MATCH($C258,'Exercise list'!$C$5:$C$102,0),MATCH(AG$5,'Exercise list'!$E$4:$X$4,0)),0)</f>
        <v>0</v>
      </c>
      <c r="AH258" s="19">
        <f>IFERROR(INDEX('Exercise list'!$E$5:$X$102,MATCH($C258,'Exercise list'!$C$5:$C$102,0),MATCH(AH$5,'Exercise list'!$E$4:$X$4,0)),0)</f>
        <v>0</v>
      </c>
      <c r="AI258" s="19">
        <f>IFERROR(INDEX('Exercise list'!$E$5:$X$102,MATCH($C258,'Exercise list'!$C$5:$C$102,0),MATCH(AI$5,'Exercise list'!$E$4:$X$4,0)),0)</f>
        <v>0</v>
      </c>
      <c r="AJ258" s="19"/>
      <c r="AK258" s="19">
        <f>IF(OR($J258=1,COUNTIFS($A$5:$A257,"&gt;="&amp;$A258-1,$A$5:$A257,"&lt;="&amp;$A258,$B$5:$B257,$B258)&gt;0,MIN(1-'Exercise list'!E$2,IF($A258=$A257,AK257,1))-P258&lt;0),-1,MIN(1,IF($A258=$A257,AK257,1)-P258+$D$2))</f>
        <v>1</v>
      </c>
      <c r="AL258" s="19">
        <f>IF(OR($J258=1,COUNTIFS($A$5:$A257,"&gt;="&amp;$A258-1,$A$5:$A257,"&lt;="&amp;$A258,$B$5:$B257,$B258)&gt;0,MIN(1-'Exercise list'!F$2,IF($A258=$A257,AL257,1))-Q258&lt;0),-1,MIN(1,IF($A258=$A257,AL257,1)-Q258+$D$2))</f>
        <v>1</v>
      </c>
      <c r="AM258" s="19">
        <f>IF(OR($J258=1,COUNTIFS($A$5:$A257,"&gt;="&amp;$A258-1,$A$5:$A257,"&lt;="&amp;$A258,$B$5:$B257,$B258)&gt;0,MIN(1-'Exercise list'!G$2,IF($A258=$A257,AM257,1))-R258&lt;0),-1,MIN(1,IF($A258=$A257,AM257,1)-R258+$D$2))</f>
        <v>1</v>
      </c>
      <c r="AN258" s="19">
        <f>IF(OR($J258=1,COUNTIFS($A$5:$A257,"&gt;="&amp;$A258-1,$A$5:$A257,"&lt;="&amp;$A258,$B$5:$B257,$B258)&gt;0,MIN(1-'Exercise list'!H$2,IF($A258=$A257,AN257,1))-S258&lt;0),-1,MIN(1,IF($A258=$A257,AN257,1)-S258+$D$2))</f>
        <v>1</v>
      </c>
      <c r="AO258" s="19">
        <f>IF(OR($J258=1,COUNTIFS($A$5:$A257,"&gt;="&amp;$A258-1,$A$5:$A257,"&lt;="&amp;$A258,$B$5:$B257,$B258)&gt;0,MIN(1-'Exercise list'!I$2,IF($A258=$A257,AO257,1))-T258&lt;0),-1,MIN(1,IF($A258=$A257,AO257,1)-T258+$D$2))</f>
        <v>1</v>
      </c>
      <c r="AP258" s="19">
        <f>IF(OR($J258=1,COUNTIFS($A$5:$A257,"&gt;="&amp;$A258-1,$A$5:$A257,"&lt;="&amp;$A258,$B$5:$B257,$B258)&gt;0,MIN(1-'Exercise list'!J$2,IF($A258=$A257,AP257,1))-U258&lt;0),-1,MIN(1,IF($A258=$A257,AP257,1)-U258+$D$2))</f>
        <v>1</v>
      </c>
      <c r="AQ258" s="19">
        <f>IF(OR($J258=1,COUNTIFS($A$5:$A257,"&gt;="&amp;$A258-1,$A$5:$A257,"&lt;="&amp;$A258,$B$5:$B257,$B258)&gt;0,MIN(1-'Exercise list'!K$2,IF($A258=$A257,AQ257,1))-V258&lt;0),-1,MIN(1,IF($A258=$A257,AQ257,1)-V258+$D$2))</f>
        <v>1</v>
      </c>
      <c r="AR258" s="19">
        <f>IF(OR($J258=1,COUNTIFS($A$5:$A257,"&gt;="&amp;$A258-1,$A$5:$A257,"&lt;="&amp;$A258,$B$5:$B257,$B258)&gt;0,MIN(1-'Exercise list'!L$2,IF($A258=$A257,AR257,1))-W258&lt;0),-1,MIN(1,IF($A258=$A257,AR257,1)-W258+$D$2))</f>
        <v>1</v>
      </c>
      <c r="AS258" s="19">
        <f>IF(OR($J258=1,COUNTIFS($A$5:$A257,"&gt;="&amp;$A258-1,$A$5:$A257,"&lt;="&amp;$A258,$B$5:$B257,$B258)&gt;0,MIN(1-'Exercise list'!M$2,IF($A258=$A257,AS257,1))-X258&lt;0),-1,MIN(1,IF($A258=$A257,AS257,1)-X258+$D$2))</f>
        <v>1</v>
      </c>
      <c r="AT258" s="19">
        <f>IF(OR($J258=1,COUNTIFS($A$5:$A257,"&gt;="&amp;$A258-1,$A$5:$A257,"&lt;="&amp;$A258,$B$5:$B257,$B258)&gt;0,MIN(1-'Exercise list'!N$2,IF($A258=$A257,AT257,1))-Y258&lt;0),-1,MIN(1,IF($A258=$A257,AT257,1)-Y258+$D$2))</f>
        <v>1</v>
      </c>
      <c r="AU258" s="19">
        <f>IF(OR($J258=1,COUNTIFS($A$5:$A257,"&gt;="&amp;$A258-1,$A$5:$A257,"&lt;="&amp;$A258,$B$5:$B257,$B258)&gt;0,MIN(1-'Exercise list'!O$2,IF($A258=$A257,AU257,1))-Z258&lt;0),-1,MIN(1,IF($A258=$A257,AU257,1)-Z258+$D$2))</f>
        <v>1</v>
      </c>
      <c r="AV258" s="19">
        <f>IF(OR($J258=1,COUNTIFS($A$5:$A257,"&gt;="&amp;$A258-1,$A$5:$A257,"&lt;="&amp;$A258,$B$5:$B257,$B258)&gt;0,MIN(1-'Exercise list'!P$2,IF($A258=$A257,AV257,1))-AA258&lt;0),-1,MIN(1,IF($A258=$A257,AV257,1)-AA258+$D$2))</f>
        <v>1</v>
      </c>
      <c r="AW258" s="19">
        <f>IF(OR($J258=1,COUNTIFS($A$5:$A257,"&gt;="&amp;$A258-1,$A$5:$A257,"&lt;="&amp;$A258,$B$5:$B257,$B258)&gt;0,MIN(1-'Exercise list'!Q$2,IF($A258=$A257,AW257,1))-AB258&lt;0),-1,MIN(1,IF($A258=$A257,AW257,1)-AB258+$D$2))</f>
        <v>1</v>
      </c>
      <c r="AX258" s="19">
        <f>IF(OR($J258=1,COUNTIFS($A$5:$A257,"&gt;="&amp;$A258-1,$A$5:$A257,"&lt;="&amp;$A258,$B$5:$B257,$B258)&gt;0,MIN(1-'Exercise list'!R$2,IF($A258=$A257,AX257,1))-AC258&lt;0),-1,MIN(1,IF($A258=$A257,AX257,1)-AC258+$D$2))</f>
        <v>1</v>
      </c>
      <c r="AY258" s="19">
        <f>IF(OR($J258=1,COUNTIFS($A$5:$A257,"&gt;="&amp;$A258-1,$A$5:$A257,"&lt;="&amp;$A258,$B$5:$B257,$B258)&gt;0,MIN(1-'Exercise list'!S$2,IF($A258=$A257,AY257,1))-AD258&lt;0),-1,MIN(1,IF($A258=$A257,AY257,1)-AD258+$D$2))</f>
        <v>1</v>
      </c>
      <c r="AZ258" s="19">
        <f>IF(OR($J258=1,COUNTIFS($A$5:$A257,"&gt;="&amp;$A258-1,$A$5:$A257,"&lt;="&amp;$A258,$B$5:$B257,$B258)&gt;0,MIN(1-'Exercise list'!T$2,IF($A258=$A257,AZ257,1))-AE258&lt;0),-1,MIN(1,IF($A258=$A257,AZ257,1)-AE258+$D$2))</f>
        <v>1</v>
      </c>
      <c r="BA258" s="19">
        <f>IF(OR($J258=1,COUNTIFS($A$5:$A257,"&gt;="&amp;$A258-1,$A$5:$A257,"&lt;="&amp;$A258,$B$5:$B257,$B258)&gt;0,MIN(1-'Exercise list'!U$2,IF($A258=$A257,BA257,1))-AF258&lt;0),-1,MIN(1,IF($A258=$A257,BA257,1)-AF258+$D$2))</f>
        <v>1</v>
      </c>
      <c r="BB258" s="19">
        <f>IF(OR($J258=1,COUNTIFS($A$5:$A257,"&gt;="&amp;$A258-1,$A$5:$A257,"&lt;="&amp;$A258,$B$5:$B257,$B258)&gt;0,MIN(1-'Exercise list'!V$2,IF($A258=$A257,BB257,1))-AG258&lt;0),-1,MIN(1,IF($A258=$A257,BB257,1)-AG258+$D$2))</f>
        <v>1</v>
      </c>
      <c r="BC258" s="19">
        <f>IF(OR($J258=1,COUNTIFS($A$5:$A257,"&gt;="&amp;$A258-1,$A$5:$A257,"&lt;="&amp;$A258,$B$5:$B257,$B258)&gt;0,MIN(1-'Exercise list'!W$2,IF($A258=$A257,BC257,1))-AH258&lt;0),-1,MIN(1,IF($A258=$A257,BC257,1)-AH258+$D$2))</f>
        <v>1</v>
      </c>
      <c r="BD258" s="19">
        <f>IF(OR($J258=1,COUNTIFS($A$5:$A257,"&gt;="&amp;$A258-1,$A$5:$A257,"&lt;="&amp;$A258,$B$5:$B257,$B258)&gt;0,MIN(1-'Exercise list'!X$2,IF($A258=$A257,BD257,1))-AI258&lt;0),-1,MIN(1,IF($A258=$A257,BD257,1)-AI258+$D$2))</f>
        <v>1</v>
      </c>
      <c r="BE258" s="19"/>
      <c r="BF258" s="23">
        <f t="shared" si="189"/>
        <v>0.19596031081758858</v>
      </c>
      <c r="BG258" s="23">
        <f t="shared" si="190"/>
        <v>0.21844636935459236</v>
      </c>
      <c r="BH258" s="23">
        <f t="shared" si="191"/>
        <v>0.14609696635987124</v>
      </c>
      <c r="BI258" s="23">
        <f t="shared" si="192"/>
        <v>0.13198015366034541</v>
      </c>
      <c r="BJ258" s="23">
        <f t="shared" si="193"/>
        <v>8.3367914198418713E-2</v>
      </c>
      <c r="BK258" s="23">
        <f t="shared" si="194"/>
        <v>0.10640640223148412</v>
      </c>
      <c r="BL258" s="23">
        <f t="shared" si="195"/>
        <v>0.21963504743569431</v>
      </c>
      <c r="BM258" s="23">
        <f t="shared" si="196"/>
        <v>3.8988008374820568E-3</v>
      </c>
      <c r="BN258" s="23">
        <f t="shared" si="197"/>
        <v>0.14537706087090876</v>
      </c>
      <c r="BO258" s="23">
        <f t="shared" si="198"/>
        <v>0.29209790661993401</v>
      </c>
      <c r="BP258" s="23">
        <f t="shared" si="199"/>
        <v>0.31584545163401867</v>
      </c>
      <c r="BQ258" s="23">
        <f t="shared" si="200"/>
        <v>0.1000007994126096</v>
      </c>
      <c r="BR258" s="23">
        <f t="shared" si="201"/>
        <v>0.13164487759885393</v>
      </c>
      <c r="BS258" s="23">
        <f t="shared" si="202"/>
        <v>2.9803550189863123E-2</v>
      </c>
      <c r="BT258" s="23">
        <f t="shared" si="203"/>
        <v>0.13492040904978705</v>
      </c>
      <c r="BU258" s="23">
        <f t="shared" si="204"/>
        <v>0.11703687414398131</v>
      </c>
      <c r="BV258" s="23">
        <f t="shared" si="205"/>
        <v>0.14633353213781661</v>
      </c>
      <c r="BW258" s="23">
        <f t="shared" si="206"/>
        <v>7.5588015111767173E-2</v>
      </c>
      <c r="BX258" s="23">
        <f t="shared" si="207"/>
        <v>8.0345659937185704E-2</v>
      </c>
      <c r="BY258" s="23">
        <f t="shared" si="208"/>
        <v>5.9014643151272549E-2</v>
      </c>
      <c r="BZ258" s="19"/>
      <c r="CA258" s="23" t="str">
        <f t="shared" si="185"/>
        <v/>
      </c>
      <c r="CB258" s="23" t="str">
        <f t="shared" si="166"/>
        <v/>
      </c>
      <c r="CC258" s="23" t="str">
        <f t="shared" si="167"/>
        <v/>
      </c>
      <c r="CD258" s="23" t="str">
        <f t="shared" si="168"/>
        <v/>
      </c>
      <c r="CE258" s="23" t="str">
        <f t="shared" si="169"/>
        <v/>
      </c>
      <c r="CF258" s="23" t="str">
        <f t="shared" si="170"/>
        <v/>
      </c>
      <c r="CG258" s="23" t="str">
        <f t="shared" si="171"/>
        <v/>
      </c>
      <c r="CH258" s="23" t="str">
        <f t="shared" si="172"/>
        <v/>
      </c>
      <c r="CI258" s="23" t="str">
        <f t="shared" si="173"/>
        <v/>
      </c>
      <c r="CJ258" s="23" t="str">
        <f t="shared" si="174"/>
        <v/>
      </c>
      <c r="CK258" s="23" t="str">
        <f t="shared" si="175"/>
        <v/>
      </c>
      <c r="CL258" s="23" t="str">
        <f t="shared" si="176"/>
        <v/>
      </c>
      <c r="CM258" s="23" t="str">
        <f t="shared" si="177"/>
        <v/>
      </c>
      <c r="CN258" s="23" t="str">
        <f t="shared" si="178"/>
        <v/>
      </c>
      <c r="CO258" s="23" t="str">
        <f t="shared" si="179"/>
        <v/>
      </c>
      <c r="CP258" s="23" t="str">
        <f t="shared" si="180"/>
        <v/>
      </c>
      <c r="CQ258" s="23" t="str">
        <f t="shared" si="181"/>
        <v/>
      </c>
      <c r="CR258" s="23" t="str">
        <f t="shared" si="182"/>
        <v/>
      </c>
      <c r="CS258" s="23" t="str">
        <f t="shared" si="183"/>
        <v/>
      </c>
      <c r="CT258" s="23" t="str">
        <f t="shared" si="184"/>
        <v/>
      </c>
      <c r="CU258" s="19"/>
    </row>
    <row r="259" spans="1:99" x14ac:dyDescent="0.25">
      <c r="A259" s="13"/>
      <c r="B259" s="14"/>
      <c r="C259" s="15" t="str" cm="1">
        <f t="array" ref="C259">IF(B259="","",INDEX('Exercise list'!$C$5:$C$102,B259))</f>
        <v/>
      </c>
      <c r="D259" s="12" t="str">
        <f t="shared" si="186"/>
        <v/>
      </c>
      <c r="E259" s="107" t="str">
        <f t="shared" si="209"/>
        <v/>
      </c>
      <c r="F259" s="63" t="str" cm="1">
        <f t="array" ref="F259">IF(B259="","",0.1+IFERROR(INDEX($F$6:$F258,SUMPRODUCT(MAX(ROW($C$6:$C258)*($C259=$C$6:$C258))-ROW($A$5)))*0.9^($A259-INDEX($A$6:A258,SUMPRODUCT(MAX(ROW($C$6:$C258)*($C259=$C$6:$C258))-ROW($A$5)))),0))</f>
        <v/>
      </c>
      <c r="G259" s="64" t="e">
        <f>INDEX('Exercise list'!$Y$5:$Y$102,MATCH(C259,'Exercise list'!$C$5:$C$102,0))</f>
        <v>#N/A</v>
      </c>
      <c r="H259" s="115">
        <f t="shared" si="187"/>
        <v>0</v>
      </c>
      <c r="I259" s="42">
        <f t="shared" si="188"/>
        <v>5</v>
      </c>
      <c r="J259" s="6" t="str" cm="1">
        <f t="array" ref="J259">IF(B259="","",INDEX('Exercise list'!$D$5:$D$102,B259))</f>
        <v/>
      </c>
      <c r="K259" s="12"/>
      <c r="L259" s="74" t="str" cm="1">
        <f t="array" ref="L259">IF(K259="","",INDEX('Exercise list'!$C$5:$C$102,K259))</f>
        <v/>
      </c>
      <c r="M259" s="6"/>
      <c r="N259" s="75" t="str" cm="1">
        <f t="array" ref="N259">IF(M259="","",INDEX('Exercise list'!$C$5:$C$102,M259))</f>
        <v/>
      </c>
      <c r="P259">
        <f>IFERROR(INDEX('Exercise list'!$E$5:$X$102,MATCH($C259,'Exercise list'!$C$5:$C$102,0),MATCH(P$5,'Exercise list'!$E$4:$X$4,0)),0)</f>
        <v>0</v>
      </c>
      <c r="Q259">
        <f>IFERROR(INDEX('Exercise list'!$E$5:$X$102,MATCH($C259,'Exercise list'!$C$5:$C$102,0),MATCH(Q$5,'Exercise list'!$E$4:$X$4,0)),0)</f>
        <v>0</v>
      </c>
      <c r="R259">
        <f>IFERROR(INDEX('Exercise list'!$E$5:$X$102,MATCH($C259,'Exercise list'!$C$5:$C$102,0),MATCH(R$5,'Exercise list'!$E$4:$X$4,0)),0)</f>
        <v>0</v>
      </c>
      <c r="S259">
        <f>IFERROR(INDEX('Exercise list'!$E$5:$X$102,MATCH($C259,'Exercise list'!$C$5:$C$102,0),MATCH(S$5,'Exercise list'!$E$4:$X$4,0)),0)</f>
        <v>0</v>
      </c>
      <c r="T259">
        <f>IFERROR(INDEX('Exercise list'!$E$5:$X$102,MATCH($C259,'Exercise list'!$C$5:$C$102,0),MATCH(T$5,'Exercise list'!$E$4:$X$4,0)),0)</f>
        <v>0</v>
      </c>
      <c r="U259">
        <f>IFERROR(INDEX('Exercise list'!$E$5:$X$102,MATCH($C259,'Exercise list'!$C$5:$C$102,0),MATCH(U$5,'Exercise list'!$E$4:$X$4,0)),0)</f>
        <v>0</v>
      </c>
      <c r="V259">
        <f>IFERROR(INDEX('Exercise list'!$E$5:$X$102,MATCH($C259,'Exercise list'!$C$5:$C$102,0),MATCH(V$5,'Exercise list'!$E$4:$X$4,0)),0)</f>
        <v>0</v>
      </c>
      <c r="W259">
        <f>IFERROR(INDEX('Exercise list'!$E$5:$X$102,MATCH($C259,'Exercise list'!$C$5:$C$102,0),MATCH(W$5,'Exercise list'!$E$4:$X$4,0)),0)</f>
        <v>0</v>
      </c>
      <c r="X259">
        <f>IFERROR(INDEX('Exercise list'!$E$5:$X$102,MATCH($C259,'Exercise list'!$C$5:$C$102,0),MATCH(X$5,'Exercise list'!$E$4:$X$4,0)),0)</f>
        <v>0</v>
      </c>
      <c r="Y259">
        <f>IFERROR(INDEX('Exercise list'!$E$5:$X$102,MATCH($C259,'Exercise list'!$C$5:$C$102,0),MATCH(Y$5,'Exercise list'!$E$4:$X$4,0)),0)</f>
        <v>0</v>
      </c>
      <c r="Z259">
        <f>IFERROR(INDEX('Exercise list'!$E$5:$X$102,MATCH($C259,'Exercise list'!$C$5:$C$102,0),MATCH(Z$5,'Exercise list'!$E$4:$X$4,0)),0)</f>
        <v>0</v>
      </c>
      <c r="AA259">
        <f>IFERROR(INDEX('Exercise list'!$E$5:$X$102,MATCH($C259,'Exercise list'!$C$5:$C$102,0),MATCH(AA$5,'Exercise list'!$E$4:$X$4,0)),0)</f>
        <v>0</v>
      </c>
      <c r="AB259">
        <f>IFERROR(INDEX('Exercise list'!$E$5:$X$102,MATCH($C259,'Exercise list'!$C$5:$C$102,0),MATCH(AB$5,'Exercise list'!$E$4:$X$4,0)),0)</f>
        <v>0</v>
      </c>
      <c r="AC259">
        <f>IFERROR(INDEX('Exercise list'!$E$5:$X$102,MATCH($C259,'Exercise list'!$C$5:$C$102,0),MATCH(AC$5,'Exercise list'!$E$4:$X$4,0)),0)</f>
        <v>0</v>
      </c>
      <c r="AD259">
        <f>IFERROR(INDEX('Exercise list'!$E$5:$X$102,MATCH($C259,'Exercise list'!$C$5:$C$102,0),MATCH(AD$5,'Exercise list'!$E$4:$X$4,0)),0)</f>
        <v>0</v>
      </c>
      <c r="AE259">
        <f>IFERROR(INDEX('Exercise list'!$E$5:$X$102,MATCH($C259,'Exercise list'!$C$5:$C$102,0),MATCH(AE$5,'Exercise list'!$E$4:$X$4,0)),0)</f>
        <v>0</v>
      </c>
      <c r="AF259">
        <f>IFERROR(INDEX('Exercise list'!$E$5:$X$102,MATCH($C259,'Exercise list'!$C$5:$C$102,0),MATCH(AF$5,'Exercise list'!$E$4:$X$4,0)),0)</f>
        <v>0</v>
      </c>
      <c r="AG259">
        <f>IFERROR(INDEX('Exercise list'!$E$5:$X$102,MATCH($C259,'Exercise list'!$C$5:$C$102,0),MATCH(AG$5,'Exercise list'!$E$4:$X$4,0)),0)</f>
        <v>0</v>
      </c>
      <c r="AH259">
        <f>IFERROR(INDEX('Exercise list'!$E$5:$X$102,MATCH($C259,'Exercise list'!$C$5:$C$102,0),MATCH(AH$5,'Exercise list'!$E$4:$X$4,0)),0)</f>
        <v>0</v>
      </c>
      <c r="AI259">
        <f>IFERROR(INDEX('Exercise list'!$E$5:$X$102,MATCH($C259,'Exercise list'!$C$5:$C$102,0),MATCH(AI$5,'Exercise list'!$E$4:$X$4,0)),0)</f>
        <v>0</v>
      </c>
      <c r="AK259">
        <f>IF(OR($J259=1,COUNTIFS($A$5:$A258,"&gt;="&amp;$A259-1,$A$5:$A258,"&lt;="&amp;$A259,$B$5:$B258,$B259)&gt;0,MIN(1-'Exercise list'!E$2,IF($A259=$A258,AK258,1))-P259&lt;0),-1,MIN(1,IF($A259=$A258,AK258,1)-P259+$D$2))</f>
        <v>1</v>
      </c>
      <c r="AL259">
        <f>IF(OR($J259=1,COUNTIFS($A$5:$A258,"&gt;="&amp;$A259-1,$A$5:$A258,"&lt;="&amp;$A259,$B$5:$B258,$B259)&gt;0,MIN(1-'Exercise list'!F$2,IF($A259=$A258,AL258,1))-Q259&lt;0),-1,MIN(1,IF($A259=$A258,AL258,1)-Q259+$D$2))</f>
        <v>1</v>
      </c>
      <c r="AM259">
        <f>IF(OR($J259=1,COUNTIFS($A$5:$A258,"&gt;="&amp;$A259-1,$A$5:$A258,"&lt;="&amp;$A259,$B$5:$B258,$B259)&gt;0,MIN(1-'Exercise list'!G$2,IF($A259=$A258,AM258,1))-R259&lt;0),-1,MIN(1,IF($A259=$A258,AM258,1)-R259+$D$2))</f>
        <v>1</v>
      </c>
      <c r="AN259">
        <f>IF(OR($J259=1,COUNTIFS($A$5:$A258,"&gt;="&amp;$A259-1,$A$5:$A258,"&lt;="&amp;$A259,$B$5:$B258,$B259)&gt;0,MIN(1-'Exercise list'!H$2,IF($A259=$A258,AN258,1))-S259&lt;0),-1,MIN(1,IF($A259=$A258,AN258,1)-S259+$D$2))</f>
        <v>1</v>
      </c>
      <c r="AO259">
        <f>IF(OR($J259=1,COUNTIFS($A$5:$A258,"&gt;="&amp;$A259-1,$A$5:$A258,"&lt;="&amp;$A259,$B$5:$B258,$B259)&gt;0,MIN(1-'Exercise list'!I$2,IF($A259=$A258,AO258,1))-T259&lt;0),-1,MIN(1,IF($A259=$A258,AO258,1)-T259+$D$2))</f>
        <v>1</v>
      </c>
      <c r="AP259">
        <f>IF(OR($J259=1,COUNTIFS($A$5:$A258,"&gt;="&amp;$A259-1,$A$5:$A258,"&lt;="&amp;$A259,$B$5:$B258,$B259)&gt;0,MIN(1-'Exercise list'!J$2,IF($A259=$A258,AP258,1))-U259&lt;0),-1,MIN(1,IF($A259=$A258,AP258,1)-U259+$D$2))</f>
        <v>1</v>
      </c>
      <c r="AQ259">
        <f>IF(OR($J259=1,COUNTIFS($A$5:$A258,"&gt;="&amp;$A259-1,$A$5:$A258,"&lt;="&amp;$A259,$B$5:$B258,$B259)&gt;0,MIN(1-'Exercise list'!K$2,IF($A259=$A258,AQ258,1))-V259&lt;0),-1,MIN(1,IF($A259=$A258,AQ258,1)-V259+$D$2))</f>
        <v>1</v>
      </c>
      <c r="AR259">
        <f>IF(OR($J259=1,COUNTIFS($A$5:$A258,"&gt;="&amp;$A259-1,$A$5:$A258,"&lt;="&amp;$A259,$B$5:$B258,$B259)&gt;0,MIN(1-'Exercise list'!L$2,IF($A259=$A258,AR258,1))-W259&lt;0),-1,MIN(1,IF($A259=$A258,AR258,1)-W259+$D$2))</f>
        <v>1</v>
      </c>
      <c r="AS259">
        <f>IF(OR($J259=1,COUNTIFS($A$5:$A258,"&gt;="&amp;$A259-1,$A$5:$A258,"&lt;="&amp;$A259,$B$5:$B258,$B259)&gt;0,MIN(1-'Exercise list'!M$2,IF($A259=$A258,AS258,1))-X259&lt;0),-1,MIN(1,IF($A259=$A258,AS258,1)-X259+$D$2))</f>
        <v>1</v>
      </c>
      <c r="AT259">
        <f>IF(OR($J259=1,COUNTIFS($A$5:$A258,"&gt;="&amp;$A259-1,$A$5:$A258,"&lt;="&amp;$A259,$B$5:$B258,$B259)&gt;0,MIN(1-'Exercise list'!N$2,IF($A259=$A258,AT258,1))-Y259&lt;0),-1,MIN(1,IF($A259=$A258,AT258,1)-Y259+$D$2))</f>
        <v>1</v>
      </c>
      <c r="AU259">
        <f>IF(OR($J259=1,COUNTIFS($A$5:$A258,"&gt;="&amp;$A259-1,$A$5:$A258,"&lt;="&amp;$A259,$B$5:$B258,$B259)&gt;0,MIN(1-'Exercise list'!O$2,IF($A259=$A258,AU258,1))-Z259&lt;0),-1,MIN(1,IF($A259=$A258,AU258,1)-Z259+$D$2))</f>
        <v>1</v>
      </c>
      <c r="AV259">
        <f>IF(OR($J259=1,COUNTIFS($A$5:$A258,"&gt;="&amp;$A259-1,$A$5:$A258,"&lt;="&amp;$A259,$B$5:$B258,$B259)&gt;0,MIN(1-'Exercise list'!P$2,IF($A259=$A258,AV258,1))-AA259&lt;0),-1,MIN(1,IF($A259=$A258,AV258,1)-AA259+$D$2))</f>
        <v>1</v>
      </c>
      <c r="AW259">
        <f>IF(OR($J259=1,COUNTIFS($A$5:$A258,"&gt;="&amp;$A259-1,$A$5:$A258,"&lt;="&amp;$A259,$B$5:$B258,$B259)&gt;0,MIN(1-'Exercise list'!Q$2,IF($A259=$A258,AW258,1))-AB259&lt;0),-1,MIN(1,IF($A259=$A258,AW258,1)-AB259+$D$2))</f>
        <v>1</v>
      </c>
      <c r="AX259">
        <f>IF(OR($J259=1,COUNTIFS($A$5:$A258,"&gt;="&amp;$A259-1,$A$5:$A258,"&lt;="&amp;$A259,$B$5:$B258,$B259)&gt;0,MIN(1-'Exercise list'!R$2,IF($A259=$A258,AX258,1))-AC259&lt;0),-1,MIN(1,IF($A259=$A258,AX258,1)-AC259+$D$2))</f>
        <v>1</v>
      </c>
      <c r="AY259">
        <f>IF(OR($J259=1,COUNTIFS($A$5:$A258,"&gt;="&amp;$A259-1,$A$5:$A258,"&lt;="&amp;$A259,$B$5:$B258,$B259)&gt;0,MIN(1-'Exercise list'!S$2,IF($A259=$A258,AY258,1))-AD259&lt;0),-1,MIN(1,IF($A259=$A258,AY258,1)-AD259+$D$2))</f>
        <v>1</v>
      </c>
      <c r="AZ259">
        <f>IF(OR($J259=1,COUNTIFS($A$5:$A258,"&gt;="&amp;$A259-1,$A$5:$A258,"&lt;="&amp;$A259,$B$5:$B258,$B259)&gt;0,MIN(1-'Exercise list'!T$2,IF($A259=$A258,AZ258,1))-AE259&lt;0),-1,MIN(1,IF($A259=$A258,AZ258,1)-AE259+$D$2))</f>
        <v>1</v>
      </c>
      <c r="BA259">
        <f>IF(OR($J259=1,COUNTIFS($A$5:$A258,"&gt;="&amp;$A259-1,$A$5:$A258,"&lt;="&amp;$A259,$B$5:$B258,$B259)&gt;0,MIN(1-'Exercise list'!U$2,IF($A259=$A258,BA258,1))-AF259&lt;0),-1,MIN(1,IF($A259=$A258,BA258,1)-AF259+$D$2))</f>
        <v>1</v>
      </c>
      <c r="BB259">
        <f>IF(OR($J259=1,COUNTIFS($A$5:$A258,"&gt;="&amp;$A259-1,$A$5:$A258,"&lt;="&amp;$A259,$B$5:$B258,$B259)&gt;0,MIN(1-'Exercise list'!V$2,IF($A259=$A258,BB258,1))-AG259&lt;0),-1,MIN(1,IF($A259=$A258,BB258,1)-AG259+$D$2))</f>
        <v>1</v>
      </c>
      <c r="BC259">
        <f>IF(OR($J259=1,COUNTIFS($A$5:$A258,"&gt;="&amp;$A259-1,$A$5:$A258,"&lt;="&amp;$A259,$B$5:$B258,$B259)&gt;0,MIN(1-'Exercise list'!W$2,IF($A259=$A258,BC258,1))-AH259&lt;0),-1,MIN(1,IF($A259=$A258,BC258,1)-AH259+$D$2))</f>
        <v>1</v>
      </c>
      <c r="BD259">
        <f>IF(OR($J259=1,COUNTIFS($A$5:$A258,"&gt;="&amp;$A259-1,$A$5:$A258,"&lt;="&amp;$A259,$B$5:$B258,$B259)&gt;0,MIN(1-'Exercise list'!X$2,IF($A259=$A258,BD258,1))-AI259&lt;0),-1,MIN(1,IF($A259=$A258,BD258,1)-AI259+$D$2))</f>
        <v>1</v>
      </c>
      <c r="BF259" s="16">
        <f t="shared" si="189"/>
        <v>0.19596031081758858</v>
      </c>
      <c r="BG259" s="16">
        <f t="shared" si="190"/>
        <v>0.21844636935459236</v>
      </c>
      <c r="BH259" s="16">
        <f t="shared" si="191"/>
        <v>0.14609696635987124</v>
      </c>
      <c r="BI259" s="16">
        <f t="shared" si="192"/>
        <v>0.13198015366034541</v>
      </c>
      <c r="BJ259" s="16">
        <f t="shared" si="193"/>
        <v>8.3367914198418713E-2</v>
      </c>
      <c r="BK259" s="16">
        <f t="shared" si="194"/>
        <v>0.10640640223148412</v>
      </c>
      <c r="BL259" s="16">
        <f t="shared" si="195"/>
        <v>0.21963504743569431</v>
      </c>
      <c r="BM259" s="16">
        <f t="shared" si="196"/>
        <v>3.8988008374820568E-3</v>
      </c>
      <c r="BN259" s="16">
        <f t="shared" si="197"/>
        <v>0.14537706087090876</v>
      </c>
      <c r="BO259" s="16">
        <f t="shared" si="198"/>
        <v>0.29209790661993401</v>
      </c>
      <c r="BP259" s="16">
        <f t="shared" si="199"/>
        <v>0.31584545163401867</v>
      </c>
      <c r="BQ259" s="16">
        <f t="shared" si="200"/>
        <v>0.1000007994126096</v>
      </c>
      <c r="BR259" s="16">
        <f t="shared" si="201"/>
        <v>0.13164487759885393</v>
      </c>
      <c r="BS259" s="16">
        <f t="shared" si="202"/>
        <v>2.9803550189863123E-2</v>
      </c>
      <c r="BT259" s="16">
        <f t="shared" si="203"/>
        <v>0.13492040904978705</v>
      </c>
      <c r="BU259" s="16">
        <f t="shared" si="204"/>
        <v>0.11703687414398131</v>
      </c>
      <c r="BV259" s="16">
        <f t="shared" si="205"/>
        <v>0.14633353213781661</v>
      </c>
      <c r="BW259" s="16">
        <f t="shared" si="206"/>
        <v>7.5588015111767173E-2</v>
      </c>
      <c r="BX259" s="16">
        <f t="shared" si="207"/>
        <v>8.0345659937185704E-2</v>
      </c>
      <c r="BY259" s="16">
        <f t="shared" si="208"/>
        <v>5.9014643151272549E-2</v>
      </c>
      <c r="CA259" s="16" t="str">
        <f t="shared" si="185"/>
        <v/>
      </c>
      <c r="CB259" s="16" t="str">
        <f t="shared" si="166"/>
        <v/>
      </c>
      <c r="CC259" s="16" t="str">
        <f t="shared" si="167"/>
        <v/>
      </c>
      <c r="CD259" s="16" t="str">
        <f t="shared" si="168"/>
        <v/>
      </c>
      <c r="CE259" s="16" t="str">
        <f t="shared" si="169"/>
        <v/>
      </c>
      <c r="CF259" s="16" t="str">
        <f t="shared" si="170"/>
        <v/>
      </c>
      <c r="CG259" s="16" t="str">
        <f t="shared" si="171"/>
        <v/>
      </c>
      <c r="CH259" s="16" t="str">
        <f t="shared" si="172"/>
        <v/>
      </c>
      <c r="CI259" s="16" t="str">
        <f t="shared" si="173"/>
        <v/>
      </c>
      <c r="CJ259" s="16" t="str">
        <f t="shared" si="174"/>
        <v/>
      </c>
      <c r="CK259" s="16" t="str">
        <f t="shared" si="175"/>
        <v/>
      </c>
      <c r="CL259" s="16" t="str">
        <f t="shared" si="176"/>
        <v/>
      </c>
      <c r="CM259" s="16" t="str">
        <f t="shared" si="177"/>
        <v/>
      </c>
      <c r="CN259" s="16" t="str">
        <f t="shared" si="178"/>
        <v/>
      </c>
      <c r="CO259" s="16" t="str">
        <f t="shared" si="179"/>
        <v/>
      </c>
      <c r="CP259" s="16" t="str">
        <f t="shared" si="180"/>
        <v/>
      </c>
      <c r="CQ259" s="16" t="str">
        <f t="shared" si="181"/>
        <v/>
      </c>
      <c r="CR259" s="16" t="str">
        <f t="shared" si="182"/>
        <v/>
      </c>
      <c r="CS259" s="16" t="str">
        <f t="shared" si="183"/>
        <v/>
      </c>
      <c r="CT259" s="16" t="str">
        <f t="shared" si="184"/>
        <v/>
      </c>
    </row>
    <row r="260" spans="1:99" x14ac:dyDescent="0.25">
      <c r="A260" s="13"/>
      <c r="B260" s="14"/>
      <c r="C260" s="15" t="str" cm="1">
        <f t="array" ref="C260">IF(B260="","",INDEX('Exercise list'!$C$5:$C$102,B260))</f>
        <v/>
      </c>
      <c r="D260" s="12" t="str">
        <f t="shared" si="186"/>
        <v/>
      </c>
      <c r="E260" s="107" t="str">
        <f t="shared" si="209"/>
        <v/>
      </c>
      <c r="F260" s="63" t="str" cm="1">
        <f t="array" ref="F260">IF(B260="","",0.1+IFERROR(INDEX($F$6:$F259,SUMPRODUCT(MAX(ROW($C$6:$C259)*($C260=$C$6:$C259))-ROW($A$5)))*0.9^($A260-INDEX($A$6:A259,SUMPRODUCT(MAX(ROW($C$6:$C259)*($C260=$C$6:$C259))-ROW($A$5)))),0))</f>
        <v/>
      </c>
      <c r="G260" s="64" t="e">
        <f>INDEX('Exercise list'!$Y$5:$Y$102,MATCH(C260,'Exercise list'!$C$5:$C$102,0))</f>
        <v>#N/A</v>
      </c>
      <c r="H260" s="115">
        <f t="shared" si="187"/>
        <v>0</v>
      </c>
      <c r="I260" s="6">
        <f t="shared" si="188"/>
        <v>5</v>
      </c>
      <c r="J260" s="6" t="str" cm="1">
        <f t="array" ref="J260">IF(B260="","",INDEX('Exercise list'!$D$5:$D$102,B260))</f>
        <v/>
      </c>
      <c r="K260" s="12"/>
      <c r="L260" s="74" t="str" cm="1">
        <f t="array" ref="L260">IF(K260="","",INDEX('Exercise list'!$C$5:$C$102,K260))</f>
        <v/>
      </c>
      <c r="M260" s="6"/>
      <c r="N260" s="75" t="str" cm="1">
        <f t="array" ref="N260">IF(M260="","",INDEX('Exercise list'!$C$5:$C$102,M260))</f>
        <v/>
      </c>
      <c r="P260">
        <f>IFERROR(INDEX('Exercise list'!$E$5:$X$102,MATCH($C260,'Exercise list'!$C$5:$C$102,0),MATCH(P$5,'Exercise list'!$E$4:$X$4,0)),0)</f>
        <v>0</v>
      </c>
      <c r="Q260">
        <f>IFERROR(INDEX('Exercise list'!$E$5:$X$102,MATCH($C260,'Exercise list'!$C$5:$C$102,0),MATCH(Q$5,'Exercise list'!$E$4:$X$4,0)),0)</f>
        <v>0</v>
      </c>
      <c r="R260">
        <f>IFERROR(INDEX('Exercise list'!$E$5:$X$102,MATCH($C260,'Exercise list'!$C$5:$C$102,0),MATCH(R$5,'Exercise list'!$E$4:$X$4,0)),0)</f>
        <v>0</v>
      </c>
      <c r="S260">
        <f>IFERROR(INDEX('Exercise list'!$E$5:$X$102,MATCH($C260,'Exercise list'!$C$5:$C$102,0),MATCH(S$5,'Exercise list'!$E$4:$X$4,0)),0)</f>
        <v>0</v>
      </c>
      <c r="T260">
        <f>IFERROR(INDEX('Exercise list'!$E$5:$X$102,MATCH($C260,'Exercise list'!$C$5:$C$102,0),MATCH(T$5,'Exercise list'!$E$4:$X$4,0)),0)</f>
        <v>0</v>
      </c>
      <c r="U260">
        <f>IFERROR(INDEX('Exercise list'!$E$5:$X$102,MATCH($C260,'Exercise list'!$C$5:$C$102,0),MATCH(U$5,'Exercise list'!$E$4:$X$4,0)),0)</f>
        <v>0</v>
      </c>
      <c r="V260">
        <f>IFERROR(INDEX('Exercise list'!$E$5:$X$102,MATCH($C260,'Exercise list'!$C$5:$C$102,0),MATCH(V$5,'Exercise list'!$E$4:$X$4,0)),0)</f>
        <v>0</v>
      </c>
      <c r="W260">
        <f>IFERROR(INDEX('Exercise list'!$E$5:$X$102,MATCH($C260,'Exercise list'!$C$5:$C$102,0),MATCH(W$5,'Exercise list'!$E$4:$X$4,0)),0)</f>
        <v>0</v>
      </c>
      <c r="X260">
        <f>IFERROR(INDEX('Exercise list'!$E$5:$X$102,MATCH($C260,'Exercise list'!$C$5:$C$102,0),MATCH(X$5,'Exercise list'!$E$4:$X$4,0)),0)</f>
        <v>0</v>
      </c>
      <c r="Y260">
        <f>IFERROR(INDEX('Exercise list'!$E$5:$X$102,MATCH($C260,'Exercise list'!$C$5:$C$102,0),MATCH(Y$5,'Exercise list'!$E$4:$X$4,0)),0)</f>
        <v>0</v>
      </c>
      <c r="Z260">
        <f>IFERROR(INDEX('Exercise list'!$E$5:$X$102,MATCH($C260,'Exercise list'!$C$5:$C$102,0),MATCH(Z$5,'Exercise list'!$E$4:$X$4,0)),0)</f>
        <v>0</v>
      </c>
      <c r="AA260">
        <f>IFERROR(INDEX('Exercise list'!$E$5:$X$102,MATCH($C260,'Exercise list'!$C$5:$C$102,0),MATCH(AA$5,'Exercise list'!$E$4:$X$4,0)),0)</f>
        <v>0</v>
      </c>
      <c r="AB260">
        <f>IFERROR(INDEX('Exercise list'!$E$5:$X$102,MATCH($C260,'Exercise list'!$C$5:$C$102,0),MATCH(AB$5,'Exercise list'!$E$4:$X$4,0)),0)</f>
        <v>0</v>
      </c>
      <c r="AC260">
        <f>IFERROR(INDEX('Exercise list'!$E$5:$X$102,MATCH($C260,'Exercise list'!$C$5:$C$102,0),MATCH(AC$5,'Exercise list'!$E$4:$X$4,0)),0)</f>
        <v>0</v>
      </c>
      <c r="AD260">
        <f>IFERROR(INDEX('Exercise list'!$E$5:$X$102,MATCH($C260,'Exercise list'!$C$5:$C$102,0),MATCH(AD$5,'Exercise list'!$E$4:$X$4,0)),0)</f>
        <v>0</v>
      </c>
      <c r="AE260">
        <f>IFERROR(INDEX('Exercise list'!$E$5:$X$102,MATCH($C260,'Exercise list'!$C$5:$C$102,0),MATCH(AE$5,'Exercise list'!$E$4:$X$4,0)),0)</f>
        <v>0</v>
      </c>
      <c r="AF260">
        <f>IFERROR(INDEX('Exercise list'!$E$5:$X$102,MATCH($C260,'Exercise list'!$C$5:$C$102,0),MATCH(AF$5,'Exercise list'!$E$4:$X$4,0)),0)</f>
        <v>0</v>
      </c>
      <c r="AG260">
        <f>IFERROR(INDEX('Exercise list'!$E$5:$X$102,MATCH($C260,'Exercise list'!$C$5:$C$102,0),MATCH(AG$5,'Exercise list'!$E$4:$X$4,0)),0)</f>
        <v>0</v>
      </c>
      <c r="AH260">
        <f>IFERROR(INDEX('Exercise list'!$E$5:$X$102,MATCH($C260,'Exercise list'!$C$5:$C$102,0),MATCH(AH$5,'Exercise list'!$E$4:$X$4,0)),0)</f>
        <v>0</v>
      </c>
      <c r="AI260">
        <f>IFERROR(INDEX('Exercise list'!$E$5:$X$102,MATCH($C260,'Exercise list'!$C$5:$C$102,0),MATCH(AI$5,'Exercise list'!$E$4:$X$4,0)),0)</f>
        <v>0</v>
      </c>
      <c r="AK260">
        <f>IF(OR($J260=1,COUNTIFS($A$5:$A259,"&gt;="&amp;$A260-1,$A$5:$A259,"&lt;="&amp;$A260,$B$5:$B259,$B260)&gt;0,MIN(1-'Exercise list'!E$2,IF($A260=$A259,AK259,1))-P260&lt;0),-1,MIN(1,IF($A260=$A259,AK259,1)-P260+$D$2))</f>
        <v>1</v>
      </c>
      <c r="AL260">
        <f>IF(OR($J260=1,COUNTIFS($A$5:$A259,"&gt;="&amp;$A260-1,$A$5:$A259,"&lt;="&amp;$A260,$B$5:$B259,$B260)&gt;0,MIN(1-'Exercise list'!F$2,IF($A260=$A259,AL259,1))-Q260&lt;0),-1,MIN(1,IF($A260=$A259,AL259,1)-Q260+$D$2))</f>
        <v>1</v>
      </c>
      <c r="AM260">
        <f>IF(OR($J260=1,COUNTIFS($A$5:$A259,"&gt;="&amp;$A260-1,$A$5:$A259,"&lt;="&amp;$A260,$B$5:$B259,$B260)&gt;0,MIN(1-'Exercise list'!G$2,IF($A260=$A259,AM259,1))-R260&lt;0),-1,MIN(1,IF($A260=$A259,AM259,1)-R260+$D$2))</f>
        <v>1</v>
      </c>
      <c r="AN260">
        <f>IF(OR($J260=1,COUNTIFS($A$5:$A259,"&gt;="&amp;$A260-1,$A$5:$A259,"&lt;="&amp;$A260,$B$5:$B259,$B260)&gt;0,MIN(1-'Exercise list'!H$2,IF($A260=$A259,AN259,1))-S260&lt;0),-1,MIN(1,IF($A260=$A259,AN259,1)-S260+$D$2))</f>
        <v>1</v>
      </c>
      <c r="AO260">
        <f>IF(OR($J260=1,COUNTIFS($A$5:$A259,"&gt;="&amp;$A260-1,$A$5:$A259,"&lt;="&amp;$A260,$B$5:$B259,$B260)&gt;0,MIN(1-'Exercise list'!I$2,IF($A260=$A259,AO259,1))-T260&lt;0),-1,MIN(1,IF($A260=$A259,AO259,1)-T260+$D$2))</f>
        <v>1</v>
      </c>
      <c r="AP260">
        <f>IF(OR($J260=1,COUNTIFS($A$5:$A259,"&gt;="&amp;$A260-1,$A$5:$A259,"&lt;="&amp;$A260,$B$5:$B259,$B260)&gt;0,MIN(1-'Exercise list'!J$2,IF($A260=$A259,AP259,1))-U260&lt;0),-1,MIN(1,IF($A260=$A259,AP259,1)-U260+$D$2))</f>
        <v>1</v>
      </c>
      <c r="AQ260">
        <f>IF(OR($J260=1,COUNTIFS($A$5:$A259,"&gt;="&amp;$A260-1,$A$5:$A259,"&lt;="&amp;$A260,$B$5:$B259,$B260)&gt;0,MIN(1-'Exercise list'!K$2,IF($A260=$A259,AQ259,1))-V260&lt;0),-1,MIN(1,IF($A260=$A259,AQ259,1)-V260+$D$2))</f>
        <v>1</v>
      </c>
      <c r="AR260">
        <f>IF(OR($J260=1,COUNTIFS($A$5:$A259,"&gt;="&amp;$A260-1,$A$5:$A259,"&lt;="&amp;$A260,$B$5:$B259,$B260)&gt;0,MIN(1-'Exercise list'!L$2,IF($A260=$A259,AR259,1))-W260&lt;0),-1,MIN(1,IF($A260=$A259,AR259,1)-W260+$D$2))</f>
        <v>1</v>
      </c>
      <c r="AS260">
        <f>IF(OR($J260=1,COUNTIFS($A$5:$A259,"&gt;="&amp;$A260-1,$A$5:$A259,"&lt;="&amp;$A260,$B$5:$B259,$B260)&gt;0,MIN(1-'Exercise list'!M$2,IF($A260=$A259,AS259,1))-X260&lt;0),-1,MIN(1,IF($A260=$A259,AS259,1)-X260+$D$2))</f>
        <v>1</v>
      </c>
      <c r="AT260">
        <f>IF(OR($J260=1,COUNTIFS($A$5:$A259,"&gt;="&amp;$A260-1,$A$5:$A259,"&lt;="&amp;$A260,$B$5:$B259,$B260)&gt;0,MIN(1-'Exercise list'!N$2,IF($A260=$A259,AT259,1))-Y260&lt;0),-1,MIN(1,IF($A260=$A259,AT259,1)-Y260+$D$2))</f>
        <v>1</v>
      </c>
      <c r="AU260">
        <f>IF(OR($J260=1,COUNTIFS($A$5:$A259,"&gt;="&amp;$A260-1,$A$5:$A259,"&lt;="&amp;$A260,$B$5:$B259,$B260)&gt;0,MIN(1-'Exercise list'!O$2,IF($A260=$A259,AU259,1))-Z260&lt;0),-1,MIN(1,IF($A260=$A259,AU259,1)-Z260+$D$2))</f>
        <v>1</v>
      </c>
      <c r="AV260">
        <f>IF(OR($J260=1,COUNTIFS($A$5:$A259,"&gt;="&amp;$A260-1,$A$5:$A259,"&lt;="&amp;$A260,$B$5:$B259,$B260)&gt;0,MIN(1-'Exercise list'!P$2,IF($A260=$A259,AV259,1))-AA260&lt;0),-1,MIN(1,IF($A260=$A259,AV259,1)-AA260+$D$2))</f>
        <v>1</v>
      </c>
      <c r="AW260">
        <f>IF(OR($J260=1,COUNTIFS($A$5:$A259,"&gt;="&amp;$A260-1,$A$5:$A259,"&lt;="&amp;$A260,$B$5:$B259,$B260)&gt;0,MIN(1-'Exercise list'!Q$2,IF($A260=$A259,AW259,1))-AB260&lt;0),-1,MIN(1,IF($A260=$A259,AW259,1)-AB260+$D$2))</f>
        <v>1</v>
      </c>
      <c r="AX260">
        <f>IF(OR($J260=1,COUNTIFS($A$5:$A259,"&gt;="&amp;$A260-1,$A$5:$A259,"&lt;="&amp;$A260,$B$5:$B259,$B260)&gt;0,MIN(1-'Exercise list'!R$2,IF($A260=$A259,AX259,1))-AC260&lt;0),-1,MIN(1,IF($A260=$A259,AX259,1)-AC260+$D$2))</f>
        <v>1</v>
      </c>
      <c r="AY260">
        <f>IF(OR($J260=1,COUNTIFS($A$5:$A259,"&gt;="&amp;$A260-1,$A$5:$A259,"&lt;="&amp;$A260,$B$5:$B259,$B260)&gt;0,MIN(1-'Exercise list'!S$2,IF($A260=$A259,AY259,1))-AD260&lt;0),-1,MIN(1,IF($A260=$A259,AY259,1)-AD260+$D$2))</f>
        <v>1</v>
      </c>
      <c r="AZ260">
        <f>IF(OR($J260=1,COUNTIFS($A$5:$A259,"&gt;="&amp;$A260-1,$A$5:$A259,"&lt;="&amp;$A260,$B$5:$B259,$B260)&gt;0,MIN(1-'Exercise list'!T$2,IF($A260=$A259,AZ259,1))-AE260&lt;0),-1,MIN(1,IF($A260=$A259,AZ259,1)-AE260+$D$2))</f>
        <v>1</v>
      </c>
      <c r="BA260">
        <f>IF(OR($J260=1,COUNTIFS($A$5:$A259,"&gt;="&amp;$A260-1,$A$5:$A259,"&lt;="&amp;$A260,$B$5:$B259,$B260)&gt;0,MIN(1-'Exercise list'!U$2,IF($A260=$A259,BA259,1))-AF260&lt;0),-1,MIN(1,IF($A260=$A259,BA259,1)-AF260+$D$2))</f>
        <v>1</v>
      </c>
      <c r="BB260">
        <f>IF(OR($J260=1,COUNTIFS($A$5:$A259,"&gt;="&amp;$A260-1,$A$5:$A259,"&lt;="&amp;$A260,$B$5:$B259,$B260)&gt;0,MIN(1-'Exercise list'!V$2,IF($A260=$A259,BB259,1))-AG260&lt;0),-1,MIN(1,IF($A260=$A259,BB259,1)-AG260+$D$2))</f>
        <v>1</v>
      </c>
      <c r="BC260">
        <f>IF(OR($J260=1,COUNTIFS($A$5:$A259,"&gt;="&amp;$A260-1,$A$5:$A259,"&lt;="&amp;$A260,$B$5:$B259,$B260)&gt;0,MIN(1-'Exercise list'!W$2,IF($A260=$A259,BC259,1))-AH260&lt;0),-1,MIN(1,IF($A260=$A259,BC259,1)-AH260+$D$2))</f>
        <v>1</v>
      </c>
      <c r="BD260">
        <f>IF(OR($J260=1,COUNTIFS($A$5:$A259,"&gt;="&amp;$A260-1,$A$5:$A259,"&lt;="&amp;$A260,$B$5:$B259,$B260)&gt;0,MIN(1-'Exercise list'!X$2,IF($A260=$A259,BD259,1))-AI260&lt;0),-1,MIN(1,IF($A260=$A259,BD259,1)-AI260+$D$2))</f>
        <v>1</v>
      </c>
      <c r="BF260" s="16">
        <f t="shared" si="189"/>
        <v>0.19596031081758858</v>
      </c>
      <c r="BG260" s="16">
        <f t="shared" si="190"/>
        <v>0.21844636935459236</v>
      </c>
      <c r="BH260" s="16">
        <f t="shared" si="191"/>
        <v>0.14609696635987124</v>
      </c>
      <c r="BI260" s="16">
        <f t="shared" si="192"/>
        <v>0.13198015366034541</v>
      </c>
      <c r="BJ260" s="16">
        <f t="shared" si="193"/>
        <v>8.3367914198418713E-2</v>
      </c>
      <c r="BK260" s="16">
        <f t="shared" si="194"/>
        <v>0.10640640223148412</v>
      </c>
      <c r="BL260" s="16">
        <f t="shared" si="195"/>
        <v>0.21963504743569431</v>
      </c>
      <c r="BM260" s="16">
        <f t="shared" si="196"/>
        <v>3.8988008374820568E-3</v>
      </c>
      <c r="BN260" s="16">
        <f t="shared" si="197"/>
        <v>0.14537706087090876</v>
      </c>
      <c r="BO260" s="16">
        <f t="shared" si="198"/>
        <v>0.29209790661993401</v>
      </c>
      <c r="BP260" s="16">
        <f t="shared" si="199"/>
        <v>0.31584545163401867</v>
      </c>
      <c r="BQ260" s="16">
        <f t="shared" si="200"/>
        <v>0.1000007994126096</v>
      </c>
      <c r="BR260" s="16">
        <f t="shared" si="201"/>
        <v>0.13164487759885393</v>
      </c>
      <c r="BS260" s="16">
        <f t="shared" si="202"/>
        <v>2.9803550189863123E-2</v>
      </c>
      <c r="BT260" s="16">
        <f t="shared" si="203"/>
        <v>0.13492040904978705</v>
      </c>
      <c r="BU260" s="16">
        <f t="shared" si="204"/>
        <v>0.11703687414398131</v>
      </c>
      <c r="BV260" s="16">
        <f t="shared" si="205"/>
        <v>0.14633353213781661</v>
      </c>
      <c r="BW260" s="16">
        <f t="shared" si="206"/>
        <v>7.5588015111767173E-2</v>
      </c>
      <c r="BX260" s="16">
        <f t="shared" si="207"/>
        <v>8.0345659937185704E-2</v>
      </c>
      <c r="BY260" s="16">
        <f t="shared" si="208"/>
        <v>5.9014643151272549E-2</v>
      </c>
      <c r="CA260" s="16" t="str">
        <f t="shared" si="185"/>
        <v/>
      </c>
      <c r="CB260" s="16" t="str">
        <f t="shared" si="166"/>
        <v/>
      </c>
      <c r="CC260" s="16" t="str">
        <f t="shared" si="167"/>
        <v/>
      </c>
      <c r="CD260" s="16" t="str">
        <f t="shared" si="168"/>
        <v/>
      </c>
      <c r="CE260" s="16" t="str">
        <f t="shared" si="169"/>
        <v/>
      </c>
      <c r="CF260" s="16" t="str">
        <f t="shared" si="170"/>
        <v/>
      </c>
      <c r="CG260" s="16" t="str">
        <f t="shared" si="171"/>
        <v/>
      </c>
      <c r="CH260" s="16" t="str">
        <f t="shared" si="172"/>
        <v/>
      </c>
      <c r="CI260" s="16" t="str">
        <f t="shared" si="173"/>
        <v/>
      </c>
      <c r="CJ260" s="16" t="str">
        <f t="shared" si="174"/>
        <v/>
      </c>
      <c r="CK260" s="16" t="str">
        <f t="shared" si="175"/>
        <v/>
      </c>
      <c r="CL260" s="16" t="str">
        <f t="shared" si="176"/>
        <v/>
      </c>
      <c r="CM260" s="16" t="str">
        <f t="shared" si="177"/>
        <v/>
      </c>
      <c r="CN260" s="16" t="str">
        <f t="shared" si="178"/>
        <v/>
      </c>
      <c r="CO260" s="16" t="str">
        <f t="shared" si="179"/>
        <v/>
      </c>
      <c r="CP260" s="16" t="str">
        <f t="shared" si="180"/>
        <v/>
      </c>
      <c r="CQ260" s="16" t="str">
        <f t="shared" si="181"/>
        <v/>
      </c>
      <c r="CR260" s="16" t="str">
        <f t="shared" si="182"/>
        <v/>
      </c>
      <c r="CS260" s="16" t="str">
        <f t="shared" si="183"/>
        <v/>
      </c>
      <c r="CT260" s="16" t="str">
        <f t="shared" si="184"/>
        <v/>
      </c>
    </row>
    <row r="261" spans="1:99" x14ac:dyDescent="0.25">
      <c r="A261" s="13"/>
      <c r="B261" s="14"/>
      <c r="C261" s="15" t="str" cm="1">
        <f t="array" ref="C261">IF(B261="","",INDEX('Exercise list'!$C$5:$C$102,B261))</f>
        <v/>
      </c>
      <c r="D261" s="12" t="str">
        <f t="shared" si="186"/>
        <v/>
      </c>
      <c r="E261" s="107" t="str">
        <f t="shared" si="209"/>
        <v/>
      </c>
      <c r="F261" s="63" t="str" cm="1">
        <f t="array" ref="F261">IF(B261="","",0.1+IFERROR(INDEX($F$6:$F260,SUMPRODUCT(MAX(ROW($C$6:$C260)*($C261=$C$6:$C260))-ROW($A$5)))*0.9^($A261-INDEX($A$6:A260,SUMPRODUCT(MAX(ROW($C$6:$C260)*($C261=$C$6:$C260))-ROW($A$5)))),0))</f>
        <v/>
      </c>
      <c r="G261" s="64" t="e">
        <f>INDEX('Exercise list'!$Y$5:$Y$102,MATCH(C261,'Exercise list'!$C$5:$C$102,0))</f>
        <v>#N/A</v>
      </c>
      <c r="H261" s="115">
        <f t="shared" si="187"/>
        <v>0</v>
      </c>
      <c r="I261" s="6">
        <f t="shared" si="188"/>
        <v>5</v>
      </c>
      <c r="J261" s="6" t="str" cm="1">
        <f t="array" ref="J261">IF(B261="","",INDEX('Exercise list'!$D$5:$D$102,B261))</f>
        <v/>
      </c>
      <c r="K261" s="12"/>
      <c r="L261" s="74" t="str" cm="1">
        <f t="array" ref="L261">IF(K261="","",INDEX('Exercise list'!$C$5:$C$102,K261))</f>
        <v/>
      </c>
      <c r="M261" s="6"/>
      <c r="N261" s="75" t="str" cm="1">
        <f t="array" ref="N261">IF(M261="","",INDEX('Exercise list'!$C$5:$C$102,M261))</f>
        <v/>
      </c>
      <c r="P261">
        <f>IFERROR(INDEX('Exercise list'!$E$5:$X$102,MATCH($C261,'Exercise list'!$C$5:$C$102,0),MATCH(P$5,'Exercise list'!$E$4:$X$4,0)),0)</f>
        <v>0</v>
      </c>
      <c r="Q261">
        <f>IFERROR(INDEX('Exercise list'!$E$5:$X$102,MATCH($C261,'Exercise list'!$C$5:$C$102,0),MATCH(Q$5,'Exercise list'!$E$4:$X$4,0)),0)</f>
        <v>0</v>
      </c>
      <c r="R261">
        <f>IFERROR(INDEX('Exercise list'!$E$5:$X$102,MATCH($C261,'Exercise list'!$C$5:$C$102,0),MATCH(R$5,'Exercise list'!$E$4:$X$4,0)),0)</f>
        <v>0</v>
      </c>
      <c r="S261">
        <f>IFERROR(INDEX('Exercise list'!$E$5:$X$102,MATCH($C261,'Exercise list'!$C$5:$C$102,0),MATCH(S$5,'Exercise list'!$E$4:$X$4,0)),0)</f>
        <v>0</v>
      </c>
      <c r="T261">
        <f>IFERROR(INDEX('Exercise list'!$E$5:$X$102,MATCH($C261,'Exercise list'!$C$5:$C$102,0),MATCH(T$5,'Exercise list'!$E$4:$X$4,0)),0)</f>
        <v>0</v>
      </c>
      <c r="U261">
        <f>IFERROR(INDEX('Exercise list'!$E$5:$X$102,MATCH($C261,'Exercise list'!$C$5:$C$102,0),MATCH(U$5,'Exercise list'!$E$4:$X$4,0)),0)</f>
        <v>0</v>
      </c>
      <c r="V261">
        <f>IFERROR(INDEX('Exercise list'!$E$5:$X$102,MATCH($C261,'Exercise list'!$C$5:$C$102,0),MATCH(V$5,'Exercise list'!$E$4:$X$4,0)),0)</f>
        <v>0</v>
      </c>
      <c r="W261">
        <f>IFERROR(INDEX('Exercise list'!$E$5:$X$102,MATCH($C261,'Exercise list'!$C$5:$C$102,0),MATCH(W$5,'Exercise list'!$E$4:$X$4,0)),0)</f>
        <v>0</v>
      </c>
      <c r="X261">
        <f>IFERROR(INDEX('Exercise list'!$E$5:$X$102,MATCH($C261,'Exercise list'!$C$5:$C$102,0),MATCH(X$5,'Exercise list'!$E$4:$X$4,0)),0)</f>
        <v>0</v>
      </c>
      <c r="Y261">
        <f>IFERROR(INDEX('Exercise list'!$E$5:$X$102,MATCH($C261,'Exercise list'!$C$5:$C$102,0),MATCH(Y$5,'Exercise list'!$E$4:$X$4,0)),0)</f>
        <v>0</v>
      </c>
      <c r="Z261">
        <f>IFERROR(INDEX('Exercise list'!$E$5:$X$102,MATCH($C261,'Exercise list'!$C$5:$C$102,0),MATCH(Z$5,'Exercise list'!$E$4:$X$4,0)),0)</f>
        <v>0</v>
      </c>
      <c r="AA261">
        <f>IFERROR(INDEX('Exercise list'!$E$5:$X$102,MATCH($C261,'Exercise list'!$C$5:$C$102,0),MATCH(AA$5,'Exercise list'!$E$4:$X$4,0)),0)</f>
        <v>0</v>
      </c>
      <c r="AB261">
        <f>IFERROR(INDEX('Exercise list'!$E$5:$X$102,MATCH($C261,'Exercise list'!$C$5:$C$102,0),MATCH(AB$5,'Exercise list'!$E$4:$X$4,0)),0)</f>
        <v>0</v>
      </c>
      <c r="AC261">
        <f>IFERROR(INDEX('Exercise list'!$E$5:$X$102,MATCH($C261,'Exercise list'!$C$5:$C$102,0),MATCH(AC$5,'Exercise list'!$E$4:$X$4,0)),0)</f>
        <v>0</v>
      </c>
      <c r="AD261">
        <f>IFERROR(INDEX('Exercise list'!$E$5:$X$102,MATCH($C261,'Exercise list'!$C$5:$C$102,0),MATCH(AD$5,'Exercise list'!$E$4:$X$4,0)),0)</f>
        <v>0</v>
      </c>
      <c r="AE261">
        <f>IFERROR(INDEX('Exercise list'!$E$5:$X$102,MATCH($C261,'Exercise list'!$C$5:$C$102,0),MATCH(AE$5,'Exercise list'!$E$4:$X$4,0)),0)</f>
        <v>0</v>
      </c>
      <c r="AF261">
        <f>IFERROR(INDEX('Exercise list'!$E$5:$X$102,MATCH($C261,'Exercise list'!$C$5:$C$102,0),MATCH(AF$5,'Exercise list'!$E$4:$X$4,0)),0)</f>
        <v>0</v>
      </c>
      <c r="AG261">
        <f>IFERROR(INDEX('Exercise list'!$E$5:$X$102,MATCH($C261,'Exercise list'!$C$5:$C$102,0),MATCH(AG$5,'Exercise list'!$E$4:$X$4,0)),0)</f>
        <v>0</v>
      </c>
      <c r="AH261">
        <f>IFERROR(INDEX('Exercise list'!$E$5:$X$102,MATCH($C261,'Exercise list'!$C$5:$C$102,0),MATCH(AH$5,'Exercise list'!$E$4:$X$4,0)),0)</f>
        <v>0</v>
      </c>
      <c r="AI261">
        <f>IFERROR(INDEX('Exercise list'!$E$5:$X$102,MATCH($C261,'Exercise list'!$C$5:$C$102,0),MATCH(AI$5,'Exercise list'!$E$4:$X$4,0)),0)</f>
        <v>0</v>
      </c>
      <c r="AK261">
        <f>IF(OR($J261=1,COUNTIFS($A$5:$A260,"&gt;="&amp;$A261-1,$A$5:$A260,"&lt;="&amp;$A261,$B$5:$B260,$B261)&gt;0,MIN(1-'Exercise list'!E$2,IF($A261=$A260,AK260,1))-P261&lt;0),-1,MIN(1,IF($A261=$A260,AK260,1)-P261+$D$2))</f>
        <v>1</v>
      </c>
      <c r="AL261">
        <f>IF(OR($J261=1,COUNTIFS($A$5:$A260,"&gt;="&amp;$A261-1,$A$5:$A260,"&lt;="&amp;$A261,$B$5:$B260,$B261)&gt;0,MIN(1-'Exercise list'!F$2,IF($A261=$A260,AL260,1))-Q261&lt;0),-1,MIN(1,IF($A261=$A260,AL260,1)-Q261+$D$2))</f>
        <v>1</v>
      </c>
      <c r="AM261">
        <f>IF(OR($J261=1,COUNTIFS($A$5:$A260,"&gt;="&amp;$A261-1,$A$5:$A260,"&lt;="&amp;$A261,$B$5:$B260,$B261)&gt;0,MIN(1-'Exercise list'!G$2,IF($A261=$A260,AM260,1))-R261&lt;0),-1,MIN(1,IF($A261=$A260,AM260,1)-R261+$D$2))</f>
        <v>1</v>
      </c>
      <c r="AN261">
        <f>IF(OR($J261=1,COUNTIFS($A$5:$A260,"&gt;="&amp;$A261-1,$A$5:$A260,"&lt;="&amp;$A261,$B$5:$B260,$B261)&gt;0,MIN(1-'Exercise list'!H$2,IF($A261=$A260,AN260,1))-S261&lt;0),-1,MIN(1,IF($A261=$A260,AN260,1)-S261+$D$2))</f>
        <v>1</v>
      </c>
      <c r="AO261">
        <f>IF(OR($J261=1,COUNTIFS($A$5:$A260,"&gt;="&amp;$A261-1,$A$5:$A260,"&lt;="&amp;$A261,$B$5:$B260,$B261)&gt;0,MIN(1-'Exercise list'!I$2,IF($A261=$A260,AO260,1))-T261&lt;0),-1,MIN(1,IF($A261=$A260,AO260,1)-T261+$D$2))</f>
        <v>1</v>
      </c>
      <c r="AP261">
        <f>IF(OR($J261=1,COUNTIFS($A$5:$A260,"&gt;="&amp;$A261-1,$A$5:$A260,"&lt;="&amp;$A261,$B$5:$B260,$B261)&gt;0,MIN(1-'Exercise list'!J$2,IF($A261=$A260,AP260,1))-U261&lt;0),-1,MIN(1,IF($A261=$A260,AP260,1)-U261+$D$2))</f>
        <v>1</v>
      </c>
      <c r="AQ261">
        <f>IF(OR($J261=1,COUNTIFS($A$5:$A260,"&gt;="&amp;$A261-1,$A$5:$A260,"&lt;="&amp;$A261,$B$5:$B260,$B261)&gt;0,MIN(1-'Exercise list'!K$2,IF($A261=$A260,AQ260,1))-V261&lt;0),-1,MIN(1,IF($A261=$A260,AQ260,1)-V261+$D$2))</f>
        <v>1</v>
      </c>
      <c r="AR261">
        <f>IF(OR($J261=1,COUNTIFS($A$5:$A260,"&gt;="&amp;$A261-1,$A$5:$A260,"&lt;="&amp;$A261,$B$5:$B260,$B261)&gt;0,MIN(1-'Exercise list'!L$2,IF($A261=$A260,AR260,1))-W261&lt;0),-1,MIN(1,IF($A261=$A260,AR260,1)-W261+$D$2))</f>
        <v>1</v>
      </c>
      <c r="AS261">
        <f>IF(OR($J261=1,COUNTIFS($A$5:$A260,"&gt;="&amp;$A261-1,$A$5:$A260,"&lt;="&amp;$A261,$B$5:$B260,$B261)&gt;0,MIN(1-'Exercise list'!M$2,IF($A261=$A260,AS260,1))-X261&lt;0),-1,MIN(1,IF($A261=$A260,AS260,1)-X261+$D$2))</f>
        <v>1</v>
      </c>
      <c r="AT261">
        <f>IF(OR($J261=1,COUNTIFS($A$5:$A260,"&gt;="&amp;$A261-1,$A$5:$A260,"&lt;="&amp;$A261,$B$5:$B260,$B261)&gt;0,MIN(1-'Exercise list'!N$2,IF($A261=$A260,AT260,1))-Y261&lt;0),-1,MIN(1,IF($A261=$A260,AT260,1)-Y261+$D$2))</f>
        <v>1</v>
      </c>
      <c r="AU261">
        <f>IF(OR($J261=1,COUNTIFS($A$5:$A260,"&gt;="&amp;$A261-1,$A$5:$A260,"&lt;="&amp;$A261,$B$5:$B260,$B261)&gt;0,MIN(1-'Exercise list'!O$2,IF($A261=$A260,AU260,1))-Z261&lt;0),-1,MIN(1,IF($A261=$A260,AU260,1)-Z261+$D$2))</f>
        <v>1</v>
      </c>
      <c r="AV261">
        <f>IF(OR($J261=1,COUNTIFS($A$5:$A260,"&gt;="&amp;$A261-1,$A$5:$A260,"&lt;="&amp;$A261,$B$5:$B260,$B261)&gt;0,MIN(1-'Exercise list'!P$2,IF($A261=$A260,AV260,1))-AA261&lt;0),-1,MIN(1,IF($A261=$A260,AV260,1)-AA261+$D$2))</f>
        <v>1</v>
      </c>
      <c r="AW261">
        <f>IF(OR($J261=1,COUNTIFS($A$5:$A260,"&gt;="&amp;$A261-1,$A$5:$A260,"&lt;="&amp;$A261,$B$5:$B260,$B261)&gt;0,MIN(1-'Exercise list'!Q$2,IF($A261=$A260,AW260,1))-AB261&lt;0),-1,MIN(1,IF($A261=$A260,AW260,1)-AB261+$D$2))</f>
        <v>1</v>
      </c>
      <c r="AX261">
        <f>IF(OR($J261=1,COUNTIFS($A$5:$A260,"&gt;="&amp;$A261-1,$A$5:$A260,"&lt;="&amp;$A261,$B$5:$B260,$B261)&gt;0,MIN(1-'Exercise list'!R$2,IF($A261=$A260,AX260,1))-AC261&lt;0),-1,MIN(1,IF($A261=$A260,AX260,1)-AC261+$D$2))</f>
        <v>1</v>
      </c>
      <c r="AY261">
        <f>IF(OR($J261=1,COUNTIFS($A$5:$A260,"&gt;="&amp;$A261-1,$A$5:$A260,"&lt;="&amp;$A261,$B$5:$B260,$B261)&gt;0,MIN(1-'Exercise list'!S$2,IF($A261=$A260,AY260,1))-AD261&lt;0),-1,MIN(1,IF($A261=$A260,AY260,1)-AD261+$D$2))</f>
        <v>1</v>
      </c>
      <c r="AZ261">
        <f>IF(OR($J261=1,COUNTIFS($A$5:$A260,"&gt;="&amp;$A261-1,$A$5:$A260,"&lt;="&amp;$A261,$B$5:$B260,$B261)&gt;0,MIN(1-'Exercise list'!T$2,IF($A261=$A260,AZ260,1))-AE261&lt;0),-1,MIN(1,IF($A261=$A260,AZ260,1)-AE261+$D$2))</f>
        <v>1</v>
      </c>
      <c r="BA261">
        <f>IF(OR($J261=1,COUNTIFS($A$5:$A260,"&gt;="&amp;$A261-1,$A$5:$A260,"&lt;="&amp;$A261,$B$5:$B260,$B261)&gt;0,MIN(1-'Exercise list'!U$2,IF($A261=$A260,BA260,1))-AF261&lt;0),-1,MIN(1,IF($A261=$A260,BA260,1)-AF261+$D$2))</f>
        <v>1</v>
      </c>
      <c r="BB261">
        <f>IF(OR($J261=1,COUNTIFS($A$5:$A260,"&gt;="&amp;$A261-1,$A$5:$A260,"&lt;="&amp;$A261,$B$5:$B260,$B261)&gt;0,MIN(1-'Exercise list'!V$2,IF($A261=$A260,BB260,1))-AG261&lt;0),-1,MIN(1,IF($A261=$A260,BB260,1)-AG261+$D$2))</f>
        <v>1</v>
      </c>
      <c r="BC261">
        <f>IF(OR($J261=1,COUNTIFS($A$5:$A260,"&gt;="&amp;$A261-1,$A$5:$A260,"&lt;="&amp;$A261,$B$5:$B260,$B261)&gt;0,MIN(1-'Exercise list'!W$2,IF($A261=$A260,BC260,1))-AH261&lt;0),-1,MIN(1,IF($A261=$A260,BC260,1)-AH261+$D$2))</f>
        <v>1</v>
      </c>
      <c r="BD261">
        <f>IF(OR($J261=1,COUNTIFS($A$5:$A260,"&gt;="&amp;$A261-1,$A$5:$A260,"&lt;="&amp;$A261,$B$5:$B260,$B261)&gt;0,MIN(1-'Exercise list'!X$2,IF($A261=$A260,BD260,1))-AI261&lt;0),-1,MIN(1,IF($A261=$A260,BD260,1)-AI261+$D$2))</f>
        <v>1</v>
      </c>
      <c r="BF261" s="16">
        <f t="shared" si="189"/>
        <v>0.19596031081758858</v>
      </c>
      <c r="BG261" s="16">
        <f t="shared" si="190"/>
        <v>0.21844636935459236</v>
      </c>
      <c r="BH261" s="16">
        <f t="shared" si="191"/>
        <v>0.14609696635987124</v>
      </c>
      <c r="BI261" s="16">
        <f t="shared" si="192"/>
        <v>0.13198015366034541</v>
      </c>
      <c r="BJ261" s="16">
        <f t="shared" si="193"/>
        <v>8.3367914198418713E-2</v>
      </c>
      <c r="BK261" s="16">
        <f t="shared" si="194"/>
        <v>0.10640640223148412</v>
      </c>
      <c r="BL261" s="16">
        <f t="shared" si="195"/>
        <v>0.21963504743569431</v>
      </c>
      <c r="BM261" s="16">
        <f t="shared" si="196"/>
        <v>3.8988008374820568E-3</v>
      </c>
      <c r="BN261" s="16">
        <f t="shared" si="197"/>
        <v>0.14537706087090876</v>
      </c>
      <c r="BO261" s="16">
        <f t="shared" si="198"/>
        <v>0.29209790661993401</v>
      </c>
      <c r="BP261" s="16">
        <f t="shared" si="199"/>
        <v>0.31584545163401867</v>
      </c>
      <c r="BQ261" s="16">
        <f t="shared" si="200"/>
        <v>0.1000007994126096</v>
      </c>
      <c r="BR261" s="16">
        <f t="shared" si="201"/>
        <v>0.13164487759885393</v>
      </c>
      <c r="BS261" s="16">
        <f t="shared" si="202"/>
        <v>2.9803550189863123E-2</v>
      </c>
      <c r="BT261" s="16">
        <f t="shared" si="203"/>
        <v>0.13492040904978705</v>
      </c>
      <c r="BU261" s="16">
        <f t="shared" si="204"/>
        <v>0.11703687414398131</v>
      </c>
      <c r="BV261" s="16">
        <f t="shared" si="205"/>
        <v>0.14633353213781661</v>
      </c>
      <c r="BW261" s="16">
        <f t="shared" si="206"/>
        <v>7.5588015111767173E-2</v>
      </c>
      <c r="BX261" s="16">
        <f t="shared" si="207"/>
        <v>8.0345659937185704E-2</v>
      </c>
      <c r="BY261" s="16">
        <f t="shared" si="208"/>
        <v>5.9014643151272549E-2</v>
      </c>
      <c r="CA261" s="16" t="str">
        <f t="shared" si="185"/>
        <v/>
      </c>
      <c r="CB261" s="16" t="str">
        <f t="shared" si="166"/>
        <v/>
      </c>
      <c r="CC261" s="16" t="str">
        <f t="shared" si="167"/>
        <v/>
      </c>
      <c r="CD261" s="16" t="str">
        <f t="shared" si="168"/>
        <v/>
      </c>
      <c r="CE261" s="16" t="str">
        <f t="shared" si="169"/>
        <v/>
      </c>
      <c r="CF261" s="16" t="str">
        <f t="shared" si="170"/>
        <v/>
      </c>
      <c r="CG261" s="16" t="str">
        <f t="shared" si="171"/>
        <v/>
      </c>
      <c r="CH261" s="16" t="str">
        <f t="shared" si="172"/>
        <v/>
      </c>
      <c r="CI261" s="16" t="str">
        <f t="shared" si="173"/>
        <v/>
      </c>
      <c r="CJ261" s="16" t="str">
        <f t="shared" si="174"/>
        <v/>
      </c>
      <c r="CK261" s="16" t="str">
        <f t="shared" si="175"/>
        <v/>
      </c>
      <c r="CL261" s="16" t="str">
        <f t="shared" si="176"/>
        <v/>
      </c>
      <c r="CM261" s="16" t="str">
        <f t="shared" si="177"/>
        <v/>
      </c>
      <c r="CN261" s="16" t="str">
        <f t="shared" si="178"/>
        <v/>
      </c>
      <c r="CO261" s="16" t="str">
        <f t="shared" si="179"/>
        <v/>
      </c>
      <c r="CP261" s="16" t="str">
        <f t="shared" si="180"/>
        <v/>
      </c>
      <c r="CQ261" s="16" t="str">
        <f t="shared" si="181"/>
        <v/>
      </c>
      <c r="CR261" s="16" t="str">
        <f t="shared" si="182"/>
        <v/>
      </c>
      <c r="CS261" s="16" t="str">
        <f t="shared" si="183"/>
        <v/>
      </c>
      <c r="CT261" s="16" t="str">
        <f t="shared" si="184"/>
        <v/>
      </c>
    </row>
    <row r="262" spans="1:99" x14ac:dyDescent="0.25">
      <c r="A262" s="13"/>
      <c r="B262" s="14"/>
      <c r="C262" s="15" t="str" cm="1">
        <f t="array" ref="C262">IF(B262="","",INDEX('Exercise list'!$C$5:$C$102,B262))</f>
        <v/>
      </c>
      <c r="D262" s="12" t="str">
        <f t="shared" si="186"/>
        <v/>
      </c>
      <c r="E262" s="107" t="str">
        <f t="shared" si="209"/>
        <v/>
      </c>
      <c r="F262" s="63" t="str" cm="1">
        <f t="array" ref="F262">IF(B262="","",0.1+IFERROR(INDEX($F$6:$F261,SUMPRODUCT(MAX(ROW($C$6:$C261)*($C262=$C$6:$C261))-ROW($A$5)))*0.9^($A262-INDEX($A$6:A261,SUMPRODUCT(MAX(ROW($C$6:$C261)*($C262=$C$6:$C261))-ROW($A$5)))),0))</f>
        <v/>
      </c>
      <c r="G262" s="64" t="e">
        <f>INDEX('Exercise list'!$Y$5:$Y$102,MATCH(C262,'Exercise list'!$C$5:$C$102,0))</f>
        <v>#N/A</v>
      </c>
      <c r="H262" s="115">
        <f t="shared" si="187"/>
        <v>0</v>
      </c>
      <c r="I262" s="6">
        <f t="shared" si="188"/>
        <v>5</v>
      </c>
      <c r="J262" s="6" t="str" cm="1">
        <f t="array" ref="J262">IF(B262="","",INDEX('Exercise list'!$D$5:$D$102,B262))</f>
        <v/>
      </c>
      <c r="K262" s="12"/>
      <c r="L262" s="74" t="str" cm="1">
        <f t="array" ref="L262">IF(K262="","",INDEX('Exercise list'!$C$5:$C$102,K262))</f>
        <v/>
      </c>
      <c r="M262" s="6"/>
      <c r="N262" s="75" t="str" cm="1">
        <f t="array" ref="N262">IF(M262="","",INDEX('Exercise list'!$C$5:$C$102,M262))</f>
        <v/>
      </c>
      <c r="P262">
        <f>IFERROR(INDEX('Exercise list'!$E$5:$X$102,MATCH($C262,'Exercise list'!$C$5:$C$102,0),MATCH(P$5,'Exercise list'!$E$4:$X$4,0)),0)</f>
        <v>0</v>
      </c>
      <c r="Q262">
        <f>IFERROR(INDEX('Exercise list'!$E$5:$X$102,MATCH($C262,'Exercise list'!$C$5:$C$102,0),MATCH(Q$5,'Exercise list'!$E$4:$X$4,0)),0)</f>
        <v>0</v>
      </c>
      <c r="R262">
        <f>IFERROR(INDEX('Exercise list'!$E$5:$X$102,MATCH($C262,'Exercise list'!$C$5:$C$102,0),MATCH(R$5,'Exercise list'!$E$4:$X$4,0)),0)</f>
        <v>0</v>
      </c>
      <c r="S262">
        <f>IFERROR(INDEX('Exercise list'!$E$5:$X$102,MATCH($C262,'Exercise list'!$C$5:$C$102,0),MATCH(S$5,'Exercise list'!$E$4:$X$4,0)),0)</f>
        <v>0</v>
      </c>
      <c r="T262">
        <f>IFERROR(INDEX('Exercise list'!$E$5:$X$102,MATCH($C262,'Exercise list'!$C$5:$C$102,0),MATCH(T$5,'Exercise list'!$E$4:$X$4,0)),0)</f>
        <v>0</v>
      </c>
      <c r="U262">
        <f>IFERROR(INDEX('Exercise list'!$E$5:$X$102,MATCH($C262,'Exercise list'!$C$5:$C$102,0),MATCH(U$5,'Exercise list'!$E$4:$X$4,0)),0)</f>
        <v>0</v>
      </c>
      <c r="V262">
        <f>IFERROR(INDEX('Exercise list'!$E$5:$X$102,MATCH($C262,'Exercise list'!$C$5:$C$102,0),MATCH(V$5,'Exercise list'!$E$4:$X$4,0)),0)</f>
        <v>0</v>
      </c>
      <c r="W262">
        <f>IFERROR(INDEX('Exercise list'!$E$5:$X$102,MATCH($C262,'Exercise list'!$C$5:$C$102,0),MATCH(W$5,'Exercise list'!$E$4:$X$4,0)),0)</f>
        <v>0</v>
      </c>
      <c r="X262">
        <f>IFERROR(INDEX('Exercise list'!$E$5:$X$102,MATCH($C262,'Exercise list'!$C$5:$C$102,0),MATCH(X$5,'Exercise list'!$E$4:$X$4,0)),0)</f>
        <v>0</v>
      </c>
      <c r="Y262">
        <f>IFERROR(INDEX('Exercise list'!$E$5:$X$102,MATCH($C262,'Exercise list'!$C$5:$C$102,0),MATCH(Y$5,'Exercise list'!$E$4:$X$4,0)),0)</f>
        <v>0</v>
      </c>
      <c r="Z262">
        <f>IFERROR(INDEX('Exercise list'!$E$5:$X$102,MATCH($C262,'Exercise list'!$C$5:$C$102,0),MATCH(Z$5,'Exercise list'!$E$4:$X$4,0)),0)</f>
        <v>0</v>
      </c>
      <c r="AA262">
        <f>IFERROR(INDEX('Exercise list'!$E$5:$X$102,MATCH($C262,'Exercise list'!$C$5:$C$102,0),MATCH(AA$5,'Exercise list'!$E$4:$X$4,0)),0)</f>
        <v>0</v>
      </c>
      <c r="AB262">
        <f>IFERROR(INDEX('Exercise list'!$E$5:$X$102,MATCH($C262,'Exercise list'!$C$5:$C$102,0),MATCH(AB$5,'Exercise list'!$E$4:$X$4,0)),0)</f>
        <v>0</v>
      </c>
      <c r="AC262">
        <f>IFERROR(INDEX('Exercise list'!$E$5:$X$102,MATCH($C262,'Exercise list'!$C$5:$C$102,0),MATCH(AC$5,'Exercise list'!$E$4:$X$4,0)),0)</f>
        <v>0</v>
      </c>
      <c r="AD262">
        <f>IFERROR(INDEX('Exercise list'!$E$5:$X$102,MATCH($C262,'Exercise list'!$C$5:$C$102,0),MATCH(AD$5,'Exercise list'!$E$4:$X$4,0)),0)</f>
        <v>0</v>
      </c>
      <c r="AE262">
        <f>IFERROR(INDEX('Exercise list'!$E$5:$X$102,MATCH($C262,'Exercise list'!$C$5:$C$102,0),MATCH(AE$5,'Exercise list'!$E$4:$X$4,0)),0)</f>
        <v>0</v>
      </c>
      <c r="AF262">
        <f>IFERROR(INDEX('Exercise list'!$E$5:$X$102,MATCH($C262,'Exercise list'!$C$5:$C$102,0),MATCH(AF$5,'Exercise list'!$E$4:$X$4,0)),0)</f>
        <v>0</v>
      </c>
      <c r="AG262">
        <f>IFERROR(INDEX('Exercise list'!$E$5:$X$102,MATCH($C262,'Exercise list'!$C$5:$C$102,0),MATCH(AG$5,'Exercise list'!$E$4:$X$4,0)),0)</f>
        <v>0</v>
      </c>
      <c r="AH262">
        <f>IFERROR(INDEX('Exercise list'!$E$5:$X$102,MATCH($C262,'Exercise list'!$C$5:$C$102,0),MATCH(AH$5,'Exercise list'!$E$4:$X$4,0)),0)</f>
        <v>0</v>
      </c>
      <c r="AI262">
        <f>IFERROR(INDEX('Exercise list'!$E$5:$X$102,MATCH($C262,'Exercise list'!$C$5:$C$102,0),MATCH(AI$5,'Exercise list'!$E$4:$X$4,0)),0)</f>
        <v>0</v>
      </c>
      <c r="AK262">
        <f>IF(OR($J262=1,COUNTIFS($A$5:$A261,"&gt;="&amp;$A262-1,$A$5:$A261,"&lt;="&amp;$A262,$B$5:$B261,$B262)&gt;0,MIN(1-'Exercise list'!E$2,IF($A262=$A261,AK261,1))-P262&lt;0),-1,MIN(1,IF($A262=$A261,AK261,1)-P262+$D$2))</f>
        <v>1</v>
      </c>
      <c r="AL262">
        <f>IF(OR($J262=1,COUNTIFS($A$5:$A261,"&gt;="&amp;$A262-1,$A$5:$A261,"&lt;="&amp;$A262,$B$5:$B261,$B262)&gt;0,MIN(1-'Exercise list'!F$2,IF($A262=$A261,AL261,1))-Q262&lt;0),-1,MIN(1,IF($A262=$A261,AL261,1)-Q262+$D$2))</f>
        <v>1</v>
      </c>
      <c r="AM262">
        <f>IF(OR($J262=1,COUNTIFS($A$5:$A261,"&gt;="&amp;$A262-1,$A$5:$A261,"&lt;="&amp;$A262,$B$5:$B261,$B262)&gt;0,MIN(1-'Exercise list'!G$2,IF($A262=$A261,AM261,1))-R262&lt;0),-1,MIN(1,IF($A262=$A261,AM261,1)-R262+$D$2))</f>
        <v>1</v>
      </c>
      <c r="AN262">
        <f>IF(OR($J262=1,COUNTIFS($A$5:$A261,"&gt;="&amp;$A262-1,$A$5:$A261,"&lt;="&amp;$A262,$B$5:$B261,$B262)&gt;0,MIN(1-'Exercise list'!H$2,IF($A262=$A261,AN261,1))-S262&lt;0),-1,MIN(1,IF($A262=$A261,AN261,1)-S262+$D$2))</f>
        <v>1</v>
      </c>
      <c r="AO262">
        <f>IF(OR($J262=1,COUNTIFS($A$5:$A261,"&gt;="&amp;$A262-1,$A$5:$A261,"&lt;="&amp;$A262,$B$5:$B261,$B262)&gt;0,MIN(1-'Exercise list'!I$2,IF($A262=$A261,AO261,1))-T262&lt;0),-1,MIN(1,IF($A262=$A261,AO261,1)-T262+$D$2))</f>
        <v>1</v>
      </c>
      <c r="AP262">
        <f>IF(OR($J262=1,COUNTIFS($A$5:$A261,"&gt;="&amp;$A262-1,$A$5:$A261,"&lt;="&amp;$A262,$B$5:$B261,$B262)&gt;0,MIN(1-'Exercise list'!J$2,IF($A262=$A261,AP261,1))-U262&lt;0),-1,MIN(1,IF($A262=$A261,AP261,1)-U262+$D$2))</f>
        <v>1</v>
      </c>
      <c r="AQ262">
        <f>IF(OR($J262=1,COUNTIFS($A$5:$A261,"&gt;="&amp;$A262-1,$A$5:$A261,"&lt;="&amp;$A262,$B$5:$B261,$B262)&gt;0,MIN(1-'Exercise list'!K$2,IF($A262=$A261,AQ261,1))-V262&lt;0),-1,MIN(1,IF($A262=$A261,AQ261,1)-V262+$D$2))</f>
        <v>1</v>
      </c>
      <c r="AR262">
        <f>IF(OR($J262=1,COUNTIFS($A$5:$A261,"&gt;="&amp;$A262-1,$A$5:$A261,"&lt;="&amp;$A262,$B$5:$B261,$B262)&gt;0,MIN(1-'Exercise list'!L$2,IF($A262=$A261,AR261,1))-W262&lt;0),-1,MIN(1,IF($A262=$A261,AR261,1)-W262+$D$2))</f>
        <v>1</v>
      </c>
      <c r="AS262">
        <f>IF(OR($J262=1,COUNTIFS($A$5:$A261,"&gt;="&amp;$A262-1,$A$5:$A261,"&lt;="&amp;$A262,$B$5:$B261,$B262)&gt;0,MIN(1-'Exercise list'!M$2,IF($A262=$A261,AS261,1))-X262&lt;0),-1,MIN(1,IF($A262=$A261,AS261,1)-X262+$D$2))</f>
        <v>1</v>
      </c>
      <c r="AT262">
        <f>IF(OR($J262=1,COUNTIFS($A$5:$A261,"&gt;="&amp;$A262-1,$A$5:$A261,"&lt;="&amp;$A262,$B$5:$B261,$B262)&gt;0,MIN(1-'Exercise list'!N$2,IF($A262=$A261,AT261,1))-Y262&lt;0),-1,MIN(1,IF($A262=$A261,AT261,1)-Y262+$D$2))</f>
        <v>1</v>
      </c>
      <c r="AU262">
        <f>IF(OR($J262=1,COUNTIFS($A$5:$A261,"&gt;="&amp;$A262-1,$A$5:$A261,"&lt;="&amp;$A262,$B$5:$B261,$B262)&gt;0,MIN(1-'Exercise list'!O$2,IF($A262=$A261,AU261,1))-Z262&lt;0),-1,MIN(1,IF($A262=$A261,AU261,1)-Z262+$D$2))</f>
        <v>1</v>
      </c>
      <c r="AV262">
        <f>IF(OR($J262=1,COUNTIFS($A$5:$A261,"&gt;="&amp;$A262-1,$A$5:$A261,"&lt;="&amp;$A262,$B$5:$B261,$B262)&gt;0,MIN(1-'Exercise list'!P$2,IF($A262=$A261,AV261,1))-AA262&lt;0),-1,MIN(1,IF($A262=$A261,AV261,1)-AA262+$D$2))</f>
        <v>1</v>
      </c>
      <c r="AW262">
        <f>IF(OR($J262=1,COUNTIFS($A$5:$A261,"&gt;="&amp;$A262-1,$A$5:$A261,"&lt;="&amp;$A262,$B$5:$B261,$B262)&gt;0,MIN(1-'Exercise list'!Q$2,IF($A262=$A261,AW261,1))-AB262&lt;0),-1,MIN(1,IF($A262=$A261,AW261,1)-AB262+$D$2))</f>
        <v>1</v>
      </c>
      <c r="AX262">
        <f>IF(OR($J262=1,COUNTIFS($A$5:$A261,"&gt;="&amp;$A262-1,$A$5:$A261,"&lt;="&amp;$A262,$B$5:$B261,$B262)&gt;0,MIN(1-'Exercise list'!R$2,IF($A262=$A261,AX261,1))-AC262&lt;0),-1,MIN(1,IF($A262=$A261,AX261,1)-AC262+$D$2))</f>
        <v>1</v>
      </c>
      <c r="AY262">
        <f>IF(OR($J262=1,COUNTIFS($A$5:$A261,"&gt;="&amp;$A262-1,$A$5:$A261,"&lt;="&amp;$A262,$B$5:$B261,$B262)&gt;0,MIN(1-'Exercise list'!S$2,IF($A262=$A261,AY261,1))-AD262&lt;0),-1,MIN(1,IF($A262=$A261,AY261,1)-AD262+$D$2))</f>
        <v>1</v>
      </c>
      <c r="AZ262">
        <f>IF(OR($J262=1,COUNTIFS($A$5:$A261,"&gt;="&amp;$A262-1,$A$5:$A261,"&lt;="&amp;$A262,$B$5:$B261,$B262)&gt;0,MIN(1-'Exercise list'!T$2,IF($A262=$A261,AZ261,1))-AE262&lt;0),-1,MIN(1,IF($A262=$A261,AZ261,1)-AE262+$D$2))</f>
        <v>1</v>
      </c>
      <c r="BA262">
        <f>IF(OR($J262=1,COUNTIFS($A$5:$A261,"&gt;="&amp;$A262-1,$A$5:$A261,"&lt;="&amp;$A262,$B$5:$B261,$B262)&gt;0,MIN(1-'Exercise list'!U$2,IF($A262=$A261,BA261,1))-AF262&lt;0),-1,MIN(1,IF($A262=$A261,BA261,1)-AF262+$D$2))</f>
        <v>1</v>
      </c>
      <c r="BB262">
        <f>IF(OR($J262=1,COUNTIFS($A$5:$A261,"&gt;="&amp;$A262-1,$A$5:$A261,"&lt;="&amp;$A262,$B$5:$B261,$B262)&gt;0,MIN(1-'Exercise list'!V$2,IF($A262=$A261,BB261,1))-AG262&lt;0),-1,MIN(1,IF($A262=$A261,BB261,1)-AG262+$D$2))</f>
        <v>1</v>
      </c>
      <c r="BC262">
        <f>IF(OR($J262=1,COUNTIFS($A$5:$A261,"&gt;="&amp;$A262-1,$A$5:$A261,"&lt;="&amp;$A262,$B$5:$B261,$B262)&gt;0,MIN(1-'Exercise list'!W$2,IF($A262=$A261,BC261,1))-AH262&lt;0),-1,MIN(1,IF($A262=$A261,BC261,1)-AH262+$D$2))</f>
        <v>1</v>
      </c>
      <c r="BD262">
        <f>IF(OR($J262=1,COUNTIFS($A$5:$A261,"&gt;="&amp;$A262-1,$A$5:$A261,"&lt;="&amp;$A262,$B$5:$B261,$B262)&gt;0,MIN(1-'Exercise list'!X$2,IF($A262=$A261,BD261,1))-AI262&lt;0),-1,MIN(1,IF($A262=$A261,BD261,1)-AI262+$D$2))</f>
        <v>1</v>
      </c>
      <c r="BF262" s="16">
        <f t="shared" si="189"/>
        <v>0.19596031081758858</v>
      </c>
      <c r="BG262" s="16">
        <f t="shared" si="190"/>
        <v>0.21844636935459236</v>
      </c>
      <c r="BH262" s="16">
        <f t="shared" si="191"/>
        <v>0.14609696635987124</v>
      </c>
      <c r="BI262" s="16">
        <f t="shared" si="192"/>
        <v>0.13198015366034541</v>
      </c>
      <c r="BJ262" s="16">
        <f t="shared" si="193"/>
        <v>8.3367914198418713E-2</v>
      </c>
      <c r="BK262" s="16">
        <f t="shared" si="194"/>
        <v>0.10640640223148412</v>
      </c>
      <c r="BL262" s="16">
        <f t="shared" si="195"/>
        <v>0.21963504743569431</v>
      </c>
      <c r="BM262" s="16">
        <f t="shared" si="196"/>
        <v>3.8988008374820568E-3</v>
      </c>
      <c r="BN262" s="16">
        <f t="shared" si="197"/>
        <v>0.14537706087090876</v>
      </c>
      <c r="BO262" s="16">
        <f t="shared" si="198"/>
        <v>0.29209790661993401</v>
      </c>
      <c r="BP262" s="16">
        <f t="shared" si="199"/>
        <v>0.31584545163401867</v>
      </c>
      <c r="BQ262" s="16">
        <f t="shared" si="200"/>
        <v>0.1000007994126096</v>
      </c>
      <c r="BR262" s="16">
        <f t="shared" si="201"/>
        <v>0.13164487759885393</v>
      </c>
      <c r="BS262" s="16">
        <f t="shared" si="202"/>
        <v>2.9803550189863123E-2</v>
      </c>
      <c r="BT262" s="16">
        <f t="shared" si="203"/>
        <v>0.13492040904978705</v>
      </c>
      <c r="BU262" s="16">
        <f t="shared" si="204"/>
        <v>0.11703687414398131</v>
      </c>
      <c r="BV262" s="16">
        <f t="shared" si="205"/>
        <v>0.14633353213781661</v>
      </c>
      <c r="BW262" s="16">
        <f t="shared" si="206"/>
        <v>7.5588015111767173E-2</v>
      </c>
      <c r="BX262" s="16">
        <f t="shared" si="207"/>
        <v>8.0345659937185704E-2</v>
      </c>
      <c r="BY262" s="16">
        <f t="shared" si="208"/>
        <v>5.9014643151272549E-2</v>
      </c>
      <c r="CA262" s="16" t="str">
        <f t="shared" si="185"/>
        <v/>
      </c>
      <c r="CB262" s="16" t="str">
        <f t="shared" ref="CB262:CB325" si="210">IF($A262="","",MAX(0,CB$2/SUM($CA$2:$CT$2)*SUM($BF262:$BY262)-BG262))</f>
        <v/>
      </c>
      <c r="CC262" s="16" t="str">
        <f t="shared" ref="CC262:CC325" si="211">IF($A262="","",MAX(0,CC$2/SUM($CA$2:$CT$2)*SUM($BF262:$BY262)-BH262))</f>
        <v/>
      </c>
      <c r="CD262" s="16" t="str">
        <f t="shared" ref="CD262:CD325" si="212">IF($A262="","",MAX(0,CD$2/SUM($CA$2:$CT$2)*SUM($BF262:$BY262)-BI262))</f>
        <v/>
      </c>
      <c r="CE262" s="16" t="str">
        <f t="shared" ref="CE262:CE325" si="213">IF($A262="","",MAX(0,CE$2/SUM($CA$2:$CT$2)*SUM($BF262:$BY262)-BJ262))</f>
        <v/>
      </c>
      <c r="CF262" s="16" t="str">
        <f t="shared" ref="CF262:CF325" si="214">IF($A262="","",MAX(0,CF$2/SUM($CA$2:$CT$2)*SUM($BF262:$BY262)-BK262))</f>
        <v/>
      </c>
      <c r="CG262" s="16" t="str">
        <f t="shared" ref="CG262:CG325" si="215">IF($A262="","",MAX(0,CG$2/SUM($CA$2:$CT$2)*SUM($BF262:$BY262)-BL262))</f>
        <v/>
      </c>
      <c r="CH262" s="16" t="str">
        <f t="shared" ref="CH262:CH325" si="216">IF($A262="","",MAX(0,CH$2/SUM($CA$2:$CT$2)*SUM($BF262:$BY262)-BM262))</f>
        <v/>
      </c>
      <c r="CI262" s="16" t="str">
        <f t="shared" ref="CI262:CI325" si="217">IF($A262="","",MAX(0,CI$2/SUM($CA$2:$CT$2)*SUM($BF262:$BY262)-BN262))</f>
        <v/>
      </c>
      <c r="CJ262" s="16" t="str">
        <f t="shared" ref="CJ262:CJ325" si="218">IF($A262="","",MAX(0,CJ$2/SUM($CA$2:$CT$2)*SUM($BF262:$BY262)-BO262))</f>
        <v/>
      </c>
      <c r="CK262" s="16" t="str">
        <f t="shared" ref="CK262:CK325" si="219">IF($A262="","",MAX(0,CK$2/SUM($CA$2:$CT$2)*SUM($BF262:$BY262)-BP262))</f>
        <v/>
      </c>
      <c r="CL262" s="16" t="str">
        <f t="shared" ref="CL262:CL325" si="220">IF($A262="","",MAX(0,CL$2/SUM($CA$2:$CT$2)*SUM($BF262:$BY262)-BQ262))</f>
        <v/>
      </c>
      <c r="CM262" s="16" t="str">
        <f t="shared" ref="CM262:CM325" si="221">IF($A262="","",MAX(0,CM$2/SUM($CA$2:$CT$2)*SUM($BF262:$BY262)-BR262))</f>
        <v/>
      </c>
      <c r="CN262" s="16" t="str">
        <f t="shared" ref="CN262:CN325" si="222">IF($A262="","",MAX(0,CN$2/SUM($CA$2:$CT$2)*SUM($BF262:$BY262)-BS262))</f>
        <v/>
      </c>
      <c r="CO262" s="16" t="str">
        <f t="shared" ref="CO262:CO325" si="223">IF($A262="","",MAX(0,CO$2/SUM($CA$2:$CT$2)*SUM($BF262:$BY262)-BT262))</f>
        <v/>
      </c>
      <c r="CP262" s="16" t="str">
        <f t="shared" ref="CP262:CP325" si="224">IF($A262="","",MAX(0,CP$2/SUM($CA$2:$CT$2)*SUM($BF262:$BY262)-BU262))</f>
        <v/>
      </c>
      <c r="CQ262" s="16" t="str">
        <f t="shared" ref="CQ262:CQ325" si="225">IF($A262="","",MAX(0,CQ$2/SUM($CA$2:$CT$2)*SUM($BF262:$BY262)-BV262))</f>
        <v/>
      </c>
      <c r="CR262" s="16" t="str">
        <f t="shared" ref="CR262:CR325" si="226">IF($A262="","",MAX(0,CR$2/SUM($CA$2:$CT$2)*SUM($BF262:$BY262)-BW262))</f>
        <v/>
      </c>
      <c r="CS262" s="16" t="str">
        <f t="shared" ref="CS262:CS325" si="227">IF($A262="","",MAX(0,CS$2/SUM($CA$2:$CT$2)*SUM($BF262:$BY262)-BX262))</f>
        <v/>
      </c>
      <c r="CT262" s="16" t="str">
        <f t="shared" ref="CT262:CT325" si="228">IF($A262="","",MAX(0,CT$2/SUM($CA$2:$CT$2)*SUM($BF262:$BY262)-BY262))</f>
        <v/>
      </c>
    </row>
    <row r="263" spans="1:99" x14ac:dyDescent="0.25">
      <c r="A263" s="20"/>
      <c r="B263" s="21"/>
      <c r="C263" s="22" t="str" cm="1">
        <f t="array" ref="C263">IF(B263="","",INDEX('Exercise list'!$C$5:$C$102,B263))</f>
        <v/>
      </c>
      <c r="D263" s="17" t="str">
        <f t="shared" si="186"/>
        <v/>
      </c>
      <c r="E263" s="108" t="str">
        <f t="shared" si="209"/>
        <v/>
      </c>
      <c r="F263" s="65" t="str" cm="1">
        <f t="array" ref="F263">IF(B263="","",0.1+IFERROR(INDEX($F$6:$F262,SUMPRODUCT(MAX(ROW($C$6:$C262)*($C263=$C$6:$C262))-ROW($A$5)))*0.9^($A263-INDEX($A$6:A262,SUMPRODUCT(MAX(ROW($C$6:$C262)*($C263=$C$6:$C262))-ROW($A$5)))),0))</f>
        <v/>
      </c>
      <c r="G263" s="25" t="e">
        <f>INDEX('Exercise list'!$Y$5:$Y$102,MATCH(C263,'Exercise list'!$C$5:$C$102,0))</f>
        <v>#N/A</v>
      </c>
      <c r="H263" s="116">
        <f t="shared" si="187"/>
        <v>0</v>
      </c>
      <c r="I263" s="18">
        <f t="shared" si="188"/>
        <v>5</v>
      </c>
      <c r="J263" s="18" t="str" cm="1">
        <f t="array" ref="J263">IF(B263="","",INDEX('Exercise list'!$D$5:$D$102,B263))</f>
        <v/>
      </c>
      <c r="K263" s="17"/>
      <c r="L263" s="51" t="str" cm="1">
        <f t="array" ref="L263">IF(K263="","",INDEX('Exercise list'!$C$5:$C$102,K263))</f>
        <v/>
      </c>
      <c r="M263" s="18"/>
      <c r="N263" s="76" t="str" cm="1">
        <f t="array" ref="N263">IF(M263="","",INDEX('Exercise list'!$C$5:$C$102,M263))</f>
        <v/>
      </c>
      <c r="O263" s="19"/>
      <c r="P263" s="19">
        <f>IFERROR(INDEX('Exercise list'!$E$5:$X$102,MATCH($C263,'Exercise list'!$C$5:$C$102,0),MATCH(P$5,'Exercise list'!$E$4:$X$4,0)),0)</f>
        <v>0</v>
      </c>
      <c r="Q263" s="19">
        <f>IFERROR(INDEX('Exercise list'!$E$5:$X$102,MATCH($C263,'Exercise list'!$C$5:$C$102,0),MATCH(Q$5,'Exercise list'!$E$4:$X$4,0)),0)</f>
        <v>0</v>
      </c>
      <c r="R263" s="19">
        <f>IFERROR(INDEX('Exercise list'!$E$5:$X$102,MATCH($C263,'Exercise list'!$C$5:$C$102,0),MATCH(R$5,'Exercise list'!$E$4:$X$4,0)),0)</f>
        <v>0</v>
      </c>
      <c r="S263" s="19">
        <f>IFERROR(INDEX('Exercise list'!$E$5:$X$102,MATCH($C263,'Exercise list'!$C$5:$C$102,0),MATCH(S$5,'Exercise list'!$E$4:$X$4,0)),0)</f>
        <v>0</v>
      </c>
      <c r="T263" s="19">
        <f>IFERROR(INDEX('Exercise list'!$E$5:$X$102,MATCH($C263,'Exercise list'!$C$5:$C$102,0),MATCH(T$5,'Exercise list'!$E$4:$X$4,0)),0)</f>
        <v>0</v>
      </c>
      <c r="U263" s="19">
        <f>IFERROR(INDEX('Exercise list'!$E$5:$X$102,MATCH($C263,'Exercise list'!$C$5:$C$102,0),MATCH(U$5,'Exercise list'!$E$4:$X$4,0)),0)</f>
        <v>0</v>
      </c>
      <c r="V263" s="19">
        <f>IFERROR(INDEX('Exercise list'!$E$5:$X$102,MATCH($C263,'Exercise list'!$C$5:$C$102,0),MATCH(V$5,'Exercise list'!$E$4:$X$4,0)),0)</f>
        <v>0</v>
      </c>
      <c r="W263" s="19">
        <f>IFERROR(INDEX('Exercise list'!$E$5:$X$102,MATCH($C263,'Exercise list'!$C$5:$C$102,0),MATCH(W$5,'Exercise list'!$E$4:$X$4,0)),0)</f>
        <v>0</v>
      </c>
      <c r="X263" s="19">
        <f>IFERROR(INDEX('Exercise list'!$E$5:$X$102,MATCH($C263,'Exercise list'!$C$5:$C$102,0),MATCH(X$5,'Exercise list'!$E$4:$X$4,0)),0)</f>
        <v>0</v>
      </c>
      <c r="Y263" s="19">
        <f>IFERROR(INDEX('Exercise list'!$E$5:$X$102,MATCH($C263,'Exercise list'!$C$5:$C$102,0),MATCH(Y$5,'Exercise list'!$E$4:$X$4,0)),0)</f>
        <v>0</v>
      </c>
      <c r="Z263" s="19">
        <f>IFERROR(INDEX('Exercise list'!$E$5:$X$102,MATCH($C263,'Exercise list'!$C$5:$C$102,0),MATCH(Z$5,'Exercise list'!$E$4:$X$4,0)),0)</f>
        <v>0</v>
      </c>
      <c r="AA263" s="19">
        <f>IFERROR(INDEX('Exercise list'!$E$5:$X$102,MATCH($C263,'Exercise list'!$C$5:$C$102,0),MATCH(AA$5,'Exercise list'!$E$4:$X$4,0)),0)</f>
        <v>0</v>
      </c>
      <c r="AB263" s="19">
        <f>IFERROR(INDEX('Exercise list'!$E$5:$X$102,MATCH($C263,'Exercise list'!$C$5:$C$102,0),MATCH(AB$5,'Exercise list'!$E$4:$X$4,0)),0)</f>
        <v>0</v>
      </c>
      <c r="AC263" s="19">
        <f>IFERROR(INDEX('Exercise list'!$E$5:$X$102,MATCH($C263,'Exercise list'!$C$5:$C$102,0),MATCH(AC$5,'Exercise list'!$E$4:$X$4,0)),0)</f>
        <v>0</v>
      </c>
      <c r="AD263" s="19">
        <f>IFERROR(INDEX('Exercise list'!$E$5:$X$102,MATCH($C263,'Exercise list'!$C$5:$C$102,0),MATCH(AD$5,'Exercise list'!$E$4:$X$4,0)),0)</f>
        <v>0</v>
      </c>
      <c r="AE263" s="19">
        <f>IFERROR(INDEX('Exercise list'!$E$5:$X$102,MATCH($C263,'Exercise list'!$C$5:$C$102,0),MATCH(AE$5,'Exercise list'!$E$4:$X$4,0)),0)</f>
        <v>0</v>
      </c>
      <c r="AF263" s="19">
        <f>IFERROR(INDEX('Exercise list'!$E$5:$X$102,MATCH($C263,'Exercise list'!$C$5:$C$102,0),MATCH(AF$5,'Exercise list'!$E$4:$X$4,0)),0)</f>
        <v>0</v>
      </c>
      <c r="AG263" s="19">
        <f>IFERROR(INDEX('Exercise list'!$E$5:$X$102,MATCH($C263,'Exercise list'!$C$5:$C$102,0),MATCH(AG$5,'Exercise list'!$E$4:$X$4,0)),0)</f>
        <v>0</v>
      </c>
      <c r="AH263" s="19">
        <f>IFERROR(INDEX('Exercise list'!$E$5:$X$102,MATCH($C263,'Exercise list'!$C$5:$C$102,0),MATCH(AH$5,'Exercise list'!$E$4:$X$4,0)),0)</f>
        <v>0</v>
      </c>
      <c r="AI263" s="19">
        <f>IFERROR(INDEX('Exercise list'!$E$5:$X$102,MATCH($C263,'Exercise list'!$C$5:$C$102,0),MATCH(AI$5,'Exercise list'!$E$4:$X$4,0)),0)</f>
        <v>0</v>
      </c>
      <c r="AJ263" s="19"/>
      <c r="AK263" s="19">
        <f>IF(OR($J263=1,COUNTIFS($A$5:$A262,"&gt;="&amp;$A263-1,$A$5:$A262,"&lt;="&amp;$A263,$B$5:$B262,$B263)&gt;0,MIN(1-'Exercise list'!E$2,IF($A263=$A262,AK262,1))-P263&lt;0),-1,MIN(1,IF($A263=$A262,AK262,1)-P263+$D$2))</f>
        <v>1</v>
      </c>
      <c r="AL263" s="19">
        <f>IF(OR($J263=1,COUNTIFS($A$5:$A262,"&gt;="&amp;$A263-1,$A$5:$A262,"&lt;="&amp;$A263,$B$5:$B262,$B263)&gt;0,MIN(1-'Exercise list'!F$2,IF($A263=$A262,AL262,1))-Q263&lt;0),-1,MIN(1,IF($A263=$A262,AL262,1)-Q263+$D$2))</f>
        <v>1</v>
      </c>
      <c r="AM263" s="19">
        <f>IF(OR($J263=1,COUNTIFS($A$5:$A262,"&gt;="&amp;$A263-1,$A$5:$A262,"&lt;="&amp;$A263,$B$5:$B262,$B263)&gt;0,MIN(1-'Exercise list'!G$2,IF($A263=$A262,AM262,1))-R263&lt;0),-1,MIN(1,IF($A263=$A262,AM262,1)-R263+$D$2))</f>
        <v>1</v>
      </c>
      <c r="AN263" s="19">
        <f>IF(OR($J263=1,COUNTIFS($A$5:$A262,"&gt;="&amp;$A263-1,$A$5:$A262,"&lt;="&amp;$A263,$B$5:$B262,$B263)&gt;0,MIN(1-'Exercise list'!H$2,IF($A263=$A262,AN262,1))-S263&lt;0),-1,MIN(1,IF($A263=$A262,AN262,1)-S263+$D$2))</f>
        <v>1</v>
      </c>
      <c r="AO263" s="19">
        <f>IF(OR($J263=1,COUNTIFS($A$5:$A262,"&gt;="&amp;$A263-1,$A$5:$A262,"&lt;="&amp;$A263,$B$5:$B262,$B263)&gt;0,MIN(1-'Exercise list'!I$2,IF($A263=$A262,AO262,1))-T263&lt;0),-1,MIN(1,IF($A263=$A262,AO262,1)-T263+$D$2))</f>
        <v>1</v>
      </c>
      <c r="AP263" s="19">
        <f>IF(OR($J263=1,COUNTIFS($A$5:$A262,"&gt;="&amp;$A263-1,$A$5:$A262,"&lt;="&amp;$A263,$B$5:$B262,$B263)&gt;0,MIN(1-'Exercise list'!J$2,IF($A263=$A262,AP262,1))-U263&lt;0),-1,MIN(1,IF($A263=$A262,AP262,1)-U263+$D$2))</f>
        <v>1</v>
      </c>
      <c r="AQ263" s="19">
        <f>IF(OR($J263=1,COUNTIFS($A$5:$A262,"&gt;="&amp;$A263-1,$A$5:$A262,"&lt;="&amp;$A263,$B$5:$B262,$B263)&gt;0,MIN(1-'Exercise list'!K$2,IF($A263=$A262,AQ262,1))-V263&lt;0),-1,MIN(1,IF($A263=$A262,AQ262,1)-V263+$D$2))</f>
        <v>1</v>
      </c>
      <c r="AR263" s="19">
        <f>IF(OR($J263=1,COUNTIFS($A$5:$A262,"&gt;="&amp;$A263-1,$A$5:$A262,"&lt;="&amp;$A263,$B$5:$B262,$B263)&gt;0,MIN(1-'Exercise list'!L$2,IF($A263=$A262,AR262,1))-W263&lt;0),-1,MIN(1,IF($A263=$A262,AR262,1)-W263+$D$2))</f>
        <v>1</v>
      </c>
      <c r="AS263" s="19">
        <f>IF(OR($J263=1,COUNTIFS($A$5:$A262,"&gt;="&amp;$A263-1,$A$5:$A262,"&lt;="&amp;$A263,$B$5:$B262,$B263)&gt;0,MIN(1-'Exercise list'!M$2,IF($A263=$A262,AS262,1))-X263&lt;0),-1,MIN(1,IF($A263=$A262,AS262,1)-X263+$D$2))</f>
        <v>1</v>
      </c>
      <c r="AT263" s="19">
        <f>IF(OR($J263=1,COUNTIFS($A$5:$A262,"&gt;="&amp;$A263-1,$A$5:$A262,"&lt;="&amp;$A263,$B$5:$B262,$B263)&gt;0,MIN(1-'Exercise list'!N$2,IF($A263=$A262,AT262,1))-Y263&lt;0),-1,MIN(1,IF($A263=$A262,AT262,1)-Y263+$D$2))</f>
        <v>1</v>
      </c>
      <c r="AU263" s="19">
        <f>IF(OR($J263=1,COUNTIFS($A$5:$A262,"&gt;="&amp;$A263-1,$A$5:$A262,"&lt;="&amp;$A263,$B$5:$B262,$B263)&gt;0,MIN(1-'Exercise list'!O$2,IF($A263=$A262,AU262,1))-Z263&lt;0),-1,MIN(1,IF($A263=$A262,AU262,1)-Z263+$D$2))</f>
        <v>1</v>
      </c>
      <c r="AV263" s="19">
        <f>IF(OR($J263=1,COUNTIFS($A$5:$A262,"&gt;="&amp;$A263-1,$A$5:$A262,"&lt;="&amp;$A263,$B$5:$B262,$B263)&gt;0,MIN(1-'Exercise list'!P$2,IF($A263=$A262,AV262,1))-AA263&lt;0),-1,MIN(1,IF($A263=$A262,AV262,1)-AA263+$D$2))</f>
        <v>1</v>
      </c>
      <c r="AW263" s="19">
        <f>IF(OR($J263=1,COUNTIFS($A$5:$A262,"&gt;="&amp;$A263-1,$A$5:$A262,"&lt;="&amp;$A263,$B$5:$B262,$B263)&gt;0,MIN(1-'Exercise list'!Q$2,IF($A263=$A262,AW262,1))-AB263&lt;0),-1,MIN(1,IF($A263=$A262,AW262,1)-AB263+$D$2))</f>
        <v>1</v>
      </c>
      <c r="AX263" s="19">
        <f>IF(OR($J263=1,COUNTIFS($A$5:$A262,"&gt;="&amp;$A263-1,$A$5:$A262,"&lt;="&amp;$A263,$B$5:$B262,$B263)&gt;0,MIN(1-'Exercise list'!R$2,IF($A263=$A262,AX262,1))-AC263&lt;0),-1,MIN(1,IF($A263=$A262,AX262,1)-AC263+$D$2))</f>
        <v>1</v>
      </c>
      <c r="AY263" s="19">
        <f>IF(OR($J263=1,COUNTIFS($A$5:$A262,"&gt;="&amp;$A263-1,$A$5:$A262,"&lt;="&amp;$A263,$B$5:$B262,$B263)&gt;0,MIN(1-'Exercise list'!S$2,IF($A263=$A262,AY262,1))-AD263&lt;0),-1,MIN(1,IF($A263=$A262,AY262,1)-AD263+$D$2))</f>
        <v>1</v>
      </c>
      <c r="AZ263" s="19">
        <f>IF(OR($J263=1,COUNTIFS($A$5:$A262,"&gt;="&amp;$A263-1,$A$5:$A262,"&lt;="&amp;$A263,$B$5:$B262,$B263)&gt;0,MIN(1-'Exercise list'!T$2,IF($A263=$A262,AZ262,1))-AE263&lt;0),-1,MIN(1,IF($A263=$A262,AZ262,1)-AE263+$D$2))</f>
        <v>1</v>
      </c>
      <c r="BA263" s="19">
        <f>IF(OR($J263=1,COUNTIFS($A$5:$A262,"&gt;="&amp;$A263-1,$A$5:$A262,"&lt;="&amp;$A263,$B$5:$B262,$B263)&gt;0,MIN(1-'Exercise list'!U$2,IF($A263=$A262,BA262,1))-AF263&lt;0),-1,MIN(1,IF($A263=$A262,BA262,1)-AF263+$D$2))</f>
        <v>1</v>
      </c>
      <c r="BB263" s="19">
        <f>IF(OR($J263=1,COUNTIFS($A$5:$A262,"&gt;="&amp;$A263-1,$A$5:$A262,"&lt;="&amp;$A263,$B$5:$B262,$B263)&gt;0,MIN(1-'Exercise list'!V$2,IF($A263=$A262,BB262,1))-AG263&lt;0),-1,MIN(1,IF($A263=$A262,BB262,1)-AG263+$D$2))</f>
        <v>1</v>
      </c>
      <c r="BC263" s="19">
        <f>IF(OR($J263=1,COUNTIFS($A$5:$A262,"&gt;="&amp;$A263-1,$A$5:$A262,"&lt;="&amp;$A263,$B$5:$B262,$B263)&gt;0,MIN(1-'Exercise list'!W$2,IF($A263=$A262,BC262,1))-AH263&lt;0),-1,MIN(1,IF($A263=$A262,BC262,1)-AH263+$D$2))</f>
        <v>1</v>
      </c>
      <c r="BD263" s="19">
        <f>IF(OR($J263=1,COUNTIFS($A$5:$A262,"&gt;="&amp;$A263-1,$A$5:$A262,"&lt;="&amp;$A263,$B$5:$B262,$B263)&gt;0,MIN(1-'Exercise list'!X$2,IF($A263=$A262,BD262,1))-AI263&lt;0),-1,MIN(1,IF($A263=$A262,BD262,1)-AI263+$D$2))</f>
        <v>1</v>
      </c>
      <c r="BE263" s="19"/>
      <c r="BF263" s="23">
        <f t="shared" si="189"/>
        <v>0.19596031081758858</v>
      </c>
      <c r="BG263" s="23">
        <f t="shared" si="190"/>
        <v>0.21844636935459236</v>
      </c>
      <c r="BH263" s="23">
        <f t="shared" si="191"/>
        <v>0.14609696635987124</v>
      </c>
      <c r="BI263" s="23">
        <f t="shared" si="192"/>
        <v>0.13198015366034541</v>
      </c>
      <c r="BJ263" s="23">
        <f t="shared" si="193"/>
        <v>8.3367914198418713E-2</v>
      </c>
      <c r="BK263" s="23">
        <f t="shared" si="194"/>
        <v>0.10640640223148412</v>
      </c>
      <c r="BL263" s="23">
        <f t="shared" si="195"/>
        <v>0.21963504743569431</v>
      </c>
      <c r="BM263" s="23">
        <f t="shared" si="196"/>
        <v>3.8988008374820568E-3</v>
      </c>
      <c r="BN263" s="23">
        <f t="shared" si="197"/>
        <v>0.14537706087090876</v>
      </c>
      <c r="BO263" s="23">
        <f t="shared" si="198"/>
        <v>0.29209790661993401</v>
      </c>
      <c r="BP263" s="23">
        <f t="shared" si="199"/>
        <v>0.31584545163401867</v>
      </c>
      <c r="BQ263" s="23">
        <f t="shared" si="200"/>
        <v>0.1000007994126096</v>
      </c>
      <c r="BR263" s="23">
        <f t="shared" si="201"/>
        <v>0.13164487759885393</v>
      </c>
      <c r="BS263" s="23">
        <f t="shared" si="202"/>
        <v>2.9803550189863123E-2</v>
      </c>
      <c r="BT263" s="23">
        <f t="shared" si="203"/>
        <v>0.13492040904978705</v>
      </c>
      <c r="BU263" s="23">
        <f t="shared" si="204"/>
        <v>0.11703687414398131</v>
      </c>
      <c r="BV263" s="23">
        <f t="shared" si="205"/>
        <v>0.14633353213781661</v>
      </c>
      <c r="BW263" s="23">
        <f t="shared" si="206"/>
        <v>7.5588015111767173E-2</v>
      </c>
      <c r="BX263" s="23">
        <f t="shared" si="207"/>
        <v>8.0345659937185704E-2</v>
      </c>
      <c r="BY263" s="23">
        <f t="shared" si="208"/>
        <v>5.9014643151272549E-2</v>
      </c>
      <c r="BZ263" s="19"/>
      <c r="CA263" s="23" t="str">
        <f t="shared" si="185"/>
        <v/>
      </c>
      <c r="CB263" s="23" t="str">
        <f t="shared" si="210"/>
        <v/>
      </c>
      <c r="CC263" s="23" t="str">
        <f t="shared" si="211"/>
        <v/>
      </c>
      <c r="CD263" s="23" t="str">
        <f t="shared" si="212"/>
        <v/>
      </c>
      <c r="CE263" s="23" t="str">
        <f t="shared" si="213"/>
        <v/>
      </c>
      <c r="CF263" s="23" t="str">
        <f t="shared" si="214"/>
        <v/>
      </c>
      <c r="CG263" s="23" t="str">
        <f t="shared" si="215"/>
        <v/>
      </c>
      <c r="CH263" s="23" t="str">
        <f t="shared" si="216"/>
        <v/>
      </c>
      <c r="CI263" s="23" t="str">
        <f t="shared" si="217"/>
        <v/>
      </c>
      <c r="CJ263" s="23" t="str">
        <f t="shared" si="218"/>
        <v/>
      </c>
      <c r="CK263" s="23" t="str">
        <f t="shared" si="219"/>
        <v/>
      </c>
      <c r="CL263" s="23" t="str">
        <f t="shared" si="220"/>
        <v/>
      </c>
      <c r="CM263" s="23" t="str">
        <f t="shared" si="221"/>
        <v/>
      </c>
      <c r="CN263" s="23" t="str">
        <f t="shared" si="222"/>
        <v/>
      </c>
      <c r="CO263" s="23" t="str">
        <f t="shared" si="223"/>
        <v/>
      </c>
      <c r="CP263" s="23" t="str">
        <f t="shared" si="224"/>
        <v/>
      </c>
      <c r="CQ263" s="23" t="str">
        <f t="shared" si="225"/>
        <v/>
      </c>
      <c r="CR263" s="23" t="str">
        <f t="shared" si="226"/>
        <v/>
      </c>
      <c r="CS263" s="23" t="str">
        <f t="shared" si="227"/>
        <v/>
      </c>
      <c r="CT263" s="23" t="str">
        <f t="shared" si="228"/>
        <v/>
      </c>
      <c r="CU263" s="19"/>
    </row>
    <row r="264" spans="1:99" x14ac:dyDescent="0.25">
      <c r="A264" s="13"/>
      <c r="B264" s="14"/>
      <c r="C264" s="15" t="str" cm="1">
        <f t="array" ref="C264">IF(B264="","",INDEX('Exercise list'!$C$5:$C$102,B264))</f>
        <v/>
      </c>
      <c r="D264" s="12" t="str">
        <f t="shared" si="186"/>
        <v/>
      </c>
      <c r="E264" s="107" t="str">
        <f t="shared" si="209"/>
        <v/>
      </c>
      <c r="F264" s="63" t="str" cm="1">
        <f t="array" ref="F264">IF(B264="","",0.1+IFERROR(INDEX($F$6:$F263,SUMPRODUCT(MAX(ROW($C$6:$C263)*($C264=$C$6:$C263))-ROW($A$5)))*0.9^($A264-INDEX($A$6:A263,SUMPRODUCT(MAX(ROW($C$6:$C263)*($C264=$C$6:$C263))-ROW($A$5)))),0))</f>
        <v/>
      </c>
      <c r="G264" s="64" t="e">
        <f>INDEX('Exercise list'!$Y$5:$Y$102,MATCH(C264,'Exercise list'!$C$5:$C$102,0))</f>
        <v>#N/A</v>
      </c>
      <c r="H264" s="115">
        <f t="shared" si="187"/>
        <v>0</v>
      </c>
      <c r="I264" s="42">
        <f t="shared" si="188"/>
        <v>5</v>
      </c>
      <c r="J264" s="6" t="str" cm="1">
        <f t="array" ref="J264">IF(B264="","",INDEX('Exercise list'!$D$5:$D$102,B264))</f>
        <v/>
      </c>
      <c r="K264" s="12"/>
      <c r="L264" s="74" t="str" cm="1">
        <f t="array" ref="L264">IF(K264="","",INDEX('Exercise list'!$C$5:$C$102,K264))</f>
        <v/>
      </c>
      <c r="M264" s="6"/>
      <c r="N264" s="75" t="str" cm="1">
        <f t="array" ref="N264">IF(M264="","",INDEX('Exercise list'!$C$5:$C$102,M264))</f>
        <v/>
      </c>
      <c r="P264">
        <f>IFERROR(INDEX('Exercise list'!$E$5:$X$102,MATCH($C264,'Exercise list'!$C$5:$C$102,0),MATCH(P$5,'Exercise list'!$E$4:$X$4,0)),0)</f>
        <v>0</v>
      </c>
      <c r="Q264">
        <f>IFERROR(INDEX('Exercise list'!$E$5:$X$102,MATCH($C264,'Exercise list'!$C$5:$C$102,0),MATCH(Q$5,'Exercise list'!$E$4:$X$4,0)),0)</f>
        <v>0</v>
      </c>
      <c r="R264">
        <f>IFERROR(INDEX('Exercise list'!$E$5:$X$102,MATCH($C264,'Exercise list'!$C$5:$C$102,0),MATCH(R$5,'Exercise list'!$E$4:$X$4,0)),0)</f>
        <v>0</v>
      </c>
      <c r="S264">
        <f>IFERROR(INDEX('Exercise list'!$E$5:$X$102,MATCH($C264,'Exercise list'!$C$5:$C$102,0),MATCH(S$5,'Exercise list'!$E$4:$X$4,0)),0)</f>
        <v>0</v>
      </c>
      <c r="T264">
        <f>IFERROR(INDEX('Exercise list'!$E$5:$X$102,MATCH($C264,'Exercise list'!$C$5:$C$102,0),MATCH(T$5,'Exercise list'!$E$4:$X$4,0)),0)</f>
        <v>0</v>
      </c>
      <c r="U264">
        <f>IFERROR(INDEX('Exercise list'!$E$5:$X$102,MATCH($C264,'Exercise list'!$C$5:$C$102,0),MATCH(U$5,'Exercise list'!$E$4:$X$4,0)),0)</f>
        <v>0</v>
      </c>
      <c r="V264">
        <f>IFERROR(INDEX('Exercise list'!$E$5:$X$102,MATCH($C264,'Exercise list'!$C$5:$C$102,0),MATCH(V$5,'Exercise list'!$E$4:$X$4,0)),0)</f>
        <v>0</v>
      </c>
      <c r="W264">
        <f>IFERROR(INDEX('Exercise list'!$E$5:$X$102,MATCH($C264,'Exercise list'!$C$5:$C$102,0),MATCH(W$5,'Exercise list'!$E$4:$X$4,0)),0)</f>
        <v>0</v>
      </c>
      <c r="X264">
        <f>IFERROR(INDEX('Exercise list'!$E$5:$X$102,MATCH($C264,'Exercise list'!$C$5:$C$102,0),MATCH(X$5,'Exercise list'!$E$4:$X$4,0)),0)</f>
        <v>0</v>
      </c>
      <c r="Y264">
        <f>IFERROR(INDEX('Exercise list'!$E$5:$X$102,MATCH($C264,'Exercise list'!$C$5:$C$102,0),MATCH(Y$5,'Exercise list'!$E$4:$X$4,0)),0)</f>
        <v>0</v>
      </c>
      <c r="Z264">
        <f>IFERROR(INDEX('Exercise list'!$E$5:$X$102,MATCH($C264,'Exercise list'!$C$5:$C$102,0),MATCH(Z$5,'Exercise list'!$E$4:$X$4,0)),0)</f>
        <v>0</v>
      </c>
      <c r="AA264">
        <f>IFERROR(INDEX('Exercise list'!$E$5:$X$102,MATCH($C264,'Exercise list'!$C$5:$C$102,0),MATCH(AA$5,'Exercise list'!$E$4:$X$4,0)),0)</f>
        <v>0</v>
      </c>
      <c r="AB264">
        <f>IFERROR(INDEX('Exercise list'!$E$5:$X$102,MATCH($C264,'Exercise list'!$C$5:$C$102,0),MATCH(AB$5,'Exercise list'!$E$4:$X$4,0)),0)</f>
        <v>0</v>
      </c>
      <c r="AC264">
        <f>IFERROR(INDEX('Exercise list'!$E$5:$X$102,MATCH($C264,'Exercise list'!$C$5:$C$102,0),MATCH(AC$5,'Exercise list'!$E$4:$X$4,0)),0)</f>
        <v>0</v>
      </c>
      <c r="AD264">
        <f>IFERROR(INDEX('Exercise list'!$E$5:$X$102,MATCH($C264,'Exercise list'!$C$5:$C$102,0),MATCH(AD$5,'Exercise list'!$E$4:$X$4,0)),0)</f>
        <v>0</v>
      </c>
      <c r="AE264">
        <f>IFERROR(INDEX('Exercise list'!$E$5:$X$102,MATCH($C264,'Exercise list'!$C$5:$C$102,0),MATCH(AE$5,'Exercise list'!$E$4:$X$4,0)),0)</f>
        <v>0</v>
      </c>
      <c r="AF264">
        <f>IFERROR(INDEX('Exercise list'!$E$5:$X$102,MATCH($C264,'Exercise list'!$C$5:$C$102,0),MATCH(AF$5,'Exercise list'!$E$4:$X$4,0)),0)</f>
        <v>0</v>
      </c>
      <c r="AG264">
        <f>IFERROR(INDEX('Exercise list'!$E$5:$X$102,MATCH($C264,'Exercise list'!$C$5:$C$102,0),MATCH(AG$5,'Exercise list'!$E$4:$X$4,0)),0)</f>
        <v>0</v>
      </c>
      <c r="AH264">
        <f>IFERROR(INDEX('Exercise list'!$E$5:$X$102,MATCH($C264,'Exercise list'!$C$5:$C$102,0),MATCH(AH$5,'Exercise list'!$E$4:$X$4,0)),0)</f>
        <v>0</v>
      </c>
      <c r="AI264">
        <f>IFERROR(INDEX('Exercise list'!$E$5:$X$102,MATCH($C264,'Exercise list'!$C$5:$C$102,0),MATCH(AI$5,'Exercise list'!$E$4:$X$4,0)),0)</f>
        <v>0</v>
      </c>
      <c r="AK264">
        <f>IF(OR($J264=1,COUNTIFS($A$5:$A263,"&gt;="&amp;$A264-1,$A$5:$A263,"&lt;="&amp;$A264,$B$5:$B263,$B264)&gt;0,MIN(1-'Exercise list'!E$2,IF($A264=$A263,AK263,1))-P264&lt;0),-1,MIN(1,IF($A264=$A263,AK263,1)-P264+$D$2))</f>
        <v>1</v>
      </c>
      <c r="AL264">
        <f>IF(OR($J264=1,COUNTIFS($A$5:$A263,"&gt;="&amp;$A264-1,$A$5:$A263,"&lt;="&amp;$A264,$B$5:$B263,$B264)&gt;0,MIN(1-'Exercise list'!F$2,IF($A264=$A263,AL263,1))-Q264&lt;0),-1,MIN(1,IF($A264=$A263,AL263,1)-Q264+$D$2))</f>
        <v>1</v>
      </c>
      <c r="AM264">
        <f>IF(OR($J264=1,COUNTIFS($A$5:$A263,"&gt;="&amp;$A264-1,$A$5:$A263,"&lt;="&amp;$A264,$B$5:$B263,$B264)&gt;0,MIN(1-'Exercise list'!G$2,IF($A264=$A263,AM263,1))-R264&lt;0),-1,MIN(1,IF($A264=$A263,AM263,1)-R264+$D$2))</f>
        <v>1</v>
      </c>
      <c r="AN264">
        <f>IF(OR($J264=1,COUNTIFS($A$5:$A263,"&gt;="&amp;$A264-1,$A$5:$A263,"&lt;="&amp;$A264,$B$5:$B263,$B264)&gt;0,MIN(1-'Exercise list'!H$2,IF($A264=$A263,AN263,1))-S264&lt;0),-1,MIN(1,IF($A264=$A263,AN263,1)-S264+$D$2))</f>
        <v>1</v>
      </c>
      <c r="AO264">
        <f>IF(OR($J264=1,COUNTIFS($A$5:$A263,"&gt;="&amp;$A264-1,$A$5:$A263,"&lt;="&amp;$A264,$B$5:$B263,$B264)&gt;0,MIN(1-'Exercise list'!I$2,IF($A264=$A263,AO263,1))-T264&lt;0),-1,MIN(1,IF($A264=$A263,AO263,1)-T264+$D$2))</f>
        <v>1</v>
      </c>
      <c r="AP264">
        <f>IF(OR($J264=1,COUNTIFS($A$5:$A263,"&gt;="&amp;$A264-1,$A$5:$A263,"&lt;="&amp;$A264,$B$5:$B263,$B264)&gt;0,MIN(1-'Exercise list'!J$2,IF($A264=$A263,AP263,1))-U264&lt;0),-1,MIN(1,IF($A264=$A263,AP263,1)-U264+$D$2))</f>
        <v>1</v>
      </c>
      <c r="AQ264">
        <f>IF(OR($J264=1,COUNTIFS($A$5:$A263,"&gt;="&amp;$A264-1,$A$5:$A263,"&lt;="&amp;$A264,$B$5:$B263,$B264)&gt;0,MIN(1-'Exercise list'!K$2,IF($A264=$A263,AQ263,1))-V264&lt;0),-1,MIN(1,IF($A264=$A263,AQ263,1)-V264+$D$2))</f>
        <v>1</v>
      </c>
      <c r="AR264">
        <f>IF(OR($J264=1,COUNTIFS($A$5:$A263,"&gt;="&amp;$A264-1,$A$5:$A263,"&lt;="&amp;$A264,$B$5:$B263,$B264)&gt;0,MIN(1-'Exercise list'!L$2,IF($A264=$A263,AR263,1))-W264&lt;0),-1,MIN(1,IF($A264=$A263,AR263,1)-W264+$D$2))</f>
        <v>1</v>
      </c>
      <c r="AS264">
        <f>IF(OR($J264=1,COUNTIFS($A$5:$A263,"&gt;="&amp;$A264-1,$A$5:$A263,"&lt;="&amp;$A264,$B$5:$B263,$B264)&gt;0,MIN(1-'Exercise list'!M$2,IF($A264=$A263,AS263,1))-X264&lt;0),-1,MIN(1,IF($A264=$A263,AS263,1)-X264+$D$2))</f>
        <v>1</v>
      </c>
      <c r="AT264">
        <f>IF(OR($J264=1,COUNTIFS($A$5:$A263,"&gt;="&amp;$A264-1,$A$5:$A263,"&lt;="&amp;$A264,$B$5:$B263,$B264)&gt;0,MIN(1-'Exercise list'!N$2,IF($A264=$A263,AT263,1))-Y264&lt;0),-1,MIN(1,IF($A264=$A263,AT263,1)-Y264+$D$2))</f>
        <v>1</v>
      </c>
      <c r="AU264">
        <f>IF(OR($J264=1,COUNTIFS($A$5:$A263,"&gt;="&amp;$A264-1,$A$5:$A263,"&lt;="&amp;$A264,$B$5:$B263,$B264)&gt;0,MIN(1-'Exercise list'!O$2,IF($A264=$A263,AU263,1))-Z264&lt;0),-1,MIN(1,IF($A264=$A263,AU263,1)-Z264+$D$2))</f>
        <v>1</v>
      </c>
      <c r="AV264">
        <f>IF(OR($J264=1,COUNTIFS($A$5:$A263,"&gt;="&amp;$A264-1,$A$5:$A263,"&lt;="&amp;$A264,$B$5:$B263,$B264)&gt;0,MIN(1-'Exercise list'!P$2,IF($A264=$A263,AV263,1))-AA264&lt;0),-1,MIN(1,IF($A264=$A263,AV263,1)-AA264+$D$2))</f>
        <v>1</v>
      </c>
      <c r="AW264">
        <f>IF(OR($J264=1,COUNTIFS($A$5:$A263,"&gt;="&amp;$A264-1,$A$5:$A263,"&lt;="&amp;$A264,$B$5:$B263,$B264)&gt;0,MIN(1-'Exercise list'!Q$2,IF($A264=$A263,AW263,1))-AB264&lt;0),-1,MIN(1,IF($A264=$A263,AW263,1)-AB264+$D$2))</f>
        <v>1</v>
      </c>
      <c r="AX264">
        <f>IF(OR($J264=1,COUNTIFS($A$5:$A263,"&gt;="&amp;$A264-1,$A$5:$A263,"&lt;="&amp;$A264,$B$5:$B263,$B264)&gt;0,MIN(1-'Exercise list'!R$2,IF($A264=$A263,AX263,1))-AC264&lt;0),-1,MIN(1,IF($A264=$A263,AX263,1)-AC264+$D$2))</f>
        <v>1</v>
      </c>
      <c r="AY264">
        <f>IF(OR($J264=1,COUNTIFS($A$5:$A263,"&gt;="&amp;$A264-1,$A$5:$A263,"&lt;="&amp;$A264,$B$5:$B263,$B264)&gt;0,MIN(1-'Exercise list'!S$2,IF($A264=$A263,AY263,1))-AD264&lt;0),-1,MIN(1,IF($A264=$A263,AY263,1)-AD264+$D$2))</f>
        <v>1</v>
      </c>
      <c r="AZ264">
        <f>IF(OR($J264=1,COUNTIFS($A$5:$A263,"&gt;="&amp;$A264-1,$A$5:$A263,"&lt;="&amp;$A264,$B$5:$B263,$B264)&gt;0,MIN(1-'Exercise list'!T$2,IF($A264=$A263,AZ263,1))-AE264&lt;0),-1,MIN(1,IF($A264=$A263,AZ263,1)-AE264+$D$2))</f>
        <v>1</v>
      </c>
      <c r="BA264">
        <f>IF(OR($J264=1,COUNTIFS($A$5:$A263,"&gt;="&amp;$A264-1,$A$5:$A263,"&lt;="&amp;$A264,$B$5:$B263,$B264)&gt;0,MIN(1-'Exercise list'!U$2,IF($A264=$A263,BA263,1))-AF264&lt;0),-1,MIN(1,IF($A264=$A263,BA263,1)-AF264+$D$2))</f>
        <v>1</v>
      </c>
      <c r="BB264">
        <f>IF(OR($J264=1,COUNTIFS($A$5:$A263,"&gt;="&amp;$A264-1,$A$5:$A263,"&lt;="&amp;$A264,$B$5:$B263,$B264)&gt;0,MIN(1-'Exercise list'!V$2,IF($A264=$A263,BB263,1))-AG264&lt;0),-1,MIN(1,IF($A264=$A263,BB263,1)-AG264+$D$2))</f>
        <v>1</v>
      </c>
      <c r="BC264">
        <f>IF(OR($J264=1,COUNTIFS($A$5:$A263,"&gt;="&amp;$A264-1,$A$5:$A263,"&lt;="&amp;$A264,$B$5:$B263,$B264)&gt;0,MIN(1-'Exercise list'!W$2,IF($A264=$A263,BC263,1))-AH264&lt;0),-1,MIN(1,IF($A264=$A263,BC263,1)-AH264+$D$2))</f>
        <v>1</v>
      </c>
      <c r="BD264">
        <f>IF(OR($J264=1,COUNTIFS($A$5:$A263,"&gt;="&amp;$A264-1,$A$5:$A263,"&lt;="&amp;$A264,$B$5:$B263,$B264)&gt;0,MIN(1-'Exercise list'!X$2,IF($A264=$A263,BD263,1))-AI264&lt;0),-1,MIN(1,IF($A264=$A263,BD263,1)-AI264+$D$2))</f>
        <v>1</v>
      </c>
      <c r="BF264" s="16">
        <f t="shared" si="189"/>
        <v>0.19596031081758858</v>
      </c>
      <c r="BG264" s="16">
        <f t="shared" si="190"/>
        <v>0.21844636935459236</v>
      </c>
      <c r="BH264" s="16">
        <f t="shared" si="191"/>
        <v>0.14609696635987124</v>
      </c>
      <c r="BI264" s="16">
        <f t="shared" si="192"/>
        <v>0.13198015366034541</v>
      </c>
      <c r="BJ264" s="16">
        <f t="shared" si="193"/>
        <v>8.3367914198418713E-2</v>
      </c>
      <c r="BK264" s="16">
        <f t="shared" si="194"/>
        <v>0.10640640223148412</v>
      </c>
      <c r="BL264" s="16">
        <f t="shared" si="195"/>
        <v>0.21963504743569431</v>
      </c>
      <c r="BM264" s="16">
        <f t="shared" si="196"/>
        <v>3.8988008374820568E-3</v>
      </c>
      <c r="BN264" s="16">
        <f t="shared" si="197"/>
        <v>0.14537706087090876</v>
      </c>
      <c r="BO264" s="16">
        <f t="shared" si="198"/>
        <v>0.29209790661993401</v>
      </c>
      <c r="BP264" s="16">
        <f t="shared" si="199"/>
        <v>0.31584545163401867</v>
      </c>
      <c r="BQ264" s="16">
        <f t="shared" si="200"/>
        <v>0.1000007994126096</v>
      </c>
      <c r="BR264" s="16">
        <f t="shared" si="201"/>
        <v>0.13164487759885393</v>
      </c>
      <c r="BS264" s="16">
        <f t="shared" si="202"/>
        <v>2.9803550189863123E-2</v>
      </c>
      <c r="BT264" s="16">
        <f t="shared" si="203"/>
        <v>0.13492040904978705</v>
      </c>
      <c r="BU264" s="16">
        <f t="shared" si="204"/>
        <v>0.11703687414398131</v>
      </c>
      <c r="BV264" s="16">
        <f t="shared" si="205"/>
        <v>0.14633353213781661</v>
      </c>
      <c r="BW264" s="16">
        <f t="shared" si="206"/>
        <v>7.5588015111767173E-2</v>
      </c>
      <c r="BX264" s="16">
        <f t="shared" si="207"/>
        <v>8.0345659937185704E-2</v>
      </c>
      <c r="BY264" s="16">
        <f t="shared" si="208"/>
        <v>5.9014643151272549E-2</v>
      </c>
      <c r="CA264" s="16" t="str">
        <f t="shared" si="185"/>
        <v/>
      </c>
      <c r="CB264" s="16" t="str">
        <f t="shared" si="210"/>
        <v/>
      </c>
      <c r="CC264" s="16" t="str">
        <f t="shared" si="211"/>
        <v/>
      </c>
      <c r="CD264" s="16" t="str">
        <f t="shared" si="212"/>
        <v/>
      </c>
      <c r="CE264" s="16" t="str">
        <f t="shared" si="213"/>
        <v/>
      </c>
      <c r="CF264" s="16" t="str">
        <f t="shared" si="214"/>
        <v/>
      </c>
      <c r="CG264" s="16" t="str">
        <f t="shared" si="215"/>
        <v/>
      </c>
      <c r="CH264" s="16" t="str">
        <f t="shared" si="216"/>
        <v/>
      </c>
      <c r="CI264" s="16" t="str">
        <f t="shared" si="217"/>
        <v/>
      </c>
      <c r="CJ264" s="16" t="str">
        <f t="shared" si="218"/>
        <v/>
      </c>
      <c r="CK264" s="16" t="str">
        <f t="shared" si="219"/>
        <v/>
      </c>
      <c r="CL264" s="16" t="str">
        <f t="shared" si="220"/>
        <v/>
      </c>
      <c r="CM264" s="16" t="str">
        <f t="shared" si="221"/>
        <v/>
      </c>
      <c r="CN264" s="16" t="str">
        <f t="shared" si="222"/>
        <v/>
      </c>
      <c r="CO264" s="16" t="str">
        <f t="shared" si="223"/>
        <v/>
      </c>
      <c r="CP264" s="16" t="str">
        <f t="shared" si="224"/>
        <v/>
      </c>
      <c r="CQ264" s="16" t="str">
        <f t="shared" si="225"/>
        <v/>
      </c>
      <c r="CR264" s="16" t="str">
        <f t="shared" si="226"/>
        <v/>
      </c>
      <c r="CS264" s="16" t="str">
        <f t="shared" si="227"/>
        <v/>
      </c>
      <c r="CT264" s="16" t="str">
        <f t="shared" si="228"/>
        <v/>
      </c>
    </row>
    <row r="265" spans="1:99" x14ac:dyDescent="0.25">
      <c r="A265" s="13"/>
      <c r="B265" s="14"/>
      <c r="C265" s="15" t="str" cm="1">
        <f t="array" ref="C265">IF(B265="","",INDEX('Exercise list'!$C$5:$C$102,B265))</f>
        <v/>
      </c>
      <c r="D265" s="12" t="str">
        <f t="shared" si="186"/>
        <v/>
      </c>
      <c r="E265" s="107" t="str">
        <f t="shared" si="209"/>
        <v/>
      </c>
      <c r="F265" s="63" t="str" cm="1">
        <f t="array" ref="F265">IF(B265="","",0.1+IFERROR(INDEX($F$6:$F264,SUMPRODUCT(MAX(ROW($C$6:$C264)*($C265=$C$6:$C264))-ROW($A$5)))*0.9^($A265-INDEX($A$6:A264,SUMPRODUCT(MAX(ROW($C$6:$C264)*($C265=$C$6:$C264))-ROW($A$5)))),0))</f>
        <v/>
      </c>
      <c r="G265" s="64" t="e">
        <f>INDEX('Exercise list'!$Y$5:$Y$102,MATCH(C265,'Exercise list'!$C$5:$C$102,0))</f>
        <v>#N/A</v>
      </c>
      <c r="H265" s="115">
        <f t="shared" si="187"/>
        <v>0</v>
      </c>
      <c r="I265" s="6">
        <f t="shared" si="188"/>
        <v>5</v>
      </c>
      <c r="J265" s="6" t="str" cm="1">
        <f t="array" ref="J265">IF(B265="","",INDEX('Exercise list'!$D$5:$D$102,B265))</f>
        <v/>
      </c>
      <c r="K265" s="12"/>
      <c r="L265" s="74" t="str" cm="1">
        <f t="array" ref="L265">IF(K265="","",INDEX('Exercise list'!$C$5:$C$102,K265))</f>
        <v/>
      </c>
      <c r="M265" s="6"/>
      <c r="N265" s="75" t="str" cm="1">
        <f t="array" ref="N265">IF(M265="","",INDEX('Exercise list'!$C$5:$C$102,M265))</f>
        <v/>
      </c>
      <c r="P265">
        <f>IFERROR(INDEX('Exercise list'!$E$5:$X$102,MATCH($C265,'Exercise list'!$C$5:$C$102,0),MATCH(P$5,'Exercise list'!$E$4:$X$4,0)),0)</f>
        <v>0</v>
      </c>
      <c r="Q265">
        <f>IFERROR(INDEX('Exercise list'!$E$5:$X$102,MATCH($C265,'Exercise list'!$C$5:$C$102,0),MATCH(Q$5,'Exercise list'!$E$4:$X$4,0)),0)</f>
        <v>0</v>
      </c>
      <c r="R265">
        <f>IFERROR(INDEX('Exercise list'!$E$5:$X$102,MATCH($C265,'Exercise list'!$C$5:$C$102,0),MATCH(R$5,'Exercise list'!$E$4:$X$4,0)),0)</f>
        <v>0</v>
      </c>
      <c r="S265">
        <f>IFERROR(INDEX('Exercise list'!$E$5:$X$102,MATCH($C265,'Exercise list'!$C$5:$C$102,0),MATCH(S$5,'Exercise list'!$E$4:$X$4,0)),0)</f>
        <v>0</v>
      </c>
      <c r="T265">
        <f>IFERROR(INDEX('Exercise list'!$E$5:$X$102,MATCH($C265,'Exercise list'!$C$5:$C$102,0),MATCH(T$5,'Exercise list'!$E$4:$X$4,0)),0)</f>
        <v>0</v>
      </c>
      <c r="U265">
        <f>IFERROR(INDEX('Exercise list'!$E$5:$X$102,MATCH($C265,'Exercise list'!$C$5:$C$102,0),MATCH(U$5,'Exercise list'!$E$4:$X$4,0)),0)</f>
        <v>0</v>
      </c>
      <c r="V265">
        <f>IFERROR(INDEX('Exercise list'!$E$5:$X$102,MATCH($C265,'Exercise list'!$C$5:$C$102,0),MATCH(V$5,'Exercise list'!$E$4:$X$4,0)),0)</f>
        <v>0</v>
      </c>
      <c r="W265">
        <f>IFERROR(INDEX('Exercise list'!$E$5:$X$102,MATCH($C265,'Exercise list'!$C$5:$C$102,0),MATCH(W$5,'Exercise list'!$E$4:$X$4,0)),0)</f>
        <v>0</v>
      </c>
      <c r="X265">
        <f>IFERROR(INDEX('Exercise list'!$E$5:$X$102,MATCH($C265,'Exercise list'!$C$5:$C$102,0),MATCH(X$5,'Exercise list'!$E$4:$X$4,0)),0)</f>
        <v>0</v>
      </c>
      <c r="Y265">
        <f>IFERROR(INDEX('Exercise list'!$E$5:$X$102,MATCH($C265,'Exercise list'!$C$5:$C$102,0),MATCH(Y$5,'Exercise list'!$E$4:$X$4,0)),0)</f>
        <v>0</v>
      </c>
      <c r="Z265">
        <f>IFERROR(INDEX('Exercise list'!$E$5:$X$102,MATCH($C265,'Exercise list'!$C$5:$C$102,0),MATCH(Z$5,'Exercise list'!$E$4:$X$4,0)),0)</f>
        <v>0</v>
      </c>
      <c r="AA265">
        <f>IFERROR(INDEX('Exercise list'!$E$5:$X$102,MATCH($C265,'Exercise list'!$C$5:$C$102,0),MATCH(AA$5,'Exercise list'!$E$4:$X$4,0)),0)</f>
        <v>0</v>
      </c>
      <c r="AB265">
        <f>IFERROR(INDEX('Exercise list'!$E$5:$X$102,MATCH($C265,'Exercise list'!$C$5:$C$102,0),MATCH(AB$5,'Exercise list'!$E$4:$X$4,0)),0)</f>
        <v>0</v>
      </c>
      <c r="AC265">
        <f>IFERROR(INDEX('Exercise list'!$E$5:$X$102,MATCH($C265,'Exercise list'!$C$5:$C$102,0),MATCH(AC$5,'Exercise list'!$E$4:$X$4,0)),0)</f>
        <v>0</v>
      </c>
      <c r="AD265">
        <f>IFERROR(INDEX('Exercise list'!$E$5:$X$102,MATCH($C265,'Exercise list'!$C$5:$C$102,0),MATCH(AD$5,'Exercise list'!$E$4:$X$4,0)),0)</f>
        <v>0</v>
      </c>
      <c r="AE265">
        <f>IFERROR(INDEX('Exercise list'!$E$5:$X$102,MATCH($C265,'Exercise list'!$C$5:$C$102,0),MATCH(AE$5,'Exercise list'!$E$4:$X$4,0)),0)</f>
        <v>0</v>
      </c>
      <c r="AF265">
        <f>IFERROR(INDEX('Exercise list'!$E$5:$X$102,MATCH($C265,'Exercise list'!$C$5:$C$102,0),MATCH(AF$5,'Exercise list'!$E$4:$X$4,0)),0)</f>
        <v>0</v>
      </c>
      <c r="AG265">
        <f>IFERROR(INDEX('Exercise list'!$E$5:$X$102,MATCH($C265,'Exercise list'!$C$5:$C$102,0),MATCH(AG$5,'Exercise list'!$E$4:$X$4,0)),0)</f>
        <v>0</v>
      </c>
      <c r="AH265">
        <f>IFERROR(INDEX('Exercise list'!$E$5:$X$102,MATCH($C265,'Exercise list'!$C$5:$C$102,0),MATCH(AH$5,'Exercise list'!$E$4:$X$4,0)),0)</f>
        <v>0</v>
      </c>
      <c r="AI265">
        <f>IFERROR(INDEX('Exercise list'!$E$5:$X$102,MATCH($C265,'Exercise list'!$C$5:$C$102,0),MATCH(AI$5,'Exercise list'!$E$4:$X$4,0)),0)</f>
        <v>0</v>
      </c>
      <c r="AK265">
        <f>IF(OR($J265=1,COUNTIFS($A$5:$A264,"&gt;="&amp;$A265-1,$A$5:$A264,"&lt;="&amp;$A265,$B$5:$B264,$B265)&gt;0,MIN(1-'Exercise list'!E$2,IF($A265=$A264,AK264,1))-P265&lt;0),-1,MIN(1,IF($A265=$A264,AK264,1)-P265+$D$2))</f>
        <v>1</v>
      </c>
      <c r="AL265">
        <f>IF(OR($J265=1,COUNTIFS($A$5:$A264,"&gt;="&amp;$A265-1,$A$5:$A264,"&lt;="&amp;$A265,$B$5:$B264,$B265)&gt;0,MIN(1-'Exercise list'!F$2,IF($A265=$A264,AL264,1))-Q265&lt;0),-1,MIN(1,IF($A265=$A264,AL264,1)-Q265+$D$2))</f>
        <v>1</v>
      </c>
      <c r="AM265">
        <f>IF(OR($J265=1,COUNTIFS($A$5:$A264,"&gt;="&amp;$A265-1,$A$5:$A264,"&lt;="&amp;$A265,$B$5:$B264,$B265)&gt;0,MIN(1-'Exercise list'!G$2,IF($A265=$A264,AM264,1))-R265&lt;0),-1,MIN(1,IF($A265=$A264,AM264,1)-R265+$D$2))</f>
        <v>1</v>
      </c>
      <c r="AN265">
        <f>IF(OR($J265=1,COUNTIFS($A$5:$A264,"&gt;="&amp;$A265-1,$A$5:$A264,"&lt;="&amp;$A265,$B$5:$B264,$B265)&gt;0,MIN(1-'Exercise list'!H$2,IF($A265=$A264,AN264,1))-S265&lt;0),-1,MIN(1,IF($A265=$A264,AN264,1)-S265+$D$2))</f>
        <v>1</v>
      </c>
      <c r="AO265">
        <f>IF(OR($J265=1,COUNTIFS($A$5:$A264,"&gt;="&amp;$A265-1,$A$5:$A264,"&lt;="&amp;$A265,$B$5:$B264,$B265)&gt;0,MIN(1-'Exercise list'!I$2,IF($A265=$A264,AO264,1))-T265&lt;0),-1,MIN(1,IF($A265=$A264,AO264,1)-T265+$D$2))</f>
        <v>1</v>
      </c>
      <c r="AP265">
        <f>IF(OR($J265=1,COUNTIFS($A$5:$A264,"&gt;="&amp;$A265-1,$A$5:$A264,"&lt;="&amp;$A265,$B$5:$B264,$B265)&gt;0,MIN(1-'Exercise list'!J$2,IF($A265=$A264,AP264,1))-U265&lt;0),-1,MIN(1,IF($A265=$A264,AP264,1)-U265+$D$2))</f>
        <v>1</v>
      </c>
      <c r="AQ265">
        <f>IF(OR($J265=1,COUNTIFS($A$5:$A264,"&gt;="&amp;$A265-1,$A$5:$A264,"&lt;="&amp;$A265,$B$5:$B264,$B265)&gt;0,MIN(1-'Exercise list'!K$2,IF($A265=$A264,AQ264,1))-V265&lt;0),-1,MIN(1,IF($A265=$A264,AQ264,1)-V265+$D$2))</f>
        <v>1</v>
      </c>
      <c r="AR265">
        <f>IF(OR($J265=1,COUNTIFS($A$5:$A264,"&gt;="&amp;$A265-1,$A$5:$A264,"&lt;="&amp;$A265,$B$5:$B264,$B265)&gt;0,MIN(1-'Exercise list'!L$2,IF($A265=$A264,AR264,1))-W265&lt;0),-1,MIN(1,IF($A265=$A264,AR264,1)-W265+$D$2))</f>
        <v>1</v>
      </c>
      <c r="AS265">
        <f>IF(OR($J265=1,COUNTIFS($A$5:$A264,"&gt;="&amp;$A265-1,$A$5:$A264,"&lt;="&amp;$A265,$B$5:$B264,$B265)&gt;0,MIN(1-'Exercise list'!M$2,IF($A265=$A264,AS264,1))-X265&lt;0),-1,MIN(1,IF($A265=$A264,AS264,1)-X265+$D$2))</f>
        <v>1</v>
      </c>
      <c r="AT265">
        <f>IF(OR($J265=1,COUNTIFS($A$5:$A264,"&gt;="&amp;$A265-1,$A$5:$A264,"&lt;="&amp;$A265,$B$5:$B264,$B265)&gt;0,MIN(1-'Exercise list'!N$2,IF($A265=$A264,AT264,1))-Y265&lt;0),-1,MIN(1,IF($A265=$A264,AT264,1)-Y265+$D$2))</f>
        <v>1</v>
      </c>
      <c r="AU265">
        <f>IF(OR($J265=1,COUNTIFS($A$5:$A264,"&gt;="&amp;$A265-1,$A$5:$A264,"&lt;="&amp;$A265,$B$5:$B264,$B265)&gt;0,MIN(1-'Exercise list'!O$2,IF($A265=$A264,AU264,1))-Z265&lt;0),-1,MIN(1,IF($A265=$A264,AU264,1)-Z265+$D$2))</f>
        <v>1</v>
      </c>
      <c r="AV265">
        <f>IF(OR($J265=1,COUNTIFS($A$5:$A264,"&gt;="&amp;$A265-1,$A$5:$A264,"&lt;="&amp;$A265,$B$5:$B264,$B265)&gt;0,MIN(1-'Exercise list'!P$2,IF($A265=$A264,AV264,1))-AA265&lt;0),-1,MIN(1,IF($A265=$A264,AV264,1)-AA265+$D$2))</f>
        <v>1</v>
      </c>
      <c r="AW265">
        <f>IF(OR($J265=1,COUNTIFS($A$5:$A264,"&gt;="&amp;$A265-1,$A$5:$A264,"&lt;="&amp;$A265,$B$5:$B264,$B265)&gt;0,MIN(1-'Exercise list'!Q$2,IF($A265=$A264,AW264,1))-AB265&lt;0),-1,MIN(1,IF($A265=$A264,AW264,1)-AB265+$D$2))</f>
        <v>1</v>
      </c>
      <c r="AX265">
        <f>IF(OR($J265=1,COUNTIFS($A$5:$A264,"&gt;="&amp;$A265-1,$A$5:$A264,"&lt;="&amp;$A265,$B$5:$B264,$B265)&gt;0,MIN(1-'Exercise list'!R$2,IF($A265=$A264,AX264,1))-AC265&lt;0),-1,MIN(1,IF($A265=$A264,AX264,1)-AC265+$D$2))</f>
        <v>1</v>
      </c>
      <c r="AY265">
        <f>IF(OR($J265=1,COUNTIFS($A$5:$A264,"&gt;="&amp;$A265-1,$A$5:$A264,"&lt;="&amp;$A265,$B$5:$B264,$B265)&gt;0,MIN(1-'Exercise list'!S$2,IF($A265=$A264,AY264,1))-AD265&lt;0),-1,MIN(1,IF($A265=$A264,AY264,1)-AD265+$D$2))</f>
        <v>1</v>
      </c>
      <c r="AZ265">
        <f>IF(OR($J265=1,COUNTIFS($A$5:$A264,"&gt;="&amp;$A265-1,$A$5:$A264,"&lt;="&amp;$A265,$B$5:$B264,$B265)&gt;0,MIN(1-'Exercise list'!T$2,IF($A265=$A264,AZ264,1))-AE265&lt;0),-1,MIN(1,IF($A265=$A264,AZ264,1)-AE265+$D$2))</f>
        <v>1</v>
      </c>
      <c r="BA265">
        <f>IF(OR($J265=1,COUNTIFS($A$5:$A264,"&gt;="&amp;$A265-1,$A$5:$A264,"&lt;="&amp;$A265,$B$5:$B264,$B265)&gt;0,MIN(1-'Exercise list'!U$2,IF($A265=$A264,BA264,1))-AF265&lt;0),-1,MIN(1,IF($A265=$A264,BA264,1)-AF265+$D$2))</f>
        <v>1</v>
      </c>
      <c r="BB265">
        <f>IF(OR($J265=1,COUNTIFS($A$5:$A264,"&gt;="&amp;$A265-1,$A$5:$A264,"&lt;="&amp;$A265,$B$5:$B264,$B265)&gt;0,MIN(1-'Exercise list'!V$2,IF($A265=$A264,BB264,1))-AG265&lt;0),-1,MIN(1,IF($A265=$A264,BB264,1)-AG265+$D$2))</f>
        <v>1</v>
      </c>
      <c r="BC265">
        <f>IF(OR($J265=1,COUNTIFS($A$5:$A264,"&gt;="&amp;$A265-1,$A$5:$A264,"&lt;="&amp;$A265,$B$5:$B264,$B265)&gt;0,MIN(1-'Exercise list'!W$2,IF($A265=$A264,BC264,1))-AH265&lt;0),-1,MIN(1,IF($A265=$A264,BC264,1)-AH265+$D$2))</f>
        <v>1</v>
      </c>
      <c r="BD265">
        <f>IF(OR($J265=1,COUNTIFS($A$5:$A264,"&gt;="&amp;$A265-1,$A$5:$A264,"&lt;="&amp;$A265,$B$5:$B264,$B265)&gt;0,MIN(1-'Exercise list'!X$2,IF($A265=$A264,BD264,1))-AI265&lt;0),-1,MIN(1,IF($A265=$A264,BD264,1)-AI265+$D$2))</f>
        <v>1</v>
      </c>
      <c r="BF265" s="16">
        <f t="shared" si="189"/>
        <v>0.19596031081758858</v>
      </c>
      <c r="BG265" s="16">
        <f t="shared" si="190"/>
        <v>0.21844636935459236</v>
      </c>
      <c r="BH265" s="16">
        <f t="shared" si="191"/>
        <v>0.14609696635987124</v>
      </c>
      <c r="BI265" s="16">
        <f t="shared" si="192"/>
        <v>0.13198015366034541</v>
      </c>
      <c r="BJ265" s="16">
        <f t="shared" si="193"/>
        <v>8.3367914198418713E-2</v>
      </c>
      <c r="BK265" s="16">
        <f t="shared" si="194"/>
        <v>0.10640640223148412</v>
      </c>
      <c r="BL265" s="16">
        <f t="shared" si="195"/>
        <v>0.21963504743569431</v>
      </c>
      <c r="BM265" s="16">
        <f t="shared" si="196"/>
        <v>3.8988008374820568E-3</v>
      </c>
      <c r="BN265" s="16">
        <f t="shared" si="197"/>
        <v>0.14537706087090876</v>
      </c>
      <c r="BO265" s="16">
        <f t="shared" si="198"/>
        <v>0.29209790661993401</v>
      </c>
      <c r="BP265" s="16">
        <f t="shared" si="199"/>
        <v>0.31584545163401867</v>
      </c>
      <c r="BQ265" s="16">
        <f t="shared" si="200"/>
        <v>0.1000007994126096</v>
      </c>
      <c r="BR265" s="16">
        <f t="shared" si="201"/>
        <v>0.13164487759885393</v>
      </c>
      <c r="BS265" s="16">
        <f t="shared" si="202"/>
        <v>2.9803550189863123E-2</v>
      </c>
      <c r="BT265" s="16">
        <f t="shared" si="203"/>
        <v>0.13492040904978705</v>
      </c>
      <c r="BU265" s="16">
        <f t="shared" si="204"/>
        <v>0.11703687414398131</v>
      </c>
      <c r="BV265" s="16">
        <f t="shared" si="205"/>
        <v>0.14633353213781661</v>
      </c>
      <c r="BW265" s="16">
        <f t="shared" si="206"/>
        <v>7.5588015111767173E-2</v>
      </c>
      <c r="BX265" s="16">
        <f t="shared" si="207"/>
        <v>8.0345659937185704E-2</v>
      </c>
      <c r="BY265" s="16">
        <f t="shared" si="208"/>
        <v>5.9014643151272549E-2</v>
      </c>
      <c r="CA265" s="16" t="str">
        <f t="shared" si="185"/>
        <v/>
      </c>
      <c r="CB265" s="16" t="str">
        <f t="shared" si="210"/>
        <v/>
      </c>
      <c r="CC265" s="16" t="str">
        <f t="shared" si="211"/>
        <v/>
      </c>
      <c r="CD265" s="16" t="str">
        <f t="shared" si="212"/>
        <v/>
      </c>
      <c r="CE265" s="16" t="str">
        <f t="shared" si="213"/>
        <v/>
      </c>
      <c r="CF265" s="16" t="str">
        <f t="shared" si="214"/>
        <v/>
      </c>
      <c r="CG265" s="16" t="str">
        <f t="shared" si="215"/>
        <v/>
      </c>
      <c r="CH265" s="16" t="str">
        <f t="shared" si="216"/>
        <v/>
      </c>
      <c r="CI265" s="16" t="str">
        <f t="shared" si="217"/>
        <v/>
      </c>
      <c r="CJ265" s="16" t="str">
        <f t="shared" si="218"/>
        <v/>
      </c>
      <c r="CK265" s="16" t="str">
        <f t="shared" si="219"/>
        <v/>
      </c>
      <c r="CL265" s="16" t="str">
        <f t="shared" si="220"/>
        <v/>
      </c>
      <c r="CM265" s="16" t="str">
        <f t="shared" si="221"/>
        <v/>
      </c>
      <c r="CN265" s="16" t="str">
        <f t="shared" si="222"/>
        <v/>
      </c>
      <c r="CO265" s="16" t="str">
        <f t="shared" si="223"/>
        <v/>
      </c>
      <c r="CP265" s="16" t="str">
        <f t="shared" si="224"/>
        <v/>
      </c>
      <c r="CQ265" s="16" t="str">
        <f t="shared" si="225"/>
        <v/>
      </c>
      <c r="CR265" s="16" t="str">
        <f t="shared" si="226"/>
        <v/>
      </c>
      <c r="CS265" s="16" t="str">
        <f t="shared" si="227"/>
        <v/>
      </c>
      <c r="CT265" s="16" t="str">
        <f t="shared" si="228"/>
        <v/>
      </c>
    </row>
    <row r="266" spans="1:99" x14ac:dyDescent="0.25">
      <c r="A266" s="13"/>
      <c r="B266" s="14"/>
      <c r="C266" s="15" t="str" cm="1">
        <f t="array" ref="C266">IF(B266="","",INDEX('Exercise list'!$C$5:$C$102,B266))</f>
        <v/>
      </c>
      <c r="D266" s="12" t="str">
        <f t="shared" si="186"/>
        <v/>
      </c>
      <c r="E266" s="107" t="str">
        <f t="shared" si="209"/>
        <v/>
      </c>
      <c r="F266" s="63" t="str" cm="1">
        <f t="array" ref="F266">IF(B266="","",0.1+IFERROR(INDEX($F$6:$F265,SUMPRODUCT(MAX(ROW($C$6:$C265)*($C266=$C$6:$C265))-ROW($A$5)))*0.9^($A266-INDEX($A$6:A265,SUMPRODUCT(MAX(ROW($C$6:$C265)*($C266=$C$6:$C265))-ROW($A$5)))),0))</f>
        <v/>
      </c>
      <c r="G266" s="64" t="e">
        <f>INDEX('Exercise list'!$Y$5:$Y$102,MATCH(C266,'Exercise list'!$C$5:$C$102,0))</f>
        <v>#N/A</v>
      </c>
      <c r="H266" s="115">
        <f t="shared" si="187"/>
        <v>0</v>
      </c>
      <c r="I266" s="6">
        <f t="shared" si="188"/>
        <v>5</v>
      </c>
      <c r="J266" s="6" t="str" cm="1">
        <f t="array" ref="J266">IF(B266="","",INDEX('Exercise list'!$D$5:$D$102,B266))</f>
        <v/>
      </c>
      <c r="K266" s="12"/>
      <c r="L266" s="74" t="str" cm="1">
        <f t="array" ref="L266">IF(K266="","",INDEX('Exercise list'!$C$5:$C$102,K266))</f>
        <v/>
      </c>
      <c r="M266" s="6"/>
      <c r="N266" s="75" t="str" cm="1">
        <f t="array" ref="N266">IF(M266="","",INDEX('Exercise list'!$C$5:$C$102,M266))</f>
        <v/>
      </c>
      <c r="P266">
        <f>IFERROR(INDEX('Exercise list'!$E$5:$X$102,MATCH($C266,'Exercise list'!$C$5:$C$102,0),MATCH(P$5,'Exercise list'!$E$4:$X$4,0)),0)</f>
        <v>0</v>
      </c>
      <c r="Q266">
        <f>IFERROR(INDEX('Exercise list'!$E$5:$X$102,MATCH($C266,'Exercise list'!$C$5:$C$102,0),MATCH(Q$5,'Exercise list'!$E$4:$X$4,0)),0)</f>
        <v>0</v>
      </c>
      <c r="R266">
        <f>IFERROR(INDEX('Exercise list'!$E$5:$X$102,MATCH($C266,'Exercise list'!$C$5:$C$102,0),MATCH(R$5,'Exercise list'!$E$4:$X$4,0)),0)</f>
        <v>0</v>
      </c>
      <c r="S266">
        <f>IFERROR(INDEX('Exercise list'!$E$5:$X$102,MATCH($C266,'Exercise list'!$C$5:$C$102,0),MATCH(S$5,'Exercise list'!$E$4:$X$4,0)),0)</f>
        <v>0</v>
      </c>
      <c r="T266">
        <f>IFERROR(INDEX('Exercise list'!$E$5:$X$102,MATCH($C266,'Exercise list'!$C$5:$C$102,0),MATCH(T$5,'Exercise list'!$E$4:$X$4,0)),0)</f>
        <v>0</v>
      </c>
      <c r="U266">
        <f>IFERROR(INDEX('Exercise list'!$E$5:$X$102,MATCH($C266,'Exercise list'!$C$5:$C$102,0),MATCH(U$5,'Exercise list'!$E$4:$X$4,0)),0)</f>
        <v>0</v>
      </c>
      <c r="V266">
        <f>IFERROR(INDEX('Exercise list'!$E$5:$X$102,MATCH($C266,'Exercise list'!$C$5:$C$102,0),MATCH(V$5,'Exercise list'!$E$4:$X$4,0)),0)</f>
        <v>0</v>
      </c>
      <c r="W266">
        <f>IFERROR(INDEX('Exercise list'!$E$5:$X$102,MATCH($C266,'Exercise list'!$C$5:$C$102,0),MATCH(W$5,'Exercise list'!$E$4:$X$4,0)),0)</f>
        <v>0</v>
      </c>
      <c r="X266">
        <f>IFERROR(INDEX('Exercise list'!$E$5:$X$102,MATCH($C266,'Exercise list'!$C$5:$C$102,0),MATCH(X$5,'Exercise list'!$E$4:$X$4,0)),0)</f>
        <v>0</v>
      </c>
      <c r="Y266">
        <f>IFERROR(INDEX('Exercise list'!$E$5:$X$102,MATCH($C266,'Exercise list'!$C$5:$C$102,0),MATCH(Y$5,'Exercise list'!$E$4:$X$4,0)),0)</f>
        <v>0</v>
      </c>
      <c r="Z266">
        <f>IFERROR(INDEX('Exercise list'!$E$5:$X$102,MATCH($C266,'Exercise list'!$C$5:$C$102,0),MATCH(Z$5,'Exercise list'!$E$4:$X$4,0)),0)</f>
        <v>0</v>
      </c>
      <c r="AA266">
        <f>IFERROR(INDEX('Exercise list'!$E$5:$X$102,MATCH($C266,'Exercise list'!$C$5:$C$102,0),MATCH(AA$5,'Exercise list'!$E$4:$X$4,0)),0)</f>
        <v>0</v>
      </c>
      <c r="AB266">
        <f>IFERROR(INDEX('Exercise list'!$E$5:$X$102,MATCH($C266,'Exercise list'!$C$5:$C$102,0),MATCH(AB$5,'Exercise list'!$E$4:$X$4,0)),0)</f>
        <v>0</v>
      </c>
      <c r="AC266">
        <f>IFERROR(INDEX('Exercise list'!$E$5:$X$102,MATCH($C266,'Exercise list'!$C$5:$C$102,0),MATCH(AC$5,'Exercise list'!$E$4:$X$4,0)),0)</f>
        <v>0</v>
      </c>
      <c r="AD266">
        <f>IFERROR(INDEX('Exercise list'!$E$5:$X$102,MATCH($C266,'Exercise list'!$C$5:$C$102,0),MATCH(AD$5,'Exercise list'!$E$4:$X$4,0)),0)</f>
        <v>0</v>
      </c>
      <c r="AE266">
        <f>IFERROR(INDEX('Exercise list'!$E$5:$X$102,MATCH($C266,'Exercise list'!$C$5:$C$102,0),MATCH(AE$5,'Exercise list'!$E$4:$X$4,0)),0)</f>
        <v>0</v>
      </c>
      <c r="AF266">
        <f>IFERROR(INDEX('Exercise list'!$E$5:$X$102,MATCH($C266,'Exercise list'!$C$5:$C$102,0),MATCH(AF$5,'Exercise list'!$E$4:$X$4,0)),0)</f>
        <v>0</v>
      </c>
      <c r="AG266">
        <f>IFERROR(INDEX('Exercise list'!$E$5:$X$102,MATCH($C266,'Exercise list'!$C$5:$C$102,0),MATCH(AG$5,'Exercise list'!$E$4:$X$4,0)),0)</f>
        <v>0</v>
      </c>
      <c r="AH266">
        <f>IFERROR(INDEX('Exercise list'!$E$5:$X$102,MATCH($C266,'Exercise list'!$C$5:$C$102,0),MATCH(AH$5,'Exercise list'!$E$4:$X$4,0)),0)</f>
        <v>0</v>
      </c>
      <c r="AI266">
        <f>IFERROR(INDEX('Exercise list'!$E$5:$X$102,MATCH($C266,'Exercise list'!$C$5:$C$102,0),MATCH(AI$5,'Exercise list'!$E$4:$X$4,0)),0)</f>
        <v>0</v>
      </c>
      <c r="AK266">
        <f>IF(OR($J266=1,COUNTIFS($A$5:$A265,"&gt;="&amp;$A266-1,$A$5:$A265,"&lt;="&amp;$A266,$B$5:$B265,$B266)&gt;0,MIN(1-'Exercise list'!E$2,IF($A266=$A265,AK265,1))-P266&lt;0),-1,MIN(1,IF($A266=$A265,AK265,1)-P266+$D$2))</f>
        <v>1</v>
      </c>
      <c r="AL266">
        <f>IF(OR($J266=1,COUNTIFS($A$5:$A265,"&gt;="&amp;$A266-1,$A$5:$A265,"&lt;="&amp;$A266,$B$5:$B265,$B266)&gt;0,MIN(1-'Exercise list'!F$2,IF($A266=$A265,AL265,1))-Q266&lt;0),-1,MIN(1,IF($A266=$A265,AL265,1)-Q266+$D$2))</f>
        <v>1</v>
      </c>
      <c r="AM266">
        <f>IF(OR($J266=1,COUNTIFS($A$5:$A265,"&gt;="&amp;$A266-1,$A$5:$A265,"&lt;="&amp;$A266,$B$5:$B265,$B266)&gt;0,MIN(1-'Exercise list'!G$2,IF($A266=$A265,AM265,1))-R266&lt;0),-1,MIN(1,IF($A266=$A265,AM265,1)-R266+$D$2))</f>
        <v>1</v>
      </c>
      <c r="AN266">
        <f>IF(OR($J266=1,COUNTIFS($A$5:$A265,"&gt;="&amp;$A266-1,$A$5:$A265,"&lt;="&amp;$A266,$B$5:$B265,$B266)&gt;0,MIN(1-'Exercise list'!H$2,IF($A266=$A265,AN265,1))-S266&lt;0),-1,MIN(1,IF($A266=$A265,AN265,1)-S266+$D$2))</f>
        <v>1</v>
      </c>
      <c r="AO266">
        <f>IF(OR($J266=1,COUNTIFS($A$5:$A265,"&gt;="&amp;$A266-1,$A$5:$A265,"&lt;="&amp;$A266,$B$5:$B265,$B266)&gt;0,MIN(1-'Exercise list'!I$2,IF($A266=$A265,AO265,1))-T266&lt;0),-1,MIN(1,IF($A266=$A265,AO265,1)-T266+$D$2))</f>
        <v>1</v>
      </c>
      <c r="AP266">
        <f>IF(OR($J266=1,COUNTIFS($A$5:$A265,"&gt;="&amp;$A266-1,$A$5:$A265,"&lt;="&amp;$A266,$B$5:$B265,$B266)&gt;0,MIN(1-'Exercise list'!J$2,IF($A266=$A265,AP265,1))-U266&lt;0),-1,MIN(1,IF($A266=$A265,AP265,1)-U266+$D$2))</f>
        <v>1</v>
      </c>
      <c r="AQ266">
        <f>IF(OR($J266=1,COUNTIFS($A$5:$A265,"&gt;="&amp;$A266-1,$A$5:$A265,"&lt;="&amp;$A266,$B$5:$B265,$B266)&gt;0,MIN(1-'Exercise list'!K$2,IF($A266=$A265,AQ265,1))-V266&lt;0),-1,MIN(1,IF($A266=$A265,AQ265,1)-V266+$D$2))</f>
        <v>1</v>
      </c>
      <c r="AR266">
        <f>IF(OR($J266=1,COUNTIFS($A$5:$A265,"&gt;="&amp;$A266-1,$A$5:$A265,"&lt;="&amp;$A266,$B$5:$B265,$B266)&gt;0,MIN(1-'Exercise list'!L$2,IF($A266=$A265,AR265,1))-W266&lt;0),-1,MIN(1,IF($A266=$A265,AR265,1)-W266+$D$2))</f>
        <v>1</v>
      </c>
      <c r="AS266">
        <f>IF(OR($J266=1,COUNTIFS($A$5:$A265,"&gt;="&amp;$A266-1,$A$5:$A265,"&lt;="&amp;$A266,$B$5:$B265,$B266)&gt;0,MIN(1-'Exercise list'!M$2,IF($A266=$A265,AS265,1))-X266&lt;0),-1,MIN(1,IF($A266=$A265,AS265,1)-X266+$D$2))</f>
        <v>1</v>
      </c>
      <c r="AT266">
        <f>IF(OR($J266=1,COUNTIFS($A$5:$A265,"&gt;="&amp;$A266-1,$A$5:$A265,"&lt;="&amp;$A266,$B$5:$B265,$B266)&gt;0,MIN(1-'Exercise list'!N$2,IF($A266=$A265,AT265,1))-Y266&lt;0),-1,MIN(1,IF($A266=$A265,AT265,1)-Y266+$D$2))</f>
        <v>1</v>
      </c>
      <c r="AU266">
        <f>IF(OR($J266=1,COUNTIFS($A$5:$A265,"&gt;="&amp;$A266-1,$A$5:$A265,"&lt;="&amp;$A266,$B$5:$B265,$B266)&gt;0,MIN(1-'Exercise list'!O$2,IF($A266=$A265,AU265,1))-Z266&lt;0),-1,MIN(1,IF($A266=$A265,AU265,1)-Z266+$D$2))</f>
        <v>1</v>
      </c>
      <c r="AV266">
        <f>IF(OR($J266=1,COUNTIFS($A$5:$A265,"&gt;="&amp;$A266-1,$A$5:$A265,"&lt;="&amp;$A266,$B$5:$B265,$B266)&gt;0,MIN(1-'Exercise list'!P$2,IF($A266=$A265,AV265,1))-AA266&lt;0),-1,MIN(1,IF($A266=$A265,AV265,1)-AA266+$D$2))</f>
        <v>1</v>
      </c>
      <c r="AW266">
        <f>IF(OR($J266=1,COUNTIFS($A$5:$A265,"&gt;="&amp;$A266-1,$A$5:$A265,"&lt;="&amp;$A266,$B$5:$B265,$B266)&gt;0,MIN(1-'Exercise list'!Q$2,IF($A266=$A265,AW265,1))-AB266&lt;0),-1,MIN(1,IF($A266=$A265,AW265,1)-AB266+$D$2))</f>
        <v>1</v>
      </c>
      <c r="AX266">
        <f>IF(OR($J266=1,COUNTIFS($A$5:$A265,"&gt;="&amp;$A266-1,$A$5:$A265,"&lt;="&amp;$A266,$B$5:$B265,$B266)&gt;0,MIN(1-'Exercise list'!R$2,IF($A266=$A265,AX265,1))-AC266&lt;0),-1,MIN(1,IF($A266=$A265,AX265,1)-AC266+$D$2))</f>
        <v>1</v>
      </c>
      <c r="AY266">
        <f>IF(OR($J266=1,COUNTIFS($A$5:$A265,"&gt;="&amp;$A266-1,$A$5:$A265,"&lt;="&amp;$A266,$B$5:$B265,$B266)&gt;0,MIN(1-'Exercise list'!S$2,IF($A266=$A265,AY265,1))-AD266&lt;0),-1,MIN(1,IF($A266=$A265,AY265,1)-AD266+$D$2))</f>
        <v>1</v>
      </c>
      <c r="AZ266">
        <f>IF(OR($J266=1,COUNTIFS($A$5:$A265,"&gt;="&amp;$A266-1,$A$5:$A265,"&lt;="&amp;$A266,$B$5:$B265,$B266)&gt;0,MIN(1-'Exercise list'!T$2,IF($A266=$A265,AZ265,1))-AE266&lt;0),-1,MIN(1,IF($A266=$A265,AZ265,1)-AE266+$D$2))</f>
        <v>1</v>
      </c>
      <c r="BA266">
        <f>IF(OR($J266=1,COUNTIFS($A$5:$A265,"&gt;="&amp;$A266-1,$A$5:$A265,"&lt;="&amp;$A266,$B$5:$B265,$B266)&gt;0,MIN(1-'Exercise list'!U$2,IF($A266=$A265,BA265,1))-AF266&lt;0),-1,MIN(1,IF($A266=$A265,BA265,1)-AF266+$D$2))</f>
        <v>1</v>
      </c>
      <c r="BB266">
        <f>IF(OR($J266=1,COUNTIFS($A$5:$A265,"&gt;="&amp;$A266-1,$A$5:$A265,"&lt;="&amp;$A266,$B$5:$B265,$B266)&gt;0,MIN(1-'Exercise list'!V$2,IF($A266=$A265,BB265,1))-AG266&lt;0),-1,MIN(1,IF($A266=$A265,BB265,1)-AG266+$D$2))</f>
        <v>1</v>
      </c>
      <c r="BC266">
        <f>IF(OR($J266=1,COUNTIFS($A$5:$A265,"&gt;="&amp;$A266-1,$A$5:$A265,"&lt;="&amp;$A266,$B$5:$B265,$B266)&gt;0,MIN(1-'Exercise list'!W$2,IF($A266=$A265,BC265,1))-AH266&lt;0),-1,MIN(1,IF($A266=$A265,BC265,1)-AH266+$D$2))</f>
        <v>1</v>
      </c>
      <c r="BD266">
        <f>IF(OR($J266=1,COUNTIFS($A$5:$A265,"&gt;="&amp;$A266-1,$A$5:$A265,"&lt;="&amp;$A266,$B$5:$B265,$B266)&gt;0,MIN(1-'Exercise list'!X$2,IF($A266=$A265,BD265,1))-AI266&lt;0),-1,MIN(1,IF($A266=$A265,BD265,1)-AI266+$D$2))</f>
        <v>1</v>
      </c>
      <c r="BF266" s="16">
        <f t="shared" si="189"/>
        <v>0.19596031081758858</v>
      </c>
      <c r="BG266" s="16">
        <f t="shared" si="190"/>
        <v>0.21844636935459236</v>
      </c>
      <c r="BH266" s="16">
        <f t="shared" si="191"/>
        <v>0.14609696635987124</v>
      </c>
      <c r="BI266" s="16">
        <f t="shared" si="192"/>
        <v>0.13198015366034541</v>
      </c>
      <c r="BJ266" s="16">
        <f t="shared" si="193"/>
        <v>8.3367914198418713E-2</v>
      </c>
      <c r="BK266" s="16">
        <f t="shared" si="194"/>
        <v>0.10640640223148412</v>
      </c>
      <c r="BL266" s="16">
        <f t="shared" si="195"/>
        <v>0.21963504743569431</v>
      </c>
      <c r="BM266" s="16">
        <f t="shared" si="196"/>
        <v>3.8988008374820568E-3</v>
      </c>
      <c r="BN266" s="16">
        <f t="shared" si="197"/>
        <v>0.14537706087090876</v>
      </c>
      <c r="BO266" s="16">
        <f t="shared" si="198"/>
        <v>0.29209790661993401</v>
      </c>
      <c r="BP266" s="16">
        <f t="shared" si="199"/>
        <v>0.31584545163401867</v>
      </c>
      <c r="BQ266" s="16">
        <f t="shared" si="200"/>
        <v>0.1000007994126096</v>
      </c>
      <c r="BR266" s="16">
        <f t="shared" si="201"/>
        <v>0.13164487759885393</v>
      </c>
      <c r="BS266" s="16">
        <f t="shared" si="202"/>
        <v>2.9803550189863123E-2</v>
      </c>
      <c r="BT266" s="16">
        <f t="shared" si="203"/>
        <v>0.13492040904978705</v>
      </c>
      <c r="BU266" s="16">
        <f t="shared" si="204"/>
        <v>0.11703687414398131</v>
      </c>
      <c r="BV266" s="16">
        <f t="shared" si="205"/>
        <v>0.14633353213781661</v>
      </c>
      <c r="BW266" s="16">
        <f t="shared" si="206"/>
        <v>7.5588015111767173E-2</v>
      </c>
      <c r="BX266" s="16">
        <f t="shared" si="207"/>
        <v>8.0345659937185704E-2</v>
      </c>
      <c r="BY266" s="16">
        <f t="shared" si="208"/>
        <v>5.9014643151272549E-2</v>
      </c>
      <c r="CA266" s="16" t="str">
        <f t="shared" si="185"/>
        <v/>
      </c>
      <c r="CB266" s="16" t="str">
        <f t="shared" si="210"/>
        <v/>
      </c>
      <c r="CC266" s="16" t="str">
        <f t="shared" si="211"/>
        <v/>
      </c>
      <c r="CD266" s="16" t="str">
        <f t="shared" si="212"/>
        <v/>
      </c>
      <c r="CE266" s="16" t="str">
        <f t="shared" si="213"/>
        <v/>
      </c>
      <c r="CF266" s="16" t="str">
        <f t="shared" si="214"/>
        <v/>
      </c>
      <c r="CG266" s="16" t="str">
        <f t="shared" si="215"/>
        <v/>
      </c>
      <c r="CH266" s="16" t="str">
        <f t="shared" si="216"/>
        <v/>
      </c>
      <c r="CI266" s="16" t="str">
        <f t="shared" si="217"/>
        <v/>
      </c>
      <c r="CJ266" s="16" t="str">
        <f t="shared" si="218"/>
        <v/>
      </c>
      <c r="CK266" s="16" t="str">
        <f t="shared" si="219"/>
        <v/>
      </c>
      <c r="CL266" s="16" t="str">
        <f t="shared" si="220"/>
        <v/>
      </c>
      <c r="CM266" s="16" t="str">
        <f t="shared" si="221"/>
        <v/>
      </c>
      <c r="CN266" s="16" t="str">
        <f t="shared" si="222"/>
        <v/>
      </c>
      <c r="CO266" s="16" t="str">
        <f t="shared" si="223"/>
        <v/>
      </c>
      <c r="CP266" s="16" t="str">
        <f t="shared" si="224"/>
        <v/>
      </c>
      <c r="CQ266" s="16" t="str">
        <f t="shared" si="225"/>
        <v/>
      </c>
      <c r="CR266" s="16" t="str">
        <f t="shared" si="226"/>
        <v/>
      </c>
      <c r="CS266" s="16" t="str">
        <f t="shared" si="227"/>
        <v/>
      </c>
      <c r="CT266" s="16" t="str">
        <f t="shared" si="228"/>
        <v/>
      </c>
    </row>
    <row r="267" spans="1:99" x14ac:dyDescent="0.25">
      <c r="A267" s="13"/>
      <c r="B267" s="14"/>
      <c r="C267" s="15" t="str" cm="1">
        <f t="array" ref="C267">IF(B267="","",INDEX('Exercise list'!$C$5:$C$102,B267))</f>
        <v/>
      </c>
      <c r="D267" s="12" t="str">
        <f t="shared" si="186"/>
        <v/>
      </c>
      <c r="E267" s="107" t="str">
        <f t="shared" si="209"/>
        <v/>
      </c>
      <c r="F267" s="63" t="str" cm="1">
        <f t="array" ref="F267">IF(B267="","",0.1+IFERROR(INDEX($F$6:$F266,SUMPRODUCT(MAX(ROW($C$6:$C266)*($C267=$C$6:$C266))-ROW($A$5)))*0.9^($A267-INDEX($A$6:A266,SUMPRODUCT(MAX(ROW($C$6:$C266)*($C267=$C$6:$C266))-ROW($A$5)))),0))</f>
        <v/>
      </c>
      <c r="G267" s="64" t="e">
        <f>INDEX('Exercise list'!$Y$5:$Y$102,MATCH(C267,'Exercise list'!$C$5:$C$102,0))</f>
        <v>#N/A</v>
      </c>
      <c r="H267" s="115">
        <f t="shared" si="187"/>
        <v>0</v>
      </c>
      <c r="I267" s="6">
        <f t="shared" si="188"/>
        <v>5</v>
      </c>
      <c r="J267" s="6" t="str" cm="1">
        <f t="array" ref="J267">IF(B267="","",INDEX('Exercise list'!$D$5:$D$102,B267))</f>
        <v/>
      </c>
      <c r="K267" s="12"/>
      <c r="L267" s="74" t="str" cm="1">
        <f t="array" ref="L267">IF(K267="","",INDEX('Exercise list'!$C$5:$C$102,K267))</f>
        <v/>
      </c>
      <c r="M267" s="6"/>
      <c r="N267" s="75" t="str" cm="1">
        <f t="array" ref="N267">IF(M267="","",INDEX('Exercise list'!$C$5:$C$102,M267))</f>
        <v/>
      </c>
      <c r="P267">
        <f>IFERROR(INDEX('Exercise list'!$E$5:$X$102,MATCH($C267,'Exercise list'!$C$5:$C$102,0),MATCH(P$5,'Exercise list'!$E$4:$X$4,0)),0)</f>
        <v>0</v>
      </c>
      <c r="Q267">
        <f>IFERROR(INDEX('Exercise list'!$E$5:$X$102,MATCH($C267,'Exercise list'!$C$5:$C$102,0),MATCH(Q$5,'Exercise list'!$E$4:$X$4,0)),0)</f>
        <v>0</v>
      </c>
      <c r="R267">
        <f>IFERROR(INDEX('Exercise list'!$E$5:$X$102,MATCH($C267,'Exercise list'!$C$5:$C$102,0),MATCH(R$5,'Exercise list'!$E$4:$X$4,0)),0)</f>
        <v>0</v>
      </c>
      <c r="S267">
        <f>IFERROR(INDEX('Exercise list'!$E$5:$X$102,MATCH($C267,'Exercise list'!$C$5:$C$102,0),MATCH(S$5,'Exercise list'!$E$4:$X$4,0)),0)</f>
        <v>0</v>
      </c>
      <c r="T267">
        <f>IFERROR(INDEX('Exercise list'!$E$5:$X$102,MATCH($C267,'Exercise list'!$C$5:$C$102,0),MATCH(T$5,'Exercise list'!$E$4:$X$4,0)),0)</f>
        <v>0</v>
      </c>
      <c r="U267">
        <f>IFERROR(INDEX('Exercise list'!$E$5:$X$102,MATCH($C267,'Exercise list'!$C$5:$C$102,0),MATCH(U$5,'Exercise list'!$E$4:$X$4,0)),0)</f>
        <v>0</v>
      </c>
      <c r="V267">
        <f>IFERROR(INDEX('Exercise list'!$E$5:$X$102,MATCH($C267,'Exercise list'!$C$5:$C$102,0),MATCH(V$5,'Exercise list'!$E$4:$X$4,0)),0)</f>
        <v>0</v>
      </c>
      <c r="W267">
        <f>IFERROR(INDEX('Exercise list'!$E$5:$X$102,MATCH($C267,'Exercise list'!$C$5:$C$102,0),MATCH(W$5,'Exercise list'!$E$4:$X$4,0)),0)</f>
        <v>0</v>
      </c>
      <c r="X267">
        <f>IFERROR(INDEX('Exercise list'!$E$5:$X$102,MATCH($C267,'Exercise list'!$C$5:$C$102,0),MATCH(X$5,'Exercise list'!$E$4:$X$4,0)),0)</f>
        <v>0</v>
      </c>
      <c r="Y267">
        <f>IFERROR(INDEX('Exercise list'!$E$5:$X$102,MATCH($C267,'Exercise list'!$C$5:$C$102,0),MATCH(Y$5,'Exercise list'!$E$4:$X$4,0)),0)</f>
        <v>0</v>
      </c>
      <c r="Z267">
        <f>IFERROR(INDEX('Exercise list'!$E$5:$X$102,MATCH($C267,'Exercise list'!$C$5:$C$102,0),MATCH(Z$5,'Exercise list'!$E$4:$X$4,0)),0)</f>
        <v>0</v>
      </c>
      <c r="AA267">
        <f>IFERROR(INDEX('Exercise list'!$E$5:$X$102,MATCH($C267,'Exercise list'!$C$5:$C$102,0),MATCH(AA$5,'Exercise list'!$E$4:$X$4,0)),0)</f>
        <v>0</v>
      </c>
      <c r="AB267">
        <f>IFERROR(INDEX('Exercise list'!$E$5:$X$102,MATCH($C267,'Exercise list'!$C$5:$C$102,0),MATCH(AB$5,'Exercise list'!$E$4:$X$4,0)),0)</f>
        <v>0</v>
      </c>
      <c r="AC267">
        <f>IFERROR(INDEX('Exercise list'!$E$5:$X$102,MATCH($C267,'Exercise list'!$C$5:$C$102,0),MATCH(AC$5,'Exercise list'!$E$4:$X$4,0)),0)</f>
        <v>0</v>
      </c>
      <c r="AD267">
        <f>IFERROR(INDEX('Exercise list'!$E$5:$X$102,MATCH($C267,'Exercise list'!$C$5:$C$102,0),MATCH(AD$5,'Exercise list'!$E$4:$X$4,0)),0)</f>
        <v>0</v>
      </c>
      <c r="AE267">
        <f>IFERROR(INDEX('Exercise list'!$E$5:$X$102,MATCH($C267,'Exercise list'!$C$5:$C$102,0),MATCH(AE$5,'Exercise list'!$E$4:$X$4,0)),0)</f>
        <v>0</v>
      </c>
      <c r="AF267">
        <f>IFERROR(INDEX('Exercise list'!$E$5:$X$102,MATCH($C267,'Exercise list'!$C$5:$C$102,0),MATCH(AF$5,'Exercise list'!$E$4:$X$4,0)),0)</f>
        <v>0</v>
      </c>
      <c r="AG267">
        <f>IFERROR(INDEX('Exercise list'!$E$5:$X$102,MATCH($C267,'Exercise list'!$C$5:$C$102,0),MATCH(AG$5,'Exercise list'!$E$4:$X$4,0)),0)</f>
        <v>0</v>
      </c>
      <c r="AH267">
        <f>IFERROR(INDEX('Exercise list'!$E$5:$X$102,MATCH($C267,'Exercise list'!$C$5:$C$102,0),MATCH(AH$5,'Exercise list'!$E$4:$X$4,0)),0)</f>
        <v>0</v>
      </c>
      <c r="AI267">
        <f>IFERROR(INDEX('Exercise list'!$E$5:$X$102,MATCH($C267,'Exercise list'!$C$5:$C$102,0),MATCH(AI$5,'Exercise list'!$E$4:$X$4,0)),0)</f>
        <v>0</v>
      </c>
      <c r="AK267">
        <f>IF(OR($J267=1,COUNTIFS($A$5:$A266,"&gt;="&amp;$A267-1,$A$5:$A266,"&lt;="&amp;$A267,$B$5:$B266,$B267)&gt;0,MIN(1-'Exercise list'!E$2,IF($A267=$A266,AK266,1))-P267&lt;0),-1,MIN(1,IF($A267=$A266,AK266,1)-P267+$D$2))</f>
        <v>1</v>
      </c>
      <c r="AL267">
        <f>IF(OR($J267=1,COUNTIFS($A$5:$A266,"&gt;="&amp;$A267-1,$A$5:$A266,"&lt;="&amp;$A267,$B$5:$B266,$B267)&gt;0,MIN(1-'Exercise list'!F$2,IF($A267=$A266,AL266,1))-Q267&lt;0),-1,MIN(1,IF($A267=$A266,AL266,1)-Q267+$D$2))</f>
        <v>1</v>
      </c>
      <c r="AM267">
        <f>IF(OR($J267=1,COUNTIFS($A$5:$A266,"&gt;="&amp;$A267-1,$A$5:$A266,"&lt;="&amp;$A267,$B$5:$B266,$B267)&gt;0,MIN(1-'Exercise list'!G$2,IF($A267=$A266,AM266,1))-R267&lt;0),-1,MIN(1,IF($A267=$A266,AM266,1)-R267+$D$2))</f>
        <v>1</v>
      </c>
      <c r="AN267">
        <f>IF(OR($J267=1,COUNTIFS($A$5:$A266,"&gt;="&amp;$A267-1,$A$5:$A266,"&lt;="&amp;$A267,$B$5:$B266,$B267)&gt;0,MIN(1-'Exercise list'!H$2,IF($A267=$A266,AN266,1))-S267&lt;0),-1,MIN(1,IF($A267=$A266,AN266,1)-S267+$D$2))</f>
        <v>1</v>
      </c>
      <c r="AO267">
        <f>IF(OR($J267=1,COUNTIFS($A$5:$A266,"&gt;="&amp;$A267-1,$A$5:$A266,"&lt;="&amp;$A267,$B$5:$B266,$B267)&gt;0,MIN(1-'Exercise list'!I$2,IF($A267=$A266,AO266,1))-T267&lt;0),-1,MIN(1,IF($A267=$A266,AO266,1)-T267+$D$2))</f>
        <v>1</v>
      </c>
      <c r="AP267">
        <f>IF(OR($J267=1,COUNTIFS($A$5:$A266,"&gt;="&amp;$A267-1,$A$5:$A266,"&lt;="&amp;$A267,$B$5:$B266,$B267)&gt;0,MIN(1-'Exercise list'!J$2,IF($A267=$A266,AP266,1))-U267&lt;0),-1,MIN(1,IF($A267=$A266,AP266,1)-U267+$D$2))</f>
        <v>1</v>
      </c>
      <c r="AQ267">
        <f>IF(OR($J267=1,COUNTIFS($A$5:$A266,"&gt;="&amp;$A267-1,$A$5:$A266,"&lt;="&amp;$A267,$B$5:$B266,$B267)&gt;0,MIN(1-'Exercise list'!K$2,IF($A267=$A266,AQ266,1))-V267&lt;0),-1,MIN(1,IF($A267=$A266,AQ266,1)-V267+$D$2))</f>
        <v>1</v>
      </c>
      <c r="AR267">
        <f>IF(OR($J267=1,COUNTIFS($A$5:$A266,"&gt;="&amp;$A267-1,$A$5:$A266,"&lt;="&amp;$A267,$B$5:$B266,$B267)&gt;0,MIN(1-'Exercise list'!L$2,IF($A267=$A266,AR266,1))-W267&lt;0),-1,MIN(1,IF($A267=$A266,AR266,1)-W267+$D$2))</f>
        <v>1</v>
      </c>
      <c r="AS267">
        <f>IF(OR($J267=1,COUNTIFS($A$5:$A266,"&gt;="&amp;$A267-1,$A$5:$A266,"&lt;="&amp;$A267,$B$5:$B266,$B267)&gt;0,MIN(1-'Exercise list'!M$2,IF($A267=$A266,AS266,1))-X267&lt;0),-1,MIN(1,IF($A267=$A266,AS266,1)-X267+$D$2))</f>
        <v>1</v>
      </c>
      <c r="AT267">
        <f>IF(OR($J267=1,COUNTIFS($A$5:$A266,"&gt;="&amp;$A267-1,$A$5:$A266,"&lt;="&amp;$A267,$B$5:$B266,$B267)&gt;0,MIN(1-'Exercise list'!N$2,IF($A267=$A266,AT266,1))-Y267&lt;0),-1,MIN(1,IF($A267=$A266,AT266,1)-Y267+$D$2))</f>
        <v>1</v>
      </c>
      <c r="AU267">
        <f>IF(OR($J267=1,COUNTIFS($A$5:$A266,"&gt;="&amp;$A267-1,$A$5:$A266,"&lt;="&amp;$A267,$B$5:$B266,$B267)&gt;0,MIN(1-'Exercise list'!O$2,IF($A267=$A266,AU266,1))-Z267&lt;0),-1,MIN(1,IF($A267=$A266,AU266,1)-Z267+$D$2))</f>
        <v>1</v>
      </c>
      <c r="AV267">
        <f>IF(OR($J267=1,COUNTIFS($A$5:$A266,"&gt;="&amp;$A267-1,$A$5:$A266,"&lt;="&amp;$A267,$B$5:$B266,$B267)&gt;0,MIN(1-'Exercise list'!P$2,IF($A267=$A266,AV266,1))-AA267&lt;0),-1,MIN(1,IF($A267=$A266,AV266,1)-AA267+$D$2))</f>
        <v>1</v>
      </c>
      <c r="AW267">
        <f>IF(OR($J267=1,COUNTIFS($A$5:$A266,"&gt;="&amp;$A267-1,$A$5:$A266,"&lt;="&amp;$A267,$B$5:$B266,$B267)&gt;0,MIN(1-'Exercise list'!Q$2,IF($A267=$A266,AW266,1))-AB267&lt;0),-1,MIN(1,IF($A267=$A266,AW266,1)-AB267+$D$2))</f>
        <v>1</v>
      </c>
      <c r="AX267">
        <f>IF(OR($J267=1,COUNTIFS($A$5:$A266,"&gt;="&amp;$A267-1,$A$5:$A266,"&lt;="&amp;$A267,$B$5:$B266,$B267)&gt;0,MIN(1-'Exercise list'!R$2,IF($A267=$A266,AX266,1))-AC267&lt;0),-1,MIN(1,IF($A267=$A266,AX266,1)-AC267+$D$2))</f>
        <v>1</v>
      </c>
      <c r="AY267">
        <f>IF(OR($J267=1,COUNTIFS($A$5:$A266,"&gt;="&amp;$A267-1,$A$5:$A266,"&lt;="&amp;$A267,$B$5:$B266,$B267)&gt;0,MIN(1-'Exercise list'!S$2,IF($A267=$A266,AY266,1))-AD267&lt;0),-1,MIN(1,IF($A267=$A266,AY266,1)-AD267+$D$2))</f>
        <v>1</v>
      </c>
      <c r="AZ267">
        <f>IF(OR($J267=1,COUNTIFS($A$5:$A266,"&gt;="&amp;$A267-1,$A$5:$A266,"&lt;="&amp;$A267,$B$5:$B266,$B267)&gt;0,MIN(1-'Exercise list'!T$2,IF($A267=$A266,AZ266,1))-AE267&lt;0),-1,MIN(1,IF($A267=$A266,AZ266,1)-AE267+$D$2))</f>
        <v>1</v>
      </c>
      <c r="BA267">
        <f>IF(OR($J267=1,COUNTIFS($A$5:$A266,"&gt;="&amp;$A267-1,$A$5:$A266,"&lt;="&amp;$A267,$B$5:$B266,$B267)&gt;0,MIN(1-'Exercise list'!U$2,IF($A267=$A266,BA266,1))-AF267&lt;0),-1,MIN(1,IF($A267=$A266,BA266,1)-AF267+$D$2))</f>
        <v>1</v>
      </c>
      <c r="BB267">
        <f>IF(OR($J267=1,COUNTIFS($A$5:$A266,"&gt;="&amp;$A267-1,$A$5:$A266,"&lt;="&amp;$A267,$B$5:$B266,$B267)&gt;0,MIN(1-'Exercise list'!V$2,IF($A267=$A266,BB266,1))-AG267&lt;0),-1,MIN(1,IF($A267=$A266,BB266,1)-AG267+$D$2))</f>
        <v>1</v>
      </c>
      <c r="BC267">
        <f>IF(OR($J267=1,COUNTIFS($A$5:$A266,"&gt;="&amp;$A267-1,$A$5:$A266,"&lt;="&amp;$A267,$B$5:$B266,$B267)&gt;0,MIN(1-'Exercise list'!W$2,IF($A267=$A266,BC266,1))-AH267&lt;0),-1,MIN(1,IF($A267=$A266,BC266,1)-AH267+$D$2))</f>
        <v>1</v>
      </c>
      <c r="BD267">
        <f>IF(OR($J267=1,COUNTIFS($A$5:$A266,"&gt;="&amp;$A267-1,$A$5:$A266,"&lt;="&amp;$A267,$B$5:$B266,$B267)&gt;0,MIN(1-'Exercise list'!X$2,IF($A267=$A266,BD266,1))-AI267&lt;0),-1,MIN(1,IF($A267=$A266,BD266,1)-AI267+$D$2))</f>
        <v>1</v>
      </c>
      <c r="BF267" s="16">
        <f t="shared" si="189"/>
        <v>0.19596031081758858</v>
      </c>
      <c r="BG267" s="16">
        <f t="shared" si="190"/>
        <v>0.21844636935459236</v>
      </c>
      <c r="BH267" s="16">
        <f t="shared" si="191"/>
        <v>0.14609696635987124</v>
      </c>
      <c r="BI267" s="16">
        <f t="shared" si="192"/>
        <v>0.13198015366034541</v>
      </c>
      <c r="BJ267" s="16">
        <f t="shared" si="193"/>
        <v>8.3367914198418713E-2</v>
      </c>
      <c r="BK267" s="16">
        <f t="shared" si="194"/>
        <v>0.10640640223148412</v>
      </c>
      <c r="BL267" s="16">
        <f t="shared" si="195"/>
        <v>0.21963504743569431</v>
      </c>
      <c r="BM267" s="16">
        <f t="shared" si="196"/>
        <v>3.8988008374820568E-3</v>
      </c>
      <c r="BN267" s="16">
        <f t="shared" si="197"/>
        <v>0.14537706087090876</v>
      </c>
      <c r="BO267" s="16">
        <f t="shared" si="198"/>
        <v>0.29209790661993401</v>
      </c>
      <c r="BP267" s="16">
        <f t="shared" si="199"/>
        <v>0.31584545163401867</v>
      </c>
      <c r="BQ267" s="16">
        <f t="shared" si="200"/>
        <v>0.1000007994126096</v>
      </c>
      <c r="BR267" s="16">
        <f t="shared" si="201"/>
        <v>0.13164487759885393</v>
      </c>
      <c r="BS267" s="16">
        <f t="shared" si="202"/>
        <v>2.9803550189863123E-2</v>
      </c>
      <c r="BT267" s="16">
        <f t="shared" si="203"/>
        <v>0.13492040904978705</v>
      </c>
      <c r="BU267" s="16">
        <f t="shared" si="204"/>
        <v>0.11703687414398131</v>
      </c>
      <c r="BV267" s="16">
        <f t="shared" si="205"/>
        <v>0.14633353213781661</v>
      </c>
      <c r="BW267" s="16">
        <f t="shared" si="206"/>
        <v>7.5588015111767173E-2</v>
      </c>
      <c r="BX267" s="16">
        <f t="shared" si="207"/>
        <v>8.0345659937185704E-2</v>
      </c>
      <c r="BY267" s="16">
        <f t="shared" si="208"/>
        <v>5.9014643151272549E-2</v>
      </c>
      <c r="CA267" s="16" t="str">
        <f t="shared" ref="CA267:CA330" si="229">IF($A267="","",MAX(0,CA$2/SUM($CA$2:$CT$2)*SUM($BF267:$BY267)-BF267))</f>
        <v/>
      </c>
      <c r="CB267" s="16" t="str">
        <f t="shared" si="210"/>
        <v/>
      </c>
      <c r="CC267" s="16" t="str">
        <f t="shared" si="211"/>
        <v/>
      </c>
      <c r="CD267" s="16" t="str">
        <f t="shared" si="212"/>
        <v/>
      </c>
      <c r="CE267" s="16" t="str">
        <f t="shared" si="213"/>
        <v/>
      </c>
      <c r="CF267" s="16" t="str">
        <f t="shared" si="214"/>
        <v/>
      </c>
      <c r="CG267" s="16" t="str">
        <f t="shared" si="215"/>
        <v/>
      </c>
      <c r="CH267" s="16" t="str">
        <f t="shared" si="216"/>
        <v/>
      </c>
      <c r="CI267" s="16" t="str">
        <f t="shared" si="217"/>
        <v/>
      </c>
      <c r="CJ267" s="16" t="str">
        <f t="shared" si="218"/>
        <v/>
      </c>
      <c r="CK267" s="16" t="str">
        <f t="shared" si="219"/>
        <v/>
      </c>
      <c r="CL267" s="16" t="str">
        <f t="shared" si="220"/>
        <v/>
      </c>
      <c r="CM267" s="16" t="str">
        <f t="shared" si="221"/>
        <v/>
      </c>
      <c r="CN267" s="16" t="str">
        <f t="shared" si="222"/>
        <v/>
      </c>
      <c r="CO267" s="16" t="str">
        <f t="shared" si="223"/>
        <v/>
      </c>
      <c r="CP267" s="16" t="str">
        <f t="shared" si="224"/>
        <v/>
      </c>
      <c r="CQ267" s="16" t="str">
        <f t="shared" si="225"/>
        <v/>
      </c>
      <c r="CR267" s="16" t="str">
        <f t="shared" si="226"/>
        <v/>
      </c>
      <c r="CS267" s="16" t="str">
        <f t="shared" si="227"/>
        <v/>
      </c>
      <c r="CT267" s="16" t="str">
        <f t="shared" si="228"/>
        <v/>
      </c>
    </row>
    <row r="268" spans="1:99" x14ac:dyDescent="0.25">
      <c r="A268" s="20"/>
      <c r="B268" s="21"/>
      <c r="C268" s="22" t="str" cm="1">
        <f t="array" ref="C268">IF(B268="","",INDEX('Exercise list'!$C$5:$C$102,B268))</f>
        <v/>
      </c>
      <c r="D268" s="17" t="str">
        <f t="shared" si="186"/>
        <v/>
      </c>
      <c r="E268" s="108" t="str">
        <f t="shared" si="209"/>
        <v/>
      </c>
      <c r="F268" s="65" t="str" cm="1">
        <f t="array" ref="F268">IF(B268="","",0.1+IFERROR(INDEX($F$6:$F267,SUMPRODUCT(MAX(ROW($C$6:$C267)*($C268=$C$6:$C267))-ROW($A$5)))*0.9^($A268-INDEX($A$6:A267,SUMPRODUCT(MAX(ROW($C$6:$C267)*($C268=$C$6:$C267))-ROW($A$5)))),0))</f>
        <v/>
      </c>
      <c r="G268" s="25" t="e">
        <f>INDEX('Exercise list'!$Y$5:$Y$102,MATCH(C268,'Exercise list'!$C$5:$C$102,0))</f>
        <v>#N/A</v>
      </c>
      <c r="H268" s="116">
        <f t="shared" si="187"/>
        <v>0</v>
      </c>
      <c r="I268" s="18">
        <f t="shared" si="188"/>
        <v>5</v>
      </c>
      <c r="J268" s="18" t="str" cm="1">
        <f t="array" ref="J268">IF(B268="","",INDEX('Exercise list'!$D$5:$D$102,B268))</f>
        <v/>
      </c>
      <c r="K268" s="17"/>
      <c r="L268" s="51" t="str" cm="1">
        <f t="array" ref="L268">IF(K268="","",INDEX('Exercise list'!$C$5:$C$102,K268))</f>
        <v/>
      </c>
      <c r="M268" s="18"/>
      <c r="N268" s="76" t="str" cm="1">
        <f t="array" ref="N268">IF(M268="","",INDEX('Exercise list'!$C$5:$C$102,M268))</f>
        <v/>
      </c>
      <c r="O268" s="19"/>
      <c r="P268" s="19">
        <f>IFERROR(INDEX('Exercise list'!$E$5:$X$102,MATCH($C268,'Exercise list'!$C$5:$C$102,0),MATCH(P$5,'Exercise list'!$E$4:$X$4,0)),0)</f>
        <v>0</v>
      </c>
      <c r="Q268" s="19">
        <f>IFERROR(INDEX('Exercise list'!$E$5:$X$102,MATCH($C268,'Exercise list'!$C$5:$C$102,0),MATCH(Q$5,'Exercise list'!$E$4:$X$4,0)),0)</f>
        <v>0</v>
      </c>
      <c r="R268" s="19">
        <f>IFERROR(INDEX('Exercise list'!$E$5:$X$102,MATCH($C268,'Exercise list'!$C$5:$C$102,0),MATCH(R$5,'Exercise list'!$E$4:$X$4,0)),0)</f>
        <v>0</v>
      </c>
      <c r="S268" s="19">
        <f>IFERROR(INDEX('Exercise list'!$E$5:$X$102,MATCH($C268,'Exercise list'!$C$5:$C$102,0),MATCH(S$5,'Exercise list'!$E$4:$X$4,0)),0)</f>
        <v>0</v>
      </c>
      <c r="T268" s="19">
        <f>IFERROR(INDEX('Exercise list'!$E$5:$X$102,MATCH($C268,'Exercise list'!$C$5:$C$102,0),MATCH(T$5,'Exercise list'!$E$4:$X$4,0)),0)</f>
        <v>0</v>
      </c>
      <c r="U268" s="19">
        <f>IFERROR(INDEX('Exercise list'!$E$5:$X$102,MATCH($C268,'Exercise list'!$C$5:$C$102,0),MATCH(U$5,'Exercise list'!$E$4:$X$4,0)),0)</f>
        <v>0</v>
      </c>
      <c r="V268" s="19">
        <f>IFERROR(INDEX('Exercise list'!$E$5:$X$102,MATCH($C268,'Exercise list'!$C$5:$C$102,0),MATCH(V$5,'Exercise list'!$E$4:$X$4,0)),0)</f>
        <v>0</v>
      </c>
      <c r="W268" s="19">
        <f>IFERROR(INDEX('Exercise list'!$E$5:$X$102,MATCH($C268,'Exercise list'!$C$5:$C$102,0),MATCH(W$5,'Exercise list'!$E$4:$X$4,0)),0)</f>
        <v>0</v>
      </c>
      <c r="X268" s="19">
        <f>IFERROR(INDEX('Exercise list'!$E$5:$X$102,MATCH($C268,'Exercise list'!$C$5:$C$102,0),MATCH(X$5,'Exercise list'!$E$4:$X$4,0)),0)</f>
        <v>0</v>
      </c>
      <c r="Y268" s="19">
        <f>IFERROR(INDEX('Exercise list'!$E$5:$X$102,MATCH($C268,'Exercise list'!$C$5:$C$102,0),MATCH(Y$5,'Exercise list'!$E$4:$X$4,0)),0)</f>
        <v>0</v>
      </c>
      <c r="Z268" s="19">
        <f>IFERROR(INDEX('Exercise list'!$E$5:$X$102,MATCH($C268,'Exercise list'!$C$5:$C$102,0),MATCH(Z$5,'Exercise list'!$E$4:$X$4,0)),0)</f>
        <v>0</v>
      </c>
      <c r="AA268" s="19">
        <f>IFERROR(INDEX('Exercise list'!$E$5:$X$102,MATCH($C268,'Exercise list'!$C$5:$C$102,0),MATCH(AA$5,'Exercise list'!$E$4:$X$4,0)),0)</f>
        <v>0</v>
      </c>
      <c r="AB268" s="19">
        <f>IFERROR(INDEX('Exercise list'!$E$5:$X$102,MATCH($C268,'Exercise list'!$C$5:$C$102,0),MATCH(AB$5,'Exercise list'!$E$4:$X$4,0)),0)</f>
        <v>0</v>
      </c>
      <c r="AC268" s="19">
        <f>IFERROR(INDEX('Exercise list'!$E$5:$X$102,MATCH($C268,'Exercise list'!$C$5:$C$102,0),MATCH(AC$5,'Exercise list'!$E$4:$X$4,0)),0)</f>
        <v>0</v>
      </c>
      <c r="AD268" s="19">
        <f>IFERROR(INDEX('Exercise list'!$E$5:$X$102,MATCH($C268,'Exercise list'!$C$5:$C$102,0),MATCH(AD$5,'Exercise list'!$E$4:$X$4,0)),0)</f>
        <v>0</v>
      </c>
      <c r="AE268" s="19">
        <f>IFERROR(INDEX('Exercise list'!$E$5:$X$102,MATCH($C268,'Exercise list'!$C$5:$C$102,0),MATCH(AE$5,'Exercise list'!$E$4:$X$4,0)),0)</f>
        <v>0</v>
      </c>
      <c r="AF268" s="19">
        <f>IFERROR(INDEX('Exercise list'!$E$5:$X$102,MATCH($C268,'Exercise list'!$C$5:$C$102,0),MATCH(AF$5,'Exercise list'!$E$4:$X$4,0)),0)</f>
        <v>0</v>
      </c>
      <c r="AG268" s="19">
        <f>IFERROR(INDEX('Exercise list'!$E$5:$X$102,MATCH($C268,'Exercise list'!$C$5:$C$102,0),MATCH(AG$5,'Exercise list'!$E$4:$X$4,0)),0)</f>
        <v>0</v>
      </c>
      <c r="AH268" s="19">
        <f>IFERROR(INDEX('Exercise list'!$E$5:$X$102,MATCH($C268,'Exercise list'!$C$5:$C$102,0),MATCH(AH$5,'Exercise list'!$E$4:$X$4,0)),0)</f>
        <v>0</v>
      </c>
      <c r="AI268" s="19">
        <f>IFERROR(INDEX('Exercise list'!$E$5:$X$102,MATCH($C268,'Exercise list'!$C$5:$C$102,0),MATCH(AI$5,'Exercise list'!$E$4:$X$4,0)),0)</f>
        <v>0</v>
      </c>
      <c r="AJ268" s="19"/>
      <c r="AK268" s="19">
        <f>IF(OR($J268=1,COUNTIFS($A$5:$A267,"&gt;="&amp;$A268-1,$A$5:$A267,"&lt;="&amp;$A268,$B$5:$B267,$B268)&gt;0,MIN(1-'Exercise list'!E$2,IF($A268=$A267,AK267,1))-P268&lt;0),-1,MIN(1,IF($A268=$A267,AK267,1)-P268+$D$2))</f>
        <v>1</v>
      </c>
      <c r="AL268" s="19">
        <f>IF(OR($J268=1,COUNTIFS($A$5:$A267,"&gt;="&amp;$A268-1,$A$5:$A267,"&lt;="&amp;$A268,$B$5:$B267,$B268)&gt;0,MIN(1-'Exercise list'!F$2,IF($A268=$A267,AL267,1))-Q268&lt;0),-1,MIN(1,IF($A268=$A267,AL267,1)-Q268+$D$2))</f>
        <v>1</v>
      </c>
      <c r="AM268" s="19">
        <f>IF(OR($J268=1,COUNTIFS($A$5:$A267,"&gt;="&amp;$A268-1,$A$5:$A267,"&lt;="&amp;$A268,$B$5:$B267,$B268)&gt;0,MIN(1-'Exercise list'!G$2,IF($A268=$A267,AM267,1))-R268&lt;0),-1,MIN(1,IF($A268=$A267,AM267,1)-R268+$D$2))</f>
        <v>1</v>
      </c>
      <c r="AN268" s="19">
        <f>IF(OR($J268=1,COUNTIFS($A$5:$A267,"&gt;="&amp;$A268-1,$A$5:$A267,"&lt;="&amp;$A268,$B$5:$B267,$B268)&gt;0,MIN(1-'Exercise list'!H$2,IF($A268=$A267,AN267,1))-S268&lt;0),-1,MIN(1,IF($A268=$A267,AN267,1)-S268+$D$2))</f>
        <v>1</v>
      </c>
      <c r="AO268" s="19">
        <f>IF(OR($J268=1,COUNTIFS($A$5:$A267,"&gt;="&amp;$A268-1,$A$5:$A267,"&lt;="&amp;$A268,$B$5:$B267,$B268)&gt;0,MIN(1-'Exercise list'!I$2,IF($A268=$A267,AO267,1))-T268&lt;0),-1,MIN(1,IF($A268=$A267,AO267,1)-T268+$D$2))</f>
        <v>1</v>
      </c>
      <c r="AP268" s="19">
        <f>IF(OR($J268=1,COUNTIFS($A$5:$A267,"&gt;="&amp;$A268-1,$A$5:$A267,"&lt;="&amp;$A268,$B$5:$B267,$B268)&gt;0,MIN(1-'Exercise list'!J$2,IF($A268=$A267,AP267,1))-U268&lt;0),-1,MIN(1,IF($A268=$A267,AP267,1)-U268+$D$2))</f>
        <v>1</v>
      </c>
      <c r="AQ268" s="19">
        <f>IF(OR($J268=1,COUNTIFS($A$5:$A267,"&gt;="&amp;$A268-1,$A$5:$A267,"&lt;="&amp;$A268,$B$5:$B267,$B268)&gt;0,MIN(1-'Exercise list'!K$2,IF($A268=$A267,AQ267,1))-V268&lt;0),-1,MIN(1,IF($A268=$A267,AQ267,1)-V268+$D$2))</f>
        <v>1</v>
      </c>
      <c r="AR268" s="19">
        <f>IF(OR($J268=1,COUNTIFS($A$5:$A267,"&gt;="&amp;$A268-1,$A$5:$A267,"&lt;="&amp;$A268,$B$5:$B267,$B268)&gt;0,MIN(1-'Exercise list'!L$2,IF($A268=$A267,AR267,1))-W268&lt;0),-1,MIN(1,IF($A268=$A267,AR267,1)-W268+$D$2))</f>
        <v>1</v>
      </c>
      <c r="AS268" s="19">
        <f>IF(OR($J268=1,COUNTIFS($A$5:$A267,"&gt;="&amp;$A268-1,$A$5:$A267,"&lt;="&amp;$A268,$B$5:$B267,$B268)&gt;0,MIN(1-'Exercise list'!M$2,IF($A268=$A267,AS267,1))-X268&lt;0),-1,MIN(1,IF($A268=$A267,AS267,1)-X268+$D$2))</f>
        <v>1</v>
      </c>
      <c r="AT268" s="19">
        <f>IF(OR($J268=1,COUNTIFS($A$5:$A267,"&gt;="&amp;$A268-1,$A$5:$A267,"&lt;="&amp;$A268,$B$5:$B267,$B268)&gt;0,MIN(1-'Exercise list'!N$2,IF($A268=$A267,AT267,1))-Y268&lt;0),-1,MIN(1,IF($A268=$A267,AT267,1)-Y268+$D$2))</f>
        <v>1</v>
      </c>
      <c r="AU268" s="19">
        <f>IF(OR($J268=1,COUNTIFS($A$5:$A267,"&gt;="&amp;$A268-1,$A$5:$A267,"&lt;="&amp;$A268,$B$5:$B267,$B268)&gt;0,MIN(1-'Exercise list'!O$2,IF($A268=$A267,AU267,1))-Z268&lt;0),-1,MIN(1,IF($A268=$A267,AU267,1)-Z268+$D$2))</f>
        <v>1</v>
      </c>
      <c r="AV268" s="19">
        <f>IF(OR($J268=1,COUNTIFS($A$5:$A267,"&gt;="&amp;$A268-1,$A$5:$A267,"&lt;="&amp;$A268,$B$5:$B267,$B268)&gt;0,MIN(1-'Exercise list'!P$2,IF($A268=$A267,AV267,1))-AA268&lt;0),-1,MIN(1,IF($A268=$A267,AV267,1)-AA268+$D$2))</f>
        <v>1</v>
      </c>
      <c r="AW268" s="19">
        <f>IF(OR($J268=1,COUNTIFS($A$5:$A267,"&gt;="&amp;$A268-1,$A$5:$A267,"&lt;="&amp;$A268,$B$5:$B267,$B268)&gt;0,MIN(1-'Exercise list'!Q$2,IF($A268=$A267,AW267,1))-AB268&lt;0),-1,MIN(1,IF($A268=$A267,AW267,1)-AB268+$D$2))</f>
        <v>1</v>
      </c>
      <c r="AX268" s="19">
        <f>IF(OR($J268=1,COUNTIFS($A$5:$A267,"&gt;="&amp;$A268-1,$A$5:$A267,"&lt;="&amp;$A268,$B$5:$B267,$B268)&gt;0,MIN(1-'Exercise list'!R$2,IF($A268=$A267,AX267,1))-AC268&lt;0),-1,MIN(1,IF($A268=$A267,AX267,1)-AC268+$D$2))</f>
        <v>1</v>
      </c>
      <c r="AY268" s="19">
        <f>IF(OR($J268=1,COUNTIFS($A$5:$A267,"&gt;="&amp;$A268-1,$A$5:$A267,"&lt;="&amp;$A268,$B$5:$B267,$B268)&gt;0,MIN(1-'Exercise list'!S$2,IF($A268=$A267,AY267,1))-AD268&lt;0),-1,MIN(1,IF($A268=$A267,AY267,1)-AD268+$D$2))</f>
        <v>1</v>
      </c>
      <c r="AZ268" s="19">
        <f>IF(OR($J268=1,COUNTIFS($A$5:$A267,"&gt;="&amp;$A268-1,$A$5:$A267,"&lt;="&amp;$A268,$B$5:$B267,$B268)&gt;0,MIN(1-'Exercise list'!T$2,IF($A268=$A267,AZ267,1))-AE268&lt;0),-1,MIN(1,IF($A268=$A267,AZ267,1)-AE268+$D$2))</f>
        <v>1</v>
      </c>
      <c r="BA268" s="19">
        <f>IF(OR($J268=1,COUNTIFS($A$5:$A267,"&gt;="&amp;$A268-1,$A$5:$A267,"&lt;="&amp;$A268,$B$5:$B267,$B268)&gt;0,MIN(1-'Exercise list'!U$2,IF($A268=$A267,BA267,1))-AF268&lt;0),-1,MIN(1,IF($A268=$A267,BA267,1)-AF268+$D$2))</f>
        <v>1</v>
      </c>
      <c r="BB268" s="19">
        <f>IF(OR($J268=1,COUNTIFS($A$5:$A267,"&gt;="&amp;$A268-1,$A$5:$A267,"&lt;="&amp;$A268,$B$5:$B267,$B268)&gt;0,MIN(1-'Exercise list'!V$2,IF($A268=$A267,BB267,1))-AG268&lt;0),-1,MIN(1,IF($A268=$A267,BB267,1)-AG268+$D$2))</f>
        <v>1</v>
      </c>
      <c r="BC268" s="19">
        <f>IF(OR($J268=1,COUNTIFS($A$5:$A267,"&gt;="&amp;$A268-1,$A$5:$A267,"&lt;="&amp;$A268,$B$5:$B267,$B268)&gt;0,MIN(1-'Exercise list'!W$2,IF($A268=$A267,BC267,1))-AH268&lt;0),-1,MIN(1,IF($A268=$A267,BC267,1)-AH268+$D$2))</f>
        <v>1</v>
      </c>
      <c r="BD268" s="19">
        <f>IF(OR($J268=1,COUNTIFS($A$5:$A267,"&gt;="&amp;$A268-1,$A$5:$A267,"&lt;="&amp;$A268,$B$5:$B267,$B268)&gt;0,MIN(1-'Exercise list'!X$2,IF($A268=$A267,BD267,1))-AI268&lt;0),-1,MIN(1,IF($A268=$A267,BD267,1)-AI268+$D$2))</f>
        <v>1</v>
      </c>
      <c r="BE268" s="19"/>
      <c r="BF268" s="23">
        <f t="shared" si="189"/>
        <v>0.19596031081758858</v>
      </c>
      <c r="BG268" s="23">
        <f t="shared" si="190"/>
        <v>0.21844636935459236</v>
      </c>
      <c r="BH268" s="23">
        <f t="shared" si="191"/>
        <v>0.14609696635987124</v>
      </c>
      <c r="BI268" s="23">
        <f t="shared" si="192"/>
        <v>0.13198015366034541</v>
      </c>
      <c r="BJ268" s="23">
        <f t="shared" si="193"/>
        <v>8.3367914198418713E-2</v>
      </c>
      <c r="BK268" s="23">
        <f t="shared" si="194"/>
        <v>0.10640640223148412</v>
      </c>
      <c r="BL268" s="23">
        <f t="shared" si="195"/>
        <v>0.21963504743569431</v>
      </c>
      <c r="BM268" s="23">
        <f t="shared" si="196"/>
        <v>3.8988008374820568E-3</v>
      </c>
      <c r="BN268" s="23">
        <f t="shared" si="197"/>
        <v>0.14537706087090876</v>
      </c>
      <c r="BO268" s="23">
        <f t="shared" si="198"/>
        <v>0.29209790661993401</v>
      </c>
      <c r="BP268" s="23">
        <f t="shared" si="199"/>
        <v>0.31584545163401867</v>
      </c>
      <c r="BQ268" s="23">
        <f t="shared" si="200"/>
        <v>0.1000007994126096</v>
      </c>
      <c r="BR268" s="23">
        <f t="shared" si="201"/>
        <v>0.13164487759885393</v>
      </c>
      <c r="BS268" s="23">
        <f t="shared" si="202"/>
        <v>2.9803550189863123E-2</v>
      </c>
      <c r="BT268" s="23">
        <f t="shared" si="203"/>
        <v>0.13492040904978705</v>
      </c>
      <c r="BU268" s="23">
        <f t="shared" si="204"/>
        <v>0.11703687414398131</v>
      </c>
      <c r="BV268" s="23">
        <f t="shared" si="205"/>
        <v>0.14633353213781661</v>
      </c>
      <c r="BW268" s="23">
        <f t="shared" si="206"/>
        <v>7.5588015111767173E-2</v>
      </c>
      <c r="BX268" s="23">
        <f t="shared" si="207"/>
        <v>8.0345659937185704E-2</v>
      </c>
      <c r="BY268" s="23">
        <f t="shared" si="208"/>
        <v>5.9014643151272549E-2</v>
      </c>
      <c r="BZ268" s="19"/>
      <c r="CA268" s="23" t="str">
        <f t="shared" si="229"/>
        <v/>
      </c>
      <c r="CB268" s="23" t="str">
        <f t="shared" si="210"/>
        <v/>
      </c>
      <c r="CC268" s="23" t="str">
        <f t="shared" si="211"/>
        <v/>
      </c>
      <c r="CD268" s="23" t="str">
        <f t="shared" si="212"/>
        <v/>
      </c>
      <c r="CE268" s="23" t="str">
        <f t="shared" si="213"/>
        <v/>
      </c>
      <c r="CF268" s="23" t="str">
        <f t="shared" si="214"/>
        <v/>
      </c>
      <c r="CG268" s="23" t="str">
        <f t="shared" si="215"/>
        <v/>
      </c>
      <c r="CH268" s="23" t="str">
        <f t="shared" si="216"/>
        <v/>
      </c>
      <c r="CI268" s="23" t="str">
        <f t="shared" si="217"/>
        <v/>
      </c>
      <c r="CJ268" s="23" t="str">
        <f t="shared" si="218"/>
        <v/>
      </c>
      <c r="CK268" s="23" t="str">
        <f t="shared" si="219"/>
        <v/>
      </c>
      <c r="CL268" s="23" t="str">
        <f t="shared" si="220"/>
        <v/>
      </c>
      <c r="CM268" s="23" t="str">
        <f t="shared" si="221"/>
        <v/>
      </c>
      <c r="CN268" s="23" t="str">
        <f t="shared" si="222"/>
        <v/>
      </c>
      <c r="CO268" s="23" t="str">
        <f t="shared" si="223"/>
        <v/>
      </c>
      <c r="CP268" s="23" t="str">
        <f t="shared" si="224"/>
        <v/>
      </c>
      <c r="CQ268" s="23" t="str">
        <f t="shared" si="225"/>
        <v/>
      </c>
      <c r="CR268" s="23" t="str">
        <f t="shared" si="226"/>
        <v/>
      </c>
      <c r="CS268" s="23" t="str">
        <f t="shared" si="227"/>
        <v/>
      </c>
      <c r="CT268" s="23" t="str">
        <f t="shared" si="228"/>
        <v/>
      </c>
      <c r="CU268" s="19"/>
    </row>
    <row r="269" spans="1:99" x14ac:dyDescent="0.25">
      <c r="A269" s="13"/>
      <c r="B269" s="14"/>
      <c r="C269" s="15" t="str" cm="1">
        <f t="array" ref="C269">IF(B269="","",INDEX('Exercise list'!$C$5:$C$102,B269))</f>
        <v/>
      </c>
      <c r="D269" s="12" t="str">
        <f t="shared" si="186"/>
        <v/>
      </c>
      <c r="E269" s="107" t="str">
        <f t="shared" si="209"/>
        <v/>
      </c>
      <c r="F269" s="63" t="str" cm="1">
        <f t="array" ref="F269">IF(B269="","",0.1+IFERROR(INDEX($F$6:$F268,SUMPRODUCT(MAX(ROW($C$6:$C268)*($C269=$C$6:$C268))-ROW($A$5)))*0.9^($A269-INDEX($A$6:A268,SUMPRODUCT(MAX(ROW($C$6:$C268)*($C269=$C$6:$C268))-ROW($A$5)))),0))</f>
        <v/>
      </c>
      <c r="G269" s="64" t="e">
        <f>INDEX('Exercise list'!$Y$5:$Y$102,MATCH(C269,'Exercise list'!$C$5:$C$102,0))</f>
        <v>#N/A</v>
      </c>
      <c r="H269" s="115">
        <f t="shared" si="187"/>
        <v>0</v>
      </c>
      <c r="I269" s="42">
        <f t="shared" si="188"/>
        <v>5</v>
      </c>
      <c r="J269" s="6" t="str" cm="1">
        <f t="array" ref="J269">IF(B269="","",INDEX('Exercise list'!$D$5:$D$102,B269))</f>
        <v/>
      </c>
      <c r="K269" s="12"/>
      <c r="L269" s="74" t="str" cm="1">
        <f t="array" ref="L269">IF(K269="","",INDEX('Exercise list'!$C$5:$C$102,K269))</f>
        <v/>
      </c>
      <c r="M269" s="6"/>
      <c r="N269" s="75" t="str" cm="1">
        <f t="array" ref="N269">IF(M269="","",INDEX('Exercise list'!$C$5:$C$102,M269))</f>
        <v/>
      </c>
      <c r="P269">
        <f>IFERROR(INDEX('Exercise list'!$E$5:$X$102,MATCH($C269,'Exercise list'!$C$5:$C$102,0),MATCH(P$5,'Exercise list'!$E$4:$X$4,0)),0)</f>
        <v>0</v>
      </c>
      <c r="Q269">
        <f>IFERROR(INDEX('Exercise list'!$E$5:$X$102,MATCH($C269,'Exercise list'!$C$5:$C$102,0),MATCH(Q$5,'Exercise list'!$E$4:$X$4,0)),0)</f>
        <v>0</v>
      </c>
      <c r="R269">
        <f>IFERROR(INDEX('Exercise list'!$E$5:$X$102,MATCH($C269,'Exercise list'!$C$5:$C$102,0),MATCH(R$5,'Exercise list'!$E$4:$X$4,0)),0)</f>
        <v>0</v>
      </c>
      <c r="S269">
        <f>IFERROR(INDEX('Exercise list'!$E$5:$X$102,MATCH($C269,'Exercise list'!$C$5:$C$102,0),MATCH(S$5,'Exercise list'!$E$4:$X$4,0)),0)</f>
        <v>0</v>
      </c>
      <c r="T269">
        <f>IFERROR(INDEX('Exercise list'!$E$5:$X$102,MATCH($C269,'Exercise list'!$C$5:$C$102,0),MATCH(T$5,'Exercise list'!$E$4:$X$4,0)),0)</f>
        <v>0</v>
      </c>
      <c r="U269">
        <f>IFERROR(INDEX('Exercise list'!$E$5:$X$102,MATCH($C269,'Exercise list'!$C$5:$C$102,0),MATCH(U$5,'Exercise list'!$E$4:$X$4,0)),0)</f>
        <v>0</v>
      </c>
      <c r="V269">
        <f>IFERROR(INDEX('Exercise list'!$E$5:$X$102,MATCH($C269,'Exercise list'!$C$5:$C$102,0),MATCH(V$5,'Exercise list'!$E$4:$X$4,0)),0)</f>
        <v>0</v>
      </c>
      <c r="W269">
        <f>IFERROR(INDEX('Exercise list'!$E$5:$X$102,MATCH($C269,'Exercise list'!$C$5:$C$102,0),MATCH(W$5,'Exercise list'!$E$4:$X$4,0)),0)</f>
        <v>0</v>
      </c>
      <c r="X269">
        <f>IFERROR(INDEX('Exercise list'!$E$5:$X$102,MATCH($C269,'Exercise list'!$C$5:$C$102,0),MATCH(X$5,'Exercise list'!$E$4:$X$4,0)),0)</f>
        <v>0</v>
      </c>
      <c r="Y269">
        <f>IFERROR(INDEX('Exercise list'!$E$5:$X$102,MATCH($C269,'Exercise list'!$C$5:$C$102,0),MATCH(Y$5,'Exercise list'!$E$4:$X$4,0)),0)</f>
        <v>0</v>
      </c>
      <c r="Z269">
        <f>IFERROR(INDEX('Exercise list'!$E$5:$X$102,MATCH($C269,'Exercise list'!$C$5:$C$102,0),MATCH(Z$5,'Exercise list'!$E$4:$X$4,0)),0)</f>
        <v>0</v>
      </c>
      <c r="AA269">
        <f>IFERROR(INDEX('Exercise list'!$E$5:$X$102,MATCH($C269,'Exercise list'!$C$5:$C$102,0),MATCH(AA$5,'Exercise list'!$E$4:$X$4,0)),0)</f>
        <v>0</v>
      </c>
      <c r="AB269">
        <f>IFERROR(INDEX('Exercise list'!$E$5:$X$102,MATCH($C269,'Exercise list'!$C$5:$C$102,0),MATCH(AB$5,'Exercise list'!$E$4:$X$4,0)),0)</f>
        <v>0</v>
      </c>
      <c r="AC269">
        <f>IFERROR(INDEX('Exercise list'!$E$5:$X$102,MATCH($C269,'Exercise list'!$C$5:$C$102,0),MATCH(AC$5,'Exercise list'!$E$4:$X$4,0)),0)</f>
        <v>0</v>
      </c>
      <c r="AD269">
        <f>IFERROR(INDEX('Exercise list'!$E$5:$X$102,MATCH($C269,'Exercise list'!$C$5:$C$102,0),MATCH(AD$5,'Exercise list'!$E$4:$X$4,0)),0)</f>
        <v>0</v>
      </c>
      <c r="AE269">
        <f>IFERROR(INDEX('Exercise list'!$E$5:$X$102,MATCH($C269,'Exercise list'!$C$5:$C$102,0),MATCH(AE$5,'Exercise list'!$E$4:$X$4,0)),0)</f>
        <v>0</v>
      </c>
      <c r="AF269">
        <f>IFERROR(INDEX('Exercise list'!$E$5:$X$102,MATCH($C269,'Exercise list'!$C$5:$C$102,0),MATCH(AF$5,'Exercise list'!$E$4:$X$4,0)),0)</f>
        <v>0</v>
      </c>
      <c r="AG269">
        <f>IFERROR(INDEX('Exercise list'!$E$5:$X$102,MATCH($C269,'Exercise list'!$C$5:$C$102,0),MATCH(AG$5,'Exercise list'!$E$4:$X$4,0)),0)</f>
        <v>0</v>
      </c>
      <c r="AH269">
        <f>IFERROR(INDEX('Exercise list'!$E$5:$X$102,MATCH($C269,'Exercise list'!$C$5:$C$102,0),MATCH(AH$5,'Exercise list'!$E$4:$X$4,0)),0)</f>
        <v>0</v>
      </c>
      <c r="AI269">
        <f>IFERROR(INDEX('Exercise list'!$E$5:$X$102,MATCH($C269,'Exercise list'!$C$5:$C$102,0),MATCH(AI$5,'Exercise list'!$E$4:$X$4,0)),0)</f>
        <v>0</v>
      </c>
      <c r="AK269">
        <f>IF(OR($J269=1,COUNTIFS($A$5:$A268,"&gt;="&amp;$A269-1,$A$5:$A268,"&lt;="&amp;$A269,$B$5:$B268,$B269)&gt;0,MIN(1-'Exercise list'!E$2,IF($A269=$A268,AK268,1))-P269&lt;0),-1,MIN(1,IF($A269=$A268,AK268,1)-P269+$D$2))</f>
        <v>1</v>
      </c>
      <c r="AL269">
        <f>IF(OR($J269=1,COUNTIFS($A$5:$A268,"&gt;="&amp;$A269-1,$A$5:$A268,"&lt;="&amp;$A269,$B$5:$B268,$B269)&gt;0,MIN(1-'Exercise list'!F$2,IF($A269=$A268,AL268,1))-Q269&lt;0),-1,MIN(1,IF($A269=$A268,AL268,1)-Q269+$D$2))</f>
        <v>1</v>
      </c>
      <c r="AM269">
        <f>IF(OR($J269=1,COUNTIFS($A$5:$A268,"&gt;="&amp;$A269-1,$A$5:$A268,"&lt;="&amp;$A269,$B$5:$B268,$B269)&gt;0,MIN(1-'Exercise list'!G$2,IF($A269=$A268,AM268,1))-R269&lt;0),-1,MIN(1,IF($A269=$A268,AM268,1)-R269+$D$2))</f>
        <v>1</v>
      </c>
      <c r="AN269">
        <f>IF(OR($J269=1,COUNTIFS($A$5:$A268,"&gt;="&amp;$A269-1,$A$5:$A268,"&lt;="&amp;$A269,$B$5:$B268,$B269)&gt;0,MIN(1-'Exercise list'!H$2,IF($A269=$A268,AN268,1))-S269&lt;0),-1,MIN(1,IF($A269=$A268,AN268,1)-S269+$D$2))</f>
        <v>1</v>
      </c>
      <c r="AO269">
        <f>IF(OR($J269=1,COUNTIFS($A$5:$A268,"&gt;="&amp;$A269-1,$A$5:$A268,"&lt;="&amp;$A269,$B$5:$B268,$B269)&gt;0,MIN(1-'Exercise list'!I$2,IF($A269=$A268,AO268,1))-T269&lt;0),-1,MIN(1,IF($A269=$A268,AO268,1)-T269+$D$2))</f>
        <v>1</v>
      </c>
      <c r="AP269">
        <f>IF(OR($J269=1,COUNTIFS($A$5:$A268,"&gt;="&amp;$A269-1,$A$5:$A268,"&lt;="&amp;$A269,$B$5:$B268,$B269)&gt;0,MIN(1-'Exercise list'!J$2,IF($A269=$A268,AP268,1))-U269&lt;0),-1,MIN(1,IF($A269=$A268,AP268,1)-U269+$D$2))</f>
        <v>1</v>
      </c>
      <c r="AQ269">
        <f>IF(OR($J269=1,COUNTIFS($A$5:$A268,"&gt;="&amp;$A269-1,$A$5:$A268,"&lt;="&amp;$A269,$B$5:$B268,$B269)&gt;0,MIN(1-'Exercise list'!K$2,IF($A269=$A268,AQ268,1))-V269&lt;0),-1,MIN(1,IF($A269=$A268,AQ268,1)-V269+$D$2))</f>
        <v>1</v>
      </c>
      <c r="AR269">
        <f>IF(OR($J269=1,COUNTIFS($A$5:$A268,"&gt;="&amp;$A269-1,$A$5:$A268,"&lt;="&amp;$A269,$B$5:$B268,$B269)&gt;0,MIN(1-'Exercise list'!L$2,IF($A269=$A268,AR268,1))-W269&lt;0),-1,MIN(1,IF($A269=$A268,AR268,1)-W269+$D$2))</f>
        <v>1</v>
      </c>
      <c r="AS269">
        <f>IF(OR($J269=1,COUNTIFS($A$5:$A268,"&gt;="&amp;$A269-1,$A$5:$A268,"&lt;="&amp;$A269,$B$5:$B268,$B269)&gt;0,MIN(1-'Exercise list'!M$2,IF($A269=$A268,AS268,1))-X269&lt;0),-1,MIN(1,IF($A269=$A268,AS268,1)-X269+$D$2))</f>
        <v>1</v>
      </c>
      <c r="AT269">
        <f>IF(OR($J269=1,COUNTIFS($A$5:$A268,"&gt;="&amp;$A269-1,$A$5:$A268,"&lt;="&amp;$A269,$B$5:$B268,$B269)&gt;0,MIN(1-'Exercise list'!N$2,IF($A269=$A268,AT268,1))-Y269&lt;0),-1,MIN(1,IF($A269=$A268,AT268,1)-Y269+$D$2))</f>
        <v>1</v>
      </c>
      <c r="AU269">
        <f>IF(OR($J269=1,COUNTIFS($A$5:$A268,"&gt;="&amp;$A269-1,$A$5:$A268,"&lt;="&amp;$A269,$B$5:$B268,$B269)&gt;0,MIN(1-'Exercise list'!O$2,IF($A269=$A268,AU268,1))-Z269&lt;0),-1,MIN(1,IF($A269=$A268,AU268,1)-Z269+$D$2))</f>
        <v>1</v>
      </c>
      <c r="AV269">
        <f>IF(OR($J269=1,COUNTIFS($A$5:$A268,"&gt;="&amp;$A269-1,$A$5:$A268,"&lt;="&amp;$A269,$B$5:$B268,$B269)&gt;0,MIN(1-'Exercise list'!P$2,IF($A269=$A268,AV268,1))-AA269&lt;0),-1,MIN(1,IF($A269=$A268,AV268,1)-AA269+$D$2))</f>
        <v>1</v>
      </c>
      <c r="AW269">
        <f>IF(OR($J269=1,COUNTIFS($A$5:$A268,"&gt;="&amp;$A269-1,$A$5:$A268,"&lt;="&amp;$A269,$B$5:$B268,$B269)&gt;0,MIN(1-'Exercise list'!Q$2,IF($A269=$A268,AW268,1))-AB269&lt;0),-1,MIN(1,IF($A269=$A268,AW268,1)-AB269+$D$2))</f>
        <v>1</v>
      </c>
      <c r="AX269">
        <f>IF(OR($J269=1,COUNTIFS($A$5:$A268,"&gt;="&amp;$A269-1,$A$5:$A268,"&lt;="&amp;$A269,$B$5:$B268,$B269)&gt;0,MIN(1-'Exercise list'!R$2,IF($A269=$A268,AX268,1))-AC269&lt;0),-1,MIN(1,IF($A269=$A268,AX268,1)-AC269+$D$2))</f>
        <v>1</v>
      </c>
      <c r="AY269">
        <f>IF(OR($J269=1,COUNTIFS($A$5:$A268,"&gt;="&amp;$A269-1,$A$5:$A268,"&lt;="&amp;$A269,$B$5:$B268,$B269)&gt;0,MIN(1-'Exercise list'!S$2,IF($A269=$A268,AY268,1))-AD269&lt;0),-1,MIN(1,IF($A269=$A268,AY268,1)-AD269+$D$2))</f>
        <v>1</v>
      </c>
      <c r="AZ269">
        <f>IF(OR($J269=1,COUNTIFS($A$5:$A268,"&gt;="&amp;$A269-1,$A$5:$A268,"&lt;="&amp;$A269,$B$5:$B268,$B269)&gt;0,MIN(1-'Exercise list'!T$2,IF($A269=$A268,AZ268,1))-AE269&lt;0),-1,MIN(1,IF($A269=$A268,AZ268,1)-AE269+$D$2))</f>
        <v>1</v>
      </c>
      <c r="BA269">
        <f>IF(OR($J269=1,COUNTIFS($A$5:$A268,"&gt;="&amp;$A269-1,$A$5:$A268,"&lt;="&amp;$A269,$B$5:$B268,$B269)&gt;0,MIN(1-'Exercise list'!U$2,IF($A269=$A268,BA268,1))-AF269&lt;0),-1,MIN(1,IF($A269=$A268,BA268,1)-AF269+$D$2))</f>
        <v>1</v>
      </c>
      <c r="BB269">
        <f>IF(OR($J269=1,COUNTIFS($A$5:$A268,"&gt;="&amp;$A269-1,$A$5:$A268,"&lt;="&amp;$A269,$B$5:$B268,$B269)&gt;0,MIN(1-'Exercise list'!V$2,IF($A269=$A268,BB268,1))-AG269&lt;0),-1,MIN(1,IF($A269=$A268,BB268,1)-AG269+$D$2))</f>
        <v>1</v>
      </c>
      <c r="BC269">
        <f>IF(OR($J269=1,COUNTIFS($A$5:$A268,"&gt;="&amp;$A269-1,$A$5:$A268,"&lt;="&amp;$A269,$B$5:$B268,$B269)&gt;0,MIN(1-'Exercise list'!W$2,IF($A269=$A268,BC268,1))-AH269&lt;0),-1,MIN(1,IF($A269=$A268,BC268,1)-AH269+$D$2))</f>
        <v>1</v>
      </c>
      <c r="BD269">
        <f>IF(OR($J269=1,COUNTIFS($A$5:$A268,"&gt;="&amp;$A269-1,$A$5:$A268,"&lt;="&amp;$A269,$B$5:$B268,$B269)&gt;0,MIN(1-'Exercise list'!X$2,IF($A269=$A268,BD268,1))-AI269&lt;0),-1,MIN(1,IF($A269=$A268,BD268,1)-AI269+$D$2))</f>
        <v>1</v>
      </c>
      <c r="BF269" s="16">
        <f t="shared" si="189"/>
        <v>0.19596031081758858</v>
      </c>
      <c r="BG269" s="16">
        <f t="shared" si="190"/>
        <v>0.21844636935459236</v>
      </c>
      <c r="BH269" s="16">
        <f t="shared" si="191"/>
        <v>0.14609696635987124</v>
      </c>
      <c r="BI269" s="16">
        <f t="shared" si="192"/>
        <v>0.13198015366034541</v>
      </c>
      <c r="BJ269" s="16">
        <f t="shared" si="193"/>
        <v>8.3367914198418713E-2</v>
      </c>
      <c r="BK269" s="16">
        <f t="shared" si="194"/>
        <v>0.10640640223148412</v>
      </c>
      <c r="BL269" s="16">
        <f t="shared" si="195"/>
        <v>0.21963504743569431</v>
      </c>
      <c r="BM269" s="16">
        <f t="shared" si="196"/>
        <v>3.8988008374820568E-3</v>
      </c>
      <c r="BN269" s="16">
        <f t="shared" si="197"/>
        <v>0.14537706087090876</v>
      </c>
      <c r="BO269" s="16">
        <f t="shared" si="198"/>
        <v>0.29209790661993401</v>
      </c>
      <c r="BP269" s="16">
        <f t="shared" si="199"/>
        <v>0.31584545163401867</v>
      </c>
      <c r="BQ269" s="16">
        <f t="shared" si="200"/>
        <v>0.1000007994126096</v>
      </c>
      <c r="BR269" s="16">
        <f t="shared" si="201"/>
        <v>0.13164487759885393</v>
      </c>
      <c r="BS269" s="16">
        <f t="shared" si="202"/>
        <v>2.9803550189863123E-2</v>
      </c>
      <c r="BT269" s="16">
        <f t="shared" si="203"/>
        <v>0.13492040904978705</v>
      </c>
      <c r="BU269" s="16">
        <f t="shared" si="204"/>
        <v>0.11703687414398131</v>
      </c>
      <c r="BV269" s="16">
        <f t="shared" si="205"/>
        <v>0.14633353213781661</v>
      </c>
      <c r="BW269" s="16">
        <f t="shared" si="206"/>
        <v>7.5588015111767173E-2</v>
      </c>
      <c r="BX269" s="16">
        <f t="shared" si="207"/>
        <v>8.0345659937185704E-2</v>
      </c>
      <c r="BY269" s="16">
        <f t="shared" si="208"/>
        <v>5.9014643151272549E-2</v>
      </c>
      <c r="CA269" s="16" t="str">
        <f t="shared" si="229"/>
        <v/>
      </c>
      <c r="CB269" s="16" t="str">
        <f t="shared" si="210"/>
        <v/>
      </c>
      <c r="CC269" s="16" t="str">
        <f t="shared" si="211"/>
        <v/>
      </c>
      <c r="CD269" s="16" t="str">
        <f t="shared" si="212"/>
        <v/>
      </c>
      <c r="CE269" s="16" t="str">
        <f t="shared" si="213"/>
        <v/>
      </c>
      <c r="CF269" s="16" t="str">
        <f t="shared" si="214"/>
        <v/>
      </c>
      <c r="CG269" s="16" t="str">
        <f t="shared" si="215"/>
        <v/>
      </c>
      <c r="CH269" s="16" t="str">
        <f t="shared" si="216"/>
        <v/>
      </c>
      <c r="CI269" s="16" t="str">
        <f t="shared" si="217"/>
        <v/>
      </c>
      <c r="CJ269" s="16" t="str">
        <f t="shared" si="218"/>
        <v/>
      </c>
      <c r="CK269" s="16" t="str">
        <f t="shared" si="219"/>
        <v/>
      </c>
      <c r="CL269" s="16" t="str">
        <f t="shared" si="220"/>
        <v/>
      </c>
      <c r="CM269" s="16" t="str">
        <f t="shared" si="221"/>
        <v/>
      </c>
      <c r="CN269" s="16" t="str">
        <f t="shared" si="222"/>
        <v/>
      </c>
      <c r="CO269" s="16" t="str">
        <f t="shared" si="223"/>
        <v/>
      </c>
      <c r="CP269" s="16" t="str">
        <f t="shared" si="224"/>
        <v/>
      </c>
      <c r="CQ269" s="16" t="str">
        <f t="shared" si="225"/>
        <v/>
      </c>
      <c r="CR269" s="16" t="str">
        <f t="shared" si="226"/>
        <v/>
      </c>
      <c r="CS269" s="16" t="str">
        <f t="shared" si="227"/>
        <v/>
      </c>
      <c r="CT269" s="16" t="str">
        <f t="shared" si="228"/>
        <v/>
      </c>
    </row>
    <row r="270" spans="1:99" x14ac:dyDescent="0.25">
      <c r="A270" s="13"/>
      <c r="B270" s="14"/>
      <c r="C270" s="15" t="str" cm="1">
        <f t="array" ref="C270">IF(B270="","",INDEX('Exercise list'!$C$5:$C$102,B270))</f>
        <v/>
      </c>
      <c r="D270" s="12" t="str">
        <f t="shared" si="186"/>
        <v/>
      </c>
      <c r="E270" s="107" t="str">
        <f t="shared" si="209"/>
        <v/>
      </c>
      <c r="F270" s="63" t="str" cm="1">
        <f t="array" ref="F270">IF(B270="","",0.1+IFERROR(INDEX($F$6:$F269,SUMPRODUCT(MAX(ROW($C$6:$C269)*($C270=$C$6:$C269))-ROW($A$5)))*0.9^($A270-INDEX($A$6:A269,SUMPRODUCT(MAX(ROW($C$6:$C269)*($C270=$C$6:$C269))-ROW($A$5)))),0))</f>
        <v/>
      </c>
      <c r="G270" s="64" t="e">
        <f>INDEX('Exercise list'!$Y$5:$Y$102,MATCH(C270,'Exercise list'!$C$5:$C$102,0))</f>
        <v>#N/A</v>
      </c>
      <c r="H270" s="115">
        <f t="shared" si="187"/>
        <v>0</v>
      </c>
      <c r="I270" s="6">
        <f t="shared" si="188"/>
        <v>5</v>
      </c>
      <c r="J270" s="6" t="str" cm="1">
        <f t="array" ref="J270">IF(B270="","",INDEX('Exercise list'!$D$5:$D$102,B270))</f>
        <v/>
      </c>
      <c r="K270" s="12"/>
      <c r="L270" s="74" t="str" cm="1">
        <f t="array" ref="L270">IF(K270="","",INDEX('Exercise list'!$C$5:$C$102,K270))</f>
        <v/>
      </c>
      <c r="M270" s="6"/>
      <c r="N270" s="75" t="str" cm="1">
        <f t="array" ref="N270">IF(M270="","",INDEX('Exercise list'!$C$5:$C$102,M270))</f>
        <v/>
      </c>
      <c r="P270">
        <f>IFERROR(INDEX('Exercise list'!$E$5:$X$102,MATCH($C270,'Exercise list'!$C$5:$C$102,0),MATCH(P$5,'Exercise list'!$E$4:$X$4,0)),0)</f>
        <v>0</v>
      </c>
      <c r="Q270">
        <f>IFERROR(INDEX('Exercise list'!$E$5:$X$102,MATCH($C270,'Exercise list'!$C$5:$C$102,0),MATCH(Q$5,'Exercise list'!$E$4:$X$4,0)),0)</f>
        <v>0</v>
      </c>
      <c r="R270">
        <f>IFERROR(INDEX('Exercise list'!$E$5:$X$102,MATCH($C270,'Exercise list'!$C$5:$C$102,0),MATCH(R$5,'Exercise list'!$E$4:$X$4,0)),0)</f>
        <v>0</v>
      </c>
      <c r="S270">
        <f>IFERROR(INDEX('Exercise list'!$E$5:$X$102,MATCH($C270,'Exercise list'!$C$5:$C$102,0),MATCH(S$5,'Exercise list'!$E$4:$X$4,0)),0)</f>
        <v>0</v>
      </c>
      <c r="T270">
        <f>IFERROR(INDEX('Exercise list'!$E$5:$X$102,MATCH($C270,'Exercise list'!$C$5:$C$102,0),MATCH(T$5,'Exercise list'!$E$4:$X$4,0)),0)</f>
        <v>0</v>
      </c>
      <c r="U270">
        <f>IFERROR(INDEX('Exercise list'!$E$5:$X$102,MATCH($C270,'Exercise list'!$C$5:$C$102,0),MATCH(U$5,'Exercise list'!$E$4:$X$4,0)),0)</f>
        <v>0</v>
      </c>
      <c r="V270">
        <f>IFERROR(INDEX('Exercise list'!$E$5:$X$102,MATCH($C270,'Exercise list'!$C$5:$C$102,0),MATCH(V$5,'Exercise list'!$E$4:$X$4,0)),0)</f>
        <v>0</v>
      </c>
      <c r="W270">
        <f>IFERROR(INDEX('Exercise list'!$E$5:$X$102,MATCH($C270,'Exercise list'!$C$5:$C$102,0),MATCH(W$5,'Exercise list'!$E$4:$X$4,0)),0)</f>
        <v>0</v>
      </c>
      <c r="X270">
        <f>IFERROR(INDEX('Exercise list'!$E$5:$X$102,MATCH($C270,'Exercise list'!$C$5:$C$102,0),MATCH(X$5,'Exercise list'!$E$4:$X$4,0)),0)</f>
        <v>0</v>
      </c>
      <c r="Y270">
        <f>IFERROR(INDEX('Exercise list'!$E$5:$X$102,MATCH($C270,'Exercise list'!$C$5:$C$102,0),MATCH(Y$5,'Exercise list'!$E$4:$X$4,0)),0)</f>
        <v>0</v>
      </c>
      <c r="Z270">
        <f>IFERROR(INDEX('Exercise list'!$E$5:$X$102,MATCH($C270,'Exercise list'!$C$5:$C$102,0),MATCH(Z$5,'Exercise list'!$E$4:$X$4,0)),0)</f>
        <v>0</v>
      </c>
      <c r="AA270">
        <f>IFERROR(INDEX('Exercise list'!$E$5:$X$102,MATCH($C270,'Exercise list'!$C$5:$C$102,0),MATCH(AA$5,'Exercise list'!$E$4:$X$4,0)),0)</f>
        <v>0</v>
      </c>
      <c r="AB270">
        <f>IFERROR(INDEX('Exercise list'!$E$5:$X$102,MATCH($C270,'Exercise list'!$C$5:$C$102,0),MATCH(AB$5,'Exercise list'!$E$4:$X$4,0)),0)</f>
        <v>0</v>
      </c>
      <c r="AC270">
        <f>IFERROR(INDEX('Exercise list'!$E$5:$X$102,MATCH($C270,'Exercise list'!$C$5:$C$102,0),MATCH(AC$5,'Exercise list'!$E$4:$X$4,0)),0)</f>
        <v>0</v>
      </c>
      <c r="AD270">
        <f>IFERROR(INDEX('Exercise list'!$E$5:$X$102,MATCH($C270,'Exercise list'!$C$5:$C$102,0),MATCH(AD$5,'Exercise list'!$E$4:$X$4,0)),0)</f>
        <v>0</v>
      </c>
      <c r="AE270">
        <f>IFERROR(INDEX('Exercise list'!$E$5:$X$102,MATCH($C270,'Exercise list'!$C$5:$C$102,0),MATCH(AE$5,'Exercise list'!$E$4:$X$4,0)),0)</f>
        <v>0</v>
      </c>
      <c r="AF270">
        <f>IFERROR(INDEX('Exercise list'!$E$5:$X$102,MATCH($C270,'Exercise list'!$C$5:$C$102,0),MATCH(AF$5,'Exercise list'!$E$4:$X$4,0)),0)</f>
        <v>0</v>
      </c>
      <c r="AG270">
        <f>IFERROR(INDEX('Exercise list'!$E$5:$X$102,MATCH($C270,'Exercise list'!$C$5:$C$102,0),MATCH(AG$5,'Exercise list'!$E$4:$X$4,0)),0)</f>
        <v>0</v>
      </c>
      <c r="AH270">
        <f>IFERROR(INDEX('Exercise list'!$E$5:$X$102,MATCH($C270,'Exercise list'!$C$5:$C$102,0),MATCH(AH$5,'Exercise list'!$E$4:$X$4,0)),0)</f>
        <v>0</v>
      </c>
      <c r="AI270">
        <f>IFERROR(INDEX('Exercise list'!$E$5:$X$102,MATCH($C270,'Exercise list'!$C$5:$C$102,0),MATCH(AI$5,'Exercise list'!$E$4:$X$4,0)),0)</f>
        <v>0</v>
      </c>
      <c r="AK270">
        <f>IF(OR($J270=1,COUNTIFS($A$5:$A269,"&gt;="&amp;$A270-1,$A$5:$A269,"&lt;="&amp;$A270,$B$5:$B269,$B270)&gt;0,MIN(1-'Exercise list'!E$2,IF($A270=$A269,AK269,1))-P270&lt;0),-1,MIN(1,IF($A270=$A269,AK269,1)-P270+$D$2))</f>
        <v>1</v>
      </c>
      <c r="AL270">
        <f>IF(OR($J270=1,COUNTIFS($A$5:$A269,"&gt;="&amp;$A270-1,$A$5:$A269,"&lt;="&amp;$A270,$B$5:$B269,$B270)&gt;0,MIN(1-'Exercise list'!F$2,IF($A270=$A269,AL269,1))-Q270&lt;0),-1,MIN(1,IF($A270=$A269,AL269,1)-Q270+$D$2))</f>
        <v>1</v>
      </c>
      <c r="AM270">
        <f>IF(OR($J270=1,COUNTIFS($A$5:$A269,"&gt;="&amp;$A270-1,$A$5:$A269,"&lt;="&amp;$A270,$B$5:$B269,$B270)&gt;0,MIN(1-'Exercise list'!G$2,IF($A270=$A269,AM269,1))-R270&lt;0),-1,MIN(1,IF($A270=$A269,AM269,1)-R270+$D$2))</f>
        <v>1</v>
      </c>
      <c r="AN270">
        <f>IF(OR($J270=1,COUNTIFS($A$5:$A269,"&gt;="&amp;$A270-1,$A$5:$A269,"&lt;="&amp;$A270,$B$5:$B269,$B270)&gt;0,MIN(1-'Exercise list'!H$2,IF($A270=$A269,AN269,1))-S270&lt;0),-1,MIN(1,IF($A270=$A269,AN269,1)-S270+$D$2))</f>
        <v>1</v>
      </c>
      <c r="AO270">
        <f>IF(OR($J270=1,COUNTIFS($A$5:$A269,"&gt;="&amp;$A270-1,$A$5:$A269,"&lt;="&amp;$A270,$B$5:$B269,$B270)&gt;0,MIN(1-'Exercise list'!I$2,IF($A270=$A269,AO269,1))-T270&lt;0),-1,MIN(1,IF($A270=$A269,AO269,1)-T270+$D$2))</f>
        <v>1</v>
      </c>
      <c r="AP270">
        <f>IF(OR($J270=1,COUNTIFS($A$5:$A269,"&gt;="&amp;$A270-1,$A$5:$A269,"&lt;="&amp;$A270,$B$5:$B269,$B270)&gt;0,MIN(1-'Exercise list'!J$2,IF($A270=$A269,AP269,1))-U270&lt;0),-1,MIN(1,IF($A270=$A269,AP269,1)-U270+$D$2))</f>
        <v>1</v>
      </c>
      <c r="AQ270">
        <f>IF(OR($J270=1,COUNTIFS($A$5:$A269,"&gt;="&amp;$A270-1,$A$5:$A269,"&lt;="&amp;$A270,$B$5:$B269,$B270)&gt;0,MIN(1-'Exercise list'!K$2,IF($A270=$A269,AQ269,1))-V270&lt;0),-1,MIN(1,IF($A270=$A269,AQ269,1)-V270+$D$2))</f>
        <v>1</v>
      </c>
      <c r="AR270">
        <f>IF(OR($J270=1,COUNTIFS($A$5:$A269,"&gt;="&amp;$A270-1,$A$5:$A269,"&lt;="&amp;$A270,$B$5:$B269,$B270)&gt;0,MIN(1-'Exercise list'!L$2,IF($A270=$A269,AR269,1))-W270&lt;0),-1,MIN(1,IF($A270=$A269,AR269,1)-W270+$D$2))</f>
        <v>1</v>
      </c>
      <c r="AS270">
        <f>IF(OR($J270=1,COUNTIFS($A$5:$A269,"&gt;="&amp;$A270-1,$A$5:$A269,"&lt;="&amp;$A270,$B$5:$B269,$B270)&gt;0,MIN(1-'Exercise list'!M$2,IF($A270=$A269,AS269,1))-X270&lt;0),-1,MIN(1,IF($A270=$A269,AS269,1)-X270+$D$2))</f>
        <v>1</v>
      </c>
      <c r="AT270">
        <f>IF(OR($J270=1,COUNTIFS($A$5:$A269,"&gt;="&amp;$A270-1,$A$5:$A269,"&lt;="&amp;$A270,$B$5:$B269,$B270)&gt;0,MIN(1-'Exercise list'!N$2,IF($A270=$A269,AT269,1))-Y270&lt;0),-1,MIN(1,IF($A270=$A269,AT269,1)-Y270+$D$2))</f>
        <v>1</v>
      </c>
      <c r="AU270">
        <f>IF(OR($J270=1,COUNTIFS($A$5:$A269,"&gt;="&amp;$A270-1,$A$5:$A269,"&lt;="&amp;$A270,$B$5:$B269,$B270)&gt;0,MIN(1-'Exercise list'!O$2,IF($A270=$A269,AU269,1))-Z270&lt;0),-1,MIN(1,IF($A270=$A269,AU269,1)-Z270+$D$2))</f>
        <v>1</v>
      </c>
      <c r="AV270">
        <f>IF(OR($J270=1,COUNTIFS($A$5:$A269,"&gt;="&amp;$A270-1,$A$5:$A269,"&lt;="&amp;$A270,$B$5:$B269,$B270)&gt;0,MIN(1-'Exercise list'!P$2,IF($A270=$A269,AV269,1))-AA270&lt;0),-1,MIN(1,IF($A270=$A269,AV269,1)-AA270+$D$2))</f>
        <v>1</v>
      </c>
      <c r="AW270">
        <f>IF(OR($J270=1,COUNTIFS($A$5:$A269,"&gt;="&amp;$A270-1,$A$5:$A269,"&lt;="&amp;$A270,$B$5:$B269,$B270)&gt;0,MIN(1-'Exercise list'!Q$2,IF($A270=$A269,AW269,1))-AB270&lt;0),-1,MIN(1,IF($A270=$A269,AW269,1)-AB270+$D$2))</f>
        <v>1</v>
      </c>
      <c r="AX270">
        <f>IF(OR($J270=1,COUNTIFS($A$5:$A269,"&gt;="&amp;$A270-1,$A$5:$A269,"&lt;="&amp;$A270,$B$5:$B269,$B270)&gt;0,MIN(1-'Exercise list'!R$2,IF($A270=$A269,AX269,1))-AC270&lt;0),-1,MIN(1,IF($A270=$A269,AX269,1)-AC270+$D$2))</f>
        <v>1</v>
      </c>
      <c r="AY270">
        <f>IF(OR($J270=1,COUNTIFS($A$5:$A269,"&gt;="&amp;$A270-1,$A$5:$A269,"&lt;="&amp;$A270,$B$5:$B269,$B270)&gt;0,MIN(1-'Exercise list'!S$2,IF($A270=$A269,AY269,1))-AD270&lt;0),-1,MIN(1,IF($A270=$A269,AY269,1)-AD270+$D$2))</f>
        <v>1</v>
      </c>
      <c r="AZ270">
        <f>IF(OR($J270=1,COUNTIFS($A$5:$A269,"&gt;="&amp;$A270-1,$A$5:$A269,"&lt;="&amp;$A270,$B$5:$B269,$B270)&gt;0,MIN(1-'Exercise list'!T$2,IF($A270=$A269,AZ269,1))-AE270&lt;0),-1,MIN(1,IF($A270=$A269,AZ269,1)-AE270+$D$2))</f>
        <v>1</v>
      </c>
      <c r="BA270">
        <f>IF(OR($J270=1,COUNTIFS($A$5:$A269,"&gt;="&amp;$A270-1,$A$5:$A269,"&lt;="&amp;$A270,$B$5:$B269,$B270)&gt;0,MIN(1-'Exercise list'!U$2,IF($A270=$A269,BA269,1))-AF270&lt;0),-1,MIN(1,IF($A270=$A269,BA269,1)-AF270+$D$2))</f>
        <v>1</v>
      </c>
      <c r="BB270">
        <f>IF(OR($J270=1,COUNTIFS($A$5:$A269,"&gt;="&amp;$A270-1,$A$5:$A269,"&lt;="&amp;$A270,$B$5:$B269,$B270)&gt;0,MIN(1-'Exercise list'!V$2,IF($A270=$A269,BB269,1))-AG270&lt;0),-1,MIN(1,IF($A270=$A269,BB269,1)-AG270+$D$2))</f>
        <v>1</v>
      </c>
      <c r="BC270">
        <f>IF(OR($J270=1,COUNTIFS($A$5:$A269,"&gt;="&amp;$A270-1,$A$5:$A269,"&lt;="&amp;$A270,$B$5:$B269,$B270)&gt;0,MIN(1-'Exercise list'!W$2,IF($A270=$A269,BC269,1))-AH270&lt;0),-1,MIN(1,IF($A270=$A269,BC269,1)-AH270+$D$2))</f>
        <v>1</v>
      </c>
      <c r="BD270">
        <f>IF(OR($J270=1,COUNTIFS($A$5:$A269,"&gt;="&amp;$A270-1,$A$5:$A269,"&lt;="&amp;$A270,$B$5:$B269,$B270)&gt;0,MIN(1-'Exercise list'!X$2,IF($A270=$A269,BD269,1))-AI270&lt;0),-1,MIN(1,IF($A270=$A269,BD269,1)-AI270+$D$2))</f>
        <v>1</v>
      </c>
      <c r="BF270" s="16">
        <f t="shared" si="189"/>
        <v>0.19596031081758858</v>
      </c>
      <c r="BG270" s="16">
        <f t="shared" si="190"/>
        <v>0.21844636935459236</v>
      </c>
      <c r="BH270" s="16">
        <f t="shared" si="191"/>
        <v>0.14609696635987124</v>
      </c>
      <c r="BI270" s="16">
        <f t="shared" si="192"/>
        <v>0.13198015366034541</v>
      </c>
      <c r="BJ270" s="16">
        <f t="shared" si="193"/>
        <v>8.3367914198418713E-2</v>
      </c>
      <c r="BK270" s="16">
        <f t="shared" si="194"/>
        <v>0.10640640223148412</v>
      </c>
      <c r="BL270" s="16">
        <f t="shared" si="195"/>
        <v>0.21963504743569431</v>
      </c>
      <c r="BM270" s="16">
        <f t="shared" si="196"/>
        <v>3.8988008374820568E-3</v>
      </c>
      <c r="BN270" s="16">
        <f t="shared" si="197"/>
        <v>0.14537706087090876</v>
      </c>
      <c r="BO270" s="16">
        <f t="shared" si="198"/>
        <v>0.29209790661993401</v>
      </c>
      <c r="BP270" s="16">
        <f t="shared" si="199"/>
        <v>0.31584545163401867</v>
      </c>
      <c r="BQ270" s="16">
        <f t="shared" si="200"/>
        <v>0.1000007994126096</v>
      </c>
      <c r="BR270" s="16">
        <f t="shared" si="201"/>
        <v>0.13164487759885393</v>
      </c>
      <c r="BS270" s="16">
        <f t="shared" si="202"/>
        <v>2.9803550189863123E-2</v>
      </c>
      <c r="BT270" s="16">
        <f t="shared" si="203"/>
        <v>0.13492040904978705</v>
      </c>
      <c r="BU270" s="16">
        <f t="shared" si="204"/>
        <v>0.11703687414398131</v>
      </c>
      <c r="BV270" s="16">
        <f t="shared" si="205"/>
        <v>0.14633353213781661</v>
      </c>
      <c r="BW270" s="16">
        <f t="shared" si="206"/>
        <v>7.5588015111767173E-2</v>
      </c>
      <c r="BX270" s="16">
        <f t="shared" si="207"/>
        <v>8.0345659937185704E-2</v>
      </c>
      <c r="BY270" s="16">
        <f t="shared" si="208"/>
        <v>5.9014643151272549E-2</v>
      </c>
      <c r="CA270" s="16" t="str">
        <f t="shared" si="229"/>
        <v/>
      </c>
      <c r="CB270" s="16" t="str">
        <f t="shared" si="210"/>
        <v/>
      </c>
      <c r="CC270" s="16" t="str">
        <f t="shared" si="211"/>
        <v/>
      </c>
      <c r="CD270" s="16" t="str">
        <f t="shared" si="212"/>
        <v/>
      </c>
      <c r="CE270" s="16" t="str">
        <f t="shared" si="213"/>
        <v/>
      </c>
      <c r="CF270" s="16" t="str">
        <f t="shared" si="214"/>
        <v/>
      </c>
      <c r="CG270" s="16" t="str">
        <f t="shared" si="215"/>
        <v/>
      </c>
      <c r="CH270" s="16" t="str">
        <f t="shared" si="216"/>
        <v/>
      </c>
      <c r="CI270" s="16" t="str">
        <f t="shared" si="217"/>
        <v/>
      </c>
      <c r="CJ270" s="16" t="str">
        <f t="shared" si="218"/>
        <v/>
      </c>
      <c r="CK270" s="16" t="str">
        <f t="shared" si="219"/>
        <v/>
      </c>
      <c r="CL270" s="16" t="str">
        <f t="shared" si="220"/>
        <v/>
      </c>
      <c r="CM270" s="16" t="str">
        <f t="shared" si="221"/>
        <v/>
      </c>
      <c r="CN270" s="16" t="str">
        <f t="shared" si="222"/>
        <v/>
      </c>
      <c r="CO270" s="16" t="str">
        <f t="shared" si="223"/>
        <v/>
      </c>
      <c r="CP270" s="16" t="str">
        <f t="shared" si="224"/>
        <v/>
      </c>
      <c r="CQ270" s="16" t="str">
        <f t="shared" si="225"/>
        <v/>
      </c>
      <c r="CR270" s="16" t="str">
        <f t="shared" si="226"/>
        <v/>
      </c>
      <c r="CS270" s="16" t="str">
        <f t="shared" si="227"/>
        <v/>
      </c>
      <c r="CT270" s="16" t="str">
        <f t="shared" si="228"/>
        <v/>
      </c>
    </row>
    <row r="271" spans="1:99" x14ac:dyDescent="0.25">
      <c r="A271" s="13"/>
      <c r="B271" s="14"/>
      <c r="C271" s="15" t="str" cm="1">
        <f t="array" ref="C271">IF(B271="","",INDEX('Exercise list'!$C$5:$C$102,B271))</f>
        <v/>
      </c>
      <c r="D271" s="12" t="str">
        <f t="shared" si="186"/>
        <v/>
      </c>
      <c r="E271" s="107" t="str">
        <f t="shared" si="209"/>
        <v/>
      </c>
      <c r="F271" s="63" t="str" cm="1">
        <f t="array" ref="F271">IF(B271="","",0.1+IFERROR(INDEX($F$6:$F270,SUMPRODUCT(MAX(ROW($C$6:$C270)*($C271=$C$6:$C270))-ROW($A$5)))*0.9^($A271-INDEX($A$6:A270,SUMPRODUCT(MAX(ROW($C$6:$C270)*($C271=$C$6:$C270))-ROW($A$5)))),0))</f>
        <v/>
      </c>
      <c r="G271" s="64" t="e">
        <f>INDEX('Exercise list'!$Y$5:$Y$102,MATCH(C271,'Exercise list'!$C$5:$C$102,0))</f>
        <v>#N/A</v>
      </c>
      <c r="H271" s="115">
        <f t="shared" si="187"/>
        <v>0</v>
      </c>
      <c r="I271" s="6">
        <f t="shared" si="188"/>
        <v>5</v>
      </c>
      <c r="J271" s="6" t="str" cm="1">
        <f t="array" ref="J271">IF(B271="","",INDEX('Exercise list'!$D$5:$D$102,B271))</f>
        <v/>
      </c>
      <c r="K271" s="12"/>
      <c r="L271" s="74" t="str" cm="1">
        <f t="array" ref="L271">IF(K271="","",INDEX('Exercise list'!$C$5:$C$102,K271))</f>
        <v/>
      </c>
      <c r="M271" s="6"/>
      <c r="N271" s="75" t="str" cm="1">
        <f t="array" ref="N271">IF(M271="","",INDEX('Exercise list'!$C$5:$C$102,M271))</f>
        <v/>
      </c>
      <c r="P271">
        <f>IFERROR(INDEX('Exercise list'!$E$5:$X$102,MATCH($C271,'Exercise list'!$C$5:$C$102,0),MATCH(P$5,'Exercise list'!$E$4:$X$4,0)),0)</f>
        <v>0</v>
      </c>
      <c r="Q271">
        <f>IFERROR(INDEX('Exercise list'!$E$5:$X$102,MATCH($C271,'Exercise list'!$C$5:$C$102,0),MATCH(Q$5,'Exercise list'!$E$4:$X$4,0)),0)</f>
        <v>0</v>
      </c>
      <c r="R271">
        <f>IFERROR(INDEX('Exercise list'!$E$5:$X$102,MATCH($C271,'Exercise list'!$C$5:$C$102,0),MATCH(R$5,'Exercise list'!$E$4:$X$4,0)),0)</f>
        <v>0</v>
      </c>
      <c r="S271">
        <f>IFERROR(INDEX('Exercise list'!$E$5:$X$102,MATCH($C271,'Exercise list'!$C$5:$C$102,0),MATCH(S$5,'Exercise list'!$E$4:$X$4,0)),0)</f>
        <v>0</v>
      </c>
      <c r="T271">
        <f>IFERROR(INDEX('Exercise list'!$E$5:$X$102,MATCH($C271,'Exercise list'!$C$5:$C$102,0),MATCH(T$5,'Exercise list'!$E$4:$X$4,0)),0)</f>
        <v>0</v>
      </c>
      <c r="U271">
        <f>IFERROR(INDEX('Exercise list'!$E$5:$X$102,MATCH($C271,'Exercise list'!$C$5:$C$102,0),MATCH(U$5,'Exercise list'!$E$4:$X$4,0)),0)</f>
        <v>0</v>
      </c>
      <c r="V271">
        <f>IFERROR(INDEX('Exercise list'!$E$5:$X$102,MATCH($C271,'Exercise list'!$C$5:$C$102,0),MATCH(V$5,'Exercise list'!$E$4:$X$4,0)),0)</f>
        <v>0</v>
      </c>
      <c r="W271">
        <f>IFERROR(INDEX('Exercise list'!$E$5:$X$102,MATCH($C271,'Exercise list'!$C$5:$C$102,0),MATCH(W$5,'Exercise list'!$E$4:$X$4,0)),0)</f>
        <v>0</v>
      </c>
      <c r="X271">
        <f>IFERROR(INDEX('Exercise list'!$E$5:$X$102,MATCH($C271,'Exercise list'!$C$5:$C$102,0),MATCH(X$5,'Exercise list'!$E$4:$X$4,0)),0)</f>
        <v>0</v>
      </c>
      <c r="Y271">
        <f>IFERROR(INDEX('Exercise list'!$E$5:$X$102,MATCH($C271,'Exercise list'!$C$5:$C$102,0),MATCH(Y$5,'Exercise list'!$E$4:$X$4,0)),0)</f>
        <v>0</v>
      </c>
      <c r="Z271">
        <f>IFERROR(INDEX('Exercise list'!$E$5:$X$102,MATCH($C271,'Exercise list'!$C$5:$C$102,0),MATCH(Z$5,'Exercise list'!$E$4:$X$4,0)),0)</f>
        <v>0</v>
      </c>
      <c r="AA271">
        <f>IFERROR(INDEX('Exercise list'!$E$5:$X$102,MATCH($C271,'Exercise list'!$C$5:$C$102,0),MATCH(AA$5,'Exercise list'!$E$4:$X$4,0)),0)</f>
        <v>0</v>
      </c>
      <c r="AB271">
        <f>IFERROR(INDEX('Exercise list'!$E$5:$X$102,MATCH($C271,'Exercise list'!$C$5:$C$102,0),MATCH(AB$5,'Exercise list'!$E$4:$X$4,0)),0)</f>
        <v>0</v>
      </c>
      <c r="AC271">
        <f>IFERROR(INDEX('Exercise list'!$E$5:$X$102,MATCH($C271,'Exercise list'!$C$5:$C$102,0),MATCH(AC$5,'Exercise list'!$E$4:$X$4,0)),0)</f>
        <v>0</v>
      </c>
      <c r="AD271">
        <f>IFERROR(INDEX('Exercise list'!$E$5:$X$102,MATCH($C271,'Exercise list'!$C$5:$C$102,0),MATCH(AD$5,'Exercise list'!$E$4:$X$4,0)),0)</f>
        <v>0</v>
      </c>
      <c r="AE271">
        <f>IFERROR(INDEX('Exercise list'!$E$5:$X$102,MATCH($C271,'Exercise list'!$C$5:$C$102,0),MATCH(AE$5,'Exercise list'!$E$4:$X$4,0)),0)</f>
        <v>0</v>
      </c>
      <c r="AF271">
        <f>IFERROR(INDEX('Exercise list'!$E$5:$X$102,MATCH($C271,'Exercise list'!$C$5:$C$102,0),MATCH(AF$5,'Exercise list'!$E$4:$X$4,0)),0)</f>
        <v>0</v>
      </c>
      <c r="AG271">
        <f>IFERROR(INDEX('Exercise list'!$E$5:$X$102,MATCH($C271,'Exercise list'!$C$5:$C$102,0),MATCH(AG$5,'Exercise list'!$E$4:$X$4,0)),0)</f>
        <v>0</v>
      </c>
      <c r="AH271">
        <f>IFERROR(INDEX('Exercise list'!$E$5:$X$102,MATCH($C271,'Exercise list'!$C$5:$C$102,0),MATCH(AH$5,'Exercise list'!$E$4:$X$4,0)),0)</f>
        <v>0</v>
      </c>
      <c r="AI271">
        <f>IFERROR(INDEX('Exercise list'!$E$5:$X$102,MATCH($C271,'Exercise list'!$C$5:$C$102,0),MATCH(AI$5,'Exercise list'!$E$4:$X$4,0)),0)</f>
        <v>0</v>
      </c>
      <c r="AK271">
        <f>IF(OR($J271=1,COUNTIFS($A$5:$A270,"&gt;="&amp;$A271-1,$A$5:$A270,"&lt;="&amp;$A271,$B$5:$B270,$B271)&gt;0,MIN(1-'Exercise list'!E$2,IF($A271=$A270,AK270,1))-P271&lt;0),-1,MIN(1,IF($A271=$A270,AK270,1)-P271+$D$2))</f>
        <v>1</v>
      </c>
      <c r="AL271">
        <f>IF(OR($J271=1,COUNTIFS($A$5:$A270,"&gt;="&amp;$A271-1,$A$5:$A270,"&lt;="&amp;$A271,$B$5:$B270,$B271)&gt;0,MIN(1-'Exercise list'!F$2,IF($A271=$A270,AL270,1))-Q271&lt;0),-1,MIN(1,IF($A271=$A270,AL270,1)-Q271+$D$2))</f>
        <v>1</v>
      </c>
      <c r="AM271">
        <f>IF(OR($J271=1,COUNTIFS($A$5:$A270,"&gt;="&amp;$A271-1,$A$5:$A270,"&lt;="&amp;$A271,$B$5:$B270,$B271)&gt;0,MIN(1-'Exercise list'!G$2,IF($A271=$A270,AM270,1))-R271&lt;0),-1,MIN(1,IF($A271=$A270,AM270,1)-R271+$D$2))</f>
        <v>1</v>
      </c>
      <c r="AN271">
        <f>IF(OR($J271=1,COUNTIFS($A$5:$A270,"&gt;="&amp;$A271-1,$A$5:$A270,"&lt;="&amp;$A271,$B$5:$B270,$B271)&gt;0,MIN(1-'Exercise list'!H$2,IF($A271=$A270,AN270,1))-S271&lt;0),-1,MIN(1,IF($A271=$A270,AN270,1)-S271+$D$2))</f>
        <v>1</v>
      </c>
      <c r="AO271">
        <f>IF(OR($J271=1,COUNTIFS($A$5:$A270,"&gt;="&amp;$A271-1,$A$5:$A270,"&lt;="&amp;$A271,$B$5:$B270,$B271)&gt;0,MIN(1-'Exercise list'!I$2,IF($A271=$A270,AO270,1))-T271&lt;0),-1,MIN(1,IF($A271=$A270,AO270,1)-T271+$D$2))</f>
        <v>1</v>
      </c>
      <c r="AP271">
        <f>IF(OR($J271=1,COUNTIFS($A$5:$A270,"&gt;="&amp;$A271-1,$A$5:$A270,"&lt;="&amp;$A271,$B$5:$B270,$B271)&gt;0,MIN(1-'Exercise list'!J$2,IF($A271=$A270,AP270,1))-U271&lt;0),-1,MIN(1,IF($A271=$A270,AP270,1)-U271+$D$2))</f>
        <v>1</v>
      </c>
      <c r="AQ271">
        <f>IF(OR($J271=1,COUNTIFS($A$5:$A270,"&gt;="&amp;$A271-1,$A$5:$A270,"&lt;="&amp;$A271,$B$5:$B270,$B271)&gt;0,MIN(1-'Exercise list'!K$2,IF($A271=$A270,AQ270,1))-V271&lt;0),-1,MIN(1,IF($A271=$A270,AQ270,1)-V271+$D$2))</f>
        <v>1</v>
      </c>
      <c r="AR271">
        <f>IF(OR($J271=1,COUNTIFS($A$5:$A270,"&gt;="&amp;$A271-1,$A$5:$A270,"&lt;="&amp;$A271,$B$5:$B270,$B271)&gt;0,MIN(1-'Exercise list'!L$2,IF($A271=$A270,AR270,1))-W271&lt;0),-1,MIN(1,IF($A271=$A270,AR270,1)-W271+$D$2))</f>
        <v>1</v>
      </c>
      <c r="AS271">
        <f>IF(OR($J271=1,COUNTIFS($A$5:$A270,"&gt;="&amp;$A271-1,$A$5:$A270,"&lt;="&amp;$A271,$B$5:$B270,$B271)&gt;0,MIN(1-'Exercise list'!M$2,IF($A271=$A270,AS270,1))-X271&lt;0),-1,MIN(1,IF($A271=$A270,AS270,1)-X271+$D$2))</f>
        <v>1</v>
      </c>
      <c r="AT271">
        <f>IF(OR($J271=1,COUNTIFS($A$5:$A270,"&gt;="&amp;$A271-1,$A$5:$A270,"&lt;="&amp;$A271,$B$5:$B270,$B271)&gt;0,MIN(1-'Exercise list'!N$2,IF($A271=$A270,AT270,1))-Y271&lt;0),-1,MIN(1,IF($A271=$A270,AT270,1)-Y271+$D$2))</f>
        <v>1</v>
      </c>
      <c r="AU271">
        <f>IF(OR($J271=1,COUNTIFS($A$5:$A270,"&gt;="&amp;$A271-1,$A$5:$A270,"&lt;="&amp;$A271,$B$5:$B270,$B271)&gt;0,MIN(1-'Exercise list'!O$2,IF($A271=$A270,AU270,1))-Z271&lt;0),-1,MIN(1,IF($A271=$A270,AU270,1)-Z271+$D$2))</f>
        <v>1</v>
      </c>
      <c r="AV271">
        <f>IF(OR($J271=1,COUNTIFS($A$5:$A270,"&gt;="&amp;$A271-1,$A$5:$A270,"&lt;="&amp;$A271,$B$5:$B270,$B271)&gt;0,MIN(1-'Exercise list'!P$2,IF($A271=$A270,AV270,1))-AA271&lt;0),-1,MIN(1,IF($A271=$A270,AV270,1)-AA271+$D$2))</f>
        <v>1</v>
      </c>
      <c r="AW271">
        <f>IF(OR($J271=1,COUNTIFS($A$5:$A270,"&gt;="&amp;$A271-1,$A$5:$A270,"&lt;="&amp;$A271,$B$5:$B270,$B271)&gt;0,MIN(1-'Exercise list'!Q$2,IF($A271=$A270,AW270,1))-AB271&lt;0),-1,MIN(1,IF($A271=$A270,AW270,1)-AB271+$D$2))</f>
        <v>1</v>
      </c>
      <c r="AX271">
        <f>IF(OR($J271=1,COUNTIFS($A$5:$A270,"&gt;="&amp;$A271-1,$A$5:$A270,"&lt;="&amp;$A271,$B$5:$B270,$B271)&gt;0,MIN(1-'Exercise list'!R$2,IF($A271=$A270,AX270,1))-AC271&lt;0),-1,MIN(1,IF($A271=$A270,AX270,1)-AC271+$D$2))</f>
        <v>1</v>
      </c>
      <c r="AY271">
        <f>IF(OR($J271=1,COUNTIFS($A$5:$A270,"&gt;="&amp;$A271-1,$A$5:$A270,"&lt;="&amp;$A271,$B$5:$B270,$B271)&gt;0,MIN(1-'Exercise list'!S$2,IF($A271=$A270,AY270,1))-AD271&lt;0),-1,MIN(1,IF($A271=$A270,AY270,1)-AD271+$D$2))</f>
        <v>1</v>
      </c>
      <c r="AZ271">
        <f>IF(OR($J271=1,COUNTIFS($A$5:$A270,"&gt;="&amp;$A271-1,$A$5:$A270,"&lt;="&amp;$A271,$B$5:$B270,$B271)&gt;0,MIN(1-'Exercise list'!T$2,IF($A271=$A270,AZ270,1))-AE271&lt;0),-1,MIN(1,IF($A271=$A270,AZ270,1)-AE271+$D$2))</f>
        <v>1</v>
      </c>
      <c r="BA271">
        <f>IF(OR($J271=1,COUNTIFS($A$5:$A270,"&gt;="&amp;$A271-1,$A$5:$A270,"&lt;="&amp;$A271,$B$5:$B270,$B271)&gt;0,MIN(1-'Exercise list'!U$2,IF($A271=$A270,BA270,1))-AF271&lt;0),-1,MIN(1,IF($A271=$A270,BA270,1)-AF271+$D$2))</f>
        <v>1</v>
      </c>
      <c r="BB271">
        <f>IF(OR($J271=1,COUNTIFS($A$5:$A270,"&gt;="&amp;$A271-1,$A$5:$A270,"&lt;="&amp;$A271,$B$5:$B270,$B271)&gt;0,MIN(1-'Exercise list'!V$2,IF($A271=$A270,BB270,1))-AG271&lt;0),-1,MIN(1,IF($A271=$A270,BB270,1)-AG271+$D$2))</f>
        <v>1</v>
      </c>
      <c r="BC271">
        <f>IF(OR($J271=1,COUNTIFS($A$5:$A270,"&gt;="&amp;$A271-1,$A$5:$A270,"&lt;="&amp;$A271,$B$5:$B270,$B271)&gt;0,MIN(1-'Exercise list'!W$2,IF($A271=$A270,BC270,1))-AH271&lt;0),-1,MIN(1,IF($A271=$A270,BC270,1)-AH271+$D$2))</f>
        <v>1</v>
      </c>
      <c r="BD271">
        <f>IF(OR($J271=1,COUNTIFS($A$5:$A270,"&gt;="&amp;$A271-1,$A$5:$A270,"&lt;="&amp;$A271,$B$5:$B270,$B271)&gt;0,MIN(1-'Exercise list'!X$2,IF($A271=$A270,BD270,1))-AI271&lt;0),-1,MIN(1,IF($A271=$A270,BD270,1)-AI271+$D$2))</f>
        <v>1</v>
      </c>
      <c r="BF271" s="16">
        <f t="shared" si="189"/>
        <v>0.19596031081758858</v>
      </c>
      <c r="BG271" s="16">
        <f t="shared" si="190"/>
        <v>0.21844636935459236</v>
      </c>
      <c r="BH271" s="16">
        <f t="shared" si="191"/>
        <v>0.14609696635987124</v>
      </c>
      <c r="BI271" s="16">
        <f t="shared" si="192"/>
        <v>0.13198015366034541</v>
      </c>
      <c r="BJ271" s="16">
        <f t="shared" si="193"/>
        <v>8.3367914198418713E-2</v>
      </c>
      <c r="BK271" s="16">
        <f t="shared" si="194"/>
        <v>0.10640640223148412</v>
      </c>
      <c r="BL271" s="16">
        <f t="shared" si="195"/>
        <v>0.21963504743569431</v>
      </c>
      <c r="BM271" s="16">
        <f t="shared" si="196"/>
        <v>3.8988008374820568E-3</v>
      </c>
      <c r="BN271" s="16">
        <f t="shared" si="197"/>
        <v>0.14537706087090876</v>
      </c>
      <c r="BO271" s="16">
        <f t="shared" si="198"/>
        <v>0.29209790661993401</v>
      </c>
      <c r="BP271" s="16">
        <f t="shared" si="199"/>
        <v>0.31584545163401867</v>
      </c>
      <c r="BQ271" s="16">
        <f t="shared" si="200"/>
        <v>0.1000007994126096</v>
      </c>
      <c r="BR271" s="16">
        <f t="shared" si="201"/>
        <v>0.13164487759885393</v>
      </c>
      <c r="BS271" s="16">
        <f t="shared" si="202"/>
        <v>2.9803550189863123E-2</v>
      </c>
      <c r="BT271" s="16">
        <f t="shared" si="203"/>
        <v>0.13492040904978705</v>
      </c>
      <c r="BU271" s="16">
        <f t="shared" si="204"/>
        <v>0.11703687414398131</v>
      </c>
      <c r="BV271" s="16">
        <f t="shared" si="205"/>
        <v>0.14633353213781661</v>
      </c>
      <c r="BW271" s="16">
        <f t="shared" si="206"/>
        <v>7.5588015111767173E-2</v>
      </c>
      <c r="BX271" s="16">
        <f t="shared" si="207"/>
        <v>8.0345659937185704E-2</v>
      </c>
      <c r="BY271" s="16">
        <f t="shared" si="208"/>
        <v>5.9014643151272549E-2</v>
      </c>
      <c r="CA271" s="16" t="str">
        <f t="shared" si="229"/>
        <v/>
      </c>
      <c r="CB271" s="16" t="str">
        <f t="shared" si="210"/>
        <v/>
      </c>
      <c r="CC271" s="16" t="str">
        <f t="shared" si="211"/>
        <v/>
      </c>
      <c r="CD271" s="16" t="str">
        <f t="shared" si="212"/>
        <v/>
      </c>
      <c r="CE271" s="16" t="str">
        <f t="shared" si="213"/>
        <v/>
      </c>
      <c r="CF271" s="16" t="str">
        <f t="shared" si="214"/>
        <v/>
      </c>
      <c r="CG271" s="16" t="str">
        <f t="shared" si="215"/>
        <v/>
      </c>
      <c r="CH271" s="16" t="str">
        <f t="shared" si="216"/>
        <v/>
      </c>
      <c r="CI271" s="16" t="str">
        <f t="shared" si="217"/>
        <v/>
      </c>
      <c r="CJ271" s="16" t="str">
        <f t="shared" si="218"/>
        <v/>
      </c>
      <c r="CK271" s="16" t="str">
        <f t="shared" si="219"/>
        <v/>
      </c>
      <c r="CL271" s="16" t="str">
        <f t="shared" si="220"/>
        <v/>
      </c>
      <c r="CM271" s="16" t="str">
        <f t="shared" si="221"/>
        <v/>
      </c>
      <c r="CN271" s="16" t="str">
        <f t="shared" si="222"/>
        <v/>
      </c>
      <c r="CO271" s="16" t="str">
        <f t="shared" si="223"/>
        <v/>
      </c>
      <c r="CP271" s="16" t="str">
        <f t="shared" si="224"/>
        <v/>
      </c>
      <c r="CQ271" s="16" t="str">
        <f t="shared" si="225"/>
        <v/>
      </c>
      <c r="CR271" s="16" t="str">
        <f t="shared" si="226"/>
        <v/>
      </c>
      <c r="CS271" s="16" t="str">
        <f t="shared" si="227"/>
        <v/>
      </c>
      <c r="CT271" s="16" t="str">
        <f t="shared" si="228"/>
        <v/>
      </c>
    </row>
    <row r="272" spans="1:99" x14ac:dyDescent="0.25">
      <c r="A272" s="13"/>
      <c r="B272" s="14"/>
      <c r="C272" s="15" t="str" cm="1">
        <f t="array" ref="C272">IF(B272="","",INDEX('Exercise list'!$C$5:$C$102,B272))</f>
        <v/>
      </c>
      <c r="D272" s="12" t="str">
        <f t="shared" si="186"/>
        <v/>
      </c>
      <c r="E272" s="107" t="str">
        <f t="shared" si="209"/>
        <v/>
      </c>
      <c r="F272" s="63" t="str" cm="1">
        <f t="array" ref="F272">IF(B272="","",0.1+IFERROR(INDEX($F$6:$F271,SUMPRODUCT(MAX(ROW($C$6:$C271)*($C272=$C$6:$C271))-ROW($A$5)))*0.9^($A272-INDEX($A$6:A271,SUMPRODUCT(MAX(ROW($C$6:$C271)*($C272=$C$6:$C271))-ROW($A$5)))),0))</f>
        <v/>
      </c>
      <c r="G272" s="64" t="e">
        <f>INDEX('Exercise list'!$Y$5:$Y$102,MATCH(C272,'Exercise list'!$C$5:$C$102,0))</f>
        <v>#N/A</v>
      </c>
      <c r="H272" s="115">
        <f t="shared" si="187"/>
        <v>0</v>
      </c>
      <c r="I272" s="6">
        <f t="shared" si="188"/>
        <v>5</v>
      </c>
      <c r="J272" s="6" t="str" cm="1">
        <f t="array" ref="J272">IF(B272="","",INDEX('Exercise list'!$D$5:$D$102,B272))</f>
        <v/>
      </c>
      <c r="K272" s="12"/>
      <c r="L272" s="74" t="str" cm="1">
        <f t="array" ref="L272">IF(K272="","",INDEX('Exercise list'!$C$5:$C$102,K272))</f>
        <v/>
      </c>
      <c r="M272" s="6"/>
      <c r="N272" s="75" t="str" cm="1">
        <f t="array" ref="N272">IF(M272="","",INDEX('Exercise list'!$C$5:$C$102,M272))</f>
        <v/>
      </c>
      <c r="P272">
        <f>IFERROR(INDEX('Exercise list'!$E$5:$X$102,MATCH($C272,'Exercise list'!$C$5:$C$102,0),MATCH(P$5,'Exercise list'!$E$4:$X$4,0)),0)</f>
        <v>0</v>
      </c>
      <c r="Q272">
        <f>IFERROR(INDEX('Exercise list'!$E$5:$X$102,MATCH($C272,'Exercise list'!$C$5:$C$102,0),MATCH(Q$5,'Exercise list'!$E$4:$X$4,0)),0)</f>
        <v>0</v>
      </c>
      <c r="R272">
        <f>IFERROR(INDEX('Exercise list'!$E$5:$X$102,MATCH($C272,'Exercise list'!$C$5:$C$102,0),MATCH(R$5,'Exercise list'!$E$4:$X$4,0)),0)</f>
        <v>0</v>
      </c>
      <c r="S272">
        <f>IFERROR(INDEX('Exercise list'!$E$5:$X$102,MATCH($C272,'Exercise list'!$C$5:$C$102,0),MATCH(S$5,'Exercise list'!$E$4:$X$4,0)),0)</f>
        <v>0</v>
      </c>
      <c r="T272">
        <f>IFERROR(INDEX('Exercise list'!$E$5:$X$102,MATCH($C272,'Exercise list'!$C$5:$C$102,0),MATCH(T$5,'Exercise list'!$E$4:$X$4,0)),0)</f>
        <v>0</v>
      </c>
      <c r="U272">
        <f>IFERROR(INDEX('Exercise list'!$E$5:$X$102,MATCH($C272,'Exercise list'!$C$5:$C$102,0),MATCH(U$5,'Exercise list'!$E$4:$X$4,0)),0)</f>
        <v>0</v>
      </c>
      <c r="V272">
        <f>IFERROR(INDEX('Exercise list'!$E$5:$X$102,MATCH($C272,'Exercise list'!$C$5:$C$102,0),MATCH(V$5,'Exercise list'!$E$4:$X$4,0)),0)</f>
        <v>0</v>
      </c>
      <c r="W272">
        <f>IFERROR(INDEX('Exercise list'!$E$5:$X$102,MATCH($C272,'Exercise list'!$C$5:$C$102,0),MATCH(W$5,'Exercise list'!$E$4:$X$4,0)),0)</f>
        <v>0</v>
      </c>
      <c r="X272">
        <f>IFERROR(INDEX('Exercise list'!$E$5:$X$102,MATCH($C272,'Exercise list'!$C$5:$C$102,0),MATCH(X$5,'Exercise list'!$E$4:$X$4,0)),0)</f>
        <v>0</v>
      </c>
      <c r="Y272">
        <f>IFERROR(INDEX('Exercise list'!$E$5:$X$102,MATCH($C272,'Exercise list'!$C$5:$C$102,0),MATCH(Y$5,'Exercise list'!$E$4:$X$4,0)),0)</f>
        <v>0</v>
      </c>
      <c r="Z272">
        <f>IFERROR(INDEX('Exercise list'!$E$5:$X$102,MATCH($C272,'Exercise list'!$C$5:$C$102,0),MATCH(Z$5,'Exercise list'!$E$4:$X$4,0)),0)</f>
        <v>0</v>
      </c>
      <c r="AA272">
        <f>IFERROR(INDEX('Exercise list'!$E$5:$X$102,MATCH($C272,'Exercise list'!$C$5:$C$102,0),MATCH(AA$5,'Exercise list'!$E$4:$X$4,0)),0)</f>
        <v>0</v>
      </c>
      <c r="AB272">
        <f>IFERROR(INDEX('Exercise list'!$E$5:$X$102,MATCH($C272,'Exercise list'!$C$5:$C$102,0),MATCH(AB$5,'Exercise list'!$E$4:$X$4,0)),0)</f>
        <v>0</v>
      </c>
      <c r="AC272">
        <f>IFERROR(INDEX('Exercise list'!$E$5:$X$102,MATCH($C272,'Exercise list'!$C$5:$C$102,0),MATCH(AC$5,'Exercise list'!$E$4:$X$4,0)),0)</f>
        <v>0</v>
      </c>
      <c r="AD272">
        <f>IFERROR(INDEX('Exercise list'!$E$5:$X$102,MATCH($C272,'Exercise list'!$C$5:$C$102,0),MATCH(AD$5,'Exercise list'!$E$4:$X$4,0)),0)</f>
        <v>0</v>
      </c>
      <c r="AE272">
        <f>IFERROR(INDEX('Exercise list'!$E$5:$X$102,MATCH($C272,'Exercise list'!$C$5:$C$102,0),MATCH(AE$5,'Exercise list'!$E$4:$X$4,0)),0)</f>
        <v>0</v>
      </c>
      <c r="AF272">
        <f>IFERROR(INDEX('Exercise list'!$E$5:$X$102,MATCH($C272,'Exercise list'!$C$5:$C$102,0),MATCH(AF$5,'Exercise list'!$E$4:$X$4,0)),0)</f>
        <v>0</v>
      </c>
      <c r="AG272">
        <f>IFERROR(INDEX('Exercise list'!$E$5:$X$102,MATCH($C272,'Exercise list'!$C$5:$C$102,0),MATCH(AG$5,'Exercise list'!$E$4:$X$4,0)),0)</f>
        <v>0</v>
      </c>
      <c r="AH272">
        <f>IFERROR(INDEX('Exercise list'!$E$5:$X$102,MATCH($C272,'Exercise list'!$C$5:$C$102,0),MATCH(AH$5,'Exercise list'!$E$4:$X$4,0)),0)</f>
        <v>0</v>
      </c>
      <c r="AI272">
        <f>IFERROR(INDEX('Exercise list'!$E$5:$X$102,MATCH($C272,'Exercise list'!$C$5:$C$102,0),MATCH(AI$5,'Exercise list'!$E$4:$X$4,0)),0)</f>
        <v>0</v>
      </c>
      <c r="AK272">
        <f>IF(OR($J272=1,COUNTIFS($A$5:$A271,"&gt;="&amp;$A272-1,$A$5:$A271,"&lt;="&amp;$A272,$B$5:$B271,$B272)&gt;0,MIN(1-'Exercise list'!E$2,IF($A272=$A271,AK271,1))-P272&lt;0),-1,MIN(1,IF($A272=$A271,AK271,1)-P272+$D$2))</f>
        <v>1</v>
      </c>
      <c r="AL272">
        <f>IF(OR($J272=1,COUNTIFS($A$5:$A271,"&gt;="&amp;$A272-1,$A$5:$A271,"&lt;="&amp;$A272,$B$5:$B271,$B272)&gt;0,MIN(1-'Exercise list'!F$2,IF($A272=$A271,AL271,1))-Q272&lt;0),-1,MIN(1,IF($A272=$A271,AL271,1)-Q272+$D$2))</f>
        <v>1</v>
      </c>
      <c r="AM272">
        <f>IF(OR($J272=1,COUNTIFS($A$5:$A271,"&gt;="&amp;$A272-1,$A$5:$A271,"&lt;="&amp;$A272,$B$5:$B271,$B272)&gt;0,MIN(1-'Exercise list'!G$2,IF($A272=$A271,AM271,1))-R272&lt;0),-1,MIN(1,IF($A272=$A271,AM271,1)-R272+$D$2))</f>
        <v>1</v>
      </c>
      <c r="AN272">
        <f>IF(OR($J272=1,COUNTIFS($A$5:$A271,"&gt;="&amp;$A272-1,$A$5:$A271,"&lt;="&amp;$A272,$B$5:$B271,$B272)&gt;0,MIN(1-'Exercise list'!H$2,IF($A272=$A271,AN271,1))-S272&lt;0),-1,MIN(1,IF($A272=$A271,AN271,1)-S272+$D$2))</f>
        <v>1</v>
      </c>
      <c r="AO272">
        <f>IF(OR($J272=1,COUNTIFS($A$5:$A271,"&gt;="&amp;$A272-1,$A$5:$A271,"&lt;="&amp;$A272,$B$5:$B271,$B272)&gt;0,MIN(1-'Exercise list'!I$2,IF($A272=$A271,AO271,1))-T272&lt;0),-1,MIN(1,IF($A272=$A271,AO271,1)-T272+$D$2))</f>
        <v>1</v>
      </c>
      <c r="AP272">
        <f>IF(OR($J272=1,COUNTIFS($A$5:$A271,"&gt;="&amp;$A272-1,$A$5:$A271,"&lt;="&amp;$A272,$B$5:$B271,$B272)&gt;0,MIN(1-'Exercise list'!J$2,IF($A272=$A271,AP271,1))-U272&lt;0),-1,MIN(1,IF($A272=$A271,AP271,1)-U272+$D$2))</f>
        <v>1</v>
      </c>
      <c r="AQ272">
        <f>IF(OR($J272=1,COUNTIFS($A$5:$A271,"&gt;="&amp;$A272-1,$A$5:$A271,"&lt;="&amp;$A272,$B$5:$B271,$B272)&gt;0,MIN(1-'Exercise list'!K$2,IF($A272=$A271,AQ271,1))-V272&lt;0),-1,MIN(1,IF($A272=$A271,AQ271,1)-V272+$D$2))</f>
        <v>1</v>
      </c>
      <c r="AR272">
        <f>IF(OR($J272=1,COUNTIFS($A$5:$A271,"&gt;="&amp;$A272-1,$A$5:$A271,"&lt;="&amp;$A272,$B$5:$B271,$B272)&gt;0,MIN(1-'Exercise list'!L$2,IF($A272=$A271,AR271,1))-W272&lt;0),-1,MIN(1,IF($A272=$A271,AR271,1)-W272+$D$2))</f>
        <v>1</v>
      </c>
      <c r="AS272">
        <f>IF(OR($J272=1,COUNTIFS($A$5:$A271,"&gt;="&amp;$A272-1,$A$5:$A271,"&lt;="&amp;$A272,$B$5:$B271,$B272)&gt;0,MIN(1-'Exercise list'!M$2,IF($A272=$A271,AS271,1))-X272&lt;0),-1,MIN(1,IF($A272=$A271,AS271,1)-X272+$D$2))</f>
        <v>1</v>
      </c>
      <c r="AT272">
        <f>IF(OR($J272=1,COUNTIFS($A$5:$A271,"&gt;="&amp;$A272-1,$A$5:$A271,"&lt;="&amp;$A272,$B$5:$B271,$B272)&gt;0,MIN(1-'Exercise list'!N$2,IF($A272=$A271,AT271,1))-Y272&lt;0),-1,MIN(1,IF($A272=$A271,AT271,1)-Y272+$D$2))</f>
        <v>1</v>
      </c>
      <c r="AU272">
        <f>IF(OR($J272=1,COUNTIFS($A$5:$A271,"&gt;="&amp;$A272-1,$A$5:$A271,"&lt;="&amp;$A272,$B$5:$B271,$B272)&gt;0,MIN(1-'Exercise list'!O$2,IF($A272=$A271,AU271,1))-Z272&lt;0),-1,MIN(1,IF($A272=$A271,AU271,1)-Z272+$D$2))</f>
        <v>1</v>
      </c>
      <c r="AV272">
        <f>IF(OR($J272=1,COUNTIFS($A$5:$A271,"&gt;="&amp;$A272-1,$A$5:$A271,"&lt;="&amp;$A272,$B$5:$B271,$B272)&gt;0,MIN(1-'Exercise list'!P$2,IF($A272=$A271,AV271,1))-AA272&lt;0),-1,MIN(1,IF($A272=$A271,AV271,1)-AA272+$D$2))</f>
        <v>1</v>
      </c>
      <c r="AW272">
        <f>IF(OR($J272=1,COUNTIFS($A$5:$A271,"&gt;="&amp;$A272-1,$A$5:$A271,"&lt;="&amp;$A272,$B$5:$B271,$B272)&gt;0,MIN(1-'Exercise list'!Q$2,IF($A272=$A271,AW271,1))-AB272&lt;0),-1,MIN(1,IF($A272=$A271,AW271,1)-AB272+$D$2))</f>
        <v>1</v>
      </c>
      <c r="AX272">
        <f>IF(OR($J272=1,COUNTIFS($A$5:$A271,"&gt;="&amp;$A272-1,$A$5:$A271,"&lt;="&amp;$A272,$B$5:$B271,$B272)&gt;0,MIN(1-'Exercise list'!R$2,IF($A272=$A271,AX271,1))-AC272&lt;0),-1,MIN(1,IF($A272=$A271,AX271,1)-AC272+$D$2))</f>
        <v>1</v>
      </c>
      <c r="AY272">
        <f>IF(OR($J272=1,COUNTIFS($A$5:$A271,"&gt;="&amp;$A272-1,$A$5:$A271,"&lt;="&amp;$A272,$B$5:$B271,$B272)&gt;0,MIN(1-'Exercise list'!S$2,IF($A272=$A271,AY271,1))-AD272&lt;0),-1,MIN(1,IF($A272=$A271,AY271,1)-AD272+$D$2))</f>
        <v>1</v>
      </c>
      <c r="AZ272">
        <f>IF(OR($J272=1,COUNTIFS($A$5:$A271,"&gt;="&amp;$A272-1,$A$5:$A271,"&lt;="&amp;$A272,$B$5:$B271,$B272)&gt;0,MIN(1-'Exercise list'!T$2,IF($A272=$A271,AZ271,1))-AE272&lt;0),-1,MIN(1,IF($A272=$A271,AZ271,1)-AE272+$D$2))</f>
        <v>1</v>
      </c>
      <c r="BA272">
        <f>IF(OR($J272=1,COUNTIFS($A$5:$A271,"&gt;="&amp;$A272-1,$A$5:$A271,"&lt;="&amp;$A272,$B$5:$B271,$B272)&gt;0,MIN(1-'Exercise list'!U$2,IF($A272=$A271,BA271,1))-AF272&lt;0),-1,MIN(1,IF($A272=$A271,BA271,1)-AF272+$D$2))</f>
        <v>1</v>
      </c>
      <c r="BB272">
        <f>IF(OR($J272=1,COUNTIFS($A$5:$A271,"&gt;="&amp;$A272-1,$A$5:$A271,"&lt;="&amp;$A272,$B$5:$B271,$B272)&gt;0,MIN(1-'Exercise list'!V$2,IF($A272=$A271,BB271,1))-AG272&lt;0),-1,MIN(1,IF($A272=$A271,BB271,1)-AG272+$D$2))</f>
        <v>1</v>
      </c>
      <c r="BC272">
        <f>IF(OR($J272=1,COUNTIFS($A$5:$A271,"&gt;="&amp;$A272-1,$A$5:$A271,"&lt;="&amp;$A272,$B$5:$B271,$B272)&gt;0,MIN(1-'Exercise list'!W$2,IF($A272=$A271,BC271,1))-AH272&lt;0),-1,MIN(1,IF($A272=$A271,BC271,1)-AH272+$D$2))</f>
        <v>1</v>
      </c>
      <c r="BD272">
        <f>IF(OR($J272=1,COUNTIFS($A$5:$A271,"&gt;="&amp;$A272-1,$A$5:$A271,"&lt;="&amp;$A272,$B$5:$B271,$B272)&gt;0,MIN(1-'Exercise list'!X$2,IF($A272=$A271,BD271,1))-AI272&lt;0),-1,MIN(1,IF($A272=$A271,BD271,1)-AI272+$D$2))</f>
        <v>1</v>
      </c>
      <c r="BF272" s="16">
        <f t="shared" si="189"/>
        <v>0.19596031081758858</v>
      </c>
      <c r="BG272" s="16">
        <f t="shared" si="190"/>
        <v>0.21844636935459236</v>
      </c>
      <c r="BH272" s="16">
        <f t="shared" si="191"/>
        <v>0.14609696635987124</v>
      </c>
      <c r="BI272" s="16">
        <f t="shared" si="192"/>
        <v>0.13198015366034541</v>
      </c>
      <c r="BJ272" s="16">
        <f t="shared" si="193"/>
        <v>8.3367914198418713E-2</v>
      </c>
      <c r="BK272" s="16">
        <f t="shared" si="194"/>
        <v>0.10640640223148412</v>
      </c>
      <c r="BL272" s="16">
        <f t="shared" si="195"/>
        <v>0.21963504743569431</v>
      </c>
      <c r="BM272" s="16">
        <f t="shared" si="196"/>
        <v>3.8988008374820568E-3</v>
      </c>
      <c r="BN272" s="16">
        <f t="shared" si="197"/>
        <v>0.14537706087090876</v>
      </c>
      <c r="BO272" s="16">
        <f t="shared" si="198"/>
        <v>0.29209790661993401</v>
      </c>
      <c r="BP272" s="16">
        <f t="shared" si="199"/>
        <v>0.31584545163401867</v>
      </c>
      <c r="BQ272" s="16">
        <f t="shared" si="200"/>
        <v>0.1000007994126096</v>
      </c>
      <c r="BR272" s="16">
        <f t="shared" si="201"/>
        <v>0.13164487759885393</v>
      </c>
      <c r="BS272" s="16">
        <f t="shared" si="202"/>
        <v>2.9803550189863123E-2</v>
      </c>
      <c r="BT272" s="16">
        <f t="shared" si="203"/>
        <v>0.13492040904978705</v>
      </c>
      <c r="BU272" s="16">
        <f t="shared" si="204"/>
        <v>0.11703687414398131</v>
      </c>
      <c r="BV272" s="16">
        <f t="shared" si="205"/>
        <v>0.14633353213781661</v>
      </c>
      <c r="BW272" s="16">
        <f t="shared" si="206"/>
        <v>7.5588015111767173E-2</v>
      </c>
      <c r="BX272" s="16">
        <f t="shared" si="207"/>
        <v>8.0345659937185704E-2</v>
      </c>
      <c r="BY272" s="16">
        <f t="shared" si="208"/>
        <v>5.9014643151272549E-2</v>
      </c>
      <c r="CA272" s="16" t="str">
        <f t="shared" si="229"/>
        <v/>
      </c>
      <c r="CB272" s="16" t="str">
        <f t="shared" si="210"/>
        <v/>
      </c>
      <c r="CC272" s="16" t="str">
        <f t="shared" si="211"/>
        <v/>
      </c>
      <c r="CD272" s="16" t="str">
        <f t="shared" si="212"/>
        <v/>
      </c>
      <c r="CE272" s="16" t="str">
        <f t="shared" si="213"/>
        <v/>
      </c>
      <c r="CF272" s="16" t="str">
        <f t="shared" si="214"/>
        <v/>
      </c>
      <c r="CG272" s="16" t="str">
        <f t="shared" si="215"/>
        <v/>
      </c>
      <c r="CH272" s="16" t="str">
        <f t="shared" si="216"/>
        <v/>
      </c>
      <c r="CI272" s="16" t="str">
        <f t="shared" si="217"/>
        <v/>
      </c>
      <c r="CJ272" s="16" t="str">
        <f t="shared" si="218"/>
        <v/>
      </c>
      <c r="CK272" s="16" t="str">
        <f t="shared" si="219"/>
        <v/>
      </c>
      <c r="CL272" s="16" t="str">
        <f t="shared" si="220"/>
        <v/>
      </c>
      <c r="CM272" s="16" t="str">
        <f t="shared" si="221"/>
        <v/>
      </c>
      <c r="CN272" s="16" t="str">
        <f t="shared" si="222"/>
        <v/>
      </c>
      <c r="CO272" s="16" t="str">
        <f t="shared" si="223"/>
        <v/>
      </c>
      <c r="CP272" s="16" t="str">
        <f t="shared" si="224"/>
        <v/>
      </c>
      <c r="CQ272" s="16" t="str">
        <f t="shared" si="225"/>
        <v/>
      </c>
      <c r="CR272" s="16" t="str">
        <f t="shared" si="226"/>
        <v/>
      </c>
      <c r="CS272" s="16" t="str">
        <f t="shared" si="227"/>
        <v/>
      </c>
      <c r="CT272" s="16" t="str">
        <f t="shared" si="228"/>
        <v/>
      </c>
    </row>
    <row r="273" spans="1:99" x14ac:dyDescent="0.25">
      <c r="A273" s="20"/>
      <c r="B273" s="21"/>
      <c r="C273" s="22" t="str" cm="1">
        <f t="array" ref="C273">IF(B273="","",INDEX('Exercise list'!$C$5:$C$102,B273))</f>
        <v/>
      </c>
      <c r="D273" s="17" t="str">
        <f t="shared" si="186"/>
        <v/>
      </c>
      <c r="E273" s="108" t="str">
        <f t="shared" si="209"/>
        <v/>
      </c>
      <c r="F273" s="65" t="str" cm="1">
        <f t="array" ref="F273">IF(B273="","",0.1+IFERROR(INDEX($F$6:$F272,SUMPRODUCT(MAX(ROW($C$6:$C272)*($C273=$C$6:$C272))-ROW($A$5)))*0.9^($A273-INDEX($A$6:A272,SUMPRODUCT(MAX(ROW($C$6:$C272)*($C273=$C$6:$C272))-ROW($A$5)))),0))</f>
        <v/>
      </c>
      <c r="G273" s="25" t="e">
        <f>INDEX('Exercise list'!$Y$5:$Y$102,MATCH(C273,'Exercise list'!$C$5:$C$102,0))</f>
        <v>#N/A</v>
      </c>
      <c r="H273" s="116">
        <f t="shared" si="187"/>
        <v>0</v>
      </c>
      <c r="I273" s="18">
        <f t="shared" si="188"/>
        <v>5</v>
      </c>
      <c r="J273" s="18" t="str" cm="1">
        <f t="array" ref="J273">IF(B273="","",INDEX('Exercise list'!$D$5:$D$102,B273))</f>
        <v/>
      </c>
      <c r="K273" s="17"/>
      <c r="L273" s="51" t="str" cm="1">
        <f t="array" ref="L273">IF(K273="","",INDEX('Exercise list'!$C$5:$C$102,K273))</f>
        <v/>
      </c>
      <c r="M273" s="18"/>
      <c r="N273" s="76" t="str" cm="1">
        <f t="array" ref="N273">IF(M273="","",INDEX('Exercise list'!$C$5:$C$102,M273))</f>
        <v/>
      </c>
      <c r="O273" s="19"/>
      <c r="P273" s="19">
        <f>IFERROR(INDEX('Exercise list'!$E$5:$X$102,MATCH($C273,'Exercise list'!$C$5:$C$102,0),MATCH(P$5,'Exercise list'!$E$4:$X$4,0)),0)</f>
        <v>0</v>
      </c>
      <c r="Q273" s="19">
        <f>IFERROR(INDEX('Exercise list'!$E$5:$X$102,MATCH($C273,'Exercise list'!$C$5:$C$102,0),MATCH(Q$5,'Exercise list'!$E$4:$X$4,0)),0)</f>
        <v>0</v>
      </c>
      <c r="R273" s="19">
        <f>IFERROR(INDEX('Exercise list'!$E$5:$X$102,MATCH($C273,'Exercise list'!$C$5:$C$102,0),MATCH(R$5,'Exercise list'!$E$4:$X$4,0)),0)</f>
        <v>0</v>
      </c>
      <c r="S273" s="19">
        <f>IFERROR(INDEX('Exercise list'!$E$5:$X$102,MATCH($C273,'Exercise list'!$C$5:$C$102,0),MATCH(S$5,'Exercise list'!$E$4:$X$4,0)),0)</f>
        <v>0</v>
      </c>
      <c r="T273" s="19">
        <f>IFERROR(INDEX('Exercise list'!$E$5:$X$102,MATCH($C273,'Exercise list'!$C$5:$C$102,0),MATCH(T$5,'Exercise list'!$E$4:$X$4,0)),0)</f>
        <v>0</v>
      </c>
      <c r="U273" s="19">
        <f>IFERROR(INDEX('Exercise list'!$E$5:$X$102,MATCH($C273,'Exercise list'!$C$5:$C$102,0),MATCH(U$5,'Exercise list'!$E$4:$X$4,0)),0)</f>
        <v>0</v>
      </c>
      <c r="V273" s="19">
        <f>IFERROR(INDEX('Exercise list'!$E$5:$X$102,MATCH($C273,'Exercise list'!$C$5:$C$102,0),MATCH(V$5,'Exercise list'!$E$4:$X$4,0)),0)</f>
        <v>0</v>
      </c>
      <c r="W273" s="19">
        <f>IFERROR(INDEX('Exercise list'!$E$5:$X$102,MATCH($C273,'Exercise list'!$C$5:$C$102,0),MATCH(W$5,'Exercise list'!$E$4:$X$4,0)),0)</f>
        <v>0</v>
      </c>
      <c r="X273" s="19">
        <f>IFERROR(INDEX('Exercise list'!$E$5:$X$102,MATCH($C273,'Exercise list'!$C$5:$C$102,0),MATCH(X$5,'Exercise list'!$E$4:$X$4,0)),0)</f>
        <v>0</v>
      </c>
      <c r="Y273" s="19">
        <f>IFERROR(INDEX('Exercise list'!$E$5:$X$102,MATCH($C273,'Exercise list'!$C$5:$C$102,0),MATCH(Y$5,'Exercise list'!$E$4:$X$4,0)),0)</f>
        <v>0</v>
      </c>
      <c r="Z273" s="19">
        <f>IFERROR(INDEX('Exercise list'!$E$5:$X$102,MATCH($C273,'Exercise list'!$C$5:$C$102,0),MATCH(Z$5,'Exercise list'!$E$4:$X$4,0)),0)</f>
        <v>0</v>
      </c>
      <c r="AA273" s="19">
        <f>IFERROR(INDEX('Exercise list'!$E$5:$X$102,MATCH($C273,'Exercise list'!$C$5:$C$102,0),MATCH(AA$5,'Exercise list'!$E$4:$X$4,0)),0)</f>
        <v>0</v>
      </c>
      <c r="AB273" s="19">
        <f>IFERROR(INDEX('Exercise list'!$E$5:$X$102,MATCH($C273,'Exercise list'!$C$5:$C$102,0),MATCH(AB$5,'Exercise list'!$E$4:$X$4,0)),0)</f>
        <v>0</v>
      </c>
      <c r="AC273" s="19">
        <f>IFERROR(INDEX('Exercise list'!$E$5:$X$102,MATCH($C273,'Exercise list'!$C$5:$C$102,0),MATCH(AC$5,'Exercise list'!$E$4:$X$4,0)),0)</f>
        <v>0</v>
      </c>
      <c r="AD273" s="19">
        <f>IFERROR(INDEX('Exercise list'!$E$5:$X$102,MATCH($C273,'Exercise list'!$C$5:$C$102,0),MATCH(AD$5,'Exercise list'!$E$4:$X$4,0)),0)</f>
        <v>0</v>
      </c>
      <c r="AE273" s="19">
        <f>IFERROR(INDEX('Exercise list'!$E$5:$X$102,MATCH($C273,'Exercise list'!$C$5:$C$102,0),MATCH(AE$5,'Exercise list'!$E$4:$X$4,0)),0)</f>
        <v>0</v>
      </c>
      <c r="AF273" s="19">
        <f>IFERROR(INDEX('Exercise list'!$E$5:$X$102,MATCH($C273,'Exercise list'!$C$5:$C$102,0),MATCH(AF$5,'Exercise list'!$E$4:$X$4,0)),0)</f>
        <v>0</v>
      </c>
      <c r="AG273" s="19">
        <f>IFERROR(INDEX('Exercise list'!$E$5:$X$102,MATCH($C273,'Exercise list'!$C$5:$C$102,0),MATCH(AG$5,'Exercise list'!$E$4:$X$4,0)),0)</f>
        <v>0</v>
      </c>
      <c r="AH273" s="19">
        <f>IFERROR(INDEX('Exercise list'!$E$5:$X$102,MATCH($C273,'Exercise list'!$C$5:$C$102,0),MATCH(AH$5,'Exercise list'!$E$4:$X$4,0)),0)</f>
        <v>0</v>
      </c>
      <c r="AI273" s="19">
        <f>IFERROR(INDEX('Exercise list'!$E$5:$X$102,MATCH($C273,'Exercise list'!$C$5:$C$102,0),MATCH(AI$5,'Exercise list'!$E$4:$X$4,0)),0)</f>
        <v>0</v>
      </c>
      <c r="AJ273" s="19"/>
      <c r="AK273" s="19">
        <f>IF(OR($J273=1,COUNTIFS($A$5:$A272,"&gt;="&amp;$A273-1,$A$5:$A272,"&lt;="&amp;$A273,$B$5:$B272,$B273)&gt;0,MIN(1-'Exercise list'!E$2,IF($A273=$A272,AK272,1))-P273&lt;0),-1,MIN(1,IF($A273=$A272,AK272,1)-P273+$D$2))</f>
        <v>1</v>
      </c>
      <c r="AL273" s="19">
        <f>IF(OR($J273=1,COUNTIFS($A$5:$A272,"&gt;="&amp;$A273-1,$A$5:$A272,"&lt;="&amp;$A273,$B$5:$B272,$B273)&gt;0,MIN(1-'Exercise list'!F$2,IF($A273=$A272,AL272,1))-Q273&lt;0),-1,MIN(1,IF($A273=$A272,AL272,1)-Q273+$D$2))</f>
        <v>1</v>
      </c>
      <c r="AM273" s="19">
        <f>IF(OR($J273=1,COUNTIFS($A$5:$A272,"&gt;="&amp;$A273-1,$A$5:$A272,"&lt;="&amp;$A273,$B$5:$B272,$B273)&gt;0,MIN(1-'Exercise list'!G$2,IF($A273=$A272,AM272,1))-R273&lt;0),-1,MIN(1,IF($A273=$A272,AM272,1)-R273+$D$2))</f>
        <v>1</v>
      </c>
      <c r="AN273" s="19">
        <f>IF(OR($J273=1,COUNTIFS($A$5:$A272,"&gt;="&amp;$A273-1,$A$5:$A272,"&lt;="&amp;$A273,$B$5:$B272,$B273)&gt;0,MIN(1-'Exercise list'!H$2,IF($A273=$A272,AN272,1))-S273&lt;0),-1,MIN(1,IF($A273=$A272,AN272,1)-S273+$D$2))</f>
        <v>1</v>
      </c>
      <c r="AO273" s="19">
        <f>IF(OR($J273=1,COUNTIFS($A$5:$A272,"&gt;="&amp;$A273-1,$A$5:$A272,"&lt;="&amp;$A273,$B$5:$B272,$B273)&gt;0,MIN(1-'Exercise list'!I$2,IF($A273=$A272,AO272,1))-T273&lt;0),-1,MIN(1,IF($A273=$A272,AO272,1)-T273+$D$2))</f>
        <v>1</v>
      </c>
      <c r="AP273" s="19">
        <f>IF(OR($J273=1,COUNTIFS($A$5:$A272,"&gt;="&amp;$A273-1,$A$5:$A272,"&lt;="&amp;$A273,$B$5:$B272,$B273)&gt;0,MIN(1-'Exercise list'!J$2,IF($A273=$A272,AP272,1))-U273&lt;0),-1,MIN(1,IF($A273=$A272,AP272,1)-U273+$D$2))</f>
        <v>1</v>
      </c>
      <c r="AQ273" s="19">
        <f>IF(OR($J273=1,COUNTIFS($A$5:$A272,"&gt;="&amp;$A273-1,$A$5:$A272,"&lt;="&amp;$A273,$B$5:$B272,$B273)&gt;0,MIN(1-'Exercise list'!K$2,IF($A273=$A272,AQ272,1))-V273&lt;0),-1,MIN(1,IF($A273=$A272,AQ272,1)-V273+$D$2))</f>
        <v>1</v>
      </c>
      <c r="AR273" s="19">
        <f>IF(OR($J273=1,COUNTIFS($A$5:$A272,"&gt;="&amp;$A273-1,$A$5:$A272,"&lt;="&amp;$A273,$B$5:$B272,$B273)&gt;0,MIN(1-'Exercise list'!L$2,IF($A273=$A272,AR272,1))-W273&lt;0),-1,MIN(1,IF($A273=$A272,AR272,1)-W273+$D$2))</f>
        <v>1</v>
      </c>
      <c r="AS273" s="19">
        <f>IF(OR($J273=1,COUNTIFS($A$5:$A272,"&gt;="&amp;$A273-1,$A$5:$A272,"&lt;="&amp;$A273,$B$5:$B272,$B273)&gt;0,MIN(1-'Exercise list'!M$2,IF($A273=$A272,AS272,1))-X273&lt;0),-1,MIN(1,IF($A273=$A272,AS272,1)-X273+$D$2))</f>
        <v>1</v>
      </c>
      <c r="AT273" s="19">
        <f>IF(OR($J273=1,COUNTIFS($A$5:$A272,"&gt;="&amp;$A273-1,$A$5:$A272,"&lt;="&amp;$A273,$B$5:$B272,$B273)&gt;0,MIN(1-'Exercise list'!N$2,IF($A273=$A272,AT272,1))-Y273&lt;0),-1,MIN(1,IF($A273=$A272,AT272,1)-Y273+$D$2))</f>
        <v>1</v>
      </c>
      <c r="AU273" s="19">
        <f>IF(OR($J273=1,COUNTIFS($A$5:$A272,"&gt;="&amp;$A273-1,$A$5:$A272,"&lt;="&amp;$A273,$B$5:$B272,$B273)&gt;0,MIN(1-'Exercise list'!O$2,IF($A273=$A272,AU272,1))-Z273&lt;0),-1,MIN(1,IF($A273=$A272,AU272,1)-Z273+$D$2))</f>
        <v>1</v>
      </c>
      <c r="AV273" s="19">
        <f>IF(OR($J273=1,COUNTIFS($A$5:$A272,"&gt;="&amp;$A273-1,$A$5:$A272,"&lt;="&amp;$A273,$B$5:$B272,$B273)&gt;0,MIN(1-'Exercise list'!P$2,IF($A273=$A272,AV272,1))-AA273&lt;0),-1,MIN(1,IF($A273=$A272,AV272,1)-AA273+$D$2))</f>
        <v>1</v>
      </c>
      <c r="AW273" s="19">
        <f>IF(OR($J273=1,COUNTIFS($A$5:$A272,"&gt;="&amp;$A273-1,$A$5:$A272,"&lt;="&amp;$A273,$B$5:$B272,$B273)&gt;0,MIN(1-'Exercise list'!Q$2,IF($A273=$A272,AW272,1))-AB273&lt;0),-1,MIN(1,IF($A273=$A272,AW272,1)-AB273+$D$2))</f>
        <v>1</v>
      </c>
      <c r="AX273" s="19">
        <f>IF(OR($J273=1,COUNTIFS($A$5:$A272,"&gt;="&amp;$A273-1,$A$5:$A272,"&lt;="&amp;$A273,$B$5:$B272,$B273)&gt;0,MIN(1-'Exercise list'!R$2,IF($A273=$A272,AX272,1))-AC273&lt;0),-1,MIN(1,IF($A273=$A272,AX272,1)-AC273+$D$2))</f>
        <v>1</v>
      </c>
      <c r="AY273" s="19">
        <f>IF(OR($J273=1,COUNTIFS($A$5:$A272,"&gt;="&amp;$A273-1,$A$5:$A272,"&lt;="&amp;$A273,$B$5:$B272,$B273)&gt;0,MIN(1-'Exercise list'!S$2,IF($A273=$A272,AY272,1))-AD273&lt;0),-1,MIN(1,IF($A273=$A272,AY272,1)-AD273+$D$2))</f>
        <v>1</v>
      </c>
      <c r="AZ273" s="19">
        <f>IF(OR($J273=1,COUNTIFS($A$5:$A272,"&gt;="&amp;$A273-1,$A$5:$A272,"&lt;="&amp;$A273,$B$5:$B272,$B273)&gt;0,MIN(1-'Exercise list'!T$2,IF($A273=$A272,AZ272,1))-AE273&lt;0),-1,MIN(1,IF($A273=$A272,AZ272,1)-AE273+$D$2))</f>
        <v>1</v>
      </c>
      <c r="BA273" s="19">
        <f>IF(OR($J273=1,COUNTIFS($A$5:$A272,"&gt;="&amp;$A273-1,$A$5:$A272,"&lt;="&amp;$A273,$B$5:$B272,$B273)&gt;0,MIN(1-'Exercise list'!U$2,IF($A273=$A272,BA272,1))-AF273&lt;0),-1,MIN(1,IF($A273=$A272,BA272,1)-AF273+$D$2))</f>
        <v>1</v>
      </c>
      <c r="BB273" s="19">
        <f>IF(OR($J273=1,COUNTIFS($A$5:$A272,"&gt;="&amp;$A273-1,$A$5:$A272,"&lt;="&amp;$A273,$B$5:$B272,$B273)&gt;0,MIN(1-'Exercise list'!V$2,IF($A273=$A272,BB272,1))-AG273&lt;0),-1,MIN(1,IF($A273=$A272,BB272,1)-AG273+$D$2))</f>
        <v>1</v>
      </c>
      <c r="BC273" s="19">
        <f>IF(OR($J273=1,COUNTIFS($A$5:$A272,"&gt;="&amp;$A273-1,$A$5:$A272,"&lt;="&amp;$A273,$B$5:$B272,$B273)&gt;0,MIN(1-'Exercise list'!W$2,IF($A273=$A272,BC272,1))-AH273&lt;0),-1,MIN(1,IF($A273=$A272,BC272,1)-AH273+$D$2))</f>
        <v>1</v>
      </c>
      <c r="BD273" s="19">
        <f>IF(OR($J273=1,COUNTIFS($A$5:$A272,"&gt;="&amp;$A273-1,$A$5:$A272,"&lt;="&amp;$A273,$B$5:$B272,$B273)&gt;0,MIN(1-'Exercise list'!X$2,IF($A273=$A272,BD272,1))-AI273&lt;0),-1,MIN(1,IF($A273=$A272,BD272,1)-AI273+$D$2))</f>
        <v>1</v>
      </c>
      <c r="BE273" s="19"/>
      <c r="BF273" s="23">
        <f t="shared" si="189"/>
        <v>0.19596031081758858</v>
      </c>
      <c r="BG273" s="23">
        <f t="shared" si="190"/>
        <v>0.21844636935459236</v>
      </c>
      <c r="BH273" s="23">
        <f t="shared" si="191"/>
        <v>0.14609696635987124</v>
      </c>
      <c r="BI273" s="23">
        <f t="shared" si="192"/>
        <v>0.13198015366034541</v>
      </c>
      <c r="BJ273" s="23">
        <f t="shared" si="193"/>
        <v>8.3367914198418713E-2</v>
      </c>
      <c r="BK273" s="23">
        <f t="shared" si="194"/>
        <v>0.10640640223148412</v>
      </c>
      <c r="BL273" s="23">
        <f t="shared" si="195"/>
        <v>0.21963504743569431</v>
      </c>
      <c r="BM273" s="23">
        <f t="shared" si="196"/>
        <v>3.8988008374820568E-3</v>
      </c>
      <c r="BN273" s="23">
        <f t="shared" si="197"/>
        <v>0.14537706087090876</v>
      </c>
      <c r="BO273" s="23">
        <f t="shared" si="198"/>
        <v>0.29209790661993401</v>
      </c>
      <c r="BP273" s="23">
        <f t="shared" si="199"/>
        <v>0.31584545163401867</v>
      </c>
      <c r="BQ273" s="23">
        <f t="shared" si="200"/>
        <v>0.1000007994126096</v>
      </c>
      <c r="BR273" s="23">
        <f t="shared" si="201"/>
        <v>0.13164487759885393</v>
      </c>
      <c r="BS273" s="23">
        <f t="shared" si="202"/>
        <v>2.9803550189863123E-2</v>
      </c>
      <c r="BT273" s="23">
        <f t="shared" si="203"/>
        <v>0.13492040904978705</v>
      </c>
      <c r="BU273" s="23">
        <f t="shared" si="204"/>
        <v>0.11703687414398131</v>
      </c>
      <c r="BV273" s="23">
        <f t="shared" si="205"/>
        <v>0.14633353213781661</v>
      </c>
      <c r="BW273" s="23">
        <f t="shared" si="206"/>
        <v>7.5588015111767173E-2</v>
      </c>
      <c r="BX273" s="23">
        <f t="shared" si="207"/>
        <v>8.0345659937185704E-2</v>
      </c>
      <c r="BY273" s="23">
        <f t="shared" si="208"/>
        <v>5.9014643151272549E-2</v>
      </c>
      <c r="BZ273" s="19"/>
      <c r="CA273" s="23" t="str">
        <f t="shared" si="229"/>
        <v/>
      </c>
      <c r="CB273" s="23" t="str">
        <f t="shared" si="210"/>
        <v/>
      </c>
      <c r="CC273" s="23" t="str">
        <f t="shared" si="211"/>
        <v/>
      </c>
      <c r="CD273" s="23" t="str">
        <f t="shared" si="212"/>
        <v/>
      </c>
      <c r="CE273" s="23" t="str">
        <f t="shared" si="213"/>
        <v/>
      </c>
      <c r="CF273" s="23" t="str">
        <f t="shared" si="214"/>
        <v/>
      </c>
      <c r="CG273" s="23" t="str">
        <f t="shared" si="215"/>
        <v/>
      </c>
      <c r="CH273" s="23" t="str">
        <f t="shared" si="216"/>
        <v/>
      </c>
      <c r="CI273" s="23" t="str">
        <f t="shared" si="217"/>
        <v/>
      </c>
      <c r="CJ273" s="23" t="str">
        <f t="shared" si="218"/>
        <v/>
      </c>
      <c r="CK273" s="23" t="str">
        <f t="shared" si="219"/>
        <v/>
      </c>
      <c r="CL273" s="23" t="str">
        <f t="shared" si="220"/>
        <v/>
      </c>
      <c r="CM273" s="23" t="str">
        <f t="shared" si="221"/>
        <v/>
      </c>
      <c r="CN273" s="23" t="str">
        <f t="shared" si="222"/>
        <v/>
      </c>
      <c r="CO273" s="23" t="str">
        <f t="shared" si="223"/>
        <v/>
      </c>
      <c r="CP273" s="23" t="str">
        <f t="shared" si="224"/>
        <v/>
      </c>
      <c r="CQ273" s="23" t="str">
        <f t="shared" si="225"/>
        <v/>
      </c>
      <c r="CR273" s="23" t="str">
        <f t="shared" si="226"/>
        <v/>
      </c>
      <c r="CS273" s="23" t="str">
        <f t="shared" si="227"/>
        <v/>
      </c>
      <c r="CT273" s="23" t="str">
        <f t="shared" si="228"/>
        <v/>
      </c>
      <c r="CU273" s="19"/>
    </row>
    <row r="274" spans="1:99" x14ac:dyDescent="0.25">
      <c r="A274" s="13"/>
      <c r="B274" s="14"/>
      <c r="C274" s="15" t="str" cm="1">
        <f t="array" ref="C274">IF(B274="","",INDEX('Exercise list'!$C$5:$C$102,B274))</f>
        <v/>
      </c>
      <c r="D274" s="12" t="str">
        <f t="shared" si="186"/>
        <v/>
      </c>
      <c r="E274" s="107" t="str">
        <f t="shared" si="209"/>
        <v/>
      </c>
      <c r="F274" s="63" t="str" cm="1">
        <f t="array" ref="F274">IF(B274="","",0.1+IFERROR(INDEX($F$6:$F273,SUMPRODUCT(MAX(ROW($C$6:$C273)*($C274=$C$6:$C273))-ROW($A$5)))*0.9^($A274-INDEX($A$6:A273,SUMPRODUCT(MAX(ROW($C$6:$C273)*($C274=$C$6:$C273))-ROW($A$5)))),0))</f>
        <v/>
      </c>
      <c r="G274" s="64" t="e">
        <f>INDEX('Exercise list'!$Y$5:$Y$102,MATCH(C274,'Exercise list'!$C$5:$C$102,0))</f>
        <v>#N/A</v>
      </c>
      <c r="H274" s="115">
        <f t="shared" si="187"/>
        <v>0</v>
      </c>
      <c r="I274" s="42">
        <f t="shared" si="188"/>
        <v>5</v>
      </c>
      <c r="J274" s="6" t="str" cm="1">
        <f t="array" ref="J274">IF(B274="","",INDEX('Exercise list'!$D$5:$D$102,B274))</f>
        <v/>
      </c>
      <c r="K274" s="12"/>
      <c r="L274" s="74" t="str" cm="1">
        <f t="array" ref="L274">IF(K274="","",INDEX('Exercise list'!$C$5:$C$102,K274))</f>
        <v/>
      </c>
      <c r="M274" s="6"/>
      <c r="N274" s="75" t="str" cm="1">
        <f t="array" ref="N274">IF(M274="","",INDEX('Exercise list'!$C$5:$C$102,M274))</f>
        <v/>
      </c>
      <c r="P274">
        <f>IFERROR(INDEX('Exercise list'!$E$5:$X$102,MATCH($C274,'Exercise list'!$C$5:$C$102,0),MATCH(P$5,'Exercise list'!$E$4:$X$4,0)),0)</f>
        <v>0</v>
      </c>
      <c r="Q274">
        <f>IFERROR(INDEX('Exercise list'!$E$5:$X$102,MATCH($C274,'Exercise list'!$C$5:$C$102,0),MATCH(Q$5,'Exercise list'!$E$4:$X$4,0)),0)</f>
        <v>0</v>
      </c>
      <c r="R274">
        <f>IFERROR(INDEX('Exercise list'!$E$5:$X$102,MATCH($C274,'Exercise list'!$C$5:$C$102,0),MATCH(R$5,'Exercise list'!$E$4:$X$4,0)),0)</f>
        <v>0</v>
      </c>
      <c r="S274">
        <f>IFERROR(INDEX('Exercise list'!$E$5:$X$102,MATCH($C274,'Exercise list'!$C$5:$C$102,0),MATCH(S$5,'Exercise list'!$E$4:$X$4,0)),0)</f>
        <v>0</v>
      </c>
      <c r="T274">
        <f>IFERROR(INDEX('Exercise list'!$E$5:$X$102,MATCH($C274,'Exercise list'!$C$5:$C$102,0),MATCH(T$5,'Exercise list'!$E$4:$X$4,0)),0)</f>
        <v>0</v>
      </c>
      <c r="U274">
        <f>IFERROR(INDEX('Exercise list'!$E$5:$X$102,MATCH($C274,'Exercise list'!$C$5:$C$102,0),MATCH(U$5,'Exercise list'!$E$4:$X$4,0)),0)</f>
        <v>0</v>
      </c>
      <c r="V274">
        <f>IFERROR(INDEX('Exercise list'!$E$5:$X$102,MATCH($C274,'Exercise list'!$C$5:$C$102,0),MATCH(V$5,'Exercise list'!$E$4:$X$4,0)),0)</f>
        <v>0</v>
      </c>
      <c r="W274">
        <f>IFERROR(INDEX('Exercise list'!$E$5:$X$102,MATCH($C274,'Exercise list'!$C$5:$C$102,0),MATCH(W$5,'Exercise list'!$E$4:$X$4,0)),0)</f>
        <v>0</v>
      </c>
      <c r="X274">
        <f>IFERROR(INDEX('Exercise list'!$E$5:$X$102,MATCH($C274,'Exercise list'!$C$5:$C$102,0),MATCH(X$5,'Exercise list'!$E$4:$X$4,0)),0)</f>
        <v>0</v>
      </c>
      <c r="Y274">
        <f>IFERROR(INDEX('Exercise list'!$E$5:$X$102,MATCH($C274,'Exercise list'!$C$5:$C$102,0),MATCH(Y$5,'Exercise list'!$E$4:$X$4,0)),0)</f>
        <v>0</v>
      </c>
      <c r="Z274">
        <f>IFERROR(INDEX('Exercise list'!$E$5:$X$102,MATCH($C274,'Exercise list'!$C$5:$C$102,0),MATCH(Z$5,'Exercise list'!$E$4:$X$4,0)),0)</f>
        <v>0</v>
      </c>
      <c r="AA274">
        <f>IFERROR(INDEX('Exercise list'!$E$5:$X$102,MATCH($C274,'Exercise list'!$C$5:$C$102,0),MATCH(AA$5,'Exercise list'!$E$4:$X$4,0)),0)</f>
        <v>0</v>
      </c>
      <c r="AB274">
        <f>IFERROR(INDEX('Exercise list'!$E$5:$X$102,MATCH($C274,'Exercise list'!$C$5:$C$102,0),MATCH(AB$5,'Exercise list'!$E$4:$X$4,0)),0)</f>
        <v>0</v>
      </c>
      <c r="AC274">
        <f>IFERROR(INDEX('Exercise list'!$E$5:$X$102,MATCH($C274,'Exercise list'!$C$5:$C$102,0),MATCH(AC$5,'Exercise list'!$E$4:$X$4,0)),0)</f>
        <v>0</v>
      </c>
      <c r="AD274">
        <f>IFERROR(INDEX('Exercise list'!$E$5:$X$102,MATCH($C274,'Exercise list'!$C$5:$C$102,0),MATCH(AD$5,'Exercise list'!$E$4:$X$4,0)),0)</f>
        <v>0</v>
      </c>
      <c r="AE274">
        <f>IFERROR(INDEX('Exercise list'!$E$5:$X$102,MATCH($C274,'Exercise list'!$C$5:$C$102,0),MATCH(AE$5,'Exercise list'!$E$4:$X$4,0)),0)</f>
        <v>0</v>
      </c>
      <c r="AF274">
        <f>IFERROR(INDEX('Exercise list'!$E$5:$X$102,MATCH($C274,'Exercise list'!$C$5:$C$102,0),MATCH(AF$5,'Exercise list'!$E$4:$X$4,0)),0)</f>
        <v>0</v>
      </c>
      <c r="AG274">
        <f>IFERROR(INDEX('Exercise list'!$E$5:$X$102,MATCH($C274,'Exercise list'!$C$5:$C$102,0),MATCH(AG$5,'Exercise list'!$E$4:$X$4,0)),0)</f>
        <v>0</v>
      </c>
      <c r="AH274">
        <f>IFERROR(INDEX('Exercise list'!$E$5:$X$102,MATCH($C274,'Exercise list'!$C$5:$C$102,0),MATCH(AH$5,'Exercise list'!$E$4:$X$4,0)),0)</f>
        <v>0</v>
      </c>
      <c r="AI274">
        <f>IFERROR(INDEX('Exercise list'!$E$5:$X$102,MATCH($C274,'Exercise list'!$C$5:$C$102,0),MATCH(AI$5,'Exercise list'!$E$4:$X$4,0)),0)</f>
        <v>0</v>
      </c>
      <c r="AK274">
        <f>IF(OR($J274=1,COUNTIFS($A$5:$A273,"&gt;="&amp;$A274-1,$A$5:$A273,"&lt;="&amp;$A274,$B$5:$B273,$B274)&gt;0,MIN(1-'Exercise list'!E$2,IF($A274=$A273,AK273,1))-P274&lt;0),-1,MIN(1,IF($A274=$A273,AK273,1)-P274+$D$2))</f>
        <v>1</v>
      </c>
      <c r="AL274">
        <f>IF(OR($J274=1,COUNTIFS($A$5:$A273,"&gt;="&amp;$A274-1,$A$5:$A273,"&lt;="&amp;$A274,$B$5:$B273,$B274)&gt;0,MIN(1-'Exercise list'!F$2,IF($A274=$A273,AL273,1))-Q274&lt;0),-1,MIN(1,IF($A274=$A273,AL273,1)-Q274+$D$2))</f>
        <v>1</v>
      </c>
      <c r="AM274">
        <f>IF(OR($J274=1,COUNTIFS($A$5:$A273,"&gt;="&amp;$A274-1,$A$5:$A273,"&lt;="&amp;$A274,$B$5:$B273,$B274)&gt;0,MIN(1-'Exercise list'!G$2,IF($A274=$A273,AM273,1))-R274&lt;0),-1,MIN(1,IF($A274=$A273,AM273,1)-R274+$D$2))</f>
        <v>1</v>
      </c>
      <c r="AN274">
        <f>IF(OR($J274=1,COUNTIFS($A$5:$A273,"&gt;="&amp;$A274-1,$A$5:$A273,"&lt;="&amp;$A274,$B$5:$B273,$B274)&gt;0,MIN(1-'Exercise list'!H$2,IF($A274=$A273,AN273,1))-S274&lt;0),-1,MIN(1,IF($A274=$A273,AN273,1)-S274+$D$2))</f>
        <v>1</v>
      </c>
      <c r="AO274">
        <f>IF(OR($J274=1,COUNTIFS($A$5:$A273,"&gt;="&amp;$A274-1,$A$5:$A273,"&lt;="&amp;$A274,$B$5:$B273,$B274)&gt;0,MIN(1-'Exercise list'!I$2,IF($A274=$A273,AO273,1))-T274&lt;0),-1,MIN(1,IF($A274=$A273,AO273,1)-T274+$D$2))</f>
        <v>1</v>
      </c>
      <c r="AP274">
        <f>IF(OR($J274=1,COUNTIFS($A$5:$A273,"&gt;="&amp;$A274-1,$A$5:$A273,"&lt;="&amp;$A274,$B$5:$B273,$B274)&gt;0,MIN(1-'Exercise list'!J$2,IF($A274=$A273,AP273,1))-U274&lt;0),-1,MIN(1,IF($A274=$A273,AP273,1)-U274+$D$2))</f>
        <v>1</v>
      </c>
      <c r="AQ274">
        <f>IF(OR($J274=1,COUNTIFS($A$5:$A273,"&gt;="&amp;$A274-1,$A$5:$A273,"&lt;="&amp;$A274,$B$5:$B273,$B274)&gt;0,MIN(1-'Exercise list'!K$2,IF($A274=$A273,AQ273,1))-V274&lt;0),-1,MIN(1,IF($A274=$A273,AQ273,1)-V274+$D$2))</f>
        <v>1</v>
      </c>
      <c r="AR274">
        <f>IF(OR($J274=1,COUNTIFS($A$5:$A273,"&gt;="&amp;$A274-1,$A$5:$A273,"&lt;="&amp;$A274,$B$5:$B273,$B274)&gt;0,MIN(1-'Exercise list'!L$2,IF($A274=$A273,AR273,1))-W274&lt;0),-1,MIN(1,IF($A274=$A273,AR273,1)-W274+$D$2))</f>
        <v>1</v>
      </c>
      <c r="AS274">
        <f>IF(OR($J274=1,COUNTIFS($A$5:$A273,"&gt;="&amp;$A274-1,$A$5:$A273,"&lt;="&amp;$A274,$B$5:$B273,$B274)&gt;0,MIN(1-'Exercise list'!M$2,IF($A274=$A273,AS273,1))-X274&lt;0),-1,MIN(1,IF($A274=$A273,AS273,1)-X274+$D$2))</f>
        <v>1</v>
      </c>
      <c r="AT274">
        <f>IF(OR($J274=1,COUNTIFS($A$5:$A273,"&gt;="&amp;$A274-1,$A$5:$A273,"&lt;="&amp;$A274,$B$5:$B273,$B274)&gt;0,MIN(1-'Exercise list'!N$2,IF($A274=$A273,AT273,1))-Y274&lt;0),-1,MIN(1,IF($A274=$A273,AT273,1)-Y274+$D$2))</f>
        <v>1</v>
      </c>
      <c r="AU274">
        <f>IF(OR($J274=1,COUNTIFS($A$5:$A273,"&gt;="&amp;$A274-1,$A$5:$A273,"&lt;="&amp;$A274,$B$5:$B273,$B274)&gt;0,MIN(1-'Exercise list'!O$2,IF($A274=$A273,AU273,1))-Z274&lt;0),-1,MIN(1,IF($A274=$A273,AU273,1)-Z274+$D$2))</f>
        <v>1</v>
      </c>
      <c r="AV274">
        <f>IF(OR($J274=1,COUNTIFS($A$5:$A273,"&gt;="&amp;$A274-1,$A$5:$A273,"&lt;="&amp;$A274,$B$5:$B273,$B274)&gt;0,MIN(1-'Exercise list'!P$2,IF($A274=$A273,AV273,1))-AA274&lt;0),-1,MIN(1,IF($A274=$A273,AV273,1)-AA274+$D$2))</f>
        <v>1</v>
      </c>
      <c r="AW274">
        <f>IF(OR($J274=1,COUNTIFS($A$5:$A273,"&gt;="&amp;$A274-1,$A$5:$A273,"&lt;="&amp;$A274,$B$5:$B273,$B274)&gt;0,MIN(1-'Exercise list'!Q$2,IF($A274=$A273,AW273,1))-AB274&lt;0),-1,MIN(1,IF($A274=$A273,AW273,1)-AB274+$D$2))</f>
        <v>1</v>
      </c>
      <c r="AX274">
        <f>IF(OR($J274=1,COUNTIFS($A$5:$A273,"&gt;="&amp;$A274-1,$A$5:$A273,"&lt;="&amp;$A274,$B$5:$B273,$B274)&gt;0,MIN(1-'Exercise list'!R$2,IF($A274=$A273,AX273,1))-AC274&lt;0),-1,MIN(1,IF($A274=$A273,AX273,1)-AC274+$D$2))</f>
        <v>1</v>
      </c>
      <c r="AY274">
        <f>IF(OR($J274=1,COUNTIFS($A$5:$A273,"&gt;="&amp;$A274-1,$A$5:$A273,"&lt;="&amp;$A274,$B$5:$B273,$B274)&gt;0,MIN(1-'Exercise list'!S$2,IF($A274=$A273,AY273,1))-AD274&lt;0),-1,MIN(1,IF($A274=$A273,AY273,1)-AD274+$D$2))</f>
        <v>1</v>
      </c>
      <c r="AZ274">
        <f>IF(OR($J274=1,COUNTIFS($A$5:$A273,"&gt;="&amp;$A274-1,$A$5:$A273,"&lt;="&amp;$A274,$B$5:$B273,$B274)&gt;0,MIN(1-'Exercise list'!T$2,IF($A274=$A273,AZ273,1))-AE274&lt;0),-1,MIN(1,IF($A274=$A273,AZ273,1)-AE274+$D$2))</f>
        <v>1</v>
      </c>
      <c r="BA274">
        <f>IF(OR($J274=1,COUNTIFS($A$5:$A273,"&gt;="&amp;$A274-1,$A$5:$A273,"&lt;="&amp;$A274,$B$5:$B273,$B274)&gt;0,MIN(1-'Exercise list'!U$2,IF($A274=$A273,BA273,1))-AF274&lt;0),-1,MIN(1,IF($A274=$A273,BA273,1)-AF274+$D$2))</f>
        <v>1</v>
      </c>
      <c r="BB274">
        <f>IF(OR($J274=1,COUNTIFS($A$5:$A273,"&gt;="&amp;$A274-1,$A$5:$A273,"&lt;="&amp;$A274,$B$5:$B273,$B274)&gt;0,MIN(1-'Exercise list'!V$2,IF($A274=$A273,BB273,1))-AG274&lt;0),-1,MIN(1,IF($A274=$A273,BB273,1)-AG274+$D$2))</f>
        <v>1</v>
      </c>
      <c r="BC274">
        <f>IF(OR($J274=1,COUNTIFS($A$5:$A273,"&gt;="&amp;$A274-1,$A$5:$A273,"&lt;="&amp;$A274,$B$5:$B273,$B274)&gt;0,MIN(1-'Exercise list'!W$2,IF($A274=$A273,BC273,1))-AH274&lt;0),-1,MIN(1,IF($A274=$A273,BC273,1)-AH274+$D$2))</f>
        <v>1</v>
      </c>
      <c r="BD274">
        <f>IF(OR($J274=1,COUNTIFS($A$5:$A273,"&gt;="&amp;$A274-1,$A$5:$A273,"&lt;="&amp;$A274,$B$5:$B273,$B274)&gt;0,MIN(1-'Exercise list'!X$2,IF($A274=$A273,BD273,1))-AI274&lt;0),-1,MIN(1,IF($A274=$A273,BD273,1)-AI274+$D$2))</f>
        <v>1</v>
      </c>
      <c r="BF274" s="16">
        <f t="shared" si="189"/>
        <v>0.19596031081758858</v>
      </c>
      <c r="BG274" s="16">
        <f t="shared" si="190"/>
        <v>0.21844636935459236</v>
      </c>
      <c r="BH274" s="16">
        <f t="shared" si="191"/>
        <v>0.14609696635987124</v>
      </c>
      <c r="BI274" s="16">
        <f t="shared" si="192"/>
        <v>0.13198015366034541</v>
      </c>
      <c r="BJ274" s="16">
        <f t="shared" si="193"/>
        <v>8.3367914198418713E-2</v>
      </c>
      <c r="BK274" s="16">
        <f t="shared" si="194"/>
        <v>0.10640640223148412</v>
      </c>
      <c r="BL274" s="16">
        <f t="shared" si="195"/>
        <v>0.21963504743569431</v>
      </c>
      <c r="BM274" s="16">
        <f t="shared" si="196"/>
        <v>3.8988008374820568E-3</v>
      </c>
      <c r="BN274" s="16">
        <f t="shared" si="197"/>
        <v>0.14537706087090876</v>
      </c>
      <c r="BO274" s="16">
        <f t="shared" si="198"/>
        <v>0.29209790661993401</v>
      </c>
      <c r="BP274" s="16">
        <f t="shared" si="199"/>
        <v>0.31584545163401867</v>
      </c>
      <c r="BQ274" s="16">
        <f t="shared" si="200"/>
        <v>0.1000007994126096</v>
      </c>
      <c r="BR274" s="16">
        <f t="shared" si="201"/>
        <v>0.13164487759885393</v>
      </c>
      <c r="BS274" s="16">
        <f t="shared" si="202"/>
        <v>2.9803550189863123E-2</v>
      </c>
      <c r="BT274" s="16">
        <f t="shared" si="203"/>
        <v>0.13492040904978705</v>
      </c>
      <c r="BU274" s="16">
        <f t="shared" si="204"/>
        <v>0.11703687414398131</v>
      </c>
      <c r="BV274" s="16">
        <f t="shared" si="205"/>
        <v>0.14633353213781661</v>
      </c>
      <c r="BW274" s="16">
        <f t="shared" si="206"/>
        <v>7.5588015111767173E-2</v>
      </c>
      <c r="BX274" s="16">
        <f t="shared" si="207"/>
        <v>8.0345659937185704E-2</v>
      </c>
      <c r="BY274" s="16">
        <f t="shared" si="208"/>
        <v>5.9014643151272549E-2</v>
      </c>
      <c r="CA274" s="16" t="str">
        <f t="shared" si="229"/>
        <v/>
      </c>
      <c r="CB274" s="16" t="str">
        <f t="shared" si="210"/>
        <v/>
      </c>
      <c r="CC274" s="16" t="str">
        <f t="shared" si="211"/>
        <v/>
      </c>
      <c r="CD274" s="16" t="str">
        <f t="shared" si="212"/>
        <v/>
      </c>
      <c r="CE274" s="16" t="str">
        <f t="shared" si="213"/>
        <v/>
      </c>
      <c r="CF274" s="16" t="str">
        <f t="shared" si="214"/>
        <v/>
      </c>
      <c r="CG274" s="16" t="str">
        <f t="shared" si="215"/>
        <v/>
      </c>
      <c r="CH274" s="16" t="str">
        <f t="shared" si="216"/>
        <v/>
      </c>
      <c r="CI274" s="16" t="str">
        <f t="shared" si="217"/>
        <v/>
      </c>
      <c r="CJ274" s="16" t="str">
        <f t="shared" si="218"/>
        <v/>
      </c>
      <c r="CK274" s="16" t="str">
        <f t="shared" si="219"/>
        <v/>
      </c>
      <c r="CL274" s="16" t="str">
        <f t="shared" si="220"/>
        <v/>
      </c>
      <c r="CM274" s="16" t="str">
        <f t="shared" si="221"/>
        <v/>
      </c>
      <c r="CN274" s="16" t="str">
        <f t="shared" si="222"/>
        <v/>
      </c>
      <c r="CO274" s="16" t="str">
        <f t="shared" si="223"/>
        <v/>
      </c>
      <c r="CP274" s="16" t="str">
        <f t="shared" si="224"/>
        <v/>
      </c>
      <c r="CQ274" s="16" t="str">
        <f t="shared" si="225"/>
        <v/>
      </c>
      <c r="CR274" s="16" t="str">
        <f t="shared" si="226"/>
        <v/>
      </c>
      <c r="CS274" s="16" t="str">
        <f t="shared" si="227"/>
        <v/>
      </c>
      <c r="CT274" s="16" t="str">
        <f t="shared" si="228"/>
        <v/>
      </c>
    </row>
    <row r="275" spans="1:99" x14ac:dyDescent="0.25">
      <c r="A275" s="13"/>
      <c r="B275" s="14"/>
      <c r="C275" s="15" t="str" cm="1">
        <f t="array" ref="C275">IF(B275="","",INDEX('Exercise list'!$C$5:$C$102,B275))</f>
        <v/>
      </c>
      <c r="D275" s="12" t="str">
        <f t="shared" si="186"/>
        <v/>
      </c>
      <c r="E275" s="107" t="str">
        <f t="shared" si="209"/>
        <v/>
      </c>
      <c r="F275" s="63" t="str" cm="1">
        <f t="array" ref="F275">IF(B275="","",0.1+IFERROR(INDEX($F$6:$F274,SUMPRODUCT(MAX(ROW($C$6:$C274)*($C275=$C$6:$C274))-ROW($A$5)))*0.9^($A275-INDEX($A$6:A274,SUMPRODUCT(MAX(ROW($C$6:$C274)*($C275=$C$6:$C274))-ROW($A$5)))),0))</f>
        <v/>
      </c>
      <c r="G275" s="64" t="e">
        <f>INDEX('Exercise list'!$Y$5:$Y$102,MATCH(C275,'Exercise list'!$C$5:$C$102,0))</f>
        <v>#N/A</v>
      </c>
      <c r="H275" s="115">
        <f t="shared" si="187"/>
        <v>0</v>
      </c>
      <c r="I275" s="6">
        <f t="shared" si="188"/>
        <v>5</v>
      </c>
      <c r="J275" s="6" t="str" cm="1">
        <f t="array" ref="J275">IF(B275="","",INDEX('Exercise list'!$D$5:$D$102,B275))</f>
        <v/>
      </c>
      <c r="K275" s="12"/>
      <c r="L275" s="74" t="str" cm="1">
        <f t="array" ref="L275">IF(K275="","",INDEX('Exercise list'!$C$5:$C$102,K275))</f>
        <v/>
      </c>
      <c r="M275" s="6"/>
      <c r="N275" s="75" t="str" cm="1">
        <f t="array" ref="N275">IF(M275="","",INDEX('Exercise list'!$C$5:$C$102,M275))</f>
        <v/>
      </c>
      <c r="P275">
        <f>IFERROR(INDEX('Exercise list'!$E$5:$X$102,MATCH($C275,'Exercise list'!$C$5:$C$102,0),MATCH(P$5,'Exercise list'!$E$4:$X$4,0)),0)</f>
        <v>0</v>
      </c>
      <c r="Q275">
        <f>IFERROR(INDEX('Exercise list'!$E$5:$X$102,MATCH($C275,'Exercise list'!$C$5:$C$102,0),MATCH(Q$5,'Exercise list'!$E$4:$X$4,0)),0)</f>
        <v>0</v>
      </c>
      <c r="R275">
        <f>IFERROR(INDEX('Exercise list'!$E$5:$X$102,MATCH($C275,'Exercise list'!$C$5:$C$102,0),MATCH(R$5,'Exercise list'!$E$4:$X$4,0)),0)</f>
        <v>0</v>
      </c>
      <c r="S275">
        <f>IFERROR(INDEX('Exercise list'!$E$5:$X$102,MATCH($C275,'Exercise list'!$C$5:$C$102,0),MATCH(S$5,'Exercise list'!$E$4:$X$4,0)),0)</f>
        <v>0</v>
      </c>
      <c r="T275">
        <f>IFERROR(INDEX('Exercise list'!$E$5:$X$102,MATCH($C275,'Exercise list'!$C$5:$C$102,0),MATCH(T$5,'Exercise list'!$E$4:$X$4,0)),0)</f>
        <v>0</v>
      </c>
      <c r="U275">
        <f>IFERROR(INDEX('Exercise list'!$E$5:$X$102,MATCH($C275,'Exercise list'!$C$5:$C$102,0),MATCH(U$5,'Exercise list'!$E$4:$X$4,0)),0)</f>
        <v>0</v>
      </c>
      <c r="V275">
        <f>IFERROR(INDEX('Exercise list'!$E$5:$X$102,MATCH($C275,'Exercise list'!$C$5:$C$102,0),MATCH(V$5,'Exercise list'!$E$4:$X$4,0)),0)</f>
        <v>0</v>
      </c>
      <c r="W275">
        <f>IFERROR(INDEX('Exercise list'!$E$5:$X$102,MATCH($C275,'Exercise list'!$C$5:$C$102,0),MATCH(W$5,'Exercise list'!$E$4:$X$4,0)),0)</f>
        <v>0</v>
      </c>
      <c r="X275">
        <f>IFERROR(INDEX('Exercise list'!$E$5:$X$102,MATCH($C275,'Exercise list'!$C$5:$C$102,0),MATCH(X$5,'Exercise list'!$E$4:$X$4,0)),0)</f>
        <v>0</v>
      </c>
      <c r="Y275">
        <f>IFERROR(INDEX('Exercise list'!$E$5:$X$102,MATCH($C275,'Exercise list'!$C$5:$C$102,0),MATCH(Y$5,'Exercise list'!$E$4:$X$4,0)),0)</f>
        <v>0</v>
      </c>
      <c r="Z275">
        <f>IFERROR(INDEX('Exercise list'!$E$5:$X$102,MATCH($C275,'Exercise list'!$C$5:$C$102,0),MATCH(Z$5,'Exercise list'!$E$4:$X$4,0)),0)</f>
        <v>0</v>
      </c>
      <c r="AA275">
        <f>IFERROR(INDEX('Exercise list'!$E$5:$X$102,MATCH($C275,'Exercise list'!$C$5:$C$102,0),MATCH(AA$5,'Exercise list'!$E$4:$X$4,0)),0)</f>
        <v>0</v>
      </c>
      <c r="AB275">
        <f>IFERROR(INDEX('Exercise list'!$E$5:$X$102,MATCH($C275,'Exercise list'!$C$5:$C$102,0),MATCH(AB$5,'Exercise list'!$E$4:$X$4,0)),0)</f>
        <v>0</v>
      </c>
      <c r="AC275">
        <f>IFERROR(INDEX('Exercise list'!$E$5:$X$102,MATCH($C275,'Exercise list'!$C$5:$C$102,0),MATCH(AC$5,'Exercise list'!$E$4:$X$4,0)),0)</f>
        <v>0</v>
      </c>
      <c r="AD275">
        <f>IFERROR(INDEX('Exercise list'!$E$5:$X$102,MATCH($C275,'Exercise list'!$C$5:$C$102,0),MATCH(AD$5,'Exercise list'!$E$4:$X$4,0)),0)</f>
        <v>0</v>
      </c>
      <c r="AE275">
        <f>IFERROR(INDEX('Exercise list'!$E$5:$X$102,MATCH($C275,'Exercise list'!$C$5:$C$102,0),MATCH(AE$5,'Exercise list'!$E$4:$X$4,0)),0)</f>
        <v>0</v>
      </c>
      <c r="AF275">
        <f>IFERROR(INDEX('Exercise list'!$E$5:$X$102,MATCH($C275,'Exercise list'!$C$5:$C$102,0),MATCH(AF$5,'Exercise list'!$E$4:$X$4,0)),0)</f>
        <v>0</v>
      </c>
      <c r="AG275">
        <f>IFERROR(INDEX('Exercise list'!$E$5:$X$102,MATCH($C275,'Exercise list'!$C$5:$C$102,0),MATCH(AG$5,'Exercise list'!$E$4:$X$4,0)),0)</f>
        <v>0</v>
      </c>
      <c r="AH275">
        <f>IFERROR(INDEX('Exercise list'!$E$5:$X$102,MATCH($C275,'Exercise list'!$C$5:$C$102,0),MATCH(AH$5,'Exercise list'!$E$4:$X$4,0)),0)</f>
        <v>0</v>
      </c>
      <c r="AI275">
        <f>IFERROR(INDEX('Exercise list'!$E$5:$X$102,MATCH($C275,'Exercise list'!$C$5:$C$102,0),MATCH(AI$5,'Exercise list'!$E$4:$X$4,0)),0)</f>
        <v>0</v>
      </c>
      <c r="AK275">
        <f>IF(OR($J275=1,COUNTIFS($A$5:$A274,"&gt;="&amp;$A275-1,$A$5:$A274,"&lt;="&amp;$A275,$B$5:$B274,$B275)&gt;0,MIN(1-'Exercise list'!E$2,IF($A275=$A274,AK274,1))-P275&lt;0),-1,MIN(1,IF($A275=$A274,AK274,1)-P275+$D$2))</f>
        <v>1</v>
      </c>
      <c r="AL275">
        <f>IF(OR($J275=1,COUNTIFS($A$5:$A274,"&gt;="&amp;$A275-1,$A$5:$A274,"&lt;="&amp;$A275,$B$5:$B274,$B275)&gt;0,MIN(1-'Exercise list'!F$2,IF($A275=$A274,AL274,1))-Q275&lt;0),-1,MIN(1,IF($A275=$A274,AL274,1)-Q275+$D$2))</f>
        <v>1</v>
      </c>
      <c r="AM275">
        <f>IF(OR($J275=1,COUNTIFS($A$5:$A274,"&gt;="&amp;$A275-1,$A$5:$A274,"&lt;="&amp;$A275,$B$5:$B274,$B275)&gt;0,MIN(1-'Exercise list'!G$2,IF($A275=$A274,AM274,1))-R275&lt;0),-1,MIN(1,IF($A275=$A274,AM274,1)-R275+$D$2))</f>
        <v>1</v>
      </c>
      <c r="AN275">
        <f>IF(OR($J275=1,COUNTIFS($A$5:$A274,"&gt;="&amp;$A275-1,$A$5:$A274,"&lt;="&amp;$A275,$B$5:$B274,$B275)&gt;0,MIN(1-'Exercise list'!H$2,IF($A275=$A274,AN274,1))-S275&lt;0),-1,MIN(1,IF($A275=$A274,AN274,1)-S275+$D$2))</f>
        <v>1</v>
      </c>
      <c r="AO275">
        <f>IF(OR($J275=1,COUNTIFS($A$5:$A274,"&gt;="&amp;$A275-1,$A$5:$A274,"&lt;="&amp;$A275,$B$5:$B274,$B275)&gt;0,MIN(1-'Exercise list'!I$2,IF($A275=$A274,AO274,1))-T275&lt;0),-1,MIN(1,IF($A275=$A274,AO274,1)-T275+$D$2))</f>
        <v>1</v>
      </c>
      <c r="AP275">
        <f>IF(OR($J275=1,COUNTIFS($A$5:$A274,"&gt;="&amp;$A275-1,$A$5:$A274,"&lt;="&amp;$A275,$B$5:$B274,$B275)&gt;0,MIN(1-'Exercise list'!J$2,IF($A275=$A274,AP274,1))-U275&lt;0),-1,MIN(1,IF($A275=$A274,AP274,1)-U275+$D$2))</f>
        <v>1</v>
      </c>
      <c r="AQ275">
        <f>IF(OR($J275=1,COUNTIFS($A$5:$A274,"&gt;="&amp;$A275-1,$A$5:$A274,"&lt;="&amp;$A275,$B$5:$B274,$B275)&gt;0,MIN(1-'Exercise list'!K$2,IF($A275=$A274,AQ274,1))-V275&lt;0),-1,MIN(1,IF($A275=$A274,AQ274,1)-V275+$D$2))</f>
        <v>1</v>
      </c>
      <c r="AR275">
        <f>IF(OR($J275=1,COUNTIFS($A$5:$A274,"&gt;="&amp;$A275-1,$A$5:$A274,"&lt;="&amp;$A275,$B$5:$B274,$B275)&gt;0,MIN(1-'Exercise list'!L$2,IF($A275=$A274,AR274,1))-W275&lt;0),-1,MIN(1,IF($A275=$A274,AR274,1)-W275+$D$2))</f>
        <v>1</v>
      </c>
      <c r="AS275">
        <f>IF(OR($J275=1,COUNTIFS($A$5:$A274,"&gt;="&amp;$A275-1,$A$5:$A274,"&lt;="&amp;$A275,$B$5:$B274,$B275)&gt;0,MIN(1-'Exercise list'!M$2,IF($A275=$A274,AS274,1))-X275&lt;0),-1,MIN(1,IF($A275=$A274,AS274,1)-X275+$D$2))</f>
        <v>1</v>
      </c>
      <c r="AT275">
        <f>IF(OR($J275=1,COUNTIFS($A$5:$A274,"&gt;="&amp;$A275-1,$A$5:$A274,"&lt;="&amp;$A275,$B$5:$B274,$B275)&gt;0,MIN(1-'Exercise list'!N$2,IF($A275=$A274,AT274,1))-Y275&lt;0),-1,MIN(1,IF($A275=$A274,AT274,1)-Y275+$D$2))</f>
        <v>1</v>
      </c>
      <c r="AU275">
        <f>IF(OR($J275=1,COUNTIFS($A$5:$A274,"&gt;="&amp;$A275-1,$A$5:$A274,"&lt;="&amp;$A275,$B$5:$B274,$B275)&gt;0,MIN(1-'Exercise list'!O$2,IF($A275=$A274,AU274,1))-Z275&lt;0),-1,MIN(1,IF($A275=$A274,AU274,1)-Z275+$D$2))</f>
        <v>1</v>
      </c>
      <c r="AV275">
        <f>IF(OR($J275=1,COUNTIFS($A$5:$A274,"&gt;="&amp;$A275-1,$A$5:$A274,"&lt;="&amp;$A275,$B$5:$B274,$B275)&gt;0,MIN(1-'Exercise list'!P$2,IF($A275=$A274,AV274,1))-AA275&lt;0),-1,MIN(1,IF($A275=$A274,AV274,1)-AA275+$D$2))</f>
        <v>1</v>
      </c>
      <c r="AW275">
        <f>IF(OR($J275=1,COUNTIFS($A$5:$A274,"&gt;="&amp;$A275-1,$A$5:$A274,"&lt;="&amp;$A275,$B$5:$B274,$B275)&gt;0,MIN(1-'Exercise list'!Q$2,IF($A275=$A274,AW274,1))-AB275&lt;0),-1,MIN(1,IF($A275=$A274,AW274,1)-AB275+$D$2))</f>
        <v>1</v>
      </c>
      <c r="AX275">
        <f>IF(OR($J275=1,COUNTIFS($A$5:$A274,"&gt;="&amp;$A275-1,$A$5:$A274,"&lt;="&amp;$A275,$B$5:$B274,$B275)&gt;0,MIN(1-'Exercise list'!R$2,IF($A275=$A274,AX274,1))-AC275&lt;0),-1,MIN(1,IF($A275=$A274,AX274,1)-AC275+$D$2))</f>
        <v>1</v>
      </c>
      <c r="AY275">
        <f>IF(OR($J275=1,COUNTIFS($A$5:$A274,"&gt;="&amp;$A275-1,$A$5:$A274,"&lt;="&amp;$A275,$B$5:$B274,$B275)&gt;0,MIN(1-'Exercise list'!S$2,IF($A275=$A274,AY274,1))-AD275&lt;0),-1,MIN(1,IF($A275=$A274,AY274,1)-AD275+$D$2))</f>
        <v>1</v>
      </c>
      <c r="AZ275">
        <f>IF(OR($J275=1,COUNTIFS($A$5:$A274,"&gt;="&amp;$A275-1,$A$5:$A274,"&lt;="&amp;$A275,$B$5:$B274,$B275)&gt;0,MIN(1-'Exercise list'!T$2,IF($A275=$A274,AZ274,1))-AE275&lt;0),-1,MIN(1,IF($A275=$A274,AZ274,1)-AE275+$D$2))</f>
        <v>1</v>
      </c>
      <c r="BA275">
        <f>IF(OR($J275=1,COUNTIFS($A$5:$A274,"&gt;="&amp;$A275-1,$A$5:$A274,"&lt;="&amp;$A275,$B$5:$B274,$B275)&gt;0,MIN(1-'Exercise list'!U$2,IF($A275=$A274,BA274,1))-AF275&lt;0),-1,MIN(1,IF($A275=$A274,BA274,1)-AF275+$D$2))</f>
        <v>1</v>
      </c>
      <c r="BB275">
        <f>IF(OR($J275=1,COUNTIFS($A$5:$A274,"&gt;="&amp;$A275-1,$A$5:$A274,"&lt;="&amp;$A275,$B$5:$B274,$B275)&gt;0,MIN(1-'Exercise list'!V$2,IF($A275=$A274,BB274,1))-AG275&lt;0),-1,MIN(1,IF($A275=$A274,BB274,1)-AG275+$D$2))</f>
        <v>1</v>
      </c>
      <c r="BC275">
        <f>IF(OR($J275=1,COUNTIFS($A$5:$A274,"&gt;="&amp;$A275-1,$A$5:$A274,"&lt;="&amp;$A275,$B$5:$B274,$B275)&gt;0,MIN(1-'Exercise list'!W$2,IF($A275=$A274,BC274,1))-AH275&lt;0),-1,MIN(1,IF($A275=$A274,BC274,1)-AH275+$D$2))</f>
        <v>1</v>
      </c>
      <c r="BD275">
        <f>IF(OR($J275=1,COUNTIFS($A$5:$A274,"&gt;="&amp;$A275-1,$A$5:$A274,"&lt;="&amp;$A275,$B$5:$B274,$B275)&gt;0,MIN(1-'Exercise list'!X$2,IF($A275=$A274,BD274,1))-AI275&lt;0),-1,MIN(1,IF($A275=$A274,BD274,1)-AI275+$D$2))</f>
        <v>1</v>
      </c>
      <c r="BF275" s="16">
        <f t="shared" si="189"/>
        <v>0.19596031081758858</v>
      </c>
      <c r="BG275" s="16">
        <f t="shared" si="190"/>
        <v>0.21844636935459236</v>
      </c>
      <c r="BH275" s="16">
        <f t="shared" si="191"/>
        <v>0.14609696635987124</v>
      </c>
      <c r="BI275" s="16">
        <f t="shared" si="192"/>
        <v>0.13198015366034541</v>
      </c>
      <c r="BJ275" s="16">
        <f t="shared" si="193"/>
        <v>8.3367914198418713E-2</v>
      </c>
      <c r="BK275" s="16">
        <f t="shared" si="194"/>
        <v>0.10640640223148412</v>
      </c>
      <c r="BL275" s="16">
        <f t="shared" si="195"/>
        <v>0.21963504743569431</v>
      </c>
      <c r="BM275" s="16">
        <f t="shared" si="196"/>
        <v>3.8988008374820568E-3</v>
      </c>
      <c r="BN275" s="16">
        <f t="shared" si="197"/>
        <v>0.14537706087090876</v>
      </c>
      <c r="BO275" s="16">
        <f t="shared" si="198"/>
        <v>0.29209790661993401</v>
      </c>
      <c r="BP275" s="16">
        <f t="shared" si="199"/>
        <v>0.31584545163401867</v>
      </c>
      <c r="BQ275" s="16">
        <f t="shared" si="200"/>
        <v>0.1000007994126096</v>
      </c>
      <c r="BR275" s="16">
        <f t="shared" si="201"/>
        <v>0.13164487759885393</v>
      </c>
      <c r="BS275" s="16">
        <f t="shared" si="202"/>
        <v>2.9803550189863123E-2</v>
      </c>
      <c r="BT275" s="16">
        <f t="shared" si="203"/>
        <v>0.13492040904978705</v>
      </c>
      <c r="BU275" s="16">
        <f t="shared" si="204"/>
        <v>0.11703687414398131</v>
      </c>
      <c r="BV275" s="16">
        <f t="shared" si="205"/>
        <v>0.14633353213781661</v>
      </c>
      <c r="BW275" s="16">
        <f t="shared" si="206"/>
        <v>7.5588015111767173E-2</v>
      </c>
      <c r="BX275" s="16">
        <f t="shared" si="207"/>
        <v>8.0345659937185704E-2</v>
      </c>
      <c r="BY275" s="16">
        <f t="shared" si="208"/>
        <v>5.9014643151272549E-2</v>
      </c>
      <c r="CA275" s="16" t="str">
        <f t="shared" si="229"/>
        <v/>
      </c>
      <c r="CB275" s="16" t="str">
        <f t="shared" si="210"/>
        <v/>
      </c>
      <c r="CC275" s="16" t="str">
        <f t="shared" si="211"/>
        <v/>
      </c>
      <c r="CD275" s="16" t="str">
        <f t="shared" si="212"/>
        <v/>
      </c>
      <c r="CE275" s="16" t="str">
        <f t="shared" si="213"/>
        <v/>
      </c>
      <c r="CF275" s="16" t="str">
        <f t="shared" si="214"/>
        <v/>
      </c>
      <c r="CG275" s="16" t="str">
        <f t="shared" si="215"/>
        <v/>
      </c>
      <c r="CH275" s="16" t="str">
        <f t="shared" si="216"/>
        <v/>
      </c>
      <c r="CI275" s="16" t="str">
        <f t="shared" si="217"/>
        <v/>
      </c>
      <c r="CJ275" s="16" t="str">
        <f t="shared" si="218"/>
        <v/>
      </c>
      <c r="CK275" s="16" t="str">
        <f t="shared" si="219"/>
        <v/>
      </c>
      <c r="CL275" s="16" t="str">
        <f t="shared" si="220"/>
        <v/>
      </c>
      <c r="CM275" s="16" t="str">
        <f t="shared" si="221"/>
        <v/>
      </c>
      <c r="CN275" s="16" t="str">
        <f t="shared" si="222"/>
        <v/>
      </c>
      <c r="CO275" s="16" t="str">
        <f t="shared" si="223"/>
        <v/>
      </c>
      <c r="CP275" s="16" t="str">
        <f t="shared" si="224"/>
        <v/>
      </c>
      <c r="CQ275" s="16" t="str">
        <f t="shared" si="225"/>
        <v/>
      </c>
      <c r="CR275" s="16" t="str">
        <f t="shared" si="226"/>
        <v/>
      </c>
      <c r="CS275" s="16" t="str">
        <f t="shared" si="227"/>
        <v/>
      </c>
      <c r="CT275" s="16" t="str">
        <f t="shared" si="228"/>
        <v/>
      </c>
    </row>
    <row r="276" spans="1:99" x14ac:dyDescent="0.25">
      <c r="A276" s="13"/>
      <c r="B276" s="14"/>
      <c r="C276" s="15" t="str" cm="1">
        <f t="array" ref="C276">IF(B276="","",INDEX('Exercise list'!$C$5:$C$102,B276))</f>
        <v/>
      </c>
      <c r="D276" s="12" t="str">
        <f t="shared" si="186"/>
        <v/>
      </c>
      <c r="E276" s="107" t="str">
        <f t="shared" si="209"/>
        <v/>
      </c>
      <c r="F276" s="63" t="str" cm="1">
        <f t="array" ref="F276">IF(B276="","",0.1+IFERROR(INDEX($F$6:$F275,SUMPRODUCT(MAX(ROW($C$6:$C275)*($C276=$C$6:$C275))-ROW($A$5)))*0.9^($A276-INDEX($A$6:A275,SUMPRODUCT(MAX(ROW($C$6:$C275)*($C276=$C$6:$C275))-ROW($A$5)))),0))</f>
        <v/>
      </c>
      <c r="G276" s="64" t="e">
        <f>INDEX('Exercise list'!$Y$5:$Y$102,MATCH(C276,'Exercise list'!$C$5:$C$102,0))</f>
        <v>#N/A</v>
      </c>
      <c r="H276" s="115">
        <f t="shared" si="187"/>
        <v>0</v>
      </c>
      <c r="I276" s="6">
        <f t="shared" si="188"/>
        <v>5</v>
      </c>
      <c r="J276" s="6" t="str" cm="1">
        <f t="array" ref="J276">IF(B276="","",INDEX('Exercise list'!$D$5:$D$102,B276))</f>
        <v/>
      </c>
      <c r="K276" s="12"/>
      <c r="L276" s="74" t="str" cm="1">
        <f t="array" ref="L276">IF(K276="","",INDEX('Exercise list'!$C$5:$C$102,K276))</f>
        <v/>
      </c>
      <c r="M276" s="6"/>
      <c r="N276" s="75" t="str" cm="1">
        <f t="array" ref="N276">IF(M276="","",INDEX('Exercise list'!$C$5:$C$102,M276))</f>
        <v/>
      </c>
      <c r="P276">
        <f>IFERROR(INDEX('Exercise list'!$E$5:$X$102,MATCH($C276,'Exercise list'!$C$5:$C$102,0),MATCH(P$5,'Exercise list'!$E$4:$X$4,0)),0)</f>
        <v>0</v>
      </c>
      <c r="Q276">
        <f>IFERROR(INDEX('Exercise list'!$E$5:$X$102,MATCH($C276,'Exercise list'!$C$5:$C$102,0),MATCH(Q$5,'Exercise list'!$E$4:$X$4,0)),0)</f>
        <v>0</v>
      </c>
      <c r="R276">
        <f>IFERROR(INDEX('Exercise list'!$E$5:$X$102,MATCH($C276,'Exercise list'!$C$5:$C$102,0),MATCH(R$5,'Exercise list'!$E$4:$X$4,0)),0)</f>
        <v>0</v>
      </c>
      <c r="S276">
        <f>IFERROR(INDEX('Exercise list'!$E$5:$X$102,MATCH($C276,'Exercise list'!$C$5:$C$102,0),MATCH(S$5,'Exercise list'!$E$4:$X$4,0)),0)</f>
        <v>0</v>
      </c>
      <c r="T276">
        <f>IFERROR(INDEX('Exercise list'!$E$5:$X$102,MATCH($C276,'Exercise list'!$C$5:$C$102,0),MATCH(T$5,'Exercise list'!$E$4:$X$4,0)),0)</f>
        <v>0</v>
      </c>
      <c r="U276">
        <f>IFERROR(INDEX('Exercise list'!$E$5:$X$102,MATCH($C276,'Exercise list'!$C$5:$C$102,0),MATCH(U$5,'Exercise list'!$E$4:$X$4,0)),0)</f>
        <v>0</v>
      </c>
      <c r="V276">
        <f>IFERROR(INDEX('Exercise list'!$E$5:$X$102,MATCH($C276,'Exercise list'!$C$5:$C$102,0),MATCH(V$5,'Exercise list'!$E$4:$X$4,0)),0)</f>
        <v>0</v>
      </c>
      <c r="W276">
        <f>IFERROR(INDEX('Exercise list'!$E$5:$X$102,MATCH($C276,'Exercise list'!$C$5:$C$102,0),MATCH(W$5,'Exercise list'!$E$4:$X$4,0)),0)</f>
        <v>0</v>
      </c>
      <c r="X276">
        <f>IFERROR(INDEX('Exercise list'!$E$5:$X$102,MATCH($C276,'Exercise list'!$C$5:$C$102,0),MATCH(X$5,'Exercise list'!$E$4:$X$4,0)),0)</f>
        <v>0</v>
      </c>
      <c r="Y276">
        <f>IFERROR(INDEX('Exercise list'!$E$5:$X$102,MATCH($C276,'Exercise list'!$C$5:$C$102,0),MATCH(Y$5,'Exercise list'!$E$4:$X$4,0)),0)</f>
        <v>0</v>
      </c>
      <c r="Z276">
        <f>IFERROR(INDEX('Exercise list'!$E$5:$X$102,MATCH($C276,'Exercise list'!$C$5:$C$102,0),MATCH(Z$5,'Exercise list'!$E$4:$X$4,0)),0)</f>
        <v>0</v>
      </c>
      <c r="AA276">
        <f>IFERROR(INDEX('Exercise list'!$E$5:$X$102,MATCH($C276,'Exercise list'!$C$5:$C$102,0),MATCH(AA$5,'Exercise list'!$E$4:$X$4,0)),0)</f>
        <v>0</v>
      </c>
      <c r="AB276">
        <f>IFERROR(INDEX('Exercise list'!$E$5:$X$102,MATCH($C276,'Exercise list'!$C$5:$C$102,0),MATCH(AB$5,'Exercise list'!$E$4:$X$4,0)),0)</f>
        <v>0</v>
      </c>
      <c r="AC276">
        <f>IFERROR(INDEX('Exercise list'!$E$5:$X$102,MATCH($C276,'Exercise list'!$C$5:$C$102,0),MATCH(AC$5,'Exercise list'!$E$4:$X$4,0)),0)</f>
        <v>0</v>
      </c>
      <c r="AD276">
        <f>IFERROR(INDEX('Exercise list'!$E$5:$X$102,MATCH($C276,'Exercise list'!$C$5:$C$102,0),MATCH(AD$5,'Exercise list'!$E$4:$X$4,0)),0)</f>
        <v>0</v>
      </c>
      <c r="AE276">
        <f>IFERROR(INDEX('Exercise list'!$E$5:$X$102,MATCH($C276,'Exercise list'!$C$5:$C$102,0),MATCH(AE$5,'Exercise list'!$E$4:$X$4,0)),0)</f>
        <v>0</v>
      </c>
      <c r="AF276">
        <f>IFERROR(INDEX('Exercise list'!$E$5:$X$102,MATCH($C276,'Exercise list'!$C$5:$C$102,0),MATCH(AF$5,'Exercise list'!$E$4:$X$4,0)),0)</f>
        <v>0</v>
      </c>
      <c r="AG276">
        <f>IFERROR(INDEX('Exercise list'!$E$5:$X$102,MATCH($C276,'Exercise list'!$C$5:$C$102,0),MATCH(AG$5,'Exercise list'!$E$4:$X$4,0)),0)</f>
        <v>0</v>
      </c>
      <c r="AH276">
        <f>IFERROR(INDEX('Exercise list'!$E$5:$X$102,MATCH($C276,'Exercise list'!$C$5:$C$102,0),MATCH(AH$5,'Exercise list'!$E$4:$X$4,0)),0)</f>
        <v>0</v>
      </c>
      <c r="AI276">
        <f>IFERROR(INDEX('Exercise list'!$E$5:$X$102,MATCH($C276,'Exercise list'!$C$5:$C$102,0),MATCH(AI$5,'Exercise list'!$E$4:$X$4,0)),0)</f>
        <v>0</v>
      </c>
      <c r="AK276">
        <f>IF(OR($J276=1,COUNTIFS($A$5:$A275,"&gt;="&amp;$A276-1,$A$5:$A275,"&lt;="&amp;$A276,$B$5:$B275,$B276)&gt;0,MIN(1-'Exercise list'!E$2,IF($A276=$A275,AK275,1))-P276&lt;0),-1,MIN(1,IF($A276=$A275,AK275,1)-P276+$D$2))</f>
        <v>1</v>
      </c>
      <c r="AL276">
        <f>IF(OR($J276=1,COUNTIFS($A$5:$A275,"&gt;="&amp;$A276-1,$A$5:$A275,"&lt;="&amp;$A276,$B$5:$B275,$B276)&gt;0,MIN(1-'Exercise list'!F$2,IF($A276=$A275,AL275,1))-Q276&lt;0),-1,MIN(1,IF($A276=$A275,AL275,1)-Q276+$D$2))</f>
        <v>1</v>
      </c>
      <c r="AM276">
        <f>IF(OR($J276=1,COUNTIFS($A$5:$A275,"&gt;="&amp;$A276-1,$A$5:$A275,"&lt;="&amp;$A276,$B$5:$B275,$B276)&gt;0,MIN(1-'Exercise list'!G$2,IF($A276=$A275,AM275,1))-R276&lt;0),-1,MIN(1,IF($A276=$A275,AM275,1)-R276+$D$2))</f>
        <v>1</v>
      </c>
      <c r="AN276">
        <f>IF(OR($J276=1,COUNTIFS($A$5:$A275,"&gt;="&amp;$A276-1,$A$5:$A275,"&lt;="&amp;$A276,$B$5:$B275,$B276)&gt;0,MIN(1-'Exercise list'!H$2,IF($A276=$A275,AN275,1))-S276&lt;0),-1,MIN(1,IF($A276=$A275,AN275,1)-S276+$D$2))</f>
        <v>1</v>
      </c>
      <c r="AO276">
        <f>IF(OR($J276=1,COUNTIFS($A$5:$A275,"&gt;="&amp;$A276-1,$A$5:$A275,"&lt;="&amp;$A276,$B$5:$B275,$B276)&gt;0,MIN(1-'Exercise list'!I$2,IF($A276=$A275,AO275,1))-T276&lt;0),-1,MIN(1,IF($A276=$A275,AO275,1)-T276+$D$2))</f>
        <v>1</v>
      </c>
      <c r="AP276">
        <f>IF(OR($J276=1,COUNTIFS($A$5:$A275,"&gt;="&amp;$A276-1,$A$5:$A275,"&lt;="&amp;$A276,$B$5:$B275,$B276)&gt;0,MIN(1-'Exercise list'!J$2,IF($A276=$A275,AP275,1))-U276&lt;0),-1,MIN(1,IF($A276=$A275,AP275,1)-U276+$D$2))</f>
        <v>1</v>
      </c>
      <c r="AQ276">
        <f>IF(OR($J276=1,COUNTIFS($A$5:$A275,"&gt;="&amp;$A276-1,$A$5:$A275,"&lt;="&amp;$A276,$B$5:$B275,$B276)&gt;0,MIN(1-'Exercise list'!K$2,IF($A276=$A275,AQ275,1))-V276&lt;0),-1,MIN(1,IF($A276=$A275,AQ275,1)-V276+$D$2))</f>
        <v>1</v>
      </c>
      <c r="AR276">
        <f>IF(OR($J276=1,COUNTIFS($A$5:$A275,"&gt;="&amp;$A276-1,$A$5:$A275,"&lt;="&amp;$A276,$B$5:$B275,$B276)&gt;0,MIN(1-'Exercise list'!L$2,IF($A276=$A275,AR275,1))-W276&lt;0),-1,MIN(1,IF($A276=$A275,AR275,1)-W276+$D$2))</f>
        <v>1</v>
      </c>
      <c r="AS276">
        <f>IF(OR($J276=1,COUNTIFS($A$5:$A275,"&gt;="&amp;$A276-1,$A$5:$A275,"&lt;="&amp;$A276,$B$5:$B275,$B276)&gt;0,MIN(1-'Exercise list'!M$2,IF($A276=$A275,AS275,1))-X276&lt;0),-1,MIN(1,IF($A276=$A275,AS275,1)-X276+$D$2))</f>
        <v>1</v>
      </c>
      <c r="AT276">
        <f>IF(OR($J276=1,COUNTIFS($A$5:$A275,"&gt;="&amp;$A276-1,$A$5:$A275,"&lt;="&amp;$A276,$B$5:$B275,$B276)&gt;0,MIN(1-'Exercise list'!N$2,IF($A276=$A275,AT275,1))-Y276&lt;0),-1,MIN(1,IF($A276=$A275,AT275,1)-Y276+$D$2))</f>
        <v>1</v>
      </c>
      <c r="AU276">
        <f>IF(OR($J276=1,COUNTIFS($A$5:$A275,"&gt;="&amp;$A276-1,$A$5:$A275,"&lt;="&amp;$A276,$B$5:$B275,$B276)&gt;0,MIN(1-'Exercise list'!O$2,IF($A276=$A275,AU275,1))-Z276&lt;0),-1,MIN(1,IF($A276=$A275,AU275,1)-Z276+$D$2))</f>
        <v>1</v>
      </c>
      <c r="AV276">
        <f>IF(OR($J276=1,COUNTIFS($A$5:$A275,"&gt;="&amp;$A276-1,$A$5:$A275,"&lt;="&amp;$A276,$B$5:$B275,$B276)&gt;0,MIN(1-'Exercise list'!P$2,IF($A276=$A275,AV275,1))-AA276&lt;0),-1,MIN(1,IF($A276=$A275,AV275,1)-AA276+$D$2))</f>
        <v>1</v>
      </c>
      <c r="AW276">
        <f>IF(OR($J276=1,COUNTIFS($A$5:$A275,"&gt;="&amp;$A276-1,$A$5:$A275,"&lt;="&amp;$A276,$B$5:$B275,$B276)&gt;0,MIN(1-'Exercise list'!Q$2,IF($A276=$A275,AW275,1))-AB276&lt;0),-1,MIN(1,IF($A276=$A275,AW275,1)-AB276+$D$2))</f>
        <v>1</v>
      </c>
      <c r="AX276">
        <f>IF(OR($J276=1,COUNTIFS($A$5:$A275,"&gt;="&amp;$A276-1,$A$5:$A275,"&lt;="&amp;$A276,$B$5:$B275,$B276)&gt;0,MIN(1-'Exercise list'!R$2,IF($A276=$A275,AX275,1))-AC276&lt;0),-1,MIN(1,IF($A276=$A275,AX275,1)-AC276+$D$2))</f>
        <v>1</v>
      </c>
      <c r="AY276">
        <f>IF(OR($J276=1,COUNTIFS($A$5:$A275,"&gt;="&amp;$A276-1,$A$5:$A275,"&lt;="&amp;$A276,$B$5:$B275,$B276)&gt;0,MIN(1-'Exercise list'!S$2,IF($A276=$A275,AY275,1))-AD276&lt;0),-1,MIN(1,IF($A276=$A275,AY275,1)-AD276+$D$2))</f>
        <v>1</v>
      </c>
      <c r="AZ276">
        <f>IF(OR($J276=1,COUNTIFS($A$5:$A275,"&gt;="&amp;$A276-1,$A$5:$A275,"&lt;="&amp;$A276,$B$5:$B275,$B276)&gt;0,MIN(1-'Exercise list'!T$2,IF($A276=$A275,AZ275,1))-AE276&lt;0),-1,MIN(1,IF($A276=$A275,AZ275,1)-AE276+$D$2))</f>
        <v>1</v>
      </c>
      <c r="BA276">
        <f>IF(OR($J276=1,COUNTIFS($A$5:$A275,"&gt;="&amp;$A276-1,$A$5:$A275,"&lt;="&amp;$A276,$B$5:$B275,$B276)&gt;0,MIN(1-'Exercise list'!U$2,IF($A276=$A275,BA275,1))-AF276&lt;0),-1,MIN(1,IF($A276=$A275,BA275,1)-AF276+$D$2))</f>
        <v>1</v>
      </c>
      <c r="BB276">
        <f>IF(OR($J276=1,COUNTIFS($A$5:$A275,"&gt;="&amp;$A276-1,$A$5:$A275,"&lt;="&amp;$A276,$B$5:$B275,$B276)&gt;0,MIN(1-'Exercise list'!V$2,IF($A276=$A275,BB275,1))-AG276&lt;0),-1,MIN(1,IF($A276=$A275,BB275,1)-AG276+$D$2))</f>
        <v>1</v>
      </c>
      <c r="BC276">
        <f>IF(OR($J276=1,COUNTIFS($A$5:$A275,"&gt;="&amp;$A276-1,$A$5:$A275,"&lt;="&amp;$A276,$B$5:$B275,$B276)&gt;0,MIN(1-'Exercise list'!W$2,IF($A276=$A275,BC275,1))-AH276&lt;0),-1,MIN(1,IF($A276=$A275,BC275,1)-AH276+$D$2))</f>
        <v>1</v>
      </c>
      <c r="BD276">
        <f>IF(OR($J276=1,COUNTIFS($A$5:$A275,"&gt;="&amp;$A276-1,$A$5:$A275,"&lt;="&amp;$A276,$B$5:$B275,$B276)&gt;0,MIN(1-'Exercise list'!X$2,IF($A276=$A275,BD275,1))-AI276&lt;0),-1,MIN(1,IF($A276=$A275,BD275,1)-AI276+$D$2))</f>
        <v>1</v>
      </c>
      <c r="BF276" s="16">
        <f t="shared" si="189"/>
        <v>0.19596031081758858</v>
      </c>
      <c r="BG276" s="16">
        <f t="shared" si="190"/>
        <v>0.21844636935459236</v>
      </c>
      <c r="BH276" s="16">
        <f t="shared" si="191"/>
        <v>0.14609696635987124</v>
      </c>
      <c r="BI276" s="16">
        <f t="shared" si="192"/>
        <v>0.13198015366034541</v>
      </c>
      <c r="BJ276" s="16">
        <f t="shared" si="193"/>
        <v>8.3367914198418713E-2</v>
      </c>
      <c r="BK276" s="16">
        <f t="shared" si="194"/>
        <v>0.10640640223148412</v>
      </c>
      <c r="BL276" s="16">
        <f t="shared" si="195"/>
        <v>0.21963504743569431</v>
      </c>
      <c r="BM276" s="16">
        <f t="shared" si="196"/>
        <v>3.8988008374820568E-3</v>
      </c>
      <c r="BN276" s="16">
        <f t="shared" si="197"/>
        <v>0.14537706087090876</v>
      </c>
      <c r="BO276" s="16">
        <f t="shared" si="198"/>
        <v>0.29209790661993401</v>
      </c>
      <c r="BP276" s="16">
        <f t="shared" si="199"/>
        <v>0.31584545163401867</v>
      </c>
      <c r="BQ276" s="16">
        <f t="shared" si="200"/>
        <v>0.1000007994126096</v>
      </c>
      <c r="BR276" s="16">
        <f t="shared" si="201"/>
        <v>0.13164487759885393</v>
      </c>
      <c r="BS276" s="16">
        <f t="shared" si="202"/>
        <v>2.9803550189863123E-2</v>
      </c>
      <c r="BT276" s="16">
        <f t="shared" si="203"/>
        <v>0.13492040904978705</v>
      </c>
      <c r="BU276" s="16">
        <f t="shared" si="204"/>
        <v>0.11703687414398131</v>
      </c>
      <c r="BV276" s="16">
        <f t="shared" si="205"/>
        <v>0.14633353213781661</v>
      </c>
      <c r="BW276" s="16">
        <f t="shared" si="206"/>
        <v>7.5588015111767173E-2</v>
      </c>
      <c r="BX276" s="16">
        <f t="shared" si="207"/>
        <v>8.0345659937185704E-2</v>
      </c>
      <c r="BY276" s="16">
        <f t="shared" si="208"/>
        <v>5.9014643151272549E-2</v>
      </c>
      <c r="CA276" s="16" t="str">
        <f t="shared" si="229"/>
        <v/>
      </c>
      <c r="CB276" s="16" t="str">
        <f t="shared" si="210"/>
        <v/>
      </c>
      <c r="CC276" s="16" t="str">
        <f t="shared" si="211"/>
        <v/>
      </c>
      <c r="CD276" s="16" t="str">
        <f t="shared" si="212"/>
        <v/>
      </c>
      <c r="CE276" s="16" t="str">
        <f t="shared" si="213"/>
        <v/>
      </c>
      <c r="CF276" s="16" t="str">
        <f t="shared" si="214"/>
        <v/>
      </c>
      <c r="CG276" s="16" t="str">
        <f t="shared" si="215"/>
        <v/>
      </c>
      <c r="CH276" s="16" t="str">
        <f t="shared" si="216"/>
        <v/>
      </c>
      <c r="CI276" s="16" t="str">
        <f t="shared" si="217"/>
        <v/>
      </c>
      <c r="CJ276" s="16" t="str">
        <f t="shared" si="218"/>
        <v/>
      </c>
      <c r="CK276" s="16" t="str">
        <f t="shared" si="219"/>
        <v/>
      </c>
      <c r="CL276" s="16" t="str">
        <f t="shared" si="220"/>
        <v/>
      </c>
      <c r="CM276" s="16" t="str">
        <f t="shared" si="221"/>
        <v/>
      </c>
      <c r="CN276" s="16" t="str">
        <f t="shared" si="222"/>
        <v/>
      </c>
      <c r="CO276" s="16" t="str">
        <f t="shared" si="223"/>
        <v/>
      </c>
      <c r="CP276" s="16" t="str">
        <f t="shared" si="224"/>
        <v/>
      </c>
      <c r="CQ276" s="16" t="str">
        <f t="shared" si="225"/>
        <v/>
      </c>
      <c r="CR276" s="16" t="str">
        <f t="shared" si="226"/>
        <v/>
      </c>
      <c r="CS276" s="16" t="str">
        <f t="shared" si="227"/>
        <v/>
      </c>
      <c r="CT276" s="16" t="str">
        <f t="shared" si="228"/>
        <v/>
      </c>
    </row>
    <row r="277" spans="1:99" x14ac:dyDescent="0.25">
      <c r="A277" s="13"/>
      <c r="B277" s="14"/>
      <c r="C277" s="15" t="str" cm="1">
        <f t="array" ref="C277">IF(B277="","",INDEX('Exercise list'!$C$5:$C$102,B277))</f>
        <v/>
      </c>
      <c r="D277" s="12" t="str">
        <f t="shared" si="186"/>
        <v/>
      </c>
      <c r="E277" s="107" t="str">
        <f t="shared" si="209"/>
        <v/>
      </c>
      <c r="F277" s="63" t="str" cm="1">
        <f t="array" ref="F277">IF(B277="","",0.1+IFERROR(INDEX($F$6:$F276,SUMPRODUCT(MAX(ROW($C$6:$C276)*($C277=$C$6:$C276))-ROW($A$5)))*0.9^($A277-INDEX($A$6:A276,SUMPRODUCT(MAX(ROW($C$6:$C276)*($C277=$C$6:$C276))-ROW($A$5)))),0))</f>
        <v/>
      </c>
      <c r="G277" s="64" t="e">
        <f>INDEX('Exercise list'!$Y$5:$Y$102,MATCH(C277,'Exercise list'!$C$5:$C$102,0))</f>
        <v>#N/A</v>
      </c>
      <c r="H277" s="115">
        <f t="shared" si="187"/>
        <v>0</v>
      </c>
      <c r="I277" s="6">
        <f t="shared" si="188"/>
        <v>5</v>
      </c>
      <c r="J277" s="6" t="str" cm="1">
        <f t="array" ref="J277">IF(B277="","",INDEX('Exercise list'!$D$5:$D$102,B277))</f>
        <v/>
      </c>
      <c r="K277" s="12"/>
      <c r="L277" s="74" t="str" cm="1">
        <f t="array" ref="L277">IF(K277="","",INDEX('Exercise list'!$C$5:$C$102,K277))</f>
        <v/>
      </c>
      <c r="M277" s="6"/>
      <c r="N277" s="75" t="str" cm="1">
        <f t="array" ref="N277">IF(M277="","",INDEX('Exercise list'!$C$5:$C$102,M277))</f>
        <v/>
      </c>
      <c r="P277">
        <f>IFERROR(INDEX('Exercise list'!$E$5:$X$102,MATCH($C277,'Exercise list'!$C$5:$C$102,0),MATCH(P$5,'Exercise list'!$E$4:$X$4,0)),0)</f>
        <v>0</v>
      </c>
      <c r="Q277">
        <f>IFERROR(INDEX('Exercise list'!$E$5:$X$102,MATCH($C277,'Exercise list'!$C$5:$C$102,0),MATCH(Q$5,'Exercise list'!$E$4:$X$4,0)),0)</f>
        <v>0</v>
      </c>
      <c r="R277">
        <f>IFERROR(INDEX('Exercise list'!$E$5:$X$102,MATCH($C277,'Exercise list'!$C$5:$C$102,0),MATCH(R$5,'Exercise list'!$E$4:$X$4,0)),0)</f>
        <v>0</v>
      </c>
      <c r="S277">
        <f>IFERROR(INDEX('Exercise list'!$E$5:$X$102,MATCH($C277,'Exercise list'!$C$5:$C$102,0),MATCH(S$5,'Exercise list'!$E$4:$X$4,0)),0)</f>
        <v>0</v>
      </c>
      <c r="T277">
        <f>IFERROR(INDEX('Exercise list'!$E$5:$X$102,MATCH($C277,'Exercise list'!$C$5:$C$102,0),MATCH(T$5,'Exercise list'!$E$4:$X$4,0)),0)</f>
        <v>0</v>
      </c>
      <c r="U277">
        <f>IFERROR(INDEX('Exercise list'!$E$5:$X$102,MATCH($C277,'Exercise list'!$C$5:$C$102,0),MATCH(U$5,'Exercise list'!$E$4:$X$4,0)),0)</f>
        <v>0</v>
      </c>
      <c r="V277">
        <f>IFERROR(INDEX('Exercise list'!$E$5:$X$102,MATCH($C277,'Exercise list'!$C$5:$C$102,0),MATCH(V$5,'Exercise list'!$E$4:$X$4,0)),0)</f>
        <v>0</v>
      </c>
      <c r="W277">
        <f>IFERROR(INDEX('Exercise list'!$E$5:$X$102,MATCH($C277,'Exercise list'!$C$5:$C$102,0),MATCH(W$5,'Exercise list'!$E$4:$X$4,0)),0)</f>
        <v>0</v>
      </c>
      <c r="X277">
        <f>IFERROR(INDEX('Exercise list'!$E$5:$X$102,MATCH($C277,'Exercise list'!$C$5:$C$102,0),MATCH(X$5,'Exercise list'!$E$4:$X$4,0)),0)</f>
        <v>0</v>
      </c>
      <c r="Y277">
        <f>IFERROR(INDEX('Exercise list'!$E$5:$X$102,MATCH($C277,'Exercise list'!$C$5:$C$102,0),MATCH(Y$5,'Exercise list'!$E$4:$X$4,0)),0)</f>
        <v>0</v>
      </c>
      <c r="Z277">
        <f>IFERROR(INDEX('Exercise list'!$E$5:$X$102,MATCH($C277,'Exercise list'!$C$5:$C$102,0),MATCH(Z$5,'Exercise list'!$E$4:$X$4,0)),0)</f>
        <v>0</v>
      </c>
      <c r="AA277">
        <f>IFERROR(INDEX('Exercise list'!$E$5:$X$102,MATCH($C277,'Exercise list'!$C$5:$C$102,0),MATCH(AA$5,'Exercise list'!$E$4:$X$4,0)),0)</f>
        <v>0</v>
      </c>
      <c r="AB277">
        <f>IFERROR(INDEX('Exercise list'!$E$5:$X$102,MATCH($C277,'Exercise list'!$C$5:$C$102,0),MATCH(AB$5,'Exercise list'!$E$4:$X$4,0)),0)</f>
        <v>0</v>
      </c>
      <c r="AC277">
        <f>IFERROR(INDEX('Exercise list'!$E$5:$X$102,MATCH($C277,'Exercise list'!$C$5:$C$102,0),MATCH(AC$5,'Exercise list'!$E$4:$X$4,0)),0)</f>
        <v>0</v>
      </c>
      <c r="AD277">
        <f>IFERROR(INDEX('Exercise list'!$E$5:$X$102,MATCH($C277,'Exercise list'!$C$5:$C$102,0),MATCH(AD$5,'Exercise list'!$E$4:$X$4,0)),0)</f>
        <v>0</v>
      </c>
      <c r="AE277">
        <f>IFERROR(INDEX('Exercise list'!$E$5:$X$102,MATCH($C277,'Exercise list'!$C$5:$C$102,0),MATCH(AE$5,'Exercise list'!$E$4:$X$4,0)),0)</f>
        <v>0</v>
      </c>
      <c r="AF277">
        <f>IFERROR(INDEX('Exercise list'!$E$5:$X$102,MATCH($C277,'Exercise list'!$C$5:$C$102,0),MATCH(AF$5,'Exercise list'!$E$4:$X$4,0)),0)</f>
        <v>0</v>
      </c>
      <c r="AG277">
        <f>IFERROR(INDEX('Exercise list'!$E$5:$X$102,MATCH($C277,'Exercise list'!$C$5:$C$102,0),MATCH(AG$5,'Exercise list'!$E$4:$X$4,0)),0)</f>
        <v>0</v>
      </c>
      <c r="AH277">
        <f>IFERROR(INDEX('Exercise list'!$E$5:$X$102,MATCH($C277,'Exercise list'!$C$5:$C$102,0),MATCH(AH$5,'Exercise list'!$E$4:$X$4,0)),0)</f>
        <v>0</v>
      </c>
      <c r="AI277">
        <f>IFERROR(INDEX('Exercise list'!$E$5:$X$102,MATCH($C277,'Exercise list'!$C$5:$C$102,0),MATCH(AI$5,'Exercise list'!$E$4:$X$4,0)),0)</f>
        <v>0</v>
      </c>
      <c r="AK277">
        <f>IF(OR($J277=1,COUNTIFS($A$5:$A276,"&gt;="&amp;$A277-1,$A$5:$A276,"&lt;="&amp;$A277,$B$5:$B276,$B277)&gt;0,MIN(1-'Exercise list'!E$2,IF($A277=$A276,AK276,1))-P277&lt;0),-1,MIN(1,IF($A277=$A276,AK276,1)-P277+$D$2))</f>
        <v>1</v>
      </c>
      <c r="AL277">
        <f>IF(OR($J277=1,COUNTIFS($A$5:$A276,"&gt;="&amp;$A277-1,$A$5:$A276,"&lt;="&amp;$A277,$B$5:$B276,$B277)&gt;0,MIN(1-'Exercise list'!F$2,IF($A277=$A276,AL276,1))-Q277&lt;0),-1,MIN(1,IF($A277=$A276,AL276,1)-Q277+$D$2))</f>
        <v>1</v>
      </c>
      <c r="AM277">
        <f>IF(OR($J277=1,COUNTIFS($A$5:$A276,"&gt;="&amp;$A277-1,$A$5:$A276,"&lt;="&amp;$A277,$B$5:$B276,$B277)&gt;0,MIN(1-'Exercise list'!G$2,IF($A277=$A276,AM276,1))-R277&lt;0),-1,MIN(1,IF($A277=$A276,AM276,1)-R277+$D$2))</f>
        <v>1</v>
      </c>
      <c r="AN277">
        <f>IF(OR($J277=1,COUNTIFS($A$5:$A276,"&gt;="&amp;$A277-1,$A$5:$A276,"&lt;="&amp;$A277,$B$5:$B276,$B277)&gt;0,MIN(1-'Exercise list'!H$2,IF($A277=$A276,AN276,1))-S277&lt;0),-1,MIN(1,IF($A277=$A276,AN276,1)-S277+$D$2))</f>
        <v>1</v>
      </c>
      <c r="AO277">
        <f>IF(OR($J277=1,COUNTIFS($A$5:$A276,"&gt;="&amp;$A277-1,$A$5:$A276,"&lt;="&amp;$A277,$B$5:$B276,$B277)&gt;0,MIN(1-'Exercise list'!I$2,IF($A277=$A276,AO276,1))-T277&lt;0),-1,MIN(1,IF($A277=$A276,AO276,1)-T277+$D$2))</f>
        <v>1</v>
      </c>
      <c r="AP277">
        <f>IF(OR($J277=1,COUNTIFS($A$5:$A276,"&gt;="&amp;$A277-1,$A$5:$A276,"&lt;="&amp;$A277,$B$5:$B276,$B277)&gt;0,MIN(1-'Exercise list'!J$2,IF($A277=$A276,AP276,1))-U277&lt;0),-1,MIN(1,IF($A277=$A276,AP276,1)-U277+$D$2))</f>
        <v>1</v>
      </c>
      <c r="AQ277">
        <f>IF(OR($J277=1,COUNTIFS($A$5:$A276,"&gt;="&amp;$A277-1,$A$5:$A276,"&lt;="&amp;$A277,$B$5:$B276,$B277)&gt;0,MIN(1-'Exercise list'!K$2,IF($A277=$A276,AQ276,1))-V277&lt;0),-1,MIN(1,IF($A277=$A276,AQ276,1)-V277+$D$2))</f>
        <v>1</v>
      </c>
      <c r="AR277">
        <f>IF(OR($J277=1,COUNTIFS($A$5:$A276,"&gt;="&amp;$A277-1,$A$5:$A276,"&lt;="&amp;$A277,$B$5:$B276,$B277)&gt;0,MIN(1-'Exercise list'!L$2,IF($A277=$A276,AR276,1))-W277&lt;0),-1,MIN(1,IF($A277=$A276,AR276,1)-W277+$D$2))</f>
        <v>1</v>
      </c>
      <c r="AS277">
        <f>IF(OR($J277=1,COUNTIFS($A$5:$A276,"&gt;="&amp;$A277-1,$A$5:$A276,"&lt;="&amp;$A277,$B$5:$B276,$B277)&gt;0,MIN(1-'Exercise list'!M$2,IF($A277=$A276,AS276,1))-X277&lt;0),-1,MIN(1,IF($A277=$A276,AS276,1)-X277+$D$2))</f>
        <v>1</v>
      </c>
      <c r="AT277">
        <f>IF(OR($J277=1,COUNTIFS($A$5:$A276,"&gt;="&amp;$A277-1,$A$5:$A276,"&lt;="&amp;$A277,$B$5:$B276,$B277)&gt;0,MIN(1-'Exercise list'!N$2,IF($A277=$A276,AT276,1))-Y277&lt;0),-1,MIN(1,IF($A277=$A276,AT276,1)-Y277+$D$2))</f>
        <v>1</v>
      </c>
      <c r="AU277">
        <f>IF(OR($J277=1,COUNTIFS($A$5:$A276,"&gt;="&amp;$A277-1,$A$5:$A276,"&lt;="&amp;$A277,$B$5:$B276,$B277)&gt;0,MIN(1-'Exercise list'!O$2,IF($A277=$A276,AU276,1))-Z277&lt;0),-1,MIN(1,IF($A277=$A276,AU276,1)-Z277+$D$2))</f>
        <v>1</v>
      </c>
      <c r="AV277">
        <f>IF(OR($J277=1,COUNTIFS($A$5:$A276,"&gt;="&amp;$A277-1,$A$5:$A276,"&lt;="&amp;$A277,$B$5:$B276,$B277)&gt;0,MIN(1-'Exercise list'!P$2,IF($A277=$A276,AV276,1))-AA277&lt;0),-1,MIN(1,IF($A277=$A276,AV276,1)-AA277+$D$2))</f>
        <v>1</v>
      </c>
      <c r="AW277">
        <f>IF(OR($J277=1,COUNTIFS($A$5:$A276,"&gt;="&amp;$A277-1,$A$5:$A276,"&lt;="&amp;$A277,$B$5:$B276,$B277)&gt;0,MIN(1-'Exercise list'!Q$2,IF($A277=$A276,AW276,1))-AB277&lt;0),-1,MIN(1,IF($A277=$A276,AW276,1)-AB277+$D$2))</f>
        <v>1</v>
      </c>
      <c r="AX277">
        <f>IF(OR($J277=1,COUNTIFS($A$5:$A276,"&gt;="&amp;$A277-1,$A$5:$A276,"&lt;="&amp;$A277,$B$5:$B276,$B277)&gt;0,MIN(1-'Exercise list'!R$2,IF($A277=$A276,AX276,1))-AC277&lt;0),-1,MIN(1,IF($A277=$A276,AX276,1)-AC277+$D$2))</f>
        <v>1</v>
      </c>
      <c r="AY277">
        <f>IF(OR($J277=1,COUNTIFS($A$5:$A276,"&gt;="&amp;$A277-1,$A$5:$A276,"&lt;="&amp;$A277,$B$5:$B276,$B277)&gt;0,MIN(1-'Exercise list'!S$2,IF($A277=$A276,AY276,1))-AD277&lt;0),-1,MIN(1,IF($A277=$A276,AY276,1)-AD277+$D$2))</f>
        <v>1</v>
      </c>
      <c r="AZ277">
        <f>IF(OR($J277=1,COUNTIFS($A$5:$A276,"&gt;="&amp;$A277-1,$A$5:$A276,"&lt;="&amp;$A277,$B$5:$B276,$B277)&gt;0,MIN(1-'Exercise list'!T$2,IF($A277=$A276,AZ276,1))-AE277&lt;0),-1,MIN(1,IF($A277=$A276,AZ276,1)-AE277+$D$2))</f>
        <v>1</v>
      </c>
      <c r="BA277">
        <f>IF(OR($J277=1,COUNTIFS($A$5:$A276,"&gt;="&amp;$A277-1,$A$5:$A276,"&lt;="&amp;$A277,$B$5:$B276,$B277)&gt;0,MIN(1-'Exercise list'!U$2,IF($A277=$A276,BA276,1))-AF277&lt;0),-1,MIN(1,IF($A277=$A276,BA276,1)-AF277+$D$2))</f>
        <v>1</v>
      </c>
      <c r="BB277">
        <f>IF(OR($J277=1,COUNTIFS($A$5:$A276,"&gt;="&amp;$A277-1,$A$5:$A276,"&lt;="&amp;$A277,$B$5:$B276,$B277)&gt;0,MIN(1-'Exercise list'!V$2,IF($A277=$A276,BB276,1))-AG277&lt;0),-1,MIN(1,IF($A277=$A276,BB276,1)-AG277+$D$2))</f>
        <v>1</v>
      </c>
      <c r="BC277">
        <f>IF(OR($J277=1,COUNTIFS($A$5:$A276,"&gt;="&amp;$A277-1,$A$5:$A276,"&lt;="&amp;$A277,$B$5:$B276,$B277)&gt;0,MIN(1-'Exercise list'!W$2,IF($A277=$A276,BC276,1))-AH277&lt;0),-1,MIN(1,IF($A277=$A276,BC276,1)-AH277+$D$2))</f>
        <v>1</v>
      </c>
      <c r="BD277">
        <f>IF(OR($J277=1,COUNTIFS($A$5:$A276,"&gt;="&amp;$A277-1,$A$5:$A276,"&lt;="&amp;$A277,$B$5:$B276,$B277)&gt;0,MIN(1-'Exercise list'!X$2,IF($A277=$A276,BD276,1))-AI277&lt;0),-1,MIN(1,IF($A277=$A276,BD276,1)-AI277+$D$2))</f>
        <v>1</v>
      </c>
      <c r="BF277" s="16">
        <f t="shared" si="189"/>
        <v>0.19596031081758858</v>
      </c>
      <c r="BG277" s="16">
        <f t="shared" si="190"/>
        <v>0.21844636935459236</v>
      </c>
      <c r="BH277" s="16">
        <f t="shared" si="191"/>
        <v>0.14609696635987124</v>
      </c>
      <c r="BI277" s="16">
        <f t="shared" si="192"/>
        <v>0.13198015366034541</v>
      </c>
      <c r="BJ277" s="16">
        <f t="shared" si="193"/>
        <v>8.3367914198418713E-2</v>
      </c>
      <c r="BK277" s="16">
        <f t="shared" si="194"/>
        <v>0.10640640223148412</v>
      </c>
      <c r="BL277" s="16">
        <f t="shared" si="195"/>
        <v>0.21963504743569431</v>
      </c>
      <c r="BM277" s="16">
        <f t="shared" si="196"/>
        <v>3.8988008374820568E-3</v>
      </c>
      <c r="BN277" s="16">
        <f t="shared" si="197"/>
        <v>0.14537706087090876</v>
      </c>
      <c r="BO277" s="16">
        <f t="shared" si="198"/>
        <v>0.29209790661993401</v>
      </c>
      <c r="BP277" s="16">
        <f t="shared" si="199"/>
        <v>0.31584545163401867</v>
      </c>
      <c r="BQ277" s="16">
        <f t="shared" si="200"/>
        <v>0.1000007994126096</v>
      </c>
      <c r="BR277" s="16">
        <f t="shared" si="201"/>
        <v>0.13164487759885393</v>
      </c>
      <c r="BS277" s="16">
        <f t="shared" si="202"/>
        <v>2.9803550189863123E-2</v>
      </c>
      <c r="BT277" s="16">
        <f t="shared" si="203"/>
        <v>0.13492040904978705</v>
      </c>
      <c r="BU277" s="16">
        <f t="shared" si="204"/>
        <v>0.11703687414398131</v>
      </c>
      <c r="BV277" s="16">
        <f t="shared" si="205"/>
        <v>0.14633353213781661</v>
      </c>
      <c r="BW277" s="16">
        <f t="shared" si="206"/>
        <v>7.5588015111767173E-2</v>
      </c>
      <c r="BX277" s="16">
        <f t="shared" si="207"/>
        <v>8.0345659937185704E-2</v>
      </c>
      <c r="BY277" s="16">
        <f t="shared" si="208"/>
        <v>5.9014643151272549E-2</v>
      </c>
      <c r="CA277" s="16" t="str">
        <f t="shared" si="229"/>
        <v/>
      </c>
      <c r="CB277" s="16" t="str">
        <f t="shared" si="210"/>
        <v/>
      </c>
      <c r="CC277" s="16" t="str">
        <f t="shared" si="211"/>
        <v/>
      </c>
      <c r="CD277" s="16" t="str">
        <f t="shared" si="212"/>
        <v/>
      </c>
      <c r="CE277" s="16" t="str">
        <f t="shared" si="213"/>
        <v/>
      </c>
      <c r="CF277" s="16" t="str">
        <f t="shared" si="214"/>
        <v/>
      </c>
      <c r="CG277" s="16" t="str">
        <f t="shared" si="215"/>
        <v/>
      </c>
      <c r="CH277" s="16" t="str">
        <f t="shared" si="216"/>
        <v/>
      </c>
      <c r="CI277" s="16" t="str">
        <f t="shared" si="217"/>
        <v/>
      </c>
      <c r="CJ277" s="16" t="str">
        <f t="shared" si="218"/>
        <v/>
      </c>
      <c r="CK277" s="16" t="str">
        <f t="shared" si="219"/>
        <v/>
      </c>
      <c r="CL277" s="16" t="str">
        <f t="shared" si="220"/>
        <v/>
      </c>
      <c r="CM277" s="16" t="str">
        <f t="shared" si="221"/>
        <v/>
      </c>
      <c r="CN277" s="16" t="str">
        <f t="shared" si="222"/>
        <v/>
      </c>
      <c r="CO277" s="16" t="str">
        <f t="shared" si="223"/>
        <v/>
      </c>
      <c r="CP277" s="16" t="str">
        <f t="shared" si="224"/>
        <v/>
      </c>
      <c r="CQ277" s="16" t="str">
        <f t="shared" si="225"/>
        <v/>
      </c>
      <c r="CR277" s="16" t="str">
        <f t="shared" si="226"/>
        <v/>
      </c>
      <c r="CS277" s="16" t="str">
        <f t="shared" si="227"/>
        <v/>
      </c>
      <c r="CT277" s="16" t="str">
        <f t="shared" si="228"/>
        <v/>
      </c>
    </row>
    <row r="278" spans="1:99" x14ac:dyDescent="0.25">
      <c r="A278" s="20"/>
      <c r="B278" s="21"/>
      <c r="C278" s="22" t="str" cm="1">
        <f t="array" ref="C278">IF(B278="","",INDEX('Exercise list'!$C$5:$C$102,B278))</f>
        <v/>
      </c>
      <c r="D278" s="17" t="str">
        <f t="shared" si="186"/>
        <v/>
      </c>
      <c r="E278" s="108" t="str">
        <f t="shared" si="209"/>
        <v/>
      </c>
      <c r="F278" s="65" t="str" cm="1">
        <f t="array" ref="F278">IF(B278="","",0.1+IFERROR(INDEX($F$6:$F277,SUMPRODUCT(MAX(ROW($C$6:$C277)*($C278=$C$6:$C277))-ROW($A$5)))*0.9^($A278-INDEX($A$6:A277,SUMPRODUCT(MAX(ROW($C$6:$C277)*($C278=$C$6:$C277))-ROW($A$5)))),0))</f>
        <v/>
      </c>
      <c r="G278" s="25" t="e">
        <f>INDEX('Exercise list'!$Y$5:$Y$102,MATCH(C278,'Exercise list'!$C$5:$C$102,0))</f>
        <v>#N/A</v>
      </c>
      <c r="H278" s="116">
        <f t="shared" si="187"/>
        <v>0</v>
      </c>
      <c r="I278" s="18">
        <f t="shared" si="188"/>
        <v>5</v>
      </c>
      <c r="J278" s="18" t="str" cm="1">
        <f t="array" ref="J278">IF(B278="","",INDEX('Exercise list'!$D$5:$D$102,B278))</f>
        <v/>
      </c>
      <c r="K278" s="17"/>
      <c r="L278" s="51" t="str" cm="1">
        <f t="array" ref="L278">IF(K278="","",INDEX('Exercise list'!$C$5:$C$102,K278))</f>
        <v/>
      </c>
      <c r="M278" s="18"/>
      <c r="N278" s="76" t="str" cm="1">
        <f t="array" ref="N278">IF(M278="","",INDEX('Exercise list'!$C$5:$C$102,M278))</f>
        <v/>
      </c>
      <c r="O278" s="19"/>
      <c r="P278" s="19">
        <f>IFERROR(INDEX('Exercise list'!$E$5:$X$102,MATCH($C278,'Exercise list'!$C$5:$C$102,0),MATCH(P$5,'Exercise list'!$E$4:$X$4,0)),0)</f>
        <v>0</v>
      </c>
      <c r="Q278" s="19">
        <f>IFERROR(INDEX('Exercise list'!$E$5:$X$102,MATCH($C278,'Exercise list'!$C$5:$C$102,0),MATCH(Q$5,'Exercise list'!$E$4:$X$4,0)),0)</f>
        <v>0</v>
      </c>
      <c r="R278" s="19">
        <f>IFERROR(INDEX('Exercise list'!$E$5:$X$102,MATCH($C278,'Exercise list'!$C$5:$C$102,0),MATCH(R$5,'Exercise list'!$E$4:$X$4,0)),0)</f>
        <v>0</v>
      </c>
      <c r="S278" s="19">
        <f>IFERROR(INDEX('Exercise list'!$E$5:$X$102,MATCH($C278,'Exercise list'!$C$5:$C$102,0),MATCH(S$5,'Exercise list'!$E$4:$X$4,0)),0)</f>
        <v>0</v>
      </c>
      <c r="T278" s="19">
        <f>IFERROR(INDEX('Exercise list'!$E$5:$X$102,MATCH($C278,'Exercise list'!$C$5:$C$102,0),MATCH(T$5,'Exercise list'!$E$4:$X$4,0)),0)</f>
        <v>0</v>
      </c>
      <c r="U278" s="19">
        <f>IFERROR(INDEX('Exercise list'!$E$5:$X$102,MATCH($C278,'Exercise list'!$C$5:$C$102,0),MATCH(U$5,'Exercise list'!$E$4:$X$4,0)),0)</f>
        <v>0</v>
      </c>
      <c r="V278" s="19">
        <f>IFERROR(INDEX('Exercise list'!$E$5:$X$102,MATCH($C278,'Exercise list'!$C$5:$C$102,0),MATCH(V$5,'Exercise list'!$E$4:$X$4,0)),0)</f>
        <v>0</v>
      </c>
      <c r="W278" s="19">
        <f>IFERROR(INDEX('Exercise list'!$E$5:$X$102,MATCH($C278,'Exercise list'!$C$5:$C$102,0),MATCH(W$5,'Exercise list'!$E$4:$X$4,0)),0)</f>
        <v>0</v>
      </c>
      <c r="X278" s="19">
        <f>IFERROR(INDEX('Exercise list'!$E$5:$X$102,MATCH($C278,'Exercise list'!$C$5:$C$102,0),MATCH(X$5,'Exercise list'!$E$4:$X$4,0)),0)</f>
        <v>0</v>
      </c>
      <c r="Y278" s="19">
        <f>IFERROR(INDEX('Exercise list'!$E$5:$X$102,MATCH($C278,'Exercise list'!$C$5:$C$102,0),MATCH(Y$5,'Exercise list'!$E$4:$X$4,0)),0)</f>
        <v>0</v>
      </c>
      <c r="Z278" s="19">
        <f>IFERROR(INDEX('Exercise list'!$E$5:$X$102,MATCH($C278,'Exercise list'!$C$5:$C$102,0),MATCH(Z$5,'Exercise list'!$E$4:$X$4,0)),0)</f>
        <v>0</v>
      </c>
      <c r="AA278" s="19">
        <f>IFERROR(INDEX('Exercise list'!$E$5:$X$102,MATCH($C278,'Exercise list'!$C$5:$C$102,0),MATCH(AA$5,'Exercise list'!$E$4:$X$4,0)),0)</f>
        <v>0</v>
      </c>
      <c r="AB278" s="19">
        <f>IFERROR(INDEX('Exercise list'!$E$5:$X$102,MATCH($C278,'Exercise list'!$C$5:$C$102,0),MATCH(AB$5,'Exercise list'!$E$4:$X$4,0)),0)</f>
        <v>0</v>
      </c>
      <c r="AC278" s="19">
        <f>IFERROR(INDEX('Exercise list'!$E$5:$X$102,MATCH($C278,'Exercise list'!$C$5:$C$102,0),MATCH(AC$5,'Exercise list'!$E$4:$X$4,0)),0)</f>
        <v>0</v>
      </c>
      <c r="AD278" s="19">
        <f>IFERROR(INDEX('Exercise list'!$E$5:$X$102,MATCH($C278,'Exercise list'!$C$5:$C$102,0),MATCH(AD$5,'Exercise list'!$E$4:$X$4,0)),0)</f>
        <v>0</v>
      </c>
      <c r="AE278" s="19">
        <f>IFERROR(INDEX('Exercise list'!$E$5:$X$102,MATCH($C278,'Exercise list'!$C$5:$C$102,0),MATCH(AE$5,'Exercise list'!$E$4:$X$4,0)),0)</f>
        <v>0</v>
      </c>
      <c r="AF278" s="19">
        <f>IFERROR(INDEX('Exercise list'!$E$5:$X$102,MATCH($C278,'Exercise list'!$C$5:$C$102,0),MATCH(AF$5,'Exercise list'!$E$4:$X$4,0)),0)</f>
        <v>0</v>
      </c>
      <c r="AG278" s="19">
        <f>IFERROR(INDEX('Exercise list'!$E$5:$X$102,MATCH($C278,'Exercise list'!$C$5:$C$102,0),MATCH(AG$5,'Exercise list'!$E$4:$X$4,0)),0)</f>
        <v>0</v>
      </c>
      <c r="AH278" s="19">
        <f>IFERROR(INDEX('Exercise list'!$E$5:$X$102,MATCH($C278,'Exercise list'!$C$5:$C$102,0),MATCH(AH$5,'Exercise list'!$E$4:$X$4,0)),0)</f>
        <v>0</v>
      </c>
      <c r="AI278" s="19">
        <f>IFERROR(INDEX('Exercise list'!$E$5:$X$102,MATCH($C278,'Exercise list'!$C$5:$C$102,0),MATCH(AI$5,'Exercise list'!$E$4:$X$4,0)),0)</f>
        <v>0</v>
      </c>
      <c r="AJ278" s="19"/>
      <c r="AK278" s="19">
        <f>IF(OR($J278=1,COUNTIFS($A$5:$A277,"&gt;="&amp;$A278-1,$A$5:$A277,"&lt;="&amp;$A278,$B$5:$B277,$B278)&gt;0,MIN(1-'Exercise list'!E$2,IF($A278=$A277,AK277,1))-P278&lt;0),-1,MIN(1,IF($A278=$A277,AK277,1)-P278+$D$2))</f>
        <v>1</v>
      </c>
      <c r="AL278" s="19">
        <f>IF(OR($J278=1,COUNTIFS($A$5:$A277,"&gt;="&amp;$A278-1,$A$5:$A277,"&lt;="&amp;$A278,$B$5:$B277,$B278)&gt;0,MIN(1-'Exercise list'!F$2,IF($A278=$A277,AL277,1))-Q278&lt;0),-1,MIN(1,IF($A278=$A277,AL277,1)-Q278+$D$2))</f>
        <v>1</v>
      </c>
      <c r="AM278" s="19">
        <f>IF(OR($J278=1,COUNTIFS($A$5:$A277,"&gt;="&amp;$A278-1,$A$5:$A277,"&lt;="&amp;$A278,$B$5:$B277,$B278)&gt;0,MIN(1-'Exercise list'!G$2,IF($A278=$A277,AM277,1))-R278&lt;0),-1,MIN(1,IF($A278=$A277,AM277,1)-R278+$D$2))</f>
        <v>1</v>
      </c>
      <c r="AN278" s="19">
        <f>IF(OR($J278=1,COUNTIFS($A$5:$A277,"&gt;="&amp;$A278-1,$A$5:$A277,"&lt;="&amp;$A278,$B$5:$B277,$B278)&gt;0,MIN(1-'Exercise list'!H$2,IF($A278=$A277,AN277,1))-S278&lt;0),-1,MIN(1,IF($A278=$A277,AN277,1)-S278+$D$2))</f>
        <v>1</v>
      </c>
      <c r="AO278" s="19">
        <f>IF(OR($J278=1,COUNTIFS($A$5:$A277,"&gt;="&amp;$A278-1,$A$5:$A277,"&lt;="&amp;$A278,$B$5:$B277,$B278)&gt;0,MIN(1-'Exercise list'!I$2,IF($A278=$A277,AO277,1))-T278&lt;0),-1,MIN(1,IF($A278=$A277,AO277,1)-T278+$D$2))</f>
        <v>1</v>
      </c>
      <c r="AP278" s="19">
        <f>IF(OR($J278=1,COUNTIFS($A$5:$A277,"&gt;="&amp;$A278-1,$A$5:$A277,"&lt;="&amp;$A278,$B$5:$B277,$B278)&gt;0,MIN(1-'Exercise list'!J$2,IF($A278=$A277,AP277,1))-U278&lt;0),-1,MIN(1,IF($A278=$A277,AP277,1)-U278+$D$2))</f>
        <v>1</v>
      </c>
      <c r="AQ278" s="19">
        <f>IF(OR($J278=1,COUNTIFS($A$5:$A277,"&gt;="&amp;$A278-1,$A$5:$A277,"&lt;="&amp;$A278,$B$5:$B277,$B278)&gt;0,MIN(1-'Exercise list'!K$2,IF($A278=$A277,AQ277,1))-V278&lt;0),-1,MIN(1,IF($A278=$A277,AQ277,1)-V278+$D$2))</f>
        <v>1</v>
      </c>
      <c r="AR278" s="19">
        <f>IF(OR($J278=1,COUNTIFS($A$5:$A277,"&gt;="&amp;$A278-1,$A$5:$A277,"&lt;="&amp;$A278,$B$5:$B277,$B278)&gt;0,MIN(1-'Exercise list'!L$2,IF($A278=$A277,AR277,1))-W278&lt;0),-1,MIN(1,IF($A278=$A277,AR277,1)-W278+$D$2))</f>
        <v>1</v>
      </c>
      <c r="AS278" s="19">
        <f>IF(OR($J278=1,COUNTIFS($A$5:$A277,"&gt;="&amp;$A278-1,$A$5:$A277,"&lt;="&amp;$A278,$B$5:$B277,$B278)&gt;0,MIN(1-'Exercise list'!M$2,IF($A278=$A277,AS277,1))-X278&lt;0),-1,MIN(1,IF($A278=$A277,AS277,1)-X278+$D$2))</f>
        <v>1</v>
      </c>
      <c r="AT278" s="19">
        <f>IF(OR($J278=1,COUNTIFS($A$5:$A277,"&gt;="&amp;$A278-1,$A$5:$A277,"&lt;="&amp;$A278,$B$5:$B277,$B278)&gt;0,MIN(1-'Exercise list'!N$2,IF($A278=$A277,AT277,1))-Y278&lt;0),-1,MIN(1,IF($A278=$A277,AT277,1)-Y278+$D$2))</f>
        <v>1</v>
      </c>
      <c r="AU278" s="19">
        <f>IF(OR($J278=1,COUNTIFS($A$5:$A277,"&gt;="&amp;$A278-1,$A$5:$A277,"&lt;="&amp;$A278,$B$5:$B277,$B278)&gt;0,MIN(1-'Exercise list'!O$2,IF($A278=$A277,AU277,1))-Z278&lt;0),-1,MIN(1,IF($A278=$A277,AU277,1)-Z278+$D$2))</f>
        <v>1</v>
      </c>
      <c r="AV278" s="19">
        <f>IF(OR($J278=1,COUNTIFS($A$5:$A277,"&gt;="&amp;$A278-1,$A$5:$A277,"&lt;="&amp;$A278,$B$5:$B277,$B278)&gt;0,MIN(1-'Exercise list'!P$2,IF($A278=$A277,AV277,1))-AA278&lt;0),-1,MIN(1,IF($A278=$A277,AV277,1)-AA278+$D$2))</f>
        <v>1</v>
      </c>
      <c r="AW278" s="19">
        <f>IF(OR($J278=1,COUNTIFS($A$5:$A277,"&gt;="&amp;$A278-1,$A$5:$A277,"&lt;="&amp;$A278,$B$5:$B277,$B278)&gt;0,MIN(1-'Exercise list'!Q$2,IF($A278=$A277,AW277,1))-AB278&lt;0),-1,MIN(1,IF($A278=$A277,AW277,1)-AB278+$D$2))</f>
        <v>1</v>
      </c>
      <c r="AX278" s="19">
        <f>IF(OR($J278=1,COUNTIFS($A$5:$A277,"&gt;="&amp;$A278-1,$A$5:$A277,"&lt;="&amp;$A278,$B$5:$B277,$B278)&gt;0,MIN(1-'Exercise list'!R$2,IF($A278=$A277,AX277,1))-AC278&lt;0),-1,MIN(1,IF($A278=$A277,AX277,1)-AC278+$D$2))</f>
        <v>1</v>
      </c>
      <c r="AY278" s="19">
        <f>IF(OR($J278=1,COUNTIFS($A$5:$A277,"&gt;="&amp;$A278-1,$A$5:$A277,"&lt;="&amp;$A278,$B$5:$B277,$B278)&gt;0,MIN(1-'Exercise list'!S$2,IF($A278=$A277,AY277,1))-AD278&lt;0),-1,MIN(1,IF($A278=$A277,AY277,1)-AD278+$D$2))</f>
        <v>1</v>
      </c>
      <c r="AZ278" s="19">
        <f>IF(OR($J278=1,COUNTIFS($A$5:$A277,"&gt;="&amp;$A278-1,$A$5:$A277,"&lt;="&amp;$A278,$B$5:$B277,$B278)&gt;0,MIN(1-'Exercise list'!T$2,IF($A278=$A277,AZ277,1))-AE278&lt;0),-1,MIN(1,IF($A278=$A277,AZ277,1)-AE278+$D$2))</f>
        <v>1</v>
      </c>
      <c r="BA278" s="19">
        <f>IF(OR($J278=1,COUNTIFS($A$5:$A277,"&gt;="&amp;$A278-1,$A$5:$A277,"&lt;="&amp;$A278,$B$5:$B277,$B278)&gt;0,MIN(1-'Exercise list'!U$2,IF($A278=$A277,BA277,1))-AF278&lt;0),-1,MIN(1,IF($A278=$A277,BA277,1)-AF278+$D$2))</f>
        <v>1</v>
      </c>
      <c r="BB278" s="19">
        <f>IF(OR($J278=1,COUNTIFS($A$5:$A277,"&gt;="&amp;$A278-1,$A$5:$A277,"&lt;="&amp;$A278,$B$5:$B277,$B278)&gt;0,MIN(1-'Exercise list'!V$2,IF($A278=$A277,BB277,1))-AG278&lt;0),-1,MIN(1,IF($A278=$A277,BB277,1)-AG278+$D$2))</f>
        <v>1</v>
      </c>
      <c r="BC278" s="19">
        <f>IF(OR($J278=1,COUNTIFS($A$5:$A277,"&gt;="&amp;$A278-1,$A$5:$A277,"&lt;="&amp;$A278,$B$5:$B277,$B278)&gt;0,MIN(1-'Exercise list'!W$2,IF($A278=$A277,BC277,1))-AH278&lt;0),-1,MIN(1,IF($A278=$A277,BC277,1)-AH278+$D$2))</f>
        <v>1</v>
      </c>
      <c r="BD278" s="19">
        <f>IF(OR($J278=1,COUNTIFS($A$5:$A277,"&gt;="&amp;$A278-1,$A$5:$A277,"&lt;="&amp;$A278,$B$5:$B277,$B278)&gt;0,MIN(1-'Exercise list'!X$2,IF($A278=$A277,BD277,1))-AI278&lt;0),-1,MIN(1,IF($A278=$A277,BD277,1)-AI278+$D$2))</f>
        <v>1</v>
      </c>
      <c r="BE278" s="19"/>
      <c r="BF278" s="23">
        <f t="shared" si="189"/>
        <v>0.19596031081758858</v>
      </c>
      <c r="BG278" s="23">
        <f t="shared" si="190"/>
        <v>0.21844636935459236</v>
      </c>
      <c r="BH278" s="23">
        <f t="shared" si="191"/>
        <v>0.14609696635987124</v>
      </c>
      <c r="BI278" s="23">
        <f t="shared" si="192"/>
        <v>0.13198015366034541</v>
      </c>
      <c r="BJ278" s="23">
        <f t="shared" si="193"/>
        <v>8.3367914198418713E-2</v>
      </c>
      <c r="BK278" s="23">
        <f t="shared" si="194"/>
        <v>0.10640640223148412</v>
      </c>
      <c r="BL278" s="23">
        <f t="shared" si="195"/>
        <v>0.21963504743569431</v>
      </c>
      <c r="BM278" s="23">
        <f t="shared" si="196"/>
        <v>3.8988008374820568E-3</v>
      </c>
      <c r="BN278" s="23">
        <f t="shared" si="197"/>
        <v>0.14537706087090876</v>
      </c>
      <c r="BO278" s="23">
        <f t="shared" si="198"/>
        <v>0.29209790661993401</v>
      </c>
      <c r="BP278" s="23">
        <f t="shared" si="199"/>
        <v>0.31584545163401867</v>
      </c>
      <c r="BQ278" s="23">
        <f t="shared" si="200"/>
        <v>0.1000007994126096</v>
      </c>
      <c r="BR278" s="23">
        <f t="shared" si="201"/>
        <v>0.13164487759885393</v>
      </c>
      <c r="BS278" s="23">
        <f t="shared" si="202"/>
        <v>2.9803550189863123E-2</v>
      </c>
      <c r="BT278" s="23">
        <f t="shared" si="203"/>
        <v>0.13492040904978705</v>
      </c>
      <c r="BU278" s="23">
        <f t="shared" si="204"/>
        <v>0.11703687414398131</v>
      </c>
      <c r="BV278" s="23">
        <f t="shared" si="205"/>
        <v>0.14633353213781661</v>
      </c>
      <c r="BW278" s="23">
        <f t="shared" si="206"/>
        <v>7.5588015111767173E-2</v>
      </c>
      <c r="BX278" s="23">
        <f t="shared" si="207"/>
        <v>8.0345659937185704E-2</v>
      </c>
      <c r="BY278" s="23">
        <f t="shared" si="208"/>
        <v>5.9014643151272549E-2</v>
      </c>
      <c r="BZ278" s="19"/>
      <c r="CA278" s="23" t="str">
        <f t="shared" si="229"/>
        <v/>
      </c>
      <c r="CB278" s="23" t="str">
        <f t="shared" si="210"/>
        <v/>
      </c>
      <c r="CC278" s="23" t="str">
        <f t="shared" si="211"/>
        <v/>
      </c>
      <c r="CD278" s="23" t="str">
        <f t="shared" si="212"/>
        <v/>
      </c>
      <c r="CE278" s="23" t="str">
        <f t="shared" si="213"/>
        <v/>
      </c>
      <c r="CF278" s="23" t="str">
        <f t="shared" si="214"/>
        <v/>
      </c>
      <c r="CG278" s="23" t="str">
        <f t="shared" si="215"/>
        <v/>
      </c>
      <c r="CH278" s="23" t="str">
        <f t="shared" si="216"/>
        <v/>
      </c>
      <c r="CI278" s="23" t="str">
        <f t="shared" si="217"/>
        <v/>
      </c>
      <c r="CJ278" s="23" t="str">
        <f t="shared" si="218"/>
        <v/>
      </c>
      <c r="CK278" s="23" t="str">
        <f t="shared" si="219"/>
        <v/>
      </c>
      <c r="CL278" s="23" t="str">
        <f t="shared" si="220"/>
        <v/>
      </c>
      <c r="CM278" s="23" t="str">
        <f t="shared" si="221"/>
        <v/>
      </c>
      <c r="CN278" s="23" t="str">
        <f t="shared" si="222"/>
        <v/>
      </c>
      <c r="CO278" s="23" t="str">
        <f t="shared" si="223"/>
        <v/>
      </c>
      <c r="CP278" s="23" t="str">
        <f t="shared" si="224"/>
        <v/>
      </c>
      <c r="CQ278" s="23" t="str">
        <f t="shared" si="225"/>
        <v/>
      </c>
      <c r="CR278" s="23" t="str">
        <f t="shared" si="226"/>
        <v/>
      </c>
      <c r="CS278" s="23" t="str">
        <f t="shared" si="227"/>
        <v/>
      </c>
      <c r="CT278" s="23" t="str">
        <f t="shared" si="228"/>
        <v/>
      </c>
      <c r="CU278" s="19"/>
    </row>
    <row r="279" spans="1:99" x14ac:dyDescent="0.25">
      <c r="A279" s="13"/>
      <c r="B279" s="14"/>
      <c r="C279" s="15" t="str" cm="1">
        <f t="array" ref="C279">IF(B279="","",INDEX('Exercise list'!$C$5:$C$102,B279))</f>
        <v/>
      </c>
      <c r="D279" s="12" t="str">
        <f t="shared" si="186"/>
        <v/>
      </c>
      <c r="E279" s="107" t="str">
        <f t="shared" si="209"/>
        <v/>
      </c>
      <c r="F279" s="63" t="str" cm="1">
        <f t="array" ref="F279">IF(B279="","",0.1+IFERROR(INDEX($F$6:$F278,SUMPRODUCT(MAX(ROW($C$6:$C278)*($C279=$C$6:$C278))-ROW($A$5)))*0.9^($A279-INDEX($A$6:A278,SUMPRODUCT(MAX(ROW($C$6:$C278)*($C279=$C$6:$C278))-ROW($A$5)))),0))</f>
        <v/>
      </c>
      <c r="G279" s="64" t="e">
        <f>INDEX('Exercise list'!$Y$5:$Y$102,MATCH(C279,'Exercise list'!$C$5:$C$102,0))</f>
        <v>#N/A</v>
      </c>
      <c r="H279" s="115">
        <f t="shared" si="187"/>
        <v>0</v>
      </c>
      <c r="I279" s="42">
        <f t="shared" si="188"/>
        <v>5</v>
      </c>
      <c r="J279" s="6" t="str" cm="1">
        <f t="array" ref="J279">IF(B279="","",INDEX('Exercise list'!$D$5:$D$102,B279))</f>
        <v/>
      </c>
      <c r="K279" s="12"/>
      <c r="L279" s="74" t="str" cm="1">
        <f t="array" ref="L279">IF(K279="","",INDEX('Exercise list'!$C$5:$C$102,K279))</f>
        <v/>
      </c>
      <c r="M279" s="6"/>
      <c r="N279" s="75" t="str" cm="1">
        <f t="array" ref="N279">IF(M279="","",INDEX('Exercise list'!$C$5:$C$102,M279))</f>
        <v/>
      </c>
      <c r="P279">
        <f>IFERROR(INDEX('Exercise list'!$E$5:$X$102,MATCH($C279,'Exercise list'!$C$5:$C$102,0),MATCH(P$5,'Exercise list'!$E$4:$X$4,0)),0)</f>
        <v>0</v>
      </c>
      <c r="Q279">
        <f>IFERROR(INDEX('Exercise list'!$E$5:$X$102,MATCH($C279,'Exercise list'!$C$5:$C$102,0),MATCH(Q$5,'Exercise list'!$E$4:$X$4,0)),0)</f>
        <v>0</v>
      </c>
      <c r="R279">
        <f>IFERROR(INDEX('Exercise list'!$E$5:$X$102,MATCH($C279,'Exercise list'!$C$5:$C$102,0),MATCH(R$5,'Exercise list'!$E$4:$X$4,0)),0)</f>
        <v>0</v>
      </c>
      <c r="S279">
        <f>IFERROR(INDEX('Exercise list'!$E$5:$X$102,MATCH($C279,'Exercise list'!$C$5:$C$102,0),MATCH(S$5,'Exercise list'!$E$4:$X$4,0)),0)</f>
        <v>0</v>
      </c>
      <c r="T279">
        <f>IFERROR(INDEX('Exercise list'!$E$5:$X$102,MATCH($C279,'Exercise list'!$C$5:$C$102,0),MATCH(T$5,'Exercise list'!$E$4:$X$4,0)),0)</f>
        <v>0</v>
      </c>
      <c r="U279">
        <f>IFERROR(INDEX('Exercise list'!$E$5:$X$102,MATCH($C279,'Exercise list'!$C$5:$C$102,0),MATCH(U$5,'Exercise list'!$E$4:$X$4,0)),0)</f>
        <v>0</v>
      </c>
      <c r="V279">
        <f>IFERROR(INDEX('Exercise list'!$E$5:$X$102,MATCH($C279,'Exercise list'!$C$5:$C$102,0),MATCH(V$5,'Exercise list'!$E$4:$X$4,0)),0)</f>
        <v>0</v>
      </c>
      <c r="W279">
        <f>IFERROR(INDEX('Exercise list'!$E$5:$X$102,MATCH($C279,'Exercise list'!$C$5:$C$102,0),MATCH(W$5,'Exercise list'!$E$4:$X$4,0)),0)</f>
        <v>0</v>
      </c>
      <c r="X279">
        <f>IFERROR(INDEX('Exercise list'!$E$5:$X$102,MATCH($C279,'Exercise list'!$C$5:$C$102,0),MATCH(X$5,'Exercise list'!$E$4:$X$4,0)),0)</f>
        <v>0</v>
      </c>
      <c r="Y279">
        <f>IFERROR(INDEX('Exercise list'!$E$5:$X$102,MATCH($C279,'Exercise list'!$C$5:$C$102,0),MATCH(Y$5,'Exercise list'!$E$4:$X$4,0)),0)</f>
        <v>0</v>
      </c>
      <c r="Z279">
        <f>IFERROR(INDEX('Exercise list'!$E$5:$X$102,MATCH($C279,'Exercise list'!$C$5:$C$102,0),MATCH(Z$5,'Exercise list'!$E$4:$X$4,0)),0)</f>
        <v>0</v>
      </c>
      <c r="AA279">
        <f>IFERROR(INDEX('Exercise list'!$E$5:$X$102,MATCH($C279,'Exercise list'!$C$5:$C$102,0),MATCH(AA$5,'Exercise list'!$E$4:$X$4,0)),0)</f>
        <v>0</v>
      </c>
      <c r="AB279">
        <f>IFERROR(INDEX('Exercise list'!$E$5:$X$102,MATCH($C279,'Exercise list'!$C$5:$C$102,0),MATCH(AB$5,'Exercise list'!$E$4:$X$4,0)),0)</f>
        <v>0</v>
      </c>
      <c r="AC279">
        <f>IFERROR(INDEX('Exercise list'!$E$5:$X$102,MATCH($C279,'Exercise list'!$C$5:$C$102,0),MATCH(AC$5,'Exercise list'!$E$4:$X$4,0)),0)</f>
        <v>0</v>
      </c>
      <c r="AD279">
        <f>IFERROR(INDEX('Exercise list'!$E$5:$X$102,MATCH($C279,'Exercise list'!$C$5:$C$102,0),MATCH(AD$5,'Exercise list'!$E$4:$X$4,0)),0)</f>
        <v>0</v>
      </c>
      <c r="AE279">
        <f>IFERROR(INDEX('Exercise list'!$E$5:$X$102,MATCH($C279,'Exercise list'!$C$5:$C$102,0),MATCH(AE$5,'Exercise list'!$E$4:$X$4,0)),0)</f>
        <v>0</v>
      </c>
      <c r="AF279">
        <f>IFERROR(INDEX('Exercise list'!$E$5:$X$102,MATCH($C279,'Exercise list'!$C$5:$C$102,0),MATCH(AF$5,'Exercise list'!$E$4:$X$4,0)),0)</f>
        <v>0</v>
      </c>
      <c r="AG279">
        <f>IFERROR(INDEX('Exercise list'!$E$5:$X$102,MATCH($C279,'Exercise list'!$C$5:$C$102,0),MATCH(AG$5,'Exercise list'!$E$4:$X$4,0)),0)</f>
        <v>0</v>
      </c>
      <c r="AH279">
        <f>IFERROR(INDEX('Exercise list'!$E$5:$X$102,MATCH($C279,'Exercise list'!$C$5:$C$102,0),MATCH(AH$5,'Exercise list'!$E$4:$X$4,0)),0)</f>
        <v>0</v>
      </c>
      <c r="AI279">
        <f>IFERROR(INDEX('Exercise list'!$E$5:$X$102,MATCH($C279,'Exercise list'!$C$5:$C$102,0),MATCH(AI$5,'Exercise list'!$E$4:$X$4,0)),0)</f>
        <v>0</v>
      </c>
      <c r="AK279">
        <f>IF(OR($J279=1,COUNTIFS($A$5:$A278,"&gt;="&amp;$A279-1,$A$5:$A278,"&lt;="&amp;$A279,$B$5:$B278,$B279)&gt;0,MIN(1-'Exercise list'!E$2,IF($A279=$A278,AK278,1))-P279&lt;0),-1,MIN(1,IF($A279=$A278,AK278,1)-P279+$D$2))</f>
        <v>1</v>
      </c>
      <c r="AL279">
        <f>IF(OR($J279=1,COUNTIFS($A$5:$A278,"&gt;="&amp;$A279-1,$A$5:$A278,"&lt;="&amp;$A279,$B$5:$B278,$B279)&gt;0,MIN(1-'Exercise list'!F$2,IF($A279=$A278,AL278,1))-Q279&lt;0),-1,MIN(1,IF($A279=$A278,AL278,1)-Q279+$D$2))</f>
        <v>1</v>
      </c>
      <c r="AM279">
        <f>IF(OR($J279=1,COUNTIFS($A$5:$A278,"&gt;="&amp;$A279-1,$A$5:$A278,"&lt;="&amp;$A279,$B$5:$B278,$B279)&gt;0,MIN(1-'Exercise list'!G$2,IF($A279=$A278,AM278,1))-R279&lt;0),-1,MIN(1,IF($A279=$A278,AM278,1)-R279+$D$2))</f>
        <v>1</v>
      </c>
      <c r="AN279">
        <f>IF(OR($J279=1,COUNTIFS($A$5:$A278,"&gt;="&amp;$A279-1,$A$5:$A278,"&lt;="&amp;$A279,$B$5:$B278,$B279)&gt;0,MIN(1-'Exercise list'!H$2,IF($A279=$A278,AN278,1))-S279&lt;0),-1,MIN(1,IF($A279=$A278,AN278,1)-S279+$D$2))</f>
        <v>1</v>
      </c>
      <c r="AO279">
        <f>IF(OR($J279=1,COUNTIFS($A$5:$A278,"&gt;="&amp;$A279-1,$A$5:$A278,"&lt;="&amp;$A279,$B$5:$B278,$B279)&gt;0,MIN(1-'Exercise list'!I$2,IF($A279=$A278,AO278,1))-T279&lt;0),-1,MIN(1,IF($A279=$A278,AO278,1)-T279+$D$2))</f>
        <v>1</v>
      </c>
      <c r="AP279">
        <f>IF(OR($J279=1,COUNTIFS($A$5:$A278,"&gt;="&amp;$A279-1,$A$5:$A278,"&lt;="&amp;$A279,$B$5:$B278,$B279)&gt;0,MIN(1-'Exercise list'!J$2,IF($A279=$A278,AP278,1))-U279&lt;0),-1,MIN(1,IF($A279=$A278,AP278,1)-U279+$D$2))</f>
        <v>1</v>
      </c>
      <c r="AQ279">
        <f>IF(OR($J279=1,COUNTIFS($A$5:$A278,"&gt;="&amp;$A279-1,$A$5:$A278,"&lt;="&amp;$A279,$B$5:$B278,$B279)&gt;0,MIN(1-'Exercise list'!K$2,IF($A279=$A278,AQ278,1))-V279&lt;0),-1,MIN(1,IF($A279=$A278,AQ278,1)-V279+$D$2))</f>
        <v>1</v>
      </c>
      <c r="AR279">
        <f>IF(OR($J279=1,COUNTIFS($A$5:$A278,"&gt;="&amp;$A279-1,$A$5:$A278,"&lt;="&amp;$A279,$B$5:$B278,$B279)&gt;0,MIN(1-'Exercise list'!L$2,IF($A279=$A278,AR278,1))-W279&lt;0),-1,MIN(1,IF($A279=$A278,AR278,1)-W279+$D$2))</f>
        <v>1</v>
      </c>
      <c r="AS279">
        <f>IF(OR($J279=1,COUNTIFS($A$5:$A278,"&gt;="&amp;$A279-1,$A$5:$A278,"&lt;="&amp;$A279,$B$5:$B278,$B279)&gt;0,MIN(1-'Exercise list'!M$2,IF($A279=$A278,AS278,1))-X279&lt;0),-1,MIN(1,IF($A279=$A278,AS278,1)-X279+$D$2))</f>
        <v>1</v>
      </c>
      <c r="AT279">
        <f>IF(OR($J279=1,COUNTIFS($A$5:$A278,"&gt;="&amp;$A279-1,$A$5:$A278,"&lt;="&amp;$A279,$B$5:$B278,$B279)&gt;0,MIN(1-'Exercise list'!N$2,IF($A279=$A278,AT278,1))-Y279&lt;0),-1,MIN(1,IF($A279=$A278,AT278,1)-Y279+$D$2))</f>
        <v>1</v>
      </c>
      <c r="AU279">
        <f>IF(OR($J279=1,COUNTIFS($A$5:$A278,"&gt;="&amp;$A279-1,$A$5:$A278,"&lt;="&amp;$A279,$B$5:$B278,$B279)&gt;0,MIN(1-'Exercise list'!O$2,IF($A279=$A278,AU278,1))-Z279&lt;0),-1,MIN(1,IF($A279=$A278,AU278,1)-Z279+$D$2))</f>
        <v>1</v>
      </c>
      <c r="AV279">
        <f>IF(OR($J279=1,COUNTIFS($A$5:$A278,"&gt;="&amp;$A279-1,$A$5:$A278,"&lt;="&amp;$A279,$B$5:$B278,$B279)&gt;0,MIN(1-'Exercise list'!P$2,IF($A279=$A278,AV278,1))-AA279&lt;0),-1,MIN(1,IF($A279=$A278,AV278,1)-AA279+$D$2))</f>
        <v>1</v>
      </c>
      <c r="AW279">
        <f>IF(OR($J279=1,COUNTIFS($A$5:$A278,"&gt;="&amp;$A279-1,$A$5:$A278,"&lt;="&amp;$A279,$B$5:$B278,$B279)&gt;0,MIN(1-'Exercise list'!Q$2,IF($A279=$A278,AW278,1))-AB279&lt;0),-1,MIN(1,IF($A279=$A278,AW278,1)-AB279+$D$2))</f>
        <v>1</v>
      </c>
      <c r="AX279">
        <f>IF(OR($J279=1,COUNTIFS($A$5:$A278,"&gt;="&amp;$A279-1,$A$5:$A278,"&lt;="&amp;$A279,$B$5:$B278,$B279)&gt;0,MIN(1-'Exercise list'!R$2,IF($A279=$A278,AX278,1))-AC279&lt;0),-1,MIN(1,IF($A279=$A278,AX278,1)-AC279+$D$2))</f>
        <v>1</v>
      </c>
      <c r="AY279">
        <f>IF(OR($J279=1,COUNTIFS($A$5:$A278,"&gt;="&amp;$A279-1,$A$5:$A278,"&lt;="&amp;$A279,$B$5:$B278,$B279)&gt;0,MIN(1-'Exercise list'!S$2,IF($A279=$A278,AY278,1))-AD279&lt;0),-1,MIN(1,IF($A279=$A278,AY278,1)-AD279+$D$2))</f>
        <v>1</v>
      </c>
      <c r="AZ279">
        <f>IF(OR($J279=1,COUNTIFS($A$5:$A278,"&gt;="&amp;$A279-1,$A$5:$A278,"&lt;="&amp;$A279,$B$5:$B278,$B279)&gt;0,MIN(1-'Exercise list'!T$2,IF($A279=$A278,AZ278,1))-AE279&lt;0),-1,MIN(1,IF($A279=$A278,AZ278,1)-AE279+$D$2))</f>
        <v>1</v>
      </c>
      <c r="BA279">
        <f>IF(OR($J279=1,COUNTIFS($A$5:$A278,"&gt;="&amp;$A279-1,$A$5:$A278,"&lt;="&amp;$A279,$B$5:$B278,$B279)&gt;0,MIN(1-'Exercise list'!U$2,IF($A279=$A278,BA278,1))-AF279&lt;0),-1,MIN(1,IF($A279=$A278,BA278,1)-AF279+$D$2))</f>
        <v>1</v>
      </c>
      <c r="BB279">
        <f>IF(OR($J279=1,COUNTIFS($A$5:$A278,"&gt;="&amp;$A279-1,$A$5:$A278,"&lt;="&amp;$A279,$B$5:$B278,$B279)&gt;0,MIN(1-'Exercise list'!V$2,IF($A279=$A278,BB278,1))-AG279&lt;0),-1,MIN(1,IF($A279=$A278,BB278,1)-AG279+$D$2))</f>
        <v>1</v>
      </c>
      <c r="BC279">
        <f>IF(OR($J279=1,COUNTIFS($A$5:$A278,"&gt;="&amp;$A279-1,$A$5:$A278,"&lt;="&amp;$A279,$B$5:$B278,$B279)&gt;0,MIN(1-'Exercise list'!W$2,IF($A279=$A278,BC278,1))-AH279&lt;0),-1,MIN(1,IF($A279=$A278,BC278,1)-AH279+$D$2))</f>
        <v>1</v>
      </c>
      <c r="BD279">
        <f>IF(OR($J279=1,COUNTIFS($A$5:$A278,"&gt;="&amp;$A279-1,$A$5:$A278,"&lt;="&amp;$A279,$B$5:$B278,$B279)&gt;0,MIN(1-'Exercise list'!X$2,IF($A279=$A278,BD278,1))-AI279&lt;0),-1,MIN(1,IF($A279=$A278,BD278,1)-AI279+$D$2))</f>
        <v>1</v>
      </c>
      <c r="BF279" s="16">
        <f t="shared" si="189"/>
        <v>0.19596031081758858</v>
      </c>
      <c r="BG279" s="16">
        <f t="shared" si="190"/>
        <v>0.21844636935459236</v>
      </c>
      <c r="BH279" s="16">
        <f t="shared" si="191"/>
        <v>0.14609696635987124</v>
      </c>
      <c r="BI279" s="16">
        <f t="shared" si="192"/>
        <v>0.13198015366034541</v>
      </c>
      <c r="BJ279" s="16">
        <f t="shared" si="193"/>
        <v>8.3367914198418713E-2</v>
      </c>
      <c r="BK279" s="16">
        <f t="shared" si="194"/>
        <v>0.10640640223148412</v>
      </c>
      <c r="BL279" s="16">
        <f t="shared" si="195"/>
        <v>0.21963504743569431</v>
      </c>
      <c r="BM279" s="16">
        <f t="shared" si="196"/>
        <v>3.8988008374820568E-3</v>
      </c>
      <c r="BN279" s="16">
        <f t="shared" si="197"/>
        <v>0.14537706087090876</v>
      </c>
      <c r="BO279" s="16">
        <f t="shared" si="198"/>
        <v>0.29209790661993401</v>
      </c>
      <c r="BP279" s="16">
        <f t="shared" si="199"/>
        <v>0.31584545163401867</v>
      </c>
      <c r="BQ279" s="16">
        <f t="shared" si="200"/>
        <v>0.1000007994126096</v>
      </c>
      <c r="BR279" s="16">
        <f t="shared" si="201"/>
        <v>0.13164487759885393</v>
      </c>
      <c r="BS279" s="16">
        <f t="shared" si="202"/>
        <v>2.9803550189863123E-2</v>
      </c>
      <c r="BT279" s="16">
        <f t="shared" si="203"/>
        <v>0.13492040904978705</v>
      </c>
      <c r="BU279" s="16">
        <f t="shared" si="204"/>
        <v>0.11703687414398131</v>
      </c>
      <c r="BV279" s="16">
        <f t="shared" si="205"/>
        <v>0.14633353213781661</v>
      </c>
      <c r="BW279" s="16">
        <f t="shared" si="206"/>
        <v>7.5588015111767173E-2</v>
      </c>
      <c r="BX279" s="16">
        <f t="shared" si="207"/>
        <v>8.0345659937185704E-2</v>
      </c>
      <c r="BY279" s="16">
        <f t="shared" si="208"/>
        <v>5.9014643151272549E-2</v>
      </c>
      <c r="CA279" s="16" t="str">
        <f t="shared" si="229"/>
        <v/>
      </c>
      <c r="CB279" s="16" t="str">
        <f t="shared" si="210"/>
        <v/>
      </c>
      <c r="CC279" s="16" t="str">
        <f t="shared" si="211"/>
        <v/>
      </c>
      <c r="CD279" s="16" t="str">
        <f t="shared" si="212"/>
        <v/>
      </c>
      <c r="CE279" s="16" t="str">
        <f t="shared" si="213"/>
        <v/>
      </c>
      <c r="CF279" s="16" t="str">
        <f t="shared" si="214"/>
        <v/>
      </c>
      <c r="CG279" s="16" t="str">
        <f t="shared" si="215"/>
        <v/>
      </c>
      <c r="CH279" s="16" t="str">
        <f t="shared" si="216"/>
        <v/>
      </c>
      <c r="CI279" s="16" t="str">
        <f t="shared" si="217"/>
        <v/>
      </c>
      <c r="CJ279" s="16" t="str">
        <f t="shared" si="218"/>
        <v/>
      </c>
      <c r="CK279" s="16" t="str">
        <f t="shared" si="219"/>
        <v/>
      </c>
      <c r="CL279" s="16" t="str">
        <f t="shared" si="220"/>
        <v/>
      </c>
      <c r="CM279" s="16" t="str">
        <f t="shared" si="221"/>
        <v/>
      </c>
      <c r="CN279" s="16" t="str">
        <f t="shared" si="222"/>
        <v/>
      </c>
      <c r="CO279" s="16" t="str">
        <f t="shared" si="223"/>
        <v/>
      </c>
      <c r="CP279" s="16" t="str">
        <f t="shared" si="224"/>
        <v/>
      </c>
      <c r="CQ279" s="16" t="str">
        <f t="shared" si="225"/>
        <v/>
      </c>
      <c r="CR279" s="16" t="str">
        <f t="shared" si="226"/>
        <v/>
      </c>
      <c r="CS279" s="16" t="str">
        <f t="shared" si="227"/>
        <v/>
      </c>
      <c r="CT279" s="16" t="str">
        <f t="shared" si="228"/>
        <v/>
      </c>
    </row>
    <row r="280" spans="1:99" x14ac:dyDescent="0.25">
      <c r="A280" s="13"/>
      <c r="B280" s="14"/>
      <c r="C280" s="15" t="str" cm="1">
        <f t="array" ref="C280">IF(B280="","",INDEX('Exercise list'!$C$5:$C$102,B280))</f>
        <v/>
      </c>
      <c r="D280" s="12" t="str">
        <f t="shared" si="186"/>
        <v/>
      </c>
      <c r="E280" s="107" t="str">
        <f t="shared" si="209"/>
        <v/>
      </c>
      <c r="F280" s="63" t="str" cm="1">
        <f t="array" ref="F280">IF(B280="","",0.1+IFERROR(INDEX($F$6:$F279,SUMPRODUCT(MAX(ROW($C$6:$C279)*($C280=$C$6:$C279))-ROW($A$5)))*0.9^($A280-INDEX($A$6:A279,SUMPRODUCT(MAX(ROW($C$6:$C279)*($C280=$C$6:$C279))-ROW($A$5)))),0))</f>
        <v/>
      </c>
      <c r="G280" s="64" t="e">
        <f>INDEX('Exercise list'!$Y$5:$Y$102,MATCH(C280,'Exercise list'!$C$5:$C$102,0))</f>
        <v>#N/A</v>
      </c>
      <c r="H280" s="115">
        <f t="shared" si="187"/>
        <v>0</v>
      </c>
      <c r="I280" s="6">
        <f t="shared" si="188"/>
        <v>5</v>
      </c>
      <c r="J280" s="6" t="str" cm="1">
        <f t="array" ref="J280">IF(B280="","",INDEX('Exercise list'!$D$5:$D$102,B280))</f>
        <v/>
      </c>
      <c r="K280" s="12"/>
      <c r="L280" s="74" t="str" cm="1">
        <f t="array" ref="L280">IF(K280="","",INDEX('Exercise list'!$C$5:$C$102,K280))</f>
        <v/>
      </c>
      <c r="M280" s="6"/>
      <c r="N280" s="75" t="str" cm="1">
        <f t="array" ref="N280">IF(M280="","",INDEX('Exercise list'!$C$5:$C$102,M280))</f>
        <v/>
      </c>
      <c r="P280">
        <f>IFERROR(INDEX('Exercise list'!$E$5:$X$102,MATCH($C280,'Exercise list'!$C$5:$C$102,0),MATCH(P$5,'Exercise list'!$E$4:$X$4,0)),0)</f>
        <v>0</v>
      </c>
      <c r="Q280">
        <f>IFERROR(INDEX('Exercise list'!$E$5:$X$102,MATCH($C280,'Exercise list'!$C$5:$C$102,0),MATCH(Q$5,'Exercise list'!$E$4:$X$4,0)),0)</f>
        <v>0</v>
      </c>
      <c r="R280">
        <f>IFERROR(INDEX('Exercise list'!$E$5:$X$102,MATCH($C280,'Exercise list'!$C$5:$C$102,0),MATCH(R$5,'Exercise list'!$E$4:$X$4,0)),0)</f>
        <v>0</v>
      </c>
      <c r="S280">
        <f>IFERROR(INDEX('Exercise list'!$E$5:$X$102,MATCH($C280,'Exercise list'!$C$5:$C$102,0),MATCH(S$5,'Exercise list'!$E$4:$X$4,0)),0)</f>
        <v>0</v>
      </c>
      <c r="T280">
        <f>IFERROR(INDEX('Exercise list'!$E$5:$X$102,MATCH($C280,'Exercise list'!$C$5:$C$102,0),MATCH(T$5,'Exercise list'!$E$4:$X$4,0)),0)</f>
        <v>0</v>
      </c>
      <c r="U280">
        <f>IFERROR(INDEX('Exercise list'!$E$5:$X$102,MATCH($C280,'Exercise list'!$C$5:$C$102,0),MATCH(U$5,'Exercise list'!$E$4:$X$4,0)),0)</f>
        <v>0</v>
      </c>
      <c r="V280">
        <f>IFERROR(INDEX('Exercise list'!$E$5:$X$102,MATCH($C280,'Exercise list'!$C$5:$C$102,0),MATCH(V$5,'Exercise list'!$E$4:$X$4,0)),0)</f>
        <v>0</v>
      </c>
      <c r="W280">
        <f>IFERROR(INDEX('Exercise list'!$E$5:$X$102,MATCH($C280,'Exercise list'!$C$5:$C$102,0),MATCH(W$5,'Exercise list'!$E$4:$X$4,0)),0)</f>
        <v>0</v>
      </c>
      <c r="X280">
        <f>IFERROR(INDEX('Exercise list'!$E$5:$X$102,MATCH($C280,'Exercise list'!$C$5:$C$102,0),MATCH(X$5,'Exercise list'!$E$4:$X$4,0)),0)</f>
        <v>0</v>
      </c>
      <c r="Y280">
        <f>IFERROR(INDEX('Exercise list'!$E$5:$X$102,MATCH($C280,'Exercise list'!$C$5:$C$102,0),MATCH(Y$5,'Exercise list'!$E$4:$X$4,0)),0)</f>
        <v>0</v>
      </c>
      <c r="Z280">
        <f>IFERROR(INDEX('Exercise list'!$E$5:$X$102,MATCH($C280,'Exercise list'!$C$5:$C$102,0),MATCH(Z$5,'Exercise list'!$E$4:$X$4,0)),0)</f>
        <v>0</v>
      </c>
      <c r="AA280">
        <f>IFERROR(INDEX('Exercise list'!$E$5:$X$102,MATCH($C280,'Exercise list'!$C$5:$C$102,0),MATCH(AA$5,'Exercise list'!$E$4:$X$4,0)),0)</f>
        <v>0</v>
      </c>
      <c r="AB280">
        <f>IFERROR(INDEX('Exercise list'!$E$5:$X$102,MATCH($C280,'Exercise list'!$C$5:$C$102,0),MATCH(AB$5,'Exercise list'!$E$4:$X$4,0)),0)</f>
        <v>0</v>
      </c>
      <c r="AC280">
        <f>IFERROR(INDEX('Exercise list'!$E$5:$X$102,MATCH($C280,'Exercise list'!$C$5:$C$102,0),MATCH(AC$5,'Exercise list'!$E$4:$X$4,0)),0)</f>
        <v>0</v>
      </c>
      <c r="AD280">
        <f>IFERROR(INDEX('Exercise list'!$E$5:$X$102,MATCH($C280,'Exercise list'!$C$5:$C$102,0),MATCH(AD$5,'Exercise list'!$E$4:$X$4,0)),0)</f>
        <v>0</v>
      </c>
      <c r="AE280">
        <f>IFERROR(INDEX('Exercise list'!$E$5:$X$102,MATCH($C280,'Exercise list'!$C$5:$C$102,0),MATCH(AE$5,'Exercise list'!$E$4:$X$4,0)),0)</f>
        <v>0</v>
      </c>
      <c r="AF280">
        <f>IFERROR(INDEX('Exercise list'!$E$5:$X$102,MATCH($C280,'Exercise list'!$C$5:$C$102,0),MATCH(AF$5,'Exercise list'!$E$4:$X$4,0)),0)</f>
        <v>0</v>
      </c>
      <c r="AG280">
        <f>IFERROR(INDEX('Exercise list'!$E$5:$X$102,MATCH($C280,'Exercise list'!$C$5:$C$102,0),MATCH(AG$5,'Exercise list'!$E$4:$X$4,0)),0)</f>
        <v>0</v>
      </c>
      <c r="AH280">
        <f>IFERROR(INDEX('Exercise list'!$E$5:$X$102,MATCH($C280,'Exercise list'!$C$5:$C$102,0),MATCH(AH$5,'Exercise list'!$E$4:$X$4,0)),0)</f>
        <v>0</v>
      </c>
      <c r="AI280">
        <f>IFERROR(INDEX('Exercise list'!$E$5:$X$102,MATCH($C280,'Exercise list'!$C$5:$C$102,0),MATCH(AI$5,'Exercise list'!$E$4:$X$4,0)),0)</f>
        <v>0</v>
      </c>
      <c r="AK280">
        <f>IF(OR($J280=1,COUNTIFS($A$5:$A279,"&gt;="&amp;$A280-1,$A$5:$A279,"&lt;="&amp;$A280,$B$5:$B279,$B280)&gt;0,MIN(1-'Exercise list'!E$2,IF($A280=$A279,AK279,1))-P280&lt;0),-1,MIN(1,IF($A280=$A279,AK279,1)-P280+$D$2))</f>
        <v>1</v>
      </c>
      <c r="AL280">
        <f>IF(OR($J280=1,COUNTIFS($A$5:$A279,"&gt;="&amp;$A280-1,$A$5:$A279,"&lt;="&amp;$A280,$B$5:$B279,$B280)&gt;0,MIN(1-'Exercise list'!F$2,IF($A280=$A279,AL279,1))-Q280&lt;0),-1,MIN(1,IF($A280=$A279,AL279,1)-Q280+$D$2))</f>
        <v>1</v>
      </c>
      <c r="AM280">
        <f>IF(OR($J280=1,COUNTIFS($A$5:$A279,"&gt;="&amp;$A280-1,$A$5:$A279,"&lt;="&amp;$A280,$B$5:$B279,$B280)&gt;0,MIN(1-'Exercise list'!G$2,IF($A280=$A279,AM279,1))-R280&lt;0),-1,MIN(1,IF($A280=$A279,AM279,1)-R280+$D$2))</f>
        <v>1</v>
      </c>
      <c r="AN280">
        <f>IF(OR($J280=1,COUNTIFS($A$5:$A279,"&gt;="&amp;$A280-1,$A$5:$A279,"&lt;="&amp;$A280,$B$5:$B279,$B280)&gt;0,MIN(1-'Exercise list'!H$2,IF($A280=$A279,AN279,1))-S280&lt;0),-1,MIN(1,IF($A280=$A279,AN279,1)-S280+$D$2))</f>
        <v>1</v>
      </c>
      <c r="AO280">
        <f>IF(OR($J280=1,COUNTIFS($A$5:$A279,"&gt;="&amp;$A280-1,$A$5:$A279,"&lt;="&amp;$A280,$B$5:$B279,$B280)&gt;0,MIN(1-'Exercise list'!I$2,IF($A280=$A279,AO279,1))-T280&lt;0),-1,MIN(1,IF($A280=$A279,AO279,1)-T280+$D$2))</f>
        <v>1</v>
      </c>
      <c r="AP280">
        <f>IF(OR($J280=1,COUNTIFS($A$5:$A279,"&gt;="&amp;$A280-1,$A$5:$A279,"&lt;="&amp;$A280,$B$5:$B279,$B280)&gt;0,MIN(1-'Exercise list'!J$2,IF($A280=$A279,AP279,1))-U280&lt;0),-1,MIN(1,IF($A280=$A279,AP279,1)-U280+$D$2))</f>
        <v>1</v>
      </c>
      <c r="AQ280">
        <f>IF(OR($J280=1,COUNTIFS($A$5:$A279,"&gt;="&amp;$A280-1,$A$5:$A279,"&lt;="&amp;$A280,$B$5:$B279,$B280)&gt;0,MIN(1-'Exercise list'!K$2,IF($A280=$A279,AQ279,1))-V280&lt;0),-1,MIN(1,IF($A280=$A279,AQ279,1)-V280+$D$2))</f>
        <v>1</v>
      </c>
      <c r="AR280">
        <f>IF(OR($J280=1,COUNTIFS($A$5:$A279,"&gt;="&amp;$A280-1,$A$5:$A279,"&lt;="&amp;$A280,$B$5:$B279,$B280)&gt;0,MIN(1-'Exercise list'!L$2,IF($A280=$A279,AR279,1))-W280&lt;0),-1,MIN(1,IF($A280=$A279,AR279,1)-W280+$D$2))</f>
        <v>1</v>
      </c>
      <c r="AS280">
        <f>IF(OR($J280=1,COUNTIFS($A$5:$A279,"&gt;="&amp;$A280-1,$A$5:$A279,"&lt;="&amp;$A280,$B$5:$B279,$B280)&gt;0,MIN(1-'Exercise list'!M$2,IF($A280=$A279,AS279,1))-X280&lt;0),-1,MIN(1,IF($A280=$A279,AS279,1)-X280+$D$2))</f>
        <v>1</v>
      </c>
      <c r="AT280">
        <f>IF(OR($J280=1,COUNTIFS($A$5:$A279,"&gt;="&amp;$A280-1,$A$5:$A279,"&lt;="&amp;$A280,$B$5:$B279,$B280)&gt;0,MIN(1-'Exercise list'!N$2,IF($A280=$A279,AT279,1))-Y280&lt;0),-1,MIN(1,IF($A280=$A279,AT279,1)-Y280+$D$2))</f>
        <v>1</v>
      </c>
      <c r="AU280">
        <f>IF(OR($J280=1,COUNTIFS($A$5:$A279,"&gt;="&amp;$A280-1,$A$5:$A279,"&lt;="&amp;$A280,$B$5:$B279,$B280)&gt;0,MIN(1-'Exercise list'!O$2,IF($A280=$A279,AU279,1))-Z280&lt;0),-1,MIN(1,IF($A280=$A279,AU279,1)-Z280+$D$2))</f>
        <v>1</v>
      </c>
      <c r="AV280">
        <f>IF(OR($J280=1,COUNTIFS($A$5:$A279,"&gt;="&amp;$A280-1,$A$5:$A279,"&lt;="&amp;$A280,$B$5:$B279,$B280)&gt;0,MIN(1-'Exercise list'!P$2,IF($A280=$A279,AV279,1))-AA280&lt;0),-1,MIN(1,IF($A280=$A279,AV279,1)-AA280+$D$2))</f>
        <v>1</v>
      </c>
      <c r="AW280">
        <f>IF(OR($J280=1,COUNTIFS($A$5:$A279,"&gt;="&amp;$A280-1,$A$5:$A279,"&lt;="&amp;$A280,$B$5:$B279,$B280)&gt;0,MIN(1-'Exercise list'!Q$2,IF($A280=$A279,AW279,1))-AB280&lt;0),-1,MIN(1,IF($A280=$A279,AW279,1)-AB280+$D$2))</f>
        <v>1</v>
      </c>
      <c r="AX280">
        <f>IF(OR($J280=1,COUNTIFS($A$5:$A279,"&gt;="&amp;$A280-1,$A$5:$A279,"&lt;="&amp;$A280,$B$5:$B279,$B280)&gt;0,MIN(1-'Exercise list'!R$2,IF($A280=$A279,AX279,1))-AC280&lt;0),-1,MIN(1,IF($A280=$A279,AX279,1)-AC280+$D$2))</f>
        <v>1</v>
      </c>
      <c r="AY280">
        <f>IF(OR($J280=1,COUNTIFS($A$5:$A279,"&gt;="&amp;$A280-1,$A$5:$A279,"&lt;="&amp;$A280,$B$5:$B279,$B280)&gt;0,MIN(1-'Exercise list'!S$2,IF($A280=$A279,AY279,1))-AD280&lt;0),-1,MIN(1,IF($A280=$A279,AY279,1)-AD280+$D$2))</f>
        <v>1</v>
      </c>
      <c r="AZ280">
        <f>IF(OR($J280=1,COUNTIFS($A$5:$A279,"&gt;="&amp;$A280-1,$A$5:$A279,"&lt;="&amp;$A280,$B$5:$B279,$B280)&gt;0,MIN(1-'Exercise list'!T$2,IF($A280=$A279,AZ279,1))-AE280&lt;0),-1,MIN(1,IF($A280=$A279,AZ279,1)-AE280+$D$2))</f>
        <v>1</v>
      </c>
      <c r="BA280">
        <f>IF(OR($J280=1,COUNTIFS($A$5:$A279,"&gt;="&amp;$A280-1,$A$5:$A279,"&lt;="&amp;$A280,$B$5:$B279,$B280)&gt;0,MIN(1-'Exercise list'!U$2,IF($A280=$A279,BA279,1))-AF280&lt;0),-1,MIN(1,IF($A280=$A279,BA279,1)-AF280+$D$2))</f>
        <v>1</v>
      </c>
      <c r="BB280">
        <f>IF(OR($J280=1,COUNTIFS($A$5:$A279,"&gt;="&amp;$A280-1,$A$5:$A279,"&lt;="&amp;$A280,$B$5:$B279,$B280)&gt;0,MIN(1-'Exercise list'!V$2,IF($A280=$A279,BB279,1))-AG280&lt;0),-1,MIN(1,IF($A280=$A279,BB279,1)-AG280+$D$2))</f>
        <v>1</v>
      </c>
      <c r="BC280">
        <f>IF(OR($J280=1,COUNTIFS($A$5:$A279,"&gt;="&amp;$A280-1,$A$5:$A279,"&lt;="&amp;$A280,$B$5:$B279,$B280)&gt;0,MIN(1-'Exercise list'!W$2,IF($A280=$A279,BC279,1))-AH280&lt;0),-1,MIN(1,IF($A280=$A279,BC279,1)-AH280+$D$2))</f>
        <v>1</v>
      </c>
      <c r="BD280">
        <f>IF(OR($J280=1,COUNTIFS($A$5:$A279,"&gt;="&amp;$A280-1,$A$5:$A279,"&lt;="&amp;$A280,$B$5:$B279,$B280)&gt;0,MIN(1-'Exercise list'!X$2,IF($A280=$A279,BD279,1))-AI280&lt;0),-1,MIN(1,IF($A280=$A279,BD279,1)-AI280+$D$2))</f>
        <v>1</v>
      </c>
      <c r="BF280" s="16">
        <f t="shared" si="189"/>
        <v>0.19596031081758858</v>
      </c>
      <c r="BG280" s="16">
        <f t="shared" si="190"/>
        <v>0.21844636935459236</v>
      </c>
      <c r="BH280" s="16">
        <f t="shared" si="191"/>
        <v>0.14609696635987124</v>
      </c>
      <c r="BI280" s="16">
        <f t="shared" si="192"/>
        <v>0.13198015366034541</v>
      </c>
      <c r="BJ280" s="16">
        <f t="shared" si="193"/>
        <v>8.3367914198418713E-2</v>
      </c>
      <c r="BK280" s="16">
        <f t="shared" si="194"/>
        <v>0.10640640223148412</v>
      </c>
      <c r="BL280" s="16">
        <f t="shared" si="195"/>
        <v>0.21963504743569431</v>
      </c>
      <c r="BM280" s="16">
        <f t="shared" si="196"/>
        <v>3.8988008374820568E-3</v>
      </c>
      <c r="BN280" s="16">
        <f t="shared" si="197"/>
        <v>0.14537706087090876</v>
      </c>
      <c r="BO280" s="16">
        <f t="shared" si="198"/>
        <v>0.29209790661993401</v>
      </c>
      <c r="BP280" s="16">
        <f t="shared" si="199"/>
        <v>0.31584545163401867</v>
      </c>
      <c r="BQ280" s="16">
        <f t="shared" si="200"/>
        <v>0.1000007994126096</v>
      </c>
      <c r="BR280" s="16">
        <f t="shared" si="201"/>
        <v>0.13164487759885393</v>
      </c>
      <c r="BS280" s="16">
        <f t="shared" si="202"/>
        <v>2.9803550189863123E-2</v>
      </c>
      <c r="BT280" s="16">
        <f t="shared" si="203"/>
        <v>0.13492040904978705</v>
      </c>
      <c r="BU280" s="16">
        <f t="shared" si="204"/>
        <v>0.11703687414398131</v>
      </c>
      <c r="BV280" s="16">
        <f t="shared" si="205"/>
        <v>0.14633353213781661</v>
      </c>
      <c r="BW280" s="16">
        <f t="shared" si="206"/>
        <v>7.5588015111767173E-2</v>
      </c>
      <c r="BX280" s="16">
        <f t="shared" si="207"/>
        <v>8.0345659937185704E-2</v>
      </c>
      <c r="BY280" s="16">
        <f t="shared" si="208"/>
        <v>5.9014643151272549E-2</v>
      </c>
      <c r="CA280" s="16" t="str">
        <f t="shared" si="229"/>
        <v/>
      </c>
      <c r="CB280" s="16" t="str">
        <f t="shared" si="210"/>
        <v/>
      </c>
      <c r="CC280" s="16" t="str">
        <f t="shared" si="211"/>
        <v/>
      </c>
      <c r="CD280" s="16" t="str">
        <f t="shared" si="212"/>
        <v/>
      </c>
      <c r="CE280" s="16" t="str">
        <f t="shared" si="213"/>
        <v/>
      </c>
      <c r="CF280" s="16" t="str">
        <f t="shared" si="214"/>
        <v/>
      </c>
      <c r="CG280" s="16" t="str">
        <f t="shared" si="215"/>
        <v/>
      </c>
      <c r="CH280" s="16" t="str">
        <f t="shared" si="216"/>
        <v/>
      </c>
      <c r="CI280" s="16" t="str">
        <f t="shared" si="217"/>
        <v/>
      </c>
      <c r="CJ280" s="16" t="str">
        <f t="shared" si="218"/>
        <v/>
      </c>
      <c r="CK280" s="16" t="str">
        <f t="shared" si="219"/>
        <v/>
      </c>
      <c r="CL280" s="16" t="str">
        <f t="shared" si="220"/>
        <v/>
      </c>
      <c r="CM280" s="16" t="str">
        <f t="shared" si="221"/>
        <v/>
      </c>
      <c r="CN280" s="16" t="str">
        <f t="shared" si="222"/>
        <v/>
      </c>
      <c r="CO280" s="16" t="str">
        <f t="shared" si="223"/>
        <v/>
      </c>
      <c r="CP280" s="16" t="str">
        <f t="shared" si="224"/>
        <v/>
      </c>
      <c r="CQ280" s="16" t="str">
        <f t="shared" si="225"/>
        <v/>
      </c>
      <c r="CR280" s="16" t="str">
        <f t="shared" si="226"/>
        <v/>
      </c>
      <c r="CS280" s="16" t="str">
        <f t="shared" si="227"/>
        <v/>
      </c>
      <c r="CT280" s="16" t="str">
        <f t="shared" si="228"/>
        <v/>
      </c>
    </row>
    <row r="281" spans="1:99" x14ac:dyDescent="0.25">
      <c r="A281" s="13"/>
      <c r="B281" s="14"/>
      <c r="C281" s="15" t="str" cm="1">
        <f t="array" ref="C281">IF(B281="","",INDEX('Exercise list'!$C$5:$C$102,B281))</f>
        <v/>
      </c>
      <c r="D281" s="12" t="str">
        <f t="shared" si="186"/>
        <v/>
      </c>
      <c r="E281" s="107" t="str">
        <f t="shared" si="209"/>
        <v/>
      </c>
      <c r="F281" s="63" t="str" cm="1">
        <f t="array" ref="F281">IF(B281="","",0.1+IFERROR(INDEX($F$6:$F280,SUMPRODUCT(MAX(ROW($C$6:$C280)*($C281=$C$6:$C280))-ROW($A$5)))*0.9^($A281-INDEX($A$6:A280,SUMPRODUCT(MAX(ROW($C$6:$C280)*($C281=$C$6:$C280))-ROW($A$5)))),0))</f>
        <v/>
      </c>
      <c r="G281" s="64" t="e">
        <f>INDEX('Exercise list'!$Y$5:$Y$102,MATCH(C281,'Exercise list'!$C$5:$C$102,0))</f>
        <v>#N/A</v>
      </c>
      <c r="H281" s="115">
        <f t="shared" si="187"/>
        <v>0</v>
      </c>
      <c r="I281" s="6">
        <f t="shared" si="188"/>
        <v>5</v>
      </c>
      <c r="J281" s="6" t="str" cm="1">
        <f t="array" ref="J281">IF(B281="","",INDEX('Exercise list'!$D$5:$D$102,B281))</f>
        <v/>
      </c>
      <c r="K281" s="12"/>
      <c r="L281" s="74" t="str" cm="1">
        <f t="array" ref="L281">IF(K281="","",INDEX('Exercise list'!$C$5:$C$102,K281))</f>
        <v/>
      </c>
      <c r="M281" s="6"/>
      <c r="N281" s="75" t="str" cm="1">
        <f t="array" ref="N281">IF(M281="","",INDEX('Exercise list'!$C$5:$C$102,M281))</f>
        <v/>
      </c>
      <c r="P281">
        <f>IFERROR(INDEX('Exercise list'!$E$5:$X$102,MATCH($C281,'Exercise list'!$C$5:$C$102,0),MATCH(P$5,'Exercise list'!$E$4:$X$4,0)),0)</f>
        <v>0</v>
      </c>
      <c r="Q281">
        <f>IFERROR(INDEX('Exercise list'!$E$5:$X$102,MATCH($C281,'Exercise list'!$C$5:$C$102,0),MATCH(Q$5,'Exercise list'!$E$4:$X$4,0)),0)</f>
        <v>0</v>
      </c>
      <c r="R281">
        <f>IFERROR(INDEX('Exercise list'!$E$5:$X$102,MATCH($C281,'Exercise list'!$C$5:$C$102,0),MATCH(R$5,'Exercise list'!$E$4:$X$4,0)),0)</f>
        <v>0</v>
      </c>
      <c r="S281">
        <f>IFERROR(INDEX('Exercise list'!$E$5:$X$102,MATCH($C281,'Exercise list'!$C$5:$C$102,0),MATCH(S$5,'Exercise list'!$E$4:$X$4,0)),0)</f>
        <v>0</v>
      </c>
      <c r="T281">
        <f>IFERROR(INDEX('Exercise list'!$E$5:$X$102,MATCH($C281,'Exercise list'!$C$5:$C$102,0),MATCH(T$5,'Exercise list'!$E$4:$X$4,0)),0)</f>
        <v>0</v>
      </c>
      <c r="U281">
        <f>IFERROR(INDEX('Exercise list'!$E$5:$X$102,MATCH($C281,'Exercise list'!$C$5:$C$102,0),MATCH(U$5,'Exercise list'!$E$4:$X$4,0)),0)</f>
        <v>0</v>
      </c>
      <c r="V281">
        <f>IFERROR(INDEX('Exercise list'!$E$5:$X$102,MATCH($C281,'Exercise list'!$C$5:$C$102,0),MATCH(V$5,'Exercise list'!$E$4:$X$4,0)),0)</f>
        <v>0</v>
      </c>
      <c r="W281">
        <f>IFERROR(INDEX('Exercise list'!$E$5:$X$102,MATCH($C281,'Exercise list'!$C$5:$C$102,0),MATCH(W$5,'Exercise list'!$E$4:$X$4,0)),0)</f>
        <v>0</v>
      </c>
      <c r="X281">
        <f>IFERROR(INDEX('Exercise list'!$E$5:$X$102,MATCH($C281,'Exercise list'!$C$5:$C$102,0),MATCH(X$5,'Exercise list'!$E$4:$X$4,0)),0)</f>
        <v>0</v>
      </c>
      <c r="Y281">
        <f>IFERROR(INDEX('Exercise list'!$E$5:$X$102,MATCH($C281,'Exercise list'!$C$5:$C$102,0),MATCH(Y$5,'Exercise list'!$E$4:$X$4,0)),0)</f>
        <v>0</v>
      </c>
      <c r="Z281">
        <f>IFERROR(INDEX('Exercise list'!$E$5:$X$102,MATCH($C281,'Exercise list'!$C$5:$C$102,0),MATCH(Z$5,'Exercise list'!$E$4:$X$4,0)),0)</f>
        <v>0</v>
      </c>
      <c r="AA281">
        <f>IFERROR(INDEX('Exercise list'!$E$5:$X$102,MATCH($C281,'Exercise list'!$C$5:$C$102,0),MATCH(AA$5,'Exercise list'!$E$4:$X$4,0)),0)</f>
        <v>0</v>
      </c>
      <c r="AB281">
        <f>IFERROR(INDEX('Exercise list'!$E$5:$X$102,MATCH($C281,'Exercise list'!$C$5:$C$102,0),MATCH(AB$5,'Exercise list'!$E$4:$X$4,0)),0)</f>
        <v>0</v>
      </c>
      <c r="AC281">
        <f>IFERROR(INDEX('Exercise list'!$E$5:$X$102,MATCH($C281,'Exercise list'!$C$5:$C$102,0),MATCH(AC$5,'Exercise list'!$E$4:$X$4,0)),0)</f>
        <v>0</v>
      </c>
      <c r="AD281">
        <f>IFERROR(INDEX('Exercise list'!$E$5:$X$102,MATCH($C281,'Exercise list'!$C$5:$C$102,0),MATCH(AD$5,'Exercise list'!$E$4:$X$4,0)),0)</f>
        <v>0</v>
      </c>
      <c r="AE281">
        <f>IFERROR(INDEX('Exercise list'!$E$5:$X$102,MATCH($C281,'Exercise list'!$C$5:$C$102,0),MATCH(AE$5,'Exercise list'!$E$4:$X$4,0)),0)</f>
        <v>0</v>
      </c>
      <c r="AF281">
        <f>IFERROR(INDEX('Exercise list'!$E$5:$X$102,MATCH($C281,'Exercise list'!$C$5:$C$102,0),MATCH(AF$5,'Exercise list'!$E$4:$X$4,0)),0)</f>
        <v>0</v>
      </c>
      <c r="AG281">
        <f>IFERROR(INDEX('Exercise list'!$E$5:$X$102,MATCH($C281,'Exercise list'!$C$5:$C$102,0),MATCH(AG$5,'Exercise list'!$E$4:$X$4,0)),0)</f>
        <v>0</v>
      </c>
      <c r="AH281">
        <f>IFERROR(INDEX('Exercise list'!$E$5:$X$102,MATCH($C281,'Exercise list'!$C$5:$C$102,0),MATCH(AH$5,'Exercise list'!$E$4:$X$4,0)),0)</f>
        <v>0</v>
      </c>
      <c r="AI281">
        <f>IFERROR(INDEX('Exercise list'!$E$5:$X$102,MATCH($C281,'Exercise list'!$C$5:$C$102,0),MATCH(AI$5,'Exercise list'!$E$4:$X$4,0)),0)</f>
        <v>0</v>
      </c>
      <c r="AK281">
        <f>IF(OR($J281=1,COUNTIFS($A$5:$A280,"&gt;="&amp;$A281-1,$A$5:$A280,"&lt;="&amp;$A281,$B$5:$B280,$B281)&gt;0,MIN(1-'Exercise list'!E$2,IF($A281=$A280,AK280,1))-P281&lt;0),-1,MIN(1,IF($A281=$A280,AK280,1)-P281+$D$2))</f>
        <v>1</v>
      </c>
      <c r="AL281">
        <f>IF(OR($J281=1,COUNTIFS($A$5:$A280,"&gt;="&amp;$A281-1,$A$5:$A280,"&lt;="&amp;$A281,$B$5:$B280,$B281)&gt;0,MIN(1-'Exercise list'!F$2,IF($A281=$A280,AL280,1))-Q281&lt;0),-1,MIN(1,IF($A281=$A280,AL280,1)-Q281+$D$2))</f>
        <v>1</v>
      </c>
      <c r="AM281">
        <f>IF(OR($J281=1,COUNTIFS($A$5:$A280,"&gt;="&amp;$A281-1,$A$5:$A280,"&lt;="&amp;$A281,$B$5:$B280,$B281)&gt;0,MIN(1-'Exercise list'!G$2,IF($A281=$A280,AM280,1))-R281&lt;0),-1,MIN(1,IF($A281=$A280,AM280,1)-R281+$D$2))</f>
        <v>1</v>
      </c>
      <c r="AN281">
        <f>IF(OR($J281=1,COUNTIFS($A$5:$A280,"&gt;="&amp;$A281-1,$A$5:$A280,"&lt;="&amp;$A281,$B$5:$B280,$B281)&gt;0,MIN(1-'Exercise list'!H$2,IF($A281=$A280,AN280,1))-S281&lt;0),-1,MIN(1,IF($A281=$A280,AN280,1)-S281+$D$2))</f>
        <v>1</v>
      </c>
      <c r="AO281">
        <f>IF(OR($J281=1,COUNTIFS($A$5:$A280,"&gt;="&amp;$A281-1,$A$5:$A280,"&lt;="&amp;$A281,$B$5:$B280,$B281)&gt;0,MIN(1-'Exercise list'!I$2,IF($A281=$A280,AO280,1))-T281&lt;0),-1,MIN(1,IF($A281=$A280,AO280,1)-T281+$D$2))</f>
        <v>1</v>
      </c>
      <c r="AP281">
        <f>IF(OR($J281=1,COUNTIFS($A$5:$A280,"&gt;="&amp;$A281-1,$A$5:$A280,"&lt;="&amp;$A281,$B$5:$B280,$B281)&gt;0,MIN(1-'Exercise list'!J$2,IF($A281=$A280,AP280,1))-U281&lt;0),-1,MIN(1,IF($A281=$A280,AP280,1)-U281+$D$2))</f>
        <v>1</v>
      </c>
      <c r="AQ281">
        <f>IF(OR($J281=1,COUNTIFS($A$5:$A280,"&gt;="&amp;$A281-1,$A$5:$A280,"&lt;="&amp;$A281,$B$5:$B280,$B281)&gt;0,MIN(1-'Exercise list'!K$2,IF($A281=$A280,AQ280,1))-V281&lt;0),-1,MIN(1,IF($A281=$A280,AQ280,1)-V281+$D$2))</f>
        <v>1</v>
      </c>
      <c r="AR281">
        <f>IF(OR($J281=1,COUNTIFS($A$5:$A280,"&gt;="&amp;$A281-1,$A$5:$A280,"&lt;="&amp;$A281,$B$5:$B280,$B281)&gt;0,MIN(1-'Exercise list'!L$2,IF($A281=$A280,AR280,1))-W281&lt;0),-1,MIN(1,IF($A281=$A280,AR280,1)-W281+$D$2))</f>
        <v>1</v>
      </c>
      <c r="AS281">
        <f>IF(OR($J281=1,COUNTIFS($A$5:$A280,"&gt;="&amp;$A281-1,$A$5:$A280,"&lt;="&amp;$A281,$B$5:$B280,$B281)&gt;0,MIN(1-'Exercise list'!M$2,IF($A281=$A280,AS280,1))-X281&lt;0),-1,MIN(1,IF($A281=$A280,AS280,1)-X281+$D$2))</f>
        <v>1</v>
      </c>
      <c r="AT281">
        <f>IF(OR($J281=1,COUNTIFS($A$5:$A280,"&gt;="&amp;$A281-1,$A$5:$A280,"&lt;="&amp;$A281,$B$5:$B280,$B281)&gt;0,MIN(1-'Exercise list'!N$2,IF($A281=$A280,AT280,1))-Y281&lt;0),-1,MIN(1,IF($A281=$A280,AT280,1)-Y281+$D$2))</f>
        <v>1</v>
      </c>
      <c r="AU281">
        <f>IF(OR($J281=1,COUNTIFS($A$5:$A280,"&gt;="&amp;$A281-1,$A$5:$A280,"&lt;="&amp;$A281,$B$5:$B280,$B281)&gt;0,MIN(1-'Exercise list'!O$2,IF($A281=$A280,AU280,1))-Z281&lt;0),-1,MIN(1,IF($A281=$A280,AU280,1)-Z281+$D$2))</f>
        <v>1</v>
      </c>
      <c r="AV281">
        <f>IF(OR($J281=1,COUNTIFS($A$5:$A280,"&gt;="&amp;$A281-1,$A$5:$A280,"&lt;="&amp;$A281,$B$5:$B280,$B281)&gt;0,MIN(1-'Exercise list'!P$2,IF($A281=$A280,AV280,1))-AA281&lt;0),-1,MIN(1,IF($A281=$A280,AV280,1)-AA281+$D$2))</f>
        <v>1</v>
      </c>
      <c r="AW281">
        <f>IF(OR($J281=1,COUNTIFS($A$5:$A280,"&gt;="&amp;$A281-1,$A$5:$A280,"&lt;="&amp;$A281,$B$5:$B280,$B281)&gt;0,MIN(1-'Exercise list'!Q$2,IF($A281=$A280,AW280,1))-AB281&lt;0),-1,MIN(1,IF($A281=$A280,AW280,1)-AB281+$D$2))</f>
        <v>1</v>
      </c>
      <c r="AX281">
        <f>IF(OR($J281=1,COUNTIFS($A$5:$A280,"&gt;="&amp;$A281-1,$A$5:$A280,"&lt;="&amp;$A281,$B$5:$B280,$B281)&gt;0,MIN(1-'Exercise list'!R$2,IF($A281=$A280,AX280,1))-AC281&lt;0),-1,MIN(1,IF($A281=$A280,AX280,1)-AC281+$D$2))</f>
        <v>1</v>
      </c>
      <c r="AY281">
        <f>IF(OR($J281=1,COUNTIFS($A$5:$A280,"&gt;="&amp;$A281-1,$A$5:$A280,"&lt;="&amp;$A281,$B$5:$B280,$B281)&gt;0,MIN(1-'Exercise list'!S$2,IF($A281=$A280,AY280,1))-AD281&lt;0),-1,MIN(1,IF($A281=$A280,AY280,1)-AD281+$D$2))</f>
        <v>1</v>
      </c>
      <c r="AZ281">
        <f>IF(OR($J281=1,COUNTIFS($A$5:$A280,"&gt;="&amp;$A281-1,$A$5:$A280,"&lt;="&amp;$A281,$B$5:$B280,$B281)&gt;0,MIN(1-'Exercise list'!T$2,IF($A281=$A280,AZ280,1))-AE281&lt;0),-1,MIN(1,IF($A281=$A280,AZ280,1)-AE281+$D$2))</f>
        <v>1</v>
      </c>
      <c r="BA281">
        <f>IF(OR($J281=1,COUNTIFS($A$5:$A280,"&gt;="&amp;$A281-1,$A$5:$A280,"&lt;="&amp;$A281,$B$5:$B280,$B281)&gt;0,MIN(1-'Exercise list'!U$2,IF($A281=$A280,BA280,1))-AF281&lt;0),-1,MIN(1,IF($A281=$A280,BA280,1)-AF281+$D$2))</f>
        <v>1</v>
      </c>
      <c r="BB281">
        <f>IF(OR($J281=1,COUNTIFS($A$5:$A280,"&gt;="&amp;$A281-1,$A$5:$A280,"&lt;="&amp;$A281,$B$5:$B280,$B281)&gt;0,MIN(1-'Exercise list'!V$2,IF($A281=$A280,BB280,1))-AG281&lt;0),-1,MIN(1,IF($A281=$A280,BB280,1)-AG281+$D$2))</f>
        <v>1</v>
      </c>
      <c r="BC281">
        <f>IF(OR($J281=1,COUNTIFS($A$5:$A280,"&gt;="&amp;$A281-1,$A$5:$A280,"&lt;="&amp;$A281,$B$5:$B280,$B281)&gt;0,MIN(1-'Exercise list'!W$2,IF($A281=$A280,BC280,1))-AH281&lt;0),-1,MIN(1,IF($A281=$A280,BC280,1)-AH281+$D$2))</f>
        <v>1</v>
      </c>
      <c r="BD281">
        <f>IF(OR($J281=1,COUNTIFS($A$5:$A280,"&gt;="&amp;$A281-1,$A$5:$A280,"&lt;="&amp;$A281,$B$5:$B280,$B281)&gt;0,MIN(1-'Exercise list'!X$2,IF($A281=$A280,BD280,1))-AI281&lt;0),-1,MIN(1,IF($A281=$A280,BD280,1)-AI281+$D$2))</f>
        <v>1</v>
      </c>
      <c r="BF281" s="16">
        <f t="shared" si="189"/>
        <v>0.19596031081758858</v>
      </c>
      <c r="BG281" s="16">
        <f t="shared" si="190"/>
        <v>0.21844636935459236</v>
      </c>
      <c r="BH281" s="16">
        <f t="shared" si="191"/>
        <v>0.14609696635987124</v>
      </c>
      <c r="BI281" s="16">
        <f t="shared" si="192"/>
        <v>0.13198015366034541</v>
      </c>
      <c r="BJ281" s="16">
        <f t="shared" si="193"/>
        <v>8.3367914198418713E-2</v>
      </c>
      <c r="BK281" s="16">
        <f t="shared" si="194"/>
        <v>0.10640640223148412</v>
      </c>
      <c r="BL281" s="16">
        <f t="shared" si="195"/>
        <v>0.21963504743569431</v>
      </c>
      <c r="BM281" s="16">
        <f t="shared" si="196"/>
        <v>3.8988008374820568E-3</v>
      </c>
      <c r="BN281" s="16">
        <f t="shared" si="197"/>
        <v>0.14537706087090876</v>
      </c>
      <c r="BO281" s="16">
        <f t="shared" si="198"/>
        <v>0.29209790661993401</v>
      </c>
      <c r="BP281" s="16">
        <f t="shared" si="199"/>
        <v>0.31584545163401867</v>
      </c>
      <c r="BQ281" s="16">
        <f t="shared" si="200"/>
        <v>0.1000007994126096</v>
      </c>
      <c r="BR281" s="16">
        <f t="shared" si="201"/>
        <v>0.13164487759885393</v>
      </c>
      <c r="BS281" s="16">
        <f t="shared" si="202"/>
        <v>2.9803550189863123E-2</v>
      </c>
      <c r="BT281" s="16">
        <f t="shared" si="203"/>
        <v>0.13492040904978705</v>
      </c>
      <c r="BU281" s="16">
        <f t="shared" si="204"/>
        <v>0.11703687414398131</v>
      </c>
      <c r="BV281" s="16">
        <f t="shared" si="205"/>
        <v>0.14633353213781661</v>
      </c>
      <c r="BW281" s="16">
        <f t="shared" si="206"/>
        <v>7.5588015111767173E-2</v>
      </c>
      <c r="BX281" s="16">
        <f t="shared" si="207"/>
        <v>8.0345659937185704E-2</v>
      </c>
      <c r="BY281" s="16">
        <f t="shared" si="208"/>
        <v>5.9014643151272549E-2</v>
      </c>
      <c r="CA281" s="16" t="str">
        <f t="shared" si="229"/>
        <v/>
      </c>
      <c r="CB281" s="16" t="str">
        <f t="shared" si="210"/>
        <v/>
      </c>
      <c r="CC281" s="16" t="str">
        <f t="shared" si="211"/>
        <v/>
      </c>
      <c r="CD281" s="16" t="str">
        <f t="shared" si="212"/>
        <v/>
      </c>
      <c r="CE281" s="16" t="str">
        <f t="shared" si="213"/>
        <v/>
      </c>
      <c r="CF281" s="16" t="str">
        <f t="shared" si="214"/>
        <v/>
      </c>
      <c r="CG281" s="16" t="str">
        <f t="shared" si="215"/>
        <v/>
      </c>
      <c r="CH281" s="16" t="str">
        <f t="shared" si="216"/>
        <v/>
      </c>
      <c r="CI281" s="16" t="str">
        <f t="shared" si="217"/>
        <v/>
      </c>
      <c r="CJ281" s="16" t="str">
        <f t="shared" si="218"/>
        <v/>
      </c>
      <c r="CK281" s="16" t="str">
        <f t="shared" si="219"/>
        <v/>
      </c>
      <c r="CL281" s="16" t="str">
        <f t="shared" si="220"/>
        <v/>
      </c>
      <c r="CM281" s="16" t="str">
        <f t="shared" si="221"/>
        <v/>
      </c>
      <c r="CN281" s="16" t="str">
        <f t="shared" si="222"/>
        <v/>
      </c>
      <c r="CO281" s="16" t="str">
        <f t="shared" si="223"/>
        <v/>
      </c>
      <c r="CP281" s="16" t="str">
        <f t="shared" si="224"/>
        <v/>
      </c>
      <c r="CQ281" s="16" t="str">
        <f t="shared" si="225"/>
        <v/>
      </c>
      <c r="CR281" s="16" t="str">
        <f t="shared" si="226"/>
        <v/>
      </c>
      <c r="CS281" s="16" t="str">
        <f t="shared" si="227"/>
        <v/>
      </c>
      <c r="CT281" s="16" t="str">
        <f t="shared" si="228"/>
        <v/>
      </c>
    </row>
    <row r="282" spans="1:99" x14ac:dyDescent="0.25">
      <c r="A282" s="13"/>
      <c r="B282" s="14"/>
      <c r="C282" s="15" t="str" cm="1">
        <f t="array" ref="C282">IF(B282="","",INDEX('Exercise list'!$C$5:$C$102,B282))</f>
        <v/>
      </c>
      <c r="D282" s="12" t="str">
        <f t="shared" si="186"/>
        <v/>
      </c>
      <c r="E282" s="107" t="str">
        <f t="shared" si="209"/>
        <v/>
      </c>
      <c r="F282" s="63" t="str" cm="1">
        <f t="array" ref="F282">IF(B282="","",0.1+IFERROR(INDEX($F$6:$F281,SUMPRODUCT(MAX(ROW($C$6:$C281)*($C282=$C$6:$C281))-ROW($A$5)))*0.9^($A282-INDEX($A$6:A281,SUMPRODUCT(MAX(ROW($C$6:$C281)*($C282=$C$6:$C281))-ROW($A$5)))),0))</f>
        <v/>
      </c>
      <c r="G282" s="64" t="e">
        <f>INDEX('Exercise list'!$Y$5:$Y$102,MATCH(C282,'Exercise list'!$C$5:$C$102,0))</f>
        <v>#N/A</v>
      </c>
      <c r="H282" s="115">
        <f t="shared" si="187"/>
        <v>0</v>
      </c>
      <c r="I282" s="6">
        <f t="shared" si="188"/>
        <v>5</v>
      </c>
      <c r="J282" s="6" t="str" cm="1">
        <f t="array" ref="J282">IF(B282="","",INDEX('Exercise list'!$D$5:$D$102,B282))</f>
        <v/>
      </c>
      <c r="K282" s="12"/>
      <c r="L282" s="74" t="str" cm="1">
        <f t="array" ref="L282">IF(K282="","",INDEX('Exercise list'!$C$5:$C$102,K282))</f>
        <v/>
      </c>
      <c r="M282" s="6"/>
      <c r="N282" s="75" t="str" cm="1">
        <f t="array" ref="N282">IF(M282="","",INDEX('Exercise list'!$C$5:$C$102,M282))</f>
        <v/>
      </c>
      <c r="P282">
        <f>IFERROR(INDEX('Exercise list'!$E$5:$X$102,MATCH($C282,'Exercise list'!$C$5:$C$102,0),MATCH(P$5,'Exercise list'!$E$4:$X$4,0)),0)</f>
        <v>0</v>
      </c>
      <c r="Q282">
        <f>IFERROR(INDEX('Exercise list'!$E$5:$X$102,MATCH($C282,'Exercise list'!$C$5:$C$102,0),MATCH(Q$5,'Exercise list'!$E$4:$X$4,0)),0)</f>
        <v>0</v>
      </c>
      <c r="R282">
        <f>IFERROR(INDEX('Exercise list'!$E$5:$X$102,MATCH($C282,'Exercise list'!$C$5:$C$102,0),MATCH(R$5,'Exercise list'!$E$4:$X$4,0)),0)</f>
        <v>0</v>
      </c>
      <c r="S282">
        <f>IFERROR(INDEX('Exercise list'!$E$5:$X$102,MATCH($C282,'Exercise list'!$C$5:$C$102,0),MATCH(S$5,'Exercise list'!$E$4:$X$4,0)),0)</f>
        <v>0</v>
      </c>
      <c r="T282">
        <f>IFERROR(INDEX('Exercise list'!$E$5:$X$102,MATCH($C282,'Exercise list'!$C$5:$C$102,0),MATCH(T$5,'Exercise list'!$E$4:$X$4,0)),0)</f>
        <v>0</v>
      </c>
      <c r="U282">
        <f>IFERROR(INDEX('Exercise list'!$E$5:$X$102,MATCH($C282,'Exercise list'!$C$5:$C$102,0),MATCH(U$5,'Exercise list'!$E$4:$X$4,0)),0)</f>
        <v>0</v>
      </c>
      <c r="V282">
        <f>IFERROR(INDEX('Exercise list'!$E$5:$X$102,MATCH($C282,'Exercise list'!$C$5:$C$102,0),MATCH(V$5,'Exercise list'!$E$4:$X$4,0)),0)</f>
        <v>0</v>
      </c>
      <c r="W282">
        <f>IFERROR(INDEX('Exercise list'!$E$5:$X$102,MATCH($C282,'Exercise list'!$C$5:$C$102,0),MATCH(W$5,'Exercise list'!$E$4:$X$4,0)),0)</f>
        <v>0</v>
      </c>
      <c r="X282">
        <f>IFERROR(INDEX('Exercise list'!$E$5:$X$102,MATCH($C282,'Exercise list'!$C$5:$C$102,0),MATCH(X$5,'Exercise list'!$E$4:$X$4,0)),0)</f>
        <v>0</v>
      </c>
      <c r="Y282">
        <f>IFERROR(INDEX('Exercise list'!$E$5:$X$102,MATCH($C282,'Exercise list'!$C$5:$C$102,0),MATCH(Y$5,'Exercise list'!$E$4:$X$4,0)),0)</f>
        <v>0</v>
      </c>
      <c r="Z282">
        <f>IFERROR(INDEX('Exercise list'!$E$5:$X$102,MATCH($C282,'Exercise list'!$C$5:$C$102,0),MATCH(Z$5,'Exercise list'!$E$4:$X$4,0)),0)</f>
        <v>0</v>
      </c>
      <c r="AA282">
        <f>IFERROR(INDEX('Exercise list'!$E$5:$X$102,MATCH($C282,'Exercise list'!$C$5:$C$102,0),MATCH(AA$5,'Exercise list'!$E$4:$X$4,0)),0)</f>
        <v>0</v>
      </c>
      <c r="AB282">
        <f>IFERROR(INDEX('Exercise list'!$E$5:$X$102,MATCH($C282,'Exercise list'!$C$5:$C$102,0),MATCH(AB$5,'Exercise list'!$E$4:$X$4,0)),0)</f>
        <v>0</v>
      </c>
      <c r="AC282">
        <f>IFERROR(INDEX('Exercise list'!$E$5:$X$102,MATCH($C282,'Exercise list'!$C$5:$C$102,0),MATCH(AC$5,'Exercise list'!$E$4:$X$4,0)),0)</f>
        <v>0</v>
      </c>
      <c r="AD282">
        <f>IFERROR(INDEX('Exercise list'!$E$5:$X$102,MATCH($C282,'Exercise list'!$C$5:$C$102,0),MATCH(AD$5,'Exercise list'!$E$4:$X$4,0)),0)</f>
        <v>0</v>
      </c>
      <c r="AE282">
        <f>IFERROR(INDEX('Exercise list'!$E$5:$X$102,MATCH($C282,'Exercise list'!$C$5:$C$102,0),MATCH(AE$5,'Exercise list'!$E$4:$X$4,0)),0)</f>
        <v>0</v>
      </c>
      <c r="AF282">
        <f>IFERROR(INDEX('Exercise list'!$E$5:$X$102,MATCH($C282,'Exercise list'!$C$5:$C$102,0),MATCH(AF$5,'Exercise list'!$E$4:$X$4,0)),0)</f>
        <v>0</v>
      </c>
      <c r="AG282">
        <f>IFERROR(INDEX('Exercise list'!$E$5:$X$102,MATCH($C282,'Exercise list'!$C$5:$C$102,0),MATCH(AG$5,'Exercise list'!$E$4:$X$4,0)),0)</f>
        <v>0</v>
      </c>
      <c r="AH282">
        <f>IFERROR(INDEX('Exercise list'!$E$5:$X$102,MATCH($C282,'Exercise list'!$C$5:$C$102,0),MATCH(AH$5,'Exercise list'!$E$4:$X$4,0)),0)</f>
        <v>0</v>
      </c>
      <c r="AI282">
        <f>IFERROR(INDEX('Exercise list'!$E$5:$X$102,MATCH($C282,'Exercise list'!$C$5:$C$102,0),MATCH(AI$5,'Exercise list'!$E$4:$X$4,0)),0)</f>
        <v>0</v>
      </c>
      <c r="AK282">
        <f>IF(OR($J282=1,COUNTIFS($A$5:$A281,"&gt;="&amp;$A282-1,$A$5:$A281,"&lt;="&amp;$A282,$B$5:$B281,$B282)&gt;0,MIN(1-'Exercise list'!E$2,IF($A282=$A281,AK281,1))-P282&lt;0),-1,MIN(1,IF($A282=$A281,AK281,1)-P282+$D$2))</f>
        <v>1</v>
      </c>
      <c r="AL282">
        <f>IF(OR($J282=1,COUNTIFS($A$5:$A281,"&gt;="&amp;$A282-1,$A$5:$A281,"&lt;="&amp;$A282,$B$5:$B281,$B282)&gt;0,MIN(1-'Exercise list'!F$2,IF($A282=$A281,AL281,1))-Q282&lt;0),-1,MIN(1,IF($A282=$A281,AL281,1)-Q282+$D$2))</f>
        <v>1</v>
      </c>
      <c r="AM282">
        <f>IF(OR($J282=1,COUNTIFS($A$5:$A281,"&gt;="&amp;$A282-1,$A$5:$A281,"&lt;="&amp;$A282,$B$5:$B281,$B282)&gt;0,MIN(1-'Exercise list'!G$2,IF($A282=$A281,AM281,1))-R282&lt;0),-1,MIN(1,IF($A282=$A281,AM281,1)-R282+$D$2))</f>
        <v>1</v>
      </c>
      <c r="AN282">
        <f>IF(OR($J282=1,COUNTIFS($A$5:$A281,"&gt;="&amp;$A282-1,$A$5:$A281,"&lt;="&amp;$A282,$B$5:$B281,$B282)&gt;0,MIN(1-'Exercise list'!H$2,IF($A282=$A281,AN281,1))-S282&lt;0),-1,MIN(1,IF($A282=$A281,AN281,1)-S282+$D$2))</f>
        <v>1</v>
      </c>
      <c r="AO282">
        <f>IF(OR($J282=1,COUNTIFS($A$5:$A281,"&gt;="&amp;$A282-1,$A$5:$A281,"&lt;="&amp;$A282,$B$5:$B281,$B282)&gt;0,MIN(1-'Exercise list'!I$2,IF($A282=$A281,AO281,1))-T282&lt;0),-1,MIN(1,IF($A282=$A281,AO281,1)-T282+$D$2))</f>
        <v>1</v>
      </c>
      <c r="AP282">
        <f>IF(OR($J282=1,COUNTIFS($A$5:$A281,"&gt;="&amp;$A282-1,$A$5:$A281,"&lt;="&amp;$A282,$B$5:$B281,$B282)&gt;0,MIN(1-'Exercise list'!J$2,IF($A282=$A281,AP281,1))-U282&lt;0),-1,MIN(1,IF($A282=$A281,AP281,1)-U282+$D$2))</f>
        <v>1</v>
      </c>
      <c r="AQ282">
        <f>IF(OR($J282=1,COUNTIFS($A$5:$A281,"&gt;="&amp;$A282-1,$A$5:$A281,"&lt;="&amp;$A282,$B$5:$B281,$B282)&gt;0,MIN(1-'Exercise list'!K$2,IF($A282=$A281,AQ281,1))-V282&lt;0),-1,MIN(1,IF($A282=$A281,AQ281,1)-V282+$D$2))</f>
        <v>1</v>
      </c>
      <c r="AR282">
        <f>IF(OR($J282=1,COUNTIFS($A$5:$A281,"&gt;="&amp;$A282-1,$A$5:$A281,"&lt;="&amp;$A282,$B$5:$B281,$B282)&gt;0,MIN(1-'Exercise list'!L$2,IF($A282=$A281,AR281,1))-W282&lt;0),-1,MIN(1,IF($A282=$A281,AR281,1)-W282+$D$2))</f>
        <v>1</v>
      </c>
      <c r="AS282">
        <f>IF(OR($J282=1,COUNTIFS($A$5:$A281,"&gt;="&amp;$A282-1,$A$5:$A281,"&lt;="&amp;$A282,$B$5:$B281,$B282)&gt;0,MIN(1-'Exercise list'!M$2,IF($A282=$A281,AS281,1))-X282&lt;0),-1,MIN(1,IF($A282=$A281,AS281,1)-X282+$D$2))</f>
        <v>1</v>
      </c>
      <c r="AT282">
        <f>IF(OR($J282=1,COUNTIFS($A$5:$A281,"&gt;="&amp;$A282-1,$A$5:$A281,"&lt;="&amp;$A282,$B$5:$B281,$B282)&gt;0,MIN(1-'Exercise list'!N$2,IF($A282=$A281,AT281,1))-Y282&lt;0),-1,MIN(1,IF($A282=$A281,AT281,1)-Y282+$D$2))</f>
        <v>1</v>
      </c>
      <c r="AU282">
        <f>IF(OR($J282=1,COUNTIFS($A$5:$A281,"&gt;="&amp;$A282-1,$A$5:$A281,"&lt;="&amp;$A282,$B$5:$B281,$B282)&gt;0,MIN(1-'Exercise list'!O$2,IF($A282=$A281,AU281,1))-Z282&lt;0),-1,MIN(1,IF($A282=$A281,AU281,1)-Z282+$D$2))</f>
        <v>1</v>
      </c>
      <c r="AV282">
        <f>IF(OR($J282=1,COUNTIFS($A$5:$A281,"&gt;="&amp;$A282-1,$A$5:$A281,"&lt;="&amp;$A282,$B$5:$B281,$B282)&gt;0,MIN(1-'Exercise list'!P$2,IF($A282=$A281,AV281,1))-AA282&lt;0),-1,MIN(1,IF($A282=$A281,AV281,1)-AA282+$D$2))</f>
        <v>1</v>
      </c>
      <c r="AW282">
        <f>IF(OR($J282=1,COUNTIFS($A$5:$A281,"&gt;="&amp;$A282-1,$A$5:$A281,"&lt;="&amp;$A282,$B$5:$B281,$B282)&gt;0,MIN(1-'Exercise list'!Q$2,IF($A282=$A281,AW281,1))-AB282&lt;0),-1,MIN(1,IF($A282=$A281,AW281,1)-AB282+$D$2))</f>
        <v>1</v>
      </c>
      <c r="AX282">
        <f>IF(OR($J282=1,COUNTIFS($A$5:$A281,"&gt;="&amp;$A282-1,$A$5:$A281,"&lt;="&amp;$A282,$B$5:$B281,$B282)&gt;0,MIN(1-'Exercise list'!R$2,IF($A282=$A281,AX281,1))-AC282&lt;0),-1,MIN(1,IF($A282=$A281,AX281,1)-AC282+$D$2))</f>
        <v>1</v>
      </c>
      <c r="AY282">
        <f>IF(OR($J282=1,COUNTIFS($A$5:$A281,"&gt;="&amp;$A282-1,$A$5:$A281,"&lt;="&amp;$A282,$B$5:$B281,$B282)&gt;0,MIN(1-'Exercise list'!S$2,IF($A282=$A281,AY281,1))-AD282&lt;0),-1,MIN(1,IF($A282=$A281,AY281,1)-AD282+$D$2))</f>
        <v>1</v>
      </c>
      <c r="AZ282">
        <f>IF(OR($J282=1,COUNTIFS($A$5:$A281,"&gt;="&amp;$A282-1,$A$5:$A281,"&lt;="&amp;$A282,$B$5:$B281,$B282)&gt;0,MIN(1-'Exercise list'!T$2,IF($A282=$A281,AZ281,1))-AE282&lt;0),-1,MIN(1,IF($A282=$A281,AZ281,1)-AE282+$D$2))</f>
        <v>1</v>
      </c>
      <c r="BA282">
        <f>IF(OR($J282=1,COUNTIFS($A$5:$A281,"&gt;="&amp;$A282-1,$A$5:$A281,"&lt;="&amp;$A282,$B$5:$B281,$B282)&gt;0,MIN(1-'Exercise list'!U$2,IF($A282=$A281,BA281,1))-AF282&lt;0),-1,MIN(1,IF($A282=$A281,BA281,1)-AF282+$D$2))</f>
        <v>1</v>
      </c>
      <c r="BB282">
        <f>IF(OR($J282=1,COUNTIFS($A$5:$A281,"&gt;="&amp;$A282-1,$A$5:$A281,"&lt;="&amp;$A282,$B$5:$B281,$B282)&gt;0,MIN(1-'Exercise list'!V$2,IF($A282=$A281,BB281,1))-AG282&lt;0),-1,MIN(1,IF($A282=$A281,BB281,1)-AG282+$D$2))</f>
        <v>1</v>
      </c>
      <c r="BC282">
        <f>IF(OR($J282=1,COUNTIFS($A$5:$A281,"&gt;="&amp;$A282-1,$A$5:$A281,"&lt;="&amp;$A282,$B$5:$B281,$B282)&gt;0,MIN(1-'Exercise list'!W$2,IF($A282=$A281,BC281,1))-AH282&lt;0),-1,MIN(1,IF($A282=$A281,BC281,1)-AH282+$D$2))</f>
        <v>1</v>
      </c>
      <c r="BD282">
        <f>IF(OR($J282=1,COUNTIFS($A$5:$A281,"&gt;="&amp;$A282-1,$A$5:$A281,"&lt;="&amp;$A282,$B$5:$B281,$B282)&gt;0,MIN(1-'Exercise list'!X$2,IF($A282=$A281,BD281,1))-AI282&lt;0),-1,MIN(1,IF($A282=$A281,BD281,1)-AI282+$D$2))</f>
        <v>1</v>
      </c>
      <c r="BF282" s="16">
        <f t="shared" si="189"/>
        <v>0.19596031081758858</v>
      </c>
      <c r="BG282" s="16">
        <f t="shared" si="190"/>
        <v>0.21844636935459236</v>
      </c>
      <c r="BH282" s="16">
        <f t="shared" si="191"/>
        <v>0.14609696635987124</v>
      </c>
      <c r="BI282" s="16">
        <f t="shared" si="192"/>
        <v>0.13198015366034541</v>
      </c>
      <c r="BJ282" s="16">
        <f t="shared" si="193"/>
        <v>8.3367914198418713E-2</v>
      </c>
      <c r="BK282" s="16">
        <f t="shared" si="194"/>
        <v>0.10640640223148412</v>
      </c>
      <c r="BL282" s="16">
        <f t="shared" si="195"/>
        <v>0.21963504743569431</v>
      </c>
      <c r="BM282" s="16">
        <f t="shared" si="196"/>
        <v>3.8988008374820568E-3</v>
      </c>
      <c r="BN282" s="16">
        <f t="shared" si="197"/>
        <v>0.14537706087090876</v>
      </c>
      <c r="BO282" s="16">
        <f t="shared" si="198"/>
        <v>0.29209790661993401</v>
      </c>
      <c r="BP282" s="16">
        <f t="shared" si="199"/>
        <v>0.31584545163401867</v>
      </c>
      <c r="BQ282" s="16">
        <f t="shared" si="200"/>
        <v>0.1000007994126096</v>
      </c>
      <c r="BR282" s="16">
        <f t="shared" si="201"/>
        <v>0.13164487759885393</v>
      </c>
      <c r="BS282" s="16">
        <f t="shared" si="202"/>
        <v>2.9803550189863123E-2</v>
      </c>
      <c r="BT282" s="16">
        <f t="shared" si="203"/>
        <v>0.13492040904978705</v>
      </c>
      <c r="BU282" s="16">
        <f t="shared" si="204"/>
        <v>0.11703687414398131</v>
      </c>
      <c r="BV282" s="16">
        <f t="shared" si="205"/>
        <v>0.14633353213781661</v>
      </c>
      <c r="BW282" s="16">
        <f t="shared" si="206"/>
        <v>7.5588015111767173E-2</v>
      </c>
      <c r="BX282" s="16">
        <f t="shared" si="207"/>
        <v>8.0345659937185704E-2</v>
      </c>
      <c r="BY282" s="16">
        <f t="shared" si="208"/>
        <v>5.9014643151272549E-2</v>
      </c>
      <c r="CA282" s="16" t="str">
        <f t="shared" si="229"/>
        <v/>
      </c>
      <c r="CB282" s="16" t="str">
        <f t="shared" si="210"/>
        <v/>
      </c>
      <c r="CC282" s="16" t="str">
        <f t="shared" si="211"/>
        <v/>
      </c>
      <c r="CD282" s="16" t="str">
        <f t="shared" si="212"/>
        <v/>
      </c>
      <c r="CE282" s="16" t="str">
        <f t="shared" si="213"/>
        <v/>
      </c>
      <c r="CF282" s="16" t="str">
        <f t="shared" si="214"/>
        <v/>
      </c>
      <c r="CG282" s="16" t="str">
        <f t="shared" si="215"/>
        <v/>
      </c>
      <c r="CH282" s="16" t="str">
        <f t="shared" si="216"/>
        <v/>
      </c>
      <c r="CI282" s="16" t="str">
        <f t="shared" si="217"/>
        <v/>
      </c>
      <c r="CJ282" s="16" t="str">
        <f t="shared" si="218"/>
        <v/>
      </c>
      <c r="CK282" s="16" t="str">
        <f t="shared" si="219"/>
        <v/>
      </c>
      <c r="CL282" s="16" t="str">
        <f t="shared" si="220"/>
        <v/>
      </c>
      <c r="CM282" s="16" t="str">
        <f t="shared" si="221"/>
        <v/>
      </c>
      <c r="CN282" s="16" t="str">
        <f t="shared" si="222"/>
        <v/>
      </c>
      <c r="CO282" s="16" t="str">
        <f t="shared" si="223"/>
        <v/>
      </c>
      <c r="CP282" s="16" t="str">
        <f t="shared" si="224"/>
        <v/>
      </c>
      <c r="CQ282" s="16" t="str">
        <f t="shared" si="225"/>
        <v/>
      </c>
      <c r="CR282" s="16" t="str">
        <f t="shared" si="226"/>
        <v/>
      </c>
      <c r="CS282" s="16" t="str">
        <f t="shared" si="227"/>
        <v/>
      </c>
      <c r="CT282" s="16" t="str">
        <f t="shared" si="228"/>
        <v/>
      </c>
    </row>
    <row r="283" spans="1:99" x14ac:dyDescent="0.25">
      <c r="A283" s="20"/>
      <c r="B283" s="21"/>
      <c r="C283" s="22" t="str" cm="1">
        <f t="array" ref="C283">IF(B283="","",INDEX('Exercise list'!$C$5:$C$102,B283))</f>
        <v/>
      </c>
      <c r="D283" s="17" t="str">
        <f t="shared" si="186"/>
        <v/>
      </c>
      <c r="E283" s="108" t="str">
        <f t="shared" si="209"/>
        <v/>
      </c>
      <c r="F283" s="65" t="str" cm="1">
        <f t="array" ref="F283">IF(B283="","",0.1+IFERROR(INDEX($F$6:$F282,SUMPRODUCT(MAX(ROW($C$6:$C282)*($C283=$C$6:$C282))-ROW($A$5)))*0.9^($A283-INDEX($A$6:A282,SUMPRODUCT(MAX(ROW($C$6:$C282)*($C283=$C$6:$C282))-ROW($A$5)))),0))</f>
        <v/>
      </c>
      <c r="G283" s="25" t="e">
        <f>INDEX('Exercise list'!$Y$5:$Y$102,MATCH(C283,'Exercise list'!$C$5:$C$102,0))</f>
        <v>#N/A</v>
      </c>
      <c r="H283" s="116">
        <f t="shared" si="187"/>
        <v>0</v>
      </c>
      <c r="I283" s="18">
        <f t="shared" si="188"/>
        <v>5</v>
      </c>
      <c r="J283" s="18" t="str" cm="1">
        <f t="array" ref="J283">IF(B283="","",INDEX('Exercise list'!$D$5:$D$102,B283))</f>
        <v/>
      </c>
      <c r="K283" s="17"/>
      <c r="L283" s="51" t="str" cm="1">
        <f t="array" ref="L283">IF(K283="","",INDEX('Exercise list'!$C$5:$C$102,K283))</f>
        <v/>
      </c>
      <c r="M283" s="18"/>
      <c r="N283" s="76" t="str" cm="1">
        <f t="array" ref="N283">IF(M283="","",INDEX('Exercise list'!$C$5:$C$102,M283))</f>
        <v/>
      </c>
      <c r="O283" s="19"/>
      <c r="P283" s="19">
        <f>IFERROR(INDEX('Exercise list'!$E$5:$X$102,MATCH($C283,'Exercise list'!$C$5:$C$102,0),MATCH(P$5,'Exercise list'!$E$4:$X$4,0)),0)</f>
        <v>0</v>
      </c>
      <c r="Q283" s="19">
        <f>IFERROR(INDEX('Exercise list'!$E$5:$X$102,MATCH($C283,'Exercise list'!$C$5:$C$102,0),MATCH(Q$5,'Exercise list'!$E$4:$X$4,0)),0)</f>
        <v>0</v>
      </c>
      <c r="R283" s="19">
        <f>IFERROR(INDEX('Exercise list'!$E$5:$X$102,MATCH($C283,'Exercise list'!$C$5:$C$102,0),MATCH(R$5,'Exercise list'!$E$4:$X$4,0)),0)</f>
        <v>0</v>
      </c>
      <c r="S283" s="19">
        <f>IFERROR(INDEX('Exercise list'!$E$5:$X$102,MATCH($C283,'Exercise list'!$C$5:$C$102,0),MATCH(S$5,'Exercise list'!$E$4:$X$4,0)),0)</f>
        <v>0</v>
      </c>
      <c r="T283" s="19">
        <f>IFERROR(INDEX('Exercise list'!$E$5:$X$102,MATCH($C283,'Exercise list'!$C$5:$C$102,0),MATCH(T$5,'Exercise list'!$E$4:$X$4,0)),0)</f>
        <v>0</v>
      </c>
      <c r="U283" s="19">
        <f>IFERROR(INDEX('Exercise list'!$E$5:$X$102,MATCH($C283,'Exercise list'!$C$5:$C$102,0),MATCH(U$5,'Exercise list'!$E$4:$X$4,0)),0)</f>
        <v>0</v>
      </c>
      <c r="V283" s="19">
        <f>IFERROR(INDEX('Exercise list'!$E$5:$X$102,MATCH($C283,'Exercise list'!$C$5:$C$102,0),MATCH(V$5,'Exercise list'!$E$4:$X$4,0)),0)</f>
        <v>0</v>
      </c>
      <c r="W283" s="19">
        <f>IFERROR(INDEX('Exercise list'!$E$5:$X$102,MATCH($C283,'Exercise list'!$C$5:$C$102,0),MATCH(W$5,'Exercise list'!$E$4:$X$4,0)),0)</f>
        <v>0</v>
      </c>
      <c r="X283" s="19">
        <f>IFERROR(INDEX('Exercise list'!$E$5:$X$102,MATCH($C283,'Exercise list'!$C$5:$C$102,0),MATCH(X$5,'Exercise list'!$E$4:$X$4,0)),0)</f>
        <v>0</v>
      </c>
      <c r="Y283" s="19">
        <f>IFERROR(INDEX('Exercise list'!$E$5:$X$102,MATCH($C283,'Exercise list'!$C$5:$C$102,0),MATCH(Y$5,'Exercise list'!$E$4:$X$4,0)),0)</f>
        <v>0</v>
      </c>
      <c r="Z283" s="19">
        <f>IFERROR(INDEX('Exercise list'!$E$5:$X$102,MATCH($C283,'Exercise list'!$C$5:$C$102,0),MATCH(Z$5,'Exercise list'!$E$4:$X$4,0)),0)</f>
        <v>0</v>
      </c>
      <c r="AA283" s="19">
        <f>IFERROR(INDEX('Exercise list'!$E$5:$X$102,MATCH($C283,'Exercise list'!$C$5:$C$102,0),MATCH(AA$5,'Exercise list'!$E$4:$X$4,0)),0)</f>
        <v>0</v>
      </c>
      <c r="AB283" s="19">
        <f>IFERROR(INDEX('Exercise list'!$E$5:$X$102,MATCH($C283,'Exercise list'!$C$5:$C$102,0),MATCH(AB$5,'Exercise list'!$E$4:$X$4,0)),0)</f>
        <v>0</v>
      </c>
      <c r="AC283" s="19">
        <f>IFERROR(INDEX('Exercise list'!$E$5:$X$102,MATCH($C283,'Exercise list'!$C$5:$C$102,0),MATCH(AC$5,'Exercise list'!$E$4:$X$4,0)),0)</f>
        <v>0</v>
      </c>
      <c r="AD283" s="19">
        <f>IFERROR(INDEX('Exercise list'!$E$5:$X$102,MATCH($C283,'Exercise list'!$C$5:$C$102,0),MATCH(AD$5,'Exercise list'!$E$4:$X$4,0)),0)</f>
        <v>0</v>
      </c>
      <c r="AE283" s="19">
        <f>IFERROR(INDEX('Exercise list'!$E$5:$X$102,MATCH($C283,'Exercise list'!$C$5:$C$102,0),MATCH(AE$5,'Exercise list'!$E$4:$X$4,0)),0)</f>
        <v>0</v>
      </c>
      <c r="AF283" s="19">
        <f>IFERROR(INDEX('Exercise list'!$E$5:$X$102,MATCH($C283,'Exercise list'!$C$5:$C$102,0),MATCH(AF$5,'Exercise list'!$E$4:$X$4,0)),0)</f>
        <v>0</v>
      </c>
      <c r="AG283" s="19">
        <f>IFERROR(INDEX('Exercise list'!$E$5:$X$102,MATCH($C283,'Exercise list'!$C$5:$C$102,0),MATCH(AG$5,'Exercise list'!$E$4:$X$4,0)),0)</f>
        <v>0</v>
      </c>
      <c r="AH283" s="19">
        <f>IFERROR(INDEX('Exercise list'!$E$5:$X$102,MATCH($C283,'Exercise list'!$C$5:$C$102,0),MATCH(AH$5,'Exercise list'!$E$4:$X$4,0)),0)</f>
        <v>0</v>
      </c>
      <c r="AI283" s="19">
        <f>IFERROR(INDEX('Exercise list'!$E$5:$X$102,MATCH($C283,'Exercise list'!$C$5:$C$102,0),MATCH(AI$5,'Exercise list'!$E$4:$X$4,0)),0)</f>
        <v>0</v>
      </c>
      <c r="AJ283" s="19"/>
      <c r="AK283" s="19">
        <f>IF(OR($J283=1,COUNTIFS($A$5:$A282,"&gt;="&amp;$A283-1,$A$5:$A282,"&lt;="&amp;$A283,$B$5:$B282,$B283)&gt;0,MIN(1-'Exercise list'!E$2,IF($A283=$A282,AK282,1))-P283&lt;0),-1,MIN(1,IF($A283=$A282,AK282,1)-P283+$D$2))</f>
        <v>1</v>
      </c>
      <c r="AL283" s="19">
        <f>IF(OR($J283=1,COUNTIFS($A$5:$A282,"&gt;="&amp;$A283-1,$A$5:$A282,"&lt;="&amp;$A283,$B$5:$B282,$B283)&gt;0,MIN(1-'Exercise list'!F$2,IF($A283=$A282,AL282,1))-Q283&lt;0),-1,MIN(1,IF($A283=$A282,AL282,1)-Q283+$D$2))</f>
        <v>1</v>
      </c>
      <c r="AM283" s="19">
        <f>IF(OR($J283=1,COUNTIFS($A$5:$A282,"&gt;="&amp;$A283-1,$A$5:$A282,"&lt;="&amp;$A283,$B$5:$B282,$B283)&gt;0,MIN(1-'Exercise list'!G$2,IF($A283=$A282,AM282,1))-R283&lt;0),-1,MIN(1,IF($A283=$A282,AM282,1)-R283+$D$2))</f>
        <v>1</v>
      </c>
      <c r="AN283" s="19">
        <f>IF(OR($J283=1,COUNTIFS($A$5:$A282,"&gt;="&amp;$A283-1,$A$5:$A282,"&lt;="&amp;$A283,$B$5:$B282,$B283)&gt;0,MIN(1-'Exercise list'!H$2,IF($A283=$A282,AN282,1))-S283&lt;0),-1,MIN(1,IF($A283=$A282,AN282,1)-S283+$D$2))</f>
        <v>1</v>
      </c>
      <c r="AO283" s="19">
        <f>IF(OR($J283=1,COUNTIFS($A$5:$A282,"&gt;="&amp;$A283-1,$A$5:$A282,"&lt;="&amp;$A283,$B$5:$B282,$B283)&gt;0,MIN(1-'Exercise list'!I$2,IF($A283=$A282,AO282,1))-T283&lt;0),-1,MIN(1,IF($A283=$A282,AO282,1)-T283+$D$2))</f>
        <v>1</v>
      </c>
      <c r="AP283" s="19">
        <f>IF(OR($J283=1,COUNTIFS($A$5:$A282,"&gt;="&amp;$A283-1,$A$5:$A282,"&lt;="&amp;$A283,$B$5:$B282,$B283)&gt;0,MIN(1-'Exercise list'!J$2,IF($A283=$A282,AP282,1))-U283&lt;0),-1,MIN(1,IF($A283=$A282,AP282,1)-U283+$D$2))</f>
        <v>1</v>
      </c>
      <c r="AQ283" s="19">
        <f>IF(OR($J283=1,COUNTIFS($A$5:$A282,"&gt;="&amp;$A283-1,$A$5:$A282,"&lt;="&amp;$A283,$B$5:$B282,$B283)&gt;0,MIN(1-'Exercise list'!K$2,IF($A283=$A282,AQ282,1))-V283&lt;0),-1,MIN(1,IF($A283=$A282,AQ282,1)-V283+$D$2))</f>
        <v>1</v>
      </c>
      <c r="AR283" s="19">
        <f>IF(OR($J283=1,COUNTIFS($A$5:$A282,"&gt;="&amp;$A283-1,$A$5:$A282,"&lt;="&amp;$A283,$B$5:$B282,$B283)&gt;0,MIN(1-'Exercise list'!L$2,IF($A283=$A282,AR282,1))-W283&lt;0),-1,MIN(1,IF($A283=$A282,AR282,1)-W283+$D$2))</f>
        <v>1</v>
      </c>
      <c r="AS283" s="19">
        <f>IF(OR($J283=1,COUNTIFS($A$5:$A282,"&gt;="&amp;$A283-1,$A$5:$A282,"&lt;="&amp;$A283,$B$5:$B282,$B283)&gt;0,MIN(1-'Exercise list'!M$2,IF($A283=$A282,AS282,1))-X283&lt;0),-1,MIN(1,IF($A283=$A282,AS282,1)-X283+$D$2))</f>
        <v>1</v>
      </c>
      <c r="AT283" s="19">
        <f>IF(OR($J283=1,COUNTIFS($A$5:$A282,"&gt;="&amp;$A283-1,$A$5:$A282,"&lt;="&amp;$A283,$B$5:$B282,$B283)&gt;0,MIN(1-'Exercise list'!N$2,IF($A283=$A282,AT282,1))-Y283&lt;0),-1,MIN(1,IF($A283=$A282,AT282,1)-Y283+$D$2))</f>
        <v>1</v>
      </c>
      <c r="AU283" s="19">
        <f>IF(OR($J283=1,COUNTIFS($A$5:$A282,"&gt;="&amp;$A283-1,$A$5:$A282,"&lt;="&amp;$A283,$B$5:$B282,$B283)&gt;0,MIN(1-'Exercise list'!O$2,IF($A283=$A282,AU282,1))-Z283&lt;0),-1,MIN(1,IF($A283=$A282,AU282,1)-Z283+$D$2))</f>
        <v>1</v>
      </c>
      <c r="AV283" s="19">
        <f>IF(OR($J283=1,COUNTIFS($A$5:$A282,"&gt;="&amp;$A283-1,$A$5:$A282,"&lt;="&amp;$A283,$B$5:$B282,$B283)&gt;0,MIN(1-'Exercise list'!P$2,IF($A283=$A282,AV282,1))-AA283&lt;0),-1,MIN(1,IF($A283=$A282,AV282,1)-AA283+$D$2))</f>
        <v>1</v>
      </c>
      <c r="AW283" s="19">
        <f>IF(OR($J283=1,COUNTIFS($A$5:$A282,"&gt;="&amp;$A283-1,$A$5:$A282,"&lt;="&amp;$A283,$B$5:$B282,$B283)&gt;0,MIN(1-'Exercise list'!Q$2,IF($A283=$A282,AW282,1))-AB283&lt;0),-1,MIN(1,IF($A283=$A282,AW282,1)-AB283+$D$2))</f>
        <v>1</v>
      </c>
      <c r="AX283" s="19">
        <f>IF(OR($J283=1,COUNTIFS($A$5:$A282,"&gt;="&amp;$A283-1,$A$5:$A282,"&lt;="&amp;$A283,$B$5:$B282,$B283)&gt;0,MIN(1-'Exercise list'!R$2,IF($A283=$A282,AX282,1))-AC283&lt;0),-1,MIN(1,IF($A283=$A282,AX282,1)-AC283+$D$2))</f>
        <v>1</v>
      </c>
      <c r="AY283" s="19">
        <f>IF(OR($J283=1,COUNTIFS($A$5:$A282,"&gt;="&amp;$A283-1,$A$5:$A282,"&lt;="&amp;$A283,$B$5:$B282,$B283)&gt;0,MIN(1-'Exercise list'!S$2,IF($A283=$A282,AY282,1))-AD283&lt;0),-1,MIN(1,IF($A283=$A282,AY282,1)-AD283+$D$2))</f>
        <v>1</v>
      </c>
      <c r="AZ283" s="19">
        <f>IF(OR($J283=1,COUNTIFS($A$5:$A282,"&gt;="&amp;$A283-1,$A$5:$A282,"&lt;="&amp;$A283,$B$5:$B282,$B283)&gt;0,MIN(1-'Exercise list'!T$2,IF($A283=$A282,AZ282,1))-AE283&lt;0),-1,MIN(1,IF($A283=$A282,AZ282,1)-AE283+$D$2))</f>
        <v>1</v>
      </c>
      <c r="BA283" s="19">
        <f>IF(OR($J283=1,COUNTIFS($A$5:$A282,"&gt;="&amp;$A283-1,$A$5:$A282,"&lt;="&amp;$A283,$B$5:$B282,$B283)&gt;0,MIN(1-'Exercise list'!U$2,IF($A283=$A282,BA282,1))-AF283&lt;0),-1,MIN(1,IF($A283=$A282,BA282,1)-AF283+$D$2))</f>
        <v>1</v>
      </c>
      <c r="BB283" s="19">
        <f>IF(OR($J283=1,COUNTIFS($A$5:$A282,"&gt;="&amp;$A283-1,$A$5:$A282,"&lt;="&amp;$A283,$B$5:$B282,$B283)&gt;0,MIN(1-'Exercise list'!V$2,IF($A283=$A282,BB282,1))-AG283&lt;0),-1,MIN(1,IF($A283=$A282,BB282,1)-AG283+$D$2))</f>
        <v>1</v>
      </c>
      <c r="BC283" s="19">
        <f>IF(OR($J283=1,COUNTIFS($A$5:$A282,"&gt;="&amp;$A283-1,$A$5:$A282,"&lt;="&amp;$A283,$B$5:$B282,$B283)&gt;0,MIN(1-'Exercise list'!W$2,IF($A283=$A282,BC282,1))-AH283&lt;0),-1,MIN(1,IF($A283=$A282,BC282,1)-AH283+$D$2))</f>
        <v>1</v>
      </c>
      <c r="BD283" s="19">
        <f>IF(OR($J283=1,COUNTIFS($A$5:$A282,"&gt;="&amp;$A283-1,$A$5:$A282,"&lt;="&amp;$A283,$B$5:$B282,$B283)&gt;0,MIN(1-'Exercise list'!X$2,IF($A283=$A282,BD282,1))-AI283&lt;0),-1,MIN(1,IF($A283=$A282,BD282,1)-AI283+$D$2))</f>
        <v>1</v>
      </c>
      <c r="BE283" s="19"/>
      <c r="BF283" s="23">
        <f t="shared" si="189"/>
        <v>0.19596031081758858</v>
      </c>
      <c r="BG283" s="23">
        <f t="shared" si="190"/>
        <v>0.21844636935459236</v>
      </c>
      <c r="BH283" s="23">
        <f t="shared" si="191"/>
        <v>0.14609696635987124</v>
      </c>
      <c r="BI283" s="23">
        <f t="shared" si="192"/>
        <v>0.13198015366034541</v>
      </c>
      <c r="BJ283" s="23">
        <f t="shared" si="193"/>
        <v>8.3367914198418713E-2</v>
      </c>
      <c r="BK283" s="23">
        <f t="shared" si="194"/>
        <v>0.10640640223148412</v>
      </c>
      <c r="BL283" s="23">
        <f t="shared" si="195"/>
        <v>0.21963504743569431</v>
      </c>
      <c r="BM283" s="23">
        <f t="shared" si="196"/>
        <v>3.8988008374820568E-3</v>
      </c>
      <c r="BN283" s="23">
        <f t="shared" si="197"/>
        <v>0.14537706087090876</v>
      </c>
      <c r="BO283" s="23">
        <f t="shared" si="198"/>
        <v>0.29209790661993401</v>
      </c>
      <c r="BP283" s="23">
        <f t="shared" si="199"/>
        <v>0.31584545163401867</v>
      </c>
      <c r="BQ283" s="23">
        <f t="shared" si="200"/>
        <v>0.1000007994126096</v>
      </c>
      <c r="BR283" s="23">
        <f t="shared" si="201"/>
        <v>0.13164487759885393</v>
      </c>
      <c r="BS283" s="23">
        <f t="shared" si="202"/>
        <v>2.9803550189863123E-2</v>
      </c>
      <c r="BT283" s="23">
        <f t="shared" si="203"/>
        <v>0.13492040904978705</v>
      </c>
      <c r="BU283" s="23">
        <f t="shared" si="204"/>
        <v>0.11703687414398131</v>
      </c>
      <c r="BV283" s="23">
        <f t="shared" si="205"/>
        <v>0.14633353213781661</v>
      </c>
      <c r="BW283" s="23">
        <f t="shared" si="206"/>
        <v>7.5588015111767173E-2</v>
      </c>
      <c r="BX283" s="23">
        <f t="shared" si="207"/>
        <v>8.0345659937185704E-2</v>
      </c>
      <c r="BY283" s="23">
        <f t="shared" si="208"/>
        <v>5.9014643151272549E-2</v>
      </c>
      <c r="BZ283" s="19"/>
      <c r="CA283" s="23" t="str">
        <f t="shared" si="229"/>
        <v/>
      </c>
      <c r="CB283" s="23" t="str">
        <f t="shared" si="210"/>
        <v/>
      </c>
      <c r="CC283" s="23" t="str">
        <f t="shared" si="211"/>
        <v/>
      </c>
      <c r="CD283" s="23" t="str">
        <f t="shared" si="212"/>
        <v/>
      </c>
      <c r="CE283" s="23" t="str">
        <f t="shared" si="213"/>
        <v/>
      </c>
      <c r="CF283" s="23" t="str">
        <f t="shared" si="214"/>
        <v/>
      </c>
      <c r="CG283" s="23" t="str">
        <f t="shared" si="215"/>
        <v/>
      </c>
      <c r="CH283" s="23" t="str">
        <f t="shared" si="216"/>
        <v/>
      </c>
      <c r="CI283" s="23" t="str">
        <f t="shared" si="217"/>
        <v/>
      </c>
      <c r="CJ283" s="23" t="str">
        <f t="shared" si="218"/>
        <v/>
      </c>
      <c r="CK283" s="23" t="str">
        <f t="shared" si="219"/>
        <v/>
      </c>
      <c r="CL283" s="23" t="str">
        <f t="shared" si="220"/>
        <v/>
      </c>
      <c r="CM283" s="23" t="str">
        <f t="shared" si="221"/>
        <v/>
      </c>
      <c r="CN283" s="23" t="str">
        <f t="shared" si="222"/>
        <v/>
      </c>
      <c r="CO283" s="23" t="str">
        <f t="shared" si="223"/>
        <v/>
      </c>
      <c r="CP283" s="23" t="str">
        <f t="shared" si="224"/>
        <v/>
      </c>
      <c r="CQ283" s="23" t="str">
        <f t="shared" si="225"/>
        <v/>
      </c>
      <c r="CR283" s="23" t="str">
        <f t="shared" si="226"/>
        <v/>
      </c>
      <c r="CS283" s="23" t="str">
        <f t="shared" si="227"/>
        <v/>
      </c>
      <c r="CT283" s="23" t="str">
        <f t="shared" si="228"/>
        <v/>
      </c>
      <c r="CU283" s="19"/>
    </row>
    <row r="284" spans="1:99" x14ac:dyDescent="0.25">
      <c r="A284" s="13"/>
      <c r="B284" s="14"/>
      <c r="C284" s="15" t="str" cm="1">
        <f t="array" ref="C284">IF(B284="","",INDEX('Exercise list'!$C$5:$C$102,B284))</f>
        <v/>
      </c>
      <c r="D284" s="12" t="str">
        <f t="shared" si="186"/>
        <v/>
      </c>
      <c r="E284" s="107" t="str">
        <f t="shared" si="209"/>
        <v/>
      </c>
      <c r="F284" s="63" t="str" cm="1">
        <f t="array" ref="F284">IF(B284="","",0.1+IFERROR(INDEX($F$6:$F283,SUMPRODUCT(MAX(ROW($C$6:$C283)*($C284=$C$6:$C283))-ROW($A$5)))*0.9^($A284-INDEX($A$6:A283,SUMPRODUCT(MAX(ROW($C$6:$C283)*($C284=$C$6:$C283))-ROW($A$5)))),0))</f>
        <v/>
      </c>
      <c r="G284" s="64" t="e">
        <f>INDEX('Exercise list'!$Y$5:$Y$102,MATCH(C284,'Exercise list'!$C$5:$C$102,0))</f>
        <v>#N/A</v>
      </c>
      <c r="H284" s="115">
        <f t="shared" si="187"/>
        <v>0</v>
      </c>
      <c r="I284" s="42">
        <f t="shared" si="188"/>
        <v>5</v>
      </c>
      <c r="J284" s="6" t="str" cm="1">
        <f t="array" ref="J284">IF(B284="","",INDEX('Exercise list'!$D$5:$D$102,B284))</f>
        <v/>
      </c>
      <c r="K284" s="12"/>
      <c r="L284" s="74" t="str" cm="1">
        <f t="array" ref="L284">IF(K284="","",INDEX('Exercise list'!$C$5:$C$102,K284))</f>
        <v/>
      </c>
      <c r="M284" s="6"/>
      <c r="N284" s="75" t="str" cm="1">
        <f t="array" ref="N284">IF(M284="","",INDEX('Exercise list'!$C$5:$C$102,M284))</f>
        <v/>
      </c>
      <c r="P284">
        <f>IFERROR(INDEX('Exercise list'!$E$5:$X$102,MATCH($C284,'Exercise list'!$C$5:$C$102,0),MATCH(P$5,'Exercise list'!$E$4:$X$4,0)),0)</f>
        <v>0</v>
      </c>
      <c r="Q284">
        <f>IFERROR(INDEX('Exercise list'!$E$5:$X$102,MATCH($C284,'Exercise list'!$C$5:$C$102,0),MATCH(Q$5,'Exercise list'!$E$4:$X$4,0)),0)</f>
        <v>0</v>
      </c>
      <c r="R284">
        <f>IFERROR(INDEX('Exercise list'!$E$5:$X$102,MATCH($C284,'Exercise list'!$C$5:$C$102,0),MATCH(R$5,'Exercise list'!$E$4:$X$4,0)),0)</f>
        <v>0</v>
      </c>
      <c r="S284">
        <f>IFERROR(INDEX('Exercise list'!$E$5:$X$102,MATCH($C284,'Exercise list'!$C$5:$C$102,0),MATCH(S$5,'Exercise list'!$E$4:$X$4,0)),0)</f>
        <v>0</v>
      </c>
      <c r="T284">
        <f>IFERROR(INDEX('Exercise list'!$E$5:$X$102,MATCH($C284,'Exercise list'!$C$5:$C$102,0),MATCH(T$5,'Exercise list'!$E$4:$X$4,0)),0)</f>
        <v>0</v>
      </c>
      <c r="U284">
        <f>IFERROR(INDEX('Exercise list'!$E$5:$X$102,MATCH($C284,'Exercise list'!$C$5:$C$102,0),MATCH(U$5,'Exercise list'!$E$4:$X$4,0)),0)</f>
        <v>0</v>
      </c>
      <c r="V284">
        <f>IFERROR(INDEX('Exercise list'!$E$5:$X$102,MATCH($C284,'Exercise list'!$C$5:$C$102,0),MATCH(V$5,'Exercise list'!$E$4:$X$4,0)),0)</f>
        <v>0</v>
      </c>
      <c r="W284">
        <f>IFERROR(INDEX('Exercise list'!$E$5:$X$102,MATCH($C284,'Exercise list'!$C$5:$C$102,0),MATCH(W$5,'Exercise list'!$E$4:$X$4,0)),0)</f>
        <v>0</v>
      </c>
      <c r="X284">
        <f>IFERROR(INDEX('Exercise list'!$E$5:$X$102,MATCH($C284,'Exercise list'!$C$5:$C$102,0),MATCH(X$5,'Exercise list'!$E$4:$X$4,0)),0)</f>
        <v>0</v>
      </c>
      <c r="Y284">
        <f>IFERROR(INDEX('Exercise list'!$E$5:$X$102,MATCH($C284,'Exercise list'!$C$5:$C$102,0),MATCH(Y$5,'Exercise list'!$E$4:$X$4,0)),0)</f>
        <v>0</v>
      </c>
      <c r="Z284">
        <f>IFERROR(INDEX('Exercise list'!$E$5:$X$102,MATCH($C284,'Exercise list'!$C$5:$C$102,0),MATCH(Z$5,'Exercise list'!$E$4:$X$4,0)),0)</f>
        <v>0</v>
      </c>
      <c r="AA284">
        <f>IFERROR(INDEX('Exercise list'!$E$5:$X$102,MATCH($C284,'Exercise list'!$C$5:$C$102,0),MATCH(AA$5,'Exercise list'!$E$4:$X$4,0)),0)</f>
        <v>0</v>
      </c>
      <c r="AB284">
        <f>IFERROR(INDEX('Exercise list'!$E$5:$X$102,MATCH($C284,'Exercise list'!$C$5:$C$102,0),MATCH(AB$5,'Exercise list'!$E$4:$X$4,0)),0)</f>
        <v>0</v>
      </c>
      <c r="AC284">
        <f>IFERROR(INDEX('Exercise list'!$E$5:$X$102,MATCH($C284,'Exercise list'!$C$5:$C$102,0),MATCH(AC$5,'Exercise list'!$E$4:$X$4,0)),0)</f>
        <v>0</v>
      </c>
      <c r="AD284">
        <f>IFERROR(INDEX('Exercise list'!$E$5:$X$102,MATCH($C284,'Exercise list'!$C$5:$C$102,0),MATCH(AD$5,'Exercise list'!$E$4:$X$4,0)),0)</f>
        <v>0</v>
      </c>
      <c r="AE284">
        <f>IFERROR(INDEX('Exercise list'!$E$5:$X$102,MATCH($C284,'Exercise list'!$C$5:$C$102,0),MATCH(AE$5,'Exercise list'!$E$4:$X$4,0)),0)</f>
        <v>0</v>
      </c>
      <c r="AF284">
        <f>IFERROR(INDEX('Exercise list'!$E$5:$X$102,MATCH($C284,'Exercise list'!$C$5:$C$102,0),MATCH(AF$5,'Exercise list'!$E$4:$X$4,0)),0)</f>
        <v>0</v>
      </c>
      <c r="AG284">
        <f>IFERROR(INDEX('Exercise list'!$E$5:$X$102,MATCH($C284,'Exercise list'!$C$5:$C$102,0),MATCH(AG$5,'Exercise list'!$E$4:$X$4,0)),0)</f>
        <v>0</v>
      </c>
      <c r="AH284">
        <f>IFERROR(INDEX('Exercise list'!$E$5:$X$102,MATCH($C284,'Exercise list'!$C$5:$C$102,0),MATCH(AH$5,'Exercise list'!$E$4:$X$4,0)),0)</f>
        <v>0</v>
      </c>
      <c r="AI284">
        <f>IFERROR(INDEX('Exercise list'!$E$5:$X$102,MATCH($C284,'Exercise list'!$C$5:$C$102,0),MATCH(AI$5,'Exercise list'!$E$4:$X$4,0)),0)</f>
        <v>0</v>
      </c>
      <c r="AK284">
        <f>IF(OR($J284=1,COUNTIFS($A$5:$A283,"&gt;="&amp;$A284-1,$A$5:$A283,"&lt;="&amp;$A284,$B$5:$B283,$B284)&gt;0,MIN(1-'Exercise list'!E$2,IF($A284=$A283,AK283,1))-P284&lt;0),-1,MIN(1,IF($A284=$A283,AK283,1)-P284+$D$2))</f>
        <v>1</v>
      </c>
      <c r="AL284">
        <f>IF(OR($J284=1,COUNTIFS($A$5:$A283,"&gt;="&amp;$A284-1,$A$5:$A283,"&lt;="&amp;$A284,$B$5:$B283,$B284)&gt;0,MIN(1-'Exercise list'!F$2,IF($A284=$A283,AL283,1))-Q284&lt;0),-1,MIN(1,IF($A284=$A283,AL283,1)-Q284+$D$2))</f>
        <v>1</v>
      </c>
      <c r="AM284">
        <f>IF(OR($J284=1,COUNTIFS($A$5:$A283,"&gt;="&amp;$A284-1,$A$5:$A283,"&lt;="&amp;$A284,$B$5:$B283,$B284)&gt;0,MIN(1-'Exercise list'!G$2,IF($A284=$A283,AM283,1))-R284&lt;0),-1,MIN(1,IF($A284=$A283,AM283,1)-R284+$D$2))</f>
        <v>1</v>
      </c>
      <c r="AN284">
        <f>IF(OR($J284=1,COUNTIFS($A$5:$A283,"&gt;="&amp;$A284-1,$A$5:$A283,"&lt;="&amp;$A284,$B$5:$B283,$B284)&gt;0,MIN(1-'Exercise list'!H$2,IF($A284=$A283,AN283,1))-S284&lt;0),-1,MIN(1,IF($A284=$A283,AN283,1)-S284+$D$2))</f>
        <v>1</v>
      </c>
      <c r="AO284">
        <f>IF(OR($J284=1,COUNTIFS($A$5:$A283,"&gt;="&amp;$A284-1,$A$5:$A283,"&lt;="&amp;$A284,$B$5:$B283,$B284)&gt;0,MIN(1-'Exercise list'!I$2,IF($A284=$A283,AO283,1))-T284&lt;0),-1,MIN(1,IF($A284=$A283,AO283,1)-T284+$D$2))</f>
        <v>1</v>
      </c>
      <c r="AP284">
        <f>IF(OR($J284=1,COUNTIFS($A$5:$A283,"&gt;="&amp;$A284-1,$A$5:$A283,"&lt;="&amp;$A284,$B$5:$B283,$B284)&gt;0,MIN(1-'Exercise list'!J$2,IF($A284=$A283,AP283,1))-U284&lt;0),-1,MIN(1,IF($A284=$A283,AP283,1)-U284+$D$2))</f>
        <v>1</v>
      </c>
      <c r="AQ284">
        <f>IF(OR($J284=1,COUNTIFS($A$5:$A283,"&gt;="&amp;$A284-1,$A$5:$A283,"&lt;="&amp;$A284,$B$5:$B283,$B284)&gt;0,MIN(1-'Exercise list'!K$2,IF($A284=$A283,AQ283,1))-V284&lt;0),-1,MIN(1,IF($A284=$A283,AQ283,1)-V284+$D$2))</f>
        <v>1</v>
      </c>
      <c r="AR284">
        <f>IF(OR($J284=1,COUNTIFS($A$5:$A283,"&gt;="&amp;$A284-1,$A$5:$A283,"&lt;="&amp;$A284,$B$5:$B283,$B284)&gt;0,MIN(1-'Exercise list'!L$2,IF($A284=$A283,AR283,1))-W284&lt;0),-1,MIN(1,IF($A284=$A283,AR283,1)-W284+$D$2))</f>
        <v>1</v>
      </c>
      <c r="AS284">
        <f>IF(OR($J284=1,COUNTIFS($A$5:$A283,"&gt;="&amp;$A284-1,$A$5:$A283,"&lt;="&amp;$A284,$B$5:$B283,$B284)&gt;0,MIN(1-'Exercise list'!M$2,IF($A284=$A283,AS283,1))-X284&lt;0),-1,MIN(1,IF($A284=$A283,AS283,1)-X284+$D$2))</f>
        <v>1</v>
      </c>
      <c r="AT284">
        <f>IF(OR($J284=1,COUNTIFS($A$5:$A283,"&gt;="&amp;$A284-1,$A$5:$A283,"&lt;="&amp;$A284,$B$5:$B283,$B284)&gt;0,MIN(1-'Exercise list'!N$2,IF($A284=$A283,AT283,1))-Y284&lt;0),-1,MIN(1,IF($A284=$A283,AT283,1)-Y284+$D$2))</f>
        <v>1</v>
      </c>
      <c r="AU284">
        <f>IF(OR($J284=1,COUNTIFS($A$5:$A283,"&gt;="&amp;$A284-1,$A$5:$A283,"&lt;="&amp;$A284,$B$5:$B283,$B284)&gt;0,MIN(1-'Exercise list'!O$2,IF($A284=$A283,AU283,1))-Z284&lt;0),-1,MIN(1,IF($A284=$A283,AU283,1)-Z284+$D$2))</f>
        <v>1</v>
      </c>
      <c r="AV284">
        <f>IF(OR($J284=1,COUNTIFS($A$5:$A283,"&gt;="&amp;$A284-1,$A$5:$A283,"&lt;="&amp;$A284,$B$5:$B283,$B284)&gt;0,MIN(1-'Exercise list'!P$2,IF($A284=$A283,AV283,1))-AA284&lt;0),-1,MIN(1,IF($A284=$A283,AV283,1)-AA284+$D$2))</f>
        <v>1</v>
      </c>
      <c r="AW284">
        <f>IF(OR($J284=1,COUNTIFS($A$5:$A283,"&gt;="&amp;$A284-1,$A$5:$A283,"&lt;="&amp;$A284,$B$5:$B283,$B284)&gt;0,MIN(1-'Exercise list'!Q$2,IF($A284=$A283,AW283,1))-AB284&lt;0),-1,MIN(1,IF($A284=$A283,AW283,1)-AB284+$D$2))</f>
        <v>1</v>
      </c>
      <c r="AX284">
        <f>IF(OR($J284=1,COUNTIFS($A$5:$A283,"&gt;="&amp;$A284-1,$A$5:$A283,"&lt;="&amp;$A284,$B$5:$B283,$B284)&gt;0,MIN(1-'Exercise list'!R$2,IF($A284=$A283,AX283,1))-AC284&lt;0),-1,MIN(1,IF($A284=$A283,AX283,1)-AC284+$D$2))</f>
        <v>1</v>
      </c>
      <c r="AY284">
        <f>IF(OR($J284=1,COUNTIFS($A$5:$A283,"&gt;="&amp;$A284-1,$A$5:$A283,"&lt;="&amp;$A284,$B$5:$B283,$B284)&gt;0,MIN(1-'Exercise list'!S$2,IF($A284=$A283,AY283,1))-AD284&lt;0),-1,MIN(1,IF($A284=$A283,AY283,1)-AD284+$D$2))</f>
        <v>1</v>
      </c>
      <c r="AZ284">
        <f>IF(OR($J284=1,COUNTIFS($A$5:$A283,"&gt;="&amp;$A284-1,$A$5:$A283,"&lt;="&amp;$A284,$B$5:$B283,$B284)&gt;0,MIN(1-'Exercise list'!T$2,IF($A284=$A283,AZ283,1))-AE284&lt;0),-1,MIN(1,IF($A284=$A283,AZ283,1)-AE284+$D$2))</f>
        <v>1</v>
      </c>
      <c r="BA284">
        <f>IF(OR($J284=1,COUNTIFS($A$5:$A283,"&gt;="&amp;$A284-1,$A$5:$A283,"&lt;="&amp;$A284,$B$5:$B283,$B284)&gt;0,MIN(1-'Exercise list'!U$2,IF($A284=$A283,BA283,1))-AF284&lt;0),-1,MIN(1,IF($A284=$A283,BA283,1)-AF284+$D$2))</f>
        <v>1</v>
      </c>
      <c r="BB284">
        <f>IF(OR($J284=1,COUNTIFS($A$5:$A283,"&gt;="&amp;$A284-1,$A$5:$A283,"&lt;="&amp;$A284,$B$5:$B283,$B284)&gt;0,MIN(1-'Exercise list'!V$2,IF($A284=$A283,BB283,1))-AG284&lt;0),-1,MIN(1,IF($A284=$A283,BB283,1)-AG284+$D$2))</f>
        <v>1</v>
      </c>
      <c r="BC284">
        <f>IF(OR($J284=1,COUNTIFS($A$5:$A283,"&gt;="&amp;$A284-1,$A$5:$A283,"&lt;="&amp;$A284,$B$5:$B283,$B284)&gt;0,MIN(1-'Exercise list'!W$2,IF($A284=$A283,BC283,1))-AH284&lt;0),-1,MIN(1,IF($A284=$A283,BC283,1)-AH284+$D$2))</f>
        <v>1</v>
      </c>
      <c r="BD284">
        <f>IF(OR($J284=1,COUNTIFS($A$5:$A283,"&gt;="&amp;$A284-1,$A$5:$A283,"&lt;="&amp;$A284,$B$5:$B283,$B284)&gt;0,MIN(1-'Exercise list'!X$2,IF($A284=$A283,BD283,1))-AI284&lt;0),-1,MIN(1,IF($A284=$A283,BD283,1)-AI284+$D$2))</f>
        <v>1</v>
      </c>
      <c r="BF284" s="16">
        <f t="shared" si="189"/>
        <v>0.19596031081758858</v>
      </c>
      <c r="BG284" s="16">
        <f t="shared" si="190"/>
        <v>0.21844636935459236</v>
      </c>
      <c r="BH284" s="16">
        <f t="shared" si="191"/>
        <v>0.14609696635987124</v>
      </c>
      <c r="BI284" s="16">
        <f t="shared" si="192"/>
        <v>0.13198015366034541</v>
      </c>
      <c r="BJ284" s="16">
        <f t="shared" si="193"/>
        <v>8.3367914198418713E-2</v>
      </c>
      <c r="BK284" s="16">
        <f t="shared" si="194"/>
        <v>0.10640640223148412</v>
      </c>
      <c r="BL284" s="16">
        <f t="shared" si="195"/>
        <v>0.21963504743569431</v>
      </c>
      <c r="BM284" s="16">
        <f t="shared" si="196"/>
        <v>3.8988008374820568E-3</v>
      </c>
      <c r="BN284" s="16">
        <f t="shared" si="197"/>
        <v>0.14537706087090876</v>
      </c>
      <c r="BO284" s="16">
        <f t="shared" si="198"/>
        <v>0.29209790661993401</v>
      </c>
      <c r="BP284" s="16">
        <f t="shared" si="199"/>
        <v>0.31584545163401867</v>
      </c>
      <c r="BQ284" s="16">
        <f t="shared" si="200"/>
        <v>0.1000007994126096</v>
      </c>
      <c r="BR284" s="16">
        <f t="shared" si="201"/>
        <v>0.13164487759885393</v>
      </c>
      <c r="BS284" s="16">
        <f t="shared" si="202"/>
        <v>2.9803550189863123E-2</v>
      </c>
      <c r="BT284" s="16">
        <f t="shared" si="203"/>
        <v>0.13492040904978705</v>
      </c>
      <c r="BU284" s="16">
        <f t="shared" si="204"/>
        <v>0.11703687414398131</v>
      </c>
      <c r="BV284" s="16">
        <f t="shared" si="205"/>
        <v>0.14633353213781661</v>
      </c>
      <c r="BW284" s="16">
        <f t="shared" si="206"/>
        <v>7.5588015111767173E-2</v>
      </c>
      <c r="BX284" s="16">
        <f t="shared" si="207"/>
        <v>8.0345659937185704E-2</v>
      </c>
      <c r="BY284" s="16">
        <f t="shared" si="208"/>
        <v>5.9014643151272549E-2</v>
      </c>
      <c r="CA284" s="16" t="str">
        <f t="shared" si="229"/>
        <v/>
      </c>
      <c r="CB284" s="16" t="str">
        <f t="shared" si="210"/>
        <v/>
      </c>
      <c r="CC284" s="16" t="str">
        <f t="shared" si="211"/>
        <v/>
      </c>
      <c r="CD284" s="16" t="str">
        <f t="shared" si="212"/>
        <v/>
      </c>
      <c r="CE284" s="16" t="str">
        <f t="shared" si="213"/>
        <v/>
      </c>
      <c r="CF284" s="16" t="str">
        <f t="shared" si="214"/>
        <v/>
      </c>
      <c r="CG284" s="16" t="str">
        <f t="shared" si="215"/>
        <v/>
      </c>
      <c r="CH284" s="16" t="str">
        <f t="shared" si="216"/>
        <v/>
      </c>
      <c r="CI284" s="16" t="str">
        <f t="shared" si="217"/>
        <v/>
      </c>
      <c r="CJ284" s="16" t="str">
        <f t="shared" si="218"/>
        <v/>
      </c>
      <c r="CK284" s="16" t="str">
        <f t="shared" si="219"/>
        <v/>
      </c>
      <c r="CL284" s="16" t="str">
        <f t="shared" si="220"/>
        <v/>
      </c>
      <c r="CM284" s="16" t="str">
        <f t="shared" si="221"/>
        <v/>
      </c>
      <c r="CN284" s="16" t="str">
        <f t="shared" si="222"/>
        <v/>
      </c>
      <c r="CO284" s="16" t="str">
        <f t="shared" si="223"/>
        <v/>
      </c>
      <c r="CP284" s="16" t="str">
        <f t="shared" si="224"/>
        <v/>
      </c>
      <c r="CQ284" s="16" t="str">
        <f t="shared" si="225"/>
        <v/>
      </c>
      <c r="CR284" s="16" t="str">
        <f t="shared" si="226"/>
        <v/>
      </c>
      <c r="CS284" s="16" t="str">
        <f t="shared" si="227"/>
        <v/>
      </c>
      <c r="CT284" s="16" t="str">
        <f t="shared" si="228"/>
        <v/>
      </c>
    </row>
    <row r="285" spans="1:99" x14ac:dyDescent="0.25">
      <c r="A285" s="13"/>
      <c r="B285" s="14"/>
      <c r="C285" s="15" t="str" cm="1">
        <f t="array" ref="C285">IF(B285="","",INDEX('Exercise list'!$C$5:$C$102,B285))</f>
        <v/>
      </c>
      <c r="D285" s="12" t="str">
        <f t="shared" si="186"/>
        <v/>
      </c>
      <c r="E285" s="107" t="str">
        <f t="shared" si="209"/>
        <v/>
      </c>
      <c r="F285" s="63" t="str" cm="1">
        <f t="array" ref="F285">IF(B285="","",0.1+IFERROR(INDEX($F$6:$F284,SUMPRODUCT(MAX(ROW($C$6:$C284)*($C285=$C$6:$C284))-ROW($A$5)))*0.9^($A285-INDEX($A$6:A284,SUMPRODUCT(MAX(ROW($C$6:$C284)*($C285=$C$6:$C284))-ROW($A$5)))),0))</f>
        <v/>
      </c>
      <c r="G285" s="64" t="e">
        <f>INDEX('Exercise list'!$Y$5:$Y$102,MATCH(C285,'Exercise list'!$C$5:$C$102,0))</f>
        <v>#N/A</v>
      </c>
      <c r="H285" s="115">
        <f t="shared" si="187"/>
        <v>0</v>
      </c>
      <c r="I285" s="6">
        <f t="shared" si="188"/>
        <v>5</v>
      </c>
      <c r="J285" s="6" t="str" cm="1">
        <f t="array" ref="J285">IF(B285="","",INDEX('Exercise list'!$D$5:$D$102,B285))</f>
        <v/>
      </c>
      <c r="K285" s="12"/>
      <c r="L285" s="74" t="str" cm="1">
        <f t="array" ref="L285">IF(K285="","",INDEX('Exercise list'!$C$5:$C$102,K285))</f>
        <v/>
      </c>
      <c r="M285" s="6"/>
      <c r="N285" s="75" t="str" cm="1">
        <f t="array" ref="N285">IF(M285="","",INDEX('Exercise list'!$C$5:$C$102,M285))</f>
        <v/>
      </c>
      <c r="P285">
        <f>IFERROR(INDEX('Exercise list'!$E$5:$X$102,MATCH($C285,'Exercise list'!$C$5:$C$102,0),MATCH(P$5,'Exercise list'!$E$4:$X$4,0)),0)</f>
        <v>0</v>
      </c>
      <c r="Q285">
        <f>IFERROR(INDEX('Exercise list'!$E$5:$X$102,MATCH($C285,'Exercise list'!$C$5:$C$102,0),MATCH(Q$5,'Exercise list'!$E$4:$X$4,0)),0)</f>
        <v>0</v>
      </c>
      <c r="R285">
        <f>IFERROR(INDEX('Exercise list'!$E$5:$X$102,MATCH($C285,'Exercise list'!$C$5:$C$102,0),MATCH(R$5,'Exercise list'!$E$4:$X$4,0)),0)</f>
        <v>0</v>
      </c>
      <c r="S285">
        <f>IFERROR(INDEX('Exercise list'!$E$5:$X$102,MATCH($C285,'Exercise list'!$C$5:$C$102,0),MATCH(S$5,'Exercise list'!$E$4:$X$4,0)),0)</f>
        <v>0</v>
      </c>
      <c r="T285">
        <f>IFERROR(INDEX('Exercise list'!$E$5:$X$102,MATCH($C285,'Exercise list'!$C$5:$C$102,0),MATCH(T$5,'Exercise list'!$E$4:$X$4,0)),0)</f>
        <v>0</v>
      </c>
      <c r="U285">
        <f>IFERROR(INDEX('Exercise list'!$E$5:$X$102,MATCH($C285,'Exercise list'!$C$5:$C$102,0),MATCH(U$5,'Exercise list'!$E$4:$X$4,0)),0)</f>
        <v>0</v>
      </c>
      <c r="V285">
        <f>IFERROR(INDEX('Exercise list'!$E$5:$X$102,MATCH($C285,'Exercise list'!$C$5:$C$102,0),MATCH(V$5,'Exercise list'!$E$4:$X$4,0)),0)</f>
        <v>0</v>
      </c>
      <c r="W285">
        <f>IFERROR(INDEX('Exercise list'!$E$5:$X$102,MATCH($C285,'Exercise list'!$C$5:$C$102,0),MATCH(W$5,'Exercise list'!$E$4:$X$4,0)),0)</f>
        <v>0</v>
      </c>
      <c r="X285">
        <f>IFERROR(INDEX('Exercise list'!$E$5:$X$102,MATCH($C285,'Exercise list'!$C$5:$C$102,0),MATCH(X$5,'Exercise list'!$E$4:$X$4,0)),0)</f>
        <v>0</v>
      </c>
      <c r="Y285">
        <f>IFERROR(INDEX('Exercise list'!$E$5:$X$102,MATCH($C285,'Exercise list'!$C$5:$C$102,0),MATCH(Y$5,'Exercise list'!$E$4:$X$4,0)),0)</f>
        <v>0</v>
      </c>
      <c r="Z285">
        <f>IFERROR(INDEX('Exercise list'!$E$5:$X$102,MATCH($C285,'Exercise list'!$C$5:$C$102,0),MATCH(Z$5,'Exercise list'!$E$4:$X$4,0)),0)</f>
        <v>0</v>
      </c>
      <c r="AA285">
        <f>IFERROR(INDEX('Exercise list'!$E$5:$X$102,MATCH($C285,'Exercise list'!$C$5:$C$102,0),MATCH(AA$5,'Exercise list'!$E$4:$X$4,0)),0)</f>
        <v>0</v>
      </c>
      <c r="AB285">
        <f>IFERROR(INDEX('Exercise list'!$E$5:$X$102,MATCH($C285,'Exercise list'!$C$5:$C$102,0),MATCH(AB$5,'Exercise list'!$E$4:$X$4,0)),0)</f>
        <v>0</v>
      </c>
      <c r="AC285">
        <f>IFERROR(INDEX('Exercise list'!$E$5:$X$102,MATCH($C285,'Exercise list'!$C$5:$C$102,0),MATCH(AC$5,'Exercise list'!$E$4:$X$4,0)),0)</f>
        <v>0</v>
      </c>
      <c r="AD285">
        <f>IFERROR(INDEX('Exercise list'!$E$5:$X$102,MATCH($C285,'Exercise list'!$C$5:$C$102,0),MATCH(AD$5,'Exercise list'!$E$4:$X$4,0)),0)</f>
        <v>0</v>
      </c>
      <c r="AE285">
        <f>IFERROR(INDEX('Exercise list'!$E$5:$X$102,MATCH($C285,'Exercise list'!$C$5:$C$102,0),MATCH(AE$5,'Exercise list'!$E$4:$X$4,0)),0)</f>
        <v>0</v>
      </c>
      <c r="AF285">
        <f>IFERROR(INDEX('Exercise list'!$E$5:$X$102,MATCH($C285,'Exercise list'!$C$5:$C$102,0),MATCH(AF$5,'Exercise list'!$E$4:$X$4,0)),0)</f>
        <v>0</v>
      </c>
      <c r="AG285">
        <f>IFERROR(INDEX('Exercise list'!$E$5:$X$102,MATCH($C285,'Exercise list'!$C$5:$C$102,0),MATCH(AG$5,'Exercise list'!$E$4:$X$4,0)),0)</f>
        <v>0</v>
      </c>
      <c r="AH285">
        <f>IFERROR(INDEX('Exercise list'!$E$5:$X$102,MATCH($C285,'Exercise list'!$C$5:$C$102,0),MATCH(AH$5,'Exercise list'!$E$4:$X$4,0)),0)</f>
        <v>0</v>
      </c>
      <c r="AI285">
        <f>IFERROR(INDEX('Exercise list'!$E$5:$X$102,MATCH($C285,'Exercise list'!$C$5:$C$102,0),MATCH(AI$5,'Exercise list'!$E$4:$X$4,0)),0)</f>
        <v>0</v>
      </c>
      <c r="AK285">
        <f>IF(OR($J285=1,COUNTIFS($A$5:$A284,"&gt;="&amp;$A285-1,$A$5:$A284,"&lt;="&amp;$A285,$B$5:$B284,$B285)&gt;0,MIN(1-'Exercise list'!E$2,IF($A285=$A284,AK284,1))-P285&lt;0),-1,MIN(1,IF($A285=$A284,AK284,1)-P285+$D$2))</f>
        <v>1</v>
      </c>
      <c r="AL285">
        <f>IF(OR($J285=1,COUNTIFS($A$5:$A284,"&gt;="&amp;$A285-1,$A$5:$A284,"&lt;="&amp;$A285,$B$5:$B284,$B285)&gt;0,MIN(1-'Exercise list'!F$2,IF($A285=$A284,AL284,1))-Q285&lt;0),-1,MIN(1,IF($A285=$A284,AL284,1)-Q285+$D$2))</f>
        <v>1</v>
      </c>
      <c r="AM285">
        <f>IF(OR($J285=1,COUNTIFS($A$5:$A284,"&gt;="&amp;$A285-1,$A$5:$A284,"&lt;="&amp;$A285,$B$5:$B284,$B285)&gt;0,MIN(1-'Exercise list'!G$2,IF($A285=$A284,AM284,1))-R285&lt;0),-1,MIN(1,IF($A285=$A284,AM284,1)-R285+$D$2))</f>
        <v>1</v>
      </c>
      <c r="AN285">
        <f>IF(OR($J285=1,COUNTIFS($A$5:$A284,"&gt;="&amp;$A285-1,$A$5:$A284,"&lt;="&amp;$A285,$B$5:$B284,$B285)&gt;0,MIN(1-'Exercise list'!H$2,IF($A285=$A284,AN284,1))-S285&lt;0),-1,MIN(1,IF($A285=$A284,AN284,1)-S285+$D$2))</f>
        <v>1</v>
      </c>
      <c r="AO285">
        <f>IF(OR($J285=1,COUNTIFS($A$5:$A284,"&gt;="&amp;$A285-1,$A$5:$A284,"&lt;="&amp;$A285,$B$5:$B284,$B285)&gt;0,MIN(1-'Exercise list'!I$2,IF($A285=$A284,AO284,1))-T285&lt;0),-1,MIN(1,IF($A285=$A284,AO284,1)-T285+$D$2))</f>
        <v>1</v>
      </c>
      <c r="AP285">
        <f>IF(OR($J285=1,COUNTIFS($A$5:$A284,"&gt;="&amp;$A285-1,$A$5:$A284,"&lt;="&amp;$A285,$B$5:$B284,$B285)&gt;0,MIN(1-'Exercise list'!J$2,IF($A285=$A284,AP284,1))-U285&lt;0),-1,MIN(1,IF($A285=$A284,AP284,1)-U285+$D$2))</f>
        <v>1</v>
      </c>
      <c r="AQ285">
        <f>IF(OR($J285=1,COUNTIFS($A$5:$A284,"&gt;="&amp;$A285-1,$A$5:$A284,"&lt;="&amp;$A285,$B$5:$B284,$B285)&gt;0,MIN(1-'Exercise list'!K$2,IF($A285=$A284,AQ284,1))-V285&lt;0),-1,MIN(1,IF($A285=$A284,AQ284,1)-V285+$D$2))</f>
        <v>1</v>
      </c>
      <c r="AR285">
        <f>IF(OR($J285=1,COUNTIFS($A$5:$A284,"&gt;="&amp;$A285-1,$A$5:$A284,"&lt;="&amp;$A285,$B$5:$B284,$B285)&gt;0,MIN(1-'Exercise list'!L$2,IF($A285=$A284,AR284,1))-W285&lt;0),-1,MIN(1,IF($A285=$A284,AR284,1)-W285+$D$2))</f>
        <v>1</v>
      </c>
      <c r="AS285">
        <f>IF(OR($J285=1,COUNTIFS($A$5:$A284,"&gt;="&amp;$A285-1,$A$5:$A284,"&lt;="&amp;$A285,$B$5:$B284,$B285)&gt;0,MIN(1-'Exercise list'!M$2,IF($A285=$A284,AS284,1))-X285&lt;0),-1,MIN(1,IF($A285=$A284,AS284,1)-X285+$D$2))</f>
        <v>1</v>
      </c>
      <c r="AT285">
        <f>IF(OR($J285=1,COUNTIFS($A$5:$A284,"&gt;="&amp;$A285-1,$A$5:$A284,"&lt;="&amp;$A285,$B$5:$B284,$B285)&gt;0,MIN(1-'Exercise list'!N$2,IF($A285=$A284,AT284,1))-Y285&lt;0),-1,MIN(1,IF($A285=$A284,AT284,1)-Y285+$D$2))</f>
        <v>1</v>
      </c>
      <c r="AU285">
        <f>IF(OR($J285=1,COUNTIFS($A$5:$A284,"&gt;="&amp;$A285-1,$A$5:$A284,"&lt;="&amp;$A285,$B$5:$B284,$B285)&gt;0,MIN(1-'Exercise list'!O$2,IF($A285=$A284,AU284,1))-Z285&lt;0),-1,MIN(1,IF($A285=$A284,AU284,1)-Z285+$D$2))</f>
        <v>1</v>
      </c>
      <c r="AV285">
        <f>IF(OR($J285=1,COUNTIFS($A$5:$A284,"&gt;="&amp;$A285-1,$A$5:$A284,"&lt;="&amp;$A285,$B$5:$B284,$B285)&gt;0,MIN(1-'Exercise list'!P$2,IF($A285=$A284,AV284,1))-AA285&lt;0),-1,MIN(1,IF($A285=$A284,AV284,1)-AA285+$D$2))</f>
        <v>1</v>
      </c>
      <c r="AW285">
        <f>IF(OR($J285=1,COUNTIFS($A$5:$A284,"&gt;="&amp;$A285-1,$A$5:$A284,"&lt;="&amp;$A285,$B$5:$B284,$B285)&gt;0,MIN(1-'Exercise list'!Q$2,IF($A285=$A284,AW284,1))-AB285&lt;0),-1,MIN(1,IF($A285=$A284,AW284,1)-AB285+$D$2))</f>
        <v>1</v>
      </c>
      <c r="AX285">
        <f>IF(OR($J285=1,COUNTIFS($A$5:$A284,"&gt;="&amp;$A285-1,$A$5:$A284,"&lt;="&amp;$A285,$B$5:$B284,$B285)&gt;0,MIN(1-'Exercise list'!R$2,IF($A285=$A284,AX284,1))-AC285&lt;0),-1,MIN(1,IF($A285=$A284,AX284,1)-AC285+$D$2))</f>
        <v>1</v>
      </c>
      <c r="AY285">
        <f>IF(OR($J285=1,COUNTIFS($A$5:$A284,"&gt;="&amp;$A285-1,$A$5:$A284,"&lt;="&amp;$A285,$B$5:$B284,$B285)&gt;0,MIN(1-'Exercise list'!S$2,IF($A285=$A284,AY284,1))-AD285&lt;0),-1,MIN(1,IF($A285=$A284,AY284,1)-AD285+$D$2))</f>
        <v>1</v>
      </c>
      <c r="AZ285">
        <f>IF(OR($J285=1,COUNTIFS($A$5:$A284,"&gt;="&amp;$A285-1,$A$5:$A284,"&lt;="&amp;$A285,$B$5:$B284,$B285)&gt;0,MIN(1-'Exercise list'!T$2,IF($A285=$A284,AZ284,1))-AE285&lt;0),-1,MIN(1,IF($A285=$A284,AZ284,1)-AE285+$D$2))</f>
        <v>1</v>
      </c>
      <c r="BA285">
        <f>IF(OR($J285=1,COUNTIFS($A$5:$A284,"&gt;="&amp;$A285-1,$A$5:$A284,"&lt;="&amp;$A285,$B$5:$B284,$B285)&gt;0,MIN(1-'Exercise list'!U$2,IF($A285=$A284,BA284,1))-AF285&lt;0),-1,MIN(1,IF($A285=$A284,BA284,1)-AF285+$D$2))</f>
        <v>1</v>
      </c>
      <c r="BB285">
        <f>IF(OR($J285=1,COUNTIFS($A$5:$A284,"&gt;="&amp;$A285-1,$A$5:$A284,"&lt;="&amp;$A285,$B$5:$B284,$B285)&gt;0,MIN(1-'Exercise list'!V$2,IF($A285=$A284,BB284,1))-AG285&lt;0),-1,MIN(1,IF($A285=$A284,BB284,1)-AG285+$D$2))</f>
        <v>1</v>
      </c>
      <c r="BC285">
        <f>IF(OR($J285=1,COUNTIFS($A$5:$A284,"&gt;="&amp;$A285-1,$A$5:$A284,"&lt;="&amp;$A285,$B$5:$B284,$B285)&gt;0,MIN(1-'Exercise list'!W$2,IF($A285=$A284,BC284,1))-AH285&lt;0),-1,MIN(1,IF($A285=$A284,BC284,1)-AH285+$D$2))</f>
        <v>1</v>
      </c>
      <c r="BD285">
        <f>IF(OR($J285=1,COUNTIFS($A$5:$A284,"&gt;="&amp;$A285-1,$A$5:$A284,"&lt;="&amp;$A285,$B$5:$B284,$B285)&gt;0,MIN(1-'Exercise list'!X$2,IF($A285=$A284,BD284,1))-AI285&lt;0),-1,MIN(1,IF($A285=$A284,BD284,1)-AI285+$D$2))</f>
        <v>1</v>
      </c>
      <c r="BF285" s="16">
        <f t="shared" si="189"/>
        <v>0.19596031081758858</v>
      </c>
      <c r="BG285" s="16">
        <f t="shared" si="190"/>
        <v>0.21844636935459236</v>
      </c>
      <c r="BH285" s="16">
        <f t="shared" si="191"/>
        <v>0.14609696635987124</v>
      </c>
      <c r="BI285" s="16">
        <f t="shared" si="192"/>
        <v>0.13198015366034541</v>
      </c>
      <c r="BJ285" s="16">
        <f t="shared" si="193"/>
        <v>8.3367914198418713E-2</v>
      </c>
      <c r="BK285" s="16">
        <f t="shared" si="194"/>
        <v>0.10640640223148412</v>
      </c>
      <c r="BL285" s="16">
        <f t="shared" si="195"/>
        <v>0.21963504743569431</v>
      </c>
      <c r="BM285" s="16">
        <f t="shared" si="196"/>
        <v>3.8988008374820568E-3</v>
      </c>
      <c r="BN285" s="16">
        <f t="shared" si="197"/>
        <v>0.14537706087090876</v>
      </c>
      <c r="BO285" s="16">
        <f t="shared" si="198"/>
        <v>0.29209790661993401</v>
      </c>
      <c r="BP285" s="16">
        <f t="shared" si="199"/>
        <v>0.31584545163401867</v>
      </c>
      <c r="BQ285" s="16">
        <f t="shared" si="200"/>
        <v>0.1000007994126096</v>
      </c>
      <c r="BR285" s="16">
        <f t="shared" si="201"/>
        <v>0.13164487759885393</v>
      </c>
      <c r="BS285" s="16">
        <f t="shared" si="202"/>
        <v>2.9803550189863123E-2</v>
      </c>
      <c r="BT285" s="16">
        <f t="shared" si="203"/>
        <v>0.13492040904978705</v>
      </c>
      <c r="BU285" s="16">
        <f t="shared" si="204"/>
        <v>0.11703687414398131</v>
      </c>
      <c r="BV285" s="16">
        <f t="shared" si="205"/>
        <v>0.14633353213781661</v>
      </c>
      <c r="BW285" s="16">
        <f t="shared" si="206"/>
        <v>7.5588015111767173E-2</v>
      </c>
      <c r="BX285" s="16">
        <f t="shared" si="207"/>
        <v>8.0345659937185704E-2</v>
      </c>
      <c r="BY285" s="16">
        <f t="shared" si="208"/>
        <v>5.9014643151272549E-2</v>
      </c>
      <c r="CA285" s="16" t="str">
        <f t="shared" si="229"/>
        <v/>
      </c>
      <c r="CB285" s="16" t="str">
        <f t="shared" si="210"/>
        <v/>
      </c>
      <c r="CC285" s="16" t="str">
        <f t="shared" si="211"/>
        <v/>
      </c>
      <c r="CD285" s="16" t="str">
        <f t="shared" si="212"/>
        <v/>
      </c>
      <c r="CE285" s="16" t="str">
        <f t="shared" si="213"/>
        <v/>
      </c>
      <c r="CF285" s="16" t="str">
        <f t="shared" si="214"/>
        <v/>
      </c>
      <c r="CG285" s="16" t="str">
        <f t="shared" si="215"/>
        <v/>
      </c>
      <c r="CH285" s="16" t="str">
        <f t="shared" si="216"/>
        <v/>
      </c>
      <c r="CI285" s="16" t="str">
        <f t="shared" si="217"/>
        <v/>
      </c>
      <c r="CJ285" s="16" t="str">
        <f t="shared" si="218"/>
        <v/>
      </c>
      <c r="CK285" s="16" t="str">
        <f t="shared" si="219"/>
        <v/>
      </c>
      <c r="CL285" s="16" t="str">
        <f t="shared" si="220"/>
        <v/>
      </c>
      <c r="CM285" s="16" t="str">
        <f t="shared" si="221"/>
        <v/>
      </c>
      <c r="CN285" s="16" t="str">
        <f t="shared" si="222"/>
        <v/>
      </c>
      <c r="CO285" s="16" t="str">
        <f t="shared" si="223"/>
        <v/>
      </c>
      <c r="CP285" s="16" t="str">
        <f t="shared" si="224"/>
        <v/>
      </c>
      <c r="CQ285" s="16" t="str">
        <f t="shared" si="225"/>
        <v/>
      </c>
      <c r="CR285" s="16" t="str">
        <f t="shared" si="226"/>
        <v/>
      </c>
      <c r="CS285" s="16" t="str">
        <f t="shared" si="227"/>
        <v/>
      </c>
      <c r="CT285" s="16" t="str">
        <f t="shared" si="228"/>
        <v/>
      </c>
    </row>
    <row r="286" spans="1:99" x14ac:dyDescent="0.25">
      <c r="A286" s="13"/>
      <c r="B286" s="14"/>
      <c r="C286" s="15" t="str" cm="1">
        <f t="array" ref="C286">IF(B286="","",INDEX('Exercise list'!$C$5:$C$102,B286))</f>
        <v/>
      </c>
      <c r="D286" s="12" t="str">
        <f t="shared" si="186"/>
        <v/>
      </c>
      <c r="E286" s="107" t="str">
        <f t="shared" si="209"/>
        <v/>
      </c>
      <c r="F286" s="63" t="str" cm="1">
        <f t="array" ref="F286">IF(B286="","",0.1+IFERROR(INDEX($F$6:$F285,SUMPRODUCT(MAX(ROW($C$6:$C285)*($C286=$C$6:$C285))-ROW($A$5)))*0.9^($A286-INDEX($A$6:A285,SUMPRODUCT(MAX(ROW($C$6:$C285)*($C286=$C$6:$C285))-ROW($A$5)))),0))</f>
        <v/>
      </c>
      <c r="G286" s="64" t="e">
        <f>INDEX('Exercise list'!$Y$5:$Y$102,MATCH(C286,'Exercise list'!$C$5:$C$102,0))</f>
        <v>#N/A</v>
      </c>
      <c r="H286" s="115">
        <f t="shared" si="187"/>
        <v>0</v>
      </c>
      <c r="I286" s="6">
        <f t="shared" si="188"/>
        <v>5</v>
      </c>
      <c r="J286" s="6" t="str" cm="1">
        <f t="array" ref="J286">IF(B286="","",INDEX('Exercise list'!$D$5:$D$102,B286))</f>
        <v/>
      </c>
      <c r="K286" s="12"/>
      <c r="L286" s="74" t="str" cm="1">
        <f t="array" ref="L286">IF(K286="","",INDEX('Exercise list'!$C$5:$C$102,K286))</f>
        <v/>
      </c>
      <c r="M286" s="6"/>
      <c r="N286" s="75" t="str" cm="1">
        <f t="array" ref="N286">IF(M286="","",INDEX('Exercise list'!$C$5:$C$102,M286))</f>
        <v/>
      </c>
      <c r="P286">
        <f>IFERROR(INDEX('Exercise list'!$E$5:$X$102,MATCH($C286,'Exercise list'!$C$5:$C$102,0),MATCH(P$5,'Exercise list'!$E$4:$X$4,0)),0)</f>
        <v>0</v>
      </c>
      <c r="Q286">
        <f>IFERROR(INDEX('Exercise list'!$E$5:$X$102,MATCH($C286,'Exercise list'!$C$5:$C$102,0),MATCH(Q$5,'Exercise list'!$E$4:$X$4,0)),0)</f>
        <v>0</v>
      </c>
      <c r="R286">
        <f>IFERROR(INDEX('Exercise list'!$E$5:$X$102,MATCH($C286,'Exercise list'!$C$5:$C$102,0),MATCH(R$5,'Exercise list'!$E$4:$X$4,0)),0)</f>
        <v>0</v>
      </c>
      <c r="S286">
        <f>IFERROR(INDEX('Exercise list'!$E$5:$X$102,MATCH($C286,'Exercise list'!$C$5:$C$102,0),MATCH(S$5,'Exercise list'!$E$4:$X$4,0)),0)</f>
        <v>0</v>
      </c>
      <c r="T286">
        <f>IFERROR(INDEX('Exercise list'!$E$5:$X$102,MATCH($C286,'Exercise list'!$C$5:$C$102,0),MATCH(T$5,'Exercise list'!$E$4:$X$4,0)),0)</f>
        <v>0</v>
      </c>
      <c r="U286">
        <f>IFERROR(INDEX('Exercise list'!$E$5:$X$102,MATCH($C286,'Exercise list'!$C$5:$C$102,0),MATCH(U$5,'Exercise list'!$E$4:$X$4,0)),0)</f>
        <v>0</v>
      </c>
      <c r="V286">
        <f>IFERROR(INDEX('Exercise list'!$E$5:$X$102,MATCH($C286,'Exercise list'!$C$5:$C$102,0),MATCH(V$5,'Exercise list'!$E$4:$X$4,0)),0)</f>
        <v>0</v>
      </c>
      <c r="W286">
        <f>IFERROR(INDEX('Exercise list'!$E$5:$X$102,MATCH($C286,'Exercise list'!$C$5:$C$102,0),MATCH(W$5,'Exercise list'!$E$4:$X$4,0)),0)</f>
        <v>0</v>
      </c>
      <c r="X286">
        <f>IFERROR(INDEX('Exercise list'!$E$5:$X$102,MATCH($C286,'Exercise list'!$C$5:$C$102,0),MATCH(X$5,'Exercise list'!$E$4:$X$4,0)),0)</f>
        <v>0</v>
      </c>
      <c r="Y286">
        <f>IFERROR(INDEX('Exercise list'!$E$5:$X$102,MATCH($C286,'Exercise list'!$C$5:$C$102,0),MATCH(Y$5,'Exercise list'!$E$4:$X$4,0)),0)</f>
        <v>0</v>
      </c>
      <c r="Z286">
        <f>IFERROR(INDEX('Exercise list'!$E$5:$X$102,MATCH($C286,'Exercise list'!$C$5:$C$102,0),MATCH(Z$5,'Exercise list'!$E$4:$X$4,0)),0)</f>
        <v>0</v>
      </c>
      <c r="AA286">
        <f>IFERROR(INDEX('Exercise list'!$E$5:$X$102,MATCH($C286,'Exercise list'!$C$5:$C$102,0),MATCH(AA$5,'Exercise list'!$E$4:$X$4,0)),0)</f>
        <v>0</v>
      </c>
      <c r="AB286">
        <f>IFERROR(INDEX('Exercise list'!$E$5:$X$102,MATCH($C286,'Exercise list'!$C$5:$C$102,0),MATCH(AB$5,'Exercise list'!$E$4:$X$4,0)),0)</f>
        <v>0</v>
      </c>
      <c r="AC286">
        <f>IFERROR(INDEX('Exercise list'!$E$5:$X$102,MATCH($C286,'Exercise list'!$C$5:$C$102,0),MATCH(AC$5,'Exercise list'!$E$4:$X$4,0)),0)</f>
        <v>0</v>
      </c>
      <c r="AD286">
        <f>IFERROR(INDEX('Exercise list'!$E$5:$X$102,MATCH($C286,'Exercise list'!$C$5:$C$102,0),MATCH(AD$5,'Exercise list'!$E$4:$X$4,0)),0)</f>
        <v>0</v>
      </c>
      <c r="AE286">
        <f>IFERROR(INDEX('Exercise list'!$E$5:$X$102,MATCH($C286,'Exercise list'!$C$5:$C$102,0),MATCH(AE$5,'Exercise list'!$E$4:$X$4,0)),0)</f>
        <v>0</v>
      </c>
      <c r="AF286">
        <f>IFERROR(INDEX('Exercise list'!$E$5:$X$102,MATCH($C286,'Exercise list'!$C$5:$C$102,0),MATCH(AF$5,'Exercise list'!$E$4:$X$4,0)),0)</f>
        <v>0</v>
      </c>
      <c r="AG286">
        <f>IFERROR(INDEX('Exercise list'!$E$5:$X$102,MATCH($C286,'Exercise list'!$C$5:$C$102,0),MATCH(AG$5,'Exercise list'!$E$4:$X$4,0)),0)</f>
        <v>0</v>
      </c>
      <c r="AH286">
        <f>IFERROR(INDEX('Exercise list'!$E$5:$X$102,MATCH($C286,'Exercise list'!$C$5:$C$102,0),MATCH(AH$5,'Exercise list'!$E$4:$X$4,0)),0)</f>
        <v>0</v>
      </c>
      <c r="AI286">
        <f>IFERROR(INDEX('Exercise list'!$E$5:$X$102,MATCH($C286,'Exercise list'!$C$5:$C$102,0),MATCH(AI$5,'Exercise list'!$E$4:$X$4,0)),0)</f>
        <v>0</v>
      </c>
      <c r="AK286">
        <f>IF(OR($J286=1,COUNTIFS($A$5:$A285,"&gt;="&amp;$A286-1,$A$5:$A285,"&lt;="&amp;$A286,$B$5:$B285,$B286)&gt;0,MIN(1-'Exercise list'!E$2,IF($A286=$A285,AK285,1))-P286&lt;0),-1,MIN(1,IF($A286=$A285,AK285,1)-P286+$D$2))</f>
        <v>1</v>
      </c>
      <c r="AL286">
        <f>IF(OR($J286=1,COUNTIFS($A$5:$A285,"&gt;="&amp;$A286-1,$A$5:$A285,"&lt;="&amp;$A286,$B$5:$B285,$B286)&gt;0,MIN(1-'Exercise list'!F$2,IF($A286=$A285,AL285,1))-Q286&lt;0),-1,MIN(1,IF($A286=$A285,AL285,1)-Q286+$D$2))</f>
        <v>1</v>
      </c>
      <c r="AM286">
        <f>IF(OR($J286=1,COUNTIFS($A$5:$A285,"&gt;="&amp;$A286-1,$A$5:$A285,"&lt;="&amp;$A286,$B$5:$B285,$B286)&gt;0,MIN(1-'Exercise list'!G$2,IF($A286=$A285,AM285,1))-R286&lt;0),-1,MIN(1,IF($A286=$A285,AM285,1)-R286+$D$2))</f>
        <v>1</v>
      </c>
      <c r="AN286">
        <f>IF(OR($J286=1,COUNTIFS($A$5:$A285,"&gt;="&amp;$A286-1,$A$5:$A285,"&lt;="&amp;$A286,$B$5:$B285,$B286)&gt;0,MIN(1-'Exercise list'!H$2,IF($A286=$A285,AN285,1))-S286&lt;0),-1,MIN(1,IF($A286=$A285,AN285,1)-S286+$D$2))</f>
        <v>1</v>
      </c>
      <c r="AO286">
        <f>IF(OR($J286=1,COUNTIFS($A$5:$A285,"&gt;="&amp;$A286-1,$A$5:$A285,"&lt;="&amp;$A286,$B$5:$B285,$B286)&gt;0,MIN(1-'Exercise list'!I$2,IF($A286=$A285,AO285,1))-T286&lt;0),-1,MIN(1,IF($A286=$A285,AO285,1)-T286+$D$2))</f>
        <v>1</v>
      </c>
      <c r="AP286">
        <f>IF(OR($J286=1,COUNTIFS($A$5:$A285,"&gt;="&amp;$A286-1,$A$5:$A285,"&lt;="&amp;$A286,$B$5:$B285,$B286)&gt;0,MIN(1-'Exercise list'!J$2,IF($A286=$A285,AP285,1))-U286&lt;0),-1,MIN(1,IF($A286=$A285,AP285,1)-U286+$D$2))</f>
        <v>1</v>
      </c>
      <c r="AQ286">
        <f>IF(OR($J286=1,COUNTIFS($A$5:$A285,"&gt;="&amp;$A286-1,$A$5:$A285,"&lt;="&amp;$A286,$B$5:$B285,$B286)&gt;0,MIN(1-'Exercise list'!K$2,IF($A286=$A285,AQ285,1))-V286&lt;0),-1,MIN(1,IF($A286=$A285,AQ285,1)-V286+$D$2))</f>
        <v>1</v>
      </c>
      <c r="AR286">
        <f>IF(OR($J286=1,COUNTIFS($A$5:$A285,"&gt;="&amp;$A286-1,$A$5:$A285,"&lt;="&amp;$A286,$B$5:$B285,$B286)&gt;0,MIN(1-'Exercise list'!L$2,IF($A286=$A285,AR285,1))-W286&lt;0),-1,MIN(1,IF($A286=$A285,AR285,1)-W286+$D$2))</f>
        <v>1</v>
      </c>
      <c r="AS286">
        <f>IF(OR($J286=1,COUNTIFS($A$5:$A285,"&gt;="&amp;$A286-1,$A$5:$A285,"&lt;="&amp;$A286,$B$5:$B285,$B286)&gt;0,MIN(1-'Exercise list'!M$2,IF($A286=$A285,AS285,1))-X286&lt;0),-1,MIN(1,IF($A286=$A285,AS285,1)-X286+$D$2))</f>
        <v>1</v>
      </c>
      <c r="AT286">
        <f>IF(OR($J286=1,COUNTIFS($A$5:$A285,"&gt;="&amp;$A286-1,$A$5:$A285,"&lt;="&amp;$A286,$B$5:$B285,$B286)&gt;0,MIN(1-'Exercise list'!N$2,IF($A286=$A285,AT285,1))-Y286&lt;0),-1,MIN(1,IF($A286=$A285,AT285,1)-Y286+$D$2))</f>
        <v>1</v>
      </c>
      <c r="AU286">
        <f>IF(OR($J286=1,COUNTIFS($A$5:$A285,"&gt;="&amp;$A286-1,$A$5:$A285,"&lt;="&amp;$A286,$B$5:$B285,$B286)&gt;0,MIN(1-'Exercise list'!O$2,IF($A286=$A285,AU285,1))-Z286&lt;0),-1,MIN(1,IF($A286=$A285,AU285,1)-Z286+$D$2))</f>
        <v>1</v>
      </c>
      <c r="AV286">
        <f>IF(OR($J286=1,COUNTIFS($A$5:$A285,"&gt;="&amp;$A286-1,$A$5:$A285,"&lt;="&amp;$A286,$B$5:$B285,$B286)&gt;0,MIN(1-'Exercise list'!P$2,IF($A286=$A285,AV285,1))-AA286&lt;0),-1,MIN(1,IF($A286=$A285,AV285,1)-AA286+$D$2))</f>
        <v>1</v>
      </c>
      <c r="AW286">
        <f>IF(OR($J286=1,COUNTIFS($A$5:$A285,"&gt;="&amp;$A286-1,$A$5:$A285,"&lt;="&amp;$A286,$B$5:$B285,$B286)&gt;0,MIN(1-'Exercise list'!Q$2,IF($A286=$A285,AW285,1))-AB286&lt;0),-1,MIN(1,IF($A286=$A285,AW285,1)-AB286+$D$2))</f>
        <v>1</v>
      </c>
      <c r="AX286">
        <f>IF(OR($J286=1,COUNTIFS($A$5:$A285,"&gt;="&amp;$A286-1,$A$5:$A285,"&lt;="&amp;$A286,$B$5:$B285,$B286)&gt;0,MIN(1-'Exercise list'!R$2,IF($A286=$A285,AX285,1))-AC286&lt;0),-1,MIN(1,IF($A286=$A285,AX285,1)-AC286+$D$2))</f>
        <v>1</v>
      </c>
      <c r="AY286">
        <f>IF(OR($J286=1,COUNTIFS($A$5:$A285,"&gt;="&amp;$A286-1,$A$5:$A285,"&lt;="&amp;$A286,$B$5:$B285,$B286)&gt;0,MIN(1-'Exercise list'!S$2,IF($A286=$A285,AY285,1))-AD286&lt;0),-1,MIN(1,IF($A286=$A285,AY285,1)-AD286+$D$2))</f>
        <v>1</v>
      </c>
      <c r="AZ286">
        <f>IF(OR($J286=1,COUNTIFS($A$5:$A285,"&gt;="&amp;$A286-1,$A$5:$A285,"&lt;="&amp;$A286,$B$5:$B285,$B286)&gt;0,MIN(1-'Exercise list'!T$2,IF($A286=$A285,AZ285,1))-AE286&lt;0),-1,MIN(1,IF($A286=$A285,AZ285,1)-AE286+$D$2))</f>
        <v>1</v>
      </c>
      <c r="BA286">
        <f>IF(OR($J286=1,COUNTIFS($A$5:$A285,"&gt;="&amp;$A286-1,$A$5:$A285,"&lt;="&amp;$A286,$B$5:$B285,$B286)&gt;0,MIN(1-'Exercise list'!U$2,IF($A286=$A285,BA285,1))-AF286&lt;0),-1,MIN(1,IF($A286=$A285,BA285,1)-AF286+$D$2))</f>
        <v>1</v>
      </c>
      <c r="BB286">
        <f>IF(OR($J286=1,COUNTIFS($A$5:$A285,"&gt;="&amp;$A286-1,$A$5:$A285,"&lt;="&amp;$A286,$B$5:$B285,$B286)&gt;0,MIN(1-'Exercise list'!V$2,IF($A286=$A285,BB285,1))-AG286&lt;0),-1,MIN(1,IF($A286=$A285,BB285,1)-AG286+$D$2))</f>
        <v>1</v>
      </c>
      <c r="BC286">
        <f>IF(OR($J286=1,COUNTIFS($A$5:$A285,"&gt;="&amp;$A286-1,$A$5:$A285,"&lt;="&amp;$A286,$B$5:$B285,$B286)&gt;0,MIN(1-'Exercise list'!W$2,IF($A286=$A285,BC285,1))-AH286&lt;0),-1,MIN(1,IF($A286=$A285,BC285,1)-AH286+$D$2))</f>
        <v>1</v>
      </c>
      <c r="BD286">
        <f>IF(OR($J286=1,COUNTIFS($A$5:$A285,"&gt;="&amp;$A286-1,$A$5:$A285,"&lt;="&amp;$A286,$B$5:$B285,$B286)&gt;0,MIN(1-'Exercise list'!X$2,IF($A286=$A285,BD285,1))-AI286&lt;0),-1,MIN(1,IF($A286=$A285,BD285,1)-AI286+$D$2))</f>
        <v>1</v>
      </c>
      <c r="BF286" s="16">
        <f t="shared" si="189"/>
        <v>0.19596031081758858</v>
      </c>
      <c r="BG286" s="16">
        <f t="shared" si="190"/>
        <v>0.21844636935459236</v>
      </c>
      <c r="BH286" s="16">
        <f t="shared" si="191"/>
        <v>0.14609696635987124</v>
      </c>
      <c r="BI286" s="16">
        <f t="shared" si="192"/>
        <v>0.13198015366034541</v>
      </c>
      <c r="BJ286" s="16">
        <f t="shared" si="193"/>
        <v>8.3367914198418713E-2</v>
      </c>
      <c r="BK286" s="16">
        <f t="shared" si="194"/>
        <v>0.10640640223148412</v>
      </c>
      <c r="BL286" s="16">
        <f t="shared" si="195"/>
        <v>0.21963504743569431</v>
      </c>
      <c r="BM286" s="16">
        <f t="shared" si="196"/>
        <v>3.8988008374820568E-3</v>
      </c>
      <c r="BN286" s="16">
        <f t="shared" si="197"/>
        <v>0.14537706087090876</v>
      </c>
      <c r="BO286" s="16">
        <f t="shared" si="198"/>
        <v>0.29209790661993401</v>
      </c>
      <c r="BP286" s="16">
        <f t="shared" si="199"/>
        <v>0.31584545163401867</v>
      </c>
      <c r="BQ286" s="16">
        <f t="shared" si="200"/>
        <v>0.1000007994126096</v>
      </c>
      <c r="BR286" s="16">
        <f t="shared" si="201"/>
        <v>0.13164487759885393</v>
      </c>
      <c r="BS286" s="16">
        <f t="shared" si="202"/>
        <v>2.9803550189863123E-2</v>
      </c>
      <c r="BT286" s="16">
        <f t="shared" si="203"/>
        <v>0.13492040904978705</v>
      </c>
      <c r="BU286" s="16">
        <f t="shared" si="204"/>
        <v>0.11703687414398131</v>
      </c>
      <c r="BV286" s="16">
        <f t="shared" si="205"/>
        <v>0.14633353213781661</v>
      </c>
      <c r="BW286" s="16">
        <f t="shared" si="206"/>
        <v>7.5588015111767173E-2</v>
      </c>
      <c r="BX286" s="16">
        <f t="shared" si="207"/>
        <v>8.0345659937185704E-2</v>
      </c>
      <c r="BY286" s="16">
        <f t="shared" si="208"/>
        <v>5.9014643151272549E-2</v>
      </c>
      <c r="CA286" s="16" t="str">
        <f t="shared" si="229"/>
        <v/>
      </c>
      <c r="CB286" s="16" t="str">
        <f t="shared" si="210"/>
        <v/>
      </c>
      <c r="CC286" s="16" t="str">
        <f t="shared" si="211"/>
        <v/>
      </c>
      <c r="CD286" s="16" t="str">
        <f t="shared" si="212"/>
        <v/>
      </c>
      <c r="CE286" s="16" t="str">
        <f t="shared" si="213"/>
        <v/>
      </c>
      <c r="CF286" s="16" t="str">
        <f t="shared" si="214"/>
        <v/>
      </c>
      <c r="CG286" s="16" t="str">
        <f t="shared" si="215"/>
        <v/>
      </c>
      <c r="CH286" s="16" t="str">
        <f t="shared" si="216"/>
        <v/>
      </c>
      <c r="CI286" s="16" t="str">
        <f t="shared" si="217"/>
        <v/>
      </c>
      <c r="CJ286" s="16" t="str">
        <f t="shared" si="218"/>
        <v/>
      </c>
      <c r="CK286" s="16" t="str">
        <f t="shared" si="219"/>
        <v/>
      </c>
      <c r="CL286" s="16" t="str">
        <f t="shared" si="220"/>
        <v/>
      </c>
      <c r="CM286" s="16" t="str">
        <f t="shared" si="221"/>
        <v/>
      </c>
      <c r="CN286" s="16" t="str">
        <f t="shared" si="222"/>
        <v/>
      </c>
      <c r="CO286" s="16" t="str">
        <f t="shared" si="223"/>
        <v/>
      </c>
      <c r="CP286" s="16" t="str">
        <f t="shared" si="224"/>
        <v/>
      </c>
      <c r="CQ286" s="16" t="str">
        <f t="shared" si="225"/>
        <v/>
      </c>
      <c r="CR286" s="16" t="str">
        <f t="shared" si="226"/>
        <v/>
      </c>
      <c r="CS286" s="16" t="str">
        <f t="shared" si="227"/>
        <v/>
      </c>
      <c r="CT286" s="16" t="str">
        <f t="shared" si="228"/>
        <v/>
      </c>
    </row>
    <row r="287" spans="1:99" x14ac:dyDescent="0.25">
      <c r="A287" s="13"/>
      <c r="B287" s="14"/>
      <c r="C287" s="15" t="str" cm="1">
        <f t="array" ref="C287">IF(B287="","",INDEX('Exercise list'!$C$5:$C$102,B287))</f>
        <v/>
      </c>
      <c r="D287" s="12" t="str">
        <f t="shared" si="186"/>
        <v/>
      </c>
      <c r="E287" s="107" t="str">
        <f t="shared" si="209"/>
        <v/>
      </c>
      <c r="F287" s="63" t="str" cm="1">
        <f t="array" ref="F287">IF(B287="","",0.1+IFERROR(INDEX($F$6:$F286,SUMPRODUCT(MAX(ROW($C$6:$C286)*($C287=$C$6:$C286))-ROW($A$5)))*0.9^($A287-INDEX($A$6:A286,SUMPRODUCT(MAX(ROW($C$6:$C286)*($C287=$C$6:$C286))-ROW($A$5)))),0))</f>
        <v/>
      </c>
      <c r="G287" s="64" t="e">
        <f>INDEX('Exercise list'!$Y$5:$Y$102,MATCH(C287,'Exercise list'!$C$5:$C$102,0))</f>
        <v>#N/A</v>
      </c>
      <c r="H287" s="115">
        <f t="shared" si="187"/>
        <v>0</v>
      </c>
      <c r="I287" s="6">
        <f t="shared" si="188"/>
        <v>5</v>
      </c>
      <c r="J287" s="6" t="str" cm="1">
        <f t="array" ref="J287">IF(B287="","",INDEX('Exercise list'!$D$5:$D$102,B287))</f>
        <v/>
      </c>
      <c r="K287" s="12"/>
      <c r="L287" s="74" t="str" cm="1">
        <f t="array" ref="L287">IF(K287="","",INDEX('Exercise list'!$C$5:$C$102,K287))</f>
        <v/>
      </c>
      <c r="M287" s="6"/>
      <c r="N287" s="75" t="str" cm="1">
        <f t="array" ref="N287">IF(M287="","",INDEX('Exercise list'!$C$5:$C$102,M287))</f>
        <v/>
      </c>
      <c r="P287">
        <f>IFERROR(INDEX('Exercise list'!$E$5:$X$102,MATCH($C287,'Exercise list'!$C$5:$C$102,0),MATCH(P$5,'Exercise list'!$E$4:$X$4,0)),0)</f>
        <v>0</v>
      </c>
      <c r="Q287">
        <f>IFERROR(INDEX('Exercise list'!$E$5:$X$102,MATCH($C287,'Exercise list'!$C$5:$C$102,0),MATCH(Q$5,'Exercise list'!$E$4:$X$4,0)),0)</f>
        <v>0</v>
      </c>
      <c r="R287">
        <f>IFERROR(INDEX('Exercise list'!$E$5:$X$102,MATCH($C287,'Exercise list'!$C$5:$C$102,0),MATCH(R$5,'Exercise list'!$E$4:$X$4,0)),0)</f>
        <v>0</v>
      </c>
      <c r="S287">
        <f>IFERROR(INDEX('Exercise list'!$E$5:$X$102,MATCH($C287,'Exercise list'!$C$5:$C$102,0),MATCH(S$5,'Exercise list'!$E$4:$X$4,0)),0)</f>
        <v>0</v>
      </c>
      <c r="T287">
        <f>IFERROR(INDEX('Exercise list'!$E$5:$X$102,MATCH($C287,'Exercise list'!$C$5:$C$102,0),MATCH(T$5,'Exercise list'!$E$4:$X$4,0)),0)</f>
        <v>0</v>
      </c>
      <c r="U287">
        <f>IFERROR(INDEX('Exercise list'!$E$5:$X$102,MATCH($C287,'Exercise list'!$C$5:$C$102,0),MATCH(U$5,'Exercise list'!$E$4:$X$4,0)),0)</f>
        <v>0</v>
      </c>
      <c r="V287">
        <f>IFERROR(INDEX('Exercise list'!$E$5:$X$102,MATCH($C287,'Exercise list'!$C$5:$C$102,0),MATCH(V$5,'Exercise list'!$E$4:$X$4,0)),0)</f>
        <v>0</v>
      </c>
      <c r="W287">
        <f>IFERROR(INDEX('Exercise list'!$E$5:$X$102,MATCH($C287,'Exercise list'!$C$5:$C$102,0),MATCH(W$5,'Exercise list'!$E$4:$X$4,0)),0)</f>
        <v>0</v>
      </c>
      <c r="X287">
        <f>IFERROR(INDEX('Exercise list'!$E$5:$X$102,MATCH($C287,'Exercise list'!$C$5:$C$102,0),MATCH(X$5,'Exercise list'!$E$4:$X$4,0)),0)</f>
        <v>0</v>
      </c>
      <c r="Y287">
        <f>IFERROR(INDEX('Exercise list'!$E$5:$X$102,MATCH($C287,'Exercise list'!$C$5:$C$102,0),MATCH(Y$5,'Exercise list'!$E$4:$X$4,0)),0)</f>
        <v>0</v>
      </c>
      <c r="Z287">
        <f>IFERROR(INDEX('Exercise list'!$E$5:$X$102,MATCH($C287,'Exercise list'!$C$5:$C$102,0),MATCH(Z$5,'Exercise list'!$E$4:$X$4,0)),0)</f>
        <v>0</v>
      </c>
      <c r="AA287">
        <f>IFERROR(INDEX('Exercise list'!$E$5:$X$102,MATCH($C287,'Exercise list'!$C$5:$C$102,0),MATCH(AA$5,'Exercise list'!$E$4:$X$4,0)),0)</f>
        <v>0</v>
      </c>
      <c r="AB287">
        <f>IFERROR(INDEX('Exercise list'!$E$5:$X$102,MATCH($C287,'Exercise list'!$C$5:$C$102,0),MATCH(AB$5,'Exercise list'!$E$4:$X$4,0)),0)</f>
        <v>0</v>
      </c>
      <c r="AC287">
        <f>IFERROR(INDEX('Exercise list'!$E$5:$X$102,MATCH($C287,'Exercise list'!$C$5:$C$102,0),MATCH(AC$5,'Exercise list'!$E$4:$X$4,0)),0)</f>
        <v>0</v>
      </c>
      <c r="AD287">
        <f>IFERROR(INDEX('Exercise list'!$E$5:$X$102,MATCH($C287,'Exercise list'!$C$5:$C$102,0),MATCH(AD$5,'Exercise list'!$E$4:$X$4,0)),0)</f>
        <v>0</v>
      </c>
      <c r="AE287">
        <f>IFERROR(INDEX('Exercise list'!$E$5:$X$102,MATCH($C287,'Exercise list'!$C$5:$C$102,0),MATCH(AE$5,'Exercise list'!$E$4:$X$4,0)),0)</f>
        <v>0</v>
      </c>
      <c r="AF287">
        <f>IFERROR(INDEX('Exercise list'!$E$5:$X$102,MATCH($C287,'Exercise list'!$C$5:$C$102,0),MATCH(AF$5,'Exercise list'!$E$4:$X$4,0)),0)</f>
        <v>0</v>
      </c>
      <c r="AG287">
        <f>IFERROR(INDEX('Exercise list'!$E$5:$X$102,MATCH($C287,'Exercise list'!$C$5:$C$102,0),MATCH(AG$5,'Exercise list'!$E$4:$X$4,0)),0)</f>
        <v>0</v>
      </c>
      <c r="AH287">
        <f>IFERROR(INDEX('Exercise list'!$E$5:$X$102,MATCH($C287,'Exercise list'!$C$5:$C$102,0),MATCH(AH$5,'Exercise list'!$E$4:$X$4,0)),0)</f>
        <v>0</v>
      </c>
      <c r="AI287">
        <f>IFERROR(INDEX('Exercise list'!$E$5:$X$102,MATCH($C287,'Exercise list'!$C$5:$C$102,0),MATCH(AI$5,'Exercise list'!$E$4:$X$4,0)),0)</f>
        <v>0</v>
      </c>
      <c r="AK287">
        <f>IF(OR($J287=1,COUNTIFS($A$5:$A286,"&gt;="&amp;$A287-1,$A$5:$A286,"&lt;="&amp;$A287,$B$5:$B286,$B287)&gt;0,MIN(1-'Exercise list'!E$2,IF($A287=$A286,AK286,1))-P287&lt;0),-1,MIN(1,IF($A287=$A286,AK286,1)-P287+$D$2))</f>
        <v>1</v>
      </c>
      <c r="AL287">
        <f>IF(OR($J287=1,COUNTIFS($A$5:$A286,"&gt;="&amp;$A287-1,$A$5:$A286,"&lt;="&amp;$A287,$B$5:$B286,$B287)&gt;0,MIN(1-'Exercise list'!F$2,IF($A287=$A286,AL286,1))-Q287&lt;0),-1,MIN(1,IF($A287=$A286,AL286,1)-Q287+$D$2))</f>
        <v>1</v>
      </c>
      <c r="AM287">
        <f>IF(OR($J287=1,COUNTIFS($A$5:$A286,"&gt;="&amp;$A287-1,$A$5:$A286,"&lt;="&amp;$A287,$B$5:$B286,$B287)&gt;0,MIN(1-'Exercise list'!G$2,IF($A287=$A286,AM286,1))-R287&lt;0),-1,MIN(1,IF($A287=$A286,AM286,1)-R287+$D$2))</f>
        <v>1</v>
      </c>
      <c r="AN287">
        <f>IF(OR($J287=1,COUNTIFS($A$5:$A286,"&gt;="&amp;$A287-1,$A$5:$A286,"&lt;="&amp;$A287,$B$5:$B286,$B287)&gt;0,MIN(1-'Exercise list'!H$2,IF($A287=$A286,AN286,1))-S287&lt;0),-1,MIN(1,IF($A287=$A286,AN286,1)-S287+$D$2))</f>
        <v>1</v>
      </c>
      <c r="AO287">
        <f>IF(OR($J287=1,COUNTIFS($A$5:$A286,"&gt;="&amp;$A287-1,$A$5:$A286,"&lt;="&amp;$A287,$B$5:$B286,$B287)&gt;0,MIN(1-'Exercise list'!I$2,IF($A287=$A286,AO286,1))-T287&lt;0),-1,MIN(1,IF($A287=$A286,AO286,1)-T287+$D$2))</f>
        <v>1</v>
      </c>
      <c r="AP287">
        <f>IF(OR($J287=1,COUNTIFS($A$5:$A286,"&gt;="&amp;$A287-1,$A$5:$A286,"&lt;="&amp;$A287,$B$5:$B286,$B287)&gt;0,MIN(1-'Exercise list'!J$2,IF($A287=$A286,AP286,1))-U287&lt;0),-1,MIN(1,IF($A287=$A286,AP286,1)-U287+$D$2))</f>
        <v>1</v>
      </c>
      <c r="AQ287">
        <f>IF(OR($J287=1,COUNTIFS($A$5:$A286,"&gt;="&amp;$A287-1,$A$5:$A286,"&lt;="&amp;$A287,$B$5:$B286,$B287)&gt;0,MIN(1-'Exercise list'!K$2,IF($A287=$A286,AQ286,1))-V287&lt;0),-1,MIN(1,IF($A287=$A286,AQ286,1)-V287+$D$2))</f>
        <v>1</v>
      </c>
      <c r="AR287">
        <f>IF(OR($J287=1,COUNTIFS($A$5:$A286,"&gt;="&amp;$A287-1,$A$5:$A286,"&lt;="&amp;$A287,$B$5:$B286,$B287)&gt;0,MIN(1-'Exercise list'!L$2,IF($A287=$A286,AR286,1))-W287&lt;0),-1,MIN(1,IF($A287=$A286,AR286,1)-W287+$D$2))</f>
        <v>1</v>
      </c>
      <c r="AS287">
        <f>IF(OR($J287=1,COUNTIFS($A$5:$A286,"&gt;="&amp;$A287-1,$A$5:$A286,"&lt;="&amp;$A287,$B$5:$B286,$B287)&gt;0,MIN(1-'Exercise list'!M$2,IF($A287=$A286,AS286,1))-X287&lt;0),-1,MIN(1,IF($A287=$A286,AS286,1)-X287+$D$2))</f>
        <v>1</v>
      </c>
      <c r="AT287">
        <f>IF(OR($J287=1,COUNTIFS($A$5:$A286,"&gt;="&amp;$A287-1,$A$5:$A286,"&lt;="&amp;$A287,$B$5:$B286,$B287)&gt;0,MIN(1-'Exercise list'!N$2,IF($A287=$A286,AT286,1))-Y287&lt;0),-1,MIN(1,IF($A287=$A286,AT286,1)-Y287+$D$2))</f>
        <v>1</v>
      </c>
      <c r="AU287">
        <f>IF(OR($J287=1,COUNTIFS($A$5:$A286,"&gt;="&amp;$A287-1,$A$5:$A286,"&lt;="&amp;$A287,$B$5:$B286,$B287)&gt;0,MIN(1-'Exercise list'!O$2,IF($A287=$A286,AU286,1))-Z287&lt;0),-1,MIN(1,IF($A287=$A286,AU286,1)-Z287+$D$2))</f>
        <v>1</v>
      </c>
      <c r="AV287">
        <f>IF(OR($J287=1,COUNTIFS($A$5:$A286,"&gt;="&amp;$A287-1,$A$5:$A286,"&lt;="&amp;$A287,$B$5:$B286,$B287)&gt;0,MIN(1-'Exercise list'!P$2,IF($A287=$A286,AV286,1))-AA287&lt;0),-1,MIN(1,IF($A287=$A286,AV286,1)-AA287+$D$2))</f>
        <v>1</v>
      </c>
      <c r="AW287">
        <f>IF(OR($J287=1,COUNTIFS($A$5:$A286,"&gt;="&amp;$A287-1,$A$5:$A286,"&lt;="&amp;$A287,$B$5:$B286,$B287)&gt;0,MIN(1-'Exercise list'!Q$2,IF($A287=$A286,AW286,1))-AB287&lt;0),-1,MIN(1,IF($A287=$A286,AW286,1)-AB287+$D$2))</f>
        <v>1</v>
      </c>
      <c r="AX287">
        <f>IF(OR($J287=1,COUNTIFS($A$5:$A286,"&gt;="&amp;$A287-1,$A$5:$A286,"&lt;="&amp;$A287,$B$5:$B286,$B287)&gt;0,MIN(1-'Exercise list'!R$2,IF($A287=$A286,AX286,1))-AC287&lt;0),-1,MIN(1,IF($A287=$A286,AX286,1)-AC287+$D$2))</f>
        <v>1</v>
      </c>
      <c r="AY287">
        <f>IF(OR($J287=1,COUNTIFS($A$5:$A286,"&gt;="&amp;$A287-1,$A$5:$A286,"&lt;="&amp;$A287,$B$5:$B286,$B287)&gt;0,MIN(1-'Exercise list'!S$2,IF($A287=$A286,AY286,1))-AD287&lt;0),-1,MIN(1,IF($A287=$A286,AY286,1)-AD287+$D$2))</f>
        <v>1</v>
      </c>
      <c r="AZ287">
        <f>IF(OR($J287=1,COUNTIFS($A$5:$A286,"&gt;="&amp;$A287-1,$A$5:$A286,"&lt;="&amp;$A287,$B$5:$B286,$B287)&gt;0,MIN(1-'Exercise list'!T$2,IF($A287=$A286,AZ286,1))-AE287&lt;0),-1,MIN(1,IF($A287=$A286,AZ286,1)-AE287+$D$2))</f>
        <v>1</v>
      </c>
      <c r="BA287">
        <f>IF(OR($J287=1,COUNTIFS($A$5:$A286,"&gt;="&amp;$A287-1,$A$5:$A286,"&lt;="&amp;$A287,$B$5:$B286,$B287)&gt;0,MIN(1-'Exercise list'!U$2,IF($A287=$A286,BA286,1))-AF287&lt;0),-1,MIN(1,IF($A287=$A286,BA286,1)-AF287+$D$2))</f>
        <v>1</v>
      </c>
      <c r="BB287">
        <f>IF(OR($J287=1,COUNTIFS($A$5:$A286,"&gt;="&amp;$A287-1,$A$5:$A286,"&lt;="&amp;$A287,$B$5:$B286,$B287)&gt;0,MIN(1-'Exercise list'!V$2,IF($A287=$A286,BB286,1))-AG287&lt;0),-1,MIN(1,IF($A287=$A286,BB286,1)-AG287+$D$2))</f>
        <v>1</v>
      </c>
      <c r="BC287">
        <f>IF(OR($J287=1,COUNTIFS($A$5:$A286,"&gt;="&amp;$A287-1,$A$5:$A286,"&lt;="&amp;$A287,$B$5:$B286,$B287)&gt;0,MIN(1-'Exercise list'!W$2,IF($A287=$A286,BC286,1))-AH287&lt;0),-1,MIN(1,IF($A287=$A286,BC286,1)-AH287+$D$2))</f>
        <v>1</v>
      </c>
      <c r="BD287">
        <f>IF(OR($J287=1,COUNTIFS($A$5:$A286,"&gt;="&amp;$A287-1,$A$5:$A286,"&lt;="&amp;$A287,$B$5:$B286,$B287)&gt;0,MIN(1-'Exercise list'!X$2,IF($A287=$A286,BD286,1))-AI287&lt;0),-1,MIN(1,IF($A287=$A286,BD286,1)-AI287+$D$2))</f>
        <v>1</v>
      </c>
      <c r="BF287" s="16">
        <f t="shared" si="189"/>
        <v>0.19596031081758858</v>
      </c>
      <c r="BG287" s="16">
        <f t="shared" si="190"/>
        <v>0.21844636935459236</v>
      </c>
      <c r="BH287" s="16">
        <f t="shared" si="191"/>
        <v>0.14609696635987124</v>
      </c>
      <c r="BI287" s="16">
        <f t="shared" si="192"/>
        <v>0.13198015366034541</v>
      </c>
      <c r="BJ287" s="16">
        <f t="shared" si="193"/>
        <v>8.3367914198418713E-2</v>
      </c>
      <c r="BK287" s="16">
        <f t="shared" si="194"/>
        <v>0.10640640223148412</v>
      </c>
      <c r="BL287" s="16">
        <f t="shared" si="195"/>
        <v>0.21963504743569431</v>
      </c>
      <c r="BM287" s="16">
        <f t="shared" si="196"/>
        <v>3.8988008374820568E-3</v>
      </c>
      <c r="BN287" s="16">
        <f t="shared" si="197"/>
        <v>0.14537706087090876</v>
      </c>
      <c r="BO287" s="16">
        <f t="shared" si="198"/>
        <v>0.29209790661993401</v>
      </c>
      <c r="BP287" s="16">
        <f t="shared" si="199"/>
        <v>0.31584545163401867</v>
      </c>
      <c r="BQ287" s="16">
        <f t="shared" si="200"/>
        <v>0.1000007994126096</v>
      </c>
      <c r="BR287" s="16">
        <f t="shared" si="201"/>
        <v>0.13164487759885393</v>
      </c>
      <c r="BS287" s="16">
        <f t="shared" si="202"/>
        <v>2.9803550189863123E-2</v>
      </c>
      <c r="BT287" s="16">
        <f t="shared" si="203"/>
        <v>0.13492040904978705</v>
      </c>
      <c r="BU287" s="16">
        <f t="shared" si="204"/>
        <v>0.11703687414398131</v>
      </c>
      <c r="BV287" s="16">
        <f t="shared" si="205"/>
        <v>0.14633353213781661</v>
      </c>
      <c r="BW287" s="16">
        <f t="shared" si="206"/>
        <v>7.5588015111767173E-2</v>
      </c>
      <c r="BX287" s="16">
        <f t="shared" si="207"/>
        <v>8.0345659937185704E-2</v>
      </c>
      <c r="BY287" s="16">
        <f t="shared" si="208"/>
        <v>5.9014643151272549E-2</v>
      </c>
      <c r="CA287" s="16" t="str">
        <f t="shared" si="229"/>
        <v/>
      </c>
      <c r="CB287" s="16" t="str">
        <f t="shared" si="210"/>
        <v/>
      </c>
      <c r="CC287" s="16" t="str">
        <f t="shared" si="211"/>
        <v/>
      </c>
      <c r="CD287" s="16" t="str">
        <f t="shared" si="212"/>
        <v/>
      </c>
      <c r="CE287" s="16" t="str">
        <f t="shared" si="213"/>
        <v/>
      </c>
      <c r="CF287" s="16" t="str">
        <f t="shared" si="214"/>
        <v/>
      </c>
      <c r="CG287" s="16" t="str">
        <f t="shared" si="215"/>
        <v/>
      </c>
      <c r="CH287" s="16" t="str">
        <f t="shared" si="216"/>
        <v/>
      </c>
      <c r="CI287" s="16" t="str">
        <f t="shared" si="217"/>
        <v/>
      </c>
      <c r="CJ287" s="16" t="str">
        <f t="shared" si="218"/>
        <v/>
      </c>
      <c r="CK287" s="16" t="str">
        <f t="shared" si="219"/>
        <v/>
      </c>
      <c r="CL287" s="16" t="str">
        <f t="shared" si="220"/>
        <v/>
      </c>
      <c r="CM287" s="16" t="str">
        <f t="shared" si="221"/>
        <v/>
      </c>
      <c r="CN287" s="16" t="str">
        <f t="shared" si="222"/>
        <v/>
      </c>
      <c r="CO287" s="16" t="str">
        <f t="shared" si="223"/>
        <v/>
      </c>
      <c r="CP287" s="16" t="str">
        <f t="shared" si="224"/>
        <v/>
      </c>
      <c r="CQ287" s="16" t="str">
        <f t="shared" si="225"/>
        <v/>
      </c>
      <c r="CR287" s="16" t="str">
        <f t="shared" si="226"/>
        <v/>
      </c>
      <c r="CS287" s="16" t="str">
        <f t="shared" si="227"/>
        <v/>
      </c>
      <c r="CT287" s="16" t="str">
        <f t="shared" si="228"/>
        <v/>
      </c>
    </row>
    <row r="288" spans="1:99" x14ac:dyDescent="0.25">
      <c r="A288" s="20"/>
      <c r="B288" s="21"/>
      <c r="C288" s="22" t="str" cm="1">
        <f t="array" ref="C288">IF(B288="","",INDEX('Exercise list'!$C$5:$C$102,B288))</f>
        <v/>
      </c>
      <c r="D288" s="17" t="str">
        <f t="shared" si="186"/>
        <v/>
      </c>
      <c r="E288" s="108" t="str">
        <f t="shared" si="209"/>
        <v/>
      </c>
      <c r="F288" s="65" t="str" cm="1">
        <f t="array" ref="F288">IF(B288="","",0.1+IFERROR(INDEX($F$6:$F287,SUMPRODUCT(MAX(ROW($C$6:$C287)*($C288=$C$6:$C287))-ROW($A$5)))*0.9^($A288-INDEX($A$6:A287,SUMPRODUCT(MAX(ROW($C$6:$C287)*($C288=$C$6:$C287))-ROW($A$5)))),0))</f>
        <v/>
      </c>
      <c r="G288" s="25" t="e">
        <f>INDEX('Exercise list'!$Y$5:$Y$102,MATCH(C288,'Exercise list'!$C$5:$C$102,0))</f>
        <v>#N/A</v>
      </c>
      <c r="H288" s="116">
        <f t="shared" si="187"/>
        <v>0</v>
      </c>
      <c r="I288" s="18">
        <f t="shared" si="188"/>
        <v>5</v>
      </c>
      <c r="J288" s="18" t="str" cm="1">
        <f t="array" ref="J288">IF(B288="","",INDEX('Exercise list'!$D$5:$D$102,B288))</f>
        <v/>
      </c>
      <c r="K288" s="17"/>
      <c r="L288" s="51" t="str" cm="1">
        <f t="array" ref="L288">IF(K288="","",INDEX('Exercise list'!$C$5:$C$102,K288))</f>
        <v/>
      </c>
      <c r="M288" s="18"/>
      <c r="N288" s="76" t="str" cm="1">
        <f t="array" ref="N288">IF(M288="","",INDEX('Exercise list'!$C$5:$C$102,M288))</f>
        <v/>
      </c>
      <c r="O288" s="19"/>
      <c r="P288" s="19">
        <f>IFERROR(INDEX('Exercise list'!$E$5:$X$102,MATCH($C288,'Exercise list'!$C$5:$C$102,0),MATCH(P$5,'Exercise list'!$E$4:$X$4,0)),0)</f>
        <v>0</v>
      </c>
      <c r="Q288" s="19">
        <f>IFERROR(INDEX('Exercise list'!$E$5:$X$102,MATCH($C288,'Exercise list'!$C$5:$C$102,0),MATCH(Q$5,'Exercise list'!$E$4:$X$4,0)),0)</f>
        <v>0</v>
      </c>
      <c r="R288" s="19">
        <f>IFERROR(INDEX('Exercise list'!$E$5:$X$102,MATCH($C288,'Exercise list'!$C$5:$C$102,0),MATCH(R$5,'Exercise list'!$E$4:$X$4,0)),0)</f>
        <v>0</v>
      </c>
      <c r="S288" s="19">
        <f>IFERROR(INDEX('Exercise list'!$E$5:$X$102,MATCH($C288,'Exercise list'!$C$5:$C$102,0),MATCH(S$5,'Exercise list'!$E$4:$X$4,0)),0)</f>
        <v>0</v>
      </c>
      <c r="T288" s="19">
        <f>IFERROR(INDEX('Exercise list'!$E$5:$X$102,MATCH($C288,'Exercise list'!$C$5:$C$102,0),MATCH(T$5,'Exercise list'!$E$4:$X$4,0)),0)</f>
        <v>0</v>
      </c>
      <c r="U288" s="19">
        <f>IFERROR(INDEX('Exercise list'!$E$5:$X$102,MATCH($C288,'Exercise list'!$C$5:$C$102,0),MATCH(U$5,'Exercise list'!$E$4:$X$4,0)),0)</f>
        <v>0</v>
      </c>
      <c r="V288" s="19">
        <f>IFERROR(INDEX('Exercise list'!$E$5:$X$102,MATCH($C288,'Exercise list'!$C$5:$C$102,0),MATCH(V$5,'Exercise list'!$E$4:$X$4,0)),0)</f>
        <v>0</v>
      </c>
      <c r="W288" s="19">
        <f>IFERROR(INDEX('Exercise list'!$E$5:$X$102,MATCH($C288,'Exercise list'!$C$5:$C$102,0),MATCH(W$5,'Exercise list'!$E$4:$X$4,0)),0)</f>
        <v>0</v>
      </c>
      <c r="X288" s="19">
        <f>IFERROR(INDEX('Exercise list'!$E$5:$X$102,MATCH($C288,'Exercise list'!$C$5:$C$102,0),MATCH(X$5,'Exercise list'!$E$4:$X$4,0)),0)</f>
        <v>0</v>
      </c>
      <c r="Y288" s="19">
        <f>IFERROR(INDEX('Exercise list'!$E$5:$X$102,MATCH($C288,'Exercise list'!$C$5:$C$102,0),MATCH(Y$5,'Exercise list'!$E$4:$X$4,0)),0)</f>
        <v>0</v>
      </c>
      <c r="Z288" s="19">
        <f>IFERROR(INDEX('Exercise list'!$E$5:$X$102,MATCH($C288,'Exercise list'!$C$5:$C$102,0),MATCH(Z$5,'Exercise list'!$E$4:$X$4,0)),0)</f>
        <v>0</v>
      </c>
      <c r="AA288" s="19">
        <f>IFERROR(INDEX('Exercise list'!$E$5:$X$102,MATCH($C288,'Exercise list'!$C$5:$C$102,0),MATCH(AA$5,'Exercise list'!$E$4:$X$4,0)),0)</f>
        <v>0</v>
      </c>
      <c r="AB288" s="19">
        <f>IFERROR(INDEX('Exercise list'!$E$5:$X$102,MATCH($C288,'Exercise list'!$C$5:$C$102,0),MATCH(AB$5,'Exercise list'!$E$4:$X$4,0)),0)</f>
        <v>0</v>
      </c>
      <c r="AC288" s="19">
        <f>IFERROR(INDEX('Exercise list'!$E$5:$X$102,MATCH($C288,'Exercise list'!$C$5:$C$102,0),MATCH(AC$5,'Exercise list'!$E$4:$X$4,0)),0)</f>
        <v>0</v>
      </c>
      <c r="AD288" s="19">
        <f>IFERROR(INDEX('Exercise list'!$E$5:$X$102,MATCH($C288,'Exercise list'!$C$5:$C$102,0),MATCH(AD$5,'Exercise list'!$E$4:$X$4,0)),0)</f>
        <v>0</v>
      </c>
      <c r="AE288" s="19">
        <f>IFERROR(INDEX('Exercise list'!$E$5:$X$102,MATCH($C288,'Exercise list'!$C$5:$C$102,0),MATCH(AE$5,'Exercise list'!$E$4:$X$4,0)),0)</f>
        <v>0</v>
      </c>
      <c r="AF288" s="19">
        <f>IFERROR(INDEX('Exercise list'!$E$5:$X$102,MATCH($C288,'Exercise list'!$C$5:$C$102,0),MATCH(AF$5,'Exercise list'!$E$4:$X$4,0)),0)</f>
        <v>0</v>
      </c>
      <c r="AG288" s="19">
        <f>IFERROR(INDEX('Exercise list'!$E$5:$X$102,MATCH($C288,'Exercise list'!$C$5:$C$102,0),MATCH(AG$5,'Exercise list'!$E$4:$X$4,0)),0)</f>
        <v>0</v>
      </c>
      <c r="AH288" s="19">
        <f>IFERROR(INDEX('Exercise list'!$E$5:$X$102,MATCH($C288,'Exercise list'!$C$5:$C$102,0),MATCH(AH$5,'Exercise list'!$E$4:$X$4,0)),0)</f>
        <v>0</v>
      </c>
      <c r="AI288" s="19">
        <f>IFERROR(INDEX('Exercise list'!$E$5:$X$102,MATCH($C288,'Exercise list'!$C$5:$C$102,0),MATCH(AI$5,'Exercise list'!$E$4:$X$4,0)),0)</f>
        <v>0</v>
      </c>
      <c r="AJ288" s="19"/>
      <c r="AK288" s="19">
        <f>IF(OR($J288=1,COUNTIFS($A$5:$A287,"&gt;="&amp;$A288-1,$A$5:$A287,"&lt;="&amp;$A288,$B$5:$B287,$B288)&gt;0,MIN(1-'Exercise list'!E$2,IF($A288=$A287,AK287,1))-P288&lt;0),-1,MIN(1,IF($A288=$A287,AK287,1)-P288+$D$2))</f>
        <v>1</v>
      </c>
      <c r="AL288" s="19">
        <f>IF(OR($J288=1,COUNTIFS($A$5:$A287,"&gt;="&amp;$A288-1,$A$5:$A287,"&lt;="&amp;$A288,$B$5:$B287,$B288)&gt;0,MIN(1-'Exercise list'!F$2,IF($A288=$A287,AL287,1))-Q288&lt;0),-1,MIN(1,IF($A288=$A287,AL287,1)-Q288+$D$2))</f>
        <v>1</v>
      </c>
      <c r="AM288" s="19">
        <f>IF(OR($J288=1,COUNTIFS($A$5:$A287,"&gt;="&amp;$A288-1,$A$5:$A287,"&lt;="&amp;$A288,$B$5:$B287,$B288)&gt;0,MIN(1-'Exercise list'!G$2,IF($A288=$A287,AM287,1))-R288&lt;0),-1,MIN(1,IF($A288=$A287,AM287,1)-R288+$D$2))</f>
        <v>1</v>
      </c>
      <c r="AN288" s="19">
        <f>IF(OR($J288=1,COUNTIFS($A$5:$A287,"&gt;="&amp;$A288-1,$A$5:$A287,"&lt;="&amp;$A288,$B$5:$B287,$B288)&gt;0,MIN(1-'Exercise list'!H$2,IF($A288=$A287,AN287,1))-S288&lt;0),-1,MIN(1,IF($A288=$A287,AN287,1)-S288+$D$2))</f>
        <v>1</v>
      </c>
      <c r="AO288" s="19">
        <f>IF(OR($J288=1,COUNTIFS($A$5:$A287,"&gt;="&amp;$A288-1,$A$5:$A287,"&lt;="&amp;$A288,$B$5:$B287,$B288)&gt;0,MIN(1-'Exercise list'!I$2,IF($A288=$A287,AO287,1))-T288&lt;0),-1,MIN(1,IF($A288=$A287,AO287,1)-T288+$D$2))</f>
        <v>1</v>
      </c>
      <c r="AP288" s="19">
        <f>IF(OR($J288=1,COUNTIFS($A$5:$A287,"&gt;="&amp;$A288-1,$A$5:$A287,"&lt;="&amp;$A288,$B$5:$B287,$B288)&gt;0,MIN(1-'Exercise list'!J$2,IF($A288=$A287,AP287,1))-U288&lt;0),-1,MIN(1,IF($A288=$A287,AP287,1)-U288+$D$2))</f>
        <v>1</v>
      </c>
      <c r="AQ288" s="19">
        <f>IF(OR($J288=1,COUNTIFS($A$5:$A287,"&gt;="&amp;$A288-1,$A$5:$A287,"&lt;="&amp;$A288,$B$5:$B287,$B288)&gt;0,MIN(1-'Exercise list'!K$2,IF($A288=$A287,AQ287,1))-V288&lt;0),-1,MIN(1,IF($A288=$A287,AQ287,1)-V288+$D$2))</f>
        <v>1</v>
      </c>
      <c r="AR288" s="19">
        <f>IF(OR($J288=1,COUNTIFS($A$5:$A287,"&gt;="&amp;$A288-1,$A$5:$A287,"&lt;="&amp;$A288,$B$5:$B287,$B288)&gt;0,MIN(1-'Exercise list'!L$2,IF($A288=$A287,AR287,1))-W288&lt;0),-1,MIN(1,IF($A288=$A287,AR287,1)-W288+$D$2))</f>
        <v>1</v>
      </c>
      <c r="AS288" s="19">
        <f>IF(OR($J288=1,COUNTIFS($A$5:$A287,"&gt;="&amp;$A288-1,$A$5:$A287,"&lt;="&amp;$A288,$B$5:$B287,$B288)&gt;0,MIN(1-'Exercise list'!M$2,IF($A288=$A287,AS287,1))-X288&lt;0),-1,MIN(1,IF($A288=$A287,AS287,1)-X288+$D$2))</f>
        <v>1</v>
      </c>
      <c r="AT288" s="19">
        <f>IF(OR($J288=1,COUNTIFS($A$5:$A287,"&gt;="&amp;$A288-1,$A$5:$A287,"&lt;="&amp;$A288,$B$5:$B287,$B288)&gt;0,MIN(1-'Exercise list'!N$2,IF($A288=$A287,AT287,1))-Y288&lt;0),-1,MIN(1,IF($A288=$A287,AT287,1)-Y288+$D$2))</f>
        <v>1</v>
      </c>
      <c r="AU288" s="19">
        <f>IF(OR($J288=1,COUNTIFS($A$5:$A287,"&gt;="&amp;$A288-1,$A$5:$A287,"&lt;="&amp;$A288,$B$5:$B287,$B288)&gt;0,MIN(1-'Exercise list'!O$2,IF($A288=$A287,AU287,1))-Z288&lt;0),-1,MIN(1,IF($A288=$A287,AU287,1)-Z288+$D$2))</f>
        <v>1</v>
      </c>
      <c r="AV288" s="19">
        <f>IF(OR($J288=1,COUNTIFS($A$5:$A287,"&gt;="&amp;$A288-1,$A$5:$A287,"&lt;="&amp;$A288,$B$5:$B287,$B288)&gt;0,MIN(1-'Exercise list'!P$2,IF($A288=$A287,AV287,1))-AA288&lt;0),-1,MIN(1,IF($A288=$A287,AV287,1)-AA288+$D$2))</f>
        <v>1</v>
      </c>
      <c r="AW288" s="19">
        <f>IF(OR($J288=1,COUNTIFS($A$5:$A287,"&gt;="&amp;$A288-1,$A$5:$A287,"&lt;="&amp;$A288,$B$5:$B287,$B288)&gt;0,MIN(1-'Exercise list'!Q$2,IF($A288=$A287,AW287,1))-AB288&lt;0),-1,MIN(1,IF($A288=$A287,AW287,1)-AB288+$D$2))</f>
        <v>1</v>
      </c>
      <c r="AX288" s="19">
        <f>IF(OR($J288=1,COUNTIFS($A$5:$A287,"&gt;="&amp;$A288-1,$A$5:$A287,"&lt;="&amp;$A288,$B$5:$B287,$B288)&gt;0,MIN(1-'Exercise list'!R$2,IF($A288=$A287,AX287,1))-AC288&lt;0),-1,MIN(1,IF($A288=$A287,AX287,1)-AC288+$D$2))</f>
        <v>1</v>
      </c>
      <c r="AY288" s="19">
        <f>IF(OR($J288=1,COUNTIFS($A$5:$A287,"&gt;="&amp;$A288-1,$A$5:$A287,"&lt;="&amp;$A288,$B$5:$B287,$B288)&gt;0,MIN(1-'Exercise list'!S$2,IF($A288=$A287,AY287,1))-AD288&lt;0),-1,MIN(1,IF($A288=$A287,AY287,1)-AD288+$D$2))</f>
        <v>1</v>
      </c>
      <c r="AZ288" s="19">
        <f>IF(OR($J288=1,COUNTIFS($A$5:$A287,"&gt;="&amp;$A288-1,$A$5:$A287,"&lt;="&amp;$A288,$B$5:$B287,$B288)&gt;0,MIN(1-'Exercise list'!T$2,IF($A288=$A287,AZ287,1))-AE288&lt;0),-1,MIN(1,IF($A288=$A287,AZ287,1)-AE288+$D$2))</f>
        <v>1</v>
      </c>
      <c r="BA288" s="19">
        <f>IF(OR($J288=1,COUNTIFS($A$5:$A287,"&gt;="&amp;$A288-1,$A$5:$A287,"&lt;="&amp;$A288,$B$5:$B287,$B288)&gt;0,MIN(1-'Exercise list'!U$2,IF($A288=$A287,BA287,1))-AF288&lt;0),-1,MIN(1,IF($A288=$A287,BA287,1)-AF288+$D$2))</f>
        <v>1</v>
      </c>
      <c r="BB288" s="19">
        <f>IF(OR($J288=1,COUNTIFS($A$5:$A287,"&gt;="&amp;$A288-1,$A$5:$A287,"&lt;="&amp;$A288,$B$5:$B287,$B288)&gt;0,MIN(1-'Exercise list'!V$2,IF($A288=$A287,BB287,1))-AG288&lt;0),-1,MIN(1,IF($A288=$A287,BB287,1)-AG288+$D$2))</f>
        <v>1</v>
      </c>
      <c r="BC288" s="19">
        <f>IF(OR($J288=1,COUNTIFS($A$5:$A287,"&gt;="&amp;$A288-1,$A$5:$A287,"&lt;="&amp;$A288,$B$5:$B287,$B288)&gt;0,MIN(1-'Exercise list'!W$2,IF($A288=$A287,BC287,1))-AH288&lt;0),-1,MIN(1,IF($A288=$A287,BC287,1)-AH288+$D$2))</f>
        <v>1</v>
      </c>
      <c r="BD288" s="19">
        <f>IF(OR($J288=1,COUNTIFS($A$5:$A287,"&gt;="&amp;$A288-1,$A$5:$A287,"&lt;="&amp;$A288,$B$5:$B287,$B288)&gt;0,MIN(1-'Exercise list'!X$2,IF($A288=$A287,BD287,1))-AI288&lt;0),-1,MIN(1,IF($A288=$A287,BD287,1)-AI288+$D$2))</f>
        <v>1</v>
      </c>
      <c r="BE288" s="19"/>
      <c r="BF288" s="23">
        <f t="shared" si="189"/>
        <v>0.19596031081758858</v>
      </c>
      <c r="BG288" s="23">
        <f t="shared" si="190"/>
        <v>0.21844636935459236</v>
      </c>
      <c r="BH288" s="23">
        <f t="shared" si="191"/>
        <v>0.14609696635987124</v>
      </c>
      <c r="BI288" s="23">
        <f t="shared" si="192"/>
        <v>0.13198015366034541</v>
      </c>
      <c r="BJ288" s="23">
        <f t="shared" si="193"/>
        <v>8.3367914198418713E-2</v>
      </c>
      <c r="BK288" s="23">
        <f t="shared" si="194"/>
        <v>0.10640640223148412</v>
      </c>
      <c r="BL288" s="23">
        <f t="shared" si="195"/>
        <v>0.21963504743569431</v>
      </c>
      <c r="BM288" s="23">
        <f t="shared" si="196"/>
        <v>3.8988008374820568E-3</v>
      </c>
      <c r="BN288" s="23">
        <f t="shared" si="197"/>
        <v>0.14537706087090876</v>
      </c>
      <c r="BO288" s="23">
        <f t="shared" si="198"/>
        <v>0.29209790661993401</v>
      </c>
      <c r="BP288" s="23">
        <f t="shared" si="199"/>
        <v>0.31584545163401867</v>
      </c>
      <c r="BQ288" s="23">
        <f t="shared" si="200"/>
        <v>0.1000007994126096</v>
      </c>
      <c r="BR288" s="23">
        <f t="shared" si="201"/>
        <v>0.13164487759885393</v>
      </c>
      <c r="BS288" s="23">
        <f t="shared" si="202"/>
        <v>2.9803550189863123E-2</v>
      </c>
      <c r="BT288" s="23">
        <f t="shared" si="203"/>
        <v>0.13492040904978705</v>
      </c>
      <c r="BU288" s="23">
        <f t="shared" si="204"/>
        <v>0.11703687414398131</v>
      </c>
      <c r="BV288" s="23">
        <f t="shared" si="205"/>
        <v>0.14633353213781661</v>
      </c>
      <c r="BW288" s="23">
        <f t="shared" si="206"/>
        <v>7.5588015111767173E-2</v>
      </c>
      <c r="BX288" s="23">
        <f t="shared" si="207"/>
        <v>8.0345659937185704E-2</v>
      </c>
      <c r="BY288" s="23">
        <f t="shared" si="208"/>
        <v>5.9014643151272549E-2</v>
      </c>
      <c r="BZ288" s="19"/>
      <c r="CA288" s="23" t="str">
        <f t="shared" si="229"/>
        <v/>
      </c>
      <c r="CB288" s="23" t="str">
        <f t="shared" si="210"/>
        <v/>
      </c>
      <c r="CC288" s="23" t="str">
        <f t="shared" si="211"/>
        <v/>
      </c>
      <c r="CD288" s="23" t="str">
        <f t="shared" si="212"/>
        <v/>
      </c>
      <c r="CE288" s="23" t="str">
        <f t="shared" si="213"/>
        <v/>
      </c>
      <c r="CF288" s="23" t="str">
        <f t="shared" si="214"/>
        <v/>
      </c>
      <c r="CG288" s="23" t="str">
        <f t="shared" si="215"/>
        <v/>
      </c>
      <c r="CH288" s="23" t="str">
        <f t="shared" si="216"/>
        <v/>
      </c>
      <c r="CI288" s="23" t="str">
        <f t="shared" si="217"/>
        <v/>
      </c>
      <c r="CJ288" s="23" t="str">
        <f t="shared" si="218"/>
        <v/>
      </c>
      <c r="CK288" s="23" t="str">
        <f t="shared" si="219"/>
        <v/>
      </c>
      <c r="CL288" s="23" t="str">
        <f t="shared" si="220"/>
        <v/>
      </c>
      <c r="CM288" s="23" t="str">
        <f t="shared" si="221"/>
        <v/>
      </c>
      <c r="CN288" s="23" t="str">
        <f t="shared" si="222"/>
        <v/>
      </c>
      <c r="CO288" s="23" t="str">
        <f t="shared" si="223"/>
        <v/>
      </c>
      <c r="CP288" s="23" t="str">
        <f t="shared" si="224"/>
        <v/>
      </c>
      <c r="CQ288" s="23" t="str">
        <f t="shared" si="225"/>
        <v/>
      </c>
      <c r="CR288" s="23" t="str">
        <f t="shared" si="226"/>
        <v/>
      </c>
      <c r="CS288" s="23" t="str">
        <f t="shared" si="227"/>
        <v/>
      </c>
      <c r="CT288" s="23" t="str">
        <f t="shared" si="228"/>
        <v/>
      </c>
      <c r="CU288" s="19"/>
    </row>
    <row r="289" spans="1:99" x14ac:dyDescent="0.25">
      <c r="A289" s="13"/>
      <c r="B289" s="14"/>
      <c r="C289" s="15" t="str" cm="1">
        <f t="array" ref="C289">IF(B289="","",INDEX('Exercise list'!$C$5:$C$102,B289))</f>
        <v/>
      </c>
      <c r="D289" s="12" t="str">
        <f t="shared" si="186"/>
        <v/>
      </c>
      <c r="E289" s="107" t="str">
        <f t="shared" si="209"/>
        <v/>
      </c>
      <c r="F289" s="63" t="str" cm="1">
        <f t="array" ref="F289">IF(B289="","",0.1+IFERROR(INDEX($F$6:$F288,SUMPRODUCT(MAX(ROW($C$6:$C288)*($C289=$C$6:$C288))-ROW($A$5)))*0.9^($A289-INDEX($A$6:A288,SUMPRODUCT(MAX(ROW($C$6:$C288)*($C289=$C$6:$C288))-ROW($A$5)))),0))</f>
        <v/>
      </c>
      <c r="G289" s="64" t="e">
        <f>INDEX('Exercise list'!$Y$5:$Y$102,MATCH(C289,'Exercise list'!$C$5:$C$102,0))</f>
        <v>#N/A</v>
      </c>
      <c r="H289" s="115">
        <f t="shared" si="187"/>
        <v>0</v>
      </c>
      <c r="I289" s="42">
        <f t="shared" si="188"/>
        <v>5</v>
      </c>
      <c r="J289" s="6" t="str" cm="1">
        <f t="array" ref="J289">IF(B289="","",INDEX('Exercise list'!$D$5:$D$102,B289))</f>
        <v/>
      </c>
      <c r="K289" s="12"/>
      <c r="L289" s="74" t="str" cm="1">
        <f t="array" ref="L289">IF(K289="","",INDEX('Exercise list'!$C$5:$C$102,K289))</f>
        <v/>
      </c>
      <c r="M289" s="6"/>
      <c r="N289" s="75" t="str" cm="1">
        <f t="array" ref="N289">IF(M289="","",INDEX('Exercise list'!$C$5:$C$102,M289))</f>
        <v/>
      </c>
      <c r="P289">
        <f>IFERROR(INDEX('Exercise list'!$E$5:$X$102,MATCH($C289,'Exercise list'!$C$5:$C$102,0),MATCH(P$5,'Exercise list'!$E$4:$X$4,0)),0)</f>
        <v>0</v>
      </c>
      <c r="Q289">
        <f>IFERROR(INDEX('Exercise list'!$E$5:$X$102,MATCH($C289,'Exercise list'!$C$5:$C$102,0),MATCH(Q$5,'Exercise list'!$E$4:$X$4,0)),0)</f>
        <v>0</v>
      </c>
      <c r="R289">
        <f>IFERROR(INDEX('Exercise list'!$E$5:$X$102,MATCH($C289,'Exercise list'!$C$5:$C$102,0),MATCH(R$5,'Exercise list'!$E$4:$X$4,0)),0)</f>
        <v>0</v>
      </c>
      <c r="S289">
        <f>IFERROR(INDEX('Exercise list'!$E$5:$X$102,MATCH($C289,'Exercise list'!$C$5:$C$102,0),MATCH(S$5,'Exercise list'!$E$4:$X$4,0)),0)</f>
        <v>0</v>
      </c>
      <c r="T289">
        <f>IFERROR(INDEX('Exercise list'!$E$5:$X$102,MATCH($C289,'Exercise list'!$C$5:$C$102,0),MATCH(T$5,'Exercise list'!$E$4:$X$4,0)),0)</f>
        <v>0</v>
      </c>
      <c r="U289">
        <f>IFERROR(INDEX('Exercise list'!$E$5:$X$102,MATCH($C289,'Exercise list'!$C$5:$C$102,0),MATCH(U$5,'Exercise list'!$E$4:$X$4,0)),0)</f>
        <v>0</v>
      </c>
      <c r="V289">
        <f>IFERROR(INDEX('Exercise list'!$E$5:$X$102,MATCH($C289,'Exercise list'!$C$5:$C$102,0),MATCH(V$5,'Exercise list'!$E$4:$X$4,0)),0)</f>
        <v>0</v>
      </c>
      <c r="W289">
        <f>IFERROR(INDEX('Exercise list'!$E$5:$X$102,MATCH($C289,'Exercise list'!$C$5:$C$102,0),MATCH(W$5,'Exercise list'!$E$4:$X$4,0)),0)</f>
        <v>0</v>
      </c>
      <c r="X289">
        <f>IFERROR(INDEX('Exercise list'!$E$5:$X$102,MATCH($C289,'Exercise list'!$C$5:$C$102,0),MATCH(X$5,'Exercise list'!$E$4:$X$4,0)),0)</f>
        <v>0</v>
      </c>
      <c r="Y289">
        <f>IFERROR(INDEX('Exercise list'!$E$5:$X$102,MATCH($C289,'Exercise list'!$C$5:$C$102,0),MATCH(Y$5,'Exercise list'!$E$4:$X$4,0)),0)</f>
        <v>0</v>
      </c>
      <c r="Z289">
        <f>IFERROR(INDEX('Exercise list'!$E$5:$X$102,MATCH($C289,'Exercise list'!$C$5:$C$102,0),MATCH(Z$5,'Exercise list'!$E$4:$X$4,0)),0)</f>
        <v>0</v>
      </c>
      <c r="AA289">
        <f>IFERROR(INDEX('Exercise list'!$E$5:$X$102,MATCH($C289,'Exercise list'!$C$5:$C$102,0),MATCH(AA$5,'Exercise list'!$E$4:$X$4,0)),0)</f>
        <v>0</v>
      </c>
      <c r="AB289">
        <f>IFERROR(INDEX('Exercise list'!$E$5:$X$102,MATCH($C289,'Exercise list'!$C$5:$C$102,0),MATCH(AB$5,'Exercise list'!$E$4:$X$4,0)),0)</f>
        <v>0</v>
      </c>
      <c r="AC289">
        <f>IFERROR(INDEX('Exercise list'!$E$5:$X$102,MATCH($C289,'Exercise list'!$C$5:$C$102,0),MATCH(AC$5,'Exercise list'!$E$4:$X$4,0)),0)</f>
        <v>0</v>
      </c>
      <c r="AD289">
        <f>IFERROR(INDEX('Exercise list'!$E$5:$X$102,MATCH($C289,'Exercise list'!$C$5:$C$102,0),MATCH(AD$5,'Exercise list'!$E$4:$X$4,0)),0)</f>
        <v>0</v>
      </c>
      <c r="AE289">
        <f>IFERROR(INDEX('Exercise list'!$E$5:$X$102,MATCH($C289,'Exercise list'!$C$5:$C$102,0),MATCH(AE$5,'Exercise list'!$E$4:$X$4,0)),0)</f>
        <v>0</v>
      </c>
      <c r="AF289">
        <f>IFERROR(INDEX('Exercise list'!$E$5:$X$102,MATCH($C289,'Exercise list'!$C$5:$C$102,0),MATCH(AF$5,'Exercise list'!$E$4:$X$4,0)),0)</f>
        <v>0</v>
      </c>
      <c r="AG289">
        <f>IFERROR(INDEX('Exercise list'!$E$5:$X$102,MATCH($C289,'Exercise list'!$C$5:$C$102,0),MATCH(AG$5,'Exercise list'!$E$4:$X$4,0)),0)</f>
        <v>0</v>
      </c>
      <c r="AH289">
        <f>IFERROR(INDEX('Exercise list'!$E$5:$X$102,MATCH($C289,'Exercise list'!$C$5:$C$102,0),MATCH(AH$5,'Exercise list'!$E$4:$X$4,0)),0)</f>
        <v>0</v>
      </c>
      <c r="AI289">
        <f>IFERROR(INDEX('Exercise list'!$E$5:$X$102,MATCH($C289,'Exercise list'!$C$5:$C$102,0),MATCH(AI$5,'Exercise list'!$E$4:$X$4,0)),0)</f>
        <v>0</v>
      </c>
      <c r="AK289">
        <f>IF(OR($J289=1,COUNTIFS($A$5:$A288,"&gt;="&amp;$A289-1,$A$5:$A288,"&lt;="&amp;$A289,$B$5:$B288,$B289)&gt;0,MIN(1-'Exercise list'!E$2,IF($A289=$A288,AK288,1))-P289&lt;0),-1,MIN(1,IF($A289=$A288,AK288,1)-P289+$D$2))</f>
        <v>1</v>
      </c>
      <c r="AL289">
        <f>IF(OR($J289=1,COUNTIFS($A$5:$A288,"&gt;="&amp;$A289-1,$A$5:$A288,"&lt;="&amp;$A289,$B$5:$B288,$B289)&gt;0,MIN(1-'Exercise list'!F$2,IF($A289=$A288,AL288,1))-Q289&lt;0),-1,MIN(1,IF($A289=$A288,AL288,1)-Q289+$D$2))</f>
        <v>1</v>
      </c>
      <c r="AM289">
        <f>IF(OR($J289=1,COUNTIFS($A$5:$A288,"&gt;="&amp;$A289-1,$A$5:$A288,"&lt;="&amp;$A289,$B$5:$B288,$B289)&gt;0,MIN(1-'Exercise list'!G$2,IF($A289=$A288,AM288,1))-R289&lt;0),-1,MIN(1,IF($A289=$A288,AM288,1)-R289+$D$2))</f>
        <v>1</v>
      </c>
      <c r="AN289">
        <f>IF(OR($J289=1,COUNTIFS($A$5:$A288,"&gt;="&amp;$A289-1,$A$5:$A288,"&lt;="&amp;$A289,$B$5:$B288,$B289)&gt;0,MIN(1-'Exercise list'!H$2,IF($A289=$A288,AN288,1))-S289&lt;0),-1,MIN(1,IF($A289=$A288,AN288,1)-S289+$D$2))</f>
        <v>1</v>
      </c>
      <c r="AO289">
        <f>IF(OR($J289=1,COUNTIFS($A$5:$A288,"&gt;="&amp;$A289-1,$A$5:$A288,"&lt;="&amp;$A289,$B$5:$B288,$B289)&gt;0,MIN(1-'Exercise list'!I$2,IF($A289=$A288,AO288,1))-T289&lt;0),-1,MIN(1,IF($A289=$A288,AO288,1)-T289+$D$2))</f>
        <v>1</v>
      </c>
      <c r="AP289">
        <f>IF(OR($J289=1,COUNTIFS($A$5:$A288,"&gt;="&amp;$A289-1,$A$5:$A288,"&lt;="&amp;$A289,$B$5:$B288,$B289)&gt;0,MIN(1-'Exercise list'!J$2,IF($A289=$A288,AP288,1))-U289&lt;0),-1,MIN(1,IF($A289=$A288,AP288,1)-U289+$D$2))</f>
        <v>1</v>
      </c>
      <c r="AQ289">
        <f>IF(OR($J289=1,COUNTIFS($A$5:$A288,"&gt;="&amp;$A289-1,$A$5:$A288,"&lt;="&amp;$A289,$B$5:$B288,$B289)&gt;0,MIN(1-'Exercise list'!K$2,IF($A289=$A288,AQ288,1))-V289&lt;0),-1,MIN(1,IF($A289=$A288,AQ288,1)-V289+$D$2))</f>
        <v>1</v>
      </c>
      <c r="AR289">
        <f>IF(OR($J289=1,COUNTIFS($A$5:$A288,"&gt;="&amp;$A289-1,$A$5:$A288,"&lt;="&amp;$A289,$B$5:$B288,$B289)&gt;0,MIN(1-'Exercise list'!L$2,IF($A289=$A288,AR288,1))-W289&lt;0),-1,MIN(1,IF($A289=$A288,AR288,1)-W289+$D$2))</f>
        <v>1</v>
      </c>
      <c r="AS289">
        <f>IF(OR($J289=1,COUNTIFS($A$5:$A288,"&gt;="&amp;$A289-1,$A$5:$A288,"&lt;="&amp;$A289,$B$5:$B288,$B289)&gt;0,MIN(1-'Exercise list'!M$2,IF($A289=$A288,AS288,1))-X289&lt;0),-1,MIN(1,IF($A289=$A288,AS288,1)-X289+$D$2))</f>
        <v>1</v>
      </c>
      <c r="AT289">
        <f>IF(OR($J289=1,COUNTIFS($A$5:$A288,"&gt;="&amp;$A289-1,$A$5:$A288,"&lt;="&amp;$A289,$B$5:$B288,$B289)&gt;0,MIN(1-'Exercise list'!N$2,IF($A289=$A288,AT288,1))-Y289&lt;0),-1,MIN(1,IF($A289=$A288,AT288,1)-Y289+$D$2))</f>
        <v>1</v>
      </c>
      <c r="AU289">
        <f>IF(OR($J289=1,COUNTIFS($A$5:$A288,"&gt;="&amp;$A289-1,$A$5:$A288,"&lt;="&amp;$A289,$B$5:$B288,$B289)&gt;0,MIN(1-'Exercise list'!O$2,IF($A289=$A288,AU288,1))-Z289&lt;0),-1,MIN(1,IF($A289=$A288,AU288,1)-Z289+$D$2))</f>
        <v>1</v>
      </c>
      <c r="AV289">
        <f>IF(OR($J289=1,COUNTIFS($A$5:$A288,"&gt;="&amp;$A289-1,$A$5:$A288,"&lt;="&amp;$A289,$B$5:$B288,$B289)&gt;0,MIN(1-'Exercise list'!P$2,IF($A289=$A288,AV288,1))-AA289&lt;0),-1,MIN(1,IF($A289=$A288,AV288,1)-AA289+$D$2))</f>
        <v>1</v>
      </c>
      <c r="AW289">
        <f>IF(OR($J289=1,COUNTIFS($A$5:$A288,"&gt;="&amp;$A289-1,$A$5:$A288,"&lt;="&amp;$A289,$B$5:$B288,$B289)&gt;0,MIN(1-'Exercise list'!Q$2,IF($A289=$A288,AW288,1))-AB289&lt;0),-1,MIN(1,IF($A289=$A288,AW288,1)-AB289+$D$2))</f>
        <v>1</v>
      </c>
      <c r="AX289">
        <f>IF(OR($J289=1,COUNTIFS($A$5:$A288,"&gt;="&amp;$A289-1,$A$5:$A288,"&lt;="&amp;$A289,$B$5:$B288,$B289)&gt;0,MIN(1-'Exercise list'!R$2,IF($A289=$A288,AX288,1))-AC289&lt;0),-1,MIN(1,IF($A289=$A288,AX288,1)-AC289+$D$2))</f>
        <v>1</v>
      </c>
      <c r="AY289">
        <f>IF(OR($J289=1,COUNTIFS($A$5:$A288,"&gt;="&amp;$A289-1,$A$5:$A288,"&lt;="&amp;$A289,$B$5:$B288,$B289)&gt;0,MIN(1-'Exercise list'!S$2,IF($A289=$A288,AY288,1))-AD289&lt;0),-1,MIN(1,IF($A289=$A288,AY288,1)-AD289+$D$2))</f>
        <v>1</v>
      </c>
      <c r="AZ289">
        <f>IF(OR($J289=1,COUNTIFS($A$5:$A288,"&gt;="&amp;$A289-1,$A$5:$A288,"&lt;="&amp;$A289,$B$5:$B288,$B289)&gt;0,MIN(1-'Exercise list'!T$2,IF($A289=$A288,AZ288,1))-AE289&lt;0),-1,MIN(1,IF($A289=$A288,AZ288,1)-AE289+$D$2))</f>
        <v>1</v>
      </c>
      <c r="BA289">
        <f>IF(OR($J289=1,COUNTIFS($A$5:$A288,"&gt;="&amp;$A289-1,$A$5:$A288,"&lt;="&amp;$A289,$B$5:$B288,$B289)&gt;0,MIN(1-'Exercise list'!U$2,IF($A289=$A288,BA288,1))-AF289&lt;0),-1,MIN(1,IF($A289=$A288,BA288,1)-AF289+$D$2))</f>
        <v>1</v>
      </c>
      <c r="BB289">
        <f>IF(OR($J289=1,COUNTIFS($A$5:$A288,"&gt;="&amp;$A289-1,$A$5:$A288,"&lt;="&amp;$A289,$B$5:$B288,$B289)&gt;0,MIN(1-'Exercise list'!V$2,IF($A289=$A288,BB288,1))-AG289&lt;0),-1,MIN(1,IF($A289=$A288,BB288,1)-AG289+$D$2))</f>
        <v>1</v>
      </c>
      <c r="BC289">
        <f>IF(OR($J289=1,COUNTIFS($A$5:$A288,"&gt;="&amp;$A289-1,$A$5:$A288,"&lt;="&amp;$A289,$B$5:$B288,$B289)&gt;0,MIN(1-'Exercise list'!W$2,IF($A289=$A288,BC288,1))-AH289&lt;0),-1,MIN(1,IF($A289=$A288,BC288,1)-AH289+$D$2))</f>
        <v>1</v>
      </c>
      <c r="BD289">
        <f>IF(OR($J289=1,COUNTIFS($A$5:$A288,"&gt;="&amp;$A289-1,$A$5:$A288,"&lt;="&amp;$A289,$B$5:$B288,$B289)&gt;0,MIN(1-'Exercise list'!X$2,IF($A289=$A288,BD288,1))-AI289&lt;0),-1,MIN(1,IF($A289=$A288,BD288,1)-AI289+$D$2))</f>
        <v>1</v>
      </c>
      <c r="BF289" s="16">
        <f t="shared" si="189"/>
        <v>0.19596031081758858</v>
      </c>
      <c r="BG289" s="16">
        <f t="shared" si="190"/>
        <v>0.21844636935459236</v>
      </c>
      <c r="BH289" s="16">
        <f t="shared" si="191"/>
        <v>0.14609696635987124</v>
      </c>
      <c r="BI289" s="16">
        <f t="shared" si="192"/>
        <v>0.13198015366034541</v>
      </c>
      <c r="BJ289" s="16">
        <f t="shared" si="193"/>
        <v>8.3367914198418713E-2</v>
      </c>
      <c r="BK289" s="16">
        <f t="shared" si="194"/>
        <v>0.10640640223148412</v>
      </c>
      <c r="BL289" s="16">
        <f t="shared" si="195"/>
        <v>0.21963504743569431</v>
      </c>
      <c r="BM289" s="16">
        <f t="shared" si="196"/>
        <v>3.8988008374820568E-3</v>
      </c>
      <c r="BN289" s="16">
        <f t="shared" si="197"/>
        <v>0.14537706087090876</v>
      </c>
      <c r="BO289" s="16">
        <f t="shared" si="198"/>
        <v>0.29209790661993401</v>
      </c>
      <c r="BP289" s="16">
        <f t="shared" si="199"/>
        <v>0.31584545163401867</v>
      </c>
      <c r="BQ289" s="16">
        <f t="shared" si="200"/>
        <v>0.1000007994126096</v>
      </c>
      <c r="BR289" s="16">
        <f t="shared" si="201"/>
        <v>0.13164487759885393</v>
      </c>
      <c r="BS289" s="16">
        <f t="shared" si="202"/>
        <v>2.9803550189863123E-2</v>
      </c>
      <c r="BT289" s="16">
        <f t="shared" si="203"/>
        <v>0.13492040904978705</v>
      </c>
      <c r="BU289" s="16">
        <f t="shared" si="204"/>
        <v>0.11703687414398131</v>
      </c>
      <c r="BV289" s="16">
        <f t="shared" si="205"/>
        <v>0.14633353213781661</v>
      </c>
      <c r="BW289" s="16">
        <f t="shared" si="206"/>
        <v>7.5588015111767173E-2</v>
      </c>
      <c r="BX289" s="16">
        <f t="shared" si="207"/>
        <v>8.0345659937185704E-2</v>
      </c>
      <c r="BY289" s="16">
        <f t="shared" si="208"/>
        <v>5.9014643151272549E-2</v>
      </c>
      <c r="CA289" s="16" t="str">
        <f t="shared" si="229"/>
        <v/>
      </c>
      <c r="CB289" s="16" t="str">
        <f t="shared" si="210"/>
        <v/>
      </c>
      <c r="CC289" s="16" t="str">
        <f t="shared" si="211"/>
        <v/>
      </c>
      <c r="CD289" s="16" t="str">
        <f t="shared" si="212"/>
        <v/>
      </c>
      <c r="CE289" s="16" t="str">
        <f t="shared" si="213"/>
        <v/>
      </c>
      <c r="CF289" s="16" t="str">
        <f t="shared" si="214"/>
        <v/>
      </c>
      <c r="CG289" s="16" t="str">
        <f t="shared" si="215"/>
        <v/>
      </c>
      <c r="CH289" s="16" t="str">
        <f t="shared" si="216"/>
        <v/>
      </c>
      <c r="CI289" s="16" t="str">
        <f t="shared" si="217"/>
        <v/>
      </c>
      <c r="CJ289" s="16" t="str">
        <f t="shared" si="218"/>
        <v/>
      </c>
      <c r="CK289" s="16" t="str">
        <f t="shared" si="219"/>
        <v/>
      </c>
      <c r="CL289" s="16" t="str">
        <f t="shared" si="220"/>
        <v/>
      </c>
      <c r="CM289" s="16" t="str">
        <f t="shared" si="221"/>
        <v/>
      </c>
      <c r="CN289" s="16" t="str">
        <f t="shared" si="222"/>
        <v/>
      </c>
      <c r="CO289" s="16" t="str">
        <f t="shared" si="223"/>
        <v/>
      </c>
      <c r="CP289" s="16" t="str">
        <f t="shared" si="224"/>
        <v/>
      </c>
      <c r="CQ289" s="16" t="str">
        <f t="shared" si="225"/>
        <v/>
      </c>
      <c r="CR289" s="16" t="str">
        <f t="shared" si="226"/>
        <v/>
      </c>
      <c r="CS289" s="16" t="str">
        <f t="shared" si="227"/>
        <v/>
      </c>
      <c r="CT289" s="16" t="str">
        <f t="shared" si="228"/>
        <v/>
      </c>
    </row>
    <row r="290" spans="1:99" x14ac:dyDescent="0.25">
      <c r="A290" s="13"/>
      <c r="B290" s="14"/>
      <c r="C290" s="15" t="str" cm="1">
        <f t="array" ref="C290">IF(B290="","",INDEX('Exercise list'!$C$5:$C$102,B290))</f>
        <v/>
      </c>
      <c r="D290" s="12" t="str">
        <f t="shared" si="186"/>
        <v/>
      </c>
      <c r="E290" s="107" t="str">
        <f t="shared" si="209"/>
        <v/>
      </c>
      <c r="F290" s="63" t="str" cm="1">
        <f t="array" ref="F290">IF(B290="","",0.1+IFERROR(INDEX($F$6:$F289,SUMPRODUCT(MAX(ROW($C$6:$C289)*($C290=$C$6:$C289))-ROW($A$5)))*0.9^($A290-INDEX($A$6:A289,SUMPRODUCT(MAX(ROW($C$6:$C289)*($C290=$C$6:$C289))-ROW($A$5)))),0))</f>
        <v/>
      </c>
      <c r="G290" s="64" t="e">
        <f>INDEX('Exercise list'!$Y$5:$Y$102,MATCH(C290,'Exercise list'!$C$5:$C$102,0))</f>
        <v>#N/A</v>
      </c>
      <c r="H290" s="115">
        <f t="shared" si="187"/>
        <v>0</v>
      </c>
      <c r="I290" s="6">
        <f t="shared" si="188"/>
        <v>5</v>
      </c>
      <c r="J290" s="6" t="str" cm="1">
        <f t="array" ref="J290">IF(B290="","",INDEX('Exercise list'!$D$5:$D$102,B290))</f>
        <v/>
      </c>
      <c r="K290" s="12"/>
      <c r="L290" s="74" t="str" cm="1">
        <f t="array" ref="L290">IF(K290="","",INDEX('Exercise list'!$C$5:$C$102,K290))</f>
        <v/>
      </c>
      <c r="M290" s="6"/>
      <c r="N290" s="75" t="str" cm="1">
        <f t="array" ref="N290">IF(M290="","",INDEX('Exercise list'!$C$5:$C$102,M290))</f>
        <v/>
      </c>
      <c r="P290">
        <f>IFERROR(INDEX('Exercise list'!$E$5:$X$102,MATCH($C290,'Exercise list'!$C$5:$C$102,0),MATCH(P$5,'Exercise list'!$E$4:$X$4,0)),0)</f>
        <v>0</v>
      </c>
      <c r="Q290">
        <f>IFERROR(INDEX('Exercise list'!$E$5:$X$102,MATCH($C290,'Exercise list'!$C$5:$C$102,0),MATCH(Q$5,'Exercise list'!$E$4:$X$4,0)),0)</f>
        <v>0</v>
      </c>
      <c r="R290">
        <f>IFERROR(INDEX('Exercise list'!$E$5:$X$102,MATCH($C290,'Exercise list'!$C$5:$C$102,0),MATCH(R$5,'Exercise list'!$E$4:$X$4,0)),0)</f>
        <v>0</v>
      </c>
      <c r="S290">
        <f>IFERROR(INDEX('Exercise list'!$E$5:$X$102,MATCH($C290,'Exercise list'!$C$5:$C$102,0),MATCH(S$5,'Exercise list'!$E$4:$X$4,0)),0)</f>
        <v>0</v>
      </c>
      <c r="T290">
        <f>IFERROR(INDEX('Exercise list'!$E$5:$X$102,MATCH($C290,'Exercise list'!$C$5:$C$102,0),MATCH(T$5,'Exercise list'!$E$4:$X$4,0)),0)</f>
        <v>0</v>
      </c>
      <c r="U290">
        <f>IFERROR(INDEX('Exercise list'!$E$5:$X$102,MATCH($C290,'Exercise list'!$C$5:$C$102,0),MATCH(U$5,'Exercise list'!$E$4:$X$4,0)),0)</f>
        <v>0</v>
      </c>
      <c r="V290">
        <f>IFERROR(INDEX('Exercise list'!$E$5:$X$102,MATCH($C290,'Exercise list'!$C$5:$C$102,0),MATCH(V$5,'Exercise list'!$E$4:$X$4,0)),0)</f>
        <v>0</v>
      </c>
      <c r="W290">
        <f>IFERROR(INDEX('Exercise list'!$E$5:$X$102,MATCH($C290,'Exercise list'!$C$5:$C$102,0),MATCH(W$5,'Exercise list'!$E$4:$X$4,0)),0)</f>
        <v>0</v>
      </c>
      <c r="X290">
        <f>IFERROR(INDEX('Exercise list'!$E$5:$X$102,MATCH($C290,'Exercise list'!$C$5:$C$102,0),MATCH(X$5,'Exercise list'!$E$4:$X$4,0)),0)</f>
        <v>0</v>
      </c>
      <c r="Y290">
        <f>IFERROR(INDEX('Exercise list'!$E$5:$X$102,MATCH($C290,'Exercise list'!$C$5:$C$102,0),MATCH(Y$5,'Exercise list'!$E$4:$X$4,0)),0)</f>
        <v>0</v>
      </c>
      <c r="Z290">
        <f>IFERROR(INDEX('Exercise list'!$E$5:$X$102,MATCH($C290,'Exercise list'!$C$5:$C$102,0),MATCH(Z$5,'Exercise list'!$E$4:$X$4,0)),0)</f>
        <v>0</v>
      </c>
      <c r="AA290">
        <f>IFERROR(INDEX('Exercise list'!$E$5:$X$102,MATCH($C290,'Exercise list'!$C$5:$C$102,0),MATCH(AA$5,'Exercise list'!$E$4:$X$4,0)),0)</f>
        <v>0</v>
      </c>
      <c r="AB290">
        <f>IFERROR(INDEX('Exercise list'!$E$5:$X$102,MATCH($C290,'Exercise list'!$C$5:$C$102,0),MATCH(AB$5,'Exercise list'!$E$4:$X$4,0)),0)</f>
        <v>0</v>
      </c>
      <c r="AC290">
        <f>IFERROR(INDEX('Exercise list'!$E$5:$X$102,MATCH($C290,'Exercise list'!$C$5:$C$102,0),MATCH(AC$5,'Exercise list'!$E$4:$X$4,0)),0)</f>
        <v>0</v>
      </c>
      <c r="AD290">
        <f>IFERROR(INDEX('Exercise list'!$E$5:$X$102,MATCH($C290,'Exercise list'!$C$5:$C$102,0),MATCH(AD$5,'Exercise list'!$E$4:$X$4,0)),0)</f>
        <v>0</v>
      </c>
      <c r="AE290">
        <f>IFERROR(INDEX('Exercise list'!$E$5:$X$102,MATCH($C290,'Exercise list'!$C$5:$C$102,0),MATCH(AE$5,'Exercise list'!$E$4:$X$4,0)),0)</f>
        <v>0</v>
      </c>
      <c r="AF290">
        <f>IFERROR(INDEX('Exercise list'!$E$5:$X$102,MATCH($C290,'Exercise list'!$C$5:$C$102,0),MATCH(AF$5,'Exercise list'!$E$4:$X$4,0)),0)</f>
        <v>0</v>
      </c>
      <c r="AG290">
        <f>IFERROR(INDEX('Exercise list'!$E$5:$X$102,MATCH($C290,'Exercise list'!$C$5:$C$102,0),MATCH(AG$5,'Exercise list'!$E$4:$X$4,0)),0)</f>
        <v>0</v>
      </c>
      <c r="AH290">
        <f>IFERROR(INDEX('Exercise list'!$E$5:$X$102,MATCH($C290,'Exercise list'!$C$5:$C$102,0),MATCH(AH$5,'Exercise list'!$E$4:$X$4,0)),0)</f>
        <v>0</v>
      </c>
      <c r="AI290">
        <f>IFERROR(INDEX('Exercise list'!$E$5:$X$102,MATCH($C290,'Exercise list'!$C$5:$C$102,0),MATCH(AI$5,'Exercise list'!$E$4:$X$4,0)),0)</f>
        <v>0</v>
      </c>
      <c r="AK290">
        <f>IF(OR($J290=1,COUNTIFS($A$5:$A289,"&gt;="&amp;$A290-1,$A$5:$A289,"&lt;="&amp;$A290,$B$5:$B289,$B290)&gt;0,MIN(1-'Exercise list'!E$2,IF($A290=$A289,AK289,1))-P290&lt;0),-1,MIN(1,IF($A290=$A289,AK289,1)-P290+$D$2))</f>
        <v>1</v>
      </c>
      <c r="AL290">
        <f>IF(OR($J290=1,COUNTIFS($A$5:$A289,"&gt;="&amp;$A290-1,$A$5:$A289,"&lt;="&amp;$A290,$B$5:$B289,$B290)&gt;0,MIN(1-'Exercise list'!F$2,IF($A290=$A289,AL289,1))-Q290&lt;0),-1,MIN(1,IF($A290=$A289,AL289,1)-Q290+$D$2))</f>
        <v>1</v>
      </c>
      <c r="AM290">
        <f>IF(OR($J290=1,COUNTIFS($A$5:$A289,"&gt;="&amp;$A290-1,$A$5:$A289,"&lt;="&amp;$A290,$B$5:$B289,$B290)&gt;0,MIN(1-'Exercise list'!G$2,IF($A290=$A289,AM289,1))-R290&lt;0),-1,MIN(1,IF($A290=$A289,AM289,1)-R290+$D$2))</f>
        <v>1</v>
      </c>
      <c r="AN290">
        <f>IF(OR($J290=1,COUNTIFS($A$5:$A289,"&gt;="&amp;$A290-1,$A$5:$A289,"&lt;="&amp;$A290,$B$5:$B289,$B290)&gt;0,MIN(1-'Exercise list'!H$2,IF($A290=$A289,AN289,1))-S290&lt;0),-1,MIN(1,IF($A290=$A289,AN289,1)-S290+$D$2))</f>
        <v>1</v>
      </c>
      <c r="AO290">
        <f>IF(OR($J290=1,COUNTIFS($A$5:$A289,"&gt;="&amp;$A290-1,$A$5:$A289,"&lt;="&amp;$A290,$B$5:$B289,$B290)&gt;0,MIN(1-'Exercise list'!I$2,IF($A290=$A289,AO289,1))-T290&lt;0),-1,MIN(1,IF($A290=$A289,AO289,1)-T290+$D$2))</f>
        <v>1</v>
      </c>
      <c r="AP290">
        <f>IF(OR($J290=1,COUNTIFS($A$5:$A289,"&gt;="&amp;$A290-1,$A$5:$A289,"&lt;="&amp;$A290,$B$5:$B289,$B290)&gt;0,MIN(1-'Exercise list'!J$2,IF($A290=$A289,AP289,1))-U290&lt;0),-1,MIN(1,IF($A290=$A289,AP289,1)-U290+$D$2))</f>
        <v>1</v>
      </c>
      <c r="AQ290">
        <f>IF(OR($J290=1,COUNTIFS($A$5:$A289,"&gt;="&amp;$A290-1,$A$5:$A289,"&lt;="&amp;$A290,$B$5:$B289,$B290)&gt;0,MIN(1-'Exercise list'!K$2,IF($A290=$A289,AQ289,1))-V290&lt;0),-1,MIN(1,IF($A290=$A289,AQ289,1)-V290+$D$2))</f>
        <v>1</v>
      </c>
      <c r="AR290">
        <f>IF(OR($J290=1,COUNTIFS($A$5:$A289,"&gt;="&amp;$A290-1,$A$5:$A289,"&lt;="&amp;$A290,$B$5:$B289,$B290)&gt;0,MIN(1-'Exercise list'!L$2,IF($A290=$A289,AR289,1))-W290&lt;0),-1,MIN(1,IF($A290=$A289,AR289,1)-W290+$D$2))</f>
        <v>1</v>
      </c>
      <c r="AS290">
        <f>IF(OR($J290=1,COUNTIFS($A$5:$A289,"&gt;="&amp;$A290-1,$A$5:$A289,"&lt;="&amp;$A290,$B$5:$B289,$B290)&gt;0,MIN(1-'Exercise list'!M$2,IF($A290=$A289,AS289,1))-X290&lt;0),-1,MIN(1,IF($A290=$A289,AS289,1)-X290+$D$2))</f>
        <v>1</v>
      </c>
      <c r="AT290">
        <f>IF(OR($J290=1,COUNTIFS($A$5:$A289,"&gt;="&amp;$A290-1,$A$5:$A289,"&lt;="&amp;$A290,$B$5:$B289,$B290)&gt;0,MIN(1-'Exercise list'!N$2,IF($A290=$A289,AT289,1))-Y290&lt;0),-1,MIN(1,IF($A290=$A289,AT289,1)-Y290+$D$2))</f>
        <v>1</v>
      </c>
      <c r="AU290">
        <f>IF(OR($J290=1,COUNTIFS($A$5:$A289,"&gt;="&amp;$A290-1,$A$5:$A289,"&lt;="&amp;$A290,$B$5:$B289,$B290)&gt;0,MIN(1-'Exercise list'!O$2,IF($A290=$A289,AU289,1))-Z290&lt;0),-1,MIN(1,IF($A290=$A289,AU289,1)-Z290+$D$2))</f>
        <v>1</v>
      </c>
      <c r="AV290">
        <f>IF(OR($J290=1,COUNTIFS($A$5:$A289,"&gt;="&amp;$A290-1,$A$5:$A289,"&lt;="&amp;$A290,$B$5:$B289,$B290)&gt;0,MIN(1-'Exercise list'!P$2,IF($A290=$A289,AV289,1))-AA290&lt;0),-1,MIN(1,IF($A290=$A289,AV289,1)-AA290+$D$2))</f>
        <v>1</v>
      </c>
      <c r="AW290">
        <f>IF(OR($J290=1,COUNTIFS($A$5:$A289,"&gt;="&amp;$A290-1,$A$5:$A289,"&lt;="&amp;$A290,$B$5:$B289,$B290)&gt;0,MIN(1-'Exercise list'!Q$2,IF($A290=$A289,AW289,1))-AB290&lt;0),-1,MIN(1,IF($A290=$A289,AW289,1)-AB290+$D$2))</f>
        <v>1</v>
      </c>
      <c r="AX290">
        <f>IF(OR($J290=1,COUNTIFS($A$5:$A289,"&gt;="&amp;$A290-1,$A$5:$A289,"&lt;="&amp;$A290,$B$5:$B289,$B290)&gt;0,MIN(1-'Exercise list'!R$2,IF($A290=$A289,AX289,1))-AC290&lt;0),-1,MIN(1,IF($A290=$A289,AX289,1)-AC290+$D$2))</f>
        <v>1</v>
      </c>
      <c r="AY290">
        <f>IF(OR($J290=1,COUNTIFS($A$5:$A289,"&gt;="&amp;$A290-1,$A$5:$A289,"&lt;="&amp;$A290,$B$5:$B289,$B290)&gt;0,MIN(1-'Exercise list'!S$2,IF($A290=$A289,AY289,1))-AD290&lt;0),-1,MIN(1,IF($A290=$A289,AY289,1)-AD290+$D$2))</f>
        <v>1</v>
      </c>
      <c r="AZ290">
        <f>IF(OR($J290=1,COUNTIFS($A$5:$A289,"&gt;="&amp;$A290-1,$A$5:$A289,"&lt;="&amp;$A290,$B$5:$B289,$B290)&gt;0,MIN(1-'Exercise list'!T$2,IF($A290=$A289,AZ289,1))-AE290&lt;0),-1,MIN(1,IF($A290=$A289,AZ289,1)-AE290+$D$2))</f>
        <v>1</v>
      </c>
      <c r="BA290">
        <f>IF(OR($J290=1,COUNTIFS($A$5:$A289,"&gt;="&amp;$A290-1,$A$5:$A289,"&lt;="&amp;$A290,$B$5:$B289,$B290)&gt;0,MIN(1-'Exercise list'!U$2,IF($A290=$A289,BA289,1))-AF290&lt;0),-1,MIN(1,IF($A290=$A289,BA289,1)-AF290+$D$2))</f>
        <v>1</v>
      </c>
      <c r="BB290">
        <f>IF(OR($J290=1,COUNTIFS($A$5:$A289,"&gt;="&amp;$A290-1,$A$5:$A289,"&lt;="&amp;$A290,$B$5:$B289,$B290)&gt;0,MIN(1-'Exercise list'!V$2,IF($A290=$A289,BB289,1))-AG290&lt;0),-1,MIN(1,IF($A290=$A289,BB289,1)-AG290+$D$2))</f>
        <v>1</v>
      </c>
      <c r="BC290">
        <f>IF(OR($J290=1,COUNTIFS($A$5:$A289,"&gt;="&amp;$A290-1,$A$5:$A289,"&lt;="&amp;$A290,$B$5:$B289,$B290)&gt;0,MIN(1-'Exercise list'!W$2,IF($A290=$A289,BC289,1))-AH290&lt;0),-1,MIN(1,IF($A290=$A289,BC289,1)-AH290+$D$2))</f>
        <v>1</v>
      </c>
      <c r="BD290">
        <f>IF(OR($J290=1,COUNTIFS($A$5:$A289,"&gt;="&amp;$A290-1,$A$5:$A289,"&lt;="&amp;$A290,$B$5:$B289,$B290)&gt;0,MIN(1-'Exercise list'!X$2,IF($A290=$A289,BD289,1))-AI290&lt;0),-1,MIN(1,IF($A290=$A289,BD289,1)-AI290+$D$2))</f>
        <v>1</v>
      </c>
      <c r="BF290" s="16">
        <f t="shared" si="189"/>
        <v>0.19596031081758858</v>
      </c>
      <c r="BG290" s="16">
        <f t="shared" si="190"/>
        <v>0.21844636935459236</v>
      </c>
      <c r="BH290" s="16">
        <f t="shared" si="191"/>
        <v>0.14609696635987124</v>
      </c>
      <c r="BI290" s="16">
        <f t="shared" si="192"/>
        <v>0.13198015366034541</v>
      </c>
      <c r="BJ290" s="16">
        <f t="shared" si="193"/>
        <v>8.3367914198418713E-2</v>
      </c>
      <c r="BK290" s="16">
        <f t="shared" si="194"/>
        <v>0.10640640223148412</v>
      </c>
      <c r="BL290" s="16">
        <f t="shared" si="195"/>
        <v>0.21963504743569431</v>
      </c>
      <c r="BM290" s="16">
        <f t="shared" si="196"/>
        <v>3.8988008374820568E-3</v>
      </c>
      <c r="BN290" s="16">
        <f t="shared" si="197"/>
        <v>0.14537706087090876</v>
      </c>
      <c r="BO290" s="16">
        <f t="shared" si="198"/>
        <v>0.29209790661993401</v>
      </c>
      <c r="BP290" s="16">
        <f t="shared" si="199"/>
        <v>0.31584545163401867</v>
      </c>
      <c r="BQ290" s="16">
        <f t="shared" si="200"/>
        <v>0.1000007994126096</v>
      </c>
      <c r="BR290" s="16">
        <f t="shared" si="201"/>
        <v>0.13164487759885393</v>
      </c>
      <c r="BS290" s="16">
        <f t="shared" si="202"/>
        <v>2.9803550189863123E-2</v>
      </c>
      <c r="BT290" s="16">
        <f t="shared" si="203"/>
        <v>0.13492040904978705</v>
      </c>
      <c r="BU290" s="16">
        <f t="shared" si="204"/>
        <v>0.11703687414398131</v>
      </c>
      <c r="BV290" s="16">
        <f t="shared" si="205"/>
        <v>0.14633353213781661</v>
      </c>
      <c r="BW290" s="16">
        <f t="shared" si="206"/>
        <v>7.5588015111767173E-2</v>
      </c>
      <c r="BX290" s="16">
        <f t="shared" si="207"/>
        <v>8.0345659937185704E-2</v>
      </c>
      <c r="BY290" s="16">
        <f t="shared" si="208"/>
        <v>5.9014643151272549E-2</v>
      </c>
      <c r="CA290" s="16" t="str">
        <f t="shared" si="229"/>
        <v/>
      </c>
      <c r="CB290" s="16" t="str">
        <f t="shared" si="210"/>
        <v/>
      </c>
      <c r="CC290" s="16" t="str">
        <f t="shared" si="211"/>
        <v/>
      </c>
      <c r="CD290" s="16" t="str">
        <f t="shared" si="212"/>
        <v/>
      </c>
      <c r="CE290" s="16" t="str">
        <f t="shared" si="213"/>
        <v/>
      </c>
      <c r="CF290" s="16" t="str">
        <f t="shared" si="214"/>
        <v/>
      </c>
      <c r="CG290" s="16" t="str">
        <f t="shared" si="215"/>
        <v/>
      </c>
      <c r="CH290" s="16" t="str">
        <f t="shared" si="216"/>
        <v/>
      </c>
      <c r="CI290" s="16" t="str">
        <f t="shared" si="217"/>
        <v/>
      </c>
      <c r="CJ290" s="16" t="str">
        <f t="shared" si="218"/>
        <v/>
      </c>
      <c r="CK290" s="16" t="str">
        <f t="shared" si="219"/>
        <v/>
      </c>
      <c r="CL290" s="16" t="str">
        <f t="shared" si="220"/>
        <v/>
      </c>
      <c r="CM290" s="16" t="str">
        <f t="shared" si="221"/>
        <v/>
      </c>
      <c r="CN290" s="16" t="str">
        <f t="shared" si="222"/>
        <v/>
      </c>
      <c r="CO290" s="16" t="str">
        <f t="shared" si="223"/>
        <v/>
      </c>
      <c r="CP290" s="16" t="str">
        <f t="shared" si="224"/>
        <v/>
      </c>
      <c r="CQ290" s="16" t="str">
        <f t="shared" si="225"/>
        <v/>
      </c>
      <c r="CR290" s="16" t="str">
        <f t="shared" si="226"/>
        <v/>
      </c>
      <c r="CS290" s="16" t="str">
        <f t="shared" si="227"/>
        <v/>
      </c>
      <c r="CT290" s="16" t="str">
        <f t="shared" si="228"/>
        <v/>
      </c>
    </row>
    <row r="291" spans="1:99" x14ac:dyDescent="0.25">
      <c r="A291" s="13"/>
      <c r="B291" s="14"/>
      <c r="C291" s="15" t="str" cm="1">
        <f t="array" ref="C291">IF(B291="","",INDEX('Exercise list'!$C$5:$C$102,B291))</f>
        <v/>
      </c>
      <c r="D291" s="12" t="str">
        <f t="shared" ref="D291:D354" si="230">IF(C291="","",MIN(AK291:BD291))</f>
        <v/>
      </c>
      <c r="E291" s="107" t="str">
        <f t="shared" si="209"/>
        <v/>
      </c>
      <c r="F291" s="63" t="str" cm="1">
        <f t="array" ref="F291">IF(B291="","",0.1+IFERROR(INDEX($F$6:$F290,SUMPRODUCT(MAX(ROW($C$6:$C290)*($C291=$C$6:$C290))-ROW($A$5)))*0.9^($A291-INDEX($A$6:A290,SUMPRODUCT(MAX(ROW($C$6:$C290)*($C291=$C$6:$C290))-ROW($A$5)))),0))</f>
        <v/>
      </c>
      <c r="G291" s="64" t="e">
        <f>INDEX('Exercise list'!$Y$5:$Y$102,MATCH(C291,'Exercise list'!$C$5:$C$102,0))</f>
        <v>#N/A</v>
      </c>
      <c r="H291" s="115">
        <f t="shared" ref="H291:H354" si="231">SQRT(SUMPRODUCT(CA291:CT291,CA291:CT291)/20)</f>
        <v>0</v>
      </c>
      <c r="I291" s="6">
        <f t="shared" ref="I291:I354" si="232">IF(A291&gt;A290,1,IF(A291&gt;A289,2,IF(A291&gt;A288,3,IF(A291&gt;A287,4,5))))</f>
        <v>5</v>
      </c>
      <c r="J291" s="6" t="str" cm="1">
        <f t="array" ref="J291">IF(B291="","",INDEX('Exercise list'!$D$5:$D$102,B291))</f>
        <v/>
      </c>
      <c r="K291" s="12"/>
      <c r="L291" s="74" t="str" cm="1">
        <f t="array" ref="L291">IF(K291="","",INDEX('Exercise list'!$C$5:$C$102,K291))</f>
        <v/>
      </c>
      <c r="M291" s="6"/>
      <c r="N291" s="75" t="str" cm="1">
        <f t="array" ref="N291">IF(M291="","",INDEX('Exercise list'!$C$5:$C$102,M291))</f>
        <v/>
      </c>
      <c r="P291">
        <f>IFERROR(INDEX('Exercise list'!$E$5:$X$102,MATCH($C291,'Exercise list'!$C$5:$C$102,0),MATCH(P$5,'Exercise list'!$E$4:$X$4,0)),0)</f>
        <v>0</v>
      </c>
      <c r="Q291">
        <f>IFERROR(INDEX('Exercise list'!$E$5:$X$102,MATCH($C291,'Exercise list'!$C$5:$C$102,0),MATCH(Q$5,'Exercise list'!$E$4:$X$4,0)),0)</f>
        <v>0</v>
      </c>
      <c r="R291">
        <f>IFERROR(INDEX('Exercise list'!$E$5:$X$102,MATCH($C291,'Exercise list'!$C$5:$C$102,0),MATCH(R$5,'Exercise list'!$E$4:$X$4,0)),0)</f>
        <v>0</v>
      </c>
      <c r="S291">
        <f>IFERROR(INDEX('Exercise list'!$E$5:$X$102,MATCH($C291,'Exercise list'!$C$5:$C$102,0),MATCH(S$5,'Exercise list'!$E$4:$X$4,0)),0)</f>
        <v>0</v>
      </c>
      <c r="T291">
        <f>IFERROR(INDEX('Exercise list'!$E$5:$X$102,MATCH($C291,'Exercise list'!$C$5:$C$102,0),MATCH(T$5,'Exercise list'!$E$4:$X$4,0)),0)</f>
        <v>0</v>
      </c>
      <c r="U291">
        <f>IFERROR(INDEX('Exercise list'!$E$5:$X$102,MATCH($C291,'Exercise list'!$C$5:$C$102,0),MATCH(U$5,'Exercise list'!$E$4:$X$4,0)),0)</f>
        <v>0</v>
      </c>
      <c r="V291">
        <f>IFERROR(INDEX('Exercise list'!$E$5:$X$102,MATCH($C291,'Exercise list'!$C$5:$C$102,0),MATCH(V$5,'Exercise list'!$E$4:$X$4,0)),0)</f>
        <v>0</v>
      </c>
      <c r="W291">
        <f>IFERROR(INDEX('Exercise list'!$E$5:$X$102,MATCH($C291,'Exercise list'!$C$5:$C$102,0),MATCH(W$5,'Exercise list'!$E$4:$X$4,0)),0)</f>
        <v>0</v>
      </c>
      <c r="X291">
        <f>IFERROR(INDEX('Exercise list'!$E$5:$X$102,MATCH($C291,'Exercise list'!$C$5:$C$102,0),MATCH(X$5,'Exercise list'!$E$4:$X$4,0)),0)</f>
        <v>0</v>
      </c>
      <c r="Y291">
        <f>IFERROR(INDEX('Exercise list'!$E$5:$X$102,MATCH($C291,'Exercise list'!$C$5:$C$102,0),MATCH(Y$5,'Exercise list'!$E$4:$X$4,0)),0)</f>
        <v>0</v>
      </c>
      <c r="Z291">
        <f>IFERROR(INDEX('Exercise list'!$E$5:$X$102,MATCH($C291,'Exercise list'!$C$5:$C$102,0),MATCH(Z$5,'Exercise list'!$E$4:$X$4,0)),0)</f>
        <v>0</v>
      </c>
      <c r="AA291">
        <f>IFERROR(INDEX('Exercise list'!$E$5:$X$102,MATCH($C291,'Exercise list'!$C$5:$C$102,0),MATCH(AA$5,'Exercise list'!$E$4:$X$4,0)),0)</f>
        <v>0</v>
      </c>
      <c r="AB291">
        <f>IFERROR(INDEX('Exercise list'!$E$5:$X$102,MATCH($C291,'Exercise list'!$C$5:$C$102,0),MATCH(AB$5,'Exercise list'!$E$4:$X$4,0)),0)</f>
        <v>0</v>
      </c>
      <c r="AC291">
        <f>IFERROR(INDEX('Exercise list'!$E$5:$X$102,MATCH($C291,'Exercise list'!$C$5:$C$102,0),MATCH(AC$5,'Exercise list'!$E$4:$X$4,0)),0)</f>
        <v>0</v>
      </c>
      <c r="AD291">
        <f>IFERROR(INDEX('Exercise list'!$E$5:$X$102,MATCH($C291,'Exercise list'!$C$5:$C$102,0),MATCH(AD$5,'Exercise list'!$E$4:$X$4,0)),0)</f>
        <v>0</v>
      </c>
      <c r="AE291">
        <f>IFERROR(INDEX('Exercise list'!$E$5:$X$102,MATCH($C291,'Exercise list'!$C$5:$C$102,0),MATCH(AE$5,'Exercise list'!$E$4:$X$4,0)),0)</f>
        <v>0</v>
      </c>
      <c r="AF291">
        <f>IFERROR(INDEX('Exercise list'!$E$5:$X$102,MATCH($C291,'Exercise list'!$C$5:$C$102,0),MATCH(AF$5,'Exercise list'!$E$4:$X$4,0)),0)</f>
        <v>0</v>
      </c>
      <c r="AG291">
        <f>IFERROR(INDEX('Exercise list'!$E$5:$X$102,MATCH($C291,'Exercise list'!$C$5:$C$102,0),MATCH(AG$5,'Exercise list'!$E$4:$X$4,0)),0)</f>
        <v>0</v>
      </c>
      <c r="AH291">
        <f>IFERROR(INDEX('Exercise list'!$E$5:$X$102,MATCH($C291,'Exercise list'!$C$5:$C$102,0),MATCH(AH$5,'Exercise list'!$E$4:$X$4,0)),0)</f>
        <v>0</v>
      </c>
      <c r="AI291">
        <f>IFERROR(INDEX('Exercise list'!$E$5:$X$102,MATCH($C291,'Exercise list'!$C$5:$C$102,0),MATCH(AI$5,'Exercise list'!$E$4:$X$4,0)),0)</f>
        <v>0</v>
      </c>
      <c r="AK291">
        <f>IF(OR($J291=1,COUNTIFS($A$5:$A290,"&gt;="&amp;$A291-1,$A$5:$A290,"&lt;="&amp;$A291,$B$5:$B290,$B291)&gt;0,MIN(1-'Exercise list'!E$2,IF($A291=$A290,AK290,1))-P291&lt;0),-1,MIN(1,IF($A291=$A290,AK290,1)-P291+$D$2))</f>
        <v>1</v>
      </c>
      <c r="AL291">
        <f>IF(OR($J291=1,COUNTIFS($A$5:$A290,"&gt;="&amp;$A291-1,$A$5:$A290,"&lt;="&amp;$A291,$B$5:$B290,$B291)&gt;0,MIN(1-'Exercise list'!F$2,IF($A291=$A290,AL290,1))-Q291&lt;0),-1,MIN(1,IF($A291=$A290,AL290,1)-Q291+$D$2))</f>
        <v>1</v>
      </c>
      <c r="AM291">
        <f>IF(OR($J291=1,COUNTIFS($A$5:$A290,"&gt;="&amp;$A291-1,$A$5:$A290,"&lt;="&amp;$A291,$B$5:$B290,$B291)&gt;0,MIN(1-'Exercise list'!G$2,IF($A291=$A290,AM290,1))-R291&lt;0),-1,MIN(1,IF($A291=$A290,AM290,1)-R291+$D$2))</f>
        <v>1</v>
      </c>
      <c r="AN291">
        <f>IF(OR($J291=1,COUNTIFS($A$5:$A290,"&gt;="&amp;$A291-1,$A$5:$A290,"&lt;="&amp;$A291,$B$5:$B290,$B291)&gt;0,MIN(1-'Exercise list'!H$2,IF($A291=$A290,AN290,1))-S291&lt;0),-1,MIN(1,IF($A291=$A290,AN290,1)-S291+$D$2))</f>
        <v>1</v>
      </c>
      <c r="AO291">
        <f>IF(OR($J291=1,COUNTIFS($A$5:$A290,"&gt;="&amp;$A291-1,$A$5:$A290,"&lt;="&amp;$A291,$B$5:$B290,$B291)&gt;0,MIN(1-'Exercise list'!I$2,IF($A291=$A290,AO290,1))-T291&lt;0),-1,MIN(1,IF($A291=$A290,AO290,1)-T291+$D$2))</f>
        <v>1</v>
      </c>
      <c r="AP291">
        <f>IF(OR($J291=1,COUNTIFS($A$5:$A290,"&gt;="&amp;$A291-1,$A$5:$A290,"&lt;="&amp;$A291,$B$5:$B290,$B291)&gt;0,MIN(1-'Exercise list'!J$2,IF($A291=$A290,AP290,1))-U291&lt;0),-1,MIN(1,IF($A291=$A290,AP290,1)-U291+$D$2))</f>
        <v>1</v>
      </c>
      <c r="AQ291">
        <f>IF(OR($J291=1,COUNTIFS($A$5:$A290,"&gt;="&amp;$A291-1,$A$5:$A290,"&lt;="&amp;$A291,$B$5:$B290,$B291)&gt;0,MIN(1-'Exercise list'!K$2,IF($A291=$A290,AQ290,1))-V291&lt;0),-1,MIN(1,IF($A291=$A290,AQ290,1)-V291+$D$2))</f>
        <v>1</v>
      </c>
      <c r="AR291">
        <f>IF(OR($J291=1,COUNTIFS($A$5:$A290,"&gt;="&amp;$A291-1,$A$5:$A290,"&lt;="&amp;$A291,$B$5:$B290,$B291)&gt;0,MIN(1-'Exercise list'!L$2,IF($A291=$A290,AR290,1))-W291&lt;0),-1,MIN(1,IF($A291=$A290,AR290,1)-W291+$D$2))</f>
        <v>1</v>
      </c>
      <c r="AS291">
        <f>IF(OR($J291=1,COUNTIFS($A$5:$A290,"&gt;="&amp;$A291-1,$A$5:$A290,"&lt;="&amp;$A291,$B$5:$B290,$B291)&gt;0,MIN(1-'Exercise list'!M$2,IF($A291=$A290,AS290,1))-X291&lt;0),-1,MIN(1,IF($A291=$A290,AS290,1)-X291+$D$2))</f>
        <v>1</v>
      </c>
      <c r="AT291">
        <f>IF(OR($J291=1,COUNTIFS($A$5:$A290,"&gt;="&amp;$A291-1,$A$5:$A290,"&lt;="&amp;$A291,$B$5:$B290,$B291)&gt;0,MIN(1-'Exercise list'!N$2,IF($A291=$A290,AT290,1))-Y291&lt;0),-1,MIN(1,IF($A291=$A290,AT290,1)-Y291+$D$2))</f>
        <v>1</v>
      </c>
      <c r="AU291">
        <f>IF(OR($J291=1,COUNTIFS($A$5:$A290,"&gt;="&amp;$A291-1,$A$5:$A290,"&lt;="&amp;$A291,$B$5:$B290,$B291)&gt;0,MIN(1-'Exercise list'!O$2,IF($A291=$A290,AU290,1))-Z291&lt;0),-1,MIN(1,IF($A291=$A290,AU290,1)-Z291+$D$2))</f>
        <v>1</v>
      </c>
      <c r="AV291">
        <f>IF(OR($J291=1,COUNTIFS($A$5:$A290,"&gt;="&amp;$A291-1,$A$5:$A290,"&lt;="&amp;$A291,$B$5:$B290,$B291)&gt;0,MIN(1-'Exercise list'!P$2,IF($A291=$A290,AV290,1))-AA291&lt;0),-1,MIN(1,IF($A291=$A290,AV290,1)-AA291+$D$2))</f>
        <v>1</v>
      </c>
      <c r="AW291">
        <f>IF(OR($J291=1,COUNTIFS($A$5:$A290,"&gt;="&amp;$A291-1,$A$5:$A290,"&lt;="&amp;$A291,$B$5:$B290,$B291)&gt;0,MIN(1-'Exercise list'!Q$2,IF($A291=$A290,AW290,1))-AB291&lt;0),-1,MIN(1,IF($A291=$A290,AW290,1)-AB291+$D$2))</f>
        <v>1</v>
      </c>
      <c r="AX291">
        <f>IF(OR($J291=1,COUNTIFS($A$5:$A290,"&gt;="&amp;$A291-1,$A$5:$A290,"&lt;="&amp;$A291,$B$5:$B290,$B291)&gt;0,MIN(1-'Exercise list'!R$2,IF($A291=$A290,AX290,1))-AC291&lt;0),-1,MIN(1,IF($A291=$A290,AX290,1)-AC291+$D$2))</f>
        <v>1</v>
      </c>
      <c r="AY291">
        <f>IF(OR($J291=1,COUNTIFS($A$5:$A290,"&gt;="&amp;$A291-1,$A$5:$A290,"&lt;="&amp;$A291,$B$5:$B290,$B291)&gt;0,MIN(1-'Exercise list'!S$2,IF($A291=$A290,AY290,1))-AD291&lt;0),-1,MIN(1,IF($A291=$A290,AY290,1)-AD291+$D$2))</f>
        <v>1</v>
      </c>
      <c r="AZ291">
        <f>IF(OR($J291=1,COUNTIFS($A$5:$A290,"&gt;="&amp;$A291-1,$A$5:$A290,"&lt;="&amp;$A291,$B$5:$B290,$B291)&gt;0,MIN(1-'Exercise list'!T$2,IF($A291=$A290,AZ290,1))-AE291&lt;0),-1,MIN(1,IF($A291=$A290,AZ290,1)-AE291+$D$2))</f>
        <v>1</v>
      </c>
      <c r="BA291">
        <f>IF(OR($J291=1,COUNTIFS($A$5:$A290,"&gt;="&amp;$A291-1,$A$5:$A290,"&lt;="&amp;$A291,$B$5:$B290,$B291)&gt;0,MIN(1-'Exercise list'!U$2,IF($A291=$A290,BA290,1))-AF291&lt;0),-1,MIN(1,IF($A291=$A290,BA290,1)-AF291+$D$2))</f>
        <v>1</v>
      </c>
      <c r="BB291">
        <f>IF(OR($J291=1,COUNTIFS($A$5:$A290,"&gt;="&amp;$A291-1,$A$5:$A290,"&lt;="&amp;$A291,$B$5:$B290,$B291)&gt;0,MIN(1-'Exercise list'!V$2,IF($A291=$A290,BB290,1))-AG291&lt;0),-1,MIN(1,IF($A291=$A290,BB290,1)-AG291+$D$2))</f>
        <v>1</v>
      </c>
      <c r="BC291">
        <f>IF(OR($J291=1,COUNTIFS($A$5:$A290,"&gt;="&amp;$A291-1,$A$5:$A290,"&lt;="&amp;$A291,$B$5:$B290,$B291)&gt;0,MIN(1-'Exercise list'!W$2,IF($A291=$A290,BC290,1))-AH291&lt;0),-1,MIN(1,IF($A291=$A290,BC290,1)-AH291+$D$2))</f>
        <v>1</v>
      </c>
      <c r="BD291">
        <f>IF(OR($J291=1,COUNTIFS($A$5:$A290,"&gt;="&amp;$A291-1,$A$5:$A290,"&lt;="&amp;$A291,$B$5:$B290,$B291)&gt;0,MIN(1-'Exercise list'!X$2,IF($A291=$A290,BD290,1))-AI291&lt;0),-1,MIN(1,IF($A291=$A290,BD290,1)-AI291+$D$2))</f>
        <v>1</v>
      </c>
      <c r="BF291" s="16">
        <f t="shared" ref="BF291:BF354" si="233">IF($B291&lt;6,BF290,$AN$2*P291+(1-$AN$2)*BF290)</f>
        <v>0.19596031081758858</v>
      </c>
      <c r="BG291" s="16">
        <f t="shared" ref="BG291:BG354" si="234">IF($B291&lt;6,BG290,$AN$2*Q291+(1-$AN$2)*BG290)</f>
        <v>0.21844636935459236</v>
      </c>
      <c r="BH291" s="16">
        <f t="shared" ref="BH291:BH354" si="235">IF($B291&lt;6,BH290,$AN$2*R291+(1-$AN$2)*BH290)</f>
        <v>0.14609696635987124</v>
      </c>
      <c r="BI291" s="16">
        <f t="shared" ref="BI291:BI354" si="236">IF($B291&lt;6,BI290,$AN$2*S291+(1-$AN$2)*BI290)</f>
        <v>0.13198015366034541</v>
      </c>
      <c r="BJ291" s="16">
        <f t="shared" ref="BJ291:BJ354" si="237">IF($B291&lt;6,BJ290,$AN$2*T291+(1-$AN$2)*BJ290)</f>
        <v>8.3367914198418713E-2</v>
      </c>
      <c r="BK291" s="16">
        <f t="shared" ref="BK291:BK354" si="238">IF($B291&lt;6,BK290,$AN$2*U291+(1-$AN$2)*BK290)</f>
        <v>0.10640640223148412</v>
      </c>
      <c r="BL291" s="16">
        <f t="shared" ref="BL291:BL354" si="239">IF($B291&lt;6,BL290,$AN$2*V291+(1-$AN$2)*BL290)</f>
        <v>0.21963504743569431</v>
      </c>
      <c r="BM291" s="16">
        <f t="shared" ref="BM291:BM354" si="240">IF($B291&lt;6,BM290,$AN$2*W291+(1-$AN$2)*BM290)</f>
        <v>3.8988008374820568E-3</v>
      </c>
      <c r="BN291" s="16">
        <f t="shared" ref="BN291:BN354" si="241">IF($B291&lt;6,BN290,$AN$2*X291+(1-$AN$2)*BN290)</f>
        <v>0.14537706087090876</v>
      </c>
      <c r="BO291" s="16">
        <f t="shared" ref="BO291:BO354" si="242">IF($B291&lt;6,BO290,$AN$2*Y291+(1-$AN$2)*BO290)</f>
        <v>0.29209790661993401</v>
      </c>
      <c r="BP291" s="16">
        <f t="shared" ref="BP291:BP354" si="243">IF($B291&lt;6,BP290,$AN$2*Z291+(1-$AN$2)*BP290)</f>
        <v>0.31584545163401867</v>
      </c>
      <c r="BQ291" s="16">
        <f t="shared" ref="BQ291:BQ354" si="244">IF($B291&lt;6,BQ290,$AN$2*AA291+(1-$AN$2)*BQ290)</f>
        <v>0.1000007994126096</v>
      </c>
      <c r="BR291" s="16">
        <f t="shared" ref="BR291:BR354" si="245">IF($B291&lt;6,BR290,$AN$2*AB291+(1-$AN$2)*BR290)</f>
        <v>0.13164487759885393</v>
      </c>
      <c r="BS291" s="16">
        <f t="shared" ref="BS291:BS354" si="246">IF($B291&lt;6,BS290,$AN$2*AC291+(1-$AN$2)*BS290)</f>
        <v>2.9803550189863123E-2</v>
      </c>
      <c r="BT291" s="16">
        <f t="shared" ref="BT291:BT354" si="247">IF($B291&lt;6,BT290,$AN$2*AD291+(1-$AN$2)*BT290)</f>
        <v>0.13492040904978705</v>
      </c>
      <c r="BU291" s="16">
        <f t="shared" ref="BU291:BU354" si="248">IF($B291&lt;6,BU290,$AN$2*AE291+(1-$AN$2)*BU290)</f>
        <v>0.11703687414398131</v>
      </c>
      <c r="BV291" s="16">
        <f t="shared" ref="BV291:BV354" si="249">IF($B291&lt;6,BV290,$AN$2*AF291+(1-$AN$2)*BV290)</f>
        <v>0.14633353213781661</v>
      </c>
      <c r="BW291" s="16">
        <f t="shared" ref="BW291:BW354" si="250">IF($B291&lt;6,BW290,$AN$2*AG291+(1-$AN$2)*BW290)</f>
        <v>7.5588015111767173E-2</v>
      </c>
      <c r="BX291" s="16">
        <f t="shared" ref="BX291:BX354" si="251">IF($B291&lt;6,BX290,$AN$2*AH291+(1-$AN$2)*BX290)</f>
        <v>8.0345659937185704E-2</v>
      </c>
      <c r="BY291" s="16">
        <f t="shared" ref="BY291:BY354" si="252">IF($B291&lt;6,BY290,$AN$2*AI291+(1-$AN$2)*BY290)</f>
        <v>5.9014643151272549E-2</v>
      </c>
      <c r="CA291" s="16" t="str">
        <f t="shared" si="229"/>
        <v/>
      </c>
      <c r="CB291" s="16" t="str">
        <f t="shared" si="210"/>
        <v/>
      </c>
      <c r="CC291" s="16" t="str">
        <f t="shared" si="211"/>
        <v/>
      </c>
      <c r="CD291" s="16" t="str">
        <f t="shared" si="212"/>
        <v/>
      </c>
      <c r="CE291" s="16" t="str">
        <f t="shared" si="213"/>
        <v/>
      </c>
      <c r="CF291" s="16" t="str">
        <f t="shared" si="214"/>
        <v/>
      </c>
      <c r="CG291" s="16" t="str">
        <f t="shared" si="215"/>
        <v/>
      </c>
      <c r="CH291" s="16" t="str">
        <f t="shared" si="216"/>
        <v/>
      </c>
      <c r="CI291" s="16" t="str">
        <f t="shared" si="217"/>
        <v/>
      </c>
      <c r="CJ291" s="16" t="str">
        <f t="shared" si="218"/>
        <v/>
      </c>
      <c r="CK291" s="16" t="str">
        <f t="shared" si="219"/>
        <v/>
      </c>
      <c r="CL291" s="16" t="str">
        <f t="shared" si="220"/>
        <v/>
      </c>
      <c r="CM291" s="16" t="str">
        <f t="shared" si="221"/>
        <v/>
      </c>
      <c r="CN291" s="16" t="str">
        <f t="shared" si="222"/>
        <v/>
      </c>
      <c r="CO291" s="16" t="str">
        <f t="shared" si="223"/>
        <v/>
      </c>
      <c r="CP291" s="16" t="str">
        <f t="shared" si="224"/>
        <v/>
      </c>
      <c r="CQ291" s="16" t="str">
        <f t="shared" si="225"/>
        <v/>
      </c>
      <c r="CR291" s="16" t="str">
        <f t="shared" si="226"/>
        <v/>
      </c>
      <c r="CS291" s="16" t="str">
        <f t="shared" si="227"/>
        <v/>
      </c>
      <c r="CT291" s="16" t="str">
        <f t="shared" si="228"/>
        <v/>
      </c>
    </row>
    <row r="292" spans="1:99" x14ac:dyDescent="0.25">
      <c r="A292" s="13"/>
      <c r="B292" s="14"/>
      <c r="C292" s="15" t="str" cm="1">
        <f t="array" ref="C292">IF(B292="","",INDEX('Exercise list'!$C$5:$C$102,B292))</f>
        <v/>
      </c>
      <c r="D292" s="12" t="str">
        <f t="shared" si="230"/>
        <v/>
      </c>
      <c r="E292" s="107" t="str">
        <f t="shared" ref="E292:E355" si="253">IF(C292="","",IFERROR(
(1+9*(F292-$F$3)/($F$4-$F$3))^$F$2*
IF(B292&lt;=5,1,
(1+9*(G292-$G$3)/($G$4-$G$3))^$G$2*
(1+9*(H292-$H$3)/($H$4-$H$3))^$H$2),
0))</f>
        <v/>
      </c>
      <c r="F292" s="63" t="str" cm="1">
        <f t="array" ref="F292">IF(B292="","",0.1+IFERROR(INDEX($F$6:$F291,SUMPRODUCT(MAX(ROW($C$6:$C291)*($C292=$C$6:$C291))-ROW($A$5)))*0.9^($A292-INDEX($A$6:A291,SUMPRODUCT(MAX(ROW($C$6:$C291)*($C292=$C$6:$C291))-ROW($A$5)))),0))</f>
        <v/>
      </c>
      <c r="G292" s="64" t="e">
        <f>INDEX('Exercise list'!$Y$5:$Y$102,MATCH(C292,'Exercise list'!$C$5:$C$102,0))</f>
        <v>#N/A</v>
      </c>
      <c r="H292" s="115">
        <f t="shared" si="231"/>
        <v>0</v>
      </c>
      <c r="I292" s="6">
        <f t="shared" si="232"/>
        <v>5</v>
      </c>
      <c r="J292" s="6" t="str" cm="1">
        <f t="array" ref="J292">IF(B292="","",INDEX('Exercise list'!$D$5:$D$102,B292))</f>
        <v/>
      </c>
      <c r="K292" s="12"/>
      <c r="L292" s="74" t="str" cm="1">
        <f t="array" ref="L292">IF(K292="","",INDEX('Exercise list'!$C$5:$C$102,K292))</f>
        <v/>
      </c>
      <c r="M292" s="6"/>
      <c r="N292" s="75" t="str" cm="1">
        <f t="array" ref="N292">IF(M292="","",INDEX('Exercise list'!$C$5:$C$102,M292))</f>
        <v/>
      </c>
      <c r="P292">
        <f>IFERROR(INDEX('Exercise list'!$E$5:$X$102,MATCH($C292,'Exercise list'!$C$5:$C$102,0),MATCH(P$5,'Exercise list'!$E$4:$X$4,0)),0)</f>
        <v>0</v>
      </c>
      <c r="Q292">
        <f>IFERROR(INDEX('Exercise list'!$E$5:$X$102,MATCH($C292,'Exercise list'!$C$5:$C$102,0),MATCH(Q$5,'Exercise list'!$E$4:$X$4,0)),0)</f>
        <v>0</v>
      </c>
      <c r="R292">
        <f>IFERROR(INDEX('Exercise list'!$E$5:$X$102,MATCH($C292,'Exercise list'!$C$5:$C$102,0),MATCH(R$5,'Exercise list'!$E$4:$X$4,0)),0)</f>
        <v>0</v>
      </c>
      <c r="S292">
        <f>IFERROR(INDEX('Exercise list'!$E$5:$X$102,MATCH($C292,'Exercise list'!$C$5:$C$102,0),MATCH(S$5,'Exercise list'!$E$4:$X$4,0)),0)</f>
        <v>0</v>
      </c>
      <c r="T292">
        <f>IFERROR(INDEX('Exercise list'!$E$5:$X$102,MATCH($C292,'Exercise list'!$C$5:$C$102,0),MATCH(T$5,'Exercise list'!$E$4:$X$4,0)),0)</f>
        <v>0</v>
      </c>
      <c r="U292">
        <f>IFERROR(INDEX('Exercise list'!$E$5:$X$102,MATCH($C292,'Exercise list'!$C$5:$C$102,0),MATCH(U$5,'Exercise list'!$E$4:$X$4,0)),0)</f>
        <v>0</v>
      </c>
      <c r="V292">
        <f>IFERROR(INDEX('Exercise list'!$E$5:$X$102,MATCH($C292,'Exercise list'!$C$5:$C$102,0),MATCH(V$5,'Exercise list'!$E$4:$X$4,0)),0)</f>
        <v>0</v>
      </c>
      <c r="W292">
        <f>IFERROR(INDEX('Exercise list'!$E$5:$X$102,MATCH($C292,'Exercise list'!$C$5:$C$102,0),MATCH(W$5,'Exercise list'!$E$4:$X$4,0)),0)</f>
        <v>0</v>
      </c>
      <c r="X292">
        <f>IFERROR(INDEX('Exercise list'!$E$5:$X$102,MATCH($C292,'Exercise list'!$C$5:$C$102,0),MATCH(X$5,'Exercise list'!$E$4:$X$4,0)),0)</f>
        <v>0</v>
      </c>
      <c r="Y292">
        <f>IFERROR(INDEX('Exercise list'!$E$5:$X$102,MATCH($C292,'Exercise list'!$C$5:$C$102,0),MATCH(Y$5,'Exercise list'!$E$4:$X$4,0)),0)</f>
        <v>0</v>
      </c>
      <c r="Z292">
        <f>IFERROR(INDEX('Exercise list'!$E$5:$X$102,MATCH($C292,'Exercise list'!$C$5:$C$102,0),MATCH(Z$5,'Exercise list'!$E$4:$X$4,0)),0)</f>
        <v>0</v>
      </c>
      <c r="AA292">
        <f>IFERROR(INDEX('Exercise list'!$E$5:$X$102,MATCH($C292,'Exercise list'!$C$5:$C$102,0),MATCH(AA$5,'Exercise list'!$E$4:$X$4,0)),0)</f>
        <v>0</v>
      </c>
      <c r="AB292">
        <f>IFERROR(INDEX('Exercise list'!$E$5:$X$102,MATCH($C292,'Exercise list'!$C$5:$C$102,0),MATCH(AB$5,'Exercise list'!$E$4:$X$4,0)),0)</f>
        <v>0</v>
      </c>
      <c r="AC292">
        <f>IFERROR(INDEX('Exercise list'!$E$5:$X$102,MATCH($C292,'Exercise list'!$C$5:$C$102,0),MATCH(AC$5,'Exercise list'!$E$4:$X$4,0)),0)</f>
        <v>0</v>
      </c>
      <c r="AD292">
        <f>IFERROR(INDEX('Exercise list'!$E$5:$X$102,MATCH($C292,'Exercise list'!$C$5:$C$102,0),MATCH(AD$5,'Exercise list'!$E$4:$X$4,0)),0)</f>
        <v>0</v>
      </c>
      <c r="AE292">
        <f>IFERROR(INDEX('Exercise list'!$E$5:$X$102,MATCH($C292,'Exercise list'!$C$5:$C$102,0),MATCH(AE$5,'Exercise list'!$E$4:$X$4,0)),0)</f>
        <v>0</v>
      </c>
      <c r="AF292">
        <f>IFERROR(INDEX('Exercise list'!$E$5:$X$102,MATCH($C292,'Exercise list'!$C$5:$C$102,0),MATCH(AF$5,'Exercise list'!$E$4:$X$4,0)),0)</f>
        <v>0</v>
      </c>
      <c r="AG292">
        <f>IFERROR(INDEX('Exercise list'!$E$5:$X$102,MATCH($C292,'Exercise list'!$C$5:$C$102,0),MATCH(AG$5,'Exercise list'!$E$4:$X$4,0)),0)</f>
        <v>0</v>
      </c>
      <c r="AH292">
        <f>IFERROR(INDEX('Exercise list'!$E$5:$X$102,MATCH($C292,'Exercise list'!$C$5:$C$102,0),MATCH(AH$5,'Exercise list'!$E$4:$X$4,0)),0)</f>
        <v>0</v>
      </c>
      <c r="AI292">
        <f>IFERROR(INDEX('Exercise list'!$E$5:$X$102,MATCH($C292,'Exercise list'!$C$5:$C$102,0),MATCH(AI$5,'Exercise list'!$E$4:$X$4,0)),0)</f>
        <v>0</v>
      </c>
      <c r="AK292">
        <f>IF(OR($J292=1,COUNTIFS($A$5:$A291,"&gt;="&amp;$A292-1,$A$5:$A291,"&lt;="&amp;$A292,$B$5:$B291,$B292)&gt;0,MIN(1-'Exercise list'!E$2,IF($A292=$A291,AK291,1))-P292&lt;0),-1,MIN(1,IF($A292=$A291,AK291,1)-P292+$D$2))</f>
        <v>1</v>
      </c>
      <c r="AL292">
        <f>IF(OR($J292=1,COUNTIFS($A$5:$A291,"&gt;="&amp;$A292-1,$A$5:$A291,"&lt;="&amp;$A292,$B$5:$B291,$B292)&gt;0,MIN(1-'Exercise list'!F$2,IF($A292=$A291,AL291,1))-Q292&lt;0),-1,MIN(1,IF($A292=$A291,AL291,1)-Q292+$D$2))</f>
        <v>1</v>
      </c>
      <c r="AM292">
        <f>IF(OR($J292=1,COUNTIFS($A$5:$A291,"&gt;="&amp;$A292-1,$A$5:$A291,"&lt;="&amp;$A292,$B$5:$B291,$B292)&gt;0,MIN(1-'Exercise list'!G$2,IF($A292=$A291,AM291,1))-R292&lt;0),-1,MIN(1,IF($A292=$A291,AM291,1)-R292+$D$2))</f>
        <v>1</v>
      </c>
      <c r="AN292">
        <f>IF(OR($J292=1,COUNTIFS($A$5:$A291,"&gt;="&amp;$A292-1,$A$5:$A291,"&lt;="&amp;$A292,$B$5:$B291,$B292)&gt;0,MIN(1-'Exercise list'!H$2,IF($A292=$A291,AN291,1))-S292&lt;0),-1,MIN(1,IF($A292=$A291,AN291,1)-S292+$D$2))</f>
        <v>1</v>
      </c>
      <c r="AO292">
        <f>IF(OR($J292=1,COUNTIFS($A$5:$A291,"&gt;="&amp;$A292-1,$A$5:$A291,"&lt;="&amp;$A292,$B$5:$B291,$B292)&gt;0,MIN(1-'Exercise list'!I$2,IF($A292=$A291,AO291,1))-T292&lt;0),-1,MIN(1,IF($A292=$A291,AO291,1)-T292+$D$2))</f>
        <v>1</v>
      </c>
      <c r="AP292">
        <f>IF(OR($J292=1,COUNTIFS($A$5:$A291,"&gt;="&amp;$A292-1,$A$5:$A291,"&lt;="&amp;$A292,$B$5:$B291,$B292)&gt;0,MIN(1-'Exercise list'!J$2,IF($A292=$A291,AP291,1))-U292&lt;0),-1,MIN(1,IF($A292=$A291,AP291,1)-U292+$D$2))</f>
        <v>1</v>
      </c>
      <c r="AQ292">
        <f>IF(OR($J292=1,COUNTIFS($A$5:$A291,"&gt;="&amp;$A292-1,$A$5:$A291,"&lt;="&amp;$A292,$B$5:$B291,$B292)&gt;0,MIN(1-'Exercise list'!K$2,IF($A292=$A291,AQ291,1))-V292&lt;0),-1,MIN(1,IF($A292=$A291,AQ291,1)-V292+$D$2))</f>
        <v>1</v>
      </c>
      <c r="AR292">
        <f>IF(OR($J292=1,COUNTIFS($A$5:$A291,"&gt;="&amp;$A292-1,$A$5:$A291,"&lt;="&amp;$A292,$B$5:$B291,$B292)&gt;0,MIN(1-'Exercise list'!L$2,IF($A292=$A291,AR291,1))-W292&lt;0),-1,MIN(1,IF($A292=$A291,AR291,1)-W292+$D$2))</f>
        <v>1</v>
      </c>
      <c r="AS292">
        <f>IF(OR($J292=1,COUNTIFS($A$5:$A291,"&gt;="&amp;$A292-1,$A$5:$A291,"&lt;="&amp;$A292,$B$5:$B291,$B292)&gt;0,MIN(1-'Exercise list'!M$2,IF($A292=$A291,AS291,1))-X292&lt;0),-1,MIN(1,IF($A292=$A291,AS291,1)-X292+$D$2))</f>
        <v>1</v>
      </c>
      <c r="AT292">
        <f>IF(OR($J292=1,COUNTIFS($A$5:$A291,"&gt;="&amp;$A292-1,$A$5:$A291,"&lt;="&amp;$A292,$B$5:$B291,$B292)&gt;0,MIN(1-'Exercise list'!N$2,IF($A292=$A291,AT291,1))-Y292&lt;0),-1,MIN(1,IF($A292=$A291,AT291,1)-Y292+$D$2))</f>
        <v>1</v>
      </c>
      <c r="AU292">
        <f>IF(OR($J292=1,COUNTIFS($A$5:$A291,"&gt;="&amp;$A292-1,$A$5:$A291,"&lt;="&amp;$A292,$B$5:$B291,$B292)&gt;0,MIN(1-'Exercise list'!O$2,IF($A292=$A291,AU291,1))-Z292&lt;0),-1,MIN(1,IF($A292=$A291,AU291,1)-Z292+$D$2))</f>
        <v>1</v>
      </c>
      <c r="AV292">
        <f>IF(OR($J292=1,COUNTIFS($A$5:$A291,"&gt;="&amp;$A292-1,$A$5:$A291,"&lt;="&amp;$A292,$B$5:$B291,$B292)&gt;0,MIN(1-'Exercise list'!P$2,IF($A292=$A291,AV291,1))-AA292&lt;0),-1,MIN(1,IF($A292=$A291,AV291,1)-AA292+$D$2))</f>
        <v>1</v>
      </c>
      <c r="AW292">
        <f>IF(OR($J292=1,COUNTIFS($A$5:$A291,"&gt;="&amp;$A292-1,$A$5:$A291,"&lt;="&amp;$A292,$B$5:$B291,$B292)&gt;0,MIN(1-'Exercise list'!Q$2,IF($A292=$A291,AW291,1))-AB292&lt;0),-1,MIN(1,IF($A292=$A291,AW291,1)-AB292+$D$2))</f>
        <v>1</v>
      </c>
      <c r="AX292">
        <f>IF(OR($J292=1,COUNTIFS($A$5:$A291,"&gt;="&amp;$A292-1,$A$5:$A291,"&lt;="&amp;$A292,$B$5:$B291,$B292)&gt;0,MIN(1-'Exercise list'!R$2,IF($A292=$A291,AX291,1))-AC292&lt;0),-1,MIN(1,IF($A292=$A291,AX291,1)-AC292+$D$2))</f>
        <v>1</v>
      </c>
      <c r="AY292">
        <f>IF(OR($J292=1,COUNTIFS($A$5:$A291,"&gt;="&amp;$A292-1,$A$5:$A291,"&lt;="&amp;$A292,$B$5:$B291,$B292)&gt;0,MIN(1-'Exercise list'!S$2,IF($A292=$A291,AY291,1))-AD292&lt;0),-1,MIN(1,IF($A292=$A291,AY291,1)-AD292+$D$2))</f>
        <v>1</v>
      </c>
      <c r="AZ292">
        <f>IF(OR($J292=1,COUNTIFS($A$5:$A291,"&gt;="&amp;$A292-1,$A$5:$A291,"&lt;="&amp;$A292,$B$5:$B291,$B292)&gt;0,MIN(1-'Exercise list'!T$2,IF($A292=$A291,AZ291,1))-AE292&lt;0),-1,MIN(1,IF($A292=$A291,AZ291,1)-AE292+$D$2))</f>
        <v>1</v>
      </c>
      <c r="BA292">
        <f>IF(OR($J292=1,COUNTIFS($A$5:$A291,"&gt;="&amp;$A292-1,$A$5:$A291,"&lt;="&amp;$A292,$B$5:$B291,$B292)&gt;0,MIN(1-'Exercise list'!U$2,IF($A292=$A291,BA291,1))-AF292&lt;0),-1,MIN(1,IF($A292=$A291,BA291,1)-AF292+$D$2))</f>
        <v>1</v>
      </c>
      <c r="BB292">
        <f>IF(OR($J292=1,COUNTIFS($A$5:$A291,"&gt;="&amp;$A292-1,$A$5:$A291,"&lt;="&amp;$A292,$B$5:$B291,$B292)&gt;0,MIN(1-'Exercise list'!V$2,IF($A292=$A291,BB291,1))-AG292&lt;0),-1,MIN(1,IF($A292=$A291,BB291,1)-AG292+$D$2))</f>
        <v>1</v>
      </c>
      <c r="BC292">
        <f>IF(OR($J292=1,COUNTIFS($A$5:$A291,"&gt;="&amp;$A292-1,$A$5:$A291,"&lt;="&amp;$A292,$B$5:$B291,$B292)&gt;0,MIN(1-'Exercise list'!W$2,IF($A292=$A291,BC291,1))-AH292&lt;0),-1,MIN(1,IF($A292=$A291,BC291,1)-AH292+$D$2))</f>
        <v>1</v>
      </c>
      <c r="BD292">
        <f>IF(OR($J292=1,COUNTIFS($A$5:$A291,"&gt;="&amp;$A292-1,$A$5:$A291,"&lt;="&amp;$A292,$B$5:$B291,$B292)&gt;0,MIN(1-'Exercise list'!X$2,IF($A292=$A291,BD291,1))-AI292&lt;0),-1,MIN(1,IF($A292=$A291,BD291,1)-AI292+$D$2))</f>
        <v>1</v>
      </c>
      <c r="BF292" s="16">
        <f t="shared" si="233"/>
        <v>0.19596031081758858</v>
      </c>
      <c r="BG292" s="16">
        <f t="shared" si="234"/>
        <v>0.21844636935459236</v>
      </c>
      <c r="BH292" s="16">
        <f t="shared" si="235"/>
        <v>0.14609696635987124</v>
      </c>
      <c r="BI292" s="16">
        <f t="shared" si="236"/>
        <v>0.13198015366034541</v>
      </c>
      <c r="BJ292" s="16">
        <f t="shared" si="237"/>
        <v>8.3367914198418713E-2</v>
      </c>
      <c r="BK292" s="16">
        <f t="shared" si="238"/>
        <v>0.10640640223148412</v>
      </c>
      <c r="BL292" s="16">
        <f t="shared" si="239"/>
        <v>0.21963504743569431</v>
      </c>
      <c r="BM292" s="16">
        <f t="shared" si="240"/>
        <v>3.8988008374820568E-3</v>
      </c>
      <c r="BN292" s="16">
        <f t="shared" si="241"/>
        <v>0.14537706087090876</v>
      </c>
      <c r="BO292" s="16">
        <f t="shared" si="242"/>
        <v>0.29209790661993401</v>
      </c>
      <c r="BP292" s="16">
        <f t="shared" si="243"/>
        <v>0.31584545163401867</v>
      </c>
      <c r="BQ292" s="16">
        <f t="shared" si="244"/>
        <v>0.1000007994126096</v>
      </c>
      <c r="BR292" s="16">
        <f t="shared" si="245"/>
        <v>0.13164487759885393</v>
      </c>
      <c r="BS292" s="16">
        <f t="shared" si="246"/>
        <v>2.9803550189863123E-2</v>
      </c>
      <c r="BT292" s="16">
        <f t="shared" si="247"/>
        <v>0.13492040904978705</v>
      </c>
      <c r="BU292" s="16">
        <f t="shared" si="248"/>
        <v>0.11703687414398131</v>
      </c>
      <c r="BV292" s="16">
        <f t="shared" si="249"/>
        <v>0.14633353213781661</v>
      </c>
      <c r="BW292" s="16">
        <f t="shared" si="250"/>
        <v>7.5588015111767173E-2</v>
      </c>
      <c r="BX292" s="16">
        <f t="shared" si="251"/>
        <v>8.0345659937185704E-2</v>
      </c>
      <c r="BY292" s="16">
        <f t="shared" si="252"/>
        <v>5.9014643151272549E-2</v>
      </c>
      <c r="CA292" s="16" t="str">
        <f t="shared" si="229"/>
        <v/>
      </c>
      <c r="CB292" s="16" t="str">
        <f t="shared" si="210"/>
        <v/>
      </c>
      <c r="CC292" s="16" t="str">
        <f t="shared" si="211"/>
        <v/>
      </c>
      <c r="CD292" s="16" t="str">
        <f t="shared" si="212"/>
        <v/>
      </c>
      <c r="CE292" s="16" t="str">
        <f t="shared" si="213"/>
        <v/>
      </c>
      <c r="CF292" s="16" t="str">
        <f t="shared" si="214"/>
        <v/>
      </c>
      <c r="CG292" s="16" t="str">
        <f t="shared" si="215"/>
        <v/>
      </c>
      <c r="CH292" s="16" t="str">
        <f t="shared" si="216"/>
        <v/>
      </c>
      <c r="CI292" s="16" t="str">
        <f t="shared" si="217"/>
        <v/>
      </c>
      <c r="CJ292" s="16" t="str">
        <f t="shared" si="218"/>
        <v/>
      </c>
      <c r="CK292" s="16" t="str">
        <f t="shared" si="219"/>
        <v/>
      </c>
      <c r="CL292" s="16" t="str">
        <f t="shared" si="220"/>
        <v/>
      </c>
      <c r="CM292" s="16" t="str">
        <f t="shared" si="221"/>
        <v/>
      </c>
      <c r="CN292" s="16" t="str">
        <f t="shared" si="222"/>
        <v/>
      </c>
      <c r="CO292" s="16" t="str">
        <f t="shared" si="223"/>
        <v/>
      </c>
      <c r="CP292" s="16" t="str">
        <f t="shared" si="224"/>
        <v/>
      </c>
      <c r="CQ292" s="16" t="str">
        <f t="shared" si="225"/>
        <v/>
      </c>
      <c r="CR292" s="16" t="str">
        <f t="shared" si="226"/>
        <v/>
      </c>
      <c r="CS292" s="16" t="str">
        <f t="shared" si="227"/>
        <v/>
      </c>
      <c r="CT292" s="16" t="str">
        <f t="shared" si="228"/>
        <v/>
      </c>
    </row>
    <row r="293" spans="1:99" x14ac:dyDescent="0.25">
      <c r="A293" s="20"/>
      <c r="B293" s="21"/>
      <c r="C293" s="22" t="str" cm="1">
        <f t="array" ref="C293">IF(B293="","",INDEX('Exercise list'!$C$5:$C$102,B293))</f>
        <v/>
      </c>
      <c r="D293" s="17" t="str">
        <f t="shared" si="230"/>
        <v/>
      </c>
      <c r="E293" s="108" t="str">
        <f t="shared" si="253"/>
        <v/>
      </c>
      <c r="F293" s="65" t="str" cm="1">
        <f t="array" ref="F293">IF(B293="","",0.1+IFERROR(INDEX($F$6:$F292,SUMPRODUCT(MAX(ROW($C$6:$C292)*($C293=$C$6:$C292))-ROW($A$5)))*0.9^($A293-INDEX($A$6:A292,SUMPRODUCT(MAX(ROW($C$6:$C292)*($C293=$C$6:$C292))-ROW($A$5)))),0))</f>
        <v/>
      </c>
      <c r="G293" s="25" t="e">
        <f>INDEX('Exercise list'!$Y$5:$Y$102,MATCH(C293,'Exercise list'!$C$5:$C$102,0))</f>
        <v>#N/A</v>
      </c>
      <c r="H293" s="116">
        <f t="shared" si="231"/>
        <v>0</v>
      </c>
      <c r="I293" s="18">
        <f t="shared" si="232"/>
        <v>5</v>
      </c>
      <c r="J293" s="18" t="str" cm="1">
        <f t="array" ref="J293">IF(B293="","",INDEX('Exercise list'!$D$5:$D$102,B293))</f>
        <v/>
      </c>
      <c r="K293" s="17"/>
      <c r="L293" s="51" t="str" cm="1">
        <f t="array" ref="L293">IF(K293="","",INDEX('Exercise list'!$C$5:$C$102,K293))</f>
        <v/>
      </c>
      <c r="M293" s="18"/>
      <c r="N293" s="76" t="str" cm="1">
        <f t="array" ref="N293">IF(M293="","",INDEX('Exercise list'!$C$5:$C$102,M293))</f>
        <v/>
      </c>
      <c r="O293" s="19"/>
      <c r="P293" s="19">
        <f>IFERROR(INDEX('Exercise list'!$E$5:$X$102,MATCH($C293,'Exercise list'!$C$5:$C$102,0),MATCH(P$5,'Exercise list'!$E$4:$X$4,0)),0)</f>
        <v>0</v>
      </c>
      <c r="Q293" s="19">
        <f>IFERROR(INDEX('Exercise list'!$E$5:$X$102,MATCH($C293,'Exercise list'!$C$5:$C$102,0),MATCH(Q$5,'Exercise list'!$E$4:$X$4,0)),0)</f>
        <v>0</v>
      </c>
      <c r="R293" s="19">
        <f>IFERROR(INDEX('Exercise list'!$E$5:$X$102,MATCH($C293,'Exercise list'!$C$5:$C$102,0),MATCH(R$5,'Exercise list'!$E$4:$X$4,0)),0)</f>
        <v>0</v>
      </c>
      <c r="S293" s="19">
        <f>IFERROR(INDEX('Exercise list'!$E$5:$X$102,MATCH($C293,'Exercise list'!$C$5:$C$102,0),MATCH(S$5,'Exercise list'!$E$4:$X$4,0)),0)</f>
        <v>0</v>
      </c>
      <c r="T293" s="19">
        <f>IFERROR(INDEX('Exercise list'!$E$5:$X$102,MATCH($C293,'Exercise list'!$C$5:$C$102,0),MATCH(T$5,'Exercise list'!$E$4:$X$4,0)),0)</f>
        <v>0</v>
      </c>
      <c r="U293" s="19">
        <f>IFERROR(INDEX('Exercise list'!$E$5:$X$102,MATCH($C293,'Exercise list'!$C$5:$C$102,0),MATCH(U$5,'Exercise list'!$E$4:$X$4,0)),0)</f>
        <v>0</v>
      </c>
      <c r="V293" s="19">
        <f>IFERROR(INDEX('Exercise list'!$E$5:$X$102,MATCH($C293,'Exercise list'!$C$5:$C$102,0),MATCH(V$5,'Exercise list'!$E$4:$X$4,0)),0)</f>
        <v>0</v>
      </c>
      <c r="W293" s="19">
        <f>IFERROR(INDEX('Exercise list'!$E$5:$X$102,MATCH($C293,'Exercise list'!$C$5:$C$102,0),MATCH(W$5,'Exercise list'!$E$4:$X$4,0)),0)</f>
        <v>0</v>
      </c>
      <c r="X293" s="19">
        <f>IFERROR(INDEX('Exercise list'!$E$5:$X$102,MATCH($C293,'Exercise list'!$C$5:$C$102,0),MATCH(X$5,'Exercise list'!$E$4:$X$4,0)),0)</f>
        <v>0</v>
      </c>
      <c r="Y293" s="19">
        <f>IFERROR(INDEX('Exercise list'!$E$5:$X$102,MATCH($C293,'Exercise list'!$C$5:$C$102,0),MATCH(Y$5,'Exercise list'!$E$4:$X$4,0)),0)</f>
        <v>0</v>
      </c>
      <c r="Z293" s="19">
        <f>IFERROR(INDEX('Exercise list'!$E$5:$X$102,MATCH($C293,'Exercise list'!$C$5:$C$102,0),MATCH(Z$5,'Exercise list'!$E$4:$X$4,0)),0)</f>
        <v>0</v>
      </c>
      <c r="AA293" s="19">
        <f>IFERROR(INDEX('Exercise list'!$E$5:$X$102,MATCH($C293,'Exercise list'!$C$5:$C$102,0),MATCH(AA$5,'Exercise list'!$E$4:$X$4,0)),0)</f>
        <v>0</v>
      </c>
      <c r="AB293" s="19">
        <f>IFERROR(INDEX('Exercise list'!$E$5:$X$102,MATCH($C293,'Exercise list'!$C$5:$C$102,0),MATCH(AB$5,'Exercise list'!$E$4:$X$4,0)),0)</f>
        <v>0</v>
      </c>
      <c r="AC293" s="19">
        <f>IFERROR(INDEX('Exercise list'!$E$5:$X$102,MATCH($C293,'Exercise list'!$C$5:$C$102,0),MATCH(AC$5,'Exercise list'!$E$4:$X$4,0)),0)</f>
        <v>0</v>
      </c>
      <c r="AD293" s="19">
        <f>IFERROR(INDEX('Exercise list'!$E$5:$X$102,MATCH($C293,'Exercise list'!$C$5:$C$102,0),MATCH(AD$5,'Exercise list'!$E$4:$X$4,0)),0)</f>
        <v>0</v>
      </c>
      <c r="AE293" s="19">
        <f>IFERROR(INDEX('Exercise list'!$E$5:$X$102,MATCH($C293,'Exercise list'!$C$5:$C$102,0),MATCH(AE$5,'Exercise list'!$E$4:$X$4,0)),0)</f>
        <v>0</v>
      </c>
      <c r="AF293" s="19">
        <f>IFERROR(INDEX('Exercise list'!$E$5:$X$102,MATCH($C293,'Exercise list'!$C$5:$C$102,0),MATCH(AF$5,'Exercise list'!$E$4:$X$4,0)),0)</f>
        <v>0</v>
      </c>
      <c r="AG293" s="19">
        <f>IFERROR(INDEX('Exercise list'!$E$5:$X$102,MATCH($C293,'Exercise list'!$C$5:$C$102,0),MATCH(AG$5,'Exercise list'!$E$4:$X$4,0)),0)</f>
        <v>0</v>
      </c>
      <c r="AH293" s="19">
        <f>IFERROR(INDEX('Exercise list'!$E$5:$X$102,MATCH($C293,'Exercise list'!$C$5:$C$102,0),MATCH(AH$5,'Exercise list'!$E$4:$X$4,0)),0)</f>
        <v>0</v>
      </c>
      <c r="AI293" s="19">
        <f>IFERROR(INDEX('Exercise list'!$E$5:$X$102,MATCH($C293,'Exercise list'!$C$5:$C$102,0),MATCH(AI$5,'Exercise list'!$E$4:$X$4,0)),0)</f>
        <v>0</v>
      </c>
      <c r="AJ293" s="19"/>
      <c r="AK293" s="19">
        <f>IF(OR($J293=1,COUNTIFS($A$5:$A292,"&gt;="&amp;$A293-1,$A$5:$A292,"&lt;="&amp;$A293,$B$5:$B292,$B293)&gt;0,MIN(1-'Exercise list'!E$2,IF($A293=$A292,AK292,1))-P293&lt;0),-1,MIN(1,IF($A293=$A292,AK292,1)-P293+$D$2))</f>
        <v>1</v>
      </c>
      <c r="AL293" s="19">
        <f>IF(OR($J293=1,COUNTIFS($A$5:$A292,"&gt;="&amp;$A293-1,$A$5:$A292,"&lt;="&amp;$A293,$B$5:$B292,$B293)&gt;0,MIN(1-'Exercise list'!F$2,IF($A293=$A292,AL292,1))-Q293&lt;0),-1,MIN(1,IF($A293=$A292,AL292,1)-Q293+$D$2))</f>
        <v>1</v>
      </c>
      <c r="AM293" s="19">
        <f>IF(OR($J293=1,COUNTIFS($A$5:$A292,"&gt;="&amp;$A293-1,$A$5:$A292,"&lt;="&amp;$A293,$B$5:$B292,$B293)&gt;0,MIN(1-'Exercise list'!G$2,IF($A293=$A292,AM292,1))-R293&lt;0),-1,MIN(1,IF($A293=$A292,AM292,1)-R293+$D$2))</f>
        <v>1</v>
      </c>
      <c r="AN293" s="19">
        <f>IF(OR($J293=1,COUNTIFS($A$5:$A292,"&gt;="&amp;$A293-1,$A$5:$A292,"&lt;="&amp;$A293,$B$5:$B292,$B293)&gt;0,MIN(1-'Exercise list'!H$2,IF($A293=$A292,AN292,1))-S293&lt;0),-1,MIN(1,IF($A293=$A292,AN292,1)-S293+$D$2))</f>
        <v>1</v>
      </c>
      <c r="AO293" s="19">
        <f>IF(OR($J293=1,COUNTIFS($A$5:$A292,"&gt;="&amp;$A293-1,$A$5:$A292,"&lt;="&amp;$A293,$B$5:$B292,$B293)&gt;0,MIN(1-'Exercise list'!I$2,IF($A293=$A292,AO292,1))-T293&lt;0),-1,MIN(1,IF($A293=$A292,AO292,1)-T293+$D$2))</f>
        <v>1</v>
      </c>
      <c r="AP293" s="19">
        <f>IF(OR($J293=1,COUNTIFS($A$5:$A292,"&gt;="&amp;$A293-1,$A$5:$A292,"&lt;="&amp;$A293,$B$5:$B292,$B293)&gt;0,MIN(1-'Exercise list'!J$2,IF($A293=$A292,AP292,1))-U293&lt;0),-1,MIN(1,IF($A293=$A292,AP292,1)-U293+$D$2))</f>
        <v>1</v>
      </c>
      <c r="AQ293" s="19">
        <f>IF(OR($J293=1,COUNTIFS($A$5:$A292,"&gt;="&amp;$A293-1,$A$5:$A292,"&lt;="&amp;$A293,$B$5:$B292,$B293)&gt;0,MIN(1-'Exercise list'!K$2,IF($A293=$A292,AQ292,1))-V293&lt;0),-1,MIN(1,IF($A293=$A292,AQ292,1)-V293+$D$2))</f>
        <v>1</v>
      </c>
      <c r="AR293" s="19">
        <f>IF(OR($J293=1,COUNTIFS($A$5:$A292,"&gt;="&amp;$A293-1,$A$5:$A292,"&lt;="&amp;$A293,$B$5:$B292,$B293)&gt;0,MIN(1-'Exercise list'!L$2,IF($A293=$A292,AR292,1))-W293&lt;0),-1,MIN(1,IF($A293=$A292,AR292,1)-W293+$D$2))</f>
        <v>1</v>
      </c>
      <c r="AS293" s="19">
        <f>IF(OR($J293=1,COUNTIFS($A$5:$A292,"&gt;="&amp;$A293-1,$A$5:$A292,"&lt;="&amp;$A293,$B$5:$B292,$B293)&gt;0,MIN(1-'Exercise list'!M$2,IF($A293=$A292,AS292,1))-X293&lt;0),-1,MIN(1,IF($A293=$A292,AS292,1)-X293+$D$2))</f>
        <v>1</v>
      </c>
      <c r="AT293" s="19">
        <f>IF(OR($J293=1,COUNTIFS($A$5:$A292,"&gt;="&amp;$A293-1,$A$5:$A292,"&lt;="&amp;$A293,$B$5:$B292,$B293)&gt;0,MIN(1-'Exercise list'!N$2,IF($A293=$A292,AT292,1))-Y293&lt;0),-1,MIN(1,IF($A293=$A292,AT292,1)-Y293+$D$2))</f>
        <v>1</v>
      </c>
      <c r="AU293" s="19">
        <f>IF(OR($J293=1,COUNTIFS($A$5:$A292,"&gt;="&amp;$A293-1,$A$5:$A292,"&lt;="&amp;$A293,$B$5:$B292,$B293)&gt;0,MIN(1-'Exercise list'!O$2,IF($A293=$A292,AU292,1))-Z293&lt;0),-1,MIN(1,IF($A293=$A292,AU292,1)-Z293+$D$2))</f>
        <v>1</v>
      </c>
      <c r="AV293" s="19">
        <f>IF(OR($J293=1,COUNTIFS($A$5:$A292,"&gt;="&amp;$A293-1,$A$5:$A292,"&lt;="&amp;$A293,$B$5:$B292,$B293)&gt;0,MIN(1-'Exercise list'!P$2,IF($A293=$A292,AV292,1))-AA293&lt;0),-1,MIN(1,IF($A293=$A292,AV292,1)-AA293+$D$2))</f>
        <v>1</v>
      </c>
      <c r="AW293" s="19">
        <f>IF(OR($J293=1,COUNTIFS($A$5:$A292,"&gt;="&amp;$A293-1,$A$5:$A292,"&lt;="&amp;$A293,$B$5:$B292,$B293)&gt;0,MIN(1-'Exercise list'!Q$2,IF($A293=$A292,AW292,1))-AB293&lt;0),-1,MIN(1,IF($A293=$A292,AW292,1)-AB293+$D$2))</f>
        <v>1</v>
      </c>
      <c r="AX293" s="19">
        <f>IF(OR($J293=1,COUNTIFS($A$5:$A292,"&gt;="&amp;$A293-1,$A$5:$A292,"&lt;="&amp;$A293,$B$5:$B292,$B293)&gt;0,MIN(1-'Exercise list'!R$2,IF($A293=$A292,AX292,1))-AC293&lt;0),-1,MIN(1,IF($A293=$A292,AX292,1)-AC293+$D$2))</f>
        <v>1</v>
      </c>
      <c r="AY293" s="19">
        <f>IF(OR($J293=1,COUNTIFS($A$5:$A292,"&gt;="&amp;$A293-1,$A$5:$A292,"&lt;="&amp;$A293,$B$5:$B292,$B293)&gt;0,MIN(1-'Exercise list'!S$2,IF($A293=$A292,AY292,1))-AD293&lt;0),-1,MIN(1,IF($A293=$A292,AY292,1)-AD293+$D$2))</f>
        <v>1</v>
      </c>
      <c r="AZ293" s="19">
        <f>IF(OR($J293=1,COUNTIFS($A$5:$A292,"&gt;="&amp;$A293-1,$A$5:$A292,"&lt;="&amp;$A293,$B$5:$B292,$B293)&gt;0,MIN(1-'Exercise list'!T$2,IF($A293=$A292,AZ292,1))-AE293&lt;0),-1,MIN(1,IF($A293=$A292,AZ292,1)-AE293+$D$2))</f>
        <v>1</v>
      </c>
      <c r="BA293" s="19">
        <f>IF(OR($J293=1,COUNTIFS($A$5:$A292,"&gt;="&amp;$A293-1,$A$5:$A292,"&lt;="&amp;$A293,$B$5:$B292,$B293)&gt;0,MIN(1-'Exercise list'!U$2,IF($A293=$A292,BA292,1))-AF293&lt;0),-1,MIN(1,IF($A293=$A292,BA292,1)-AF293+$D$2))</f>
        <v>1</v>
      </c>
      <c r="BB293" s="19">
        <f>IF(OR($J293=1,COUNTIFS($A$5:$A292,"&gt;="&amp;$A293-1,$A$5:$A292,"&lt;="&amp;$A293,$B$5:$B292,$B293)&gt;0,MIN(1-'Exercise list'!V$2,IF($A293=$A292,BB292,1))-AG293&lt;0),-1,MIN(1,IF($A293=$A292,BB292,1)-AG293+$D$2))</f>
        <v>1</v>
      </c>
      <c r="BC293" s="19">
        <f>IF(OR($J293=1,COUNTIFS($A$5:$A292,"&gt;="&amp;$A293-1,$A$5:$A292,"&lt;="&amp;$A293,$B$5:$B292,$B293)&gt;0,MIN(1-'Exercise list'!W$2,IF($A293=$A292,BC292,1))-AH293&lt;0),-1,MIN(1,IF($A293=$A292,BC292,1)-AH293+$D$2))</f>
        <v>1</v>
      </c>
      <c r="BD293" s="19">
        <f>IF(OR($J293=1,COUNTIFS($A$5:$A292,"&gt;="&amp;$A293-1,$A$5:$A292,"&lt;="&amp;$A293,$B$5:$B292,$B293)&gt;0,MIN(1-'Exercise list'!X$2,IF($A293=$A292,BD292,1))-AI293&lt;0),-1,MIN(1,IF($A293=$A292,BD292,1)-AI293+$D$2))</f>
        <v>1</v>
      </c>
      <c r="BE293" s="19"/>
      <c r="BF293" s="23">
        <f t="shared" si="233"/>
        <v>0.19596031081758858</v>
      </c>
      <c r="BG293" s="23">
        <f t="shared" si="234"/>
        <v>0.21844636935459236</v>
      </c>
      <c r="BH293" s="23">
        <f t="shared" si="235"/>
        <v>0.14609696635987124</v>
      </c>
      <c r="BI293" s="23">
        <f t="shared" si="236"/>
        <v>0.13198015366034541</v>
      </c>
      <c r="BJ293" s="23">
        <f t="shared" si="237"/>
        <v>8.3367914198418713E-2</v>
      </c>
      <c r="BK293" s="23">
        <f t="shared" si="238"/>
        <v>0.10640640223148412</v>
      </c>
      <c r="BL293" s="23">
        <f t="shared" si="239"/>
        <v>0.21963504743569431</v>
      </c>
      <c r="BM293" s="23">
        <f t="shared" si="240"/>
        <v>3.8988008374820568E-3</v>
      </c>
      <c r="BN293" s="23">
        <f t="shared" si="241"/>
        <v>0.14537706087090876</v>
      </c>
      <c r="BO293" s="23">
        <f t="shared" si="242"/>
        <v>0.29209790661993401</v>
      </c>
      <c r="BP293" s="23">
        <f t="shared" si="243"/>
        <v>0.31584545163401867</v>
      </c>
      <c r="BQ293" s="23">
        <f t="shared" si="244"/>
        <v>0.1000007994126096</v>
      </c>
      <c r="BR293" s="23">
        <f t="shared" si="245"/>
        <v>0.13164487759885393</v>
      </c>
      <c r="BS293" s="23">
        <f t="shared" si="246"/>
        <v>2.9803550189863123E-2</v>
      </c>
      <c r="BT293" s="23">
        <f t="shared" si="247"/>
        <v>0.13492040904978705</v>
      </c>
      <c r="BU293" s="23">
        <f t="shared" si="248"/>
        <v>0.11703687414398131</v>
      </c>
      <c r="BV293" s="23">
        <f t="shared" si="249"/>
        <v>0.14633353213781661</v>
      </c>
      <c r="BW293" s="23">
        <f t="shared" si="250"/>
        <v>7.5588015111767173E-2</v>
      </c>
      <c r="BX293" s="23">
        <f t="shared" si="251"/>
        <v>8.0345659937185704E-2</v>
      </c>
      <c r="BY293" s="23">
        <f t="shared" si="252"/>
        <v>5.9014643151272549E-2</v>
      </c>
      <c r="BZ293" s="19"/>
      <c r="CA293" s="23" t="str">
        <f t="shared" si="229"/>
        <v/>
      </c>
      <c r="CB293" s="23" t="str">
        <f t="shared" si="210"/>
        <v/>
      </c>
      <c r="CC293" s="23" t="str">
        <f t="shared" si="211"/>
        <v/>
      </c>
      <c r="CD293" s="23" t="str">
        <f t="shared" si="212"/>
        <v/>
      </c>
      <c r="CE293" s="23" t="str">
        <f t="shared" si="213"/>
        <v/>
      </c>
      <c r="CF293" s="23" t="str">
        <f t="shared" si="214"/>
        <v/>
      </c>
      <c r="CG293" s="23" t="str">
        <f t="shared" si="215"/>
        <v/>
      </c>
      <c r="CH293" s="23" t="str">
        <f t="shared" si="216"/>
        <v/>
      </c>
      <c r="CI293" s="23" t="str">
        <f t="shared" si="217"/>
        <v/>
      </c>
      <c r="CJ293" s="23" t="str">
        <f t="shared" si="218"/>
        <v/>
      </c>
      <c r="CK293" s="23" t="str">
        <f t="shared" si="219"/>
        <v/>
      </c>
      <c r="CL293" s="23" t="str">
        <f t="shared" si="220"/>
        <v/>
      </c>
      <c r="CM293" s="23" t="str">
        <f t="shared" si="221"/>
        <v/>
      </c>
      <c r="CN293" s="23" t="str">
        <f t="shared" si="222"/>
        <v/>
      </c>
      <c r="CO293" s="23" t="str">
        <f t="shared" si="223"/>
        <v/>
      </c>
      <c r="CP293" s="23" t="str">
        <f t="shared" si="224"/>
        <v/>
      </c>
      <c r="CQ293" s="23" t="str">
        <f t="shared" si="225"/>
        <v/>
      </c>
      <c r="CR293" s="23" t="str">
        <f t="shared" si="226"/>
        <v/>
      </c>
      <c r="CS293" s="23" t="str">
        <f t="shared" si="227"/>
        <v/>
      </c>
      <c r="CT293" s="23" t="str">
        <f t="shared" si="228"/>
        <v/>
      </c>
      <c r="CU293" s="19"/>
    </row>
    <row r="294" spans="1:99" x14ac:dyDescent="0.25">
      <c r="A294" s="13"/>
      <c r="B294" s="14"/>
      <c r="C294" s="15" t="str" cm="1">
        <f t="array" ref="C294">IF(B294="","",INDEX('Exercise list'!$C$5:$C$102,B294))</f>
        <v/>
      </c>
      <c r="D294" s="12" t="str">
        <f t="shared" si="230"/>
        <v/>
      </c>
      <c r="E294" s="107" t="str">
        <f t="shared" si="253"/>
        <v/>
      </c>
      <c r="F294" s="63" t="str" cm="1">
        <f t="array" ref="F294">IF(B294="","",0.1+IFERROR(INDEX($F$6:$F293,SUMPRODUCT(MAX(ROW($C$6:$C293)*($C294=$C$6:$C293))-ROW($A$5)))*0.9^($A294-INDEX($A$6:A293,SUMPRODUCT(MAX(ROW($C$6:$C293)*($C294=$C$6:$C293))-ROW($A$5)))),0))</f>
        <v/>
      </c>
      <c r="G294" s="64" t="e">
        <f>INDEX('Exercise list'!$Y$5:$Y$102,MATCH(C294,'Exercise list'!$C$5:$C$102,0))</f>
        <v>#N/A</v>
      </c>
      <c r="H294" s="115">
        <f t="shared" si="231"/>
        <v>0</v>
      </c>
      <c r="I294" s="42">
        <f t="shared" si="232"/>
        <v>5</v>
      </c>
      <c r="J294" s="6" t="str" cm="1">
        <f t="array" ref="J294">IF(B294="","",INDEX('Exercise list'!$D$5:$D$102,B294))</f>
        <v/>
      </c>
      <c r="K294" s="12"/>
      <c r="L294" s="74" t="str" cm="1">
        <f t="array" ref="L294">IF(K294="","",INDEX('Exercise list'!$C$5:$C$102,K294))</f>
        <v/>
      </c>
      <c r="M294" s="6"/>
      <c r="N294" s="75" t="str" cm="1">
        <f t="array" ref="N294">IF(M294="","",INDEX('Exercise list'!$C$5:$C$102,M294))</f>
        <v/>
      </c>
      <c r="P294">
        <f>IFERROR(INDEX('Exercise list'!$E$5:$X$102,MATCH($C294,'Exercise list'!$C$5:$C$102,0),MATCH(P$5,'Exercise list'!$E$4:$X$4,0)),0)</f>
        <v>0</v>
      </c>
      <c r="Q294">
        <f>IFERROR(INDEX('Exercise list'!$E$5:$X$102,MATCH($C294,'Exercise list'!$C$5:$C$102,0),MATCH(Q$5,'Exercise list'!$E$4:$X$4,0)),0)</f>
        <v>0</v>
      </c>
      <c r="R294">
        <f>IFERROR(INDEX('Exercise list'!$E$5:$X$102,MATCH($C294,'Exercise list'!$C$5:$C$102,0),MATCH(R$5,'Exercise list'!$E$4:$X$4,0)),0)</f>
        <v>0</v>
      </c>
      <c r="S294">
        <f>IFERROR(INDEX('Exercise list'!$E$5:$X$102,MATCH($C294,'Exercise list'!$C$5:$C$102,0),MATCH(S$5,'Exercise list'!$E$4:$X$4,0)),0)</f>
        <v>0</v>
      </c>
      <c r="T294">
        <f>IFERROR(INDEX('Exercise list'!$E$5:$X$102,MATCH($C294,'Exercise list'!$C$5:$C$102,0),MATCH(T$5,'Exercise list'!$E$4:$X$4,0)),0)</f>
        <v>0</v>
      </c>
      <c r="U294">
        <f>IFERROR(INDEX('Exercise list'!$E$5:$X$102,MATCH($C294,'Exercise list'!$C$5:$C$102,0),MATCH(U$5,'Exercise list'!$E$4:$X$4,0)),0)</f>
        <v>0</v>
      </c>
      <c r="V294">
        <f>IFERROR(INDEX('Exercise list'!$E$5:$X$102,MATCH($C294,'Exercise list'!$C$5:$C$102,0),MATCH(V$5,'Exercise list'!$E$4:$X$4,0)),0)</f>
        <v>0</v>
      </c>
      <c r="W294">
        <f>IFERROR(INDEX('Exercise list'!$E$5:$X$102,MATCH($C294,'Exercise list'!$C$5:$C$102,0),MATCH(W$5,'Exercise list'!$E$4:$X$4,0)),0)</f>
        <v>0</v>
      </c>
      <c r="X294">
        <f>IFERROR(INDEX('Exercise list'!$E$5:$X$102,MATCH($C294,'Exercise list'!$C$5:$C$102,0),MATCH(X$5,'Exercise list'!$E$4:$X$4,0)),0)</f>
        <v>0</v>
      </c>
      <c r="Y294">
        <f>IFERROR(INDEX('Exercise list'!$E$5:$X$102,MATCH($C294,'Exercise list'!$C$5:$C$102,0),MATCH(Y$5,'Exercise list'!$E$4:$X$4,0)),0)</f>
        <v>0</v>
      </c>
      <c r="Z294">
        <f>IFERROR(INDEX('Exercise list'!$E$5:$X$102,MATCH($C294,'Exercise list'!$C$5:$C$102,0),MATCH(Z$5,'Exercise list'!$E$4:$X$4,0)),0)</f>
        <v>0</v>
      </c>
      <c r="AA294">
        <f>IFERROR(INDEX('Exercise list'!$E$5:$X$102,MATCH($C294,'Exercise list'!$C$5:$C$102,0),MATCH(AA$5,'Exercise list'!$E$4:$X$4,0)),0)</f>
        <v>0</v>
      </c>
      <c r="AB294">
        <f>IFERROR(INDEX('Exercise list'!$E$5:$X$102,MATCH($C294,'Exercise list'!$C$5:$C$102,0),MATCH(AB$5,'Exercise list'!$E$4:$X$4,0)),0)</f>
        <v>0</v>
      </c>
      <c r="AC294">
        <f>IFERROR(INDEX('Exercise list'!$E$5:$X$102,MATCH($C294,'Exercise list'!$C$5:$C$102,0),MATCH(AC$5,'Exercise list'!$E$4:$X$4,0)),0)</f>
        <v>0</v>
      </c>
      <c r="AD294">
        <f>IFERROR(INDEX('Exercise list'!$E$5:$X$102,MATCH($C294,'Exercise list'!$C$5:$C$102,0),MATCH(AD$5,'Exercise list'!$E$4:$X$4,0)),0)</f>
        <v>0</v>
      </c>
      <c r="AE294">
        <f>IFERROR(INDEX('Exercise list'!$E$5:$X$102,MATCH($C294,'Exercise list'!$C$5:$C$102,0),MATCH(AE$5,'Exercise list'!$E$4:$X$4,0)),0)</f>
        <v>0</v>
      </c>
      <c r="AF294">
        <f>IFERROR(INDEX('Exercise list'!$E$5:$X$102,MATCH($C294,'Exercise list'!$C$5:$C$102,0),MATCH(AF$5,'Exercise list'!$E$4:$X$4,0)),0)</f>
        <v>0</v>
      </c>
      <c r="AG294">
        <f>IFERROR(INDEX('Exercise list'!$E$5:$X$102,MATCH($C294,'Exercise list'!$C$5:$C$102,0),MATCH(AG$5,'Exercise list'!$E$4:$X$4,0)),0)</f>
        <v>0</v>
      </c>
      <c r="AH294">
        <f>IFERROR(INDEX('Exercise list'!$E$5:$X$102,MATCH($C294,'Exercise list'!$C$5:$C$102,0),MATCH(AH$5,'Exercise list'!$E$4:$X$4,0)),0)</f>
        <v>0</v>
      </c>
      <c r="AI294">
        <f>IFERROR(INDEX('Exercise list'!$E$5:$X$102,MATCH($C294,'Exercise list'!$C$5:$C$102,0),MATCH(AI$5,'Exercise list'!$E$4:$X$4,0)),0)</f>
        <v>0</v>
      </c>
      <c r="AK294">
        <f>IF(OR($J294=1,COUNTIFS($A$5:$A293,"&gt;="&amp;$A294-1,$A$5:$A293,"&lt;="&amp;$A294,$B$5:$B293,$B294)&gt;0,MIN(1-'Exercise list'!E$2,IF($A294=$A293,AK293,1))-P294&lt;0),-1,MIN(1,IF($A294=$A293,AK293,1)-P294+$D$2))</f>
        <v>1</v>
      </c>
      <c r="AL294">
        <f>IF(OR($J294=1,COUNTIFS($A$5:$A293,"&gt;="&amp;$A294-1,$A$5:$A293,"&lt;="&amp;$A294,$B$5:$B293,$B294)&gt;0,MIN(1-'Exercise list'!F$2,IF($A294=$A293,AL293,1))-Q294&lt;0),-1,MIN(1,IF($A294=$A293,AL293,1)-Q294+$D$2))</f>
        <v>1</v>
      </c>
      <c r="AM294">
        <f>IF(OR($J294=1,COUNTIFS($A$5:$A293,"&gt;="&amp;$A294-1,$A$5:$A293,"&lt;="&amp;$A294,$B$5:$B293,$B294)&gt;0,MIN(1-'Exercise list'!G$2,IF($A294=$A293,AM293,1))-R294&lt;0),-1,MIN(1,IF($A294=$A293,AM293,1)-R294+$D$2))</f>
        <v>1</v>
      </c>
      <c r="AN294">
        <f>IF(OR($J294=1,COUNTIFS($A$5:$A293,"&gt;="&amp;$A294-1,$A$5:$A293,"&lt;="&amp;$A294,$B$5:$B293,$B294)&gt;0,MIN(1-'Exercise list'!H$2,IF($A294=$A293,AN293,1))-S294&lt;0),-1,MIN(1,IF($A294=$A293,AN293,1)-S294+$D$2))</f>
        <v>1</v>
      </c>
      <c r="AO294">
        <f>IF(OR($J294=1,COUNTIFS($A$5:$A293,"&gt;="&amp;$A294-1,$A$5:$A293,"&lt;="&amp;$A294,$B$5:$B293,$B294)&gt;0,MIN(1-'Exercise list'!I$2,IF($A294=$A293,AO293,1))-T294&lt;0),-1,MIN(1,IF($A294=$A293,AO293,1)-T294+$D$2))</f>
        <v>1</v>
      </c>
      <c r="AP294">
        <f>IF(OR($J294=1,COUNTIFS($A$5:$A293,"&gt;="&amp;$A294-1,$A$5:$A293,"&lt;="&amp;$A294,$B$5:$B293,$B294)&gt;0,MIN(1-'Exercise list'!J$2,IF($A294=$A293,AP293,1))-U294&lt;0),-1,MIN(1,IF($A294=$A293,AP293,1)-U294+$D$2))</f>
        <v>1</v>
      </c>
      <c r="AQ294">
        <f>IF(OR($J294=1,COUNTIFS($A$5:$A293,"&gt;="&amp;$A294-1,$A$5:$A293,"&lt;="&amp;$A294,$B$5:$B293,$B294)&gt;0,MIN(1-'Exercise list'!K$2,IF($A294=$A293,AQ293,1))-V294&lt;0),-1,MIN(1,IF($A294=$A293,AQ293,1)-V294+$D$2))</f>
        <v>1</v>
      </c>
      <c r="AR294">
        <f>IF(OR($J294=1,COUNTIFS($A$5:$A293,"&gt;="&amp;$A294-1,$A$5:$A293,"&lt;="&amp;$A294,$B$5:$B293,$B294)&gt;0,MIN(1-'Exercise list'!L$2,IF($A294=$A293,AR293,1))-W294&lt;0),-1,MIN(1,IF($A294=$A293,AR293,1)-W294+$D$2))</f>
        <v>1</v>
      </c>
      <c r="AS294">
        <f>IF(OR($J294=1,COUNTIFS($A$5:$A293,"&gt;="&amp;$A294-1,$A$5:$A293,"&lt;="&amp;$A294,$B$5:$B293,$B294)&gt;0,MIN(1-'Exercise list'!M$2,IF($A294=$A293,AS293,1))-X294&lt;0),-1,MIN(1,IF($A294=$A293,AS293,1)-X294+$D$2))</f>
        <v>1</v>
      </c>
      <c r="AT294">
        <f>IF(OR($J294=1,COUNTIFS($A$5:$A293,"&gt;="&amp;$A294-1,$A$5:$A293,"&lt;="&amp;$A294,$B$5:$B293,$B294)&gt;0,MIN(1-'Exercise list'!N$2,IF($A294=$A293,AT293,1))-Y294&lt;0),-1,MIN(1,IF($A294=$A293,AT293,1)-Y294+$D$2))</f>
        <v>1</v>
      </c>
      <c r="AU294">
        <f>IF(OR($J294=1,COUNTIFS($A$5:$A293,"&gt;="&amp;$A294-1,$A$5:$A293,"&lt;="&amp;$A294,$B$5:$B293,$B294)&gt;0,MIN(1-'Exercise list'!O$2,IF($A294=$A293,AU293,1))-Z294&lt;0),-1,MIN(1,IF($A294=$A293,AU293,1)-Z294+$D$2))</f>
        <v>1</v>
      </c>
      <c r="AV294">
        <f>IF(OR($J294=1,COUNTIFS($A$5:$A293,"&gt;="&amp;$A294-1,$A$5:$A293,"&lt;="&amp;$A294,$B$5:$B293,$B294)&gt;0,MIN(1-'Exercise list'!P$2,IF($A294=$A293,AV293,1))-AA294&lt;0),-1,MIN(1,IF($A294=$A293,AV293,1)-AA294+$D$2))</f>
        <v>1</v>
      </c>
      <c r="AW294">
        <f>IF(OR($J294=1,COUNTIFS($A$5:$A293,"&gt;="&amp;$A294-1,$A$5:$A293,"&lt;="&amp;$A294,$B$5:$B293,$B294)&gt;0,MIN(1-'Exercise list'!Q$2,IF($A294=$A293,AW293,1))-AB294&lt;0),-1,MIN(1,IF($A294=$A293,AW293,1)-AB294+$D$2))</f>
        <v>1</v>
      </c>
      <c r="AX294">
        <f>IF(OR($J294=1,COUNTIFS($A$5:$A293,"&gt;="&amp;$A294-1,$A$5:$A293,"&lt;="&amp;$A294,$B$5:$B293,$B294)&gt;0,MIN(1-'Exercise list'!R$2,IF($A294=$A293,AX293,1))-AC294&lt;0),-1,MIN(1,IF($A294=$A293,AX293,1)-AC294+$D$2))</f>
        <v>1</v>
      </c>
      <c r="AY294">
        <f>IF(OR($J294=1,COUNTIFS($A$5:$A293,"&gt;="&amp;$A294-1,$A$5:$A293,"&lt;="&amp;$A294,$B$5:$B293,$B294)&gt;0,MIN(1-'Exercise list'!S$2,IF($A294=$A293,AY293,1))-AD294&lt;0),-1,MIN(1,IF($A294=$A293,AY293,1)-AD294+$D$2))</f>
        <v>1</v>
      </c>
      <c r="AZ294">
        <f>IF(OR($J294=1,COUNTIFS($A$5:$A293,"&gt;="&amp;$A294-1,$A$5:$A293,"&lt;="&amp;$A294,$B$5:$B293,$B294)&gt;0,MIN(1-'Exercise list'!T$2,IF($A294=$A293,AZ293,1))-AE294&lt;0),-1,MIN(1,IF($A294=$A293,AZ293,1)-AE294+$D$2))</f>
        <v>1</v>
      </c>
      <c r="BA294">
        <f>IF(OR($J294=1,COUNTIFS($A$5:$A293,"&gt;="&amp;$A294-1,$A$5:$A293,"&lt;="&amp;$A294,$B$5:$B293,$B294)&gt;0,MIN(1-'Exercise list'!U$2,IF($A294=$A293,BA293,1))-AF294&lt;0),-1,MIN(1,IF($A294=$A293,BA293,1)-AF294+$D$2))</f>
        <v>1</v>
      </c>
      <c r="BB294">
        <f>IF(OR($J294=1,COUNTIFS($A$5:$A293,"&gt;="&amp;$A294-1,$A$5:$A293,"&lt;="&amp;$A294,$B$5:$B293,$B294)&gt;0,MIN(1-'Exercise list'!V$2,IF($A294=$A293,BB293,1))-AG294&lt;0),-1,MIN(1,IF($A294=$A293,BB293,1)-AG294+$D$2))</f>
        <v>1</v>
      </c>
      <c r="BC294">
        <f>IF(OR($J294=1,COUNTIFS($A$5:$A293,"&gt;="&amp;$A294-1,$A$5:$A293,"&lt;="&amp;$A294,$B$5:$B293,$B294)&gt;0,MIN(1-'Exercise list'!W$2,IF($A294=$A293,BC293,1))-AH294&lt;0),-1,MIN(1,IF($A294=$A293,BC293,1)-AH294+$D$2))</f>
        <v>1</v>
      </c>
      <c r="BD294">
        <f>IF(OR($J294=1,COUNTIFS($A$5:$A293,"&gt;="&amp;$A294-1,$A$5:$A293,"&lt;="&amp;$A294,$B$5:$B293,$B294)&gt;0,MIN(1-'Exercise list'!X$2,IF($A294=$A293,BD293,1))-AI294&lt;0),-1,MIN(1,IF($A294=$A293,BD293,1)-AI294+$D$2))</f>
        <v>1</v>
      </c>
      <c r="BF294" s="16">
        <f t="shared" si="233"/>
        <v>0.19596031081758858</v>
      </c>
      <c r="BG294" s="16">
        <f t="shared" si="234"/>
        <v>0.21844636935459236</v>
      </c>
      <c r="BH294" s="16">
        <f t="shared" si="235"/>
        <v>0.14609696635987124</v>
      </c>
      <c r="BI294" s="16">
        <f t="shared" si="236"/>
        <v>0.13198015366034541</v>
      </c>
      <c r="BJ294" s="16">
        <f t="shared" si="237"/>
        <v>8.3367914198418713E-2</v>
      </c>
      <c r="BK294" s="16">
        <f t="shared" si="238"/>
        <v>0.10640640223148412</v>
      </c>
      <c r="BL294" s="16">
        <f t="shared" si="239"/>
        <v>0.21963504743569431</v>
      </c>
      <c r="BM294" s="16">
        <f t="shared" si="240"/>
        <v>3.8988008374820568E-3</v>
      </c>
      <c r="BN294" s="16">
        <f t="shared" si="241"/>
        <v>0.14537706087090876</v>
      </c>
      <c r="BO294" s="16">
        <f t="shared" si="242"/>
        <v>0.29209790661993401</v>
      </c>
      <c r="BP294" s="16">
        <f t="shared" si="243"/>
        <v>0.31584545163401867</v>
      </c>
      <c r="BQ294" s="16">
        <f t="shared" si="244"/>
        <v>0.1000007994126096</v>
      </c>
      <c r="BR294" s="16">
        <f t="shared" si="245"/>
        <v>0.13164487759885393</v>
      </c>
      <c r="BS294" s="16">
        <f t="shared" si="246"/>
        <v>2.9803550189863123E-2</v>
      </c>
      <c r="BT294" s="16">
        <f t="shared" si="247"/>
        <v>0.13492040904978705</v>
      </c>
      <c r="BU294" s="16">
        <f t="shared" si="248"/>
        <v>0.11703687414398131</v>
      </c>
      <c r="BV294" s="16">
        <f t="shared" si="249"/>
        <v>0.14633353213781661</v>
      </c>
      <c r="BW294" s="16">
        <f t="shared" si="250"/>
        <v>7.5588015111767173E-2</v>
      </c>
      <c r="BX294" s="16">
        <f t="shared" si="251"/>
        <v>8.0345659937185704E-2</v>
      </c>
      <c r="BY294" s="16">
        <f t="shared" si="252"/>
        <v>5.9014643151272549E-2</v>
      </c>
      <c r="CA294" s="16" t="str">
        <f t="shared" si="229"/>
        <v/>
      </c>
      <c r="CB294" s="16" t="str">
        <f t="shared" si="210"/>
        <v/>
      </c>
      <c r="CC294" s="16" t="str">
        <f t="shared" si="211"/>
        <v/>
      </c>
      <c r="CD294" s="16" t="str">
        <f t="shared" si="212"/>
        <v/>
      </c>
      <c r="CE294" s="16" t="str">
        <f t="shared" si="213"/>
        <v/>
      </c>
      <c r="CF294" s="16" t="str">
        <f t="shared" si="214"/>
        <v/>
      </c>
      <c r="CG294" s="16" t="str">
        <f t="shared" si="215"/>
        <v/>
      </c>
      <c r="CH294" s="16" t="str">
        <f t="shared" si="216"/>
        <v/>
      </c>
      <c r="CI294" s="16" t="str">
        <f t="shared" si="217"/>
        <v/>
      </c>
      <c r="CJ294" s="16" t="str">
        <f t="shared" si="218"/>
        <v/>
      </c>
      <c r="CK294" s="16" t="str">
        <f t="shared" si="219"/>
        <v/>
      </c>
      <c r="CL294" s="16" t="str">
        <f t="shared" si="220"/>
        <v/>
      </c>
      <c r="CM294" s="16" t="str">
        <f t="shared" si="221"/>
        <v/>
      </c>
      <c r="CN294" s="16" t="str">
        <f t="shared" si="222"/>
        <v/>
      </c>
      <c r="CO294" s="16" t="str">
        <f t="shared" si="223"/>
        <v/>
      </c>
      <c r="CP294" s="16" t="str">
        <f t="shared" si="224"/>
        <v/>
      </c>
      <c r="CQ294" s="16" t="str">
        <f t="shared" si="225"/>
        <v/>
      </c>
      <c r="CR294" s="16" t="str">
        <f t="shared" si="226"/>
        <v/>
      </c>
      <c r="CS294" s="16" t="str">
        <f t="shared" si="227"/>
        <v/>
      </c>
      <c r="CT294" s="16" t="str">
        <f t="shared" si="228"/>
        <v/>
      </c>
    </row>
    <row r="295" spans="1:99" x14ac:dyDescent="0.25">
      <c r="A295" s="13"/>
      <c r="B295" s="14"/>
      <c r="C295" s="15" t="str" cm="1">
        <f t="array" ref="C295">IF(B295="","",INDEX('Exercise list'!$C$5:$C$102,B295))</f>
        <v/>
      </c>
      <c r="D295" s="12" t="str">
        <f t="shared" si="230"/>
        <v/>
      </c>
      <c r="E295" s="107" t="str">
        <f t="shared" si="253"/>
        <v/>
      </c>
      <c r="F295" s="63" t="str" cm="1">
        <f t="array" ref="F295">IF(B295="","",0.1+IFERROR(INDEX($F$6:$F294,SUMPRODUCT(MAX(ROW($C$6:$C294)*($C295=$C$6:$C294))-ROW($A$5)))*0.9^($A295-INDEX($A$6:A294,SUMPRODUCT(MAX(ROW($C$6:$C294)*($C295=$C$6:$C294))-ROW($A$5)))),0))</f>
        <v/>
      </c>
      <c r="G295" s="64" t="e">
        <f>INDEX('Exercise list'!$Y$5:$Y$102,MATCH(C295,'Exercise list'!$C$5:$C$102,0))</f>
        <v>#N/A</v>
      </c>
      <c r="H295" s="115">
        <f t="shared" si="231"/>
        <v>0</v>
      </c>
      <c r="I295" s="6">
        <f t="shared" si="232"/>
        <v>5</v>
      </c>
      <c r="J295" s="6" t="str" cm="1">
        <f t="array" ref="J295">IF(B295="","",INDEX('Exercise list'!$D$5:$D$102,B295))</f>
        <v/>
      </c>
      <c r="K295" s="12"/>
      <c r="L295" s="74" t="str" cm="1">
        <f t="array" ref="L295">IF(K295="","",INDEX('Exercise list'!$C$5:$C$102,K295))</f>
        <v/>
      </c>
      <c r="M295" s="6"/>
      <c r="N295" s="75" t="str" cm="1">
        <f t="array" ref="N295">IF(M295="","",INDEX('Exercise list'!$C$5:$C$102,M295))</f>
        <v/>
      </c>
      <c r="P295">
        <f>IFERROR(INDEX('Exercise list'!$E$5:$X$102,MATCH($C295,'Exercise list'!$C$5:$C$102,0),MATCH(P$5,'Exercise list'!$E$4:$X$4,0)),0)</f>
        <v>0</v>
      </c>
      <c r="Q295">
        <f>IFERROR(INDEX('Exercise list'!$E$5:$X$102,MATCH($C295,'Exercise list'!$C$5:$C$102,0),MATCH(Q$5,'Exercise list'!$E$4:$X$4,0)),0)</f>
        <v>0</v>
      </c>
      <c r="R295">
        <f>IFERROR(INDEX('Exercise list'!$E$5:$X$102,MATCH($C295,'Exercise list'!$C$5:$C$102,0),MATCH(R$5,'Exercise list'!$E$4:$X$4,0)),0)</f>
        <v>0</v>
      </c>
      <c r="S295">
        <f>IFERROR(INDEX('Exercise list'!$E$5:$X$102,MATCH($C295,'Exercise list'!$C$5:$C$102,0),MATCH(S$5,'Exercise list'!$E$4:$X$4,0)),0)</f>
        <v>0</v>
      </c>
      <c r="T295">
        <f>IFERROR(INDEX('Exercise list'!$E$5:$X$102,MATCH($C295,'Exercise list'!$C$5:$C$102,0),MATCH(T$5,'Exercise list'!$E$4:$X$4,0)),0)</f>
        <v>0</v>
      </c>
      <c r="U295">
        <f>IFERROR(INDEX('Exercise list'!$E$5:$X$102,MATCH($C295,'Exercise list'!$C$5:$C$102,0),MATCH(U$5,'Exercise list'!$E$4:$X$4,0)),0)</f>
        <v>0</v>
      </c>
      <c r="V295">
        <f>IFERROR(INDEX('Exercise list'!$E$5:$X$102,MATCH($C295,'Exercise list'!$C$5:$C$102,0),MATCH(V$5,'Exercise list'!$E$4:$X$4,0)),0)</f>
        <v>0</v>
      </c>
      <c r="W295">
        <f>IFERROR(INDEX('Exercise list'!$E$5:$X$102,MATCH($C295,'Exercise list'!$C$5:$C$102,0),MATCH(W$5,'Exercise list'!$E$4:$X$4,0)),0)</f>
        <v>0</v>
      </c>
      <c r="X295">
        <f>IFERROR(INDEX('Exercise list'!$E$5:$X$102,MATCH($C295,'Exercise list'!$C$5:$C$102,0),MATCH(X$5,'Exercise list'!$E$4:$X$4,0)),0)</f>
        <v>0</v>
      </c>
      <c r="Y295">
        <f>IFERROR(INDEX('Exercise list'!$E$5:$X$102,MATCH($C295,'Exercise list'!$C$5:$C$102,0),MATCH(Y$5,'Exercise list'!$E$4:$X$4,0)),0)</f>
        <v>0</v>
      </c>
      <c r="Z295">
        <f>IFERROR(INDEX('Exercise list'!$E$5:$X$102,MATCH($C295,'Exercise list'!$C$5:$C$102,0),MATCH(Z$5,'Exercise list'!$E$4:$X$4,0)),0)</f>
        <v>0</v>
      </c>
      <c r="AA295">
        <f>IFERROR(INDEX('Exercise list'!$E$5:$X$102,MATCH($C295,'Exercise list'!$C$5:$C$102,0),MATCH(AA$5,'Exercise list'!$E$4:$X$4,0)),0)</f>
        <v>0</v>
      </c>
      <c r="AB295">
        <f>IFERROR(INDEX('Exercise list'!$E$5:$X$102,MATCH($C295,'Exercise list'!$C$5:$C$102,0),MATCH(AB$5,'Exercise list'!$E$4:$X$4,0)),0)</f>
        <v>0</v>
      </c>
      <c r="AC295">
        <f>IFERROR(INDEX('Exercise list'!$E$5:$X$102,MATCH($C295,'Exercise list'!$C$5:$C$102,0),MATCH(AC$5,'Exercise list'!$E$4:$X$4,0)),0)</f>
        <v>0</v>
      </c>
      <c r="AD295">
        <f>IFERROR(INDEX('Exercise list'!$E$5:$X$102,MATCH($C295,'Exercise list'!$C$5:$C$102,0),MATCH(AD$5,'Exercise list'!$E$4:$X$4,0)),0)</f>
        <v>0</v>
      </c>
      <c r="AE295">
        <f>IFERROR(INDEX('Exercise list'!$E$5:$X$102,MATCH($C295,'Exercise list'!$C$5:$C$102,0),MATCH(AE$5,'Exercise list'!$E$4:$X$4,0)),0)</f>
        <v>0</v>
      </c>
      <c r="AF295">
        <f>IFERROR(INDEX('Exercise list'!$E$5:$X$102,MATCH($C295,'Exercise list'!$C$5:$C$102,0),MATCH(AF$5,'Exercise list'!$E$4:$X$4,0)),0)</f>
        <v>0</v>
      </c>
      <c r="AG295">
        <f>IFERROR(INDEX('Exercise list'!$E$5:$X$102,MATCH($C295,'Exercise list'!$C$5:$C$102,0),MATCH(AG$5,'Exercise list'!$E$4:$X$4,0)),0)</f>
        <v>0</v>
      </c>
      <c r="AH295">
        <f>IFERROR(INDEX('Exercise list'!$E$5:$X$102,MATCH($C295,'Exercise list'!$C$5:$C$102,0),MATCH(AH$5,'Exercise list'!$E$4:$X$4,0)),0)</f>
        <v>0</v>
      </c>
      <c r="AI295">
        <f>IFERROR(INDEX('Exercise list'!$E$5:$X$102,MATCH($C295,'Exercise list'!$C$5:$C$102,0),MATCH(AI$5,'Exercise list'!$E$4:$X$4,0)),0)</f>
        <v>0</v>
      </c>
      <c r="AK295">
        <f>IF(OR($J295=1,COUNTIFS($A$5:$A294,"&gt;="&amp;$A295-1,$A$5:$A294,"&lt;="&amp;$A295,$B$5:$B294,$B295)&gt;0,MIN(1-'Exercise list'!E$2,IF($A295=$A294,AK294,1))-P295&lt;0),-1,MIN(1,IF($A295=$A294,AK294,1)-P295+$D$2))</f>
        <v>1</v>
      </c>
      <c r="AL295">
        <f>IF(OR($J295=1,COUNTIFS($A$5:$A294,"&gt;="&amp;$A295-1,$A$5:$A294,"&lt;="&amp;$A295,$B$5:$B294,$B295)&gt;0,MIN(1-'Exercise list'!F$2,IF($A295=$A294,AL294,1))-Q295&lt;0),-1,MIN(1,IF($A295=$A294,AL294,1)-Q295+$D$2))</f>
        <v>1</v>
      </c>
      <c r="AM295">
        <f>IF(OR($J295=1,COUNTIFS($A$5:$A294,"&gt;="&amp;$A295-1,$A$5:$A294,"&lt;="&amp;$A295,$B$5:$B294,$B295)&gt;0,MIN(1-'Exercise list'!G$2,IF($A295=$A294,AM294,1))-R295&lt;0),-1,MIN(1,IF($A295=$A294,AM294,1)-R295+$D$2))</f>
        <v>1</v>
      </c>
      <c r="AN295">
        <f>IF(OR($J295=1,COUNTIFS($A$5:$A294,"&gt;="&amp;$A295-1,$A$5:$A294,"&lt;="&amp;$A295,$B$5:$B294,$B295)&gt;0,MIN(1-'Exercise list'!H$2,IF($A295=$A294,AN294,1))-S295&lt;0),-1,MIN(1,IF($A295=$A294,AN294,1)-S295+$D$2))</f>
        <v>1</v>
      </c>
      <c r="AO295">
        <f>IF(OR($J295=1,COUNTIFS($A$5:$A294,"&gt;="&amp;$A295-1,$A$5:$A294,"&lt;="&amp;$A295,$B$5:$B294,$B295)&gt;0,MIN(1-'Exercise list'!I$2,IF($A295=$A294,AO294,1))-T295&lt;0),-1,MIN(1,IF($A295=$A294,AO294,1)-T295+$D$2))</f>
        <v>1</v>
      </c>
      <c r="AP295">
        <f>IF(OR($J295=1,COUNTIFS($A$5:$A294,"&gt;="&amp;$A295-1,$A$5:$A294,"&lt;="&amp;$A295,$B$5:$B294,$B295)&gt;0,MIN(1-'Exercise list'!J$2,IF($A295=$A294,AP294,1))-U295&lt;0),-1,MIN(1,IF($A295=$A294,AP294,1)-U295+$D$2))</f>
        <v>1</v>
      </c>
      <c r="AQ295">
        <f>IF(OR($J295=1,COUNTIFS($A$5:$A294,"&gt;="&amp;$A295-1,$A$5:$A294,"&lt;="&amp;$A295,$B$5:$B294,$B295)&gt;0,MIN(1-'Exercise list'!K$2,IF($A295=$A294,AQ294,1))-V295&lt;0),-1,MIN(1,IF($A295=$A294,AQ294,1)-V295+$D$2))</f>
        <v>1</v>
      </c>
      <c r="AR295">
        <f>IF(OR($J295=1,COUNTIFS($A$5:$A294,"&gt;="&amp;$A295-1,$A$5:$A294,"&lt;="&amp;$A295,$B$5:$B294,$B295)&gt;0,MIN(1-'Exercise list'!L$2,IF($A295=$A294,AR294,1))-W295&lt;0),-1,MIN(1,IF($A295=$A294,AR294,1)-W295+$D$2))</f>
        <v>1</v>
      </c>
      <c r="AS295">
        <f>IF(OR($J295=1,COUNTIFS($A$5:$A294,"&gt;="&amp;$A295-1,$A$5:$A294,"&lt;="&amp;$A295,$B$5:$B294,$B295)&gt;0,MIN(1-'Exercise list'!M$2,IF($A295=$A294,AS294,1))-X295&lt;0),-1,MIN(1,IF($A295=$A294,AS294,1)-X295+$D$2))</f>
        <v>1</v>
      </c>
      <c r="AT295">
        <f>IF(OR($J295=1,COUNTIFS($A$5:$A294,"&gt;="&amp;$A295-1,$A$5:$A294,"&lt;="&amp;$A295,$B$5:$B294,$B295)&gt;0,MIN(1-'Exercise list'!N$2,IF($A295=$A294,AT294,1))-Y295&lt;0),-1,MIN(1,IF($A295=$A294,AT294,1)-Y295+$D$2))</f>
        <v>1</v>
      </c>
      <c r="AU295">
        <f>IF(OR($J295=1,COUNTIFS($A$5:$A294,"&gt;="&amp;$A295-1,$A$5:$A294,"&lt;="&amp;$A295,$B$5:$B294,$B295)&gt;0,MIN(1-'Exercise list'!O$2,IF($A295=$A294,AU294,1))-Z295&lt;0),-1,MIN(1,IF($A295=$A294,AU294,1)-Z295+$D$2))</f>
        <v>1</v>
      </c>
      <c r="AV295">
        <f>IF(OR($J295=1,COUNTIFS($A$5:$A294,"&gt;="&amp;$A295-1,$A$5:$A294,"&lt;="&amp;$A295,$B$5:$B294,$B295)&gt;0,MIN(1-'Exercise list'!P$2,IF($A295=$A294,AV294,1))-AA295&lt;0),-1,MIN(1,IF($A295=$A294,AV294,1)-AA295+$D$2))</f>
        <v>1</v>
      </c>
      <c r="AW295">
        <f>IF(OR($J295=1,COUNTIFS($A$5:$A294,"&gt;="&amp;$A295-1,$A$5:$A294,"&lt;="&amp;$A295,$B$5:$B294,$B295)&gt;0,MIN(1-'Exercise list'!Q$2,IF($A295=$A294,AW294,1))-AB295&lt;0),-1,MIN(1,IF($A295=$A294,AW294,1)-AB295+$D$2))</f>
        <v>1</v>
      </c>
      <c r="AX295">
        <f>IF(OR($J295=1,COUNTIFS($A$5:$A294,"&gt;="&amp;$A295-1,$A$5:$A294,"&lt;="&amp;$A295,$B$5:$B294,$B295)&gt;0,MIN(1-'Exercise list'!R$2,IF($A295=$A294,AX294,1))-AC295&lt;0),-1,MIN(1,IF($A295=$A294,AX294,1)-AC295+$D$2))</f>
        <v>1</v>
      </c>
      <c r="AY295">
        <f>IF(OR($J295=1,COUNTIFS($A$5:$A294,"&gt;="&amp;$A295-1,$A$5:$A294,"&lt;="&amp;$A295,$B$5:$B294,$B295)&gt;0,MIN(1-'Exercise list'!S$2,IF($A295=$A294,AY294,1))-AD295&lt;0),-1,MIN(1,IF($A295=$A294,AY294,1)-AD295+$D$2))</f>
        <v>1</v>
      </c>
      <c r="AZ295">
        <f>IF(OR($J295=1,COUNTIFS($A$5:$A294,"&gt;="&amp;$A295-1,$A$5:$A294,"&lt;="&amp;$A295,$B$5:$B294,$B295)&gt;0,MIN(1-'Exercise list'!T$2,IF($A295=$A294,AZ294,1))-AE295&lt;0),-1,MIN(1,IF($A295=$A294,AZ294,1)-AE295+$D$2))</f>
        <v>1</v>
      </c>
      <c r="BA295">
        <f>IF(OR($J295=1,COUNTIFS($A$5:$A294,"&gt;="&amp;$A295-1,$A$5:$A294,"&lt;="&amp;$A295,$B$5:$B294,$B295)&gt;0,MIN(1-'Exercise list'!U$2,IF($A295=$A294,BA294,1))-AF295&lt;0),-1,MIN(1,IF($A295=$A294,BA294,1)-AF295+$D$2))</f>
        <v>1</v>
      </c>
      <c r="BB295">
        <f>IF(OR($J295=1,COUNTIFS($A$5:$A294,"&gt;="&amp;$A295-1,$A$5:$A294,"&lt;="&amp;$A295,$B$5:$B294,$B295)&gt;0,MIN(1-'Exercise list'!V$2,IF($A295=$A294,BB294,1))-AG295&lt;0),-1,MIN(1,IF($A295=$A294,BB294,1)-AG295+$D$2))</f>
        <v>1</v>
      </c>
      <c r="BC295">
        <f>IF(OR($J295=1,COUNTIFS($A$5:$A294,"&gt;="&amp;$A295-1,$A$5:$A294,"&lt;="&amp;$A295,$B$5:$B294,$B295)&gt;0,MIN(1-'Exercise list'!W$2,IF($A295=$A294,BC294,1))-AH295&lt;0),-1,MIN(1,IF($A295=$A294,BC294,1)-AH295+$D$2))</f>
        <v>1</v>
      </c>
      <c r="BD295">
        <f>IF(OR($J295=1,COUNTIFS($A$5:$A294,"&gt;="&amp;$A295-1,$A$5:$A294,"&lt;="&amp;$A295,$B$5:$B294,$B295)&gt;0,MIN(1-'Exercise list'!X$2,IF($A295=$A294,BD294,1))-AI295&lt;0),-1,MIN(1,IF($A295=$A294,BD294,1)-AI295+$D$2))</f>
        <v>1</v>
      </c>
      <c r="BF295" s="16">
        <f t="shared" si="233"/>
        <v>0.19596031081758858</v>
      </c>
      <c r="BG295" s="16">
        <f t="shared" si="234"/>
        <v>0.21844636935459236</v>
      </c>
      <c r="BH295" s="16">
        <f t="shared" si="235"/>
        <v>0.14609696635987124</v>
      </c>
      <c r="BI295" s="16">
        <f t="shared" si="236"/>
        <v>0.13198015366034541</v>
      </c>
      <c r="BJ295" s="16">
        <f t="shared" si="237"/>
        <v>8.3367914198418713E-2</v>
      </c>
      <c r="BK295" s="16">
        <f t="shared" si="238"/>
        <v>0.10640640223148412</v>
      </c>
      <c r="BL295" s="16">
        <f t="shared" si="239"/>
        <v>0.21963504743569431</v>
      </c>
      <c r="BM295" s="16">
        <f t="shared" si="240"/>
        <v>3.8988008374820568E-3</v>
      </c>
      <c r="BN295" s="16">
        <f t="shared" si="241"/>
        <v>0.14537706087090876</v>
      </c>
      <c r="BO295" s="16">
        <f t="shared" si="242"/>
        <v>0.29209790661993401</v>
      </c>
      <c r="BP295" s="16">
        <f t="shared" si="243"/>
        <v>0.31584545163401867</v>
      </c>
      <c r="BQ295" s="16">
        <f t="shared" si="244"/>
        <v>0.1000007994126096</v>
      </c>
      <c r="BR295" s="16">
        <f t="shared" si="245"/>
        <v>0.13164487759885393</v>
      </c>
      <c r="BS295" s="16">
        <f t="shared" si="246"/>
        <v>2.9803550189863123E-2</v>
      </c>
      <c r="BT295" s="16">
        <f t="shared" si="247"/>
        <v>0.13492040904978705</v>
      </c>
      <c r="BU295" s="16">
        <f t="shared" si="248"/>
        <v>0.11703687414398131</v>
      </c>
      <c r="BV295" s="16">
        <f t="shared" si="249"/>
        <v>0.14633353213781661</v>
      </c>
      <c r="BW295" s="16">
        <f t="shared" si="250"/>
        <v>7.5588015111767173E-2</v>
      </c>
      <c r="BX295" s="16">
        <f t="shared" si="251"/>
        <v>8.0345659937185704E-2</v>
      </c>
      <c r="BY295" s="16">
        <f t="shared" si="252"/>
        <v>5.9014643151272549E-2</v>
      </c>
      <c r="CA295" s="16" t="str">
        <f t="shared" si="229"/>
        <v/>
      </c>
      <c r="CB295" s="16" t="str">
        <f t="shared" si="210"/>
        <v/>
      </c>
      <c r="CC295" s="16" t="str">
        <f t="shared" si="211"/>
        <v/>
      </c>
      <c r="CD295" s="16" t="str">
        <f t="shared" si="212"/>
        <v/>
      </c>
      <c r="CE295" s="16" t="str">
        <f t="shared" si="213"/>
        <v/>
      </c>
      <c r="CF295" s="16" t="str">
        <f t="shared" si="214"/>
        <v/>
      </c>
      <c r="CG295" s="16" t="str">
        <f t="shared" si="215"/>
        <v/>
      </c>
      <c r="CH295" s="16" t="str">
        <f t="shared" si="216"/>
        <v/>
      </c>
      <c r="CI295" s="16" t="str">
        <f t="shared" si="217"/>
        <v/>
      </c>
      <c r="CJ295" s="16" t="str">
        <f t="shared" si="218"/>
        <v/>
      </c>
      <c r="CK295" s="16" t="str">
        <f t="shared" si="219"/>
        <v/>
      </c>
      <c r="CL295" s="16" t="str">
        <f t="shared" si="220"/>
        <v/>
      </c>
      <c r="CM295" s="16" t="str">
        <f t="shared" si="221"/>
        <v/>
      </c>
      <c r="CN295" s="16" t="str">
        <f t="shared" si="222"/>
        <v/>
      </c>
      <c r="CO295" s="16" t="str">
        <f t="shared" si="223"/>
        <v/>
      </c>
      <c r="CP295" s="16" t="str">
        <f t="shared" si="224"/>
        <v/>
      </c>
      <c r="CQ295" s="16" t="str">
        <f t="shared" si="225"/>
        <v/>
      </c>
      <c r="CR295" s="16" t="str">
        <f t="shared" si="226"/>
        <v/>
      </c>
      <c r="CS295" s="16" t="str">
        <f t="shared" si="227"/>
        <v/>
      </c>
      <c r="CT295" s="16" t="str">
        <f t="shared" si="228"/>
        <v/>
      </c>
    </row>
    <row r="296" spans="1:99" x14ac:dyDescent="0.25">
      <c r="A296" s="13"/>
      <c r="B296" s="14"/>
      <c r="C296" s="15" t="str" cm="1">
        <f t="array" ref="C296">IF(B296="","",INDEX('Exercise list'!$C$5:$C$102,B296))</f>
        <v/>
      </c>
      <c r="D296" s="12" t="str">
        <f t="shared" si="230"/>
        <v/>
      </c>
      <c r="E296" s="107" t="str">
        <f t="shared" si="253"/>
        <v/>
      </c>
      <c r="F296" s="63" t="str" cm="1">
        <f t="array" ref="F296">IF(B296="","",0.1+IFERROR(INDEX($F$6:$F295,SUMPRODUCT(MAX(ROW($C$6:$C295)*($C296=$C$6:$C295))-ROW($A$5)))*0.9^($A296-INDEX($A$6:A295,SUMPRODUCT(MAX(ROW($C$6:$C295)*($C296=$C$6:$C295))-ROW($A$5)))),0))</f>
        <v/>
      </c>
      <c r="G296" s="64" t="e">
        <f>INDEX('Exercise list'!$Y$5:$Y$102,MATCH(C296,'Exercise list'!$C$5:$C$102,0))</f>
        <v>#N/A</v>
      </c>
      <c r="H296" s="115">
        <f t="shared" si="231"/>
        <v>0</v>
      </c>
      <c r="I296" s="6">
        <f t="shared" si="232"/>
        <v>5</v>
      </c>
      <c r="J296" s="6" t="str" cm="1">
        <f t="array" ref="J296">IF(B296="","",INDEX('Exercise list'!$D$5:$D$102,B296))</f>
        <v/>
      </c>
      <c r="K296" s="12"/>
      <c r="L296" s="74" t="str" cm="1">
        <f t="array" ref="L296">IF(K296="","",INDEX('Exercise list'!$C$5:$C$102,K296))</f>
        <v/>
      </c>
      <c r="M296" s="6"/>
      <c r="N296" s="75" t="str" cm="1">
        <f t="array" ref="N296">IF(M296="","",INDEX('Exercise list'!$C$5:$C$102,M296))</f>
        <v/>
      </c>
      <c r="P296">
        <f>IFERROR(INDEX('Exercise list'!$E$5:$X$102,MATCH($C296,'Exercise list'!$C$5:$C$102,0),MATCH(P$5,'Exercise list'!$E$4:$X$4,0)),0)</f>
        <v>0</v>
      </c>
      <c r="Q296">
        <f>IFERROR(INDEX('Exercise list'!$E$5:$X$102,MATCH($C296,'Exercise list'!$C$5:$C$102,0),MATCH(Q$5,'Exercise list'!$E$4:$X$4,0)),0)</f>
        <v>0</v>
      </c>
      <c r="R296">
        <f>IFERROR(INDEX('Exercise list'!$E$5:$X$102,MATCH($C296,'Exercise list'!$C$5:$C$102,0),MATCH(R$5,'Exercise list'!$E$4:$X$4,0)),0)</f>
        <v>0</v>
      </c>
      <c r="S296">
        <f>IFERROR(INDEX('Exercise list'!$E$5:$X$102,MATCH($C296,'Exercise list'!$C$5:$C$102,0),MATCH(S$5,'Exercise list'!$E$4:$X$4,0)),0)</f>
        <v>0</v>
      </c>
      <c r="T296">
        <f>IFERROR(INDEX('Exercise list'!$E$5:$X$102,MATCH($C296,'Exercise list'!$C$5:$C$102,0),MATCH(T$5,'Exercise list'!$E$4:$X$4,0)),0)</f>
        <v>0</v>
      </c>
      <c r="U296">
        <f>IFERROR(INDEX('Exercise list'!$E$5:$X$102,MATCH($C296,'Exercise list'!$C$5:$C$102,0),MATCH(U$5,'Exercise list'!$E$4:$X$4,0)),0)</f>
        <v>0</v>
      </c>
      <c r="V296">
        <f>IFERROR(INDEX('Exercise list'!$E$5:$X$102,MATCH($C296,'Exercise list'!$C$5:$C$102,0),MATCH(V$5,'Exercise list'!$E$4:$X$4,0)),0)</f>
        <v>0</v>
      </c>
      <c r="W296">
        <f>IFERROR(INDEX('Exercise list'!$E$5:$X$102,MATCH($C296,'Exercise list'!$C$5:$C$102,0),MATCH(W$5,'Exercise list'!$E$4:$X$4,0)),0)</f>
        <v>0</v>
      </c>
      <c r="X296">
        <f>IFERROR(INDEX('Exercise list'!$E$5:$X$102,MATCH($C296,'Exercise list'!$C$5:$C$102,0),MATCH(X$5,'Exercise list'!$E$4:$X$4,0)),0)</f>
        <v>0</v>
      </c>
      <c r="Y296">
        <f>IFERROR(INDEX('Exercise list'!$E$5:$X$102,MATCH($C296,'Exercise list'!$C$5:$C$102,0),MATCH(Y$5,'Exercise list'!$E$4:$X$4,0)),0)</f>
        <v>0</v>
      </c>
      <c r="Z296">
        <f>IFERROR(INDEX('Exercise list'!$E$5:$X$102,MATCH($C296,'Exercise list'!$C$5:$C$102,0),MATCH(Z$5,'Exercise list'!$E$4:$X$4,0)),0)</f>
        <v>0</v>
      </c>
      <c r="AA296">
        <f>IFERROR(INDEX('Exercise list'!$E$5:$X$102,MATCH($C296,'Exercise list'!$C$5:$C$102,0),MATCH(AA$5,'Exercise list'!$E$4:$X$4,0)),0)</f>
        <v>0</v>
      </c>
      <c r="AB296">
        <f>IFERROR(INDEX('Exercise list'!$E$5:$X$102,MATCH($C296,'Exercise list'!$C$5:$C$102,0),MATCH(AB$5,'Exercise list'!$E$4:$X$4,0)),0)</f>
        <v>0</v>
      </c>
      <c r="AC296">
        <f>IFERROR(INDEX('Exercise list'!$E$5:$X$102,MATCH($C296,'Exercise list'!$C$5:$C$102,0),MATCH(AC$5,'Exercise list'!$E$4:$X$4,0)),0)</f>
        <v>0</v>
      </c>
      <c r="AD296">
        <f>IFERROR(INDEX('Exercise list'!$E$5:$X$102,MATCH($C296,'Exercise list'!$C$5:$C$102,0),MATCH(AD$5,'Exercise list'!$E$4:$X$4,0)),0)</f>
        <v>0</v>
      </c>
      <c r="AE296">
        <f>IFERROR(INDEX('Exercise list'!$E$5:$X$102,MATCH($C296,'Exercise list'!$C$5:$C$102,0),MATCH(AE$5,'Exercise list'!$E$4:$X$4,0)),0)</f>
        <v>0</v>
      </c>
      <c r="AF296">
        <f>IFERROR(INDEX('Exercise list'!$E$5:$X$102,MATCH($C296,'Exercise list'!$C$5:$C$102,0),MATCH(AF$5,'Exercise list'!$E$4:$X$4,0)),0)</f>
        <v>0</v>
      </c>
      <c r="AG296">
        <f>IFERROR(INDEX('Exercise list'!$E$5:$X$102,MATCH($C296,'Exercise list'!$C$5:$C$102,0),MATCH(AG$5,'Exercise list'!$E$4:$X$4,0)),0)</f>
        <v>0</v>
      </c>
      <c r="AH296">
        <f>IFERROR(INDEX('Exercise list'!$E$5:$X$102,MATCH($C296,'Exercise list'!$C$5:$C$102,0),MATCH(AH$5,'Exercise list'!$E$4:$X$4,0)),0)</f>
        <v>0</v>
      </c>
      <c r="AI296">
        <f>IFERROR(INDEX('Exercise list'!$E$5:$X$102,MATCH($C296,'Exercise list'!$C$5:$C$102,0),MATCH(AI$5,'Exercise list'!$E$4:$X$4,0)),0)</f>
        <v>0</v>
      </c>
      <c r="AK296">
        <f>IF(OR($J296=1,COUNTIFS($A$5:$A295,"&gt;="&amp;$A296-1,$A$5:$A295,"&lt;="&amp;$A296,$B$5:$B295,$B296)&gt;0,MIN(1-'Exercise list'!E$2,IF($A296=$A295,AK295,1))-P296&lt;0),-1,MIN(1,IF($A296=$A295,AK295,1)-P296+$D$2))</f>
        <v>1</v>
      </c>
      <c r="AL296">
        <f>IF(OR($J296=1,COUNTIFS($A$5:$A295,"&gt;="&amp;$A296-1,$A$5:$A295,"&lt;="&amp;$A296,$B$5:$B295,$B296)&gt;0,MIN(1-'Exercise list'!F$2,IF($A296=$A295,AL295,1))-Q296&lt;0),-1,MIN(1,IF($A296=$A295,AL295,1)-Q296+$D$2))</f>
        <v>1</v>
      </c>
      <c r="AM296">
        <f>IF(OR($J296=1,COUNTIFS($A$5:$A295,"&gt;="&amp;$A296-1,$A$5:$A295,"&lt;="&amp;$A296,$B$5:$B295,$B296)&gt;0,MIN(1-'Exercise list'!G$2,IF($A296=$A295,AM295,1))-R296&lt;0),-1,MIN(1,IF($A296=$A295,AM295,1)-R296+$D$2))</f>
        <v>1</v>
      </c>
      <c r="AN296">
        <f>IF(OR($J296=1,COUNTIFS($A$5:$A295,"&gt;="&amp;$A296-1,$A$5:$A295,"&lt;="&amp;$A296,$B$5:$B295,$B296)&gt;0,MIN(1-'Exercise list'!H$2,IF($A296=$A295,AN295,1))-S296&lt;0),-1,MIN(1,IF($A296=$A295,AN295,1)-S296+$D$2))</f>
        <v>1</v>
      </c>
      <c r="AO296">
        <f>IF(OR($J296=1,COUNTIFS($A$5:$A295,"&gt;="&amp;$A296-1,$A$5:$A295,"&lt;="&amp;$A296,$B$5:$B295,$B296)&gt;0,MIN(1-'Exercise list'!I$2,IF($A296=$A295,AO295,1))-T296&lt;0),-1,MIN(1,IF($A296=$A295,AO295,1)-T296+$D$2))</f>
        <v>1</v>
      </c>
      <c r="AP296">
        <f>IF(OR($J296=1,COUNTIFS($A$5:$A295,"&gt;="&amp;$A296-1,$A$5:$A295,"&lt;="&amp;$A296,$B$5:$B295,$B296)&gt;0,MIN(1-'Exercise list'!J$2,IF($A296=$A295,AP295,1))-U296&lt;0),-1,MIN(1,IF($A296=$A295,AP295,1)-U296+$D$2))</f>
        <v>1</v>
      </c>
      <c r="AQ296">
        <f>IF(OR($J296=1,COUNTIFS($A$5:$A295,"&gt;="&amp;$A296-1,$A$5:$A295,"&lt;="&amp;$A296,$B$5:$B295,$B296)&gt;0,MIN(1-'Exercise list'!K$2,IF($A296=$A295,AQ295,1))-V296&lt;0),-1,MIN(1,IF($A296=$A295,AQ295,1)-V296+$D$2))</f>
        <v>1</v>
      </c>
      <c r="AR296">
        <f>IF(OR($J296=1,COUNTIFS($A$5:$A295,"&gt;="&amp;$A296-1,$A$5:$A295,"&lt;="&amp;$A296,$B$5:$B295,$B296)&gt;0,MIN(1-'Exercise list'!L$2,IF($A296=$A295,AR295,1))-W296&lt;0),-1,MIN(1,IF($A296=$A295,AR295,1)-W296+$D$2))</f>
        <v>1</v>
      </c>
      <c r="AS296">
        <f>IF(OR($J296=1,COUNTIFS($A$5:$A295,"&gt;="&amp;$A296-1,$A$5:$A295,"&lt;="&amp;$A296,$B$5:$B295,$B296)&gt;0,MIN(1-'Exercise list'!M$2,IF($A296=$A295,AS295,1))-X296&lt;0),-1,MIN(1,IF($A296=$A295,AS295,1)-X296+$D$2))</f>
        <v>1</v>
      </c>
      <c r="AT296">
        <f>IF(OR($J296=1,COUNTIFS($A$5:$A295,"&gt;="&amp;$A296-1,$A$5:$A295,"&lt;="&amp;$A296,$B$5:$B295,$B296)&gt;0,MIN(1-'Exercise list'!N$2,IF($A296=$A295,AT295,1))-Y296&lt;0),-1,MIN(1,IF($A296=$A295,AT295,1)-Y296+$D$2))</f>
        <v>1</v>
      </c>
      <c r="AU296">
        <f>IF(OR($J296=1,COUNTIFS($A$5:$A295,"&gt;="&amp;$A296-1,$A$5:$A295,"&lt;="&amp;$A296,$B$5:$B295,$B296)&gt;0,MIN(1-'Exercise list'!O$2,IF($A296=$A295,AU295,1))-Z296&lt;0),-1,MIN(1,IF($A296=$A295,AU295,1)-Z296+$D$2))</f>
        <v>1</v>
      </c>
      <c r="AV296">
        <f>IF(OR($J296=1,COUNTIFS($A$5:$A295,"&gt;="&amp;$A296-1,$A$5:$A295,"&lt;="&amp;$A296,$B$5:$B295,$B296)&gt;0,MIN(1-'Exercise list'!P$2,IF($A296=$A295,AV295,1))-AA296&lt;0),-1,MIN(1,IF($A296=$A295,AV295,1)-AA296+$D$2))</f>
        <v>1</v>
      </c>
      <c r="AW296">
        <f>IF(OR($J296=1,COUNTIFS($A$5:$A295,"&gt;="&amp;$A296-1,$A$5:$A295,"&lt;="&amp;$A296,$B$5:$B295,$B296)&gt;0,MIN(1-'Exercise list'!Q$2,IF($A296=$A295,AW295,1))-AB296&lt;0),-1,MIN(1,IF($A296=$A295,AW295,1)-AB296+$D$2))</f>
        <v>1</v>
      </c>
      <c r="AX296">
        <f>IF(OR($J296=1,COUNTIFS($A$5:$A295,"&gt;="&amp;$A296-1,$A$5:$A295,"&lt;="&amp;$A296,$B$5:$B295,$B296)&gt;0,MIN(1-'Exercise list'!R$2,IF($A296=$A295,AX295,1))-AC296&lt;0),-1,MIN(1,IF($A296=$A295,AX295,1)-AC296+$D$2))</f>
        <v>1</v>
      </c>
      <c r="AY296">
        <f>IF(OR($J296=1,COUNTIFS($A$5:$A295,"&gt;="&amp;$A296-1,$A$5:$A295,"&lt;="&amp;$A296,$B$5:$B295,$B296)&gt;0,MIN(1-'Exercise list'!S$2,IF($A296=$A295,AY295,1))-AD296&lt;0),-1,MIN(1,IF($A296=$A295,AY295,1)-AD296+$D$2))</f>
        <v>1</v>
      </c>
      <c r="AZ296">
        <f>IF(OR($J296=1,COUNTIFS($A$5:$A295,"&gt;="&amp;$A296-1,$A$5:$A295,"&lt;="&amp;$A296,$B$5:$B295,$B296)&gt;0,MIN(1-'Exercise list'!T$2,IF($A296=$A295,AZ295,1))-AE296&lt;0),-1,MIN(1,IF($A296=$A295,AZ295,1)-AE296+$D$2))</f>
        <v>1</v>
      </c>
      <c r="BA296">
        <f>IF(OR($J296=1,COUNTIFS($A$5:$A295,"&gt;="&amp;$A296-1,$A$5:$A295,"&lt;="&amp;$A296,$B$5:$B295,$B296)&gt;0,MIN(1-'Exercise list'!U$2,IF($A296=$A295,BA295,1))-AF296&lt;0),-1,MIN(1,IF($A296=$A295,BA295,1)-AF296+$D$2))</f>
        <v>1</v>
      </c>
      <c r="BB296">
        <f>IF(OR($J296=1,COUNTIFS($A$5:$A295,"&gt;="&amp;$A296-1,$A$5:$A295,"&lt;="&amp;$A296,$B$5:$B295,$B296)&gt;0,MIN(1-'Exercise list'!V$2,IF($A296=$A295,BB295,1))-AG296&lt;0),-1,MIN(1,IF($A296=$A295,BB295,1)-AG296+$D$2))</f>
        <v>1</v>
      </c>
      <c r="BC296">
        <f>IF(OR($J296=1,COUNTIFS($A$5:$A295,"&gt;="&amp;$A296-1,$A$5:$A295,"&lt;="&amp;$A296,$B$5:$B295,$B296)&gt;0,MIN(1-'Exercise list'!W$2,IF($A296=$A295,BC295,1))-AH296&lt;0),-1,MIN(1,IF($A296=$A295,BC295,1)-AH296+$D$2))</f>
        <v>1</v>
      </c>
      <c r="BD296">
        <f>IF(OR($J296=1,COUNTIFS($A$5:$A295,"&gt;="&amp;$A296-1,$A$5:$A295,"&lt;="&amp;$A296,$B$5:$B295,$B296)&gt;0,MIN(1-'Exercise list'!X$2,IF($A296=$A295,BD295,1))-AI296&lt;0),-1,MIN(1,IF($A296=$A295,BD295,1)-AI296+$D$2))</f>
        <v>1</v>
      </c>
      <c r="BF296" s="16">
        <f t="shared" si="233"/>
        <v>0.19596031081758858</v>
      </c>
      <c r="BG296" s="16">
        <f t="shared" si="234"/>
        <v>0.21844636935459236</v>
      </c>
      <c r="BH296" s="16">
        <f t="shared" si="235"/>
        <v>0.14609696635987124</v>
      </c>
      <c r="BI296" s="16">
        <f t="shared" si="236"/>
        <v>0.13198015366034541</v>
      </c>
      <c r="BJ296" s="16">
        <f t="shared" si="237"/>
        <v>8.3367914198418713E-2</v>
      </c>
      <c r="BK296" s="16">
        <f t="shared" si="238"/>
        <v>0.10640640223148412</v>
      </c>
      <c r="BL296" s="16">
        <f t="shared" si="239"/>
        <v>0.21963504743569431</v>
      </c>
      <c r="BM296" s="16">
        <f t="shared" si="240"/>
        <v>3.8988008374820568E-3</v>
      </c>
      <c r="BN296" s="16">
        <f t="shared" si="241"/>
        <v>0.14537706087090876</v>
      </c>
      <c r="BO296" s="16">
        <f t="shared" si="242"/>
        <v>0.29209790661993401</v>
      </c>
      <c r="BP296" s="16">
        <f t="shared" si="243"/>
        <v>0.31584545163401867</v>
      </c>
      <c r="BQ296" s="16">
        <f t="shared" si="244"/>
        <v>0.1000007994126096</v>
      </c>
      <c r="BR296" s="16">
        <f t="shared" si="245"/>
        <v>0.13164487759885393</v>
      </c>
      <c r="BS296" s="16">
        <f t="shared" si="246"/>
        <v>2.9803550189863123E-2</v>
      </c>
      <c r="BT296" s="16">
        <f t="shared" si="247"/>
        <v>0.13492040904978705</v>
      </c>
      <c r="BU296" s="16">
        <f t="shared" si="248"/>
        <v>0.11703687414398131</v>
      </c>
      <c r="BV296" s="16">
        <f t="shared" si="249"/>
        <v>0.14633353213781661</v>
      </c>
      <c r="BW296" s="16">
        <f t="shared" si="250"/>
        <v>7.5588015111767173E-2</v>
      </c>
      <c r="BX296" s="16">
        <f t="shared" si="251"/>
        <v>8.0345659937185704E-2</v>
      </c>
      <c r="BY296" s="16">
        <f t="shared" si="252"/>
        <v>5.9014643151272549E-2</v>
      </c>
      <c r="CA296" s="16" t="str">
        <f t="shared" si="229"/>
        <v/>
      </c>
      <c r="CB296" s="16" t="str">
        <f t="shared" si="210"/>
        <v/>
      </c>
      <c r="CC296" s="16" t="str">
        <f t="shared" si="211"/>
        <v/>
      </c>
      <c r="CD296" s="16" t="str">
        <f t="shared" si="212"/>
        <v/>
      </c>
      <c r="CE296" s="16" t="str">
        <f t="shared" si="213"/>
        <v/>
      </c>
      <c r="CF296" s="16" t="str">
        <f t="shared" si="214"/>
        <v/>
      </c>
      <c r="CG296" s="16" t="str">
        <f t="shared" si="215"/>
        <v/>
      </c>
      <c r="CH296" s="16" t="str">
        <f t="shared" si="216"/>
        <v/>
      </c>
      <c r="CI296" s="16" t="str">
        <f t="shared" si="217"/>
        <v/>
      </c>
      <c r="CJ296" s="16" t="str">
        <f t="shared" si="218"/>
        <v/>
      </c>
      <c r="CK296" s="16" t="str">
        <f t="shared" si="219"/>
        <v/>
      </c>
      <c r="CL296" s="16" t="str">
        <f t="shared" si="220"/>
        <v/>
      </c>
      <c r="CM296" s="16" t="str">
        <f t="shared" si="221"/>
        <v/>
      </c>
      <c r="CN296" s="16" t="str">
        <f t="shared" si="222"/>
        <v/>
      </c>
      <c r="CO296" s="16" t="str">
        <f t="shared" si="223"/>
        <v/>
      </c>
      <c r="CP296" s="16" t="str">
        <f t="shared" si="224"/>
        <v/>
      </c>
      <c r="CQ296" s="16" t="str">
        <f t="shared" si="225"/>
        <v/>
      </c>
      <c r="CR296" s="16" t="str">
        <f t="shared" si="226"/>
        <v/>
      </c>
      <c r="CS296" s="16" t="str">
        <f t="shared" si="227"/>
        <v/>
      </c>
      <c r="CT296" s="16" t="str">
        <f t="shared" si="228"/>
        <v/>
      </c>
    </row>
    <row r="297" spans="1:99" x14ac:dyDescent="0.25">
      <c r="A297" s="13"/>
      <c r="B297" s="14"/>
      <c r="C297" s="15" t="str" cm="1">
        <f t="array" ref="C297">IF(B297="","",INDEX('Exercise list'!$C$5:$C$102,B297))</f>
        <v/>
      </c>
      <c r="D297" s="12" t="str">
        <f t="shared" si="230"/>
        <v/>
      </c>
      <c r="E297" s="107" t="str">
        <f t="shared" si="253"/>
        <v/>
      </c>
      <c r="F297" s="63" t="str" cm="1">
        <f t="array" ref="F297">IF(B297="","",0.1+IFERROR(INDEX($F$6:$F296,SUMPRODUCT(MAX(ROW($C$6:$C296)*($C297=$C$6:$C296))-ROW($A$5)))*0.9^($A297-INDEX($A$6:A296,SUMPRODUCT(MAX(ROW($C$6:$C296)*($C297=$C$6:$C296))-ROW($A$5)))),0))</f>
        <v/>
      </c>
      <c r="G297" s="64" t="e">
        <f>INDEX('Exercise list'!$Y$5:$Y$102,MATCH(C297,'Exercise list'!$C$5:$C$102,0))</f>
        <v>#N/A</v>
      </c>
      <c r="H297" s="115">
        <f t="shared" si="231"/>
        <v>0</v>
      </c>
      <c r="I297" s="6">
        <f t="shared" si="232"/>
        <v>5</v>
      </c>
      <c r="J297" s="6" t="str" cm="1">
        <f t="array" ref="J297">IF(B297="","",INDEX('Exercise list'!$D$5:$D$102,B297))</f>
        <v/>
      </c>
      <c r="K297" s="12"/>
      <c r="L297" s="74" t="str" cm="1">
        <f t="array" ref="L297">IF(K297="","",INDEX('Exercise list'!$C$5:$C$102,K297))</f>
        <v/>
      </c>
      <c r="M297" s="6"/>
      <c r="N297" s="75" t="str" cm="1">
        <f t="array" ref="N297">IF(M297="","",INDEX('Exercise list'!$C$5:$C$102,M297))</f>
        <v/>
      </c>
      <c r="P297">
        <f>IFERROR(INDEX('Exercise list'!$E$5:$X$102,MATCH($C297,'Exercise list'!$C$5:$C$102,0),MATCH(P$5,'Exercise list'!$E$4:$X$4,0)),0)</f>
        <v>0</v>
      </c>
      <c r="Q297">
        <f>IFERROR(INDEX('Exercise list'!$E$5:$X$102,MATCH($C297,'Exercise list'!$C$5:$C$102,0),MATCH(Q$5,'Exercise list'!$E$4:$X$4,0)),0)</f>
        <v>0</v>
      </c>
      <c r="R297">
        <f>IFERROR(INDEX('Exercise list'!$E$5:$X$102,MATCH($C297,'Exercise list'!$C$5:$C$102,0),MATCH(R$5,'Exercise list'!$E$4:$X$4,0)),0)</f>
        <v>0</v>
      </c>
      <c r="S297">
        <f>IFERROR(INDEX('Exercise list'!$E$5:$X$102,MATCH($C297,'Exercise list'!$C$5:$C$102,0),MATCH(S$5,'Exercise list'!$E$4:$X$4,0)),0)</f>
        <v>0</v>
      </c>
      <c r="T297">
        <f>IFERROR(INDEX('Exercise list'!$E$5:$X$102,MATCH($C297,'Exercise list'!$C$5:$C$102,0),MATCH(T$5,'Exercise list'!$E$4:$X$4,0)),0)</f>
        <v>0</v>
      </c>
      <c r="U297">
        <f>IFERROR(INDEX('Exercise list'!$E$5:$X$102,MATCH($C297,'Exercise list'!$C$5:$C$102,0),MATCH(U$5,'Exercise list'!$E$4:$X$4,0)),0)</f>
        <v>0</v>
      </c>
      <c r="V297">
        <f>IFERROR(INDEX('Exercise list'!$E$5:$X$102,MATCH($C297,'Exercise list'!$C$5:$C$102,0),MATCH(V$5,'Exercise list'!$E$4:$X$4,0)),0)</f>
        <v>0</v>
      </c>
      <c r="W297">
        <f>IFERROR(INDEX('Exercise list'!$E$5:$X$102,MATCH($C297,'Exercise list'!$C$5:$C$102,0),MATCH(W$5,'Exercise list'!$E$4:$X$4,0)),0)</f>
        <v>0</v>
      </c>
      <c r="X297">
        <f>IFERROR(INDEX('Exercise list'!$E$5:$X$102,MATCH($C297,'Exercise list'!$C$5:$C$102,0),MATCH(X$5,'Exercise list'!$E$4:$X$4,0)),0)</f>
        <v>0</v>
      </c>
      <c r="Y297">
        <f>IFERROR(INDEX('Exercise list'!$E$5:$X$102,MATCH($C297,'Exercise list'!$C$5:$C$102,0),MATCH(Y$5,'Exercise list'!$E$4:$X$4,0)),0)</f>
        <v>0</v>
      </c>
      <c r="Z297">
        <f>IFERROR(INDEX('Exercise list'!$E$5:$X$102,MATCH($C297,'Exercise list'!$C$5:$C$102,0),MATCH(Z$5,'Exercise list'!$E$4:$X$4,0)),0)</f>
        <v>0</v>
      </c>
      <c r="AA297">
        <f>IFERROR(INDEX('Exercise list'!$E$5:$X$102,MATCH($C297,'Exercise list'!$C$5:$C$102,0),MATCH(AA$5,'Exercise list'!$E$4:$X$4,0)),0)</f>
        <v>0</v>
      </c>
      <c r="AB297">
        <f>IFERROR(INDEX('Exercise list'!$E$5:$X$102,MATCH($C297,'Exercise list'!$C$5:$C$102,0),MATCH(AB$5,'Exercise list'!$E$4:$X$4,0)),0)</f>
        <v>0</v>
      </c>
      <c r="AC297">
        <f>IFERROR(INDEX('Exercise list'!$E$5:$X$102,MATCH($C297,'Exercise list'!$C$5:$C$102,0),MATCH(AC$5,'Exercise list'!$E$4:$X$4,0)),0)</f>
        <v>0</v>
      </c>
      <c r="AD297">
        <f>IFERROR(INDEX('Exercise list'!$E$5:$X$102,MATCH($C297,'Exercise list'!$C$5:$C$102,0),MATCH(AD$5,'Exercise list'!$E$4:$X$4,0)),0)</f>
        <v>0</v>
      </c>
      <c r="AE297">
        <f>IFERROR(INDEX('Exercise list'!$E$5:$X$102,MATCH($C297,'Exercise list'!$C$5:$C$102,0),MATCH(AE$5,'Exercise list'!$E$4:$X$4,0)),0)</f>
        <v>0</v>
      </c>
      <c r="AF297">
        <f>IFERROR(INDEX('Exercise list'!$E$5:$X$102,MATCH($C297,'Exercise list'!$C$5:$C$102,0),MATCH(AF$5,'Exercise list'!$E$4:$X$4,0)),0)</f>
        <v>0</v>
      </c>
      <c r="AG297">
        <f>IFERROR(INDEX('Exercise list'!$E$5:$X$102,MATCH($C297,'Exercise list'!$C$5:$C$102,0),MATCH(AG$5,'Exercise list'!$E$4:$X$4,0)),0)</f>
        <v>0</v>
      </c>
      <c r="AH297">
        <f>IFERROR(INDEX('Exercise list'!$E$5:$X$102,MATCH($C297,'Exercise list'!$C$5:$C$102,0),MATCH(AH$5,'Exercise list'!$E$4:$X$4,0)),0)</f>
        <v>0</v>
      </c>
      <c r="AI297">
        <f>IFERROR(INDEX('Exercise list'!$E$5:$X$102,MATCH($C297,'Exercise list'!$C$5:$C$102,0),MATCH(AI$5,'Exercise list'!$E$4:$X$4,0)),0)</f>
        <v>0</v>
      </c>
      <c r="AK297">
        <f>IF(OR($J297=1,COUNTIFS($A$5:$A296,"&gt;="&amp;$A297-1,$A$5:$A296,"&lt;="&amp;$A297,$B$5:$B296,$B297)&gt;0,MIN(1-'Exercise list'!E$2,IF($A297=$A296,AK296,1))-P297&lt;0),-1,MIN(1,IF($A297=$A296,AK296,1)-P297+$D$2))</f>
        <v>1</v>
      </c>
      <c r="AL297">
        <f>IF(OR($J297=1,COUNTIFS($A$5:$A296,"&gt;="&amp;$A297-1,$A$5:$A296,"&lt;="&amp;$A297,$B$5:$B296,$B297)&gt;0,MIN(1-'Exercise list'!F$2,IF($A297=$A296,AL296,1))-Q297&lt;0),-1,MIN(1,IF($A297=$A296,AL296,1)-Q297+$D$2))</f>
        <v>1</v>
      </c>
      <c r="AM297">
        <f>IF(OR($J297=1,COUNTIFS($A$5:$A296,"&gt;="&amp;$A297-1,$A$5:$A296,"&lt;="&amp;$A297,$B$5:$B296,$B297)&gt;0,MIN(1-'Exercise list'!G$2,IF($A297=$A296,AM296,1))-R297&lt;0),-1,MIN(1,IF($A297=$A296,AM296,1)-R297+$D$2))</f>
        <v>1</v>
      </c>
      <c r="AN297">
        <f>IF(OR($J297=1,COUNTIFS($A$5:$A296,"&gt;="&amp;$A297-1,$A$5:$A296,"&lt;="&amp;$A297,$B$5:$B296,$B297)&gt;0,MIN(1-'Exercise list'!H$2,IF($A297=$A296,AN296,1))-S297&lt;0),-1,MIN(1,IF($A297=$A296,AN296,1)-S297+$D$2))</f>
        <v>1</v>
      </c>
      <c r="AO297">
        <f>IF(OR($J297=1,COUNTIFS($A$5:$A296,"&gt;="&amp;$A297-1,$A$5:$A296,"&lt;="&amp;$A297,$B$5:$B296,$B297)&gt;0,MIN(1-'Exercise list'!I$2,IF($A297=$A296,AO296,1))-T297&lt;0),-1,MIN(1,IF($A297=$A296,AO296,1)-T297+$D$2))</f>
        <v>1</v>
      </c>
      <c r="AP297">
        <f>IF(OR($J297=1,COUNTIFS($A$5:$A296,"&gt;="&amp;$A297-1,$A$5:$A296,"&lt;="&amp;$A297,$B$5:$B296,$B297)&gt;0,MIN(1-'Exercise list'!J$2,IF($A297=$A296,AP296,1))-U297&lt;0),-1,MIN(1,IF($A297=$A296,AP296,1)-U297+$D$2))</f>
        <v>1</v>
      </c>
      <c r="AQ297">
        <f>IF(OR($J297=1,COUNTIFS($A$5:$A296,"&gt;="&amp;$A297-1,$A$5:$A296,"&lt;="&amp;$A297,$B$5:$B296,$B297)&gt;0,MIN(1-'Exercise list'!K$2,IF($A297=$A296,AQ296,1))-V297&lt;0),-1,MIN(1,IF($A297=$A296,AQ296,1)-V297+$D$2))</f>
        <v>1</v>
      </c>
      <c r="AR297">
        <f>IF(OR($J297=1,COUNTIFS($A$5:$A296,"&gt;="&amp;$A297-1,$A$5:$A296,"&lt;="&amp;$A297,$B$5:$B296,$B297)&gt;0,MIN(1-'Exercise list'!L$2,IF($A297=$A296,AR296,1))-W297&lt;0),-1,MIN(1,IF($A297=$A296,AR296,1)-W297+$D$2))</f>
        <v>1</v>
      </c>
      <c r="AS297">
        <f>IF(OR($J297=1,COUNTIFS($A$5:$A296,"&gt;="&amp;$A297-1,$A$5:$A296,"&lt;="&amp;$A297,$B$5:$B296,$B297)&gt;0,MIN(1-'Exercise list'!M$2,IF($A297=$A296,AS296,1))-X297&lt;0),-1,MIN(1,IF($A297=$A296,AS296,1)-X297+$D$2))</f>
        <v>1</v>
      </c>
      <c r="AT297">
        <f>IF(OR($J297=1,COUNTIFS($A$5:$A296,"&gt;="&amp;$A297-1,$A$5:$A296,"&lt;="&amp;$A297,$B$5:$B296,$B297)&gt;0,MIN(1-'Exercise list'!N$2,IF($A297=$A296,AT296,1))-Y297&lt;0),-1,MIN(1,IF($A297=$A296,AT296,1)-Y297+$D$2))</f>
        <v>1</v>
      </c>
      <c r="AU297">
        <f>IF(OR($J297=1,COUNTIFS($A$5:$A296,"&gt;="&amp;$A297-1,$A$5:$A296,"&lt;="&amp;$A297,$B$5:$B296,$B297)&gt;0,MIN(1-'Exercise list'!O$2,IF($A297=$A296,AU296,1))-Z297&lt;0),-1,MIN(1,IF($A297=$A296,AU296,1)-Z297+$D$2))</f>
        <v>1</v>
      </c>
      <c r="AV297">
        <f>IF(OR($J297=1,COUNTIFS($A$5:$A296,"&gt;="&amp;$A297-1,$A$5:$A296,"&lt;="&amp;$A297,$B$5:$B296,$B297)&gt;0,MIN(1-'Exercise list'!P$2,IF($A297=$A296,AV296,1))-AA297&lt;0),-1,MIN(1,IF($A297=$A296,AV296,1)-AA297+$D$2))</f>
        <v>1</v>
      </c>
      <c r="AW297">
        <f>IF(OR($J297=1,COUNTIFS($A$5:$A296,"&gt;="&amp;$A297-1,$A$5:$A296,"&lt;="&amp;$A297,$B$5:$B296,$B297)&gt;0,MIN(1-'Exercise list'!Q$2,IF($A297=$A296,AW296,1))-AB297&lt;0),-1,MIN(1,IF($A297=$A296,AW296,1)-AB297+$D$2))</f>
        <v>1</v>
      </c>
      <c r="AX297">
        <f>IF(OR($J297=1,COUNTIFS($A$5:$A296,"&gt;="&amp;$A297-1,$A$5:$A296,"&lt;="&amp;$A297,$B$5:$B296,$B297)&gt;0,MIN(1-'Exercise list'!R$2,IF($A297=$A296,AX296,1))-AC297&lt;0),-1,MIN(1,IF($A297=$A296,AX296,1)-AC297+$D$2))</f>
        <v>1</v>
      </c>
      <c r="AY297">
        <f>IF(OR($J297=1,COUNTIFS($A$5:$A296,"&gt;="&amp;$A297-1,$A$5:$A296,"&lt;="&amp;$A297,$B$5:$B296,$B297)&gt;0,MIN(1-'Exercise list'!S$2,IF($A297=$A296,AY296,1))-AD297&lt;0),-1,MIN(1,IF($A297=$A296,AY296,1)-AD297+$D$2))</f>
        <v>1</v>
      </c>
      <c r="AZ297">
        <f>IF(OR($J297=1,COUNTIFS($A$5:$A296,"&gt;="&amp;$A297-1,$A$5:$A296,"&lt;="&amp;$A297,$B$5:$B296,$B297)&gt;0,MIN(1-'Exercise list'!T$2,IF($A297=$A296,AZ296,1))-AE297&lt;0),-1,MIN(1,IF($A297=$A296,AZ296,1)-AE297+$D$2))</f>
        <v>1</v>
      </c>
      <c r="BA297">
        <f>IF(OR($J297=1,COUNTIFS($A$5:$A296,"&gt;="&amp;$A297-1,$A$5:$A296,"&lt;="&amp;$A297,$B$5:$B296,$B297)&gt;0,MIN(1-'Exercise list'!U$2,IF($A297=$A296,BA296,1))-AF297&lt;0),-1,MIN(1,IF($A297=$A296,BA296,1)-AF297+$D$2))</f>
        <v>1</v>
      </c>
      <c r="BB297">
        <f>IF(OR($J297=1,COUNTIFS($A$5:$A296,"&gt;="&amp;$A297-1,$A$5:$A296,"&lt;="&amp;$A297,$B$5:$B296,$B297)&gt;0,MIN(1-'Exercise list'!V$2,IF($A297=$A296,BB296,1))-AG297&lt;0),-1,MIN(1,IF($A297=$A296,BB296,1)-AG297+$D$2))</f>
        <v>1</v>
      </c>
      <c r="BC297">
        <f>IF(OR($J297=1,COUNTIFS($A$5:$A296,"&gt;="&amp;$A297-1,$A$5:$A296,"&lt;="&amp;$A297,$B$5:$B296,$B297)&gt;0,MIN(1-'Exercise list'!W$2,IF($A297=$A296,BC296,1))-AH297&lt;0),-1,MIN(1,IF($A297=$A296,BC296,1)-AH297+$D$2))</f>
        <v>1</v>
      </c>
      <c r="BD297">
        <f>IF(OR($J297=1,COUNTIFS($A$5:$A296,"&gt;="&amp;$A297-1,$A$5:$A296,"&lt;="&amp;$A297,$B$5:$B296,$B297)&gt;0,MIN(1-'Exercise list'!X$2,IF($A297=$A296,BD296,1))-AI297&lt;0),-1,MIN(1,IF($A297=$A296,BD296,1)-AI297+$D$2))</f>
        <v>1</v>
      </c>
      <c r="BF297" s="16">
        <f t="shared" si="233"/>
        <v>0.19596031081758858</v>
      </c>
      <c r="BG297" s="16">
        <f t="shared" si="234"/>
        <v>0.21844636935459236</v>
      </c>
      <c r="BH297" s="16">
        <f t="shared" si="235"/>
        <v>0.14609696635987124</v>
      </c>
      <c r="BI297" s="16">
        <f t="shared" si="236"/>
        <v>0.13198015366034541</v>
      </c>
      <c r="BJ297" s="16">
        <f t="shared" si="237"/>
        <v>8.3367914198418713E-2</v>
      </c>
      <c r="BK297" s="16">
        <f t="shared" si="238"/>
        <v>0.10640640223148412</v>
      </c>
      <c r="BL297" s="16">
        <f t="shared" si="239"/>
        <v>0.21963504743569431</v>
      </c>
      <c r="BM297" s="16">
        <f t="shared" si="240"/>
        <v>3.8988008374820568E-3</v>
      </c>
      <c r="BN297" s="16">
        <f t="shared" si="241"/>
        <v>0.14537706087090876</v>
      </c>
      <c r="BO297" s="16">
        <f t="shared" si="242"/>
        <v>0.29209790661993401</v>
      </c>
      <c r="BP297" s="16">
        <f t="shared" si="243"/>
        <v>0.31584545163401867</v>
      </c>
      <c r="BQ297" s="16">
        <f t="shared" si="244"/>
        <v>0.1000007994126096</v>
      </c>
      <c r="BR297" s="16">
        <f t="shared" si="245"/>
        <v>0.13164487759885393</v>
      </c>
      <c r="BS297" s="16">
        <f t="shared" si="246"/>
        <v>2.9803550189863123E-2</v>
      </c>
      <c r="BT297" s="16">
        <f t="shared" si="247"/>
        <v>0.13492040904978705</v>
      </c>
      <c r="BU297" s="16">
        <f t="shared" si="248"/>
        <v>0.11703687414398131</v>
      </c>
      <c r="BV297" s="16">
        <f t="shared" si="249"/>
        <v>0.14633353213781661</v>
      </c>
      <c r="BW297" s="16">
        <f t="shared" si="250"/>
        <v>7.5588015111767173E-2</v>
      </c>
      <c r="BX297" s="16">
        <f t="shared" si="251"/>
        <v>8.0345659937185704E-2</v>
      </c>
      <c r="BY297" s="16">
        <f t="shared" si="252"/>
        <v>5.9014643151272549E-2</v>
      </c>
      <c r="CA297" s="16" t="str">
        <f t="shared" si="229"/>
        <v/>
      </c>
      <c r="CB297" s="16" t="str">
        <f t="shared" si="210"/>
        <v/>
      </c>
      <c r="CC297" s="16" t="str">
        <f t="shared" si="211"/>
        <v/>
      </c>
      <c r="CD297" s="16" t="str">
        <f t="shared" si="212"/>
        <v/>
      </c>
      <c r="CE297" s="16" t="str">
        <f t="shared" si="213"/>
        <v/>
      </c>
      <c r="CF297" s="16" t="str">
        <f t="shared" si="214"/>
        <v/>
      </c>
      <c r="CG297" s="16" t="str">
        <f t="shared" si="215"/>
        <v/>
      </c>
      <c r="CH297" s="16" t="str">
        <f t="shared" si="216"/>
        <v/>
      </c>
      <c r="CI297" s="16" t="str">
        <f t="shared" si="217"/>
        <v/>
      </c>
      <c r="CJ297" s="16" t="str">
        <f t="shared" si="218"/>
        <v/>
      </c>
      <c r="CK297" s="16" t="str">
        <f t="shared" si="219"/>
        <v/>
      </c>
      <c r="CL297" s="16" t="str">
        <f t="shared" si="220"/>
        <v/>
      </c>
      <c r="CM297" s="16" t="str">
        <f t="shared" si="221"/>
        <v/>
      </c>
      <c r="CN297" s="16" t="str">
        <f t="shared" si="222"/>
        <v/>
      </c>
      <c r="CO297" s="16" t="str">
        <f t="shared" si="223"/>
        <v/>
      </c>
      <c r="CP297" s="16" t="str">
        <f t="shared" si="224"/>
        <v/>
      </c>
      <c r="CQ297" s="16" t="str">
        <f t="shared" si="225"/>
        <v/>
      </c>
      <c r="CR297" s="16" t="str">
        <f t="shared" si="226"/>
        <v/>
      </c>
      <c r="CS297" s="16" t="str">
        <f t="shared" si="227"/>
        <v/>
      </c>
      <c r="CT297" s="16" t="str">
        <f t="shared" si="228"/>
        <v/>
      </c>
    </row>
    <row r="298" spans="1:99" x14ac:dyDescent="0.25">
      <c r="A298" s="20"/>
      <c r="B298" s="21"/>
      <c r="C298" s="22" t="str" cm="1">
        <f t="array" ref="C298">IF(B298="","",INDEX('Exercise list'!$C$5:$C$102,B298))</f>
        <v/>
      </c>
      <c r="D298" s="17" t="str">
        <f t="shared" si="230"/>
        <v/>
      </c>
      <c r="E298" s="108" t="str">
        <f t="shared" si="253"/>
        <v/>
      </c>
      <c r="F298" s="65" t="str" cm="1">
        <f t="array" ref="F298">IF(B298="","",0.1+IFERROR(INDEX($F$6:$F297,SUMPRODUCT(MAX(ROW($C$6:$C297)*($C298=$C$6:$C297))-ROW($A$5)))*0.9^($A298-INDEX($A$6:A297,SUMPRODUCT(MAX(ROW($C$6:$C297)*($C298=$C$6:$C297))-ROW($A$5)))),0))</f>
        <v/>
      </c>
      <c r="G298" s="25" t="e">
        <f>INDEX('Exercise list'!$Y$5:$Y$102,MATCH(C298,'Exercise list'!$C$5:$C$102,0))</f>
        <v>#N/A</v>
      </c>
      <c r="H298" s="116">
        <f t="shared" si="231"/>
        <v>0</v>
      </c>
      <c r="I298" s="18">
        <f t="shared" si="232"/>
        <v>5</v>
      </c>
      <c r="J298" s="18" t="str" cm="1">
        <f t="array" ref="J298">IF(B298="","",INDEX('Exercise list'!$D$5:$D$102,B298))</f>
        <v/>
      </c>
      <c r="K298" s="17"/>
      <c r="L298" s="51" t="str" cm="1">
        <f t="array" ref="L298">IF(K298="","",INDEX('Exercise list'!$C$5:$C$102,K298))</f>
        <v/>
      </c>
      <c r="M298" s="18"/>
      <c r="N298" s="76" t="str" cm="1">
        <f t="array" ref="N298">IF(M298="","",INDEX('Exercise list'!$C$5:$C$102,M298))</f>
        <v/>
      </c>
      <c r="O298" s="19"/>
      <c r="P298" s="19">
        <f>IFERROR(INDEX('Exercise list'!$E$5:$X$102,MATCH($C298,'Exercise list'!$C$5:$C$102,0),MATCH(P$5,'Exercise list'!$E$4:$X$4,0)),0)</f>
        <v>0</v>
      </c>
      <c r="Q298" s="19">
        <f>IFERROR(INDEX('Exercise list'!$E$5:$X$102,MATCH($C298,'Exercise list'!$C$5:$C$102,0),MATCH(Q$5,'Exercise list'!$E$4:$X$4,0)),0)</f>
        <v>0</v>
      </c>
      <c r="R298" s="19">
        <f>IFERROR(INDEX('Exercise list'!$E$5:$X$102,MATCH($C298,'Exercise list'!$C$5:$C$102,0),MATCH(R$5,'Exercise list'!$E$4:$X$4,0)),0)</f>
        <v>0</v>
      </c>
      <c r="S298" s="19">
        <f>IFERROR(INDEX('Exercise list'!$E$5:$X$102,MATCH($C298,'Exercise list'!$C$5:$C$102,0),MATCH(S$5,'Exercise list'!$E$4:$X$4,0)),0)</f>
        <v>0</v>
      </c>
      <c r="T298" s="19">
        <f>IFERROR(INDEX('Exercise list'!$E$5:$X$102,MATCH($C298,'Exercise list'!$C$5:$C$102,0),MATCH(T$5,'Exercise list'!$E$4:$X$4,0)),0)</f>
        <v>0</v>
      </c>
      <c r="U298" s="19">
        <f>IFERROR(INDEX('Exercise list'!$E$5:$X$102,MATCH($C298,'Exercise list'!$C$5:$C$102,0),MATCH(U$5,'Exercise list'!$E$4:$X$4,0)),0)</f>
        <v>0</v>
      </c>
      <c r="V298" s="19">
        <f>IFERROR(INDEX('Exercise list'!$E$5:$X$102,MATCH($C298,'Exercise list'!$C$5:$C$102,0),MATCH(V$5,'Exercise list'!$E$4:$X$4,0)),0)</f>
        <v>0</v>
      </c>
      <c r="W298" s="19">
        <f>IFERROR(INDEX('Exercise list'!$E$5:$X$102,MATCH($C298,'Exercise list'!$C$5:$C$102,0),MATCH(W$5,'Exercise list'!$E$4:$X$4,0)),0)</f>
        <v>0</v>
      </c>
      <c r="X298" s="19">
        <f>IFERROR(INDEX('Exercise list'!$E$5:$X$102,MATCH($C298,'Exercise list'!$C$5:$C$102,0),MATCH(X$5,'Exercise list'!$E$4:$X$4,0)),0)</f>
        <v>0</v>
      </c>
      <c r="Y298" s="19">
        <f>IFERROR(INDEX('Exercise list'!$E$5:$X$102,MATCH($C298,'Exercise list'!$C$5:$C$102,0),MATCH(Y$5,'Exercise list'!$E$4:$X$4,0)),0)</f>
        <v>0</v>
      </c>
      <c r="Z298" s="19">
        <f>IFERROR(INDEX('Exercise list'!$E$5:$X$102,MATCH($C298,'Exercise list'!$C$5:$C$102,0),MATCH(Z$5,'Exercise list'!$E$4:$X$4,0)),0)</f>
        <v>0</v>
      </c>
      <c r="AA298" s="19">
        <f>IFERROR(INDEX('Exercise list'!$E$5:$X$102,MATCH($C298,'Exercise list'!$C$5:$C$102,0),MATCH(AA$5,'Exercise list'!$E$4:$X$4,0)),0)</f>
        <v>0</v>
      </c>
      <c r="AB298" s="19">
        <f>IFERROR(INDEX('Exercise list'!$E$5:$X$102,MATCH($C298,'Exercise list'!$C$5:$C$102,0),MATCH(AB$5,'Exercise list'!$E$4:$X$4,0)),0)</f>
        <v>0</v>
      </c>
      <c r="AC298" s="19">
        <f>IFERROR(INDEX('Exercise list'!$E$5:$X$102,MATCH($C298,'Exercise list'!$C$5:$C$102,0),MATCH(AC$5,'Exercise list'!$E$4:$X$4,0)),0)</f>
        <v>0</v>
      </c>
      <c r="AD298" s="19">
        <f>IFERROR(INDEX('Exercise list'!$E$5:$X$102,MATCH($C298,'Exercise list'!$C$5:$C$102,0),MATCH(AD$5,'Exercise list'!$E$4:$X$4,0)),0)</f>
        <v>0</v>
      </c>
      <c r="AE298" s="19">
        <f>IFERROR(INDEX('Exercise list'!$E$5:$X$102,MATCH($C298,'Exercise list'!$C$5:$C$102,0),MATCH(AE$5,'Exercise list'!$E$4:$X$4,0)),0)</f>
        <v>0</v>
      </c>
      <c r="AF298" s="19">
        <f>IFERROR(INDEX('Exercise list'!$E$5:$X$102,MATCH($C298,'Exercise list'!$C$5:$C$102,0),MATCH(AF$5,'Exercise list'!$E$4:$X$4,0)),0)</f>
        <v>0</v>
      </c>
      <c r="AG298" s="19">
        <f>IFERROR(INDEX('Exercise list'!$E$5:$X$102,MATCH($C298,'Exercise list'!$C$5:$C$102,0),MATCH(AG$5,'Exercise list'!$E$4:$X$4,0)),0)</f>
        <v>0</v>
      </c>
      <c r="AH298" s="19">
        <f>IFERROR(INDEX('Exercise list'!$E$5:$X$102,MATCH($C298,'Exercise list'!$C$5:$C$102,0),MATCH(AH$5,'Exercise list'!$E$4:$X$4,0)),0)</f>
        <v>0</v>
      </c>
      <c r="AI298" s="19">
        <f>IFERROR(INDEX('Exercise list'!$E$5:$X$102,MATCH($C298,'Exercise list'!$C$5:$C$102,0),MATCH(AI$5,'Exercise list'!$E$4:$X$4,0)),0)</f>
        <v>0</v>
      </c>
      <c r="AJ298" s="19"/>
      <c r="AK298" s="19">
        <f>IF(OR($J298=1,COUNTIFS($A$5:$A297,"&gt;="&amp;$A298-1,$A$5:$A297,"&lt;="&amp;$A298,$B$5:$B297,$B298)&gt;0,MIN(1-'Exercise list'!E$2,IF($A298=$A297,AK297,1))-P298&lt;0),-1,MIN(1,IF($A298=$A297,AK297,1)-P298+$D$2))</f>
        <v>1</v>
      </c>
      <c r="AL298" s="19">
        <f>IF(OR($J298=1,COUNTIFS($A$5:$A297,"&gt;="&amp;$A298-1,$A$5:$A297,"&lt;="&amp;$A298,$B$5:$B297,$B298)&gt;0,MIN(1-'Exercise list'!F$2,IF($A298=$A297,AL297,1))-Q298&lt;0),-1,MIN(1,IF($A298=$A297,AL297,1)-Q298+$D$2))</f>
        <v>1</v>
      </c>
      <c r="AM298" s="19">
        <f>IF(OR($J298=1,COUNTIFS($A$5:$A297,"&gt;="&amp;$A298-1,$A$5:$A297,"&lt;="&amp;$A298,$B$5:$B297,$B298)&gt;0,MIN(1-'Exercise list'!G$2,IF($A298=$A297,AM297,1))-R298&lt;0),-1,MIN(1,IF($A298=$A297,AM297,1)-R298+$D$2))</f>
        <v>1</v>
      </c>
      <c r="AN298" s="19">
        <f>IF(OR($J298=1,COUNTIFS($A$5:$A297,"&gt;="&amp;$A298-1,$A$5:$A297,"&lt;="&amp;$A298,$B$5:$B297,$B298)&gt;0,MIN(1-'Exercise list'!H$2,IF($A298=$A297,AN297,1))-S298&lt;0),-1,MIN(1,IF($A298=$A297,AN297,1)-S298+$D$2))</f>
        <v>1</v>
      </c>
      <c r="AO298" s="19">
        <f>IF(OR($J298=1,COUNTIFS($A$5:$A297,"&gt;="&amp;$A298-1,$A$5:$A297,"&lt;="&amp;$A298,$B$5:$B297,$B298)&gt;0,MIN(1-'Exercise list'!I$2,IF($A298=$A297,AO297,1))-T298&lt;0),-1,MIN(1,IF($A298=$A297,AO297,1)-T298+$D$2))</f>
        <v>1</v>
      </c>
      <c r="AP298" s="19">
        <f>IF(OR($J298=1,COUNTIFS($A$5:$A297,"&gt;="&amp;$A298-1,$A$5:$A297,"&lt;="&amp;$A298,$B$5:$B297,$B298)&gt;0,MIN(1-'Exercise list'!J$2,IF($A298=$A297,AP297,1))-U298&lt;0),-1,MIN(1,IF($A298=$A297,AP297,1)-U298+$D$2))</f>
        <v>1</v>
      </c>
      <c r="AQ298" s="19">
        <f>IF(OR($J298=1,COUNTIFS($A$5:$A297,"&gt;="&amp;$A298-1,$A$5:$A297,"&lt;="&amp;$A298,$B$5:$B297,$B298)&gt;0,MIN(1-'Exercise list'!K$2,IF($A298=$A297,AQ297,1))-V298&lt;0),-1,MIN(1,IF($A298=$A297,AQ297,1)-V298+$D$2))</f>
        <v>1</v>
      </c>
      <c r="AR298" s="19">
        <f>IF(OR($J298=1,COUNTIFS($A$5:$A297,"&gt;="&amp;$A298-1,$A$5:$A297,"&lt;="&amp;$A298,$B$5:$B297,$B298)&gt;0,MIN(1-'Exercise list'!L$2,IF($A298=$A297,AR297,1))-W298&lt;0),-1,MIN(1,IF($A298=$A297,AR297,1)-W298+$D$2))</f>
        <v>1</v>
      </c>
      <c r="AS298" s="19">
        <f>IF(OR($J298=1,COUNTIFS($A$5:$A297,"&gt;="&amp;$A298-1,$A$5:$A297,"&lt;="&amp;$A298,$B$5:$B297,$B298)&gt;0,MIN(1-'Exercise list'!M$2,IF($A298=$A297,AS297,1))-X298&lt;0),-1,MIN(1,IF($A298=$A297,AS297,1)-X298+$D$2))</f>
        <v>1</v>
      </c>
      <c r="AT298" s="19">
        <f>IF(OR($J298=1,COUNTIFS($A$5:$A297,"&gt;="&amp;$A298-1,$A$5:$A297,"&lt;="&amp;$A298,$B$5:$B297,$B298)&gt;0,MIN(1-'Exercise list'!N$2,IF($A298=$A297,AT297,1))-Y298&lt;0),-1,MIN(1,IF($A298=$A297,AT297,1)-Y298+$D$2))</f>
        <v>1</v>
      </c>
      <c r="AU298" s="19">
        <f>IF(OR($J298=1,COUNTIFS($A$5:$A297,"&gt;="&amp;$A298-1,$A$5:$A297,"&lt;="&amp;$A298,$B$5:$B297,$B298)&gt;0,MIN(1-'Exercise list'!O$2,IF($A298=$A297,AU297,1))-Z298&lt;0),-1,MIN(1,IF($A298=$A297,AU297,1)-Z298+$D$2))</f>
        <v>1</v>
      </c>
      <c r="AV298" s="19">
        <f>IF(OR($J298=1,COUNTIFS($A$5:$A297,"&gt;="&amp;$A298-1,$A$5:$A297,"&lt;="&amp;$A298,$B$5:$B297,$B298)&gt;0,MIN(1-'Exercise list'!P$2,IF($A298=$A297,AV297,1))-AA298&lt;0),-1,MIN(1,IF($A298=$A297,AV297,1)-AA298+$D$2))</f>
        <v>1</v>
      </c>
      <c r="AW298" s="19">
        <f>IF(OR($J298=1,COUNTIFS($A$5:$A297,"&gt;="&amp;$A298-1,$A$5:$A297,"&lt;="&amp;$A298,$B$5:$B297,$B298)&gt;0,MIN(1-'Exercise list'!Q$2,IF($A298=$A297,AW297,1))-AB298&lt;0),-1,MIN(1,IF($A298=$A297,AW297,1)-AB298+$D$2))</f>
        <v>1</v>
      </c>
      <c r="AX298" s="19">
        <f>IF(OR($J298=1,COUNTIFS($A$5:$A297,"&gt;="&amp;$A298-1,$A$5:$A297,"&lt;="&amp;$A298,$B$5:$B297,$B298)&gt;0,MIN(1-'Exercise list'!R$2,IF($A298=$A297,AX297,1))-AC298&lt;0),-1,MIN(1,IF($A298=$A297,AX297,1)-AC298+$D$2))</f>
        <v>1</v>
      </c>
      <c r="AY298" s="19">
        <f>IF(OR($J298=1,COUNTIFS($A$5:$A297,"&gt;="&amp;$A298-1,$A$5:$A297,"&lt;="&amp;$A298,$B$5:$B297,$B298)&gt;0,MIN(1-'Exercise list'!S$2,IF($A298=$A297,AY297,1))-AD298&lt;0),-1,MIN(1,IF($A298=$A297,AY297,1)-AD298+$D$2))</f>
        <v>1</v>
      </c>
      <c r="AZ298" s="19">
        <f>IF(OR($J298=1,COUNTIFS($A$5:$A297,"&gt;="&amp;$A298-1,$A$5:$A297,"&lt;="&amp;$A298,$B$5:$B297,$B298)&gt;0,MIN(1-'Exercise list'!T$2,IF($A298=$A297,AZ297,1))-AE298&lt;0),-1,MIN(1,IF($A298=$A297,AZ297,1)-AE298+$D$2))</f>
        <v>1</v>
      </c>
      <c r="BA298" s="19">
        <f>IF(OR($J298=1,COUNTIFS($A$5:$A297,"&gt;="&amp;$A298-1,$A$5:$A297,"&lt;="&amp;$A298,$B$5:$B297,$B298)&gt;0,MIN(1-'Exercise list'!U$2,IF($A298=$A297,BA297,1))-AF298&lt;0),-1,MIN(1,IF($A298=$A297,BA297,1)-AF298+$D$2))</f>
        <v>1</v>
      </c>
      <c r="BB298" s="19">
        <f>IF(OR($J298=1,COUNTIFS($A$5:$A297,"&gt;="&amp;$A298-1,$A$5:$A297,"&lt;="&amp;$A298,$B$5:$B297,$B298)&gt;0,MIN(1-'Exercise list'!V$2,IF($A298=$A297,BB297,1))-AG298&lt;0),-1,MIN(1,IF($A298=$A297,BB297,1)-AG298+$D$2))</f>
        <v>1</v>
      </c>
      <c r="BC298" s="19">
        <f>IF(OR($J298=1,COUNTIFS($A$5:$A297,"&gt;="&amp;$A298-1,$A$5:$A297,"&lt;="&amp;$A298,$B$5:$B297,$B298)&gt;0,MIN(1-'Exercise list'!W$2,IF($A298=$A297,BC297,1))-AH298&lt;0),-1,MIN(1,IF($A298=$A297,BC297,1)-AH298+$D$2))</f>
        <v>1</v>
      </c>
      <c r="BD298" s="19">
        <f>IF(OR($J298=1,COUNTIFS($A$5:$A297,"&gt;="&amp;$A298-1,$A$5:$A297,"&lt;="&amp;$A298,$B$5:$B297,$B298)&gt;0,MIN(1-'Exercise list'!X$2,IF($A298=$A297,BD297,1))-AI298&lt;0),-1,MIN(1,IF($A298=$A297,BD297,1)-AI298+$D$2))</f>
        <v>1</v>
      </c>
      <c r="BE298" s="19"/>
      <c r="BF298" s="23">
        <f t="shared" si="233"/>
        <v>0.19596031081758858</v>
      </c>
      <c r="BG298" s="23">
        <f t="shared" si="234"/>
        <v>0.21844636935459236</v>
      </c>
      <c r="BH298" s="23">
        <f t="shared" si="235"/>
        <v>0.14609696635987124</v>
      </c>
      <c r="BI298" s="23">
        <f t="shared" si="236"/>
        <v>0.13198015366034541</v>
      </c>
      <c r="BJ298" s="23">
        <f t="shared" si="237"/>
        <v>8.3367914198418713E-2</v>
      </c>
      <c r="BK298" s="23">
        <f t="shared" si="238"/>
        <v>0.10640640223148412</v>
      </c>
      <c r="BL298" s="23">
        <f t="shared" si="239"/>
        <v>0.21963504743569431</v>
      </c>
      <c r="BM298" s="23">
        <f t="shared" si="240"/>
        <v>3.8988008374820568E-3</v>
      </c>
      <c r="BN298" s="23">
        <f t="shared" si="241"/>
        <v>0.14537706087090876</v>
      </c>
      <c r="BO298" s="23">
        <f t="shared" si="242"/>
        <v>0.29209790661993401</v>
      </c>
      <c r="BP298" s="23">
        <f t="shared" si="243"/>
        <v>0.31584545163401867</v>
      </c>
      <c r="BQ298" s="23">
        <f t="shared" si="244"/>
        <v>0.1000007994126096</v>
      </c>
      <c r="BR298" s="23">
        <f t="shared" si="245"/>
        <v>0.13164487759885393</v>
      </c>
      <c r="BS298" s="23">
        <f t="shared" si="246"/>
        <v>2.9803550189863123E-2</v>
      </c>
      <c r="BT298" s="23">
        <f t="shared" si="247"/>
        <v>0.13492040904978705</v>
      </c>
      <c r="BU298" s="23">
        <f t="shared" si="248"/>
        <v>0.11703687414398131</v>
      </c>
      <c r="BV298" s="23">
        <f t="shared" si="249"/>
        <v>0.14633353213781661</v>
      </c>
      <c r="BW298" s="23">
        <f t="shared" si="250"/>
        <v>7.5588015111767173E-2</v>
      </c>
      <c r="BX298" s="23">
        <f t="shared" si="251"/>
        <v>8.0345659937185704E-2</v>
      </c>
      <c r="BY298" s="23">
        <f t="shared" si="252"/>
        <v>5.9014643151272549E-2</v>
      </c>
      <c r="BZ298" s="19"/>
      <c r="CA298" s="23" t="str">
        <f t="shared" si="229"/>
        <v/>
      </c>
      <c r="CB298" s="23" t="str">
        <f t="shared" si="210"/>
        <v/>
      </c>
      <c r="CC298" s="23" t="str">
        <f t="shared" si="211"/>
        <v/>
      </c>
      <c r="CD298" s="23" t="str">
        <f t="shared" si="212"/>
        <v/>
      </c>
      <c r="CE298" s="23" t="str">
        <f t="shared" si="213"/>
        <v/>
      </c>
      <c r="CF298" s="23" t="str">
        <f t="shared" si="214"/>
        <v/>
      </c>
      <c r="CG298" s="23" t="str">
        <f t="shared" si="215"/>
        <v/>
      </c>
      <c r="CH298" s="23" t="str">
        <f t="shared" si="216"/>
        <v/>
      </c>
      <c r="CI298" s="23" t="str">
        <f t="shared" si="217"/>
        <v/>
      </c>
      <c r="CJ298" s="23" t="str">
        <f t="shared" si="218"/>
        <v/>
      </c>
      <c r="CK298" s="23" t="str">
        <f t="shared" si="219"/>
        <v/>
      </c>
      <c r="CL298" s="23" t="str">
        <f t="shared" si="220"/>
        <v/>
      </c>
      <c r="CM298" s="23" t="str">
        <f t="shared" si="221"/>
        <v/>
      </c>
      <c r="CN298" s="23" t="str">
        <f t="shared" si="222"/>
        <v/>
      </c>
      <c r="CO298" s="23" t="str">
        <f t="shared" si="223"/>
        <v/>
      </c>
      <c r="CP298" s="23" t="str">
        <f t="shared" si="224"/>
        <v/>
      </c>
      <c r="CQ298" s="23" t="str">
        <f t="shared" si="225"/>
        <v/>
      </c>
      <c r="CR298" s="23" t="str">
        <f t="shared" si="226"/>
        <v/>
      </c>
      <c r="CS298" s="23" t="str">
        <f t="shared" si="227"/>
        <v/>
      </c>
      <c r="CT298" s="23" t="str">
        <f t="shared" si="228"/>
        <v/>
      </c>
      <c r="CU298" s="19"/>
    </row>
    <row r="299" spans="1:99" x14ac:dyDescent="0.25">
      <c r="A299" s="13"/>
      <c r="B299" s="14"/>
      <c r="C299" s="15" t="str" cm="1">
        <f t="array" ref="C299">IF(B299="","",INDEX('Exercise list'!$C$5:$C$102,B299))</f>
        <v/>
      </c>
      <c r="D299" s="12" t="str">
        <f t="shared" si="230"/>
        <v/>
      </c>
      <c r="E299" s="107" t="str">
        <f t="shared" si="253"/>
        <v/>
      </c>
      <c r="F299" s="63" t="str" cm="1">
        <f t="array" ref="F299">IF(B299="","",0.1+IFERROR(INDEX($F$6:$F298,SUMPRODUCT(MAX(ROW($C$6:$C298)*($C299=$C$6:$C298))-ROW($A$5)))*0.9^($A299-INDEX($A$6:A298,SUMPRODUCT(MAX(ROW($C$6:$C298)*($C299=$C$6:$C298))-ROW($A$5)))),0))</f>
        <v/>
      </c>
      <c r="G299" s="64" t="e">
        <f>INDEX('Exercise list'!$Y$5:$Y$102,MATCH(C299,'Exercise list'!$C$5:$C$102,0))</f>
        <v>#N/A</v>
      </c>
      <c r="H299" s="115">
        <f t="shared" si="231"/>
        <v>0</v>
      </c>
      <c r="I299" s="42">
        <f t="shared" si="232"/>
        <v>5</v>
      </c>
      <c r="J299" s="6" t="str" cm="1">
        <f t="array" ref="J299">IF(B299="","",INDEX('Exercise list'!$D$5:$D$102,B299))</f>
        <v/>
      </c>
      <c r="K299" s="12"/>
      <c r="L299" s="74" t="str" cm="1">
        <f t="array" ref="L299">IF(K299="","",INDEX('Exercise list'!$C$5:$C$102,K299))</f>
        <v/>
      </c>
      <c r="M299" s="6"/>
      <c r="N299" s="75" t="str" cm="1">
        <f t="array" ref="N299">IF(M299="","",INDEX('Exercise list'!$C$5:$C$102,M299))</f>
        <v/>
      </c>
      <c r="P299">
        <f>IFERROR(INDEX('Exercise list'!$E$5:$X$102,MATCH($C299,'Exercise list'!$C$5:$C$102,0),MATCH(P$5,'Exercise list'!$E$4:$X$4,0)),0)</f>
        <v>0</v>
      </c>
      <c r="Q299">
        <f>IFERROR(INDEX('Exercise list'!$E$5:$X$102,MATCH($C299,'Exercise list'!$C$5:$C$102,0),MATCH(Q$5,'Exercise list'!$E$4:$X$4,0)),0)</f>
        <v>0</v>
      </c>
      <c r="R299">
        <f>IFERROR(INDEX('Exercise list'!$E$5:$X$102,MATCH($C299,'Exercise list'!$C$5:$C$102,0),MATCH(R$5,'Exercise list'!$E$4:$X$4,0)),0)</f>
        <v>0</v>
      </c>
      <c r="S299">
        <f>IFERROR(INDEX('Exercise list'!$E$5:$X$102,MATCH($C299,'Exercise list'!$C$5:$C$102,0),MATCH(S$5,'Exercise list'!$E$4:$X$4,0)),0)</f>
        <v>0</v>
      </c>
      <c r="T299">
        <f>IFERROR(INDEX('Exercise list'!$E$5:$X$102,MATCH($C299,'Exercise list'!$C$5:$C$102,0),MATCH(T$5,'Exercise list'!$E$4:$X$4,0)),0)</f>
        <v>0</v>
      </c>
      <c r="U299">
        <f>IFERROR(INDEX('Exercise list'!$E$5:$X$102,MATCH($C299,'Exercise list'!$C$5:$C$102,0),MATCH(U$5,'Exercise list'!$E$4:$X$4,0)),0)</f>
        <v>0</v>
      </c>
      <c r="V299">
        <f>IFERROR(INDEX('Exercise list'!$E$5:$X$102,MATCH($C299,'Exercise list'!$C$5:$C$102,0),MATCH(V$5,'Exercise list'!$E$4:$X$4,0)),0)</f>
        <v>0</v>
      </c>
      <c r="W299">
        <f>IFERROR(INDEX('Exercise list'!$E$5:$X$102,MATCH($C299,'Exercise list'!$C$5:$C$102,0),MATCH(W$5,'Exercise list'!$E$4:$X$4,0)),0)</f>
        <v>0</v>
      </c>
      <c r="X299">
        <f>IFERROR(INDEX('Exercise list'!$E$5:$X$102,MATCH($C299,'Exercise list'!$C$5:$C$102,0),MATCH(X$5,'Exercise list'!$E$4:$X$4,0)),0)</f>
        <v>0</v>
      </c>
      <c r="Y299">
        <f>IFERROR(INDEX('Exercise list'!$E$5:$X$102,MATCH($C299,'Exercise list'!$C$5:$C$102,0),MATCH(Y$5,'Exercise list'!$E$4:$X$4,0)),0)</f>
        <v>0</v>
      </c>
      <c r="Z299">
        <f>IFERROR(INDEX('Exercise list'!$E$5:$X$102,MATCH($C299,'Exercise list'!$C$5:$C$102,0),MATCH(Z$5,'Exercise list'!$E$4:$X$4,0)),0)</f>
        <v>0</v>
      </c>
      <c r="AA299">
        <f>IFERROR(INDEX('Exercise list'!$E$5:$X$102,MATCH($C299,'Exercise list'!$C$5:$C$102,0),MATCH(AA$5,'Exercise list'!$E$4:$X$4,0)),0)</f>
        <v>0</v>
      </c>
      <c r="AB299">
        <f>IFERROR(INDEX('Exercise list'!$E$5:$X$102,MATCH($C299,'Exercise list'!$C$5:$C$102,0),MATCH(AB$5,'Exercise list'!$E$4:$X$4,0)),0)</f>
        <v>0</v>
      </c>
      <c r="AC299">
        <f>IFERROR(INDEX('Exercise list'!$E$5:$X$102,MATCH($C299,'Exercise list'!$C$5:$C$102,0),MATCH(AC$5,'Exercise list'!$E$4:$X$4,0)),0)</f>
        <v>0</v>
      </c>
      <c r="AD299">
        <f>IFERROR(INDEX('Exercise list'!$E$5:$X$102,MATCH($C299,'Exercise list'!$C$5:$C$102,0),MATCH(AD$5,'Exercise list'!$E$4:$X$4,0)),0)</f>
        <v>0</v>
      </c>
      <c r="AE299">
        <f>IFERROR(INDEX('Exercise list'!$E$5:$X$102,MATCH($C299,'Exercise list'!$C$5:$C$102,0),MATCH(AE$5,'Exercise list'!$E$4:$X$4,0)),0)</f>
        <v>0</v>
      </c>
      <c r="AF299">
        <f>IFERROR(INDEX('Exercise list'!$E$5:$X$102,MATCH($C299,'Exercise list'!$C$5:$C$102,0),MATCH(AF$5,'Exercise list'!$E$4:$X$4,0)),0)</f>
        <v>0</v>
      </c>
      <c r="AG299">
        <f>IFERROR(INDEX('Exercise list'!$E$5:$X$102,MATCH($C299,'Exercise list'!$C$5:$C$102,0),MATCH(AG$5,'Exercise list'!$E$4:$X$4,0)),0)</f>
        <v>0</v>
      </c>
      <c r="AH299">
        <f>IFERROR(INDEX('Exercise list'!$E$5:$X$102,MATCH($C299,'Exercise list'!$C$5:$C$102,0),MATCH(AH$5,'Exercise list'!$E$4:$X$4,0)),0)</f>
        <v>0</v>
      </c>
      <c r="AI299">
        <f>IFERROR(INDEX('Exercise list'!$E$5:$X$102,MATCH($C299,'Exercise list'!$C$5:$C$102,0),MATCH(AI$5,'Exercise list'!$E$4:$X$4,0)),0)</f>
        <v>0</v>
      </c>
      <c r="AK299">
        <f>IF(OR($J299=1,COUNTIFS($A$5:$A298,"&gt;="&amp;$A299-1,$A$5:$A298,"&lt;="&amp;$A299,$B$5:$B298,$B299)&gt;0,MIN(1-'Exercise list'!E$2,IF($A299=$A298,AK298,1))-P299&lt;0),-1,MIN(1,IF($A299=$A298,AK298,1)-P299+$D$2))</f>
        <v>1</v>
      </c>
      <c r="AL299">
        <f>IF(OR($J299=1,COUNTIFS($A$5:$A298,"&gt;="&amp;$A299-1,$A$5:$A298,"&lt;="&amp;$A299,$B$5:$B298,$B299)&gt;0,MIN(1-'Exercise list'!F$2,IF($A299=$A298,AL298,1))-Q299&lt;0),-1,MIN(1,IF($A299=$A298,AL298,1)-Q299+$D$2))</f>
        <v>1</v>
      </c>
      <c r="AM299">
        <f>IF(OR($J299=1,COUNTIFS($A$5:$A298,"&gt;="&amp;$A299-1,$A$5:$A298,"&lt;="&amp;$A299,$B$5:$B298,$B299)&gt;0,MIN(1-'Exercise list'!G$2,IF($A299=$A298,AM298,1))-R299&lt;0),-1,MIN(1,IF($A299=$A298,AM298,1)-R299+$D$2))</f>
        <v>1</v>
      </c>
      <c r="AN299">
        <f>IF(OR($J299=1,COUNTIFS($A$5:$A298,"&gt;="&amp;$A299-1,$A$5:$A298,"&lt;="&amp;$A299,$B$5:$B298,$B299)&gt;0,MIN(1-'Exercise list'!H$2,IF($A299=$A298,AN298,1))-S299&lt;0),-1,MIN(1,IF($A299=$A298,AN298,1)-S299+$D$2))</f>
        <v>1</v>
      </c>
      <c r="AO299">
        <f>IF(OR($J299=1,COUNTIFS($A$5:$A298,"&gt;="&amp;$A299-1,$A$5:$A298,"&lt;="&amp;$A299,$B$5:$B298,$B299)&gt;0,MIN(1-'Exercise list'!I$2,IF($A299=$A298,AO298,1))-T299&lt;0),-1,MIN(1,IF($A299=$A298,AO298,1)-T299+$D$2))</f>
        <v>1</v>
      </c>
      <c r="AP299">
        <f>IF(OR($J299=1,COUNTIFS($A$5:$A298,"&gt;="&amp;$A299-1,$A$5:$A298,"&lt;="&amp;$A299,$B$5:$B298,$B299)&gt;0,MIN(1-'Exercise list'!J$2,IF($A299=$A298,AP298,1))-U299&lt;0),-1,MIN(1,IF($A299=$A298,AP298,1)-U299+$D$2))</f>
        <v>1</v>
      </c>
      <c r="AQ299">
        <f>IF(OR($J299=1,COUNTIFS($A$5:$A298,"&gt;="&amp;$A299-1,$A$5:$A298,"&lt;="&amp;$A299,$B$5:$B298,$B299)&gt;0,MIN(1-'Exercise list'!K$2,IF($A299=$A298,AQ298,1))-V299&lt;0),-1,MIN(1,IF($A299=$A298,AQ298,1)-V299+$D$2))</f>
        <v>1</v>
      </c>
      <c r="AR299">
        <f>IF(OR($J299=1,COUNTIFS($A$5:$A298,"&gt;="&amp;$A299-1,$A$5:$A298,"&lt;="&amp;$A299,$B$5:$B298,$B299)&gt;0,MIN(1-'Exercise list'!L$2,IF($A299=$A298,AR298,1))-W299&lt;0),-1,MIN(1,IF($A299=$A298,AR298,1)-W299+$D$2))</f>
        <v>1</v>
      </c>
      <c r="AS299">
        <f>IF(OR($J299=1,COUNTIFS($A$5:$A298,"&gt;="&amp;$A299-1,$A$5:$A298,"&lt;="&amp;$A299,$B$5:$B298,$B299)&gt;0,MIN(1-'Exercise list'!M$2,IF($A299=$A298,AS298,1))-X299&lt;0),-1,MIN(1,IF($A299=$A298,AS298,1)-X299+$D$2))</f>
        <v>1</v>
      </c>
      <c r="AT299">
        <f>IF(OR($J299=1,COUNTIFS($A$5:$A298,"&gt;="&amp;$A299-1,$A$5:$A298,"&lt;="&amp;$A299,$B$5:$B298,$B299)&gt;0,MIN(1-'Exercise list'!N$2,IF($A299=$A298,AT298,1))-Y299&lt;0),-1,MIN(1,IF($A299=$A298,AT298,1)-Y299+$D$2))</f>
        <v>1</v>
      </c>
      <c r="AU299">
        <f>IF(OR($J299=1,COUNTIFS($A$5:$A298,"&gt;="&amp;$A299-1,$A$5:$A298,"&lt;="&amp;$A299,$B$5:$B298,$B299)&gt;0,MIN(1-'Exercise list'!O$2,IF($A299=$A298,AU298,1))-Z299&lt;0),-1,MIN(1,IF($A299=$A298,AU298,1)-Z299+$D$2))</f>
        <v>1</v>
      </c>
      <c r="AV299">
        <f>IF(OR($J299=1,COUNTIFS($A$5:$A298,"&gt;="&amp;$A299-1,$A$5:$A298,"&lt;="&amp;$A299,$B$5:$B298,$B299)&gt;0,MIN(1-'Exercise list'!P$2,IF($A299=$A298,AV298,1))-AA299&lt;0),-1,MIN(1,IF($A299=$A298,AV298,1)-AA299+$D$2))</f>
        <v>1</v>
      </c>
      <c r="AW299">
        <f>IF(OR($J299=1,COUNTIFS($A$5:$A298,"&gt;="&amp;$A299-1,$A$5:$A298,"&lt;="&amp;$A299,$B$5:$B298,$B299)&gt;0,MIN(1-'Exercise list'!Q$2,IF($A299=$A298,AW298,1))-AB299&lt;0),-1,MIN(1,IF($A299=$A298,AW298,1)-AB299+$D$2))</f>
        <v>1</v>
      </c>
      <c r="AX299">
        <f>IF(OR($J299=1,COUNTIFS($A$5:$A298,"&gt;="&amp;$A299-1,$A$5:$A298,"&lt;="&amp;$A299,$B$5:$B298,$B299)&gt;0,MIN(1-'Exercise list'!R$2,IF($A299=$A298,AX298,1))-AC299&lt;0),-1,MIN(1,IF($A299=$A298,AX298,1)-AC299+$D$2))</f>
        <v>1</v>
      </c>
      <c r="AY299">
        <f>IF(OR($J299=1,COUNTIFS($A$5:$A298,"&gt;="&amp;$A299-1,$A$5:$A298,"&lt;="&amp;$A299,$B$5:$B298,$B299)&gt;0,MIN(1-'Exercise list'!S$2,IF($A299=$A298,AY298,1))-AD299&lt;0),-1,MIN(1,IF($A299=$A298,AY298,1)-AD299+$D$2))</f>
        <v>1</v>
      </c>
      <c r="AZ299">
        <f>IF(OR($J299=1,COUNTIFS($A$5:$A298,"&gt;="&amp;$A299-1,$A$5:$A298,"&lt;="&amp;$A299,$B$5:$B298,$B299)&gt;0,MIN(1-'Exercise list'!T$2,IF($A299=$A298,AZ298,1))-AE299&lt;0),-1,MIN(1,IF($A299=$A298,AZ298,1)-AE299+$D$2))</f>
        <v>1</v>
      </c>
      <c r="BA299">
        <f>IF(OR($J299=1,COUNTIFS($A$5:$A298,"&gt;="&amp;$A299-1,$A$5:$A298,"&lt;="&amp;$A299,$B$5:$B298,$B299)&gt;0,MIN(1-'Exercise list'!U$2,IF($A299=$A298,BA298,1))-AF299&lt;0),-1,MIN(1,IF($A299=$A298,BA298,1)-AF299+$D$2))</f>
        <v>1</v>
      </c>
      <c r="BB299">
        <f>IF(OR($J299=1,COUNTIFS($A$5:$A298,"&gt;="&amp;$A299-1,$A$5:$A298,"&lt;="&amp;$A299,$B$5:$B298,$B299)&gt;0,MIN(1-'Exercise list'!V$2,IF($A299=$A298,BB298,1))-AG299&lt;0),-1,MIN(1,IF($A299=$A298,BB298,1)-AG299+$D$2))</f>
        <v>1</v>
      </c>
      <c r="BC299">
        <f>IF(OR($J299=1,COUNTIFS($A$5:$A298,"&gt;="&amp;$A299-1,$A$5:$A298,"&lt;="&amp;$A299,$B$5:$B298,$B299)&gt;0,MIN(1-'Exercise list'!W$2,IF($A299=$A298,BC298,1))-AH299&lt;0),-1,MIN(1,IF($A299=$A298,BC298,1)-AH299+$D$2))</f>
        <v>1</v>
      </c>
      <c r="BD299">
        <f>IF(OR($J299=1,COUNTIFS($A$5:$A298,"&gt;="&amp;$A299-1,$A$5:$A298,"&lt;="&amp;$A299,$B$5:$B298,$B299)&gt;0,MIN(1-'Exercise list'!X$2,IF($A299=$A298,BD298,1))-AI299&lt;0),-1,MIN(1,IF($A299=$A298,BD298,1)-AI299+$D$2))</f>
        <v>1</v>
      </c>
      <c r="BF299" s="16">
        <f t="shared" si="233"/>
        <v>0.19596031081758858</v>
      </c>
      <c r="BG299" s="16">
        <f t="shared" si="234"/>
        <v>0.21844636935459236</v>
      </c>
      <c r="BH299" s="16">
        <f t="shared" si="235"/>
        <v>0.14609696635987124</v>
      </c>
      <c r="BI299" s="16">
        <f t="shared" si="236"/>
        <v>0.13198015366034541</v>
      </c>
      <c r="BJ299" s="16">
        <f t="shared" si="237"/>
        <v>8.3367914198418713E-2</v>
      </c>
      <c r="BK299" s="16">
        <f t="shared" si="238"/>
        <v>0.10640640223148412</v>
      </c>
      <c r="BL299" s="16">
        <f t="shared" si="239"/>
        <v>0.21963504743569431</v>
      </c>
      <c r="BM299" s="16">
        <f t="shared" si="240"/>
        <v>3.8988008374820568E-3</v>
      </c>
      <c r="BN299" s="16">
        <f t="shared" si="241"/>
        <v>0.14537706087090876</v>
      </c>
      <c r="BO299" s="16">
        <f t="shared" si="242"/>
        <v>0.29209790661993401</v>
      </c>
      <c r="BP299" s="16">
        <f t="shared" si="243"/>
        <v>0.31584545163401867</v>
      </c>
      <c r="BQ299" s="16">
        <f t="shared" si="244"/>
        <v>0.1000007994126096</v>
      </c>
      <c r="BR299" s="16">
        <f t="shared" si="245"/>
        <v>0.13164487759885393</v>
      </c>
      <c r="BS299" s="16">
        <f t="shared" si="246"/>
        <v>2.9803550189863123E-2</v>
      </c>
      <c r="BT299" s="16">
        <f t="shared" si="247"/>
        <v>0.13492040904978705</v>
      </c>
      <c r="BU299" s="16">
        <f t="shared" si="248"/>
        <v>0.11703687414398131</v>
      </c>
      <c r="BV299" s="16">
        <f t="shared" si="249"/>
        <v>0.14633353213781661</v>
      </c>
      <c r="BW299" s="16">
        <f t="shared" si="250"/>
        <v>7.5588015111767173E-2</v>
      </c>
      <c r="BX299" s="16">
        <f t="shared" si="251"/>
        <v>8.0345659937185704E-2</v>
      </c>
      <c r="BY299" s="16">
        <f t="shared" si="252"/>
        <v>5.9014643151272549E-2</v>
      </c>
      <c r="CA299" s="16" t="str">
        <f t="shared" si="229"/>
        <v/>
      </c>
      <c r="CB299" s="16" t="str">
        <f t="shared" si="210"/>
        <v/>
      </c>
      <c r="CC299" s="16" t="str">
        <f t="shared" si="211"/>
        <v/>
      </c>
      <c r="CD299" s="16" t="str">
        <f t="shared" si="212"/>
        <v/>
      </c>
      <c r="CE299" s="16" t="str">
        <f t="shared" si="213"/>
        <v/>
      </c>
      <c r="CF299" s="16" t="str">
        <f t="shared" si="214"/>
        <v/>
      </c>
      <c r="CG299" s="16" t="str">
        <f t="shared" si="215"/>
        <v/>
      </c>
      <c r="CH299" s="16" t="str">
        <f t="shared" si="216"/>
        <v/>
      </c>
      <c r="CI299" s="16" t="str">
        <f t="shared" si="217"/>
        <v/>
      </c>
      <c r="CJ299" s="16" t="str">
        <f t="shared" si="218"/>
        <v/>
      </c>
      <c r="CK299" s="16" t="str">
        <f t="shared" si="219"/>
        <v/>
      </c>
      <c r="CL299" s="16" t="str">
        <f t="shared" si="220"/>
        <v/>
      </c>
      <c r="CM299" s="16" t="str">
        <f t="shared" si="221"/>
        <v/>
      </c>
      <c r="CN299" s="16" t="str">
        <f t="shared" si="222"/>
        <v/>
      </c>
      <c r="CO299" s="16" t="str">
        <f t="shared" si="223"/>
        <v/>
      </c>
      <c r="CP299" s="16" t="str">
        <f t="shared" si="224"/>
        <v/>
      </c>
      <c r="CQ299" s="16" t="str">
        <f t="shared" si="225"/>
        <v/>
      </c>
      <c r="CR299" s="16" t="str">
        <f t="shared" si="226"/>
        <v/>
      </c>
      <c r="CS299" s="16" t="str">
        <f t="shared" si="227"/>
        <v/>
      </c>
      <c r="CT299" s="16" t="str">
        <f t="shared" si="228"/>
        <v/>
      </c>
    </row>
    <row r="300" spans="1:99" x14ac:dyDescent="0.25">
      <c r="A300" s="13"/>
      <c r="B300" s="14"/>
      <c r="C300" s="15" t="str" cm="1">
        <f t="array" ref="C300">IF(B300="","",INDEX('Exercise list'!$C$5:$C$102,B300))</f>
        <v/>
      </c>
      <c r="D300" s="12" t="str">
        <f t="shared" si="230"/>
        <v/>
      </c>
      <c r="E300" s="107" t="str">
        <f t="shared" si="253"/>
        <v/>
      </c>
      <c r="F300" s="63" t="str" cm="1">
        <f t="array" ref="F300">IF(B300="","",0.1+IFERROR(INDEX($F$6:$F299,SUMPRODUCT(MAX(ROW($C$6:$C299)*($C300=$C$6:$C299))-ROW($A$5)))*0.9^($A300-INDEX($A$6:A299,SUMPRODUCT(MAX(ROW($C$6:$C299)*($C300=$C$6:$C299))-ROW($A$5)))),0))</f>
        <v/>
      </c>
      <c r="G300" s="64" t="e">
        <f>INDEX('Exercise list'!$Y$5:$Y$102,MATCH(C300,'Exercise list'!$C$5:$C$102,0))</f>
        <v>#N/A</v>
      </c>
      <c r="H300" s="115">
        <f t="shared" si="231"/>
        <v>0</v>
      </c>
      <c r="I300" s="6">
        <f t="shared" si="232"/>
        <v>5</v>
      </c>
      <c r="J300" s="6" t="str" cm="1">
        <f t="array" ref="J300">IF(B300="","",INDEX('Exercise list'!$D$5:$D$102,B300))</f>
        <v/>
      </c>
      <c r="K300" s="12"/>
      <c r="L300" s="74" t="str" cm="1">
        <f t="array" ref="L300">IF(K300="","",INDEX('Exercise list'!$C$5:$C$102,K300))</f>
        <v/>
      </c>
      <c r="M300" s="6"/>
      <c r="N300" s="75" t="str" cm="1">
        <f t="array" ref="N300">IF(M300="","",INDEX('Exercise list'!$C$5:$C$102,M300))</f>
        <v/>
      </c>
      <c r="P300">
        <f>IFERROR(INDEX('Exercise list'!$E$5:$X$102,MATCH($C300,'Exercise list'!$C$5:$C$102,0),MATCH(P$5,'Exercise list'!$E$4:$X$4,0)),0)</f>
        <v>0</v>
      </c>
      <c r="Q300">
        <f>IFERROR(INDEX('Exercise list'!$E$5:$X$102,MATCH($C300,'Exercise list'!$C$5:$C$102,0),MATCH(Q$5,'Exercise list'!$E$4:$X$4,0)),0)</f>
        <v>0</v>
      </c>
      <c r="R300">
        <f>IFERROR(INDEX('Exercise list'!$E$5:$X$102,MATCH($C300,'Exercise list'!$C$5:$C$102,0),MATCH(R$5,'Exercise list'!$E$4:$X$4,0)),0)</f>
        <v>0</v>
      </c>
      <c r="S300">
        <f>IFERROR(INDEX('Exercise list'!$E$5:$X$102,MATCH($C300,'Exercise list'!$C$5:$C$102,0),MATCH(S$5,'Exercise list'!$E$4:$X$4,0)),0)</f>
        <v>0</v>
      </c>
      <c r="T300">
        <f>IFERROR(INDEX('Exercise list'!$E$5:$X$102,MATCH($C300,'Exercise list'!$C$5:$C$102,0),MATCH(T$5,'Exercise list'!$E$4:$X$4,0)),0)</f>
        <v>0</v>
      </c>
      <c r="U300">
        <f>IFERROR(INDEX('Exercise list'!$E$5:$X$102,MATCH($C300,'Exercise list'!$C$5:$C$102,0),MATCH(U$5,'Exercise list'!$E$4:$X$4,0)),0)</f>
        <v>0</v>
      </c>
      <c r="V300">
        <f>IFERROR(INDEX('Exercise list'!$E$5:$X$102,MATCH($C300,'Exercise list'!$C$5:$C$102,0),MATCH(V$5,'Exercise list'!$E$4:$X$4,0)),0)</f>
        <v>0</v>
      </c>
      <c r="W300">
        <f>IFERROR(INDEX('Exercise list'!$E$5:$X$102,MATCH($C300,'Exercise list'!$C$5:$C$102,0),MATCH(W$5,'Exercise list'!$E$4:$X$4,0)),0)</f>
        <v>0</v>
      </c>
      <c r="X300">
        <f>IFERROR(INDEX('Exercise list'!$E$5:$X$102,MATCH($C300,'Exercise list'!$C$5:$C$102,0),MATCH(X$5,'Exercise list'!$E$4:$X$4,0)),0)</f>
        <v>0</v>
      </c>
      <c r="Y300">
        <f>IFERROR(INDEX('Exercise list'!$E$5:$X$102,MATCH($C300,'Exercise list'!$C$5:$C$102,0),MATCH(Y$5,'Exercise list'!$E$4:$X$4,0)),0)</f>
        <v>0</v>
      </c>
      <c r="Z300">
        <f>IFERROR(INDEX('Exercise list'!$E$5:$X$102,MATCH($C300,'Exercise list'!$C$5:$C$102,0),MATCH(Z$5,'Exercise list'!$E$4:$X$4,0)),0)</f>
        <v>0</v>
      </c>
      <c r="AA300">
        <f>IFERROR(INDEX('Exercise list'!$E$5:$X$102,MATCH($C300,'Exercise list'!$C$5:$C$102,0),MATCH(AA$5,'Exercise list'!$E$4:$X$4,0)),0)</f>
        <v>0</v>
      </c>
      <c r="AB300">
        <f>IFERROR(INDEX('Exercise list'!$E$5:$X$102,MATCH($C300,'Exercise list'!$C$5:$C$102,0),MATCH(AB$5,'Exercise list'!$E$4:$X$4,0)),0)</f>
        <v>0</v>
      </c>
      <c r="AC300">
        <f>IFERROR(INDEX('Exercise list'!$E$5:$X$102,MATCH($C300,'Exercise list'!$C$5:$C$102,0),MATCH(AC$5,'Exercise list'!$E$4:$X$4,0)),0)</f>
        <v>0</v>
      </c>
      <c r="AD300">
        <f>IFERROR(INDEX('Exercise list'!$E$5:$X$102,MATCH($C300,'Exercise list'!$C$5:$C$102,0),MATCH(AD$5,'Exercise list'!$E$4:$X$4,0)),0)</f>
        <v>0</v>
      </c>
      <c r="AE300">
        <f>IFERROR(INDEX('Exercise list'!$E$5:$X$102,MATCH($C300,'Exercise list'!$C$5:$C$102,0),MATCH(AE$5,'Exercise list'!$E$4:$X$4,0)),0)</f>
        <v>0</v>
      </c>
      <c r="AF300">
        <f>IFERROR(INDEX('Exercise list'!$E$5:$X$102,MATCH($C300,'Exercise list'!$C$5:$C$102,0),MATCH(AF$5,'Exercise list'!$E$4:$X$4,0)),0)</f>
        <v>0</v>
      </c>
      <c r="AG300">
        <f>IFERROR(INDEX('Exercise list'!$E$5:$X$102,MATCH($C300,'Exercise list'!$C$5:$C$102,0),MATCH(AG$5,'Exercise list'!$E$4:$X$4,0)),0)</f>
        <v>0</v>
      </c>
      <c r="AH300">
        <f>IFERROR(INDEX('Exercise list'!$E$5:$X$102,MATCH($C300,'Exercise list'!$C$5:$C$102,0),MATCH(AH$5,'Exercise list'!$E$4:$X$4,0)),0)</f>
        <v>0</v>
      </c>
      <c r="AI300">
        <f>IFERROR(INDEX('Exercise list'!$E$5:$X$102,MATCH($C300,'Exercise list'!$C$5:$C$102,0),MATCH(AI$5,'Exercise list'!$E$4:$X$4,0)),0)</f>
        <v>0</v>
      </c>
      <c r="AK300">
        <f>IF(OR($J300=1,COUNTIFS($A$5:$A299,"&gt;="&amp;$A300-1,$A$5:$A299,"&lt;="&amp;$A300,$B$5:$B299,$B300)&gt;0,MIN(1-'Exercise list'!E$2,IF($A300=$A299,AK299,1))-P300&lt;0),-1,MIN(1,IF($A300=$A299,AK299,1)-P300+$D$2))</f>
        <v>1</v>
      </c>
      <c r="AL300">
        <f>IF(OR($J300=1,COUNTIFS($A$5:$A299,"&gt;="&amp;$A300-1,$A$5:$A299,"&lt;="&amp;$A300,$B$5:$B299,$B300)&gt;0,MIN(1-'Exercise list'!F$2,IF($A300=$A299,AL299,1))-Q300&lt;0),-1,MIN(1,IF($A300=$A299,AL299,1)-Q300+$D$2))</f>
        <v>1</v>
      </c>
      <c r="AM300">
        <f>IF(OR($J300=1,COUNTIFS($A$5:$A299,"&gt;="&amp;$A300-1,$A$5:$A299,"&lt;="&amp;$A300,$B$5:$B299,$B300)&gt;0,MIN(1-'Exercise list'!G$2,IF($A300=$A299,AM299,1))-R300&lt;0),-1,MIN(1,IF($A300=$A299,AM299,1)-R300+$D$2))</f>
        <v>1</v>
      </c>
      <c r="AN300">
        <f>IF(OR($J300=1,COUNTIFS($A$5:$A299,"&gt;="&amp;$A300-1,$A$5:$A299,"&lt;="&amp;$A300,$B$5:$B299,$B300)&gt;0,MIN(1-'Exercise list'!H$2,IF($A300=$A299,AN299,1))-S300&lt;0),-1,MIN(1,IF($A300=$A299,AN299,1)-S300+$D$2))</f>
        <v>1</v>
      </c>
      <c r="AO300">
        <f>IF(OR($J300=1,COUNTIFS($A$5:$A299,"&gt;="&amp;$A300-1,$A$5:$A299,"&lt;="&amp;$A300,$B$5:$B299,$B300)&gt;0,MIN(1-'Exercise list'!I$2,IF($A300=$A299,AO299,1))-T300&lt;0),-1,MIN(1,IF($A300=$A299,AO299,1)-T300+$D$2))</f>
        <v>1</v>
      </c>
      <c r="AP300">
        <f>IF(OR($J300=1,COUNTIFS($A$5:$A299,"&gt;="&amp;$A300-1,$A$5:$A299,"&lt;="&amp;$A300,$B$5:$B299,$B300)&gt;0,MIN(1-'Exercise list'!J$2,IF($A300=$A299,AP299,1))-U300&lt;0),-1,MIN(1,IF($A300=$A299,AP299,1)-U300+$D$2))</f>
        <v>1</v>
      </c>
      <c r="AQ300">
        <f>IF(OR($J300=1,COUNTIFS($A$5:$A299,"&gt;="&amp;$A300-1,$A$5:$A299,"&lt;="&amp;$A300,$B$5:$B299,$B300)&gt;0,MIN(1-'Exercise list'!K$2,IF($A300=$A299,AQ299,1))-V300&lt;0),-1,MIN(1,IF($A300=$A299,AQ299,1)-V300+$D$2))</f>
        <v>1</v>
      </c>
      <c r="AR300">
        <f>IF(OR($J300=1,COUNTIFS($A$5:$A299,"&gt;="&amp;$A300-1,$A$5:$A299,"&lt;="&amp;$A300,$B$5:$B299,$B300)&gt;0,MIN(1-'Exercise list'!L$2,IF($A300=$A299,AR299,1))-W300&lt;0),-1,MIN(1,IF($A300=$A299,AR299,1)-W300+$D$2))</f>
        <v>1</v>
      </c>
      <c r="AS300">
        <f>IF(OR($J300=1,COUNTIFS($A$5:$A299,"&gt;="&amp;$A300-1,$A$5:$A299,"&lt;="&amp;$A300,$B$5:$B299,$B300)&gt;0,MIN(1-'Exercise list'!M$2,IF($A300=$A299,AS299,1))-X300&lt;0),-1,MIN(1,IF($A300=$A299,AS299,1)-X300+$D$2))</f>
        <v>1</v>
      </c>
      <c r="AT300">
        <f>IF(OR($J300=1,COUNTIFS($A$5:$A299,"&gt;="&amp;$A300-1,$A$5:$A299,"&lt;="&amp;$A300,$B$5:$B299,$B300)&gt;0,MIN(1-'Exercise list'!N$2,IF($A300=$A299,AT299,1))-Y300&lt;0),-1,MIN(1,IF($A300=$A299,AT299,1)-Y300+$D$2))</f>
        <v>1</v>
      </c>
      <c r="AU300">
        <f>IF(OR($J300=1,COUNTIFS($A$5:$A299,"&gt;="&amp;$A300-1,$A$5:$A299,"&lt;="&amp;$A300,$B$5:$B299,$B300)&gt;0,MIN(1-'Exercise list'!O$2,IF($A300=$A299,AU299,1))-Z300&lt;0),-1,MIN(1,IF($A300=$A299,AU299,1)-Z300+$D$2))</f>
        <v>1</v>
      </c>
      <c r="AV300">
        <f>IF(OR($J300=1,COUNTIFS($A$5:$A299,"&gt;="&amp;$A300-1,$A$5:$A299,"&lt;="&amp;$A300,$B$5:$B299,$B300)&gt;0,MIN(1-'Exercise list'!P$2,IF($A300=$A299,AV299,1))-AA300&lt;0),-1,MIN(1,IF($A300=$A299,AV299,1)-AA300+$D$2))</f>
        <v>1</v>
      </c>
      <c r="AW300">
        <f>IF(OR($J300=1,COUNTIFS($A$5:$A299,"&gt;="&amp;$A300-1,$A$5:$A299,"&lt;="&amp;$A300,$B$5:$B299,$B300)&gt;0,MIN(1-'Exercise list'!Q$2,IF($A300=$A299,AW299,1))-AB300&lt;0),-1,MIN(1,IF($A300=$A299,AW299,1)-AB300+$D$2))</f>
        <v>1</v>
      </c>
      <c r="AX300">
        <f>IF(OR($J300=1,COUNTIFS($A$5:$A299,"&gt;="&amp;$A300-1,$A$5:$A299,"&lt;="&amp;$A300,$B$5:$B299,$B300)&gt;0,MIN(1-'Exercise list'!R$2,IF($A300=$A299,AX299,1))-AC300&lt;0),-1,MIN(1,IF($A300=$A299,AX299,1)-AC300+$D$2))</f>
        <v>1</v>
      </c>
      <c r="AY300">
        <f>IF(OR($J300=1,COUNTIFS($A$5:$A299,"&gt;="&amp;$A300-1,$A$5:$A299,"&lt;="&amp;$A300,$B$5:$B299,$B300)&gt;0,MIN(1-'Exercise list'!S$2,IF($A300=$A299,AY299,1))-AD300&lt;0),-1,MIN(1,IF($A300=$A299,AY299,1)-AD300+$D$2))</f>
        <v>1</v>
      </c>
      <c r="AZ300">
        <f>IF(OR($J300=1,COUNTIFS($A$5:$A299,"&gt;="&amp;$A300-1,$A$5:$A299,"&lt;="&amp;$A300,$B$5:$B299,$B300)&gt;0,MIN(1-'Exercise list'!T$2,IF($A300=$A299,AZ299,1))-AE300&lt;0),-1,MIN(1,IF($A300=$A299,AZ299,1)-AE300+$D$2))</f>
        <v>1</v>
      </c>
      <c r="BA300">
        <f>IF(OR($J300=1,COUNTIFS($A$5:$A299,"&gt;="&amp;$A300-1,$A$5:$A299,"&lt;="&amp;$A300,$B$5:$B299,$B300)&gt;0,MIN(1-'Exercise list'!U$2,IF($A300=$A299,BA299,1))-AF300&lt;0),-1,MIN(1,IF($A300=$A299,BA299,1)-AF300+$D$2))</f>
        <v>1</v>
      </c>
      <c r="BB300">
        <f>IF(OR($J300=1,COUNTIFS($A$5:$A299,"&gt;="&amp;$A300-1,$A$5:$A299,"&lt;="&amp;$A300,$B$5:$B299,$B300)&gt;0,MIN(1-'Exercise list'!V$2,IF($A300=$A299,BB299,1))-AG300&lt;0),-1,MIN(1,IF($A300=$A299,BB299,1)-AG300+$D$2))</f>
        <v>1</v>
      </c>
      <c r="BC300">
        <f>IF(OR($J300=1,COUNTIFS($A$5:$A299,"&gt;="&amp;$A300-1,$A$5:$A299,"&lt;="&amp;$A300,$B$5:$B299,$B300)&gt;0,MIN(1-'Exercise list'!W$2,IF($A300=$A299,BC299,1))-AH300&lt;0),-1,MIN(1,IF($A300=$A299,BC299,1)-AH300+$D$2))</f>
        <v>1</v>
      </c>
      <c r="BD300">
        <f>IF(OR($J300=1,COUNTIFS($A$5:$A299,"&gt;="&amp;$A300-1,$A$5:$A299,"&lt;="&amp;$A300,$B$5:$B299,$B300)&gt;0,MIN(1-'Exercise list'!X$2,IF($A300=$A299,BD299,1))-AI300&lt;0),-1,MIN(1,IF($A300=$A299,BD299,1)-AI300+$D$2))</f>
        <v>1</v>
      </c>
      <c r="BF300" s="16">
        <f t="shared" si="233"/>
        <v>0.19596031081758858</v>
      </c>
      <c r="BG300" s="16">
        <f t="shared" si="234"/>
        <v>0.21844636935459236</v>
      </c>
      <c r="BH300" s="16">
        <f t="shared" si="235"/>
        <v>0.14609696635987124</v>
      </c>
      <c r="BI300" s="16">
        <f t="shared" si="236"/>
        <v>0.13198015366034541</v>
      </c>
      <c r="BJ300" s="16">
        <f t="shared" si="237"/>
        <v>8.3367914198418713E-2</v>
      </c>
      <c r="BK300" s="16">
        <f t="shared" si="238"/>
        <v>0.10640640223148412</v>
      </c>
      <c r="BL300" s="16">
        <f t="shared" si="239"/>
        <v>0.21963504743569431</v>
      </c>
      <c r="BM300" s="16">
        <f t="shared" si="240"/>
        <v>3.8988008374820568E-3</v>
      </c>
      <c r="BN300" s="16">
        <f t="shared" si="241"/>
        <v>0.14537706087090876</v>
      </c>
      <c r="BO300" s="16">
        <f t="shared" si="242"/>
        <v>0.29209790661993401</v>
      </c>
      <c r="BP300" s="16">
        <f t="shared" si="243"/>
        <v>0.31584545163401867</v>
      </c>
      <c r="BQ300" s="16">
        <f t="shared" si="244"/>
        <v>0.1000007994126096</v>
      </c>
      <c r="BR300" s="16">
        <f t="shared" si="245"/>
        <v>0.13164487759885393</v>
      </c>
      <c r="BS300" s="16">
        <f t="shared" si="246"/>
        <v>2.9803550189863123E-2</v>
      </c>
      <c r="BT300" s="16">
        <f t="shared" si="247"/>
        <v>0.13492040904978705</v>
      </c>
      <c r="BU300" s="16">
        <f t="shared" si="248"/>
        <v>0.11703687414398131</v>
      </c>
      <c r="BV300" s="16">
        <f t="shared" si="249"/>
        <v>0.14633353213781661</v>
      </c>
      <c r="BW300" s="16">
        <f t="shared" si="250"/>
        <v>7.5588015111767173E-2</v>
      </c>
      <c r="BX300" s="16">
        <f t="shared" si="251"/>
        <v>8.0345659937185704E-2</v>
      </c>
      <c r="BY300" s="16">
        <f t="shared" si="252"/>
        <v>5.9014643151272549E-2</v>
      </c>
      <c r="CA300" s="16" t="str">
        <f t="shared" si="229"/>
        <v/>
      </c>
      <c r="CB300" s="16" t="str">
        <f t="shared" si="210"/>
        <v/>
      </c>
      <c r="CC300" s="16" t="str">
        <f t="shared" si="211"/>
        <v/>
      </c>
      <c r="CD300" s="16" t="str">
        <f t="shared" si="212"/>
        <v/>
      </c>
      <c r="CE300" s="16" t="str">
        <f t="shared" si="213"/>
        <v/>
      </c>
      <c r="CF300" s="16" t="str">
        <f t="shared" si="214"/>
        <v/>
      </c>
      <c r="CG300" s="16" t="str">
        <f t="shared" si="215"/>
        <v/>
      </c>
      <c r="CH300" s="16" t="str">
        <f t="shared" si="216"/>
        <v/>
      </c>
      <c r="CI300" s="16" t="str">
        <f t="shared" si="217"/>
        <v/>
      </c>
      <c r="CJ300" s="16" t="str">
        <f t="shared" si="218"/>
        <v/>
      </c>
      <c r="CK300" s="16" t="str">
        <f t="shared" si="219"/>
        <v/>
      </c>
      <c r="CL300" s="16" t="str">
        <f t="shared" si="220"/>
        <v/>
      </c>
      <c r="CM300" s="16" t="str">
        <f t="shared" si="221"/>
        <v/>
      </c>
      <c r="CN300" s="16" t="str">
        <f t="shared" si="222"/>
        <v/>
      </c>
      <c r="CO300" s="16" t="str">
        <f t="shared" si="223"/>
        <v/>
      </c>
      <c r="CP300" s="16" t="str">
        <f t="shared" si="224"/>
        <v/>
      </c>
      <c r="CQ300" s="16" t="str">
        <f t="shared" si="225"/>
        <v/>
      </c>
      <c r="CR300" s="16" t="str">
        <f t="shared" si="226"/>
        <v/>
      </c>
      <c r="CS300" s="16" t="str">
        <f t="shared" si="227"/>
        <v/>
      </c>
      <c r="CT300" s="16" t="str">
        <f t="shared" si="228"/>
        <v/>
      </c>
    </row>
    <row r="301" spans="1:99" x14ac:dyDescent="0.25">
      <c r="A301" s="13"/>
      <c r="B301" s="14"/>
      <c r="C301" s="15" t="str" cm="1">
        <f t="array" ref="C301">IF(B301="","",INDEX('Exercise list'!$C$5:$C$102,B301))</f>
        <v/>
      </c>
      <c r="D301" s="12" t="str">
        <f t="shared" si="230"/>
        <v/>
      </c>
      <c r="E301" s="107" t="str">
        <f t="shared" si="253"/>
        <v/>
      </c>
      <c r="F301" s="63" t="str" cm="1">
        <f t="array" ref="F301">IF(B301="","",0.1+IFERROR(INDEX($F$6:$F300,SUMPRODUCT(MAX(ROW($C$6:$C300)*($C301=$C$6:$C300))-ROW($A$5)))*0.9^($A301-INDEX($A$6:A300,SUMPRODUCT(MAX(ROW($C$6:$C300)*($C301=$C$6:$C300))-ROW($A$5)))),0))</f>
        <v/>
      </c>
      <c r="G301" s="64" t="e">
        <f>INDEX('Exercise list'!$Y$5:$Y$102,MATCH(C301,'Exercise list'!$C$5:$C$102,0))</f>
        <v>#N/A</v>
      </c>
      <c r="H301" s="115">
        <f t="shared" si="231"/>
        <v>0</v>
      </c>
      <c r="I301" s="6">
        <f t="shared" si="232"/>
        <v>5</v>
      </c>
      <c r="J301" s="6" t="str" cm="1">
        <f t="array" ref="J301">IF(B301="","",INDEX('Exercise list'!$D$5:$D$102,B301))</f>
        <v/>
      </c>
      <c r="K301" s="12"/>
      <c r="L301" s="74" t="str" cm="1">
        <f t="array" ref="L301">IF(K301="","",INDEX('Exercise list'!$C$5:$C$102,K301))</f>
        <v/>
      </c>
      <c r="M301" s="6"/>
      <c r="N301" s="75" t="str" cm="1">
        <f t="array" ref="N301">IF(M301="","",INDEX('Exercise list'!$C$5:$C$102,M301))</f>
        <v/>
      </c>
      <c r="P301">
        <f>IFERROR(INDEX('Exercise list'!$E$5:$X$102,MATCH($C301,'Exercise list'!$C$5:$C$102,0),MATCH(P$5,'Exercise list'!$E$4:$X$4,0)),0)</f>
        <v>0</v>
      </c>
      <c r="Q301">
        <f>IFERROR(INDEX('Exercise list'!$E$5:$X$102,MATCH($C301,'Exercise list'!$C$5:$C$102,0),MATCH(Q$5,'Exercise list'!$E$4:$X$4,0)),0)</f>
        <v>0</v>
      </c>
      <c r="R301">
        <f>IFERROR(INDEX('Exercise list'!$E$5:$X$102,MATCH($C301,'Exercise list'!$C$5:$C$102,0),MATCH(R$5,'Exercise list'!$E$4:$X$4,0)),0)</f>
        <v>0</v>
      </c>
      <c r="S301">
        <f>IFERROR(INDEX('Exercise list'!$E$5:$X$102,MATCH($C301,'Exercise list'!$C$5:$C$102,0),MATCH(S$5,'Exercise list'!$E$4:$X$4,0)),0)</f>
        <v>0</v>
      </c>
      <c r="T301">
        <f>IFERROR(INDEX('Exercise list'!$E$5:$X$102,MATCH($C301,'Exercise list'!$C$5:$C$102,0),MATCH(T$5,'Exercise list'!$E$4:$X$4,0)),0)</f>
        <v>0</v>
      </c>
      <c r="U301">
        <f>IFERROR(INDEX('Exercise list'!$E$5:$X$102,MATCH($C301,'Exercise list'!$C$5:$C$102,0),MATCH(U$5,'Exercise list'!$E$4:$X$4,0)),0)</f>
        <v>0</v>
      </c>
      <c r="V301">
        <f>IFERROR(INDEX('Exercise list'!$E$5:$X$102,MATCH($C301,'Exercise list'!$C$5:$C$102,0),MATCH(V$5,'Exercise list'!$E$4:$X$4,0)),0)</f>
        <v>0</v>
      </c>
      <c r="W301">
        <f>IFERROR(INDEX('Exercise list'!$E$5:$X$102,MATCH($C301,'Exercise list'!$C$5:$C$102,0),MATCH(W$5,'Exercise list'!$E$4:$X$4,0)),0)</f>
        <v>0</v>
      </c>
      <c r="X301">
        <f>IFERROR(INDEX('Exercise list'!$E$5:$X$102,MATCH($C301,'Exercise list'!$C$5:$C$102,0),MATCH(X$5,'Exercise list'!$E$4:$X$4,0)),0)</f>
        <v>0</v>
      </c>
      <c r="Y301">
        <f>IFERROR(INDEX('Exercise list'!$E$5:$X$102,MATCH($C301,'Exercise list'!$C$5:$C$102,0),MATCH(Y$5,'Exercise list'!$E$4:$X$4,0)),0)</f>
        <v>0</v>
      </c>
      <c r="Z301">
        <f>IFERROR(INDEX('Exercise list'!$E$5:$X$102,MATCH($C301,'Exercise list'!$C$5:$C$102,0),MATCH(Z$5,'Exercise list'!$E$4:$X$4,0)),0)</f>
        <v>0</v>
      </c>
      <c r="AA301">
        <f>IFERROR(INDEX('Exercise list'!$E$5:$X$102,MATCH($C301,'Exercise list'!$C$5:$C$102,0),MATCH(AA$5,'Exercise list'!$E$4:$X$4,0)),0)</f>
        <v>0</v>
      </c>
      <c r="AB301">
        <f>IFERROR(INDEX('Exercise list'!$E$5:$X$102,MATCH($C301,'Exercise list'!$C$5:$C$102,0),MATCH(AB$5,'Exercise list'!$E$4:$X$4,0)),0)</f>
        <v>0</v>
      </c>
      <c r="AC301">
        <f>IFERROR(INDEX('Exercise list'!$E$5:$X$102,MATCH($C301,'Exercise list'!$C$5:$C$102,0),MATCH(AC$5,'Exercise list'!$E$4:$X$4,0)),0)</f>
        <v>0</v>
      </c>
      <c r="AD301">
        <f>IFERROR(INDEX('Exercise list'!$E$5:$X$102,MATCH($C301,'Exercise list'!$C$5:$C$102,0),MATCH(AD$5,'Exercise list'!$E$4:$X$4,0)),0)</f>
        <v>0</v>
      </c>
      <c r="AE301">
        <f>IFERROR(INDEX('Exercise list'!$E$5:$X$102,MATCH($C301,'Exercise list'!$C$5:$C$102,0),MATCH(AE$5,'Exercise list'!$E$4:$X$4,0)),0)</f>
        <v>0</v>
      </c>
      <c r="AF301">
        <f>IFERROR(INDEX('Exercise list'!$E$5:$X$102,MATCH($C301,'Exercise list'!$C$5:$C$102,0),MATCH(AF$5,'Exercise list'!$E$4:$X$4,0)),0)</f>
        <v>0</v>
      </c>
      <c r="AG301">
        <f>IFERROR(INDEX('Exercise list'!$E$5:$X$102,MATCH($C301,'Exercise list'!$C$5:$C$102,0),MATCH(AG$5,'Exercise list'!$E$4:$X$4,0)),0)</f>
        <v>0</v>
      </c>
      <c r="AH301">
        <f>IFERROR(INDEX('Exercise list'!$E$5:$X$102,MATCH($C301,'Exercise list'!$C$5:$C$102,0),MATCH(AH$5,'Exercise list'!$E$4:$X$4,0)),0)</f>
        <v>0</v>
      </c>
      <c r="AI301">
        <f>IFERROR(INDEX('Exercise list'!$E$5:$X$102,MATCH($C301,'Exercise list'!$C$5:$C$102,0),MATCH(AI$5,'Exercise list'!$E$4:$X$4,0)),0)</f>
        <v>0</v>
      </c>
      <c r="AK301">
        <f>IF(OR($J301=1,COUNTIFS($A$5:$A300,"&gt;="&amp;$A301-1,$A$5:$A300,"&lt;="&amp;$A301,$B$5:$B300,$B301)&gt;0,MIN(1-'Exercise list'!E$2,IF($A301=$A300,AK300,1))-P301&lt;0),-1,MIN(1,IF($A301=$A300,AK300,1)-P301+$D$2))</f>
        <v>1</v>
      </c>
      <c r="AL301">
        <f>IF(OR($J301=1,COUNTIFS($A$5:$A300,"&gt;="&amp;$A301-1,$A$5:$A300,"&lt;="&amp;$A301,$B$5:$B300,$B301)&gt;0,MIN(1-'Exercise list'!F$2,IF($A301=$A300,AL300,1))-Q301&lt;0),-1,MIN(1,IF($A301=$A300,AL300,1)-Q301+$D$2))</f>
        <v>1</v>
      </c>
      <c r="AM301">
        <f>IF(OR($J301=1,COUNTIFS($A$5:$A300,"&gt;="&amp;$A301-1,$A$5:$A300,"&lt;="&amp;$A301,$B$5:$B300,$B301)&gt;0,MIN(1-'Exercise list'!G$2,IF($A301=$A300,AM300,1))-R301&lt;0),-1,MIN(1,IF($A301=$A300,AM300,1)-R301+$D$2))</f>
        <v>1</v>
      </c>
      <c r="AN301">
        <f>IF(OR($J301=1,COUNTIFS($A$5:$A300,"&gt;="&amp;$A301-1,$A$5:$A300,"&lt;="&amp;$A301,$B$5:$B300,$B301)&gt;0,MIN(1-'Exercise list'!H$2,IF($A301=$A300,AN300,1))-S301&lt;0),-1,MIN(1,IF($A301=$A300,AN300,1)-S301+$D$2))</f>
        <v>1</v>
      </c>
      <c r="AO301">
        <f>IF(OR($J301=1,COUNTIFS($A$5:$A300,"&gt;="&amp;$A301-1,$A$5:$A300,"&lt;="&amp;$A301,$B$5:$B300,$B301)&gt;0,MIN(1-'Exercise list'!I$2,IF($A301=$A300,AO300,1))-T301&lt;0),-1,MIN(1,IF($A301=$A300,AO300,1)-T301+$D$2))</f>
        <v>1</v>
      </c>
      <c r="AP301">
        <f>IF(OR($J301=1,COUNTIFS($A$5:$A300,"&gt;="&amp;$A301-1,$A$5:$A300,"&lt;="&amp;$A301,$B$5:$B300,$B301)&gt;0,MIN(1-'Exercise list'!J$2,IF($A301=$A300,AP300,1))-U301&lt;0),-1,MIN(1,IF($A301=$A300,AP300,1)-U301+$D$2))</f>
        <v>1</v>
      </c>
      <c r="AQ301">
        <f>IF(OR($J301=1,COUNTIFS($A$5:$A300,"&gt;="&amp;$A301-1,$A$5:$A300,"&lt;="&amp;$A301,$B$5:$B300,$B301)&gt;0,MIN(1-'Exercise list'!K$2,IF($A301=$A300,AQ300,1))-V301&lt;0),-1,MIN(1,IF($A301=$A300,AQ300,1)-V301+$D$2))</f>
        <v>1</v>
      </c>
      <c r="AR301">
        <f>IF(OR($J301=1,COUNTIFS($A$5:$A300,"&gt;="&amp;$A301-1,$A$5:$A300,"&lt;="&amp;$A301,$B$5:$B300,$B301)&gt;0,MIN(1-'Exercise list'!L$2,IF($A301=$A300,AR300,1))-W301&lt;0),-1,MIN(1,IF($A301=$A300,AR300,1)-W301+$D$2))</f>
        <v>1</v>
      </c>
      <c r="AS301">
        <f>IF(OR($J301=1,COUNTIFS($A$5:$A300,"&gt;="&amp;$A301-1,$A$5:$A300,"&lt;="&amp;$A301,$B$5:$B300,$B301)&gt;0,MIN(1-'Exercise list'!M$2,IF($A301=$A300,AS300,1))-X301&lt;0),-1,MIN(1,IF($A301=$A300,AS300,1)-X301+$D$2))</f>
        <v>1</v>
      </c>
      <c r="AT301">
        <f>IF(OR($J301=1,COUNTIFS($A$5:$A300,"&gt;="&amp;$A301-1,$A$5:$A300,"&lt;="&amp;$A301,$B$5:$B300,$B301)&gt;0,MIN(1-'Exercise list'!N$2,IF($A301=$A300,AT300,1))-Y301&lt;0),-1,MIN(1,IF($A301=$A300,AT300,1)-Y301+$D$2))</f>
        <v>1</v>
      </c>
      <c r="AU301">
        <f>IF(OR($J301=1,COUNTIFS($A$5:$A300,"&gt;="&amp;$A301-1,$A$5:$A300,"&lt;="&amp;$A301,$B$5:$B300,$B301)&gt;0,MIN(1-'Exercise list'!O$2,IF($A301=$A300,AU300,1))-Z301&lt;0),-1,MIN(1,IF($A301=$A300,AU300,1)-Z301+$D$2))</f>
        <v>1</v>
      </c>
      <c r="AV301">
        <f>IF(OR($J301=1,COUNTIFS($A$5:$A300,"&gt;="&amp;$A301-1,$A$5:$A300,"&lt;="&amp;$A301,$B$5:$B300,$B301)&gt;0,MIN(1-'Exercise list'!P$2,IF($A301=$A300,AV300,1))-AA301&lt;0),-1,MIN(1,IF($A301=$A300,AV300,1)-AA301+$D$2))</f>
        <v>1</v>
      </c>
      <c r="AW301">
        <f>IF(OR($J301=1,COUNTIFS($A$5:$A300,"&gt;="&amp;$A301-1,$A$5:$A300,"&lt;="&amp;$A301,$B$5:$B300,$B301)&gt;0,MIN(1-'Exercise list'!Q$2,IF($A301=$A300,AW300,1))-AB301&lt;0),-1,MIN(1,IF($A301=$A300,AW300,1)-AB301+$D$2))</f>
        <v>1</v>
      </c>
      <c r="AX301">
        <f>IF(OR($J301=1,COUNTIFS($A$5:$A300,"&gt;="&amp;$A301-1,$A$5:$A300,"&lt;="&amp;$A301,$B$5:$B300,$B301)&gt;0,MIN(1-'Exercise list'!R$2,IF($A301=$A300,AX300,1))-AC301&lt;0),-1,MIN(1,IF($A301=$A300,AX300,1)-AC301+$D$2))</f>
        <v>1</v>
      </c>
      <c r="AY301">
        <f>IF(OR($J301=1,COUNTIFS($A$5:$A300,"&gt;="&amp;$A301-1,$A$5:$A300,"&lt;="&amp;$A301,$B$5:$B300,$B301)&gt;0,MIN(1-'Exercise list'!S$2,IF($A301=$A300,AY300,1))-AD301&lt;0),-1,MIN(1,IF($A301=$A300,AY300,1)-AD301+$D$2))</f>
        <v>1</v>
      </c>
      <c r="AZ301">
        <f>IF(OR($J301=1,COUNTIFS($A$5:$A300,"&gt;="&amp;$A301-1,$A$5:$A300,"&lt;="&amp;$A301,$B$5:$B300,$B301)&gt;0,MIN(1-'Exercise list'!T$2,IF($A301=$A300,AZ300,1))-AE301&lt;0),-1,MIN(1,IF($A301=$A300,AZ300,1)-AE301+$D$2))</f>
        <v>1</v>
      </c>
      <c r="BA301">
        <f>IF(OR($J301=1,COUNTIFS($A$5:$A300,"&gt;="&amp;$A301-1,$A$5:$A300,"&lt;="&amp;$A301,$B$5:$B300,$B301)&gt;0,MIN(1-'Exercise list'!U$2,IF($A301=$A300,BA300,1))-AF301&lt;0),-1,MIN(1,IF($A301=$A300,BA300,1)-AF301+$D$2))</f>
        <v>1</v>
      </c>
      <c r="BB301">
        <f>IF(OR($J301=1,COUNTIFS($A$5:$A300,"&gt;="&amp;$A301-1,$A$5:$A300,"&lt;="&amp;$A301,$B$5:$B300,$B301)&gt;0,MIN(1-'Exercise list'!V$2,IF($A301=$A300,BB300,1))-AG301&lt;0),-1,MIN(1,IF($A301=$A300,BB300,1)-AG301+$D$2))</f>
        <v>1</v>
      </c>
      <c r="BC301">
        <f>IF(OR($J301=1,COUNTIFS($A$5:$A300,"&gt;="&amp;$A301-1,$A$5:$A300,"&lt;="&amp;$A301,$B$5:$B300,$B301)&gt;0,MIN(1-'Exercise list'!W$2,IF($A301=$A300,BC300,1))-AH301&lt;0),-1,MIN(1,IF($A301=$A300,BC300,1)-AH301+$D$2))</f>
        <v>1</v>
      </c>
      <c r="BD301">
        <f>IF(OR($J301=1,COUNTIFS($A$5:$A300,"&gt;="&amp;$A301-1,$A$5:$A300,"&lt;="&amp;$A301,$B$5:$B300,$B301)&gt;0,MIN(1-'Exercise list'!X$2,IF($A301=$A300,BD300,1))-AI301&lt;0),-1,MIN(1,IF($A301=$A300,BD300,1)-AI301+$D$2))</f>
        <v>1</v>
      </c>
      <c r="BF301" s="16">
        <f t="shared" si="233"/>
        <v>0.19596031081758858</v>
      </c>
      <c r="BG301" s="16">
        <f t="shared" si="234"/>
        <v>0.21844636935459236</v>
      </c>
      <c r="BH301" s="16">
        <f t="shared" si="235"/>
        <v>0.14609696635987124</v>
      </c>
      <c r="BI301" s="16">
        <f t="shared" si="236"/>
        <v>0.13198015366034541</v>
      </c>
      <c r="BJ301" s="16">
        <f t="shared" si="237"/>
        <v>8.3367914198418713E-2</v>
      </c>
      <c r="BK301" s="16">
        <f t="shared" si="238"/>
        <v>0.10640640223148412</v>
      </c>
      <c r="BL301" s="16">
        <f t="shared" si="239"/>
        <v>0.21963504743569431</v>
      </c>
      <c r="BM301" s="16">
        <f t="shared" si="240"/>
        <v>3.8988008374820568E-3</v>
      </c>
      <c r="BN301" s="16">
        <f t="shared" si="241"/>
        <v>0.14537706087090876</v>
      </c>
      <c r="BO301" s="16">
        <f t="shared" si="242"/>
        <v>0.29209790661993401</v>
      </c>
      <c r="BP301" s="16">
        <f t="shared" si="243"/>
        <v>0.31584545163401867</v>
      </c>
      <c r="BQ301" s="16">
        <f t="shared" si="244"/>
        <v>0.1000007994126096</v>
      </c>
      <c r="BR301" s="16">
        <f t="shared" si="245"/>
        <v>0.13164487759885393</v>
      </c>
      <c r="BS301" s="16">
        <f t="shared" si="246"/>
        <v>2.9803550189863123E-2</v>
      </c>
      <c r="BT301" s="16">
        <f t="shared" si="247"/>
        <v>0.13492040904978705</v>
      </c>
      <c r="BU301" s="16">
        <f t="shared" si="248"/>
        <v>0.11703687414398131</v>
      </c>
      <c r="BV301" s="16">
        <f t="shared" si="249"/>
        <v>0.14633353213781661</v>
      </c>
      <c r="BW301" s="16">
        <f t="shared" si="250"/>
        <v>7.5588015111767173E-2</v>
      </c>
      <c r="BX301" s="16">
        <f t="shared" si="251"/>
        <v>8.0345659937185704E-2</v>
      </c>
      <c r="BY301" s="16">
        <f t="shared" si="252"/>
        <v>5.9014643151272549E-2</v>
      </c>
      <c r="CA301" s="16" t="str">
        <f t="shared" si="229"/>
        <v/>
      </c>
      <c r="CB301" s="16" t="str">
        <f t="shared" si="210"/>
        <v/>
      </c>
      <c r="CC301" s="16" t="str">
        <f t="shared" si="211"/>
        <v/>
      </c>
      <c r="CD301" s="16" t="str">
        <f t="shared" si="212"/>
        <v/>
      </c>
      <c r="CE301" s="16" t="str">
        <f t="shared" si="213"/>
        <v/>
      </c>
      <c r="CF301" s="16" t="str">
        <f t="shared" si="214"/>
        <v/>
      </c>
      <c r="CG301" s="16" t="str">
        <f t="shared" si="215"/>
        <v/>
      </c>
      <c r="CH301" s="16" t="str">
        <f t="shared" si="216"/>
        <v/>
      </c>
      <c r="CI301" s="16" t="str">
        <f t="shared" si="217"/>
        <v/>
      </c>
      <c r="CJ301" s="16" t="str">
        <f t="shared" si="218"/>
        <v/>
      </c>
      <c r="CK301" s="16" t="str">
        <f t="shared" si="219"/>
        <v/>
      </c>
      <c r="CL301" s="16" t="str">
        <f t="shared" si="220"/>
        <v/>
      </c>
      <c r="CM301" s="16" t="str">
        <f t="shared" si="221"/>
        <v/>
      </c>
      <c r="CN301" s="16" t="str">
        <f t="shared" si="222"/>
        <v/>
      </c>
      <c r="CO301" s="16" t="str">
        <f t="shared" si="223"/>
        <v/>
      </c>
      <c r="CP301" s="16" t="str">
        <f t="shared" si="224"/>
        <v/>
      </c>
      <c r="CQ301" s="16" t="str">
        <f t="shared" si="225"/>
        <v/>
      </c>
      <c r="CR301" s="16" t="str">
        <f t="shared" si="226"/>
        <v/>
      </c>
      <c r="CS301" s="16" t="str">
        <f t="shared" si="227"/>
        <v/>
      </c>
      <c r="CT301" s="16" t="str">
        <f t="shared" si="228"/>
        <v/>
      </c>
    </row>
    <row r="302" spans="1:99" x14ac:dyDescent="0.25">
      <c r="A302" s="13"/>
      <c r="B302" s="14"/>
      <c r="C302" s="15" t="str" cm="1">
        <f t="array" ref="C302">IF(B302="","",INDEX('Exercise list'!$C$5:$C$102,B302))</f>
        <v/>
      </c>
      <c r="D302" s="12" t="str">
        <f t="shared" si="230"/>
        <v/>
      </c>
      <c r="E302" s="107" t="str">
        <f t="shared" si="253"/>
        <v/>
      </c>
      <c r="F302" s="63" t="str" cm="1">
        <f t="array" ref="F302">IF(B302="","",0.1+IFERROR(INDEX($F$6:$F301,SUMPRODUCT(MAX(ROW($C$6:$C301)*($C302=$C$6:$C301))-ROW($A$5)))*0.9^($A302-INDEX($A$6:A301,SUMPRODUCT(MAX(ROW($C$6:$C301)*($C302=$C$6:$C301))-ROW($A$5)))),0))</f>
        <v/>
      </c>
      <c r="G302" s="64" t="e">
        <f>INDEX('Exercise list'!$Y$5:$Y$102,MATCH(C302,'Exercise list'!$C$5:$C$102,0))</f>
        <v>#N/A</v>
      </c>
      <c r="H302" s="115">
        <f t="shared" si="231"/>
        <v>0</v>
      </c>
      <c r="I302" s="6">
        <f t="shared" si="232"/>
        <v>5</v>
      </c>
      <c r="J302" s="6" t="str" cm="1">
        <f t="array" ref="J302">IF(B302="","",INDEX('Exercise list'!$D$5:$D$102,B302))</f>
        <v/>
      </c>
      <c r="K302" s="12"/>
      <c r="L302" s="74" t="str" cm="1">
        <f t="array" ref="L302">IF(K302="","",INDEX('Exercise list'!$C$5:$C$102,K302))</f>
        <v/>
      </c>
      <c r="M302" s="6"/>
      <c r="N302" s="75" t="str" cm="1">
        <f t="array" ref="N302">IF(M302="","",INDEX('Exercise list'!$C$5:$C$102,M302))</f>
        <v/>
      </c>
      <c r="P302">
        <f>IFERROR(INDEX('Exercise list'!$E$5:$X$102,MATCH($C302,'Exercise list'!$C$5:$C$102,0),MATCH(P$5,'Exercise list'!$E$4:$X$4,0)),0)</f>
        <v>0</v>
      </c>
      <c r="Q302">
        <f>IFERROR(INDEX('Exercise list'!$E$5:$X$102,MATCH($C302,'Exercise list'!$C$5:$C$102,0),MATCH(Q$5,'Exercise list'!$E$4:$X$4,0)),0)</f>
        <v>0</v>
      </c>
      <c r="R302">
        <f>IFERROR(INDEX('Exercise list'!$E$5:$X$102,MATCH($C302,'Exercise list'!$C$5:$C$102,0),MATCH(R$5,'Exercise list'!$E$4:$X$4,0)),0)</f>
        <v>0</v>
      </c>
      <c r="S302">
        <f>IFERROR(INDEX('Exercise list'!$E$5:$X$102,MATCH($C302,'Exercise list'!$C$5:$C$102,0),MATCH(S$5,'Exercise list'!$E$4:$X$4,0)),0)</f>
        <v>0</v>
      </c>
      <c r="T302">
        <f>IFERROR(INDEX('Exercise list'!$E$5:$X$102,MATCH($C302,'Exercise list'!$C$5:$C$102,0),MATCH(T$5,'Exercise list'!$E$4:$X$4,0)),0)</f>
        <v>0</v>
      </c>
      <c r="U302">
        <f>IFERROR(INDEX('Exercise list'!$E$5:$X$102,MATCH($C302,'Exercise list'!$C$5:$C$102,0),MATCH(U$5,'Exercise list'!$E$4:$X$4,0)),0)</f>
        <v>0</v>
      </c>
      <c r="V302">
        <f>IFERROR(INDEX('Exercise list'!$E$5:$X$102,MATCH($C302,'Exercise list'!$C$5:$C$102,0),MATCH(V$5,'Exercise list'!$E$4:$X$4,0)),0)</f>
        <v>0</v>
      </c>
      <c r="W302">
        <f>IFERROR(INDEX('Exercise list'!$E$5:$X$102,MATCH($C302,'Exercise list'!$C$5:$C$102,0),MATCH(W$5,'Exercise list'!$E$4:$X$4,0)),0)</f>
        <v>0</v>
      </c>
      <c r="X302">
        <f>IFERROR(INDEX('Exercise list'!$E$5:$X$102,MATCH($C302,'Exercise list'!$C$5:$C$102,0),MATCH(X$5,'Exercise list'!$E$4:$X$4,0)),0)</f>
        <v>0</v>
      </c>
      <c r="Y302">
        <f>IFERROR(INDEX('Exercise list'!$E$5:$X$102,MATCH($C302,'Exercise list'!$C$5:$C$102,0),MATCH(Y$5,'Exercise list'!$E$4:$X$4,0)),0)</f>
        <v>0</v>
      </c>
      <c r="Z302">
        <f>IFERROR(INDEX('Exercise list'!$E$5:$X$102,MATCH($C302,'Exercise list'!$C$5:$C$102,0),MATCH(Z$5,'Exercise list'!$E$4:$X$4,0)),0)</f>
        <v>0</v>
      </c>
      <c r="AA302">
        <f>IFERROR(INDEX('Exercise list'!$E$5:$X$102,MATCH($C302,'Exercise list'!$C$5:$C$102,0),MATCH(AA$5,'Exercise list'!$E$4:$X$4,0)),0)</f>
        <v>0</v>
      </c>
      <c r="AB302">
        <f>IFERROR(INDEX('Exercise list'!$E$5:$X$102,MATCH($C302,'Exercise list'!$C$5:$C$102,0),MATCH(AB$5,'Exercise list'!$E$4:$X$4,0)),0)</f>
        <v>0</v>
      </c>
      <c r="AC302">
        <f>IFERROR(INDEX('Exercise list'!$E$5:$X$102,MATCH($C302,'Exercise list'!$C$5:$C$102,0),MATCH(AC$5,'Exercise list'!$E$4:$X$4,0)),0)</f>
        <v>0</v>
      </c>
      <c r="AD302">
        <f>IFERROR(INDEX('Exercise list'!$E$5:$X$102,MATCH($C302,'Exercise list'!$C$5:$C$102,0),MATCH(AD$5,'Exercise list'!$E$4:$X$4,0)),0)</f>
        <v>0</v>
      </c>
      <c r="AE302">
        <f>IFERROR(INDEX('Exercise list'!$E$5:$X$102,MATCH($C302,'Exercise list'!$C$5:$C$102,0),MATCH(AE$5,'Exercise list'!$E$4:$X$4,0)),0)</f>
        <v>0</v>
      </c>
      <c r="AF302">
        <f>IFERROR(INDEX('Exercise list'!$E$5:$X$102,MATCH($C302,'Exercise list'!$C$5:$C$102,0),MATCH(AF$5,'Exercise list'!$E$4:$X$4,0)),0)</f>
        <v>0</v>
      </c>
      <c r="AG302">
        <f>IFERROR(INDEX('Exercise list'!$E$5:$X$102,MATCH($C302,'Exercise list'!$C$5:$C$102,0),MATCH(AG$5,'Exercise list'!$E$4:$X$4,0)),0)</f>
        <v>0</v>
      </c>
      <c r="AH302">
        <f>IFERROR(INDEX('Exercise list'!$E$5:$X$102,MATCH($C302,'Exercise list'!$C$5:$C$102,0),MATCH(AH$5,'Exercise list'!$E$4:$X$4,0)),0)</f>
        <v>0</v>
      </c>
      <c r="AI302">
        <f>IFERROR(INDEX('Exercise list'!$E$5:$X$102,MATCH($C302,'Exercise list'!$C$5:$C$102,0),MATCH(AI$5,'Exercise list'!$E$4:$X$4,0)),0)</f>
        <v>0</v>
      </c>
      <c r="AK302">
        <f>IF(OR($J302=1,COUNTIFS($A$5:$A301,"&gt;="&amp;$A302-1,$A$5:$A301,"&lt;="&amp;$A302,$B$5:$B301,$B302)&gt;0,MIN(1-'Exercise list'!E$2,IF($A302=$A301,AK301,1))-P302&lt;0),-1,MIN(1,IF($A302=$A301,AK301,1)-P302+$D$2))</f>
        <v>1</v>
      </c>
      <c r="AL302">
        <f>IF(OR($J302=1,COUNTIFS($A$5:$A301,"&gt;="&amp;$A302-1,$A$5:$A301,"&lt;="&amp;$A302,$B$5:$B301,$B302)&gt;0,MIN(1-'Exercise list'!F$2,IF($A302=$A301,AL301,1))-Q302&lt;0),-1,MIN(1,IF($A302=$A301,AL301,1)-Q302+$D$2))</f>
        <v>1</v>
      </c>
      <c r="AM302">
        <f>IF(OR($J302=1,COUNTIFS($A$5:$A301,"&gt;="&amp;$A302-1,$A$5:$A301,"&lt;="&amp;$A302,$B$5:$B301,$B302)&gt;0,MIN(1-'Exercise list'!G$2,IF($A302=$A301,AM301,1))-R302&lt;0),-1,MIN(1,IF($A302=$A301,AM301,1)-R302+$D$2))</f>
        <v>1</v>
      </c>
      <c r="AN302">
        <f>IF(OR($J302=1,COUNTIFS($A$5:$A301,"&gt;="&amp;$A302-1,$A$5:$A301,"&lt;="&amp;$A302,$B$5:$B301,$B302)&gt;0,MIN(1-'Exercise list'!H$2,IF($A302=$A301,AN301,1))-S302&lt;0),-1,MIN(1,IF($A302=$A301,AN301,1)-S302+$D$2))</f>
        <v>1</v>
      </c>
      <c r="AO302">
        <f>IF(OR($J302=1,COUNTIFS($A$5:$A301,"&gt;="&amp;$A302-1,$A$5:$A301,"&lt;="&amp;$A302,$B$5:$B301,$B302)&gt;0,MIN(1-'Exercise list'!I$2,IF($A302=$A301,AO301,1))-T302&lt;0),-1,MIN(1,IF($A302=$A301,AO301,1)-T302+$D$2))</f>
        <v>1</v>
      </c>
      <c r="AP302">
        <f>IF(OR($J302=1,COUNTIFS($A$5:$A301,"&gt;="&amp;$A302-1,$A$5:$A301,"&lt;="&amp;$A302,$B$5:$B301,$B302)&gt;0,MIN(1-'Exercise list'!J$2,IF($A302=$A301,AP301,1))-U302&lt;0),-1,MIN(1,IF($A302=$A301,AP301,1)-U302+$D$2))</f>
        <v>1</v>
      </c>
      <c r="AQ302">
        <f>IF(OR($J302=1,COUNTIFS($A$5:$A301,"&gt;="&amp;$A302-1,$A$5:$A301,"&lt;="&amp;$A302,$B$5:$B301,$B302)&gt;0,MIN(1-'Exercise list'!K$2,IF($A302=$A301,AQ301,1))-V302&lt;0),-1,MIN(1,IF($A302=$A301,AQ301,1)-V302+$D$2))</f>
        <v>1</v>
      </c>
      <c r="AR302">
        <f>IF(OR($J302=1,COUNTIFS($A$5:$A301,"&gt;="&amp;$A302-1,$A$5:$A301,"&lt;="&amp;$A302,$B$5:$B301,$B302)&gt;0,MIN(1-'Exercise list'!L$2,IF($A302=$A301,AR301,1))-W302&lt;0),-1,MIN(1,IF($A302=$A301,AR301,1)-W302+$D$2))</f>
        <v>1</v>
      </c>
      <c r="AS302">
        <f>IF(OR($J302=1,COUNTIFS($A$5:$A301,"&gt;="&amp;$A302-1,$A$5:$A301,"&lt;="&amp;$A302,$B$5:$B301,$B302)&gt;0,MIN(1-'Exercise list'!M$2,IF($A302=$A301,AS301,1))-X302&lt;0),-1,MIN(1,IF($A302=$A301,AS301,1)-X302+$D$2))</f>
        <v>1</v>
      </c>
      <c r="AT302">
        <f>IF(OR($J302=1,COUNTIFS($A$5:$A301,"&gt;="&amp;$A302-1,$A$5:$A301,"&lt;="&amp;$A302,$B$5:$B301,$B302)&gt;0,MIN(1-'Exercise list'!N$2,IF($A302=$A301,AT301,1))-Y302&lt;0),-1,MIN(1,IF($A302=$A301,AT301,1)-Y302+$D$2))</f>
        <v>1</v>
      </c>
      <c r="AU302">
        <f>IF(OR($J302=1,COUNTIFS($A$5:$A301,"&gt;="&amp;$A302-1,$A$5:$A301,"&lt;="&amp;$A302,$B$5:$B301,$B302)&gt;0,MIN(1-'Exercise list'!O$2,IF($A302=$A301,AU301,1))-Z302&lt;0),-1,MIN(1,IF($A302=$A301,AU301,1)-Z302+$D$2))</f>
        <v>1</v>
      </c>
      <c r="AV302">
        <f>IF(OR($J302=1,COUNTIFS($A$5:$A301,"&gt;="&amp;$A302-1,$A$5:$A301,"&lt;="&amp;$A302,$B$5:$B301,$B302)&gt;0,MIN(1-'Exercise list'!P$2,IF($A302=$A301,AV301,1))-AA302&lt;0),-1,MIN(1,IF($A302=$A301,AV301,1)-AA302+$D$2))</f>
        <v>1</v>
      </c>
      <c r="AW302">
        <f>IF(OR($J302=1,COUNTIFS($A$5:$A301,"&gt;="&amp;$A302-1,$A$5:$A301,"&lt;="&amp;$A302,$B$5:$B301,$B302)&gt;0,MIN(1-'Exercise list'!Q$2,IF($A302=$A301,AW301,1))-AB302&lt;0),-1,MIN(1,IF($A302=$A301,AW301,1)-AB302+$D$2))</f>
        <v>1</v>
      </c>
      <c r="AX302">
        <f>IF(OR($J302=1,COUNTIFS($A$5:$A301,"&gt;="&amp;$A302-1,$A$5:$A301,"&lt;="&amp;$A302,$B$5:$B301,$B302)&gt;0,MIN(1-'Exercise list'!R$2,IF($A302=$A301,AX301,1))-AC302&lt;0),-1,MIN(1,IF($A302=$A301,AX301,1)-AC302+$D$2))</f>
        <v>1</v>
      </c>
      <c r="AY302">
        <f>IF(OR($J302=1,COUNTIFS($A$5:$A301,"&gt;="&amp;$A302-1,$A$5:$A301,"&lt;="&amp;$A302,$B$5:$B301,$B302)&gt;0,MIN(1-'Exercise list'!S$2,IF($A302=$A301,AY301,1))-AD302&lt;0),-1,MIN(1,IF($A302=$A301,AY301,1)-AD302+$D$2))</f>
        <v>1</v>
      </c>
      <c r="AZ302">
        <f>IF(OR($J302=1,COUNTIFS($A$5:$A301,"&gt;="&amp;$A302-1,$A$5:$A301,"&lt;="&amp;$A302,$B$5:$B301,$B302)&gt;0,MIN(1-'Exercise list'!T$2,IF($A302=$A301,AZ301,1))-AE302&lt;0),-1,MIN(1,IF($A302=$A301,AZ301,1)-AE302+$D$2))</f>
        <v>1</v>
      </c>
      <c r="BA302">
        <f>IF(OR($J302=1,COUNTIFS($A$5:$A301,"&gt;="&amp;$A302-1,$A$5:$A301,"&lt;="&amp;$A302,$B$5:$B301,$B302)&gt;0,MIN(1-'Exercise list'!U$2,IF($A302=$A301,BA301,1))-AF302&lt;0),-1,MIN(1,IF($A302=$A301,BA301,1)-AF302+$D$2))</f>
        <v>1</v>
      </c>
      <c r="BB302">
        <f>IF(OR($J302=1,COUNTIFS($A$5:$A301,"&gt;="&amp;$A302-1,$A$5:$A301,"&lt;="&amp;$A302,$B$5:$B301,$B302)&gt;0,MIN(1-'Exercise list'!V$2,IF($A302=$A301,BB301,1))-AG302&lt;0),-1,MIN(1,IF($A302=$A301,BB301,1)-AG302+$D$2))</f>
        <v>1</v>
      </c>
      <c r="BC302">
        <f>IF(OR($J302=1,COUNTIFS($A$5:$A301,"&gt;="&amp;$A302-1,$A$5:$A301,"&lt;="&amp;$A302,$B$5:$B301,$B302)&gt;0,MIN(1-'Exercise list'!W$2,IF($A302=$A301,BC301,1))-AH302&lt;0),-1,MIN(1,IF($A302=$A301,BC301,1)-AH302+$D$2))</f>
        <v>1</v>
      </c>
      <c r="BD302">
        <f>IF(OR($J302=1,COUNTIFS($A$5:$A301,"&gt;="&amp;$A302-1,$A$5:$A301,"&lt;="&amp;$A302,$B$5:$B301,$B302)&gt;0,MIN(1-'Exercise list'!X$2,IF($A302=$A301,BD301,1))-AI302&lt;0),-1,MIN(1,IF($A302=$A301,BD301,1)-AI302+$D$2))</f>
        <v>1</v>
      </c>
      <c r="BF302" s="16">
        <f t="shared" si="233"/>
        <v>0.19596031081758858</v>
      </c>
      <c r="BG302" s="16">
        <f t="shared" si="234"/>
        <v>0.21844636935459236</v>
      </c>
      <c r="BH302" s="16">
        <f t="shared" si="235"/>
        <v>0.14609696635987124</v>
      </c>
      <c r="BI302" s="16">
        <f t="shared" si="236"/>
        <v>0.13198015366034541</v>
      </c>
      <c r="BJ302" s="16">
        <f t="shared" si="237"/>
        <v>8.3367914198418713E-2</v>
      </c>
      <c r="BK302" s="16">
        <f t="shared" si="238"/>
        <v>0.10640640223148412</v>
      </c>
      <c r="BL302" s="16">
        <f t="shared" si="239"/>
        <v>0.21963504743569431</v>
      </c>
      <c r="BM302" s="16">
        <f t="shared" si="240"/>
        <v>3.8988008374820568E-3</v>
      </c>
      <c r="BN302" s="16">
        <f t="shared" si="241"/>
        <v>0.14537706087090876</v>
      </c>
      <c r="BO302" s="16">
        <f t="shared" si="242"/>
        <v>0.29209790661993401</v>
      </c>
      <c r="BP302" s="16">
        <f t="shared" si="243"/>
        <v>0.31584545163401867</v>
      </c>
      <c r="BQ302" s="16">
        <f t="shared" si="244"/>
        <v>0.1000007994126096</v>
      </c>
      <c r="BR302" s="16">
        <f t="shared" si="245"/>
        <v>0.13164487759885393</v>
      </c>
      <c r="BS302" s="16">
        <f t="shared" si="246"/>
        <v>2.9803550189863123E-2</v>
      </c>
      <c r="BT302" s="16">
        <f t="shared" si="247"/>
        <v>0.13492040904978705</v>
      </c>
      <c r="BU302" s="16">
        <f t="shared" si="248"/>
        <v>0.11703687414398131</v>
      </c>
      <c r="BV302" s="16">
        <f t="shared" si="249"/>
        <v>0.14633353213781661</v>
      </c>
      <c r="BW302" s="16">
        <f t="shared" si="250"/>
        <v>7.5588015111767173E-2</v>
      </c>
      <c r="BX302" s="16">
        <f t="shared" si="251"/>
        <v>8.0345659937185704E-2</v>
      </c>
      <c r="BY302" s="16">
        <f t="shared" si="252"/>
        <v>5.9014643151272549E-2</v>
      </c>
      <c r="CA302" s="16" t="str">
        <f t="shared" si="229"/>
        <v/>
      </c>
      <c r="CB302" s="16" t="str">
        <f t="shared" si="210"/>
        <v/>
      </c>
      <c r="CC302" s="16" t="str">
        <f t="shared" si="211"/>
        <v/>
      </c>
      <c r="CD302" s="16" t="str">
        <f t="shared" si="212"/>
        <v/>
      </c>
      <c r="CE302" s="16" t="str">
        <f t="shared" si="213"/>
        <v/>
      </c>
      <c r="CF302" s="16" t="str">
        <f t="shared" si="214"/>
        <v/>
      </c>
      <c r="CG302" s="16" t="str">
        <f t="shared" si="215"/>
        <v/>
      </c>
      <c r="CH302" s="16" t="str">
        <f t="shared" si="216"/>
        <v/>
      </c>
      <c r="CI302" s="16" t="str">
        <f t="shared" si="217"/>
        <v/>
      </c>
      <c r="CJ302" s="16" t="str">
        <f t="shared" si="218"/>
        <v/>
      </c>
      <c r="CK302" s="16" t="str">
        <f t="shared" si="219"/>
        <v/>
      </c>
      <c r="CL302" s="16" t="str">
        <f t="shared" si="220"/>
        <v/>
      </c>
      <c r="CM302" s="16" t="str">
        <f t="shared" si="221"/>
        <v/>
      </c>
      <c r="CN302" s="16" t="str">
        <f t="shared" si="222"/>
        <v/>
      </c>
      <c r="CO302" s="16" t="str">
        <f t="shared" si="223"/>
        <v/>
      </c>
      <c r="CP302" s="16" t="str">
        <f t="shared" si="224"/>
        <v/>
      </c>
      <c r="CQ302" s="16" t="str">
        <f t="shared" si="225"/>
        <v/>
      </c>
      <c r="CR302" s="16" t="str">
        <f t="shared" si="226"/>
        <v/>
      </c>
      <c r="CS302" s="16" t="str">
        <f t="shared" si="227"/>
        <v/>
      </c>
      <c r="CT302" s="16" t="str">
        <f t="shared" si="228"/>
        <v/>
      </c>
    </row>
    <row r="303" spans="1:99" x14ac:dyDescent="0.25">
      <c r="A303" s="20"/>
      <c r="B303" s="21"/>
      <c r="C303" s="22" t="str" cm="1">
        <f t="array" ref="C303">IF(B303="","",INDEX('Exercise list'!$C$5:$C$102,B303))</f>
        <v/>
      </c>
      <c r="D303" s="17" t="str">
        <f t="shared" si="230"/>
        <v/>
      </c>
      <c r="E303" s="108" t="str">
        <f t="shared" si="253"/>
        <v/>
      </c>
      <c r="F303" s="65" t="str" cm="1">
        <f t="array" ref="F303">IF(B303="","",0.1+IFERROR(INDEX($F$6:$F302,SUMPRODUCT(MAX(ROW($C$6:$C302)*($C303=$C$6:$C302))-ROW($A$5)))*0.9^($A303-INDEX($A$6:A302,SUMPRODUCT(MAX(ROW($C$6:$C302)*($C303=$C$6:$C302))-ROW($A$5)))),0))</f>
        <v/>
      </c>
      <c r="G303" s="25" t="e">
        <f>INDEX('Exercise list'!$Y$5:$Y$102,MATCH(C303,'Exercise list'!$C$5:$C$102,0))</f>
        <v>#N/A</v>
      </c>
      <c r="H303" s="116">
        <f t="shared" si="231"/>
        <v>0</v>
      </c>
      <c r="I303" s="18">
        <f t="shared" si="232"/>
        <v>5</v>
      </c>
      <c r="J303" s="18" t="str" cm="1">
        <f t="array" ref="J303">IF(B303="","",INDEX('Exercise list'!$D$5:$D$102,B303))</f>
        <v/>
      </c>
      <c r="K303" s="17"/>
      <c r="L303" s="51" t="str" cm="1">
        <f t="array" ref="L303">IF(K303="","",INDEX('Exercise list'!$C$5:$C$102,K303))</f>
        <v/>
      </c>
      <c r="M303" s="18"/>
      <c r="N303" s="76" t="str" cm="1">
        <f t="array" ref="N303">IF(M303="","",INDEX('Exercise list'!$C$5:$C$102,M303))</f>
        <v/>
      </c>
      <c r="O303" s="19"/>
      <c r="P303" s="19">
        <f>IFERROR(INDEX('Exercise list'!$E$5:$X$102,MATCH($C303,'Exercise list'!$C$5:$C$102,0),MATCH(P$5,'Exercise list'!$E$4:$X$4,0)),0)</f>
        <v>0</v>
      </c>
      <c r="Q303" s="19">
        <f>IFERROR(INDEX('Exercise list'!$E$5:$X$102,MATCH($C303,'Exercise list'!$C$5:$C$102,0),MATCH(Q$5,'Exercise list'!$E$4:$X$4,0)),0)</f>
        <v>0</v>
      </c>
      <c r="R303" s="19">
        <f>IFERROR(INDEX('Exercise list'!$E$5:$X$102,MATCH($C303,'Exercise list'!$C$5:$C$102,0),MATCH(R$5,'Exercise list'!$E$4:$X$4,0)),0)</f>
        <v>0</v>
      </c>
      <c r="S303" s="19">
        <f>IFERROR(INDEX('Exercise list'!$E$5:$X$102,MATCH($C303,'Exercise list'!$C$5:$C$102,0),MATCH(S$5,'Exercise list'!$E$4:$X$4,0)),0)</f>
        <v>0</v>
      </c>
      <c r="T303" s="19">
        <f>IFERROR(INDEX('Exercise list'!$E$5:$X$102,MATCH($C303,'Exercise list'!$C$5:$C$102,0),MATCH(T$5,'Exercise list'!$E$4:$X$4,0)),0)</f>
        <v>0</v>
      </c>
      <c r="U303" s="19">
        <f>IFERROR(INDEX('Exercise list'!$E$5:$X$102,MATCH($C303,'Exercise list'!$C$5:$C$102,0),MATCH(U$5,'Exercise list'!$E$4:$X$4,0)),0)</f>
        <v>0</v>
      </c>
      <c r="V303" s="19">
        <f>IFERROR(INDEX('Exercise list'!$E$5:$X$102,MATCH($C303,'Exercise list'!$C$5:$C$102,0),MATCH(V$5,'Exercise list'!$E$4:$X$4,0)),0)</f>
        <v>0</v>
      </c>
      <c r="W303" s="19">
        <f>IFERROR(INDEX('Exercise list'!$E$5:$X$102,MATCH($C303,'Exercise list'!$C$5:$C$102,0),MATCH(W$5,'Exercise list'!$E$4:$X$4,0)),0)</f>
        <v>0</v>
      </c>
      <c r="X303" s="19">
        <f>IFERROR(INDEX('Exercise list'!$E$5:$X$102,MATCH($C303,'Exercise list'!$C$5:$C$102,0),MATCH(X$5,'Exercise list'!$E$4:$X$4,0)),0)</f>
        <v>0</v>
      </c>
      <c r="Y303" s="19">
        <f>IFERROR(INDEX('Exercise list'!$E$5:$X$102,MATCH($C303,'Exercise list'!$C$5:$C$102,0),MATCH(Y$5,'Exercise list'!$E$4:$X$4,0)),0)</f>
        <v>0</v>
      </c>
      <c r="Z303" s="19">
        <f>IFERROR(INDEX('Exercise list'!$E$5:$X$102,MATCH($C303,'Exercise list'!$C$5:$C$102,0),MATCH(Z$5,'Exercise list'!$E$4:$X$4,0)),0)</f>
        <v>0</v>
      </c>
      <c r="AA303" s="19">
        <f>IFERROR(INDEX('Exercise list'!$E$5:$X$102,MATCH($C303,'Exercise list'!$C$5:$C$102,0),MATCH(AA$5,'Exercise list'!$E$4:$X$4,0)),0)</f>
        <v>0</v>
      </c>
      <c r="AB303" s="19">
        <f>IFERROR(INDEX('Exercise list'!$E$5:$X$102,MATCH($C303,'Exercise list'!$C$5:$C$102,0),MATCH(AB$5,'Exercise list'!$E$4:$X$4,0)),0)</f>
        <v>0</v>
      </c>
      <c r="AC303" s="19">
        <f>IFERROR(INDEX('Exercise list'!$E$5:$X$102,MATCH($C303,'Exercise list'!$C$5:$C$102,0),MATCH(AC$5,'Exercise list'!$E$4:$X$4,0)),0)</f>
        <v>0</v>
      </c>
      <c r="AD303" s="19">
        <f>IFERROR(INDEX('Exercise list'!$E$5:$X$102,MATCH($C303,'Exercise list'!$C$5:$C$102,0),MATCH(AD$5,'Exercise list'!$E$4:$X$4,0)),0)</f>
        <v>0</v>
      </c>
      <c r="AE303" s="19">
        <f>IFERROR(INDEX('Exercise list'!$E$5:$X$102,MATCH($C303,'Exercise list'!$C$5:$C$102,0),MATCH(AE$5,'Exercise list'!$E$4:$X$4,0)),0)</f>
        <v>0</v>
      </c>
      <c r="AF303" s="19">
        <f>IFERROR(INDEX('Exercise list'!$E$5:$X$102,MATCH($C303,'Exercise list'!$C$5:$C$102,0),MATCH(AF$5,'Exercise list'!$E$4:$X$4,0)),0)</f>
        <v>0</v>
      </c>
      <c r="AG303" s="19">
        <f>IFERROR(INDEX('Exercise list'!$E$5:$X$102,MATCH($C303,'Exercise list'!$C$5:$C$102,0),MATCH(AG$5,'Exercise list'!$E$4:$X$4,0)),0)</f>
        <v>0</v>
      </c>
      <c r="AH303" s="19">
        <f>IFERROR(INDEX('Exercise list'!$E$5:$X$102,MATCH($C303,'Exercise list'!$C$5:$C$102,0),MATCH(AH$5,'Exercise list'!$E$4:$X$4,0)),0)</f>
        <v>0</v>
      </c>
      <c r="AI303" s="19">
        <f>IFERROR(INDEX('Exercise list'!$E$5:$X$102,MATCH($C303,'Exercise list'!$C$5:$C$102,0),MATCH(AI$5,'Exercise list'!$E$4:$X$4,0)),0)</f>
        <v>0</v>
      </c>
      <c r="AJ303" s="19"/>
      <c r="AK303" s="19">
        <f>IF(OR($J303=1,COUNTIFS($A$5:$A302,"&gt;="&amp;$A303-1,$A$5:$A302,"&lt;="&amp;$A303,$B$5:$B302,$B303)&gt;0,MIN(1-'Exercise list'!E$2,IF($A303=$A302,AK302,1))-P303&lt;0),-1,MIN(1,IF($A303=$A302,AK302,1)-P303+$D$2))</f>
        <v>1</v>
      </c>
      <c r="AL303" s="19">
        <f>IF(OR($J303=1,COUNTIFS($A$5:$A302,"&gt;="&amp;$A303-1,$A$5:$A302,"&lt;="&amp;$A303,$B$5:$B302,$B303)&gt;0,MIN(1-'Exercise list'!F$2,IF($A303=$A302,AL302,1))-Q303&lt;0),-1,MIN(1,IF($A303=$A302,AL302,1)-Q303+$D$2))</f>
        <v>1</v>
      </c>
      <c r="AM303" s="19">
        <f>IF(OR($J303=1,COUNTIFS($A$5:$A302,"&gt;="&amp;$A303-1,$A$5:$A302,"&lt;="&amp;$A303,$B$5:$B302,$B303)&gt;0,MIN(1-'Exercise list'!G$2,IF($A303=$A302,AM302,1))-R303&lt;0),-1,MIN(1,IF($A303=$A302,AM302,1)-R303+$D$2))</f>
        <v>1</v>
      </c>
      <c r="AN303" s="19">
        <f>IF(OR($J303=1,COUNTIFS($A$5:$A302,"&gt;="&amp;$A303-1,$A$5:$A302,"&lt;="&amp;$A303,$B$5:$B302,$B303)&gt;0,MIN(1-'Exercise list'!H$2,IF($A303=$A302,AN302,1))-S303&lt;0),-1,MIN(1,IF($A303=$A302,AN302,1)-S303+$D$2))</f>
        <v>1</v>
      </c>
      <c r="AO303" s="19">
        <f>IF(OR($J303=1,COUNTIFS($A$5:$A302,"&gt;="&amp;$A303-1,$A$5:$A302,"&lt;="&amp;$A303,$B$5:$B302,$B303)&gt;0,MIN(1-'Exercise list'!I$2,IF($A303=$A302,AO302,1))-T303&lt;0),-1,MIN(1,IF($A303=$A302,AO302,1)-T303+$D$2))</f>
        <v>1</v>
      </c>
      <c r="AP303" s="19">
        <f>IF(OR($J303=1,COUNTIFS($A$5:$A302,"&gt;="&amp;$A303-1,$A$5:$A302,"&lt;="&amp;$A303,$B$5:$B302,$B303)&gt;0,MIN(1-'Exercise list'!J$2,IF($A303=$A302,AP302,1))-U303&lt;0),-1,MIN(1,IF($A303=$A302,AP302,1)-U303+$D$2))</f>
        <v>1</v>
      </c>
      <c r="AQ303" s="19">
        <f>IF(OR($J303=1,COUNTIFS($A$5:$A302,"&gt;="&amp;$A303-1,$A$5:$A302,"&lt;="&amp;$A303,$B$5:$B302,$B303)&gt;0,MIN(1-'Exercise list'!K$2,IF($A303=$A302,AQ302,1))-V303&lt;0),-1,MIN(1,IF($A303=$A302,AQ302,1)-V303+$D$2))</f>
        <v>1</v>
      </c>
      <c r="AR303" s="19">
        <f>IF(OR($J303=1,COUNTIFS($A$5:$A302,"&gt;="&amp;$A303-1,$A$5:$A302,"&lt;="&amp;$A303,$B$5:$B302,$B303)&gt;0,MIN(1-'Exercise list'!L$2,IF($A303=$A302,AR302,1))-W303&lt;0),-1,MIN(1,IF($A303=$A302,AR302,1)-W303+$D$2))</f>
        <v>1</v>
      </c>
      <c r="AS303" s="19">
        <f>IF(OR($J303=1,COUNTIFS($A$5:$A302,"&gt;="&amp;$A303-1,$A$5:$A302,"&lt;="&amp;$A303,$B$5:$B302,$B303)&gt;0,MIN(1-'Exercise list'!M$2,IF($A303=$A302,AS302,1))-X303&lt;0),-1,MIN(1,IF($A303=$A302,AS302,1)-X303+$D$2))</f>
        <v>1</v>
      </c>
      <c r="AT303" s="19">
        <f>IF(OR($J303=1,COUNTIFS($A$5:$A302,"&gt;="&amp;$A303-1,$A$5:$A302,"&lt;="&amp;$A303,$B$5:$B302,$B303)&gt;0,MIN(1-'Exercise list'!N$2,IF($A303=$A302,AT302,1))-Y303&lt;0),-1,MIN(1,IF($A303=$A302,AT302,1)-Y303+$D$2))</f>
        <v>1</v>
      </c>
      <c r="AU303" s="19">
        <f>IF(OR($J303=1,COUNTIFS($A$5:$A302,"&gt;="&amp;$A303-1,$A$5:$A302,"&lt;="&amp;$A303,$B$5:$B302,$B303)&gt;0,MIN(1-'Exercise list'!O$2,IF($A303=$A302,AU302,1))-Z303&lt;0),-1,MIN(1,IF($A303=$A302,AU302,1)-Z303+$D$2))</f>
        <v>1</v>
      </c>
      <c r="AV303" s="19">
        <f>IF(OR($J303=1,COUNTIFS($A$5:$A302,"&gt;="&amp;$A303-1,$A$5:$A302,"&lt;="&amp;$A303,$B$5:$B302,$B303)&gt;0,MIN(1-'Exercise list'!P$2,IF($A303=$A302,AV302,1))-AA303&lt;0),-1,MIN(1,IF($A303=$A302,AV302,1)-AA303+$D$2))</f>
        <v>1</v>
      </c>
      <c r="AW303" s="19">
        <f>IF(OR($J303=1,COUNTIFS($A$5:$A302,"&gt;="&amp;$A303-1,$A$5:$A302,"&lt;="&amp;$A303,$B$5:$B302,$B303)&gt;0,MIN(1-'Exercise list'!Q$2,IF($A303=$A302,AW302,1))-AB303&lt;0),-1,MIN(1,IF($A303=$A302,AW302,1)-AB303+$D$2))</f>
        <v>1</v>
      </c>
      <c r="AX303" s="19">
        <f>IF(OR($J303=1,COUNTIFS($A$5:$A302,"&gt;="&amp;$A303-1,$A$5:$A302,"&lt;="&amp;$A303,$B$5:$B302,$B303)&gt;0,MIN(1-'Exercise list'!R$2,IF($A303=$A302,AX302,1))-AC303&lt;0),-1,MIN(1,IF($A303=$A302,AX302,1)-AC303+$D$2))</f>
        <v>1</v>
      </c>
      <c r="AY303" s="19">
        <f>IF(OR($J303=1,COUNTIFS($A$5:$A302,"&gt;="&amp;$A303-1,$A$5:$A302,"&lt;="&amp;$A303,$B$5:$B302,$B303)&gt;0,MIN(1-'Exercise list'!S$2,IF($A303=$A302,AY302,1))-AD303&lt;0),-1,MIN(1,IF($A303=$A302,AY302,1)-AD303+$D$2))</f>
        <v>1</v>
      </c>
      <c r="AZ303" s="19">
        <f>IF(OR($J303=1,COUNTIFS($A$5:$A302,"&gt;="&amp;$A303-1,$A$5:$A302,"&lt;="&amp;$A303,$B$5:$B302,$B303)&gt;0,MIN(1-'Exercise list'!T$2,IF($A303=$A302,AZ302,1))-AE303&lt;0),-1,MIN(1,IF($A303=$A302,AZ302,1)-AE303+$D$2))</f>
        <v>1</v>
      </c>
      <c r="BA303" s="19">
        <f>IF(OR($J303=1,COUNTIFS($A$5:$A302,"&gt;="&amp;$A303-1,$A$5:$A302,"&lt;="&amp;$A303,$B$5:$B302,$B303)&gt;0,MIN(1-'Exercise list'!U$2,IF($A303=$A302,BA302,1))-AF303&lt;0),-1,MIN(1,IF($A303=$A302,BA302,1)-AF303+$D$2))</f>
        <v>1</v>
      </c>
      <c r="BB303" s="19">
        <f>IF(OR($J303=1,COUNTIFS($A$5:$A302,"&gt;="&amp;$A303-1,$A$5:$A302,"&lt;="&amp;$A303,$B$5:$B302,$B303)&gt;0,MIN(1-'Exercise list'!V$2,IF($A303=$A302,BB302,1))-AG303&lt;0),-1,MIN(1,IF($A303=$A302,BB302,1)-AG303+$D$2))</f>
        <v>1</v>
      </c>
      <c r="BC303" s="19">
        <f>IF(OR($J303=1,COUNTIFS($A$5:$A302,"&gt;="&amp;$A303-1,$A$5:$A302,"&lt;="&amp;$A303,$B$5:$B302,$B303)&gt;0,MIN(1-'Exercise list'!W$2,IF($A303=$A302,BC302,1))-AH303&lt;0),-1,MIN(1,IF($A303=$A302,BC302,1)-AH303+$D$2))</f>
        <v>1</v>
      </c>
      <c r="BD303" s="19">
        <f>IF(OR($J303=1,COUNTIFS($A$5:$A302,"&gt;="&amp;$A303-1,$A$5:$A302,"&lt;="&amp;$A303,$B$5:$B302,$B303)&gt;0,MIN(1-'Exercise list'!X$2,IF($A303=$A302,BD302,1))-AI303&lt;0),-1,MIN(1,IF($A303=$A302,BD302,1)-AI303+$D$2))</f>
        <v>1</v>
      </c>
      <c r="BE303" s="19"/>
      <c r="BF303" s="23">
        <f t="shared" si="233"/>
        <v>0.19596031081758858</v>
      </c>
      <c r="BG303" s="23">
        <f t="shared" si="234"/>
        <v>0.21844636935459236</v>
      </c>
      <c r="BH303" s="23">
        <f t="shared" si="235"/>
        <v>0.14609696635987124</v>
      </c>
      <c r="BI303" s="23">
        <f t="shared" si="236"/>
        <v>0.13198015366034541</v>
      </c>
      <c r="BJ303" s="23">
        <f t="shared" si="237"/>
        <v>8.3367914198418713E-2</v>
      </c>
      <c r="BK303" s="23">
        <f t="shared" si="238"/>
        <v>0.10640640223148412</v>
      </c>
      <c r="BL303" s="23">
        <f t="shared" si="239"/>
        <v>0.21963504743569431</v>
      </c>
      <c r="BM303" s="23">
        <f t="shared" si="240"/>
        <v>3.8988008374820568E-3</v>
      </c>
      <c r="BN303" s="23">
        <f t="shared" si="241"/>
        <v>0.14537706087090876</v>
      </c>
      <c r="BO303" s="23">
        <f t="shared" si="242"/>
        <v>0.29209790661993401</v>
      </c>
      <c r="BP303" s="23">
        <f t="shared" si="243"/>
        <v>0.31584545163401867</v>
      </c>
      <c r="BQ303" s="23">
        <f t="shared" si="244"/>
        <v>0.1000007994126096</v>
      </c>
      <c r="BR303" s="23">
        <f t="shared" si="245"/>
        <v>0.13164487759885393</v>
      </c>
      <c r="BS303" s="23">
        <f t="shared" si="246"/>
        <v>2.9803550189863123E-2</v>
      </c>
      <c r="BT303" s="23">
        <f t="shared" si="247"/>
        <v>0.13492040904978705</v>
      </c>
      <c r="BU303" s="23">
        <f t="shared" si="248"/>
        <v>0.11703687414398131</v>
      </c>
      <c r="BV303" s="23">
        <f t="shared" si="249"/>
        <v>0.14633353213781661</v>
      </c>
      <c r="BW303" s="23">
        <f t="shared" si="250"/>
        <v>7.5588015111767173E-2</v>
      </c>
      <c r="BX303" s="23">
        <f t="shared" si="251"/>
        <v>8.0345659937185704E-2</v>
      </c>
      <c r="BY303" s="23">
        <f t="shared" si="252"/>
        <v>5.9014643151272549E-2</v>
      </c>
      <c r="BZ303" s="19"/>
      <c r="CA303" s="23" t="str">
        <f t="shared" si="229"/>
        <v/>
      </c>
      <c r="CB303" s="23" t="str">
        <f t="shared" si="210"/>
        <v/>
      </c>
      <c r="CC303" s="23" t="str">
        <f t="shared" si="211"/>
        <v/>
      </c>
      <c r="CD303" s="23" t="str">
        <f t="shared" si="212"/>
        <v/>
      </c>
      <c r="CE303" s="23" t="str">
        <f t="shared" si="213"/>
        <v/>
      </c>
      <c r="CF303" s="23" t="str">
        <f t="shared" si="214"/>
        <v/>
      </c>
      <c r="CG303" s="23" t="str">
        <f t="shared" si="215"/>
        <v/>
      </c>
      <c r="CH303" s="23" t="str">
        <f t="shared" si="216"/>
        <v/>
      </c>
      <c r="CI303" s="23" t="str">
        <f t="shared" si="217"/>
        <v/>
      </c>
      <c r="CJ303" s="23" t="str">
        <f t="shared" si="218"/>
        <v/>
      </c>
      <c r="CK303" s="23" t="str">
        <f t="shared" si="219"/>
        <v/>
      </c>
      <c r="CL303" s="23" t="str">
        <f t="shared" si="220"/>
        <v/>
      </c>
      <c r="CM303" s="23" t="str">
        <f t="shared" si="221"/>
        <v/>
      </c>
      <c r="CN303" s="23" t="str">
        <f t="shared" si="222"/>
        <v/>
      </c>
      <c r="CO303" s="23" t="str">
        <f t="shared" si="223"/>
        <v/>
      </c>
      <c r="CP303" s="23" t="str">
        <f t="shared" si="224"/>
        <v/>
      </c>
      <c r="CQ303" s="23" t="str">
        <f t="shared" si="225"/>
        <v/>
      </c>
      <c r="CR303" s="23" t="str">
        <f t="shared" si="226"/>
        <v/>
      </c>
      <c r="CS303" s="23" t="str">
        <f t="shared" si="227"/>
        <v/>
      </c>
      <c r="CT303" s="23" t="str">
        <f t="shared" si="228"/>
        <v/>
      </c>
      <c r="CU303" s="19"/>
    </row>
    <row r="304" spans="1:99" x14ac:dyDescent="0.25">
      <c r="A304" s="13"/>
      <c r="B304" s="14"/>
      <c r="C304" s="15" t="str" cm="1">
        <f t="array" ref="C304">IF(B304="","",INDEX('Exercise list'!$C$5:$C$102,B304))</f>
        <v/>
      </c>
      <c r="D304" s="12" t="str">
        <f t="shared" si="230"/>
        <v/>
      </c>
      <c r="E304" s="107" t="str">
        <f t="shared" si="253"/>
        <v/>
      </c>
      <c r="F304" s="63" t="str" cm="1">
        <f t="array" ref="F304">IF(B304="","",0.1+IFERROR(INDEX($F$6:$F303,SUMPRODUCT(MAX(ROW($C$6:$C303)*($C304=$C$6:$C303))-ROW($A$5)))*0.9^($A304-INDEX($A$6:A303,SUMPRODUCT(MAX(ROW($C$6:$C303)*($C304=$C$6:$C303))-ROW($A$5)))),0))</f>
        <v/>
      </c>
      <c r="G304" s="64" t="e">
        <f>INDEX('Exercise list'!$Y$5:$Y$102,MATCH(C304,'Exercise list'!$C$5:$C$102,0))</f>
        <v>#N/A</v>
      </c>
      <c r="H304" s="115">
        <f t="shared" si="231"/>
        <v>0</v>
      </c>
      <c r="I304" s="42">
        <f t="shared" si="232"/>
        <v>5</v>
      </c>
      <c r="J304" s="6" t="str" cm="1">
        <f t="array" ref="J304">IF(B304="","",INDEX('Exercise list'!$D$5:$D$102,B304))</f>
        <v/>
      </c>
      <c r="K304" s="12"/>
      <c r="L304" s="74" t="str" cm="1">
        <f t="array" ref="L304">IF(K304="","",INDEX('Exercise list'!$C$5:$C$102,K304))</f>
        <v/>
      </c>
      <c r="M304" s="6"/>
      <c r="N304" s="75" t="str" cm="1">
        <f t="array" ref="N304">IF(M304="","",INDEX('Exercise list'!$C$5:$C$102,M304))</f>
        <v/>
      </c>
      <c r="P304">
        <f>IFERROR(INDEX('Exercise list'!$E$5:$X$102,MATCH($C304,'Exercise list'!$C$5:$C$102,0),MATCH(P$5,'Exercise list'!$E$4:$X$4,0)),0)</f>
        <v>0</v>
      </c>
      <c r="Q304">
        <f>IFERROR(INDEX('Exercise list'!$E$5:$X$102,MATCH($C304,'Exercise list'!$C$5:$C$102,0),MATCH(Q$5,'Exercise list'!$E$4:$X$4,0)),0)</f>
        <v>0</v>
      </c>
      <c r="R304">
        <f>IFERROR(INDEX('Exercise list'!$E$5:$X$102,MATCH($C304,'Exercise list'!$C$5:$C$102,0),MATCH(R$5,'Exercise list'!$E$4:$X$4,0)),0)</f>
        <v>0</v>
      </c>
      <c r="S304">
        <f>IFERROR(INDEX('Exercise list'!$E$5:$X$102,MATCH($C304,'Exercise list'!$C$5:$C$102,0),MATCH(S$5,'Exercise list'!$E$4:$X$4,0)),0)</f>
        <v>0</v>
      </c>
      <c r="T304">
        <f>IFERROR(INDEX('Exercise list'!$E$5:$X$102,MATCH($C304,'Exercise list'!$C$5:$C$102,0),MATCH(T$5,'Exercise list'!$E$4:$X$4,0)),0)</f>
        <v>0</v>
      </c>
      <c r="U304">
        <f>IFERROR(INDEX('Exercise list'!$E$5:$X$102,MATCH($C304,'Exercise list'!$C$5:$C$102,0),MATCH(U$5,'Exercise list'!$E$4:$X$4,0)),0)</f>
        <v>0</v>
      </c>
      <c r="V304">
        <f>IFERROR(INDEX('Exercise list'!$E$5:$X$102,MATCH($C304,'Exercise list'!$C$5:$C$102,0),MATCH(V$5,'Exercise list'!$E$4:$X$4,0)),0)</f>
        <v>0</v>
      </c>
      <c r="W304">
        <f>IFERROR(INDEX('Exercise list'!$E$5:$X$102,MATCH($C304,'Exercise list'!$C$5:$C$102,0),MATCH(W$5,'Exercise list'!$E$4:$X$4,0)),0)</f>
        <v>0</v>
      </c>
      <c r="X304">
        <f>IFERROR(INDEX('Exercise list'!$E$5:$X$102,MATCH($C304,'Exercise list'!$C$5:$C$102,0),MATCH(X$5,'Exercise list'!$E$4:$X$4,0)),0)</f>
        <v>0</v>
      </c>
      <c r="Y304">
        <f>IFERROR(INDEX('Exercise list'!$E$5:$X$102,MATCH($C304,'Exercise list'!$C$5:$C$102,0),MATCH(Y$5,'Exercise list'!$E$4:$X$4,0)),0)</f>
        <v>0</v>
      </c>
      <c r="Z304">
        <f>IFERROR(INDEX('Exercise list'!$E$5:$X$102,MATCH($C304,'Exercise list'!$C$5:$C$102,0),MATCH(Z$5,'Exercise list'!$E$4:$X$4,0)),0)</f>
        <v>0</v>
      </c>
      <c r="AA304">
        <f>IFERROR(INDEX('Exercise list'!$E$5:$X$102,MATCH($C304,'Exercise list'!$C$5:$C$102,0),MATCH(AA$5,'Exercise list'!$E$4:$X$4,0)),0)</f>
        <v>0</v>
      </c>
      <c r="AB304">
        <f>IFERROR(INDEX('Exercise list'!$E$5:$X$102,MATCH($C304,'Exercise list'!$C$5:$C$102,0),MATCH(AB$5,'Exercise list'!$E$4:$X$4,0)),0)</f>
        <v>0</v>
      </c>
      <c r="AC304">
        <f>IFERROR(INDEX('Exercise list'!$E$5:$X$102,MATCH($C304,'Exercise list'!$C$5:$C$102,0),MATCH(AC$5,'Exercise list'!$E$4:$X$4,0)),0)</f>
        <v>0</v>
      </c>
      <c r="AD304">
        <f>IFERROR(INDEX('Exercise list'!$E$5:$X$102,MATCH($C304,'Exercise list'!$C$5:$C$102,0),MATCH(AD$5,'Exercise list'!$E$4:$X$4,0)),0)</f>
        <v>0</v>
      </c>
      <c r="AE304">
        <f>IFERROR(INDEX('Exercise list'!$E$5:$X$102,MATCH($C304,'Exercise list'!$C$5:$C$102,0),MATCH(AE$5,'Exercise list'!$E$4:$X$4,0)),0)</f>
        <v>0</v>
      </c>
      <c r="AF304">
        <f>IFERROR(INDEX('Exercise list'!$E$5:$X$102,MATCH($C304,'Exercise list'!$C$5:$C$102,0),MATCH(AF$5,'Exercise list'!$E$4:$X$4,0)),0)</f>
        <v>0</v>
      </c>
      <c r="AG304">
        <f>IFERROR(INDEX('Exercise list'!$E$5:$X$102,MATCH($C304,'Exercise list'!$C$5:$C$102,0),MATCH(AG$5,'Exercise list'!$E$4:$X$4,0)),0)</f>
        <v>0</v>
      </c>
      <c r="AH304">
        <f>IFERROR(INDEX('Exercise list'!$E$5:$X$102,MATCH($C304,'Exercise list'!$C$5:$C$102,0),MATCH(AH$5,'Exercise list'!$E$4:$X$4,0)),0)</f>
        <v>0</v>
      </c>
      <c r="AI304">
        <f>IFERROR(INDEX('Exercise list'!$E$5:$X$102,MATCH($C304,'Exercise list'!$C$5:$C$102,0),MATCH(AI$5,'Exercise list'!$E$4:$X$4,0)),0)</f>
        <v>0</v>
      </c>
      <c r="AK304">
        <f>IF(OR($J304=1,COUNTIFS($A$5:$A303,"&gt;="&amp;$A304-1,$A$5:$A303,"&lt;="&amp;$A304,$B$5:$B303,$B304)&gt;0,MIN(1-'Exercise list'!E$2,IF($A304=$A303,AK303,1))-P304&lt;0),-1,MIN(1,IF($A304=$A303,AK303,1)-P304+$D$2))</f>
        <v>1</v>
      </c>
      <c r="AL304">
        <f>IF(OR($J304=1,COUNTIFS($A$5:$A303,"&gt;="&amp;$A304-1,$A$5:$A303,"&lt;="&amp;$A304,$B$5:$B303,$B304)&gt;0,MIN(1-'Exercise list'!F$2,IF($A304=$A303,AL303,1))-Q304&lt;0),-1,MIN(1,IF($A304=$A303,AL303,1)-Q304+$D$2))</f>
        <v>1</v>
      </c>
      <c r="AM304">
        <f>IF(OR($J304=1,COUNTIFS($A$5:$A303,"&gt;="&amp;$A304-1,$A$5:$A303,"&lt;="&amp;$A304,$B$5:$B303,$B304)&gt;0,MIN(1-'Exercise list'!G$2,IF($A304=$A303,AM303,1))-R304&lt;0),-1,MIN(1,IF($A304=$A303,AM303,1)-R304+$D$2))</f>
        <v>1</v>
      </c>
      <c r="AN304">
        <f>IF(OR($J304=1,COUNTIFS($A$5:$A303,"&gt;="&amp;$A304-1,$A$5:$A303,"&lt;="&amp;$A304,$B$5:$B303,$B304)&gt;0,MIN(1-'Exercise list'!H$2,IF($A304=$A303,AN303,1))-S304&lt;0),-1,MIN(1,IF($A304=$A303,AN303,1)-S304+$D$2))</f>
        <v>1</v>
      </c>
      <c r="AO304">
        <f>IF(OR($J304=1,COUNTIFS($A$5:$A303,"&gt;="&amp;$A304-1,$A$5:$A303,"&lt;="&amp;$A304,$B$5:$B303,$B304)&gt;0,MIN(1-'Exercise list'!I$2,IF($A304=$A303,AO303,1))-T304&lt;0),-1,MIN(1,IF($A304=$A303,AO303,1)-T304+$D$2))</f>
        <v>1</v>
      </c>
      <c r="AP304">
        <f>IF(OR($J304=1,COUNTIFS($A$5:$A303,"&gt;="&amp;$A304-1,$A$5:$A303,"&lt;="&amp;$A304,$B$5:$B303,$B304)&gt;0,MIN(1-'Exercise list'!J$2,IF($A304=$A303,AP303,1))-U304&lt;0),-1,MIN(1,IF($A304=$A303,AP303,1)-U304+$D$2))</f>
        <v>1</v>
      </c>
      <c r="AQ304">
        <f>IF(OR($J304=1,COUNTIFS($A$5:$A303,"&gt;="&amp;$A304-1,$A$5:$A303,"&lt;="&amp;$A304,$B$5:$B303,$B304)&gt;0,MIN(1-'Exercise list'!K$2,IF($A304=$A303,AQ303,1))-V304&lt;0),-1,MIN(1,IF($A304=$A303,AQ303,1)-V304+$D$2))</f>
        <v>1</v>
      </c>
      <c r="AR304">
        <f>IF(OR($J304=1,COUNTIFS($A$5:$A303,"&gt;="&amp;$A304-1,$A$5:$A303,"&lt;="&amp;$A304,$B$5:$B303,$B304)&gt;0,MIN(1-'Exercise list'!L$2,IF($A304=$A303,AR303,1))-W304&lt;0),-1,MIN(1,IF($A304=$A303,AR303,1)-W304+$D$2))</f>
        <v>1</v>
      </c>
      <c r="AS304">
        <f>IF(OR($J304=1,COUNTIFS($A$5:$A303,"&gt;="&amp;$A304-1,$A$5:$A303,"&lt;="&amp;$A304,$B$5:$B303,$B304)&gt;0,MIN(1-'Exercise list'!M$2,IF($A304=$A303,AS303,1))-X304&lt;0),-1,MIN(1,IF($A304=$A303,AS303,1)-X304+$D$2))</f>
        <v>1</v>
      </c>
      <c r="AT304">
        <f>IF(OR($J304=1,COUNTIFS($A$5:$A303,"&gt;="&amp;$A304-1,$A$5:$A303,"&lt;="&amp;$A304,$B$5:$B303,$B304)&gt;0,MIN(1-'Exercise list'!N$2,IF($A304=$A303,AT303,1))-Y304&lt;0),-1,MIN(1,IF($A304=$A303,AT303,1)-Y304+$D$2))</f>
        <v>1</v>
      </c>
      <c r="AU304">
        <f>IF(OR($J304=1,COUNTIFS($A$5:$A303,"&gt;="&amp;$A304-1,$A$5:$A303,"&lt;="&amp;$A304,$B$5:$B303,$B304)&gt;0,MIN(1-'Exercise list'!O$2,IF($A304=$A303,AU303,1))-Z304&lt;0),-1,MIN(1,IF($A304=$A303,AU303,1)-Z304+$D$2))</f>
        <v>1</v>
      </c>
      <c r="AV304">
        <f>IF(OR($J304=1,COUNTIFS($A$5:$A303,"&gt;="&amp;$A304-1,$A$5:$A303,"&lt;="&amp;$A304,$B$5:$B303,$B304)&gt;0,MIN(1-'Exercise list'!P$2,IF($A304=$A303,AV303,1))-AA304&lt;0),-1,MIN(1,IF($A304=$A303,AV303,1)-AA304+$D$2))</f>
        <v>1</v>
      </c>
      <c r="AW304">
        <f>IF(OR($J304=1,COUNTIFS($A$5:$A303,"&gt;="&amp;$A304-1,$A$5:$A303,"&lt;="&amp;$A304,$B$5:$B303,$B304)&gt;0,MIN(1-'Exercise list'!Q$2,IF($A304=$A303,AW303,1))-AB304&lt;0),-1,MIN(1,IF($A304=$A303,AW303,1)-AB304+$D$2))</f>
        <v>1</v>
      </c>
      <c r="AX304">
        <f>IF(OR($J304=1,COUNTIFS($A$5:$A303,"&gt;="&amp;$A304-1,$A$5:$A303,"&lt;="&amp;$A304,$B$5:$B303,$B304)&gt;0,MIN(1-'Exercise list'!R$2,IF($A304=$A303,AX303,1))-AC304&lt;0),-1,MIN(1,IF($A304=$A303,AX303,1)-AC304+$D$2))</f>
        <v>1</v>
      </c>
      <c r="AY304">
        <f>IF(OR($J304=1,COUNTIFS($A$5:$A303,"&gt;="&amp;$A304-1,$A$5:$A303,"&lt;="&amp;$A304,$B$5:$B303,$B304)&gt;0,MIN(1-'Exercise list'!S$2,IF($A304=$A303,AY303,1))-AD304&lt;0),-1,MIN(1,IF($A304=$A303,AY303,1)-AD304+$D$2))</f>
        <v>1</v>
      </c>
      <c r="AZ304">
        <f>IF(OR($J304=1,COUNTIFS($A$5:$A303,"&gt;="&amp;$A304-1,$A$5:$A303,"&lt;="&amp;$A304,$B$5:$B303,$B304)&gt;0,MIN(1-'Exercise list'!T$2,IF($A304=$A303,AZ303,1))-AE304&lt;0),-1,MIN(1,IF($A304=$A303,AZ303,1)-AE304+$D$2))</f>
        <v>1</v>
      </c>
      <c r="BA304">
        <f>IF(OR($J304=1,COUNTIFS($A$5:$A303,"&gt;="&amp;$A304-1,$A$5:$A303,"&lt;="&amp;$A304,$B$5:$B303,$B304)&gt;0,MIN(1-'Exercise list'!U$2,IF($A304=$A303,BA303,1))-AF304&lt;0),-1,MIN(1,IF($A304=$A303,BA303,1)-AF304+$D$2))</f>
        <v>1</v>
      </c>
      <c r="BB304">
        <f>IF(OR($J304=1,COUNTIFS($A$5:$A303,"&gt;="&amp;$A304-1,$A$5:$A303,"&lt;="&amp;$A304,$B$5:$B303,$B304)&gt;0,MIN(1-'Exercise list'!V$2,IF($A304=$A303,BB303,1))-AG304&lt;0),-1,MIN(1,IF($A304=$A303,BB303,1)-AG304+$D$2))</f>
        <v>1</v>
      </c>
      <c r="BC304">
        <f>IF(OR($J304=1,COUNTIFS($A$5:$A303,"&gt;="&amp;$A304-1,$A$5:$A303,"&lt;="&amp;$A304,$B$5:$B303,$B304)&gt;0,MIN(1-'Exercise list'!W$2,IF($A304=$A303,BC303,1))-AH304&lt;0),-1,MIN(1,IF($A304=$A303,BC303,1)-AH304+$D$2))</f>
        <v>1</v>
      </c>
      <c r="BD304">
        <f>IF(OR($J304=1,COUNTIFS($A$5:$A303,"&gt;="&amp;$A304-1,$A$5:$A303,"&lt;="&amp;$A304,$B$5:$B303,$B304)&gt;0,MIN(1-'Exercise list'!X$2,IF($A304=$A303,BD303,1))-AI304&lt;0),-1,MIN(1,IF($A304=$A303,BD303,1)-AI304+$D$2))</f>
        <v>1</v>
      </c>
      <c r="BF304" s="16">
        <f t="shared" si="233"/>
        <v>0.19596031081758858</v>
      </c>
      <c r="BG304" s="16">
        <f t="shared" si="234"/>
        <v>0.21844636935459236</v>
      </c>
      <c r="BH304" s="16">
        <f t="shared" si="235"/>
        <v>0.14609696635987124</v>
      </c>
      <c r="BI304" s="16">
        <f t="shared" si="236"/>
        <v>0.13198015366034541</v>
      </c>
      <c r="BJ304" s="16">
        <f t="shared" si="237"/>
        <v>8.3367914198418713E-2</v>
      </c>
      <c r="BK304" s="16">
        <f t="shared" si="238"/>
        <v>0.10640640223148412</v>
      </c>
      <c r="BL304" s="16">
        <f t="shared" si="239"/>
        <v>0.21963504743569431</v>
      </c>
      <c r="BM304" s="16">
        <f t="shared" si="240"/>
        <v>3.8988008374820568E-3</v>
      </c>
      <c r="BN304" s="16">
        <f t="shared" si="241"/>
        <v>0.14537706087090876</v>
      </c>
      <c r="BO304" s="16">
        <f t="shared" si="242"/>
        <v>0.29209790661993401</v>
      </c>
      <c r="BP304" s="16">
        <f t="shared" si="243"/>
        <v>0.31584545163401867</v>
      </c>
      <c r="BQ304" s="16">
        <f t="shared" si="244"/>
        <v>0.1000007994126096</v>
      </c>
      <c r="BR304" s="16">
        <f t="shared" si="245"/>
        <v>0.13164487759885393</v>
      </c>
      <c r="BS304" s="16">
        <f t="shared" si="246"/>
        <v>2.9803550189863123E-2</v>
      </c>
      <c r="BT304" s="16">
        <f t="shared" si="247"/>
        <v>0.13492040904978705</v>
      </c>
      <c r="BU304" s="16">
        <f t="shared" si="248"/>
        <v>0.11703687414398131</v>
      </c>
      <c r="BV304" s="16">
        <f t="shared" si="249"/>
        <v>0.14633353213781661</v>
      </c>
      <c r="BW304" s="16">
        <f t="shared" si="250"/>
        <v>7.5588015111767173E-2</v>
      </c>
      <c r="BX304" s="16">
        <f t="shared" si="251"/>
        <v>8.0345659937185704E-2</v>
      </c>
      <c r="BY304" s="16">
        <f t="shared" si="252"/>
        <v>5.9014643151272549E-2</v>
      </c>
      <c r="CA304" s="16" t="str">
        <f t="shared" si="229"/>
        <v/>
      </c>
      <c r="CB304" s="16" t="str">
        <f t="shared" si="210"/>
        <v/>
      </c>
      <c r="CC304" s="16" t="str">
        <f t="shared" si="211"/>
        <v/>
      </c>
      <c r="CD304" s="16" t="str">
        <f t="shared" si="212"/>
        <v/>
      </c>
      <c r="CE304" s="16" t="str">
        <f t="shared" si="213"/>
        <v/>
      </c>
      <c r="CF304" s="16" t="str">
        <f t="shared" si="214"/>
        <v/>
      </c>
      <c r="CG304" s="16" t="str">
        <f t="shared" si="215"/>
        <v/>
      </c>
      <c r="CH304" s="16" t="str">
        <f t="shared" si="216"/>
        <v/>
      </c>
      <c r="CI304" s="16" t="str">
        <f t="shared" si="217"/>
        <v/>
      </c>
      <c r="CJ304" s="16" t="str">
        <f t="shared" si="218"/>
        <v/>
      </c>
      <c r="CK304" s="16" t="str">
        <f t="shared" si="219"/>
        <v/>
      </c>
      <c r="CL304" s="16" t="str">
        <f t="shared" si="220"/>
        <v/>
      </c>
      <c r="CM304" s="16" t="str">
        <f t="shared" si="221"/>
        <v/>
      </c>
      <c r="CN304" s="16" t="str">
        <f t="shared" si="222"/>
        <v/>
      </c>
      <c r="CO304" s="16" t="str">
        <f t="shared" si="223"/>
        <v/>
      </c>
      <c r="CP304" s="16" t="str">
        <f t="shared" si="224"/>
        <v/>
      </c>
      <c r="CQ304" s="16" t="str">
        <f t="shared" si="225"/>
        <v/>
      </c>
      <c r="CR304" s="16" t="str">
        <f t="shared" si="226"/>
        <v/>
      </c>
      <c r="CS304" s="16" t="str">
        <f t="shared" si="227"/>
        <v/>
      </c>
      <c r="CT304" s="16" t="str">
        <f t="shared" si="228"/>
        <v/>
      </c>
    </row>
    <row r="305" spans="1:99" x14ac:dyDescent="0.25">
      <c r="A305" s="13"/>
      <c r="B305" s="14"/>
      <c r="C305" s="15" t="str" cm="1">
        <f t="array" ref="C305">IF(B305="","",INDEX('Exercise list'!$C$5:$C$102,B305))</f>
        <v/>
      </c>
      <c r="D305" s="12" t="str">
        <f t="shared" si="230"/>
        <v/>
      </c>
      <c r="E305" s="107" t="str">
        <f t="shared" si="253"/>
        <v/>
      </c>
      <c r="F305" s="63" t="str" cm="1">
        <f t="array" ref="F305">IF(B305="","",0.1+IFERROR(INDEX($F$6:$F304,SUMPRODUCT(MAX(ROW($C$6:$C304)*($C305=$C$6:$C304))-ROW($A$5)))*0.9^($A305-INDEX($A$6:A304,SUMPRODUCT(MAX(ROW($C$6:$C304)*($C305=$C$6:$C304))-ROW($A$5)))),0))</f>
        <v/>
      </c>
      <c r="G305" s="64" t="e">
        <f>INDEX('Exercise list'!$Y$5:$Y$102,MATCH(C305,'Exercise list'!$C$5:$C$102,0))</f>
        <v>#N/A</v>
      </c>
      <c r="H305" s="115">
        <f t="shared" si="231"/>
        <v>0</v>
      </c>
      <c r="I305" s="6">
        <f t="shared" si="232"/>
        <v>5</v>
      </c>
      <c r="J305" s="6" t="str" cm="1">
        <f t="array" ref="J305">IF(B305="","",INDEX('Exercise list'!$D$5:$D$102,B305))</f>
        <v/>
      </c>
      <c r="K305" s="12"/>
      <c r="L305" s="74" t="str" cm="1">
        <f t="array" ref="L305">IF(K305="","",INDEX('Exercise list'!$C$5:$C$102,K305))</f>
        <v/>
      </c>
      <c r="M305" s="6"/>
      <c r="N305" s="75" t="str" cm="1">
        <f t="array" ref="N305">IF(M305="","",INDEX('Exercise list'!$C$5:$C$102,M305))</f>
        <v/>
      </c>
      <c r="P305">
        <f>IFERROR(INDEX('Exercise list'!$E$5:$X$102,MATCH($C305,'Exercise list'!$C$5:$C$102,0),MATCH(P$5,'Exercise list'!$E$4:$X$4,0)),0)</f>
        <v>0</v>
      </c>
      <c r="Q305">
        <f>IFERROR(INDEX('Exercise list'!$E$5:$X$102,MATCH($C305,'Exercise list'!$C$5:$C$102,0),MATCH(Q$5,'Exercise list'!$E$4:$X$4,0)),0)</f>
        <v>0</v>
      </c>
      <c r="R305">
        <f>IFERROR(INDEX('Exercise list'!$E$5:$X$102,MATCH($C305,'Exercise list'!$C$5:$C$102,0),MATCH(R$5,'Exercise list'!$E$4:$X$4,0)),0)</f>
        <v>0</v>
      </c>
      <c r="S305">
        <f>IFERROR(INDEX('Exercise list'!$E$5:$X$102,MATCH($C305,'Exercise list'!$C$5:$C$102,0),MATCH(S$5,'Exercise list'!$E$4:$X$4,0)),0)</f>
        <v>0</v>
      </c>
      <c r="T305">
        <f>IFERROR(INDEX('Exercise list'!$E$5:$X$102,MATCH($C305,'Exercise list'!$C$5:$C$102,0),MATCH(T$5,'Exercise list'!$E$4:$X$4,0)),0)</f>
        <v>0</v>
      </c>
      <c r="U305">
        <f>IFERROR(INDEX('Exercise list'!$E$5:$X$102,MATCH($C305,'Exercise list'!$C$5:$C$102,0),MATCH(U$5,'Exercise list'!$E$4:$X$4,0)),0)</f>
        <v>0</v>
      </c>
      <c r="V305">
        <f>IFERROR(INDEX('Exercise list'!$E$5:$X$102,MATCH($C305,'Exercise list'!$C$5:$C$102,0),MATCH(V$5,'Exercise list'!$E$4:$X$4,0)),0)</f>
        <v>0</v>
      </c>
      <c r="W305">
        <f>IFERROR(INDEX('Exercise list'!$E$5:$X$102,MATCH($C305,'Exercise list'!$C$5:$C$102,0),MATCH(W$5,'Exercise list'!$E$4:$X$4,0)),0)</f>
        <v>0</v>
      </c>
      <c r="X305">
        <f>IFERROR(INDEX('Exercise list'!$E$5:$X$102,MATCH($C305,'Exercise list'!$C$5:$C$102,0),MATCH(X$5,'Exercise list'!$E$4:$X$4,0)),0)</f>
        <v>0</v>
      </c>
      <c r="Y305">
        <f>IFERROR(INDEX('Exercise list'!$E$5:$X$102,MATCH($C305,'Exercise list'!$C$5:$C$102,0),MATCH(Y$5,'Exercise list'!$E$4:$X$4,0)),0)</f>
        <v>0</v>
      </c>
      <c r="Z305">
        <f>IFERROR(INDEX('Exercise list'!$E$5:$X$102,MATCH($C305,'Exercise list'!$C$5:$C$102,0),MATCH(Z$5,'Exercise list'!$E$4:$X$4,0)),0)</f>
        <v>0</v>
      </c>
      <c r="AA305">
        <f>IFERROR(INDEX('Exercise list'!$E$5:$X$102,MATCH($C305,'Exercise list'!$C$5:$C$102,0),MATCH(AA$5,'Exercise list'!$E$4:$X$4,0)),0)</f>
        <v>0</v>
      </c>
      <c r="AB305">
        <f>IFERROR(INDEX('Exercise list'!$E$5:$X$102,MATCH($C305,'Exercise list'!$C$5:$C$102,0),MATCH(AB$5,'Exercise list'!$E$4:$X$4,0)),0)</f>
        <v>0</v>
      </c>
      <c r="AC305">
        <f>IFERROR(INDEX('Exercise list'!$E$5:$X$102,MATCH($C305,'Exercise list'!$C$5:$C$102,0),MATCH(AC$5,'Exercise list'!$E$4:$X$4,0)),0)</f>
        <v>0</v>
      </c>
      <c r="AD305">
        <f>IFERROR(INDEX('Exercise list'!$E$5:$X$102,MATCH($C305,'Exercise list'!$C$5:$C$102,0),MATCH(AD$5,'Exercise list'!$E$4:$X$4,0)),0)</f>
        <v>0</v>
      </c>
      <c r="AE305">
        <f>IFERROR(INDEX('Exercise list'!$E$5:$X$102,MATCH($C305,'Exercise list'!$C$5:$C$102,0),MATCH(AE$5,'Exercise list'!$E$4:$X$4,0)),0)</f>
        <v>0</v>
      </c>
      <c r="AF305">
        <f>IFERROR(INDEX('Exercise list'!$E$5:$X$102,MATCH($C305,'Exercise list'!$C$5:$C$102,0),MATCH(AF$5,'Exercise list'!$E$4:$X$4,0)),0)</f>
        <v>0</v>
      </c>
      <c r="AG305">
        <f>IFERROR(INDEX('Exercise list'!$E$5:$X$102,MATCH($C305,'Exercise list'!$C$5:$C$102,0),MATCH(AG$5,'Exercise list'!$E$4:$X$4,0)),0)</f>
        <v>0</v>
      </c>
      <c r="AH305">
        <f>IFERROR(INDEX('Exercise list'!$E$5:$X$102,MATCH($C305,'Exercise list'!$C$5:$C$102,0),MATCH(AH$5,'Exercise list'!$E$4:$X$4,0)),0)</f>
        <v>0</v>
      </c>
      <c r="AI305">
        <f>IFERROR(INDEX('Exercise list'!$E$5:$X$102,MATCH($C305,'Exercise list'!$C$5:$C$102,0),MATCH(AI$5,'Exercise list'!$E$4:$X$4,0)),0)</f>
        <v>0</v>
      </c>
      <c r="AK305">
        <f>IF(OR($J305=1,COUNTIFS($A$5:$A304,"&gt;="&amp;$A305-1,$A$5:$A304,"&lt;="&amp;$A305,$B$5:$B304,$B305)&gt;0,MIN(1-'Exercise list'!E$2,IF($A305=$A304,AK304,1))-P305&lt;0),-1,MIN(1,IF($A305=$A304,AK304,1)-P305+$D$2))</f>
        <v>1</v>
      </c>
      <c r="AL305">
        <f>IF(OR($J305=1,COUNTIFS($A$5:$A304,"&gt;="&amp;$A305-1,$A$5:$A304,"&lt;="&amp;$A305,$B$5:$B304,$B305)&gt;0,MIN(1-'Exercise list'!F$2,IF($A305=$A304,AL304,1))-Q305&lt;0),-1,MIN(1,IF($A305=$A304,AL304,1)-Q305+$D$2))</f>
        <v>1</v>
      </c>
      <c r="AM305">
        <f>IF(OR($J305=1,COUNTIFS($A$5:$A304,"&gt;="&amp;$A305-1,$A$5:$A304,"&lt;="&amp;$A305,$B$5:$B304,$B305)&gt;0,MIN(1-'Exercise list'!G$2,IF($A305=$A304,AM304,1))-R305&lt;0),-1,MIN(1,IF($A305=$A304,AM304,1)-R305+$D$2))</f>
        <v>1</v>
      </c>
      <c r="AN305">
        <f>IF(OR($J305=1,COUNTIFS($A$5:$A304,"&gt;="&amp;$A305-1,$A$5:$A304,"&lt;="&amp;$A305,$B$5:$B304,$B305)&gt;0,MIN(1-'Exercise list'!H$2,IF($A305=$A304,AN304,1))-S305&lt;0),-1,MIN(1,IF($A305=$A304,AN304,1)-S305+$D$2))</f>
        <v>1</v>
      </c>
      <c r="AO305">
        <f>IF(OR($J305=1,COUNTIFS($A$5:$A304,"&gt;="&amp;$A305-1,$A$5:$A304,"&lt;="&amp;$A305,$B$5:$B304,$B305)&gt;0,MIN(1-'Exercise list'!I$2,IF($A305=$A304,AO304,1))-T305&lt;0),-1,MIN(1,IF($A305=$A304,AO304,1)-T305+$D$2))</f>
        <v>1</v>
      </c>
      <c r="AP305">
        <f>IF(OR($J305=1,COUNTIFS($A$5:$A304,"&gt;="&amp;$A305-1,$A$5:$A304,"&lt;="&amp;$A305,$B$5:$B304,$B305)&gt;0,MIN(1-'Exercise list'!J$2,IF($A305=$A304,AP304,1))-U305&lt;0),-1,MIN(1,IF($A305=$A304,AP304,1)-U305+$D$2))</f>
        <v>1</v>
      </c>
      <c r="AQ305">
        <f>IF(OR($J305=1,COUNTIFS($A$5:$A304,"&gt;="&amp;$A305-1,$A$5:$A304,"&lt;="&amp;$A305,$B$5:$B304,$B305)&gt;0,MIN(1-'Exercise list'!K$2,IF($A305=$A304,AQ304,1))-V305&lt;0),-1,MIN(1,IF($A305=$A304,AQ304,1)-V305+$D$2))</f>
        <v>1</v>
      </c>
      <c r="AR305">
        <f>IF(OR($J305=1,COUNTIFS($A$5:$A304,"&gt;="&amp;$A305-1,$A$5:$A304,"&lt;="&amp;$A305,$B$5:$B304,$B305)&gt;0,MIN(1-'Exercise list'!L$2,IF($A305=$A304,AR304,1))-W305&lt;0),-1,MIN(1,IF($A305=$A304,AR304,1)-W305+$D$2))</f>
        <v>1</v>
      </c>
      <c r="AS305">
        <f>IF(OR($J305=1,COUNTIFS($A$5:$A304,"&gt;="&amp;$A305-1,$A$5:$A304,"&lt;="&amp;$A305,$B$5:$B304,$B305)&gt;0,MIN(1-'Exercise list'!M$2,IF($A305=$A304,AS304,1))-X305&lt;0),-1,MIN(1,IF($A305=$A304,AS304,1)-X305+$D$2))</f>
        <v>1</v>
      </c>
      <c r="AT305">
        <f>IF(OR($J305=1,COUNTIFS($A$5:$A304,"&gt;="&amp;$A305-1,$A$5:$A304,"&lt;="&amp;$A305,$B$5:$B304,$B305)&gt;0,MIN(1-'Exercise list'!N$2,IF($A305=$A304,AT304,1))-Y305&lt;0),-1,MIN(1,IF($A305=$A304,AT304,1)-Y305+$D$2))</f>
        <v>1</v>
      </c>
      <c r="AU305">
        <f>IF(OR($J305=1,COUNTIFS($A$5:$A304,"&gt;="&amp;$A305-1,$A$5:$A304,"&lt;="&amp;$A305,$B$5:$B304,$B305)&gt;0,MIN(1-'Exercise list'!O$2,IF($A305=$A304,AU304,1))-Z305&lt;0),-1,MIN(1,IF($A305=$A304,AU304,1)-Z305+$D$2))</f>
        <v>1</v>
      </c>
      <c r="AV305">
        <f>IF(OR($J305=1,COUNTIFS($A$5:$A304,"&gt;="&amp;$A305-1,$A$5:$A304,"&lt;="&amp;$A305,$B$5:$B304,$B305)&gt;0,MIN(1-'Exercise list'!P$2,IF($A305=$A304,AV304,1))-AA305&lt;0),-1,MIN(1,IF($A305=$A304,AV304,1)-AA305+$D$2))</f>
        <v>1</v>
      </c>
      <c r="AW305">
        <f>IF(OR($J305=1,COUNTIFS($A$5:$A304,"&gt;="&amp;$A305-1,$A$5:$A304,"&lt;="&amp;$A305,$B$5:$B304,$B305)&gt;0,MIN(1-'Exercise list'!Q$2,IF($A305=$A304,AW304,1))-AB305&lt;0),-1,MIN(1,IF($A305=$A304,AW304,1)-AB305+$D$2))</f>
        <v>1</v>
      </c>
      <c r="AX305">
        <f>IF(OR($J305=1,COUNTIFS($A$5:$A304,"&gt;="&amp;$A305-1,$A$5:$A304,"&lt;="&amp;$A305,$B$5:$B304,$B305)&gt;0,MIN(1-'Exercise list'!R$2,IF($A305=$A304,AX304,1))-AC305&lt;0),-1,MIN(1,IF($A305=$A304,AX304,1)-AC305+$D$2))</f>
        <v>1</v>
      </c>
      <c r="AY305">
        <f>IF(OR($J305=1,COUNTIFS($A$5:$A304,"&gt;="&amp;$A305-1,$A$5:$A304,"&lt;="&amp;$A305,$B$5:$B304,$B305)&gt;0,MIN(1-'Exercise list'!S$2,IF($A305=$A304,AY304,1))-AD305&lt;0),-1,MIN(1,IF($A305=$A304,AY304,1)-AD305+$D$2))</f>
        <v>1</v>
      </c>
      <c r="AZ305">
        <f>IF(OR($J305=1,COUNTIFS($A$5:$A304,"&gt;="&amp;$A305-1,$A$5:$A304,"&lt;="&amp;$A305,$B$5:$B304,$B305)&gt;0,MIN(1-'Exercise list'!T$2,IF($A305=$A304,AZ304,1))-AE305&lt;0),-1,MIN(1,IF($A305=$A304,AZ304,1)-AE305+$D$2))</f>
        <v>1</v>
      </c>
      <c r="BA305">
        <f>IF(OR($J305=1,COUNTIFS($A$5:$A304,"&gt;="&amp;$A305-1,$A$5:$A304,"&lt;="&amp;$A305,$B$5:$B304,$B305)&gt;0,MIN(1-'Exercise list'!U$2,IF($A305=$A304,BA304,1))-AF305&lt;0),-1,MIN(1,IF($A305=$A304,BA304,1)-AF305+$D$2))</f>
        <v>1</v>
      </c>
      <c r="BB305">
        <f>IF(OR($J305=1,COUNTIFS($A$5:$A304,"&gt;="&amp;$A305-1,$A$5:$A304,"&lt;="&amp;$A305,$B$5:$B304,$B305)&gt;0,MIN(1-'Exercise list'!V$2,IF($A305=$A304,BB304,1))-AG305&lt;0),-1,MIN(1,IF($A305=$A304,BB304,1)-AG305+$D$2))</f>
        <v>1</v>
      </c>
      <c r="BC305">
        <f>IF(OR($J305=1,COUNTIFS($A$5:$A304,"&gt;="&amp;$A305-1,$A$5:$A304,"&lt;="&amp;$A305,$B$5:$B304,$B305)&gt;0,MIN(1-'Exercise list'!W$2,IF($A305=$A304,BC304,1))-AH305&lt;0),-1,MIN(1,IF($A305=$A304,BC304,1)-AH305+$D$2))</f>
        <v>1</v>
      </c>
      <c r="BD305">
        <f>IF(OR($J305=1,COUNTIFS($A$5:$A304,"&gt;="&amp;$A305-1,$A$5:$A304,"&lt;="&amp;$A305,$B$5:$B304,$B305)&gt;0,MIN(1-'Exercise list'!X$2,IF($A305=$A304,BD304,1))-AI305&lt;0),-1,MIN(1,IF($A305=$A304,BD304,1)-AI305+$D$2))</f>
        <v>1</v>
      </c>
      <c r="BF305" s="16">
        <f t="shared" si="233"/>
        <v>0.19596031081758858</v>
      </c>
      <c r="BG305" s="16">
        <f t="shared" si="234"/>
        <v>0.21844636935459236</v>
      </c>
      <c r="BH305" s="16">
        <f t="shared" si="235"/>
        <v>0.14609696635987124</v>
      </c>
      <c r="BI305" s="16">
        <f t="shared" si="236"/>
        <v>0.13198015366034541</v>
      </c>
      <c r="BJ305" s="16">
        <f t="shared" si="237"/>
        <v>8.3367914198418713E-2</v>
      </c>
      <c r="BK305" s="16">
        <f t="shared" si="238"/>
        <v>0.10640640223148412</v>
      </c>
      <c r="BL305" s="16">
        <f t="shared" si="239"/>
        <v>0.21963504743569431</v>
      </c>
      <c r="BM305" s="16">
        <f t="shared" si="240"/>
        <v>3.8988008374820568E-3</v>
      </c>
      <c r="BN305" s="16">
        <f t="shared" si="241"/>
        <v>0.14537706087090876</v>
      </c>
      <c r="BO305" s="16">
        <f t="shared" si="242"/>
        <v>0.29209790661993401</v>
      </c>
      <c r="BP305" s="16">
        <f t="shared" si="243"/>
        <v>0.31584545163401867</v>
      </c>
      <c r="BQ305" s="16">
        <f t="shared" si="244"/>
        <v>0.1000007994126096</v>
      </c>
      <c r="BR305" s="16">
        <f t="shared" si="245"/>
        <v>0.13164487759885393</v>
      </c>
      <c r="BS305" s="16">
        <f t="shared" si="246"/>
        <v>2.9803550189863123E-2</v>
      </c>
      <c r="BT305" s="16">
        <f t="shared" si="247"/>
        <v>0.13492040904978705</v>
      </c>
      <c r="BU305" s="16">
        <f t="shared" si="248"/>
        <v>0.11703687414398131</v>
      </c>
      <c r="BV305" s="16">
        <f t="shared" si="249"/>
        <v>0.14633353213781661</v>
      </c>
      <c r="BW305" s="16">
        <f t="shared" si="250"/>
        <v>7.5588015111767173E-2</v>
      </c>
      <c r="BX305" s="16">
        <f t="shared" si="251"/>
        <v>8.0345659937185704E-2</v>
      </c>
      <c r="BY305" s="16">
        <f t="shared" si="252"/>
        <v>5.9014643151272549E-2</v>
      </c>
      <c r="CA305" s="16" t="str">
        <f t="shared" si="229"/>
        <v/>
      </c>
      <c r="CB305" s="16" t="str">
        <f t="shared" si="210"/>
        <v/>
      </c>
      <c r="CC305" s="16" t="str">
        <f t="shared" si="211"/>
        <v/>
      </c>
      <c r="CD305" s="16" t="str">
        <f t="shared" si="212"/>
        <v/>
      </c>
      <c r="CE305" s="16" t="str">
        <f t="shared" si="213"/>
        <v/>
      </c>
      <c r="CF305" s="16" t="str">
        <f t="shared" si="214"/>
        <v/>
      </c>
      <c r="CG305" s="16" t="str">
        <f t="shared" si="215"/>
        <v/>
      </c>
      <c r="CH305" s="16" t="str">
        <f t="shared" si="216"/>
        <v/>
      </c>
      <c r="CI305" s="16" t="str">
        <f t="shared" si="217"/>
        <v/>
      </c>
      <c r="CJ305" s="16" t="str">
        <f t="shared" si="218"/>
        <v/>
      </c>
      <c r="CK305" s="16" t="str">
        <f t="shared" si="219"/>
        <v/>
      </c>
      <c r="CL305" s="16" t="str">
        <f t="shared" si="220"/>
        <v/>
      </c>
      <c r="CM305" s="16" t="str">
        <f t="shared" si="221"/>
        <v/>
      </c>
      <c r="CN305" s="16" t="str">
        <f t="shared" si="222"/>
        <v/>
      </c>
      <c r="CO305" s="16" t="str">
        <f t="shared" si="223"/>
        <v/>
      </c>
      <c r="CP305" s="16" t="str">
        <f t="shared" si="224"/>
        <v/>
      </c>
      <c r="CQ305" s="16" t="str">
        <f t="shared" si="225"/>
        <v/>
      </c>
      <c r="CR305" s="16" t="str">
        <f t="shared" si="226"/>
        <v/>
      </c>
      <c r="CS305" s="16" t="str">
        <f t="shared" si="227"/>
        <v/>
      </c>
      <c r="CT305" s="16" t="str">
        <f t="shared" si="228"/>
        <v/>
      </c>
    </row>
    <row r="306" spans="1:99" x14ac:dyDescent="0.25">
      <c r="A306" s="13"/>
      <c r="B306" s="14"/>
      <c r="C306" s="15" t="str" cm="1">
        <f t="array" ref="C306">IF(B306="","",INDEX('Exercise list'!$C$5:$C$102,B306))</f>
        <v/>
      </c>
      <c r="D306" s="12" t="str">
        <f t="shared" si="230"/>
        <v/>
      </c>
      <c r="E306" s="107" t="str">
        <f t="shared" si="253"/>
        <v/>
      </c>
      <c r="F306" s="63" t="str" cm="1">
        <f t="array" ref="F306">IF(B306="","",0.1+IFERROR(INDEX($F$6:$F305,SUMPRODUCT(MAX(ROW($C$6:$C305)*($C306=$C$6:$C305))-ROW($A$5)))*0.9^($A306-INDEX($A$6:A305,SUMPRODUCT(MAX(ROW($C$6:$C305)*($C306=$C$6:$C305))-ROW($A$5)))),0))</f>
        <v/>
      </c>
      <c r="G306" s="64" t="e">
        <f>INDEX('Exercise list'!$Y$5:$Y$102,MATCH(C306,'Exercise list'!$C$5:$C$102,0))</f>
        <v>#N/A</v>
      </c>
      <c r="H306" s="115">
        <f t="shared" si="231"/>
        <v>0</v>
      </c>
      <c r="I306" s="6">
        <f t="shared" si="232"/>
        <v>5</v>
      </c>
      <c r="J306" s="6" t="str" cm="1">
        <f t="array" ref="J306">IF(B306="","",INDEX('Exercise list'!$D$5:$D$102,B306))</f>
        <v/>
      </c>
      <c r="K306" s="12"/>
      <c r="L306" s="74" t="str" cm="1">
        <f t="array" ref="L306">IF(K306="","",INDEX('Exercise list'!$C$5:$C$102,K306))</f>
        <v/>
      </c>
      <c r="M306" s="6"/>
      <c r="N306" s="75" t="str" cm="1">
        <f t="array" ref="N306">IF(M306="","",INDEX('Exercise list'!$C$5:$C$102,M306))</f>
        <v/>
      </c>
      <c r="P306">
        <f>IFERROR(INDEX('Exercise list'!$E$5:$X$102,MATCH($C306,'Exercise list'!$C$5:$C$102,0),MATCH(P$5,'Exercise list'!$E$4:$X$4,0)),0)</f>
        <v>0</v>
      </c>
      <c r="Q306">
        <f>IFERROR(INDEX('Exercise list'!$E$5:$X$102,MATCH($C306,'Exercise list'!$C$5:$C$102,0),MATCH(Q$5,'Exercise list'!$E$4:$X$4,0)),0)</f>
        <v>0</v>
      </c>
      <c r="R306">
        <f>IFERROR(INDEX('Exercise list'!$E$5:$X$102,MATCH($C306,'Exercise list'!$C$5:$C$102,0),MATCH(R$5,'Exercise list'!$E$4:$X$4,0)),0)</f>
        <v>0</v>
      </c>
      <c r="S306">
        <f>IFERROR(INDEX('Exercise list'!$E$5:$X$102,MATCH($C306,'Exercise list'!$C$5:$C$102,0),MATCH(S$5,'Exercise list'!$E$4:$X$4,0)),0)</f>
        <v>0</v>
      </c>
      <c r="T306">
        <f>IFERROR(INDEX('Exercise list'!$E$5:$X$102,MATCH($C306,'Exercise list'!$C$5:$C$102,0),MATCH(T$5,'Exercise list'!$E$4:$X$4,0)),0)</f>
        <v>0</v>
      </c>
      <c r="U306">
        <f>IFERROR(INDEX('Exercise list'!$E$5:$X$102,MATCH($C306,'Exercise list'!$C$5:$C$102,0),MATCH(U$5,'Exercise list'!$E$4:$X$4,0)),0)</f>
        <v>0</v>
      </c>
      <c r="V306">
        <f>IFERROR(INDEX('Exercise list'!$E$5:$X$102,MATCH($C306,'Exercise list'!$C$5:$C$102,0),MATCH(V$5,'Exercise list'!$E$4:$X$4,0)),0)</f>
        <v>0</v>
      </c>
      <c r="W306">
        <f>IFERROR(INDEX('Exercise list'!$E$5:$X$102,MATCH($C306,'Exercise list'!$C$5:$C$102,0),MATCH(W$5,'Exercise list'!$E$4:$X$4,0)),0)</f>
        <v>0</v>
      </c>
      <c r="X306">
        <f>IFERROR(INDEX('Exercise list'!$E$5:$X$102,MATCH($C306,'Exercise list'!$C$5:$C$102,0),MATCH(X$5,'Exercise list'!$E$4:$X$4,0)),0)</f>
        <v>0</v>
      </c>
      <c r="Y306">
        <f>IFERROR(INDEX('Exercise list'!$E$5:$X$102,MATCH($C306,'Exercise list'!$C$5:$C$102,0),MATCH(Y$5,'Exercise list'!$E$4:$X$4,0)),0)</f>
        <v>0</v>
      </c>
      <c r="Z306">
        <f>IFERROR(INDEX('Exercise list'!$E$5:$X$102,MATCH($C306,'Exercise list'!$C$5:$C$102,0),MATCH(Z$5,'Exercise list'!$E$4:$X$4,0)),0)</f>
        <v>0</v>
      </c>
      <c r="AA306">
        <f>IFERROR(INDEX('Exercise list'!$E$5:$X$102,MATCH($C306,'Exercise list'!$C$5:$C$102,0),MATCH(AA$5,'Exercise list'!$E$4:$X$4,0)),0)</f>
        <v>0</v>
      </c>
      <c r="AB306">
        <f>IFERROR(INDEX('Exercise list'!$E$5:$X$102,MATCH($C306,'Exercise list'!$C$5:$C$102,0),MATCH(AB$5,'Exercise list'!$E$4:$X$4,0)),0)</f>
        <v>0</v>
      </c>
      <c r="AC306">
        <f>IFERROR(INDEX('Exercise list'!$E$5:$X$102,MATCH($C306,'Exercise list'!$C$5:$C$102,0),MATCH(AC$5,'Exercise list'!$E$4:$X$4,0)),0)</f>
        <v>0</v>
      </c>
      <c r="AD306">
        <f>IFERROR(INDEX('Exercise list'!$E$5:$X$102,MATCH($C306,'Exercise list'!$C$5:$C$102,0),MATCH(AD$5,'Exercise list'!$E$4:$X$4,0)),0)</f>
        <v>0</v>
      </c>
      <c r="AE306">
        <f>IFERROR(INDEX('Exercise list'!$E$5:$X$102,MATCH($C306,'Exercise list'!$C$5:$C$102,0),MATCH(AE$5,'Exercise list'!$E$4:$X$4,0)),0)</f>
        <v>0</v>
      </c>
      <c r="AF306">
        <f>IFERROR(INDEX('Exercise list'!$E$5:$X$102,MATCH($C306,'Exercise list'!$C$5:$C$102,0),MATCH(AF$5,'Exercise list'!$E$4:$X$4,0)),0)</f>
        <v>0</v>
      </c>
      <c r="AG306">
        <f>IFERROR(INDEX('Exercise list'!$E$5:$X$102,MATCH($C306,'Exercise list'!$C$5:$C$102,0),MATCH(AG$5,'Exercise list'!$E$4:$X$4,0)),0)</f>
        <v>0</v>
      </c>
      <c r="AH306">
        <f>IFERROR(INDEX('Exercise list'!$E$5:$X$102,MATCH($C306,'Exercise list'!$C$5:$C$102,0),MATCH(AH$5,'Exercise list'!$E$4:$X$4,0)),0)</f>
        <v>0</v>
      </c>
      <c r="AI306">
        <f>IFERROR(INDEX('Exercise list'!$E$5:$X$102,MATCH($C306,'Exercise list'!$C$5:$C$102,0),MATCH(AI$5,'Exercise list'!$E$4:$X$4,0)),0)</f>
        <v>0</v>
      </c>
      <c r="AK306">
        <f>IF(OR($J306=1,COUNTIFS($A$5:$A305,"&gt;="&amp;$A306-1,$A$5:$A305,"&lt;="&amp;$A306,$B$5:$B305,$B306)&gt;0,MIN(1-'Exercise list'!E$2,IF($A306=$A305,AK305,1))-P306&lt;0),-1,MIN(1,IF($A306=$A305,AK305,1)-P306+$D$2))</f>
        <v>1</v>
      </c>
      <c r="AL306">
        <f>IF(OR($J306=1,COUNTIFS($A$5:$A305,"&gt;="&amp;$A306-1,$A$5:$A305,"&lt;="&amp;$A306,$B$5:$B305,$B306)&gt;0,MIN(1-'Exercise list'!F$2,IF($A306=$A305,AL305,1))-Q306&lt;0),-1,MIN(1,IF($A306=$A305,AL305,1)-Q306+$D$2))</f>
        <v>1</v>
      </c>
      <c r="AM306">
        <f>IF(OR($J306=1,COUNTIFS($A$5:$A305,"&gt;="&amp;$A306-1,$A$5:$A305,"&lt;="&amp;$A306,$B$5:$B305,$B306)&gt;0,MIN(1-'Exercise list'!G$2,IF($A306=$A305,AM305,1))-R306&lt;0),-1,MIN(1,IF($A306=$A305,AM305,1)-R306+$D$2))</f>
        <v>1</v>
      </c>
      <c r="AN306">
        <f>IF(OR($J306=1,COUNTIFS($A$5:$A305,"&gt;="&amp;$A306-1,$A$5:$A305,"&lt;="&amp;$A306,$B$5:$B305,$B306)&gt;0,MIN(1-'Exercise list'!H$2,IF($A306=$A305,AN305,1))-S306&lt;0),-1,MIN(1,IF($A306=$A305,AN305,1)-S306+$D$2))</f>
        <v>1</v>
      </c>
      <c r="AO306">
        <f>IF(OR($J306=1,COUNTIFS($A$5:$A305,"&gt;="&amp;$A306-1,$A$5:$A305,"&lt;="&amp;$A306,$B$5:$B305,$B306)&gt;0,MIN(1-'Exercise list'!I$2,IF($A306=$A305,AO305,1))-T306&lt;0),-1,MIN(1,IF($A306=$A305,AO305,1)-T306+$D$2))</f>
        <v>1</v>
      </c>
      <c r="AP306">
        <f>IF(OR($J306=1,COUNTIFS($A$5:$A305,"&gt;="&amp;$A306-1,$A$5:$A305,"&lt;="&amp;$A306,$B$5:$B305,$B306)&gt;0,MIN(1-'Exercise list'!J$2,IF($A306=$A305,AP305,1))-U306&lt;0),-1,MIN(1,IF($A306=$A305,AP305,1)-U306+$D$2))</f>
        <v>1</v>
      </c>
      <c r="AQ306">
        <f>IF(OR($J306=1,COUNTIFS($A$5:$A305,"&gt;="&amp;$A306-1,$A$5:$A305,"&lt;="&amp;$A306,$B$5:$B305,$B306)&gt;0,MIN(1-'Exercise list'!K$2,IF($A306=$A305,AQ305,1))-V306&lt;0),-1,MIN(1,IF($A306=$A305,AQ305,1)-V306+$D$2))</f>
        <v>1</v>
      </c>
      <c r="AR306">
        <f>IF(OR($J306=1,COUNTIFS($A$5:$A305,"&gt;="&amp;$A306-1,$A$5:$A305,"&lt;="&amp;$A306,$B$5:$B305,$B306)&gt;0,MIN(1-'Exercise list'!L$2,IF($A306=$A305,AR305,1))-W306&lt;0),-1,MIN(1,IF($A306=$A305,AR305,1)-W306+$D$2))</f>
        <v>1</v>
      </c>
      <c r="AS306">
        <f>IF(OR($J306=1,COUNTIFS($A$5:$A305,"&gt;="&amp;$A306-1,$A$5:$A305,"&lt;="&amp;$A306,$B$5:$B305,$B306)&gt;0,MIN(1-'Exercise list'!M$2,IF($A306=$A305,AS305,1))-X306&lt;0),-1,MIN(1,IF($A306=$A305,AS305,1)-X306+$D$2))</f>
        <v>1</v>
      </c>
      <c r="AT306">
        <f>IF(OR($J306=1,COUNTIFS($A$5:$A305,"&gt;="&amp;$A306-1,$A$5:$A305,"&lt;="&amp;$A306,$B$5:$B305,$B306)&gt;0,MIN(1-'Exercise list'!N$2,IF($A306=$A305,AT305,1))-Y306&lt;0),-1,MIN(1,IF($A306=$A305,AT305,1)-Y306+$D$2))</f>
        <v>1</v>
      </c>
      <c r="AU306">
        <f>IF(OR($J306=1,COUNTIFS($A$5:$A305,"&gt;="&amp;$A306-1,$A$5:$A305,"&lt;="&amp;$A306,$B$5:$B305,$B306)&gt;0,MIN(1-'Exercise list'!O$2,IF($A306=$A305,AU305,1))-Z306&lt;0),-1,MIN(1,IF($A306=$A305,AU305,1)-Z306+$D$2))</f>
        <v>1</v>
      </c>
      <c r="AV306">
        <f>IF(OR($J306=1,COUNTIFS($A$5:$A305,"&gt;="&amp;$A306-1,$A$5:$A305,"&lt;="&amp;$A306,$B$5:$B305,$B306)&gt;0,MIN(1-'Exercise list'!P$2,IF($A306=$A305,AV305,1))-AA306&lt;0),-1,MIN(1,IF($A306=$A305,AV305,1)-AA306+$D$2))</f>
        <v>1</v>
      </c>
      <c r="AW306">
        <f>IF(OR($J306=1,COUNTIFS($A$5:$A305,"&gt;="&amp;$A306-1,$A$5:$A305,"&lt;="&amp;$A306,$B$5:$B305,$B306)&gt;0,MIN(1-'Exercise list'!Q$2,IF($A306=$A305,AW305,1))-AB306&lt;0),-1,MIN(1,IF($A306=$A305,AW305,1)-AB306+$D$2))</f>
        <v>1</v>
      </c>
      <c r="AX306">
        <f>IF(OR($J306=1,COUNTIFS($A$5:$A305,"&gt;="&amp;$A306-1,$A$5:$A305,"&lt;="&amp;$A306,$B$5:$B305,$B306)&gt;0,MIN(1-'Exercise list'!R$2,IF($A306=$A305,AX305,1))-AC306&lt;0),-1,MIN(1,IF($A306=$A305,AX305,1)-AC306+$D$2))</f>
        <v>1</v>
      </c>
      <c r="AY306">
        <f>IF(OR($J306=1,COUNTIFS($A$5:$A305,"&gt;="&amp;$A306-1,$A$5:$A305,"&lt;="&amp;$A306,$B$5:$B305,$B306)&gt;0,MIN(1-'Exercise list'!S$2,IF($A306=$A305,AY305,1))-AD306&lt;0),-1,MIN(1,IF($A306=$A305,AY305,1)-AD306+$D$2))</f>
        <v>1</v>
      </c>
      <c r="AZ306">
        <f>IF(OR($J306=1,COUNTIFS($A$5:$A305,"&gt;="&amp;$A306-1,$A$5:$A305,"&lt;="&amp;$A306,$B$5:$B305,$B306)&gt;0,MIN(1-'Exercise list'!T$2,IF($A306=$A305,AZ305,1))-AE306&lt;0),-1,MIN(1,IF($A306=$A305,AZ305,1)-AE306+$D$2))</f>
        <v>1</v>
      </c>
      <c r="BA306">
        <f>IF(OR($J306=1,COUNTIFS($A$5:$A305,"&gt;="&amp;$A306-1,$A$5:$A305,"&lt;="&amp;$A306,$B$5:$B305,$B306)&gt;0,MIN(1-'Exercise list'!U$2,IF($A306=$A305,BA305,1))-AF306&lt;0),-1,MIN(1,IF($A306=$A305,BA305,1)-AF306+$D$2))</f>
        <v>1</v>
      </c>
      <c r="BB306">
        <f>IF(OR($J306=1,COUNTIFS($A$5:$A305,"&gt;="&amp;$A306-1,$A$5:$A305,"&lt;="&amp;$A306,$B$5:$B305,$B306)&gt;0,MIN(1-'Exercise list'!V$2,IF($A306=$A305,BB305,1))-AG306&lt;0),-1,MIN(1,IF($A306=$A305,BB305,1)-AG306+$D$2))</f>
        <v>1</v>
      </c>
      <c r="BC306">
        <f>IF(OR($J306=1,COUNTIFS($A$5:$A305,"&gt;="&amp;$A306-1,$A$5:$A305,"&lt;="&amp;$A306,$B$5:$B305,$B306)&gt;0,MIN(1-'Exercise list'!W$2,IF($A306=$A305,BC305,1))-AH306&lt;0),-1,MIN(1,IF($A306=$A305,BC305,1)-AH306+$D$2))</f>
        <v>1</v>
      </c>
      <c r="BD306">
        <f>IF(OR($J306=1,COUNTIFS($A$5:$A305,"&gt;="&amp;$A306-1,$A$5:$A305,"&lt;="&amp;$A306,$B$5:$B305,$B306)&gt;0,MIN(1-'Exercise list'!X$2,IF($A306=$A305,BD305,1))-AI306&lt;0),-1,MIN(1,IF($A306=$A305,BD305,1)-AI306+$D$2))</f>
        <v>1</v>
      </c>
      <c r="BF306" s="16">
        <f t="shared" si="233"/>
        <v>0.19596031081758858</v>
      </c>
      <c r="BG306" s="16">
        <f t="shared" si="234"/>
        <v>0.21844636935459236</v>
      </c>
      <c r="BH306" s="16">
        <f t="shared" si="235"/>
        <v>0.14609696635987124</v>
      </c>
      <c r="BI306" s="16">
        <f t="shared" si="236"/>
        <v>0.13198015366034541</v>
      </c>
      <c r="BJ306" s="16">
        <f t="shared" si="237"/>
        <v>8.3367914198418713E-2</v>
      </c>
      <c r="BK306" s="16">
        <f t="shared" si="238"/>
        <v>0.10640640223148412</v>
      </c>
      <c r="BL306" s="16">
        <f t="shared" si="239"/>
        <v>0.21963504743569431</v>
      </c>
      <c r="BM306" s="16">
        <f t="shared" si="240"/>
        <v>3.8988008374820568E-3</v>
      </c>
      <c r="BN306" s="16">
        <f t="shared" si="241"/>
        <v>0.14537706087090876</v>
      </c>
      <c r="BO306" s="16">
        <f t="shared" si="242"/>
        <v>0.29209790661993401</v>
      </c>
      <c r="BP306" s="16">
        <f t="shared" si="243"/>
        <v>0.31584545163401867</v>
      </c>
      <c r="BQ306" s="16">
        <f t="shared" si="244"/>
        <v>0.1000007994126096</v>
      </c>
      <c r="BR306" s="16">
        <f t="shared" si="245"/>
        <v>0.13164487759885393</v>
      </c>
      <c r="BS306" s="16">
        <f t="shared" si="246"/>
        <v>2.9803550189863123E-2</v>
      </c>
      <c r="BT306" s="16">
        <f t="shared" si="247"/>
        <v>0.13492040904978705</v>
      </c>
      <c r="BU306" s="16">
        <f t="shared" si="248"/>
        <v>0.11703687414398131</v>
      </c>
      <c r="BV306" s="16">
        <f t="shared" si="249"/>
        <v>0.14633353213781661</v>
      </c>
      <c r="BW306" s="16">
        <f t="shared" si="250"/>
        <v>7.5588015111767173E-2</v>
      </c>
      <c r="BX306" s="16">
        <f t="shared" si="251"/>
        <v>8.0345659937185704E-2</v>
      </c>
      <c r="BY306" s="16">
        <f t="shared" si="252"/>
        <v>5.9014643151272549E-2</v>
      </c>
      <c r="CA306" s="16" t="str">
        <f t="shared" si="229"/>
        <v/>
      </c>
      <c r="CB306" s="16" t="str">
        <f t="shared" si="210"/>
        <v/>
      </c>
      <c r="CC306" s="16" t="str">
        <f t="shared" si="211"/>
        <v/>
      </c>
      <c r="CD306" s="16" t="str">
        <f t="shared" si="212"/>
        <v/>
      </c>
      <c r="CE306" s="16" t="str">
        <f t="shared" si="213"/>
        <v/>
      </c>
      <c r="CF306" s="16" t="str">
        <f t="shared" si="214"/>
        <v/>
      </c>
      <c r="CG306" s="16" t="str">
        <f t="shared" si="215"/>
        <v/>
      </c>
      <c r="CH306" s="16" t="str">
        <f t="shared" si="216"/>
        <v/>
      </c>
      <c r="CI306" s="16" t="str">
        <f t="shared" si="217"/>
        <v/>
      </c>
      <c r="CJ306" s="16" t="str">
        <f t="shared" si="218"/>
        <v/>
      </c>
      <c r="CK306" s="16" t="str">
        <f t="shared" si="219"/>
        <v/>
      </c>
      <c r="CL306" s="16" t="str">
        <f t="shared" si="220"/>
        <v/>
      </c>
      <c r="CM306" s="16" t="str">
        <f t="shared" si="221"/>
        <v/>
      </c>
      <c r="CN306" s="16" t="str">
        <f t="shared" si="222"/>
        <v/>
      </c>
      <c r="CO306" s="16" t="str">
        <f t="shared" si="223"/>
        <v/>
      </c>
      <c r="CP306" s="16" t="str">
        <f t="shared" si="224"/>
        <v/>
      </c>
      <c r="CQ306" s="16" t="str">
        <f t="shared" si="225"/>
        <v/>
      </c>
      <c r="CR306" s="16" t="str">
        <f t="shared" si="226"/>
        <v/>
      </c>
      <c r="CS306" s="16" t="str">
        <f t="shared" si="227"/>
        <v/>
      </c>
      <c r="CT306" s="16" t="str">
        <f t="shared" si="228"/>
        <v/>
      </c>
    </row>
    <row r="307" spans="1:99" x14ac:dyDescent="0.25">
      <c r="A307" s="13"/>
      <c r="B307" s="14"/>
      <c r="C307" s="15" t="str" cm="1">
        <f t="array" ref="C307">IF(B307="","",INDEX('Exercise list'!$C$5:$C$102,B307))</f>
        <v/>
      </c>
      <c r="D307" s="12" t="str">
        <f t="shared" si="230"/>
        <v/>
      </c>
      <c r="E307" s="107" t="str">
        <f t="shared" si="253"/>
        <v/>
      </c>
      <c r="F307" s="63" t="str" cm="1">
        <f t="array" ref="F307">IF(B307="","",0.1+IFERROR(INDEX($F$6:$F306,SUMPRODUCT(MAX(ROW($C$6:$C306)*($C307=$C$6:$C306))-ROW($A$5)))*0.9^($A307-INDEX($A$6:A306,SUMPRODUCT(MAX(ROW($C$6:$C306)*($C307=$C$6:$C306))-ROW($A$5)))),0))</f>
        <v/>
      </c>
      <c r="G307" s="64" t="e">
        <f>INDEX('Exercise list'!$Y$5:$Y$102,MATCH(C307,'Exercise list'!$C$5:$C$102,0))</f>
        <v>#N/A</v>
      </c>
      <c r="H307" s="115">
        <f t="shared" si="231"/>
        <v>0</v>
      </c>
      <c r="I307" s="6">
        <f t="shared" si="232"/>
        <v>5</v>
      </c>
      <c r="J307" s="6" t="str" cm="1">
        <f t="array" ref="J307">IF(B307="","",INDEX('Exercise list'!$D$5:$D$102,B307))</f>
        <v/>
      </c>
      <c r="K307" s="12"/>
      <c r="L307" s="74" t="str" cm="1">
        <f t="array" ref="L307">IF(K307="","",INDEX('Exercise list'!$C$5:$C$102,K307))</f>
        <v/>
      </c>
      <c r="M307" s="6"/>
      <c r="N307" s="75" t="str" cm="1">
        <f t="array" ref="N307">IF(M307="","",INDEX('Exercise list'!$C$5:$C$102,M307))</f>
        <v/>
      </c>
      <c r="P307">
        <f>IFERROR(INDEX('Exercise list'!$E$5:$X$102,MATCH($C307,'Exercise list'!$C$5:$C$102,0),MATCH(P$5,'Exercise list'!$E$4:$X$4,0)),0)</f>
        <v>0</v>
      </c>
      <c r="Q307">
        <f>IFERROR(INDEX('Exercise list'!$E$5:$X$102,MATCH($C307,'Exercise list'!$C$5:$C$102,0),MATCH(Q$5,'Exercise list'!$E$4:$X$4,0)),0)</f>
        <v>0</v>
      </c>
      <c r="R307">
        <f>IFERROR(INDEX('Exercise list'!$E$5:$X$102,MATCH($C307,'Exercise list'!$C$5:$C$102,0),MATCH(R$5,'Exercise list'!$E$4:$X$4,0)),0)</f>
        <v>0</v>
      </c>
      <c r="S307">
        <f>IFERROR(INDEX('Exercise list'!$E$5:$X$102,MATCH($C307,'Exercise list'!$C$5:$C$102,0),MATCH(S$5,'Exercise list'!$E$4:$X$4,0)),0)</f>
        <v>0</v>
      </c>
      <c r="T307">
        <f>IFERROR(INDEX('Exercise list'!$E$5:$X$102,MATCH($C307,'Exercise list'!$C$5:$C$102,0),MATCH(T$5,'Exercise list'!$E$4:$X$4,0)),0)</f>
        <v>0</v>
      </c>
      <c r="U307">
        <f>IFERROR(INDEX('Exercise list'!$E$5:$X$102,MATCH($C307,'Exercise list'!$C$5:$C$102,0),MATCH(U$5,'Exercise list'!$E$4:$X$4,0)),0)</f>
        <v>0</v>
      </c>
      <c r="V307">
        <f>IFERROR(INDEX('Exercise list'!$E$5:$X$102,MATCH($C307,'Exercise list'!$C$5:$C$102,0),MATCH(V$5,'Exercise list'!$E$4:$X$4,0)),0)</f>
        <v>0</v>
      </c>
      <c r="W307">
        <f>IFERROR(INDEX('Exercise list'!$E$5:$X$102,MATCH($C307,'Exercise list'!$C$5:$C$102,0),MATCH(W$5,'Exercise list'!$E$4:$X$4,0)),0)</f>
        <v>0</v>
      </c>
      <c r="X307">
        <f>IFERROR(INDEX('Exercise list'!$E$5:$X$102,MATCH($C307,'Exercise list'!$C$5:$C$102,0),MATCH(X$5,'Exercise list'!$E$4:$X$4,0)),0)</f>
        <v>0</v>
      </c>
      <c r="Y307">
        <f>IFERROR(INDEX('Exercise list'!$E$5:$X$102,MATCH($C307,'Exercise list'!$C$5:$C$102,0),MATCH(Y$5,'Exercise list'!$E$4:$X$4,0)),0)</f>
        <v>0</v>
      </c>
      <c r="Z307">
        <f>IFERROR(INDEX('Exercise list'!$E$5:$X$102,MATCH($C307,'Exercise list'!$C$5:$C$102,0),MATCH(Z$5,'Exercise list'!$E$4:$X$4,0)),0)</f>
        <v>0</v>
      </c>
      <c r="AA307">
        <f>IFERROR(INDEX('Exercise list'!$E$5:$X$102,MATCH($C307,'Exercise list'!$C$5:$C$102,0),MATCH(AA$5,'Exercise list'!$E$4:$X$4,0)),0)</f>
        <v>0</v>
      </c>
      <c r="AB307">
        <f>IFERROR(INDEX('Exercise list'!$E$5:$X$102,MATCH($C307,'Exercise list'!$C$5:$C$102,0),MATCH(AB$5,'Exercise list'!$E$4:$X$4,0)),0)</f>
        <v>0</v>
      </c>
      <c r="AC307">
        <f>IFERROR(INDEX('Exercise list'!$E$5:$X$102,MATCH($C307,'Exercise list'!$C$5:$C$102,0),MATCH(AC$5,'Exercise list'!$E$4:$X$4,0)),0)</f>
        <v>0</v>
      </c>
      <c r="AD307">
        <f>IFERROR(INDEX('Exercise list'!$E$5:$X$102,MATCH($C307,'Exercise list'!$C$5:$C$102,0),MATCH(AD$5,'Exercise list'!$E$4:$X$4,0)),0)</f>
        <v>0</v>
      </c>
      <c r="AE307">
        <f>IFERROR(INDEX('Exercise list'!$E$5:$X$102,MATCH($C307,'Exercise list'!$C$5:$C$102,0),MATCH(AE$5,'Exercise list'!$E$4:$X$4,0)),0)</f>
        <v>0</v>
      </c>
      <c r="AF307">
        <f>IFERROR(INDEX('Exercise list'!$E$5:$X$102,MATCH($C307,'Exercise list'!$C$5:$C$102,0),MATCH(AF$5,'Exercise list'!$E$4:$X$4,0)),0)</f>
        <v>0</v>
      </c>
      <c r="AG307">
        <f>IFERROR(INDEX('Exercise list'!$E$5:$X$102,MATCH($C307,'Exercise list'!$C$5:$C$102,0),MATCH(AG$5,'Exercise list'!$E$4:$X$4,0)),0)</f>
        <v>0</v>
      </c>
      <c r="AH307">
        <f>IFERROR(INDEX('Exercise list'!$E$5:$X$102,MATCH($C307,'Exercise list'!$C$5:$C$102,0),MATCH(AH$5,'Exercise list'!$E$4:$X$4,0)),0)</f>
        <v>0</v>
      </c>
      <c r="AI307">
        <f>IFERROR(INDEX('Exercise list'!$E$5:$X$102,MATCH($C307,'Exercise list'!$C$5:$C$102,0),MATCH(AI$5,'Exercise list'!$E$4:$X$4,0)),0)</f>
        <v>0</v>
      </c>
      <c r="AK307">
        <f>IF(OR($J307=1,COUNTIFS($A$5:$A306,"&gt;="&amp;$A307-1,$A$5:$A306,"&lt;="&amp;$A307,$B$5:$B306,$B307)&gt;0,MIN(1-'Exercise list'!E$2,IF($A307=$A306,AK306,1))-P307&lt;0),-1,MIN(1,IF($A307=$A306,AK306,1)-P307+$D$2))</f>
        <v>1</v>
      </c>
      <c r="AL307">
        <f>IF(OR($J307=1,COUNTIFS($A$5:$A306,"&gt;="&amp;$A307-1,$A$5:$A306,"&lt;="&amp;$A307,$B$5:$B306,$B307)&gt;0,MIN(1-'Exercise list'!F$2,IF($A307=$A306,AL306,1))-Q307&lt;0),-1,MIN(1,IF($A307=$A306,AL306,1)-Q307+$D$2))</f>
        <v>1</v>
      </c>
      <c r="AM307">
        <f>IF(OR($J307=1,COUNTIFS($A$5:$A306,"&gt;="&amp;$A307-1,$A$5:$A306,"&lt;="&amp;$A307,$B$5:$B306,$B307)&gt;0,MIN(1-'Exercise list'!G$2,IF($A307=$A306,AM306,1))-R307&lt;0),-1,MIN(1,IF($A307=$A306,AM306,1)-R307+$D$2))</f>
        <v>1</v>
      </c>
      <c r="AN307">
        <f>IF(OR($J307=1,COUNTIFS($A$5:$A306,"&gt;="&amp;$A307-1,$A$5:$A306,"&lt;="&amp;$A307,$B$5:$B306,$B307)&gt;0,MIN(1-'Exercise list'!H$2,IF($A307=$A306,AN306,1))-S307&lt;0),-1,MIN(1,IF($A307=$A306,AN306,1)-S307+$D$2))</f>
        <v>1</v>
      </c>
      <c r="AO307">
        <f>IF(OR($J307=1,COUNTIFS($A$5:$A306,"&gt;="&amp;$A307-1,$A$5:$A306,"&lt;="&amp;$A307,$B$5:$B306,$B307)&gt;0,MIN(1-'Exercise list'!I$2,IF($A307=$A306,AO306,1))-T307&lt;0),-1,MIN(1,IF($A307=$A306,AO306,1)-T307+$D$2))</f>
        <v>1</v>
      </c>
      <c r="AP307">
        <f>IF(OR($J307=1,COUNTIFS($A$5:$A306,"&gt;="&amp;$A307-1,$A$5:$A306,"&lt;="&amp;$A307,$B$5:$B306,$B307)&gt;0,MIN(1-'Exercise list'!J$2,IF($A307=$A306,AP306,1))-U307&lt;0),-1,MIN(1,IF($A307=$A306,AP306,1)-U307+$D$2))</f>
        <v>1</v>
      </c>
      <c r="AQ307">
        <f>IF(OR($J307=1,COUNTIFS($A$5:$A306,"&gt;="&amp;$A307-1,$A$5:$A306,"&lt;="&amp;$A307,$B$5:$B306,$B307)&gt;0,MIN(1-'Exercise list'!K$2,IF($A307=$A306,AQ306,1))-V307&lt;0),-1,MIN(1,IF($A307=$A306,AQ306,1)-V307+$D$2))</f>
        <v>1</v>
      </c>
      <c r="AR307">
        <f>IF(OR($J307=1,COUNTIFS($A$5:$A306,"&gt;="&amp;$A307-1,$A$5:$A306,"&lt;="&amp;$A307,$B$5:$B306,$B307)&gt;0,MIN(1-'Exercise list'!L$2,IF($A307=$A306,AR306,1))-W307&lt;0),-1,MIN(1,IF($A307=$A306,AR306,1)-W307+$D$2))</f>
        <v>1</v>
      </c>
      <c r="AS307">
        <f>IF(OR($J307=1,COUNTIFS($A$5:$A306,"&gt;="&amp;$A307-1,$A$5:$A306,"&lt;="&amp;$A307,$B$5:$B306,$B307)&gt;0,MIN(1-'Exercise list'!M$2,IF($A307=$A306,AS306,1))-X307&lt;0),-1,MIN(1,IF($A307=$A306,AS306,1)-X307+$D$2))</f>
        <v>1</v>
      </c>
      <c r="AT307">
        <f>IF(OR($J307=1,COUNTIFS($A$5:$A306,"&gt;="&amp;$A307-1,$A$5:$A306,"&lt;="&amp;$A307,$B$5:$B306,$B307)&gt;0,MIN(1-'Exercise list'!N$2,IF($A307=$A306,AT306,1))-Y307&lt;0),-1,MIN(1,IF($A307=$A306,AT306,1)-Y307+$D$2))</f>
        <v>1</v>
      </c>
      <c r="AU307">
        <f>IF(OR($J307=1,COUNTIFS($A$5:$A306,"&gt;="&amp;$A307-1,$A$5:$A306,"&lt;="&amp;$A307,$B$5:$B306,$B307)&gt;0,MIN(1-'Exercise list'!O$2,IF($A307=$A306,AU306,1))-Z307&lt;0),-1,MIN(1,IF($A307=$A306,AU306,1)-Z307+$D$2))</f>
        <v>1</v>
      </c>
      <c r="AV307">
        <f>IF(OR($J307=1,COUNTIFS($A$5:$A306,"&gt;="&amp;$A307-1,$A$5:$A306,"&lt;="&amp;$A307,$B$5:$B306,$B307)&gt;0,MIN(1-'Exercise list'!P$2,IF($A307=$A306,AV306,1))-AA307&lt;0),-1,MIN(1,IF($A307=$A306,AV306,1)-AA307+$D$2))</f>
        <v>1</v>
      </c>
      <c r="AW307">
        <f>IF(OR($J307=1,COUNTIFS($A$5:$A306,"&gt;="&amp;$A307-1,$A$5:$A306,"&lt;="&amp;$A307,$B$5:$B306,$B307)&gt;0,MIN(1-'Exercise list'!Q$2,IF($A307=$A306,AW306,1))-AB307&lt;0),-1,MIN(1,IF($A307=$A306,AW306,1)-AB307+$D$2))</f>
        <v>1</v>
      </c>
      <c r="AX307">
        <f>IF(OR($J307=1,COUNTIFS($A$5:$A306,"&gt;="&amp;$A307-1,$A$5:$A306,"&lt;="&amp;$A307,$B$5:$B306,$B307)&gt;0,MIN(1-'Exercise list'!R$2,IF($A307=$A306,AX306,1))-AC307&lt;0),-1,MIN(1,IF($A307=$A306,AX306,1)-AC307+$D$2))</f>
        <v>1</v>
      </c>
      <c r="AY307">
        <f>IF(OR($J307=1,COUNTIFS($A$5:$A306,"&gt;="&amp;$A307-1,$A$5:$A306,"&lt;="&amp;$A307,$B$5:$B306,$B307)&gt;0,MIN(1-'Exercise list'!S$2,IF($A307=$A306,AY306,1))-AD307&lt;0),-1,MIN(1,IF($A307=$A306,AY306,1)-AD307+$D$2))</f>
        <v>1</v>
      </c>
      <c r="AZ307">
        <f>IF(OR($J307=1,COUNTIFS($A$5:$A306,"&gt;="&amp;$A307-1,$A$5:$A306,"&lt;="&amp;$A307,$B$5:$B306,$B307)&gt;0,MIN(1-'Exercise list'!T$2,IF($A307=$A306,AZ306,1))-AE307&lt;0),-1,MIN(1,IF($A307=$A306,AZ306,1)-AE307+$D$2))</f>
        <v>1</v>
      </c>
      <c r="BA307">
        <f>IF(OR($J307=1,COUNTIFS($A$5:$A306,"&gt;="&amp;$A307-1,$A$5:$A306,"&lt;="&amp;$A307,$B$5:$B306,$B307)&gt;0,MIN(1-'Exercise list'!U$2,IF($A307=$A306,BA306,1))-AF307&lt;0),-1,MIN(1,IF($A307=$A306,BA306,1)-AF307+$D$2))</f>
        <v>1</v>
      </c>
      <c r="BB307">
        <f>IF(OR($J307=1,COUNTIFS($A$5:$A306,"&gt;="&amp;$A307-1,$A$5:$A306,"&lt;="&amp;$A307,$B$5:$B306,$B307)&gt;0,MIN(1-'Exercise list'!V$2,IF($A307=$A306,BB306,1))-AG307&lt;0),-1,MIN(1,IF($A307=$A306,BB306,1)-AG307+$D$2))</f>
        <v>1</v>
      </c>
      <c r="BC307">
        <f>IF(OR($J307=1,COUNTIFS($A$5:$A306,"&gt;="&amp;$A307-1,$A$5:$A306,"&lt;="&amp;$A307,$B$5:$B306,$B307)&gt;0,MIN(1-'Exercise list'!W$2,IF($A307=$A306,BC306,1))-AH307&lt;0),-1,MIN(1,IF($A307=$A306,BC306,1)-AH307+$D$2))</f>
        <v>1</v>
      </c>
      <c r="BD307">
        <f>IF(OR($J307=1,COUNTIFS($A$5:$A306,"&gt;="&amp;$A307-1,$A$5:$A306,"&lt;="&amp;$A307,$B$5:$B306,$B307)&gt;0,MIN(1-'Exercise list'!X$2,IF($A307=$A306,BD306,1))-AI307&lt;0),-1,MIN(1,IF($A307=$A306,BD306,1)-AI307+$D$2))</f>
        <v>1</v>
      </c>
      <c r="BF307" s="16">
        <f t="shared" si="233"/>
        <v>0.19596031081758858</v>
      </c>
      <c r="BG307" s="16">
        <f t="shared" si="234"/>
        <v>0.21844636935459236</v>
      </c>
      <c r="BH307" s="16">
        <f t="shared" si="235"/>
        <v>0.14609696635987124</v>
      </c>
      <c r="BI307" s="16">
        <f t="shared" si="236"/>
        <v>0.13198015366034541</v>
      </c>
      <c r="BJ307" s="16">
        <f t="shared" si="237"/>
        <v>8.3367914198418713E-2</v>
      </c>
      <c r="BK307" s="16">
        <f t="shared" si="238"/>
        <v>0.10640640223148412</v>
      </c>
      <c r="BL307" s="16">
        <f t="shared" si="239"/>
        <v>0.21963504743569431</v>
      </c>
      <c r="BM307" s="16">
        <f t="shared" si="240"/>
        <v>3.8988008374820568E-3</v>
      </c>
      <c r="BN307" s="16">
        <f t="shared" si="241"/>
        <v>0.14537706087090876</v>
      </c>
      <c r="BO307" s="16">
        <f t="shared" si="242"/>
        <v>0.29209790661993401</v>
      </c>
      <c r="BP307" s="16">
        <f t="shared" si="243"/>
        <v>0.31584545163401867</v>
      </c>
      <c r="BQ307" s="16">
        <f t="shared" si="244"/>
        <v>0.1000007994126096</v>
      </c>
      <c r="BR307" s="16">
        <f t="shared" si="245"/>
        <v>0.13164487759885393</v>
      </c>
      <c r="BS307" s="16">
        <f t="shared" si="246"/>
        <v>2.9803550189863123E-2</v>
      </c>
      <c r="BT307" s="16">
        <f t="shared" si="247"/>
        <v>0.13492040904978705</v>
      </c>
      <c r="BU307" s="16">
        <f t="shared" si="248"/>
        <v>0.11703687414398131</v>
      </c>
      <c r="BV307" s="16">
        <f t="shared" si="249"/>
        <v>0.14633353213781661</v>
      </c>
      <c r="BW307" s="16">
        <f t="shared" si="250"/>
        <v>7.5588015111767173E-2</v>
      </c>
      <c r="BX307" s="16">
        <f t="shared" si="251"/>
        <v>8.0345659937185704E-2</v>
      </c>
      <c r="BY307" s="16">
        <f t="shared" si="252"/>
        <v>5.9014643151272549E-2</v>
      </c>
      <c r="CA307" s="16" t="str">
        <f t="shared" si="229"/>
        <v/>
      </c>
      <c r="CB307" s="16" t="str">
        <f t="shared" si="210"/>
        <v/>
      </c>
      <c r="CC307" s="16" t="str">
        <f t="shared" si="211"/>
        <v/>
      </c>
      <c r="CD307" s="16" t="str">
        <f t="shared" si="212"/>
        <v/>
      </c>
      <c r="CE307" s="16" t="str">
        <f t="shared" si="213"/>
        <v/>
      </c>
      <c r="CF307" s="16" t="str">
        <f t="shared" si="214"/>
        <v/>
      </c>
      <c r="CG307" s="16" t="str">
        <f t="shared" si="215"/>
        <v/>
      </c>
      <c r="CH307" s="16" t="str">
        <f t="shared" si="216"/>
        <v/>
      </c>
      <c r="CI307" s="16" t="str">
        <f t="shared" si="217"/>
        <v/>
      </c>
      <c r="CJ307" s="16" t="str">
        <f t="shared" si="218"/>
        <v/>
      </c>
      <c r="CK307" s="16" t="str">
        <f t="shared" si="219"/>
        <v/>
      </c>
      <c r="CL307" s="16" t="str">
        <f t="shared" si="220"/>
        <v/>
      </c>
      <c r="CM307" s="16" t="str">
        <f t="shared" si="221"/>
        <v/>
      </c>
      <c r="CN307" s="16" t="str">
        <f t="shared" si="222"/>
        <v/>
      </c>
      <c r="CO307" s="16" t="str">
        <f t="shared" si="223"/>
        <v/>
      </c>
      <c r="CP307" s="16" t="str">
        <f t="shared" si="224"/>
        <v/>
      </c>
      <c r="CQ307" s="16" t="str">
        <f t="shared" si="225"/>
        <v/>
      </c>
      <c r="CR307" s="16" t="str">
        <f t="shared" si="226"/>
        <v/>
      </c>
      <c r="CS307" s="16" t="str">
        <f t="shared" si="227"/>
        <v/>
      </c>
      <c r="CT307" s="16" t="str">
        <f t="shared" si="228"/>
        <v/>
      </c>
    </row>
    <row r="308" spans="1:99" x14ac:dyDescent="0.25">
      <c r="A308" s="20"/>
      <c r="B308" s="21"/>
      <c r="C308" s="22" t="str" cm="1">
        <f t="array" ref="C308">IF(B308="","",INDEX('Exercise list'!$C$5:$C$102,B308))</f>
        <v/>
      </c>
      <c r="D308" s="17" t="str">
        <f t="shared" si="230"/>
        <v/>
      </c>
      <c r="E308" s="108" t="str">
        <f t="shared" si="253"/>
        <v/>
      </c>
      <c r="F308" s="65" t="str" cm="1">
        <f t="array" ref="F308">IF(B308="","",0.1+IFERROR(INDEX($F$6:$F307,SUMPRODUCT(MAX(ROW($C$6:$C307)*($C308=$C$6:$C307))-ROW($A$5)))*0.9^($A308-INDEX($A$6:A307,SUMPRODUCT(MAX(ROW($C$6:$C307)*($C308=$C$6:$C307))-ROW($A$5)))),0))</f>
        <v/>
      </c>
      <c r="G308" s="25" t="e">
        <f>INDEX('Exercise list'!$Y$5:$Y$102,MATCH(C308,'Exercise list'!$C$5:$C$102,0))</f>
        <v>#N/A</v>
      </c>
      <c r="H308" s="116">
        <f t="shared" si="231"/>
        <v>0</v>
      </c>
      <c r="I308" s="18">
        <f t="shared" si="232"/>
        <v>5</v>
      </c>
      <c r="J308" s="18" t="str" cm="1">
        <f t="array" ref="J308">IF(B308="","",INDEX('Exercise list'!$D$5:$D$102,B308))</f>
        <v/>
      </c>
      <c r="K308" s="17"/>
      <c r="L308" s="51" t="str" cm="1">
        <f t="array" ref="L308">IF(K308="","",INDEX('Exercise list'!$C$5:$C$102,K308))</f>
        <v/>
      </c>
      <c r="M308" s="18"/>
      <c r="N308" s="76" t="str" cm="1">
        <f t="array" ref="N308">IF(M308="","",INDEX('Exercise list'!$C$5:$C$102,M308))</f>
        <v/>
      </c>
      <c r="O308" s="19"/>
      <c r="P308" s="19">
        <f>IFERROR(INDEX('Exercise list'!$E$5:$X$102,MATCH($C308,'Exercise list'!$C$5:$C$102,0),MATCH(P$5,'Exercise list'!$E$4:$X$4,0)),0)</f>
        <v>0</v>
      </c>
      <c r="Q308" s="19">
        <f>IFERROR(INDEX('Exercise list'!$E$5:$X$102,MATCH($C308,'Exercise list'!$C$5:$C$102,0),MATCH(Q$5,'Exercise list'!$E$4:$X$4,0)),0)</f>
        <v>0</v>
      </c>
      <c r="R308" s="19">
        <f>IFERROR(INDEX('Exercise list'!$E$5:$X$102,MATCH($C308,'Exercise list'!$C$5:$C$102,0),MATCH(R$5,'Exercise list'!$E$4:$X$4,0)),0)</f>
        <v>0</v>
      </c>
      <c r="S308" s="19">
        <f>IFERROR(INDEX('Exercise list'!$E$5:$X$102,MATCH($C308,'Exercise list'!$C$5:$C$102,0),MATCH(S$5,'Exercise list'!$E$4:$X$4,0)),0)</f>
        <v>0</v>
      </c>
      <c r="T308" s="19">
        <f>IFERROR(INDEX('Exercise list'!$E$5:$X$102,MATCH($C308,'Exercise list'!$C$5:$C$102,0),MATCH(T$5,'Exercise list'!$E$4:$X$4,0)),0)</f>
        <v>0</v>
      </c>
      <c r="U308" s="19">
        <f>IFERROR(INDEX('Exercise list'!$E$5:$X$102,MATCH($C308,'Exercise list'!$C$5:$C$102,0),MATCH(U$5,'Exercise list'!$E$4:$X$4,0)),0)</f>
        <v>0</v>
      </c>
      <c r="V308" s="19">
        <f>IFERROR(INDEX('Exercise list'!$E$5:$X$102,MATCH($C308,'Exercise list'!$C$5:$C$102,0),MATCH(V$5,'Exercise list'!$E$4:$X$4,0)),0)</f>
        <v>0</v>
      </c>
      <c r="W308" s="19">
        <f>IFERROR(INDEX('Exercise list'!$E$5:$X$102,MATCH($C308,'Exercise list'!$C$5:$C$102,0),MATCH(W$5,'Exercise list'!$E$4:$X$4,0)),0)</f>
        <v>0</v>
      </c>
      <c r="X308" s="19">
        <f>IFERROR(INDEX('Exercise list'!$E$5:$X$102,MATCH($C308,'Exercise list'!$C$5:$C$102,0),MATCH(X$5,'Exercise list'!$E$4:$X$4,0)),0)</f>
        <v>0</v>
      </c>
      <c r="Y308" s="19">
        <f>IFERROR(INDEX('Exercise list'!$E$5:$X$102,MATCH($C308,'Exercise list'!$C$5:$C$102,0),MATCH(Y$5,'Exercise list'!$E$4:$X$4,0)),0)</f>
        <v>0</v>
      </c>
      <c r="Z308" s="19">
        <f>IFERROR(INDEX('Exercise list'!$E$5:$X$102,MATCH($C308,'Exercise list'!$C$5:$C$102,0),MATCH(Z$5,'Exercise list'!$E$4:$X$4,0)),0)</f>
        <v>0</v>
      </c>
      <c r="AA308" s="19">
        <f>IFERROR(INDEX('Exercise list'!$E$5:$X$102,MATCH($C308,'Exercise list'!$C$5:$C$102,0),MATCH(AA$5,'Exercise list'!$E$4:$X$4,0)),0)</f>
        <v>0</v>
      </c>
      <c r="AB308" s="19">
        <f>IFERROR(INDEX('Exercise list'!$E$5:$X$102,MATCH($C308,'Exercise list'!$C$5:$C$102,0),MATCH(AB$5,'Exercise list'!$E$4:$X$4,0)),0)</f>
        <v>0</v>
      </c>
      <c r="AC308" s="19">
        <f>IFERROR(INDEX('Exercise list'!$E$5:$X$102,MATCH($C308,'Exercise list'!$C$5:$C$102,0),MATCH(AC$5,'Exercise list'!$E$4:$X$4,0)),0)</f>
        <v>0</v>
      </c>
      <c r="AD308" s="19">
        <f>IFERROR(INDEX('Exercise list'!$E$5:$X$102,MATCH($C308,'Exercise list'!$C$5:$C$102,0),MATCH(AD$5,'Exercise list'!$E$4:$X$4,0)),0)</f>
        <v>0</v>
      </c>
      <c r="AE308" s="19">
        <f>IFERROR(INDEX('Exercise list'!$E$5:$X$102,MATCH($C308,'Exercise list'!$C$5:$C$102,0),MATCH(AE$5,'Exercise list'!$E$4:$X$4,0)),0)</f>
        <v>0</v>
      </c>
      <c r="AF308" s="19">
        <f>IFERROR(INDEX('Exercise list'!$E$5:$X$102,MATCH($C308,'Exercise list'!$C$5:$C$102,0),MATCH(AF$5,'Exercise list'!$E$4:$X$4,0)),0)</f>
        <v>0</v>
      </c>
      <c r="AG308" s="19">
        <f>IFERROR(INDEX('Exercise list'!$E$5:$X$102,MATCH($C308,'Exercise list'!$C$5:$C$102,0),MATCH(AG$5,'Exercise list'!$E$4:$X$4,0)),0)</f>
        <v>0</v>
      </c>
      <c r="AH308" s="19">
        <f>IFERROR(INDEX('Exercise list'!$E$5:$X$102,MATCH($C308,'Exercise list'!$C$5:$C$102,0),MATCH(AH$5,'Exercise list'!$E$4:$X$4,0)),0)</f>
        <v>0</v>
      </c>
      <c r="AI308" s="19">
        <f>IFERROR(INDEX('Exercise list'!$E$5:$X$102,MATCH($C308,'Exercise list'!$C$5:$C$102,0),MATCH(AI$5,'Exercise list'!$E$4:$X$4,0)),0)</f>
        <v>0</v>
      </c>
      <c r="AJ308" s="19"/>
      <c r="AK308" s="19">
        <f>IF(OR($J308=1,COUNTIFS($A$5:$A307,"&gt;="&amp;$A308-1,$A$5:$A307,"&lt;="&amp;$A308,$B$5:$B307,$B308)&gt;0,MIN(1-'Exercise list'!E$2,IF($A308=$A307,AK307,1))-P308&lt;0),-1,MIN(1,IF($A308=$A307,AK307,1)-P308+$D$2))</f>
        <v>1</v>
      </c>
      <c r="AL308" s="19">
        <f>IF(OR($J308=1,COUNTIFS($A$5:$A307,"&gt;="&amp;$A308-1,$A$5:$A307,"&lt;="&amp;$A308,$B$5:$B307,$B308)&gt;0,MIN(1-'Exercise list'!F$2,IF($A308=$A307,AL307,1))-Q308&lt;0),-1,MIN(1,IF($A308=$A307,AL307,1)-Q308+$D$2))</f>
        <v>1</v>
      </c>
      <c r="AM308" s="19">
        <f>IF(OR($J308=1,COUNTIFS($A$5:$A307,"&gt;="&amp;$A308-1,$A$5:$A307,"&lt;="&amp;$A308,$B$5:$B307,$B308)&gt;0,MIN(1-'Exercise list'!G$2,IF($A308=$A307,AM307,1))-R308&lt;0),-1,MIN(1,IF($A308=$A307,AM307,1)-R308+$D$2))</f>
        <v>1</v>
      </c>
      <c r="AN308" s="19">
        <f>IF(OR($J308=1,COUNTIFS($A$5:$A307,"&gt;="&amp;$A308-1,$A$5:$A307,"&lt;="&amp;$A308,$B$5:$B307,$B308)&gt;0,MIN(1-'Exercise list'!H$2,IF($A308=$A307,AN307,1))-S308&lt;0),-1,MIN(1,IF($A308=$A307,AN307,1)-S308+$D$2))</f>
        <v>1</v>
      </c>
      <c r="AO308" s="19">
        <f>IF(OR($J308=1,COUNTIFS($A$5:$A307,"&gt;="&amp;$A308-1,$A$5:$A307,"&lt;="&amp;$A308,$B$5:$B307,$B308)&gt;0,MIN(1-'Exercise list'!I$2,IF($A308=$A307,AO307,1))-T308&lt;0),-1,MIN(1,IF($A308=$A307,AO307,1)-T308+$D$2))</f>
        <v>1</v>
      </c>
      <c r="AP308" s="19">
        <f>IF(OR($J308=1,COUNTIFS($A$5:$A307,"&gt;="&amp;$A308-1,$A$5:$A307,"&lt;="&amp;$A308,$B$5:$B307,$B308)&gt;0,MIN(1-'Exercise list'!J$2,IF($A308=$A307,AP307,1))-U308&lt;0),-1,MIN(1,IF($A308=$A307,AP307,1)-U308+$D$2))</f>
        <v>1</v>
      </c>
      <c r="AQ308" s="19">
        <f>IF(OR($J308=1,COUNTIFS($A$5:$A307,"&gt;="&amp;$A308-1,$A$5:$A307,"&lt;="&amp;$A308,$B$5:$B307,$B308)&gt;0,MIN(1-'Exercise list'!K$2,IF($A308=$A307,AQ307,1))-V308&lt;0),-1,MIN(1,IF($A308=$A307,AQ307,1)-V308+$D$2))</f>
        <v>1</v>
      </c>
      <c r="AR308" s="19">
        <f>IF(OR($J308=1,COUNTIFS($A$5:$A307,"&gt;="&amp;$A308-1,$A$5:$A307,"&lt;="&amp;$A308,$B$5:$B307,$B308)&gt;0,MIN(1-'Exercise list'!L$2,IF($A308=$A307,AR307,1))-W308&lt;0),-1,MIN(1,IF($A308=$A307,AR307,1)-W308+$D$2))</f>
        <v>1</v>
      </c>
      <c r="AS308" s="19">
        <f>IF(OR($J308=1,COUNTIFS($A$5:$A307,"&gt;="&amp;$A308-1,$A$5:$A307,"&lt;="&amp;$A308,$B$5:$B307,$B308)&gt;0,MIN(1-'Exercise list'!M$2,IF($A308=$A307,AS307,1))-X308&lt;0),-1,MIN(1,IF($A308=$A307,AS307,1)-X308+$D$2))</f>
        <v>1</v>
      </c>
      <c r="AT308" s="19">
        <f>IF(OR($J308=1,COUNTIFS($A$5:$A307,"&gt;="&amp;$A308-1,$A$5:$A307,"&lt;="&amp;$A308,$B$5:$B307,$B308)&gt;0,MIN(1-'Exercise list'!N$2,IF($A308=$A307,AT307,1))-Y308&lt;0),-1,MIN(1,IF($A308=$A307,AT307,1)-Y308+$D$2))</f>
        <v>1</v>
      </c>
      <c r="AU308" s="19">
        <f>IF(OR($J308=1,COUNTIFS($A$5:$A307,"&gt;="&amp;$A308-1,$A$5:$A307,"&lt;="&amp;$A308,$B$5:$B307,$B308)&gt;0,MIN(1-'Exercise list'!O$2,IF($A308=$A307,AU307,1))-Z308&lt;0),-1,MIN(1,IF($A308=$A307,AU307,1)-Z308+$D$2))</f>
        <v>1</v>
      </c>
      <c r="AV308" s="19">
        <f>IF(OR($J308=1,COUNTIFS($A$5:$A307,"&gt;="&amp;$A308-1,$A$5:$A307,"&lt;="&amp;$A308,$B$5:$B307,$B308)&gt;0,MIN(1-'Exercise list'!P$2,IF($A308=$A307,AV307,1))-AA308&lt;0),-1,MIN(1,IF($A308=$A307,AV307,1)-AA308+$D$2))</f>
        <v>1</v>
      </c>
      <c r="AW308" s="19">
        <f>IF(OR($J308=1,COUNTIFS($A$5:$A307,"&gt;="&amp;$A308-1,$A$5:$A307,"&lt;="&amp;$A308,$B$5:$B307,$B308)&gt;0,MIN(1-'Exercise list'!Q$2,IF($A308=$A307,AW307,1))-AB308&lt;0),-1,MIN(1,IF($A308=$A307,AW307,1)-AB308+$D$2))</f>
        <v>1</v>
      </c>
      <c r="AX308" s="19">
        <f>IF(OR($J308=1,COUNTIFS($A$5:$A307,"&gt;="&amp;$A308-1,$A$5:$A307,"&lt;="&amp;$A308,$B$5:$B307,$B308)&gt;0,MIN(1-'Exercise list'!R$2,IF($A308=$A307,AX307,1))-AC308&lt;0),-1,MIN(1,IF($A308=$A307,AX307,1)-AC308+$D$2))</f>
        <v>1</v>
      </c>
      <c r="AY308" s="19">
        <f>IF(OR($J308=1,COUNTIFS($A$5:$A307,"&gt;="&amp;$A308-1,$A$5:$A307,"&lt;="&amp;$A308,$B$5:$B307,$B308)&gt;0,MIN(1-'Exercise list'!S$2,IF($A308=$A307,AY307,1))-AD308&lt;0),-1,MIN(1,IF($A308=$A307,AY307,1)-AD308+$D$2))</f>
        <v>1</v>
      </c>
      <c r="AZ308" s="19">
        <f>IF(OR($J308=1,COUNTIFS($A$5:$A307,"&gt;="&amp;$A308-1,$A$5:$A307,"&lt;="&amp;$A308,$B$5:$B307,$B308)&gt;0,MIN(1-'Exercise list'!T$2,IF($A308=$A307,AZ307,1))-AE308&lt;0),-1,MIN(1,IF($A308=$A307,AZ307,1)-AE308+$D$2))</f>
        <v>1</v>
      </c>
      <c r="BA308" s="19">
        <f>IF(OR($J308=1,COUNTIFS($A$5:$A307,"&gt;="&amp;$A308-1,$A$5:$A307,"&lt;="&amp;$A308,$B$5:$B307,$B308)&gt;0,MIN(1-'Exercise list'!U$2,IF($A308=$A307,BA307,1))-AF308&lt;0),-1,MIN(1,IF($A308=$A307,BA307,1)-AF308+$D$2))</f>
        <v>1</v>
      </c>
      <c r="BB308" s="19">
        <f>IF(OR($J308=1,COUNTIFS($A$5:$A307,"&gt;="&amp;$A308-1,$A$5:$A307,"&lt;="&amp;$A308,$B$5:$B307,$B308)&gt;0,MIN(1-'Exercise list'!V$2,IF($A308=$A307,BB307,1))-AG308&lt;0),-1,MIN(1,IF($A308=$A307,BB307,1)-AG308+$D$2))</f>
        <v>1</v>
      </c>
      <c r="BC308" s="19">
        <f>IF(OR($J308=1,COUNTIFS($A$5:$A307,"&gt;="&amp;$A308-1,$A$5:$A307,"&lt;="&amp;$A308,$B$5:$B307,$B308)&gt;0,MIN(1-'Exercise list'!W$2,IF($A308=$A307,BC307,1))-AH308&lt;0),-1,MIN(1,IF($A308=$A307,BC307,1)-AH308+$D$2))</f>
        <v>1</v>
      </c>
      <c r="BD308" s="19">
        <f>IF(OR($J308=1,COUNTIFS($A$5:$A307,"&gt;="&amp;$A308-1,$A$5:$A307,"&lt;="&amp;$A308,$B$5:$B307,$B308)&gt;0,MIN(1-'Exercise list'!X$2,IF($A308=$A307,BD307,1))-AI308&lt;0),-1,MIN(1,IF($A308=$A307,BD307,1)-AI308+$D$2))</f>
        <v>1</v>
      </c>
      <c r="BE308" s="19"/>
      <c r="BF308" s="23">
        <f t="shared" si="233"/>
        <v>0.19596031081758858</v>
      </c>
      <c r="BG308" s="23">
        <f t="shared" si="234"/>
        <v>0.21844636935459236</v>
      </c>
      <c r="BH308" s="23">
        <f t="shared" si="235"/>
        <v>0.14609696635987124</v>
      </c>
      <c r="BI308" s="23">
        <f t="shared" si="236"/>
        <v>0.13198015366034541</v>
      </c>
      <c r="BJ308" s="23">
        <f t="shared" si="237"/>
        <v>8.3367914198418713E-2</v>
      </c>
      <c r="BK308" s="23">
        <f t="shared" si="238"/>
        <v>0.10640640223148412</v>
      </c>
      <c r="BL308" s="23">
        <f t="shared" si="239"/>
        <v>0.21963504743569431</v>
      </c>
      <c r="BM308" s="23">
        <f t="shared" si="240"/>
        <v>3.8988008374820568E-3</v>
      </c>
      <c r="BN308" s="23">
        <f t="shared" si="241"/>
        <v>0.14537706087090876</v>
      </c>
      <c r="BO308" s="23">
        <f t="shared" si="242"/>
        <v>0.29209790661993401</v>
      </c>
      <c r="BP308" s="23">
        <f t="shared" si="243"/>
        <v>0.31584545163401867</v>
      </c>
      <c r="BQ308" s="23">
        <f t="shared" si="244"/>
        <v>0.1000007994126096</v>
      </c>
      <c r="BR308" s="23">
        <f t="shared" si="245"/>
        <v>0.13164487759885393</v>
      </c>
      <c r="BS308" s="23">
        <f t="shared" si="246"/>
        <v>2.9803550189863123E-2</v>
      </c>
      <c r="BT308" s="23">
        <f t="shared" si="247"/>
        <v>0.13492040904978705</v>
      </c>
      <c r="BU308" s="23">
        <f t="shared" si="248"/>
        <v>0.11703687414398131</v>
      </c>
      <c r="BV308" s="23">
        <f t="shared" si="249"/>
        <v>0.14633353213781661</v>
      </c>
      <c r="BW308" s="23">
        <f t="shared" si="250"/>
        <v>7.5588015111767173E-2</v>
      </c>
      <c r="BX308" s="23">
        <f t="shared" si="251"/>
        <v>8.0345659937185704E-2</v>
      </c>
      <c r="BY308" s="23">
        <f t="shared" si="252"/>
        <v>5.9014643151272549E-2</v>
      </c>
      <c r="BZ308" s="19"/>
      <c r="CA308" s="23" t="str">
        <f t="shared" si="229"/>
        <v/>
      </c>
      <c r="CB308" s="23" t="str">
        <f t="shared" si="210"/>
        <v/>
      </c>
      <c r="CC308" s="23" t="str">
        <f t="shared" si="211"/>
        <v/>
      </c>
      <c r="CD308" s="23" t="str">
        <f t="shared" si="212"/>
        <v/>
      </c>
      <c r="CE308" s="23" t="str">
        <f t="shared" si="213"/>
        <v/>
      </c>
      <c r="CF308" s="23" t="str">
        <f t="shared" si="214"/>
        <v/>
      </c>
      <c r="CG308" s="23" t="str">
        <f t="shared" si="215"/>
        <v/>
      </c>
      <c r="CH308" s="23" t="str">
        <f t="shared" si="216"/>
        <v/>
      </c>
      <c r="CI308" s="23" t="str">
        <f t="shared" si="217"/>
        <v/>
      </c>
      <c r="CJ308" s="23" t="str">
        <f t="shared" si="218"/>
        <v/>
      </c>
      <c r="CK308" s="23" t="str">
        <f t="shared" si="219"/>
        <v/>
      </c>
      <c r="CL308" s="23" t="str">
        <f t="shared" si="220"/>
        <v/>
      </c>
      <c r="CM308" s="23" t="str">
        <f t="shared" si="221"/>
        <v/>
      </c>
      <c r="CN308" s="23" t="str">
        <f t="shared" si="222"/>
        <v/>
      </c>
      <c r="CO308" s="23" t="str">
        <f t="shared" si="223"/>
        <v/>
      </c>
      <c r="CP308" s="23" t="str">
        <f t="shared" si="224"/>
        <v/>
      </c>
      <c r="CQ308" s="23" t="str">
        <f t="shared" si="225"/>
        <v/>
      </c>
      <c r="CR308" s="23" t="str">
        <f t="shared" si="226"/>
        <v/>
      </c>
      <c r="CS308" s="23" t="str">
        <f t="shared" si="227"/>
        <v/>
      </c>
      <c r="CT308" s="23" t="str">
        <f t="shared" si="228"/>
        <v/>
      </c>
      <c r="CU308" s="19"/>
    </row>
    <row r="309" spans="1:99" x14ac:dyDescent="0.25">
      <c r="A309" s="13"/>
      <c r="B309" s="14"/>
      <c r="C309" s="15" t="str" cm="1">
        <f t="array" ref="C309">IF(B309="","",INDEX('Exercise list'!$C$5:$C$102,B309))</f>
        <v/>
      </c>
      <c r="D309" s="12" t="str">
        <f t="shared" si="230"/>
        <v/>
      </c>
      <c r="E309" s="107" t="str">
        <f t="shared" si="253"/>
        <v/>
      </c>
      <c r="F309" s="63" t="str" cm="1">
        <f t="array" ref="F309">IF(B309="","",0.1+IFERROR(INDEX($F$6:$F308,SUMPRODUCT(MAX(ROW($C$6:$C308)*($C309=$C$6:$C308))-ROW($A$5)))*0.9^($A309-INDEX($A$6:A308,SUMPRODUCT(MAX(ROW($C$6:$C308)*($C309=$C$6:$C308))-ROW($A$5)))),0))</f>
        <v/>
      </c>
      <c r="G309" s="64" t="e">
        <f>INDEX('Exercise list'!$Y$5:$Y$102,MATCH(C309,'Exercise list'!$C$5:$C$102,0))</f>
        <v>#N/A</v>
      </c>
      <c r="H309" s="115">
        <f t="shared" si="231"/>
        <v>0</v>
      </c>
      <c r="I309" s="42">
        <f t="shared" si="232"/>
        <v>5</v>
      </c>
      <c r="J309" s="6" t="str" cm="1">
        <f t="array" ref="J309">IF(B309="","",INDEX('Exercise list'!$D$5:$D$102,B309))</f>
        <v/>
      </c>
      <c r="K309" s="12"/>
      <c r="L309" s="74" t="str" cm="1">
        <f t="array" ref="L309">IF(K309="","",INDEX('Exercise list'!$C$5:$C$102,K309))</f>
        <v/>
      </c>
      <c r="M309" s="6"/>
      <c r="N309" s="75" t="str" cm="1">
        <f t="array" ref="N309">IF(M309="","",INDEX('Exercise list'!$C$5:$C$102,M309))</f>
        <v/>
      </c>
      <c r="P309">
        <f>IFERROR(INDEX('Exercise list'!$E$5:$X$102,MATCH($C309,'Exercise list'!$C$5:$C$102,0),MATCH(P$5,'Exercise list'!$E$4:$X$4,0)),0)</f>
        <v>0</v>
      </c>
      <c r="Q309">
        <f>IFERROR(INDEX('Exercise list'!$E$5:$X$102,MATCH($C309,'Exercise list'!$C$5:$C$102,0),MATCH(Q$5,'Exercise list'!$E$4:$X$4,0)),0)</f>
        <v>0</v>
      </c>
      <c r="R309">
        <f>IFERROR(INDEX('Exercise list'!$E$5:$X$102,MATCH($C309,'Exercise list'!$C$5:$C$102,0),MATCH(R$5,'Exercise list'!$E$4:$X$4,0)),0)</f>
        <v>0</v>
      </c>
      <c r="S309">
        <f>IFERROR(INDEX('Exercise list'!$E$5:$X$102,MATCH($C309,'Exercise list'!$C$5:$C$102,0),MATCH(S$5,'Exercise list'!$E$4:$X$4,0)),0)</f>
        <v>0</v>
      </c>
      <c r="T309">
        <f>IFERROR(INDEX('Exercise list'!$E$5:$X$102,MATCH($C309,'Exercise list'!$C$5:$C$102,0),MATCH(T$5,'Exercise list'!$E$4:$X$4,0)),0)</f>
        <v>0</v>
      </c>
      <c r="U309">
        <f>IFERROR(INDEX('Exercise list'!$E$5:$X$102,MATCH($C309,'Exercise list'!$C$5:$C$102,0),MATCH(U$5,'Exercise list'!$E$4:$X$4,0)),0)</f>
        <v>0</v>
      </c>
      <c r="V309">
        <f>IFERROR(INDEX('Exercise list'!$E$5:$X$102,MATCH($C309,'Exercise list'!$C$5:$C$102,0),MATCH(V$5,'Exercise list'!$E$4:$X$4,0)),0)</f>
        <v>0</v>
      </c>
      <c r="W309">
        <f>IFERROR(INDEX('Exercise list'!$E$5:$X$102,MATCH($C309,'Exercise list'!$C$5:$C$102,0),MATCH(W$5,'Exercise list'!$E$4:$X$4,0)),0)</f>
        <v>0</v>
      </c>
      <c r="X309">
        <f>IFERROR(INDEX('Exercise list'!$E$5:$X$102,MATCH($C309,'Exercise list'!$C$5:$C$102,0),MATCH(X$5,'Exercise list'!$E$4:$X$4,0)),0)</f>
        <v>0</v>
      </c>
      <c r="Y309">
        <f>IFERROR(INDEX('Exercise list'!$E$5:$X$102,MATCH($C309,'Exercise list'!$C$5:$C$102,0),MATCH(Y$5,'Exercise list'!$E$4:$X$4,0)),0)</f>
        <v>0</v>
      </c>
      <c r="Z309">
        <f>IFERROR(INDEX('Exercise list'!$E$5:$X$102,MATCH($C309,'Exercise list'!$C$5:$C$102,0),MATCH(Z$5,'Exercise list'!$E$4:$X$4,0)),0)</f>
        <v>0</v>
      </c>
      <c r="AA309">
        <f>IFERROR(INDEX('Exercise list'!$E$5:$X$102,MATCH($C309,'Exercise list'!$C$5:$C$102,0),MATCH(AA$5,'Exercise list'!$E$4:$X$4,0)),0)</f>
        <v>0</v>
      </c>
      <c r="AB309">
        <f>IFERROR(INDEX('Exercise list'!$E$5:$X$102,MATCH($C309,'Exercise list'!$C$5:$C$102,0),MATCH(AB$5,'Exercise list'!$E$4:$X$4,0)),0)</f>
        <v>0</v>
      </c>
      <c r="AC309">
        <f>IFERROR(INDEX('Exercise list'!$E$5:$X$102,MATCH($C309,'Exercise list'!$C$5:$C$102,0),MATCH(AC$5,'Exercise list'!$E$4:$X$4,0)),0)</f>
        <v>0</v>
      </c>
      <c r="AD309">
        <f>IFERROR(INDEX('Exercise list'!$E$5:$X$102,MATCH($C309,'Exercise list'!$C$5:$C$102,0),MATCH(AD$5,'Exercise list'!$E$4:$X$4,0)),0)</f>
        <v>0</v>
      </c>
      <c r="AE309">
        <f>IFERROR(INDEX('Exercise list'!$E$5:$X$102,MATCH($C309,'Exercise list'!$C$5:$C$102,0),MATCH(AE$5,'Exercise list'!$E$4:$X$4,0)),0)</f>
        <v>0</v>
      </c>
      <c r="AF309">
        <f>IFERROR(INDEX('Exercise list'!$E$5:$X$102,MATCH($C309,'Exercise list'!$C$5:$C$102,0),MATCH(AF$5,'Exercise list'!$E$4:$X$4,0)),0)</f>
        <v>0</v>
      </c>
      <c r="AG309">
        <f>IFERROR(INDEX('Exercise list'!$E$5:$X$102,MATCH($C309,'Exercise list'!$C$5:$C$102,0),MATCH(AG$5,'Exercise list'!$E$4:$X$4,0)),0)</f>
        <v>0</v>
      </c>
      <c r="AH309">
        <f>IFERROR(INDEX('Exercise list'!$E$5:$X$102,MATCH($C309,'Exercise list'!$C$5:$C$102,0),MATCH(AH$5,'Exercise list'!$E$4:$X$4,0)),0)</f>
        <v>0</v>
      </c>
      <c r="AI309">
        <f>IFERROR(INDEX('Exercise list'!$E$5:$X$102,MATCH($C309,'Exercise list'!$C$5:$C$102,0),MATCH(AI$5,'Exercise list'!$E$4:$X$4,0)),0)</f>
        <v>0</v>
      </c>
      <c r="AK309">
        <f>IF(OR($J309=1,COUNTIFS($A$5:$A308,"&gt;="&amp;$A309-1,$A$5:$A308,"&lt;="&amp;$A309,$B$5:$B308,$B309)&gt;0,MIN(1-'Exercise list'!E$2,IF($A309=$A308,AK308,1))-P309&lt;0),-1,MIN(1,IF($A309=$A308,AK308,1)-P309+$D$2))</f>
        <v>1</v>
      </c>
      <c r="AL309">
        <f>IF(OR($J309=1,COUNTIFS($A$5:$A308,"&gt;="&amp;$A309-1,$A$5:$A308,"&lt;="&amp;$A309,$B$5:$B308,$B309)&gt;0,MIN(1-'Exercise list'!F$2,IF($A309=$A308,AL308,1))-Q309&lt;0),-1,MIN(1,IF($A309=$A308,AL308,1)-Q309+$D$2))</f>
        <v>1</v>
      </c>
      <c r="AM309">
        <f>IF(OR($J309=1,COUNTIFS($A$5:$A308,"&gt;="&amp;$A309-1,$A$5:$A308,"&lt;="&amp;$A309,$B$5:$B308,$B309)&gt;0,MIN(1-'Exercise list'!G$2,IF($A309=$A308,AM308,1))-R309&lt;0),-1,MIN(1,IF($A309=$A308,AM308,1)-R309+$D$2))</f>
        <v>1</v>
      </c>
      <c r="AN309">
        <f>IF(OR($J309=1,COUNTIFS($A$5:$A308,"&gt;="&amp;$A309-1,$A$5:$A308,"&lt;="&amp;$A309,$B$5:$B308,$B309)&gt;0,MIN(1-'Exercise list'!H$2,IF($A309=$A308,AN308,1))-S309&lt;0),-1,MIN(1,IF($A309=$A308,AN308,1)-S309+$D$2))</f>
        <v>1</v>
      </c>
      <c r="AO309">
        <f>IF(OR($J309=1,COUNTIFS($A$5:$A308,"&gt;="&amp;$A309-1,$A$5:$A308,"&lt;="&amp;$A309,$B$5:$B308,$B309)&gt;0,MIN(1-'Exercise list'!I$2,IF($A309=$A308,AO308,1))-T309&lt;0),-1,MIN(1,IF($A309=$A308,AO308,1)-T309+$D$2))</f>
        <v>1</v>
      </c>
      <c r="AP309">
        <f>IF(OR($J309=1,COUNTIFS($A$5:$A308,"&gt;="&amp;$A309-1,$A$5:$A308,"&lt;="&amp;$A309,$B$5:$B308,$B309)&gt;0,MIN(1-'Exercise list'!J$2,IF($A309=$A308,AP308,1))-U309&lt;0),-1,MIN(1,IF($A309=$A308,AP308,1)-U309+$D$2))</f>
        <v>1</v>
      </c>
      <c r="AQ309">
        <f>IF(OR($J309=1,COUNTIFS($A$5:$A308,"&gt;="&amp;$A309-1,$A$5:$A308,"&lt;="&amp;$A309,$B$5:$B308,$B309)&gt;0,MIN(1-'Exercise list'!K$2,IF($A309=$A308,AQ308,1))-V309&lt;0),-1,MIN(1,IF($A309=$A308,AQ308,1)-V309+$D$2))</f>
        <v>1</v>
      </c>
      <c r="AR309">
        <f>IF(OR($J309=1,COUNTIFS($A$5:$A308,"&gt;="&amp;$A309-1,$A$5:$A308,"&lt;="&amp;$A309,$B$5:$B308,$B309)&gt;0,MIN(1-'Exercise list'!L$2,IF($A309=$A308,AR308,1))-W309&lt;0),-1,MIN(1,IF($A309=$A308,AR308,1)-W309+$D$2))</f>
        <v>1</v>
      </c>
      <c r="AS309">
        <f>IF(OR($J309=1,COUNTIFS($A$5:$A308,"&gt;="&amp;$A309-1,$A$5:$A308,"&lt;="&amp;$A309,$B$5:$B308,$B309)&gt;0,MIN(1-'Exercise list'!M$2,IF($A309=$A308,AS308,1))-X309&lt;0),-1,MIN(1,IF($A309=$A308,AS308,1)-X309+$D$2))</f>
        <v>1</v>
      </c>
      <c r="AT309">
        <f>IF(OR($J309=1,COUNTIFS($A$5:$A308,"&gt;="&amp;$A309-1,$A$5:$A308,"&lt;="&amp;$A309,$B$5:$B308,$B309)&gt;0,MIN(1-'Exercise list'!N$2,IF($A309=$A308,AT308,1))-Y309&lt;0),-1,MIN(1,IF($A309=$A308,AT308,1)-Y309+$D$2))</f>
        <v>1</v>
      </c>
      <c r="AU309">
        <f>IF(OR($J309=1,COUNTIFS($A$5:$A308,"&gt;="&amp;$A309-1,$A$5:$A308,"&lt;="&amp;$A309,$B$5:$B308,$B309)&gt;0,MIN(1-'Exercise list'!O$2,IF($A309=$A308,AU308,1))-Z309&lt;0),-1,MIN(1,IF($A309=$A308,AU308,1)-Z309+$D$2))</f>
        <v>1</v>
      </c>
      <c r="AV309">
        <f>IF(OR($J309=1,COUNTIFS($A$5:$A308,"&gt;="&amp;$A309-1,$A$5:$A308,"&lt;="&amp;$A309,$B$5:$B308,$B309)&gt;0,MIN(1-'Exercise list'!P$2,IF($A309=$A308,AV308,1))-AA309&lt;0),-1,MIN(1,IF($A309=$A308,AV308,1)-AA309+$D$2))</f>
        <v>1</v>
      </c>
      <c r="AW309">
        <f>IF(OR($J309=1,COUNTIFS($A$5:$A308,"&gt;="&amp;$A309-1,$A$5:$A308,"&lt;="&amp;$A309,$B$5:$B308,$B309)&gt;0,MIN(1-'Exercise list'!Q$2,IF($A309=$A308,AW308,1))-AB309&lt;0),-1,MIN(1,IF($A309=$A308,AW308,1)-AB309+$D$2))</f>
        <v>1</v>
      </c>
      <c r="AX309">
        <f>IF(OR($J309=1,COUNTIFS($A$5:$A308,"&gt;="&amp;$A309-1,$A$5:$A308,"&lt;="&amp;$A309,$B$5:$B308,$B309)&gt;0,MIN(1-'Exercise list'!R$2,IF($A309=$A308,AX308,1))-AC309&lt;0),-1,MIN(1,IF($A309=$A308,AX308,1)-AC309+$D$2))</f>
        <v>1</v>
      </c>
      <c r="AY309">
        <f>IF(OR($J309=1,COUNTIFS($A$5:$A308,"&gt;="&amp;$A309-1,$A$5:$A308,"&lt;="&amp;$A309,$B$5:$B308,$B309)&gt;0,MIN(1-'Exercise list'!S$2,IF($A309=$A308,AY308,1))-AD309&lt;0),-1,MIN(1,IF($A309=$A308,AY308,1)-AD309+$D$2))</f>
        <v>1</v>
      </c>
      <c r="AZ309">
        <f>IF(OR($J309=1,COUNTIFS($A$5:$A308,"&gt;="&amp;$A309-1,$A$5:$A308,"&lt;="&amp;$A309,$B$5:$B308,$B309)&gt;0,MIN(1-'Exercise list'!T$2,IF($A309=$A308,AZ308,1))-AE309&lt;0),-1,MIN(1,IF($A309=$A308,AZ308,1)-AE309+$D$2))</f>
        <v>1</v>
      </c>
      <c r="BA309">
        <f>IF(OR($J309=1,COUNTIFS($A$5:$A308,"&gt;="&amp;$A309-1,$A$5:$A308,"&lt;="&amp;$A309,$B$5:$B308,$B309)&gt;0,MIN(1-'Exercise list'!U$2,IF($A309=$A308,BA308,1))-AF309&lt;0),-1,MIN(1,IF($A309=$A308,BA308,1)-AF309+$D$2))</f>
        <v>1</v>
      </c>
      <c r="BB309">
        <f>IF(OR($J309=1,COUNTIFS($A$5:$A308,"&gt;="&amp;$A309-1,$A$5:$A308,"&lt;="&amp;$A309,$B$5:$B308,$B309)&gt;0,MIN(1-'Exercise list'!V$2,IF($A309=$A308,BB308,1))-AG309&lt;0),-1,MIN(1,IF($A309=$A308,BB308,1)-AG309+$D$2))</f>
        <v>1</v>
      </c>
      <c r="BC309">
        <f>IF(OR($J309=1,COUNTIFS($A$5:$A308,"&gt;="&amp;$A309-1,$A$5:$A308,"&lt;="&amp;$A309,$B$5:$B308,$B309)&gt;0,MIN(1-'Exercise list'!W$2,IF($A309=$A308,BC308,1))-AH309&lt;0),-1,MIN(1,IF($A309=$A308,BC308,1)-AH309+$D$2))</f>
        <v>1</v>
      </c>
      <c r="BD309">
        <f>IF(OR($J309=1,COUNTIFS($A$5:$A308,"&gt;="&amp;$A309-1,$A$5:$A308,"&lt;="&amp;$A309,$B$5:$B308,$B309)&gt;0,MIN(1-'Exercise list'!X$2,IF($A309=$A308,BD308,1))-AI309&lt;0),-1,MIN(1,IF($A309=$A308,BD308,1)-AI309+$D$2))</f>
        <v>1</v>
      </c>
      <c r="BF309" s="16">
        <f t="shared" si="233"/>
        <v>0.19596031081758858</v>
      </c>
      <c r="BG309" s="16">
        <f t="shared" si="234"/>
        <v>0.21844636935459236</v>
      </c>
      <c r="BH309" s="16">
        <f t="shared" si="235"/>
        <v>0.14609696635987124</v>
      </c>
      <c r="BI309" s="16">
        <f t="shared" si="236"/>
        <v>0.13198015366034541</v>
      </c>
      <c r="BJ309" s="16">
        <f t="shared" si="237"/>
        <v>8.3367914198418713E-2</v>
      </c>
      <c r="BK309" s="16">
        <f t="shared" si="238"/>
        <v>0.10640640223148412</v>
      </c>
      <c r="BL309" s="16">
        <f t="shared" si="239"/>
        <v>0.21963504743569431</v>
      </c>
      <c r="BM309" s="16">
        <f t="shared" si="240"/>
        <v>3.8988008374820568E-3</v>
      </c>
      <c r="BN309" s="16">
        <f t="shared" si="241"/>
        <v>0.14537706087090876</v>
      </c>
      <c r="BO309" s="16">
        <f t="shared" si="242"/>
        <v>0.29209790661993401</v>
      </c>
      <c r="BP309" s="16">
        <f t="shared" si="243"/>
        <v>0.31584545163401867</v>
      </c>
      <c r="BQ309" s="16">
        <f t="shared" si="244"/>
        <v>0.1000007994126096</v>
      </c>
      <c r="BR309" s="16">
        <f t="shared" si="245"/>
        <v>0.13164487759885393</v>
      </c>
      <c r="BS309" s="16">
        <f t="shared" si="246"/>
        <v>2.9803550189863123E-2</v>
      </c>
      <c r="BT309" s="16">
        <f t="shared" si="247"/>
        <v>0.13492040904978705</v>
      </c>
      <c r="BU309" s="16">
        <f t="shared" si="248"/>
        <v>0.11703687414398131</v>
      </c>
      <c r="BV309" s="16">
        <f t="shared" si="249"/>
        <v>0.14633353213781661</v>
      </c>
      <c r="BW309" s="16">
        <f t="shared" si="250"/>
        <v>7.5588015111767173E-2</v>
      </c>
      <c r="BX309" s="16">
        <f t="shared" si="251"/>
        <v>8.0345659937185704E-2</v>
      </c>
      <c r="BY309" s="16">
        <f t="shared" si="252"/>
        <v>5.9014643151272549E-2</v>
      </c>
      <c r="CA309" s="16" t="str">
        <f t="shared" si="229"/>
        <v/>
      </c>
      <c r="CB309" s="16" t="str">
        <f t="shared" si="210"/>
        <v/>
      </c>
      <c r="CC309" s="16" t="str">
        <f t="shared" si="211"/>
        <v/>
      </c>
      <c r="CD309" s="16" t="str">
        <f t="shared" si="212"/>
        <v/>
      </c>
      <c r="CE309" s="16" t="str">
        <f t="shared" si="213"/>
        <v/>
      </c>
      <c r="CF309" s="16" t="str">
        <f t="shared" si="214"/>
        <v/>
      </c>
      <c r="CG309" s="16" t="str">
        <f t="shared" si="215"/>
        <v/>
      </c>
      <c r="CH309" s="16" t="str">
        <f t="shared" si="216"/>
        <v/>
      </c>
      <c r="CI309" s="16" t="str">
        <f t="shared" si="217"/>
        <v/>
      </c>
      <c r="CJ309" s="16" t="str">
        <f t="shared" si="218"/>
        <v/>
      </c>
      <c r="CK309" s="16" t="str">
        <f t="shared" si="219"/>
        <v/>
      </c>
      <c r="CL309" s="16" t="str">
        <f t="shared" si="220"/>
        <v/>
      </c>
      <c r="CM309" s="16" t="str">
        <f t="shared" si="221"/>
        <v/>
      </c>
      <c r="CN309" s="16" t="str">
        <f t="shared" si="222"/>
        <v/>
      </c>
      <c r="CO309" s="16" t="str">
        <f t="shared" si="223"/>
        <v/>
      </c>
      <c r="CP309" s="16" t="str">
        <f t="shared" si="224"/>
        <v/>
      </c>
      <c r="CQ309" s="16" t="str">
        <f t="shared" si="225"/>
        <v/>
      </c>
      <c r="CR309" s="16" t="str">
        <f t="shared" si="226"/>
        <v/>
      </c>
      <c r="CS309" s="16" t="str">
        <f t="shared" si="227"/>
        <v/>
      </c>
      <c r="CT309" s="16" t="str">
        <f t="shared" si="228"/>
        <v/>
      </c>
    </row>
    <row r="310" spans="1:99" x14ac:dyDescent="0.25">
      <c r="A310" s="13"/>
      <c r="B310" s="14"/>
      <c r="C310" s="15" t="str" cm="1">
        <f t="array" ref="C310">IF(B310="","",INDEX('Exercise list'!$C$5:$C$102,B310))</f>
        <v/>
      </c>
      <c r="D310" s="12" t="str">
        <f t="shared" si="230"/>
        <v/>
      </c>
      <c r="E310" s="107" t="str">
        <f t="shared" si="253"/>
        <v/>
      </c>
      <c r="F310" s="63" t="str" cm="1">
        <f t="array" ref="F310">IF(B310="","",0.1+IFERROR(INDEX($F$6:$F309,SUMPRODUCT(MAX(ROW($C$6:$C309)*($C310=$C$6:$C309))-ROW($A$5)))*0.9^($A310-INDEX($A$6:A309,SUMPRODUCT(MAX(ROW($C$6:$C309)*($C310=$C$6:$C309))-ROW($A$5)))),0))</f>
        <v/>
      </c>
      <c r="G310" s="64" t="e">
        <f>INDEX('Exercise list'!$Y$5:$Y$102,MATCH(C310,'Exercise list'!$C$5:$C$102,0))</f>
        <v>#N/A</v>
      </c>
      <c r="H310" s="115">
        <f t="shared" si="231"/>
        <v>0</v>
      </c>
      <c r="I310" s="6">
        <f t="shared" si="232"/>
        <v>5</v>
      </c>
      <c r="J310" s="6" t="str" cm="1">
        <f t="array" ref="J310">IF(B310="","",INDEX('Exercise list'!$D$5:$D$102,B310))</f>
        <v/>
      </c>
      <c r="K310" s="12"/>
      <c r="L310" s="74" t="str" cm="1">
        <f t="array" ref="L310">IF(K310="","",INDEX('Exercise list'!$C$5:$C$102,K310))</f>
        <v/>
      </c>
      <c r="M310" s="6"/>
      <c r="N310" s="75" t="str" cm="1">
        <f t="array" ref="N310">IF(M310="","",INDEX('Exercise list'!$C$5:$C$102,M310))</f>
        <v/>
      </c>
      <c r="P310">
        <f>IFERROR(INDEX('Exercise list'!$E$5:$X$102,MATCH($C310,'Exercise list'!$C$5:$C$102,0),MATCH(P$5,'Exercise list'!$E$4:$X$4,0)),0)</f>
        <v>0</v>
      </c>
      <c r="Q310">
        <f>IFERROR(INDEX('Exercise list'!$E$5:$X$102,MATCH($C310,'Exercise list'!$C$5:$C$102,0),MATCH(Q$5,'Exercise list'!$E$4:$X$4,0)),0)</f>
        <v>0</v>
      </c>
      <c r="R310">
        <f>IFERROR(INDEX('Exercise list'!$E$5:$X$102,MATCH($C310,'Exercise list'!$C$5:$C$102,0),MATCH(R$5,'Exercise list'!$E$4:$X$4,0)),0)</f>
        <v>0</v>
      </c>
      <c r="S310">
        <f>IFERROR(INDEX('Exercise list'!$E$5:$X$102,MATCH($C310,'Exercise list'!$C$5:$C$102,0),MATCH(S$5,'Exercise list'!$E$4:$X$4,0)),0)</f>
        <v>0</v>
      </c>
      <c r="T310">
        <f>IFERROR(INDEX('Exercise list'!$E$5:$X$102,MATCH($C310,'Exercise list'!$C$5:$C$102,0),MATCH(T$5,'Exercise list'!$E$4:$X$4,0)),0)</f>
        <v>0</v>
      </c>
      <c r="U310">
        <f>IFERROR(INDEX('Exercise list'!$E$5:$X$102,MATCH($C310,'Exercise list'!$C$5:$C$102,0),MATCH(U$5,'Exercise list'!$E$4:$X$4,0)),0)</f>
        <v>0</v>
      </c>
      <c r="V310">
        <f>IFERROR(INDEX('Exercise list'!$E$5:$X$102,MATCH($C310,'Exercise list'!$C$5:$C$102,0),MATCH(V$5,'Exercise list'!$E$4:$X$4,0)),0)</f>
        <v>0</v>
      </c>
      <c r="W310">
        <f>IFERROR(INDEX('Exercise list'!$E$5:$X$102,MATCH($C310,'Exercise list'!$C$5:$C$102,0),MATCH(W$5,'Exercise list'!$E$4:$X$4,0)),0)</f>
        <v>0</v>
      </c>
      <c r="X310">
        <f>IFERROR(INDEX('Exercise list'!$E$5:$X$102,MATCH($C310,'Exercise list'!$C$5:$C$102,0),MATCH(X$5,'Exercise list'!$E$4:$X$4,0)),0)</f>
        <v>0</v>
      </c>
      <c r="Y310">
        <f>IFERROR(INDEX('Exercise list'!$E$5:$X$102,MATCH($C310,'Exercise list'!$C$5:$C$102,0),MATCH(Y$5,'Exercise list'!$E$4:$X$4,0)),0)</f>
        <v>0</v>
      </c>
      <c r="Z310">
        <f>IFERROR(INDEX('Exercise list'!$E$5:$X$102,MATCH($C310,'Exercise list'!$C$5:$C$102,0),MATCH(Z$5,'Exercise list'!$E$4:$X$4,0)),0)</f>
        <v>0</v>
      </c>
      <c r="AA310">
        <f>IFERROR(INDEX('Exercise list'!$E$5:$X$102,MATCH($C310,'Exercise list'!$C$5:$C$102,0),MATCH(AA$5,'Exercise list'!$E$4:$X$4,0)),0)</f>
        <v>0</v>
      </c>
      <c r="AB310">
        <f>IFERROR(INDEX('Exercise list'!$E$5:$X$102,MATCH($C310,'Exercise list'!$C$5:$C$102,0),MATCH(AB$5,'Exercise list'!$E$4:$X$4,0)),0)</f>
        <v>0</v>
      </c>
      <c r="AC310">
        <f>IFERROR(INDEX('Exercise list'!$E$5:$X$102,MATCH($C310,'Exercise list'!$C$5:$C$102,0),MATCH(AC$5,'Exercise list'!$E$4:$X$4,0)),0)</f>
        <v>0</v>
      </c>
      <c r="AD310">
        <f>IFERROR(INDEX('Exercise list'!$E$5:$X$102,MATCH($C310,'Exercise list'!$C$5:$C$102,0),MATCH(AD$5,'Exercise list'!$E$4:$X$4,0)),0)</f>
        <v>0</v>
      </c>
      <c r="AE310">
        <f>IFERROR(INDEX('Exercise list'!$E$5:$X$102,MATCH($C310,'Exercise list'!$C$5:$C$102,0),MATCH(AE$5,'Exercise list'!$E$4:$X$4,0)),0)</f>
        <v>0</v>
      </c>
      <c r="AF310">
        <f>IFERROR(INDEX('Exercise list'!$E$5:$X$102,MATCH($C310,'Exercise list'!$C$5:$C$102,0),MATCH(AF$5,'Exercise list'!$E$4:$X$4,0)),0)</f>
        <v>0</v>
      </c>
      <c r="AG310">
        <f>IFERROR(INDEX('Exercise list'!$E$5:$X$102,MATCH($C310,'Exercise list'!$C$5:$C$102,0),MATCH(AG$5,'Exercise list'!$E$4:$X$4,0)),0)</f>
        <v>0</v>
      </c>
      <c r="AH310">
        <f>IFERROR(INDEX('Exercise list'!$E$5:$X$102,MATCH($C310,'Exercise list'!$C$5:$C$102,0),MATCH(AH$5,'Exercise list'!$E$4:$X$4,0)),0)</f>
        <v>0</v>
      </c>
      <c r="AI310">
        <f>IFERROR(INDEX('Exercise list'!$E$5:$X$102,MATCH($C310,'Exercise list'!$C$5:$C$102,0),MATCH(AI$5,'Exercise list'!$E$4:$X$4,0)),0)</f>
        <v>0</v>
      </c>
      <c r="AK310">
        <f>IF(OR($J310=1,COUNTIFS($A$5:$A309,"&gt;="&amp;$A310-1,$A$5:$A309,"&lt;="&amp;$A310,$B$5:$B309,$B310)&gt;0,MIN(1-'Exercise list'!E$2,IF($A310=$A309,AK309,1))-P310&lt;0),-1,MIN(1,IF($A310=$A309,AK309,1)-P310+$D$2))</f>
        <v>1</v>
      </c>
      <c r="AL310">
        <f>IF(OR($J310=1,COUNTIFS($A$5:$A309,"&gt;="&amp;$A310-1,$A$5:$A309,"&lt;="&amp;$A310,$B$5:$B309,$B310)&gt;0,MIN(1-'Exercise list'!F$2,IF($A310=$A309,AL309,1))-Q310&lt;0),-1,MIN(1,IF($A310=$A309,AL309,1)-Q310+$D$2))</f>
        <v>1</v>
      </c>
      <c r="AM310">
        <f>IF(OR($J310=1,COUNTIFS($A$5:$A309,"&gt;="&amp;$A310-1,$A$5:$A309,"&lt;="&amp;$A310,$B$5:$B309,$B310)&gt;0,MIN(1-'Exercise list'!G$2,IF($A310=$A309,AM309,1))-R310&lt;0),-1,MIN(1,IF($A310=$A309,AM309,1)-R310+$D$2))</f>
        <v>1</v>
      </c>
      <c r="AN310">
        <f>IF(OR($J310=1,COUNTIFS($A$5:$A309,"&gt;="&amp;$A310-1,$A$5:$A309,"&lt;="&amp;$A310,$B$5:$B309,$B310)&gt;0,MIN(1-'Exercise list'!H$2,IF($A310=$A309,AN309,1))-S310&lt;0),-1,MIN(1,IF($A310=$A309,AN309,1)-S310+$D$2))</f>
        <v>1</v>
      </c>
      <c r="AO310">
        <f>IF(OR($J310=1,COUNTIFS($A$5:$A309,"&gt;="&amp;$A310-1,$A$5:$A309,"&lt;="&amp;$A310,$B$5:$B309,$B310)&gt;0,MIN(1-'Exercise list'!I$2,IF($A310=$A309,AO309,1))-T310&lt;0),-1,MIN(1,IF($A310=$A309,AO309,1)-T310+$D$2))</f>
        <v>1</v>
      </c>
      <c r="AP310">
        <f>IF(OR($J310=1,COUNTIFS($A$5:$A309,"&gt;="&amp;$A310-1,$A$5:$A309,"&lt;="&amp;$A310,$B$5:$B309,$B310)&gt;0,MIN(1-'Exercise list'!J$2,IF($A310=$A309,AP309,1))-U310&lt;0),-1,MIN(1,IF($A310=$A309,AP309,1)-U310+$D$2))</f>
        <v>1</v>
      </c>
      <c r="AQ310">
        <f>IF(OR($J310=1,COUNTIFS($A$5:$A309,"&gt;="&amp;$A310-1,$A$5:$A309,"&lt;="&amp;$A310,$B$5:$B309,$B310)&gt;0,MIN(1-'Exercise list'!K$2,IF($A310=$A309,AQ309,1))-V310&lt;0),-1,MIN(1,IF($A310=$A309,AQ309,1)-V310+$D$2))</f>
        <v>1</v>
      </c>
      <c r="AR310">
        <f>IF(OR($J310=1,COUNTIFS($A$5:$A309,"&gt;="&amp;$A310-1,$A$5:$A309,"&lt;="&amp;$A310,$B$5:$B309,$B310)&gt;0,MIN(1-'Exercise list'!L$2,IF($A310=$A309,AR309,1))-W310&lt;0),-1,MIN(1,IF($A310=$A309,AR309,1)-W310+$D$2))</f>
        <v>1</v>
      </c>
      <c r="AS310">
        <f>IF(OR($J310=1,COUNTIFS($A$5:$A309,"&gt;="&amp;$A310-1,$A$5:$A309,"&lt;="&amp;$A310,$B$5:$B309,$B310)&gt;0,MIN(1-'Exercise list'!M$2,IF($A310=$A309,AS309,1))-X310&lt;0),-1,MIN(1,IF($A310=$A309,AS309,1)-X310+$D$2))</f>
        <v>1</v>
      </c>
      <c r="AT310">
        <f>IF(OR($J310=1,COUNTIFS($A$5:$A309,"&gt;="&amp;$A310-1,$A$5:$A309,"&lt;="&amp;$A310,$B$5:$B309,$B310)&gt;0,MIN(1-'Exercise list'!N$2,IF($A310=$A309,AT309,1))-Y310&lt;0),-1,MIN(1,IF($A310=$A309,AT309,1)-Y310+$D$2))</f>
        <v>1</v>
      </c>
      <c r="AU310">
        <f>IF(OR($J310=1,COUNTIFS($A$5:$A309,"&gt;="&amp;$A310-1,$A$5:$A309,"&lt;="&amp;$A310,$B$5:$B309,$B310)&gt;0,MIN(1-'Exercise list'!O$2,IF($A310=$A309,AU309,1))-Z310&lt;0),-1,MIN(1,IF($A310=$A309,AU309,1)-Z310+$D$2))</f>
        <v>1</v>
      </c>
      <c r="AV310">
        <f>IF(OR($J310=1,COUNTIFS($A$5:$A309,"&gt;="&amp;$A310-1,$A$5:$A309,"&lt;="&amp;$A310,$B$5:$B309,$B310)&gt;0,MIN(1-'Exercise list'!P$2,IF($A310=$A309,AV309,1))-AA310&lt;0),-1,MIN(1,IF($A310=$A309,AV309,1)-AA310+$D$2))</f>
        <v>1</v>
      </c>
      <c r="AW310">
        <f>IF(OR($J310=1,COUNTIFS($A$5:$A309,"&gt;="&amp;$A310-1,$A$5:$A309,"&lt;="&amp;$A310,$B$5:$B309,$B310)&gt;0,MIN(1-'Exercise list'!Q$2,IF($A310=$A309,AW309,1))-AB310&lt;0),-1,MIN(1,IF($A310=$A309,AW309,1)-AB310+$D$2))</f>
        <v>1</v>
      </c>
      <c r="AX310">
        <f>IF(OR($J310=1,COUNTIFS($A$5:$A309,"&gt;="&amp;$A310-1,$A$5:$A309,"&lt;="&amp;$A310,$B$5:$B309,$B310)&gt;0,MIN(1-'Exercise list'!R$2,IF($A310=$A309,AX309,1))-AC310&lt;0),-1,MIN(1,IF($A310=$A309,AX309,1)-AC310+$D$2))</f>
        <v>1</v>
      </c>
      <c r="AY310">
        <f>IF(OR($J310=1,COUNTIFS($A$5:$A309,"&gt;="&amp;$A310-1,$A$5:$A309,"&lt;="&amp;$A310,$B$5:$B309,$B310)&gt;0,MIN(1-'Exercise list'!S$2,IF($A310=$A309,AY309,1))-AD310&lt;0),-1,MIN(1,IF($A310=$A309,AY309,1)-AD310+$D$2))</f>
        <v>1</v>
      </c>
      <c r="AZ310">
        <f>IF(OR($J310=1,COUNTIFS($A$5:$A309,"&gt;="&amp;$A310-1,$A$5:$A309,"&lt;="&amp;$A310,$B$5:$B309,$B310)&gt;0,MIN(1-'Exercise list'!T$2,IF($A310=$A309,AZ309,1))-AE310&lt;0),-1,MIN(1,IF($A310=$A309,AZ309,1)-AE310+$D$2))</f>
        <v>1</v>
      </c>
      <c r="BA310">
        <f>IF(OR($J310=1,COUNTIFS($A$5:$A309,"&gt;="&amp;$A310-1,$A$5:$A309,"&lt;="&amp;$A310,$B$5:$B309,$B310)&gt;0,MIN(1-'Exercise list'!U$2,IF($A310=$A309,BA309,1))-AF310&lt;0),-1,MIN(1,IF($A310=$A309,BA309,1)-AF310+$D$2))</f>
        <v>1</v>
      </c>
      <c r="BB310">
        <f>IF(OR($J310=1,COUNTIFS($A$5:$A309,"&gt;="&amp;$A310-1,$A$5:$A309,"&lt;="&amp;$A310,$B$5:$B309,$B310)&gt;0,MIN(1-'Exercise list'!V$2,IF($A310=$A309,BB309,1))-AG310&lt;0),-1,MIN(1,IF($A310=$A309,BB309,1)-AG310+$D$2))</f>
        <v>1</v>
      </c>
      <c r="BC310">
        <f>IF(OR($J310=1,COUNTIFS($A$5:$A309,"&gt;="&amp;$A310-1,$A$5:$A309,"&lt;="&amp;$A310,$B$5:$B309,$B310)&gt;0,MIN(1-'Exercise list'!W$2,IF($A310=$A309,BC309,1))-AH310&lt;0),-1,MIN(1,IF($A310=$A309,BC309,1)-AH310+$D$2))</f>
        <v>1</v>
      </c>
      <c r="BD310">
        <f>IF(OR($J310=1,COUNTIFS($A$5:$A309,"&gt;="&amp;$A310-1,$A$5:$A309,"&lt;="&amp;$A310,$B$5:$B309,$B310)&gt;0,MIN(1-'Exercise list'!X$2,IF($A310=$A309,BD309,1))-AI310&lt;0),-1,MIN(1,IF($A310=$A309,BD309,1)-AI310+$D$2))</f>
        <v>1</v>
      </c>
      <c r="BF310" s="16">
        <f t="shared" si="233"/>
        <v>0.19596031081758858</v>
      </c>
      <c r="BG310" s="16">
        <f t="shared" si="234"/>
        <v>0.21844636935459236</v>
      </c>
      <c r="BH310" s="16">
        <f t="shared" si="235"/>
        <v>0.14609696635987124</v>
      </c>
      <c r="BI310" s="16">
        <f t="shared" si="236"/>
        <v>0.13198015366034541</v>
      </c>
      <c r="BJ310" s="16">
        <f t="shared" si="237"/>
        <v>8.3367914198418713E-2</v>
      </c>
      <c r="BK310" s="16">
        <f t="shared" si="238"/>
        <v>0.10640640223148412</v>
      </c>
      <c r="BL310" s="16">
        <f t="shared" si="239"/>
        <v>0.21963504743569431</v>
      </c>
      <c r="BM310" s="16">
        <f t="shared" si="240"/>
        <v>3.8988008374820568E-3</v>
      </c>
      <c r="BN310" s="16">
        <f t="shared" si="241"/>
        <v>0.14537706087090876</v>
      </c>
      <c r="BO310" s="16">
        <f t="shared" si="242"/>
        <v>0.29209790661993401</v>
      </c>
      <c r="BP310" s="16">
        <f t="shared" si="243"/>
        <v>0.31584545163401867</v>
      </c>
      <c r="BQ310" s="16">
        <f t="shared" si="244"/>
        <v>0.1000007994126096</v>
      </c>
      <c r="BR310" s="16">
        <f t="shared" si="245"/>
        <v>0.13164487759885393</v>
      </c>
      <c r="BS310" s="16">
        <f t="shared" si="246"/>
        <v>2.9803550189863123E-2</v>
      </c>
      <c r="BT310" s="16">
        <f t="shared" si="247"/>
        <v>0.13492040904978705</v>
      </c>
      <c r="BU310" s="16">
        <f t="shared" si="248"/>
        <v>0.11703687414398131</v>
      </c>
      <c r="BV310" s="16">
        <f t="shared" si="249"/>
        <v>0.14633353213781661</v>
      </c>
      <c r="BW310" s="16">
        <f t="shared" si="250"/>
        <v>7.5588015111767173E-2</v>
      </c>
      <c r="BX310" s="16">
        <f t="shared" si="251"/>
        <v>8.0345659937185704E-2</v>
      </c>
      <c r="BY310" s="16">
        <f t="shared" si="252"/>
        <v>5.9014643151272549E-2</v>
      </c>
      <c r="CA310" s="16" t="str">
        <f t="shared" si="229"/>
        <v/>
      </c>
      <c r="CB310" s="16" t="str">
        <f t="shared" si="210"/>
        <v/>
      </c>
      <c r="CC310" s="16" t="str">
        <f t="shared" si="211"/>
        <v/>
      </c>
      <c r="CD310" s="16" t="str">
        <f t="shared" si="212"/>
        <v/>
      </c>
      <c r="CE310" s="16" t="str">
        <f t="shared" si="213"/>
        <v/>
      </c>
      <c r="CF310" s="16" t="str">
        <f t="shared" si="214"/>
        <v/>
      </c>
      <c r="CG310" s="16" t="str">
        <f t="shared" si="215"/>
        <v/>
      </c>
      <c r="CH310" s="16" t="str">
        <f t="shared" si="216"/>
        <v/>
      </c>
      <c r="CI310" s="16" t="str">
        <f t="shared" si="217"/>
        <v/>
      </c>
      <c r="CJ310" s="16" t="str">
        <f t="shared" si="218"/>
        <v/>
      </c>
      <c r="CK310" s="16" t="str">
        <f t="shared" si="219"/>
        <v/>
      </c>
      <c r="CL310" s="16" t="str">
        <f t="shared" si="220"/>
        <v/>
      </c>
      <c r="CM310" s="16" t="str">
        <f t="shared" si="221"/>
        <v/>
      </c>
      <c r="CN310" s="16" t="str">
        <f t="shared" si="222"/>
        <v/>
      </c>
      <c r="CO310" s="16" t="str">
        <f t="shared" si="223"/>
        <v/>
      </c>
      <c r="CP310" s="16" t="str">
        <f t="shared" si="224"/>
        <v/>
      </c>
      <c r="CQ310" s="16" t="str">
        <f t="shared" si="225"/>
        <v/>
      </c>
      <c r="CR310" s="16" t="str">
        <f t="shared" si="226"/>
        <v/>
      </c>
      <c r="CS310" s="16" t="str">
        <f t="shared" si="227"/>
        <v/>
      </c>
      <c r="CT310" s="16" t="str">
        <f t="shared" si="228"/>
        <v/>
      </c>
    </row>
    <row r="311" spans="1:99" x14ac:dyDescent="0.25">
      <c r="A311" s="13"/>
      <c r="B311" s="14"/>
      <c r="C311" s="15" t="str" cm="1">
        <f t="array" ref="C311">IF(B311="","",INDEX('Exercise list'!$C$5:$C$102,B311))</f>
        <v/>
      </c>
      <c r="D311" s="12" t="str">
        <f t="shared" si="230"/>
        <v/>
      </c>
      <c r="E311" s="107" t="str">
        <f t="shared" si="253"/>
        <v/>
      </c>
      <c r="F311" s="63" t="str" cm="1">
        <f t="array" ref="F311">IF(B311="","",0.1+IFERROR(INDEX($F$6:$F310,SUMPRODUCT(MAX(ROW($C$6:$C310)*($C311=$C$6:$C310))-ROW($A$5)))*0.9^($A311-INDEX($A$6:A310,SUMPRODUCT(MAX(ROW($C$6:$C310)*($C311=$C$6:$C310))-ROW($A$5)))),0))</f>
        <v/>
      </c>
      <c r="G311" s="64" t="e">
        <f>INDEX('Exercise list'!$Y$5:$Y$102,MATCH(C311,'Exercise list'!$C$5:$C$102,0))</f>
        <v>#N/A</v>
      </c>
      <c r="H311" s="115">
        <f t="shared" si="231"/>
        <v>0</v>
      </c>
      <c r="I311" s="6">
        <f t="shared" si="232"/>
        <v>5</v>
      </c>
      <c r="J311" s="6" t="str" cm="1">
        <f t="array" ref="J311">IF(B311="","",INDEX('Exercise list'!$D$5:$D$102,B311))</f>
        <v/>
      </c>
      <c r="K311" s="12"/>
      <c r="L311" s="74" t="str" cm="1">
        <f t="array" ref="L311">IF(K311="","",INDEX('Exercise list'!$C$5:$C$102,K311))</f>
        <v/>
      </c>
      <c r="M311" s="6"/>
      <c r="N311" s="75" t="str" cm="1">
        <f t="array" ref="N311">IF(M311="","",INDEX('Exercise list'!$C$5:$C$102,M311))</f>
        <v/>
      </c>
      <c r="P311">
        <f>IFERROR(INDEX('Exercise list'!$E$5:$X$102,MATCH($C311,'Exercise list'!$C$5:$C$102,0),MATCH(P$5,'Exercise list'!$E$4:$X$4,0)),0)</f>
        <v>0</v>
      </c>
      <c r="Q311">
        <f>IFERROR(INDEX('Exercise list'!$E$5:$X$102,MATCH($C311,'Exercise list'!$C$5:$C$102,0),MATCH(Q$5,'Exercise list'!$E$4:$X$4,0)),0)</f>
        <v>0</v>
      </c>
      <c r="R311">
        <f>IFERROR(INDEX('Exercise list'!$E$5:$X$102,MATCH($C311,'Exercise list'!$C$5:$C$102,0),MATCH(R$5,'Exercise list'!$E$4:$X$4,0)),0)</f>
        <v>0</v>
      </c>
      <c r="S311">
        <f>IFERROR(INDEX('Exercise list'!$E$5:$X$102,MATCH($C311,'Exercise list'!$C$5:$C$102,0),MATCH(S$5,'Exercise list'!$E$4:$X$4,0)),0)</f>
        <v>0</v>
      </c>
      <c r="T311">
        <f>IFERROR(INDEX('Exercise list'!$E$5:$X$102,MATCH($C311,'Exercise list'!$C$5:$C$102,0),MATCH(T$5,'Exercise list'!$E$4:$X$4,0)),0)</f>
        <v>0</v>
      </c>
      <c r="U311">
        <f>IFERROR(INDEX('Exercise list'!$E$5:$X$102,MATCH($C311,'Exercise list'!$C$5:$C$102,0),MATCH(U$5,'Exercise list'!$E$4:$X$4,0)),0)</f>
        <v>0</v>
      </c>
      <c r="V311">
        <f>IFERROR(INDEX('Exercise list'!$E$5:$X$102,MATCH($C311,'Exercise list'!$C$5:$C$102,0),MATCH(V$5,'Exercise list'!$E$4:$X$4,0)),0)</f>
        <v>0</v>
      </c>
      <c r="W311">
        <f>IFERROR(INDEX('Exercise list'!$E$5:$X$102,MATCH($C311,'Exercise list'!$C$5:$C$102,0),MATCH(W$5,'Exercise list'!$E$4:$X$4,0)),0)</f>
        <v>0</v>
      </c>
      <c r="X311">
        <f>IFERROR(INDEX('Exercise list'!$E$5:$X$102,MATCH($C311,'Exercise list'!$C$5:$C$102,0),MATCH(X$5,'Exercise list'!$E$4:$X$4,0)),0)</f>
        <v>0</v>
      </c>
      <c r="Y311">
        <f>IFERROR(INDEX('Exercise list'!$E$5:$X$102,MATCH($C311,'Exercise list'!$C$5:$C$102,0),MATCH(Y$5,'Exercise list'!$E$4:$X$4,0)),0)</f>
        <v>0</v>
      </c>
      <c r="Z311">
        <f>IFERROR(INDEX('Exercise list'!$E$5:$X$102,MATCH($C311,'Exercise list'!$C$5:$C$102,0),MATCH(Z$5,'Exercise list'!$E$4:$X$4,0)),0)</f>
        <v>0</v>
      </c>
      <c r="AA311">
        <f>IFERROR(INDEX('Exercise list'!$E$5:$X$102,MATCH($C311,'Exercise list'!$C$5:$C$102,0),MATCH(AA$5,'Exercise list'!$E$4:$X$4,0)),0)</f>
        <v>0</v>
      </c>
      <c r="AB311">
        <f>IFERROR(INDEX('Exercise list'!$E$5:$X$102,MATCH($C311,'Exercise list'!$C$5:$C$102,0),MATCH(AB$5,'Exercise list'!$E$4:$X$4,0)),0)</f>
        <v>0</v>
      </c>
      <c r="AC311">
        <f>IFERROR(INDEX('Exercise list'!$E$5:$X$102,MATCH($C311,'Exercise list'!$C$5:$C$102,0),MATCH(AC$5,'Exercise list'!$E$4:$X$4,0)),0)</f>
        <v>0</v>
      </c>
      <c r="AD311">
        <f>IFERROR(INDEX('Exercise list'!$E$5:$X$102,MATCH($C311,'Exercise list'!$C$5:$C$102,0),MATCH(AD$5,'Exercise list'!$E$4:$X$4,0)),0)</f>
        <v>0</v>
      </c>
      <c r="AE311">
        <f>IFERROR(INDEX('Exercise list'!$E$5:$X$102,MATCH($C311,'Exercise list'!$C$5:$C$102,0),MATCH(AE$5,'Exercise list'!$E$4:$X$4,0)),0)</f>
        <v>0</v>
      </c>
      <c r="AF311">
        <f>IFERROR(INDEX('Exercise list'!$E$5:$X$102,MATCH($C311,'Exercise list'!$C$5:$C$102,0),MATCH(AF$5,'Exercise list'!$E$4:$X$4,0)),0)</f>
        <v>0</v>
      </c>
      <c r="AG311">
        <f>IFERROR(INDEX('Exercise list'!$E$5:$X$102,MATCH($C311,'Exercise list'!$C$5:$C$102,0),MATCH(AG$5,'Exercise list'!$E$4:$X$4,0)),0)</f>
        <v>0</v>
      </c>
      <c r="AH311">
        <f>IFERROR(INDEX('Exercise list'!$E$5:$X$102,MATCH($C311,'Exercise list'!$C$5:$C$102,0),MATCH(AH$5,'Exercise list'!$E$4:$X$4,0)),0)</f>
        <v>0</v>
      </c>
      <c r="AI311">
        <f>IFERROR(INDEX('Exercise list'!$E$5:$X$102,MATCH($C311,'Exercise list'!$C$5:$C$102,0),MATCH(AI$5,'Exercise list'!$E$4:$X$4,0)),0)</f>
        <v>0</v>
      </c>
      <c r="AK311">
        <f>IF(OR($J311=1,COUNTIFS($A$5:$A310,"&gt;="&amp;$A311-1,$A$5:$A310,"&lt;="&amp;$A311,$B$5:$B310,$B311)&gt;0,MIN(1-'Exercise list'!E$2,IF($A311=$A310,AK310,1))-P311&lt;0),-1,MIN(1,IF($A311=$A310,AK310,1)-P311+$D$2))</f>
        <v>1</v>
      </c>
      <c r="AL311">
        <f>IF(OR($J311=1,COUNTIFS($A$5:$A310,"&gt;="&amp;$A311-1,$A$5:$A310,"&lt;="&amp;$A311,$B$5:$B310,$B311)&gt;0,MIN(1-'Exercise list'!F$2,IF($A311=$A310,AL310,1))-Q311&lt;0),-1,MIN(1,IF($A311=$A310,AL310,1)-Q311+$D$2))</f>
        <v>1</v>
      </c>
      <c r="AM311">
        <f>IF(OR($J311=1,COUNTIFS($A$5:$A310,"&gt;="&amp;$A311-1,$A$5:$A310,"&lt;="&amp;$A311,$B$5:$B310,$B311)&gt;0,MIN(1-'Exercise list'!G$2,IF($A311=$A310,AM310,1))-R311&lt;0),-1,MIN(1,IF($A311=$A310,AM310,1)-R311+$D$2))</f>
        <v>1</v>
      </c>
      <c r="AN311">
        <f>IF(OR($J311=1,COUNTIFS($A$5:$A310,"&gt;="&amp;$A311-1,$A$5:$A310,"&lt;="&amp;$A311,$B$5:$B310,$B311)&gt;0,MIN(1-'Exercise list'!H$2,IF($A311=$A310,AN310,1))-S311&lt;0),-1,MIN(1,IF($A311=$A310,AN310,1)-S311+$D$2))</f>
        <v>1</v>
      </c>
      <c r="AO311">
        <f>IF(OR($J311=1,COUNTIFS($A$5:$A310,"&gt;="&amp;$A311-1,$A$5:$A310,"&lt;="&amp;$A311,$B$5:$B310,$B311)&gt;0,MIN(1-'Exercise list'!I$2,IF($A311=$A310,AO310,1))-T311&lt;0),-1,MIN(1,IF($A311=$A310,AO310,1)-T311+$D$2))</f>
        <v>1</v>
      </c>
      <c r="AP311">
        <f>IF(OR($J311=1,COUNTIFS($A$5:$A310,"&gt;="&amp;$A311-1,$A$5:$A310,"&lt;="&amp;$A311,$B$5:$B310,$B311)&gt;0,MIN(1-'Exercise list'!J$2,IF($A311=$A310,AP310,1))-U311&lt;0),-1,MIN(1,IF($A311=$A310,AP310,1)-U311+$D$2))</f>
        <v>1</v>
      </c>
      <c r="AQ311">
        <f>IF(OR($J311=1,COUNTIFS($A$5:$A310,"&gt;="&amp;$A311-1,$A$5:$A310,"&lt;="&amp;$A311,$B$5:$B310,$B311)&gt;0,MIN(1-'Exercise list'!K$2,IF($A311=$A310,AQ310,1))-V311&lt;0),-1,MIN(1,IF($A311=$A310,AQ310,1)-V311+$D$2))</f>
        <v>1</v>
      </c>
      <c r="AR311">
        <f>IF(OR($J311=1,COUNTIFS($A$5:$A310,"&gt;="&amp;$A311-1,$A$5:$A310,"&lt;="&amp;$A311,$B$5:$B310,$B311)&gt;0,MIN(1-'Exercise list'!L$2,IF($A311=$A310,AR310,1))-W311&lt;0),-1,MIN(1,IF($A311=$A310,AR310,1)-W311+$D$2))</f>
        <v>1</v>
      </c>
      <c r="AS311">
        <f>IF(OR($J311=1,COUNTIFS($A$5:$A310,"&gt;="&amp;$A311-1,$A$5:$A310,"&lt;="&amp;$A311,$B$5:$B310,$B311)&gt;0,MIN(1-'Exercise list'!M$2,IF($A311=$A310,AS310,1))-X311&lt;0),-1,MIN(1,IF($A311=$A310,AS310,1)-X311+$D$2))</f>
        <v>1</v>
      </c>
      <c r="AT311">
        <f>IF(OR($J311=1,COUNTIFS($A$5:$A310,"&gt;="&amp;$A311-1,$A$5:$A310,"&lt;="&amp;$A311,$B$5:$B310,$B311)&gt;0,MIN(1-'Exercise list'!N$2,IF($A311=$A310,AT310,1))-Y311&lt;0),-1,MIN(1,IF($A311=$A310,AT310,1)-Y311+$D$2))</f>
        <v>1</v>
      </c>
      <c r="AU311">
        <f>IF(OR($J311=1,COUNTIFS($A$5:$A310,"&gt;="&amp;$A311-1,$A$5:$A310,"&lt;="&amp;$A311,$B$5:$B310,$B311)&gt;0,MIN(1-'Exercise list'!O$2,IF($A311=$A310,AU310,1))-Z311&lt;0),-1,MIN(1,IF($A311=$A310,AU310,1)-Z311+$D$2))</f>
        <v>1</v>
      </c>
      <c r="AV311">
        <f>IF(OR($J311=1,COUNTIFS($A$5:$A310,"&gt;="&amp;$A311-1,$A$5:$A310,"&lt;="&amp;$A311,$B$5:$B310,$B311)&gt;0,MIN(1-'Exercise list'!P$2,IF($A311=$A310,AV310,1))-AA311&lt;0),-1,MIN(1,IF($A311=$A310,AV310,1)-AA311+$D$2))</f>
        <v>1</v>
      </c>
      <c r="AW311">
        <f>IF(OR($J311=1,COUNTIFS($A$5:$A310,"&gt;="&amp;$A311-1,$A$5:$A310,"&lt;="&amp;$A311,$B$5:$B310,$B311)&gt;0,MIN(1-'Exercise list'!Q$2,IF($A311=$A310,AW310,1))-AB311&lt;0),-1,MIN(1,IF($A311=$A310,AW310,1)-AB311+$D$2))</f>
        <v>1</v>
      </c>
      <c r="AX311">
        <f>IF(OR($J311=1,COUNTIFS($A$5:$A310,"&gt;="&amp;$A311-1,$A$5:$A310,"&lt;="&amp;$A311,$B$5:$B310,$B311)&gt;0,MIN(1-'Exercise list'!R$2,IF($A311=$A310,AX310,1))-AC311&lt;0),-1,MIN(1,IF($A311=$A310,AX310,1)-AC311+$D$2))</f>
        <v>1</v>
      </c>
      <c r="AY311">
        <f>IF(OR($J311=1,COUNTIFS($A$5:$A310,"&gt;="&amp;$A311-1,$A$5:$A310,"&lt;="&amp;$A311,$B$5:$B310,$B311)&gt;0,MIN(1-'Exercise list'!S$2,IF($A311=$A310,AY310,1))-AD311&lt;0),-1,MIN(1,IF($A311=$A310,AY310,1)-AD311+$D$2))</f>
        <v>1</v>
      </c>
      <c r="AZ311">
        <f>IF(OR($J311=1,COUNTIFS($A$5:$A310,"&gt;="&amp;$A311-1,$A$5:$A310,"&lt;="&amp;$A311,$B$5:$B310,$B311)&gt;0,MIN(1-'Exercise list'!T$2,IF($A311=$A310,AZ310,1))-AE311&lt;0),-1,MIN(1,IF($A311=$A310,AZ310,1)-AE311+$D$2))</f>
        <v>1</v>
      </c>
      <c r="BA311">
        <f>IF(OR($J311=1,COUNTIFS($A$5:$A310,"&gt;="&amp;$A311-1,$A$5:$A310,"&lt;="&amp;$A311,$B$5:$B310,$B311)&gt;0,MIN(1-'Exercise list'!U$2,IF($A311=$A310,BA310,1))-AF311&lt;0),-1,MIN(1,IF($A311=$A310,BA310,1)-AF311+$D$2))</f>
        <v>1</v>
      </c>
      <c r="BB311">
        <f>IF(OR($J311=1,COUNTIFS($A$5:$A310,"&gt;="&amp;$A311-1,$A$5:$A310,"&lt;="&amp;$A311,$B$5:$B310,$B311)&gt;0,MIN(1-'Exercise list'!V$2,IF($A311=$A310,BB310,1))-AG311&lt;0),-1,MIN(1,IF($A311=$A310,BB310,1)-AG311+$D$2))</f>
        <v>1</v>
      </c>
      <c r="BC311">
        <f>IF(OR($J311=1,COUNTIFS($A$5:$A310,"&gt;="&amp;$A311-1,$A$5:$A310,"&lt;="&amp;$A311,$B$5:$B310,$B311)&gt;0,MIN(1-'Exercise list'!W$2,IF($A311=$A310,BC310,1))-AH311&lt;0),-1,MIN(1,IF($A311=$A310,BC310,1)-AH311+$D$2))</f>
        <v>1</v>
      </c>
      <c r="BD311">
        <f>IF(OR($J311=1,COUNTIFS($A$5:$A310,"&gt;="&amp;$A311-1,$A$5:$A310,"&lt;="&amp;$A311,$B$5:$B310,$B311)&gt;0,MIN(1-'Exercise list'!X$2,IF($A311=$A310,BD310,1))-AI311&lt;0),-1,MIN(1,IF($A311=$A310,BD310,1)-AI311+$D$2))</f>
        <v>1</v>
      </c>
      <c r="BF311" s="16">
        <f t="shared" si="233"/>
        <v>0.19596031081758858</v>
      </c>
      <c r="BG311" s="16">
        <f t="shared" si="234"/>
        <v>0.21844636935459236</v>
      </c>
      <c r="BH311" s="16">
        <f t="shared" si="235"/>
        <v>0.14609696635987124</v>
      </c>
      <c r="BI311" s="16">
        <f t="shared" si="236"/>
        <v>0.13198015366034541</v>
      </c>
      <c r="BJ311" s="16">
        <f t="shared" si="237"/>
        <v>8.3367914198418713E-2</v>
      </c>
      <c r="BK311" s="16">
        <f t="shared" si="238"/>
        <v>0.10640640223148412</v>
      </c>
      <c r="BL311" s="16">
        <f t="shared" si="239"/>
        <v>0.21963504743569431</v>
      </c>
      <c r="BM311" s="16">
        <f t="shared" si="240"/>
        <v>3.8988008374820568E-3</v>
      </c>
      <c r="BN311" s="16">
        <f t="shared" si="241"/>
        <v>0.14537706087090876</v>
      </c>
      <c r="BO311" s="16">
        <f t="shared" si="242"/>
        <v>0.29209790661993401</v>
      </c>
      <c r="BP311" s="16">
        <f t="shared" si="243"/>
        <v>0.31584545163401867</v>
      </c>
      <c r="BQ311" s="16">
        <f t="shared" si="244"/>
        <v>0.1000007994126096</v>
      </c>
      <c r="BR311" s="16">
        <f t="shared" si="245"/>
        <v>0.13164487759885393</v>
      </c>
      <c r="BS311" s="16">
        <f t="shared" si="246"/>
        <v>2.9803550189863123E-2</v>
      </c>
      <c r="BT311" s="16">
        <f t="shared" si="247"/>
        <v>0.13492040904978705</v>
      </c>
      <c r="BU311" s="16">
        <f t="shared" si="248"/>
        <v>0.11703687414398131</v>
      </c>
      <c r="BV311" s="16">
        <f t="shared" si="249"/>
        <v>0.14633353213781661</v>
      </c>
      <c r="BW311" s="16">
        <f t="shared" si="250"/>
        <v>7.5588015111767173E-2</v>
      </c>
      <c r="BX311" s="16">
        <f t="shared" si="251"/>
        <v>8.0345659937185704E-2</v>
      </c>
      <c r="BY311" s="16">
        <f t="shared" si="252"/>
        <v>5.9014643151272549E-2</v>
      </c>
      <c r="CA311" s="16" t="str">
        <f t="shared" si="229"/>
        <v/>
      </c>
      <c r="CB311" s="16" t="str">
        <f t="shared" si="210"/>
        <v/>
      </c>
      <c r="CC311" s="16" t="str">
        <f t="shared" si="211"/>
        <v/>
      </c>
      <c r="CD311" s="16" t="str">
        <f t="shared" si="212"/>
        <v/>
      </c>
      <c r="CE311" s="16" t="str">
        <f t="shared" si="213"/>
        <v/>
      </c>
      <c r="CF311" s="16" t="str">
        <f t="shared" si="214"/>
        <v/>
      </c>
      <c r="CG311" s="16" t="str">
        <f t="shared" si="215"/>
        <v/>
      </c>
      <c r="CH311" s="16" t="str">
        <f t="shared" si="216"/>
        <v/>
      </c>
      <c r="CI311" s="16" t="str">
        <f t="shared" si="217"/>
        <v/>
      </c>
      <c r="CJ311" s="16" t="str">
        <f t="shared" si="218"/>
        <v/>
      </c>
      <c r="CK311" s="16" t="str">
        <f t="shared" si="219"/>
        <v/>
      </c>
      <c r="CL311" s="16" t="str">
        <f t="shared" si="220"/>
        <v/>
      </c>
      <c r="CM311" s="16" t="str">
        <f t="shared" si="221"/>
        <v/>
      </c>
      <c r="CN311" s="16" t="str">
        <f t="shared" si="222"/>
        <v/>
      </c>
      <c r="CO311" s="16" t="str">
        <f t="shared" si="223"/>
        <v/>
      </c>
      <c r="CP311" s="16" t="str">
        <f t="shared" si="224"/>
        <v/>
      </c>
      <c r="CQ311" s="16" t="str">
        <f t="shared" si="225"/>
        <v/>
      </c>
      <c r="CR311" s="16" t="str">
        <f t="shared" si="226"/>
        <v/>
      </c>
      <c r="CS311" s="16" t="str">
        <f t="shared" si="227"/>
        <v/>
      </c>
      <c r="CT311" s="16" t="str">
        <f t="shared" si="228"/>
        <v/>
      </c>
    </row>
    <row r="312" spans="1:99" x14ac:dyDescent="0.25">
      <c r="A312" s="13"/>
      <c r="B312" s="14"/>
      <c r="C312" s="15" t="str" cm="1">
        <f t="array" ref="C312">IF(B312="","",INDEX('Exercise list'!$C$5:$C$102,B312))</f>
        <v/>
      </c>
      <c r="D312" s="12" t="str">
        <f t="shared" si="230"/>
        <v/>
      </c>
      <c r="E312" s="107" t="str">
        <f t="shared" si="253"/>
        <v/>
      </c>
      <c r="F312" s="63" t="str" cm="1">
        <f t="array" ref="F312">IF(B312="","",0.1+IFERROR(INDEX($F$6:$F311,SUMPRODUCT(MAX(ROW($C$6:$C311)*($C312=$C$6:$C311))-ROW($A$5)))*0.9^($A312-INDEX($A$6:A311,SUMPRODUCT(MAX(ROW($C$6:$C311)*($C312=$C$6:$C311))-ROW($A$5)))),0))</f>
        <v/>
      </c>
      <c r="G312" s="64" t="e">
        <f>INDEX('Exercise list'!$Y$5:$Y$102,MATCH(C312,'Exercise list'!$C$5:$C$102,0))</f>
        <v>#N/A</v>
      </c>
      <c r="H312" s="115">
        <f t="shared" si="231"/>
        <v>0</v>
      </c>
      <c r="I312" s="6">
        <f t="shared" si="232"/>
        <v>5</v>
      </c>
      <c r="J312" s="6" t="str" cm="1">
        <f t="array" ref="J312">IF(B312="","",INDEX('Exercise list'!$D$5:$D$102,B312))</f>
        <v/>
      </c>
      <c r="K312" s="12"/>
      <c r="L312" s="74" t="str" cm="1">
        <f t="array" ref="L312">IF(K312="","",INDEX('Exercise list'!$C$5:$C$102,K312))</f>
        <v/>
      </c>
      <c r="M312" s="6"/>
      <c r="N312" s="75" t="str" cm="1">
        <f t="array" ref="N312">IF(M312="","",INDEX('Exercise list'!$C$5:$C$102,M312))</f>
        <v/>
      </c>
      <c r="P312">
        <f>IFERROR(INDEX('Exercise list'!$E$5:$X$102,MATCH($C312,'Exercise list'!$C$5:$C$102,0),MATCH(P$5,'Exercise list'!$E$4:$X$4,0)),0)</f>
        <v>0</v>
      </c>
      <c r="Q312">
        <f>IFERROR(INDEX('Exercise list'!$E$5:$X$102,MATCH($C312,'Exercise list'!$C$5:$C$102,0),MATCH(Q$5,'Exercise list'!$E$4:$X$4,0)),0)</f>
        <v>0</v>
      </c>
      <c r="R312">
        <f>IFERROR(INDEX('Exercise list'!$E$5:$X$102,MATCH($C312,'Exercise list'!$C$5:$C$102,0),MATCH(R$5,'Exercise list'!$E$4:$X$4,0)),0)</f>
        <v>0</v>
      </c>
      <c r="S312">
        <f>IFERROR(INDEX('Exercise list'!$E$5:$X$102,MATCH($C312,'Exercise list'!$C$5:$C$102,0),MATCH(S$5,'Exercise list'!$E$4:$X$4,0)),0)</f>
        <v>0</v>
      </c>
      <c r="T312">
        <f>IFERROR(INDEX('Exercise list'!$E$5:$X$102,MATCH($C312,'Exercise list'!$C$5:$C$102,0),MATCH(T$5,'Exercise list'!$E$4:$X$4,0)),0)</f>
        <v>0</v>
      </c>
      <c r="U312">
        <f>IFERROR(INDEX('Exercise list'!$E$5:$X$102,MATCH($C312,'Exercise list'!$C$5:$C$102,0),MATCH(U$5,'Exercise list'!$E$4:$X$4,0)),0)</f>
        <v>0</v>
      </c>
      <c r="V312">
        <f>IFERROR(INDEX('Exercise list'!$E$5:$X$102,MATCH($C312,'Exercise list'!$C$5:$C$102,0),MATCH(V$5,'Exercise list'!$E$4:$X$4,0)),0)</f>
        <v>0</v>
      </c>
      <c r="W312">
        <f>IFERROR(INDEX('Exercise list'!$E$5:$X$102,MATCH($C312,'Exercise list'!$C$5:$C$102,0),MATCH(W$5,'Exercise list'!$E$4:$X$4,0)),0)</f>
        <v>0</v>
      </c>
      <c r="X312">
        <f>IFERROR(INDEX('Exercise list'!$E$5:$X$102,MATCH($C312,'Exercise list'!$C$5:$C$102,0),MATCH(X$5,'Exercise list'!$E$4:$X$4,0)),0)</f>
        <v>0</v>
      </c>
      <c r="Y312">
        <f>IFERROR(INDEX('Exercise list'!$E$5:$X$102,MATCH($C312,'Exercise list'!$C$5:$C$102,0),MATCH(Y$5,'Exercise list'!$E$4:$X$4,0)),0)</f>
        <v>0</v>
      </c>
      <c r="Z312">
        <f>IFERROR(INDEX('Exercise list'!$E$5:$X$102,MATCH($C312,'Exercise list'!$C$5:$C$102,0),MATCH(Z$5,'Exercise list'!$E$4:$X$4,0)),0)</f>
        <v>0</v>
      </c>
      <c r="AA312">
        <f>IFERROR(INDEX('Exercise list'!$E$5:$X$102,MATCH($C312,'Exercise list'!$C$5:$C$102,0),MATCH(AA$5,'Exercise list'!$E$4:$X$4,0)),0)</f>
        <v>0</v>
      </c>
      <c r="AB312">
        <f>IFERROR(INDEX('Exercise list'!$E$5:$X$102,MATCH($C312,'Exercise list'!$C$5:$C$102,0),MATCH(AB$5,'Exercise list'!$E$4:$X$4,0)),0)</f>
        <v>0</v>
      </c>
      <c r="AC312">
        <f>IFERROR(INDEX('Exercise list'!$E$5:$X$102,MATCH($C312,'Exercise list'!$C$5:$C$102,0),MATCH(AC$5,'Exercise list'!$E$4:$X$4,0)),0)</f>
        <v>0</v>
      </c>
      <c r="AD312">
        <f>IFERROR(INDEX('Exercise list'!$E$5:$X$102,MATCH($C312,'Exercise list'!$C$5:$C$102,0),MATCH(AD$5,'Exercise list'!$E$4:$X$4,0)),0)</f>
        <v>0</v>
      </c>
      <c r="AE312">
        <f>IFERROR(INDEX('Exercise list'!$E$5:$X$102,MATCH($C312,'Exercise list'!$C$5:$C$102,0),MATCH(AE$5,'Exercise list'!$E$4:$X$4,0)),0)</f>
        <v>0</v>
      </c>
      <c r="AF312">
        <f>IFERROR(INDEX('Exercise list'!$E$5:$X$102,MATCH($C312,'Exercise list'!$C$5:$C$102,0),MATCH(AF$5,'Exercise list'!$E$4:$X$4,0)),0)</f>
        <v>0</v>
      </c>
      <c r="AG312">
        <f>IFERROR(INDEX('Exercise list'!$E$5:$X$102,MATCH($C312,'Exercise list'!$C$5:$C$102,0),MATCH(AG$5,'Exercise list'!$E$4:$X$4,0)),0)</f>
        <v>0</v>
      </c>
      <c r="AH312">
        <f>IFERROR(INDEX('Exercise list'!$E$5:$X$102,MATCH($C312,'Exercise list'!$C$5:$C$102,0),MATCH(AH$5,'Exercise list'!$E$4:$X$4,0)),0)</f>
        <v>0</v>
      </c>
      <c r="AI312">
        <f>IFERROR(INDEX('Exercise list'!$E$5:$X$102,MATCH($C312,'Exercise list'!$C$5:$C$102,0),MATCH(AI$5,'Exercise list'!$E$4:$X$4,0)),0)</f>
        <v>0</v>
      </c>
      <c r="AK312">
        <f>IF(OR($J312=1,COUNTIFS($A$5:$A311,"&gt;="&amp;$A312-1,$A$5:$A311,"&lt;="&amp;$A312,$B$5:$B311,$B312)&gt;0,MIN(1-'Exercise list'!E$2,IF($A312=$A311,AK311,1))-P312&lt;0),-1,MIN(1,IF($A312=$A311,AK311,1)-P312+$D$2))</f>
        <v>1</v>
      </c>
      <c r="AL312">
        <f>IF(OR($J312=1,COUNTIFS($A$5:$A311,"&gt;="&amp;$A312-1,$A$5:$A311,"&lt;="&amp;$A312,$B$5:$B311,$B312)&gt;0,MIN(1-'Exercise list'!F$2,IF($A312=$A311,AL311,1))-Q312&lt;0),-1,MIN(1,IF($A312=$A311,AL311,1)-Q312+$D$2))</f>
        <v>1</v>
      </c>
      <c r="AM312">
        <f>IF(OR($J312=1,COUNTIFS($A$5:$A311,"&gt;="&amp;$A312-1,$A$5:$A311,"&lt;="&amp;$A312,$B$5:$B311,$B312)&gt;0,MIN(1-'Exercise list'!G$2,IF($A312=$A311,AM311,1))-R312&lt;0),-1,MIN(1,IF($A312=$A311,AM311,1)-R312+$D$2))</f>
        <v>1</v>
      </c>
      <c r="AN312">
        <f>IF(OR($J312=1,COUNTIFS($A$5:$A311,"&gt;="&amp;$A312-1,$A$5:$A311,"&lt;="&amp;$A312,$B$5:$B311,$B312)&gt;0,MIN(1-'Exercise list'!H$2,IF($A312=$A311,AN311,1))-S312&lt;0),-1,MIN(1,IF($A312=$A311,AN311,1)-S312+$D$2))</f>
        <v>1</v>
      </c>
      <c r="AO312">
        <f>IF(OR($J312=1,COUNTIFS($A$5:$A311,"&gt;="&amp;$A312-1,$A$5:$A311,"&lt;="&amp;$A312,$B$5:$B311,$B312)&gt;0,MIN(1-'Exercise list'!I$2,IF($A312=$A311,AO311,1))-T312&lt;0),-1,MIN(1,IF($A312=$A311,AO311,1)-T312+$D$2))</f>
        <v>1</v>
      </c>
      <c r="AP312">
        <f>IF(OR($J312=1,COUNTIFS($A$5:$A311,"&gt;="&amp;$A312-1,$A$5:$A311,"&lt;="&amp;$A312,$B$5:$B311,$B312)&gt;0,MIN(1-'Exercise list'!J$2,IF($A312=$A311,AP311,1))-U312&lt;0),-1,MIN(1,IF($A312=$A311,AP311,1)-U312+$D$2))</f>
        <v>1</v>
      </c>
      <c r="AQ312">
        <f>IF(OR($J312=1,COUNTIFS($A$5:$A311,"&gt;="&amp;$A312-1,$A$5:$A311,"&lt;="&amp;$A312,$B$5:$B311,$B312)&gt;0,MIN(1-'Exercise list'!K$2,IF($A312=$A311,AQ311,1))-V312&lt;0),-1,MIN(1,IF($A312=$A311,AQ311,1)-V312+$D$2))</f>
        <v>1</v>
      </c>
      <c r="AR312">
        <f>IF(OR($J312=1,COUNTIFS($A$5:$A311,"&gt;="&amp;$A312-1,$A$5:$A311,"&lt;="&amp;$A312,$B$5:$B311,$B312)&gt;0,MIN(1-'Exercise list'!L$2,IF($A312=$A311,AR311,1))-W312&lt;0),-1,MIN(1,IF($A312=$A311,AR311,1)-W312+$D$2))</f>
        <v>1</v>
      </c>
      <c r="AS312">
        <f>IF(OR($J312=1,COUNTIFS($A$5:$A311,"&gt;="&amp;$A312-1,$A$5:$A311,"&lt;="&amp;$A312,$B$5:$B311,$B312)&gt;0,MIN(1-'Exercise list'!M$2,IF($A312=$A311,AS311,1))-X312&lt;0),-1,MIN(1,IF($A312=$A311,AS311,1)-X312+$D$2))</f>
        <v>1</v>
      </c>
      <c r="AT312">
        <f>IF(OR($J312=1,COUNTIFS($A$5:$A311,"&gt;="&amp;$A312-1,$A$5:$A311,"&lt;="&amp;$A312,$B$5:$B311,$B312)&gt;0,MIN(1-'Exercise list'!N$2,IF($A312=$A311,AT311,1))-Y312&lt;0),-1,MIN(1,IF($A312=$A311,AT311,1)-Y312+$D$2))</f>
        <v>1</v>
      </c>
      <c r="AU312">
        <f>IF(OR($J312=1,COUNTIFS($A$5:$A311,"&gt;="&amp;$A312-1,$A$5:$A311,"&lt;="&amp;$A312,$B$5:$B311,$B312)&gt;0,MIN(1-'Exercise list'!O$2,IF($A312=$A311,AU311,1))-Z312&lt;0),-1,MIN(1,IF($A312=$A311,AU311,1)-Z312+$D$2))</f>
        <v>1</v>
      </c>
      <c r="AV312">
        <f>IF(OR($J312=1,COUNTIFS($A$5:$A311,"&gt;="&amp;$A312-1,$A$5:$A311,"&lt;="&amp;$A312,$B$5:$B311,$B312)&gt;0,MIN(1-'Exercise list'!P$2,IF($A312=$A311,AV311,1))-AA312&lt;0),-1,MIN(1,IF($A312=$A311,AV311,1)-AA312+$D$2))</f>
        <v>1</v>
      </c>
      <c r="AW312">
        <f>IF(OR($J312=1,COUNTIFS($A$5:$A311,"&gt;="&amp;$A312-1,$A$5:$A311,"&lt;="&amp;$A312,$B$5:$B311,$B312)&gt;0,MIN(1-'Exercise list'!Q$2,IF($A312=$A311,AW311,1))-AB312&lt;0),-1,MIN(1,IF($A312=$A311,AW311,1)-AB312+$D$2))</f>
        <v>1</v>
      </c>
      <c r="AX312">
        <f>IF(OR($J312=1,COUNTIFS($A$5:$A311,"&gt;="&amp;$A312-1,$A$5:$A311,"&lt;="&amp;$A312,$B$5:$B311,$B312)&gt;0,MIN(1-'Exercise list'!R$2,IF($A312=$A311,AX311,1))-AC312&lt;0),-1,MIN(1,IF($A312=$A311,AX311,1)-AC312+$D$2))</f>
        <v>1</v>
      </c>
      <c r="AY312">
        <f>IF(OR($J312=1,COUNTIFS($A$5:$A311,"&gt;="&amp;$A312-1,$A$5:$A311,"&lt;="&amp;$A312,$B$5:$B311,$B312)&gt;0,MIN(1-'Exercise list'!S$2,IF($A312=$A311,AY311,1))-AD312&lt;0),-1,MIN(1,IF($A312=$A311,AY311,1)-AD312+$D$2))</f>
        <v>1</v>
      </c>
      <c r="AZ312">
        <f>IF(OR($J312=1,COUNTIFS($A$5:$A311,"&gt;="&amp;$A312-1,$A$5:$A311,"&lt;="&amp;$A312,$B$5:$B311,$B312)&gt;0,MIN(1-'Exercise list'!T$2,IF($A312=$A311,AZ311,1))-AE312&lt;0),-1,MIN(1,IF($A312=$A311,AZ311,1)-AE312+$D$2))</f>
        <v>1</v>
      </c>
      <c r="BA312">
        <f>IF(OR($J312=1,COUNTIFS($A$5:$A311,"&gt;="&amp;$A312-1,$A$5:$A311,"&lt;="&amp;$A312,$B$5:$B311,$B312)&gt;0,MIN(1-'Exercise list'!U$2,IF($A312=$A311,BA311,1))-AF312&lt;0),-1,MIN(1,IF($A312=$A311,BA311,1)-AF312+$D$2))</f>
        <v>1</v>
      </c>
      <c r="BB312">
        <f>IF(OR($J312=1,COUNTIFS($A$5:$A311,"&gt;="&amp;$A312-1,$A$5:$A311,"&lt;="&amp;$A312,$B$5:$B311,$B312)&gt;0,MIN(1-'Exercise list'!V$2,IF($A312=$A311,BB311,1))-AG312&lt;0),-1,MIN(1,IF($A312=$A311,BB311,1)-AG312+$D$2))</f>
        <v>1</v>
      </c>
      <c r="BC312">
        <f>IF(OR($J312=1,COUNTIFS($A$5:$A311,"&gt;="&amp;$A312-1,$A$5:$A311,"&lt;="&amp;$A312,$B$5:$B311,$B312)&gt;0,MIN(1-'Exercise list'!W$2,IF($A312=$A311,BC311,1))-AH312&lt;0),-1,MIN(1,IF($A312=$A311,BC311,1)-AH312+$D$2))</f>
        <v>1</v>
      </c>
      <c r="BD312">
        <f>IF(OR($J312=1,COUNTIFS($A$5:$A311,"&gt;="&amp;$A312-1,$A$5:$A311,"&lt;="&amp;$A312,$B$5:$B311,$B312)&gt;0,MIN(1-'Exercise list'!X$2,IF($A312=$A311,BD311,1))-AI312&lt;0),-1,MIN(1,IF($A312=$A311,BD311,1)-AI312+$D$2))</f>
        <v>1</v>
      </c>
      <c r="BF312" s="16">
        <f t="shared" si="233"/>
        <v>0.19596031081758858</v>
      </c>
      <c r="BG312" s="16">
        <f t="shared" si="234"/>
        <v>0.21844636935459236</v>
      </c>
      <c r="BH312" s="16">
        <f t="shared" si="235"/>
        <v>0.14609696635987124</v>
      </c>
      <c r="BI312" s="16">
        <f t="shared" si="236"/>
        <v>0.13198015366034541</v>
      </c>
      <c r="BJ312" s="16">
        <f t="shared" si="237"/>
        <v>8.3367914198418713E-2</v>
      </c>
      <c r="BK312" s="16">
        <f t="shared" si="238"/>
        <v>0.10640640223148412</v>
      </c>
      <c r="BL312" s="16">
        <f t="shared" si="239"/>
        <v>0.21963504743569431</v>
      </c>
      <c r="BM312" s="16">
        <f t="shared" si="240"/>
        <v>3.8988008374820568E-3</v>
      </c>
      <c r="BN312" s="16">
        <f t="shared" si="241"/>
        <v>0.14537706087090876</v>
      </c>
      <c r="BO312" s="16">
        <f t="shared" si="242"/>
        <v>0.29209790661993401</v>
      </c>
      <c r="BP312" s="16">
        <f t="shared" si="243"/>
        <v>0.31584545163401867</v>
      </c>
      <c r="BQ312" s="16">
        <f t="shared" si="244"/>
        <v>0.1000007994126096</v>
      </c>
      <c r="BR312" s="16">
        <f t="shared" si="245"/>
        <v>0.13164487759885393</v>
      </c>
      <c r="BS312" s="16">
        <f t="shared" si="246"/>
        <v>2.9803550189863123E-2</v>
      </c>
      <c r="BT312" s="16">
        <f t="shared" si="247"/>
        <v>0.13492040904978705</v>
      </c>
      <c r="BU312" s="16">
        <f t="shared" si="248"/>
        <v>0.11703687414398131</v>
      </c>
      <c r="BV312" s="16">
        <f t="shared" si="249"/>
        <v>0.14633353213781661</v>
      </c>
      <c r="BW312" s="16">
        <f t="shared" si="250"/>
        <v>7.5588015111767173E-2</v>
      </c>
      <c r="BX312" s="16">
        <f t="shared" si="251"/>
        <v>8.0345659937185704E-2</v>
      </c>
      <c r="BY312" s="16">
        <f t="shared" si="252"/>
        <v>5.9014643151272549E-2</v>
      </c>
      <c r="CA312" s="16" t="str">
        <f t="shared" si="229"/>
        <v/>
      </c>
      <c r="CB312" s="16" t="str">
        <f t="shared" si="210"/>
        <v/>
      </c>
      <c r="CC312" s="16" t="str">
        <f t="shared" si="211"/>
        <v/>
      </c>
      <c r="CD312" s="16" t="str">
        <f t="shared" si="212"/>
        <v/>
      </c>
      <c r="CE312" s="16" t="str">
        <f t="shared" si="213"/>
        <v/>
      </c>
      <c r="CF312" s="16" t="str">
        <f t="shared" si="214"/>
        <v/>
      </c>
      <c r="CG312" s="16" t="str">
        <f t="shared" si="215"/>
        <v/>
      </c>
      <c r="CH312" s="16" t="str">
        <f t="shared" si="216"/>
        <v/>
      </c>
      <c r="CI312" s="16" t="str">
        <f t="shared" si="217"/>
        <v/>
      </c>
      <c r="CJ312" s="16" t="str">
        <f t="shared" si="218"/>
        <v/>
      </c>
      <c r="CK312" s="16" t="str">
        <f t="shared" si="219"/>
        <v/>
      </c>
      <c r="CL312" s="16" t="str">
        <f t="shared" si="220"/>
        <v/>
      </c>
      <c r="CM312" s="16" t="str">
        <f t="shared" si="221"/>
        <v/>
      </c>
      <c r="CN312" s="16" t="str">
        <f t="shared" si="222"/>
        <v/>
      </c>
      <c r="CO312" s="16" t="str">
        <f t="shared" si="223"/>
        <v/>
      </c>
      <c r="CP312" s="16" t="str">
        <f t="shared" si="224"/>
        <v/>
      </c>
      <c r="CQ312" s="16" t="str">
        <f t="shared" si="225"/>
        <v/>
      </c>
      <c r="CR312" s="16" t="str">
        <f t="shared" si="226"/>
        <v/>
      </c>
      <c r="CS312" s="16" t="str">
        <f t="shared" si="227"/>
        <v/>
      </c>
      <c r="CT312" s="16" t="str">
        <f t="shared" si="228"/>
        <v/>
      </c>
    </row>
    <row r="313" spans="1:99" x14ac:dyDescent="0.25">
      <c r="A313" s="20"/>
      <c r="B313" s="21"/>
      <c r="C313" s="22" t="str" cm="1">
        <f t="array" ref="C313">IF(B313="","",INDEX('Exercise list'!$C$5:$C$102,B313))</f>
        <v/>
      </c>
      <c r="D313" s="17" t="str">
        <f t="shared" si="230"/>
        <v/>
      </c>
      <c r="E313" s="108" t="str">
        <f t="shared" si="253"/>
        <v/>
      </c>
      <c r="F313" s="65" t="str" cm="1">
        <f t="array" ref="F313">IF(B313="","",0.1+IFERROR(INDEX($F$6:$F312,SUMPRODUCT(MAX(ROW($C$6:$C312)*($C313=$C$6:$C312))-ROW($A$5)))*0.9^($A313-INDEX($A$6:A312,SUMPRODUCT(MAX(ROW($C$6:$C312)*($C313=$C$6:$C312))-ROW($A$5)))),0))</f>
        <v/>
      </c>
      <c r="G313" s="25" t="e">
        <f>INDEX('Exercise list'!$Y$5:$Y$102,MATCH(C313,'Exercise list'!$C$5:$C$102,0))</f>
        <v>#N/A</v>
      </c>
      <c r="H313" s="116">
        <f t="shared" si="231"/>
        <v>0</v>
      </c>
      <c r="I313" s="18">
        <f t="shared" si="232"/>
        <v>5</v>
      </c>
      <c r="J313" s="18" t="str" cm="1">
        <f t="array" ref="J313">IF(B313="","",INDEX('Exercise list'!$D$5:$D$102,B313))</f>
        <v/>
      </c>
      <c r="K313" s="17"/>
      <c r="L313" s="51" t="str" cm="1">
        <f t="array" ref="L313">IF(K313="","",INDEX('Exercise list'!$C$5:$C$102,K313))</f>
        <v/>
      </c>
      <c r="M313" s="18"/>
      <c r="N313" s="76" t="str" cm="1">
        <f t="array" ref="N313">IF(M313="","",INDEX('Exercise list'!$C$5:$C$102,M313))</f>
        <v/>
      </c>
      <c r="O313" s="19"/>
      <c r="P313" s="19">
        <f>IFERROR(INDEX('Exercise list'!$E$5:$X$102,MATCH($C313,'Exercise list'!$C$5:$C$102,0),MATCH(P$5,'Exercise list'!$E$4:$X$4,0)),0)</f>
        <v>0</v>
      </c>
      <c r="Q313" s="19">
        <f>IFERROR(INDEX('Exercise list'!$E$5:$X$102,MATCH($C313,'Exercise list'!$C$5:$C$102,0),MATCH(Q$5,'Exercise list'!$E$4:$X$4,0)),0)</f>
        <v>0</v>
      </c>
      <c r="R313" s="19">
        <f>IFERROR(INDEX('Exercise list'!$E$5:$X$102,MATCH($C313,'Exercise list'!$C$5:$C$102,0),MATCH(R$5,'Exercise list'!$E$4:$X$4,0)),0)</f>
        <v>0</v>
      </c>
      <c r="S313" s="19">
        <f>IFERROR(INDEX('Exercise list'!$E$5:$X$102,MATCH($C313,'Exercise list'!$C$5:$C$102,0),MATCH(S$5,'Exercise list'!$E$4:$X$4,0)),0)</f>
        <v>0</v>
      </c>
      <c r="T313" s="19">
        <f>IFERROR(INDEX('Exercise list'!$E$5:$X$102,MATCH($C313,'Exercise list'!$C$5:$C$102,0),MATCH(T$5,'Exercise list'!$E$4:$X$4,0)),0)</f>
        <v>0</v>
      </c>
      <c r="U313" s="19">
        <f>IFERROR(INDEX('Exercise list'!$E$5:$X$102,MATCH($C313,'Exercise list'!$C$5:$C$102,0),MATCH(U$5,'Exercise list'!$E$4:$X$4,0)),0)</f>
        <v>0</v>
      </c>
      <c r="V313" s="19">
        <f>IFERROR(INDEX('Exercise list'!$E$5:$X$102,MATCH($C313,'Exercise list'!$C$5:$C$102,0),MATCH(V$5,'Exercise list'!$E$4:$X$4,0)),0)</f>
        <v>0</v>
      </c>
      <c r="W313" s="19">
        <f>IFERROR(INDEX('Exercise list'!$E$5:$X$102,MATCH($C313,'Exercise list'!$C$5:$C$102,0),MATCH(W$5,'Exercise list'!$E$4:$X$4,0)),0)</f>
        <v>0</v>
      </c>
      <c r="X313" s="19">
        <f>IFERROR(INDEX('Exercise list'!$E$5:$X$102,MATCH($C313,'Exercise list'!$C$5:$C$102,0),MATCH(X$5,'Exercise list'!$E$4:$X$4,0)),0)</f>
        <v>0</v>
      </c>
      <c r="Y313" s="19">
        <f>IFERROR(INDEX('Exercise list'!$E$5:$X$102,MATCH($C313,'Exercise list'!$C$5:$C$102,0),MATCH(Y$5,'Exercise list'!$E$4:$X$4,0)),0)</f>
        <v>0</v>
      </c>
      <c r="Z313" s="19">
        <f>IFERROR(INDEX('Exercise list'!$E$5:$X$102,MATCH($C313,'Exercise list'!$C$5:$C$102,0),MATCH(Z$5,'Exercise list'!$E$4:$X$4,0)),0)</f>
        <v>0</v>
      </c>
      <c r="AA313" s="19">
        <f>IFERROR(INDEX('Exercise list'!$E$5:$X$102,MATCH($C313,'Exercise list'!$C$5:$C$102,0),MATCH(AA$5,'Exercise list'!$E$4:$X$4,0)),0)</f>
        <v>0</v>
      </c>
      <c r="AB313" s="19">
        <f>IFERROR(INDEX('Exercise list'!$E$5:$X$102,MATCH($C313,'Exercise list'!$C$5:$C$102,0),MATCH(AB$5,'Exercise list'!$E$4:$X$4,0)),0)</f>
        <v>0</v>
      </c>
      <c r="AC313" s="19">
        <f>IFERROR(INDEX('Exercise list'!$E$5:$X$102,MATCH($C313,'Exercise list'!$C$5:$C$102,0),MATCH(AC$5,'Exercise list'!$E$4:$X$4,0)),0)</f>
        <v>0</v>
      </c>
      <c r="AD313" s="19">
        <f>IFERROR(INDEX('Exercise list'!$E$5:$X$102,MATCH($C313,'Exercise list'!$C$5:$C$102,0),MATCH(AD$5,'Exercise list'!$E$4:$X$4,0)),0)</f>
        <v>0</v>
      </c>
      <c r="AE313" s="19">
        <f>IFERROR(INDEX('Exercise list'!$E$5:$X$102,MATCH($C313,'Exercise list'!$C$5:$C$102,0),MATCH(AE$5,'Exercise list'!$E$4:$X$4,0)),0)</f>
        <v>0</v>
      </c>
      <c r="AF313" s="19">
        <f>IFERROR(INDEX('Exercise list'!$E$5:$X$102,MATCH($C313,'Exercise list'!$C$5:$C$102,0),MATCH(AF$5,'Exercise list'!$E$4:$X$4,0)),0)</f>
        <v>0</v>
      </c>
      <c r="AG313" s="19">
        <f>IFERROR(INDEX('Exercise list'!$E$5:$X$102,MATCH($C313,'Exercise list'!$C$5:$C$102,0),MATCH(AG$5,'Exercise list'!$E$4:$X$4,0)),0)</f>
        <v>0</v>
      </c>
      <c r="AH313" s="19">
        <f>IFERROR(INDEX('Exercise list'!$E$5:$X$102,MATCH($C313,'Exercise list'!$C$5:$C$102,0),MATCH(AH$5,'Exercise list'!$E$4:$X$4,0)),0)</f>
        <v>0</v>
      </c>
      <c r="AI313" s="19">
        <f>IFERROR(INDEX('Exercise list'!$E$5:$X$102,MATCH($C313,'Exercise list'!$C$5:$C$102,0),MATCH(AI$5,'Exercise list'!$E$4:$X$4,0)),0)</f>
        <v>0</v>
      </c>
      <c r="AJ313" s="19"/>
      <c r="AK313" s="19">
        <f>IF(OR($J313=1,COUNTIFS($A$5:$A312,"&gt;="&amp;$A313-1,$A$5:$A312,"&lt;="&amp;$A313,$B$5:$B312,$B313)&gt;0,MIN(1-'Exercise list'!E$2,IF($A313=$A312,AK312,1))-P313&lt;0),-1,MIN(1,IF($A313=$A312,AK312,1)-P313+$D$2))</f>
        <v>1</v>
      </c>
      <c r="AL313" s="19">
        <f>IF(OR($J313=1,COUNTIFS($A$5:$A312,"&gt;="&amp;$A313-1,$A$5:$A312,"&lt;="&amp;$A313,$B$5:$B312,$B313)&gt;0,MIN(1-'Exercise list'!F$2,IF($A313=$A312,AL312,1))-Q313&lt;0),-1,MIN(1,IF($A313=$A312,AL312,1)-Q313+$D$2))</f>
        <v>1</v>
      </c>
      <c r="AM313" s="19">
        <f>IF(OR($J313=1,COUNTIFS($A$5:$A312,"&gt;="&amp;$A313-1,$A$5:$A312,"&lt;="&amp;$A313,$B$5:$B312,$B313)&gt;0,MIN(1-'Exercise list'!G$2,IF($A313=$A312,AM312,1))-R313&lt;0),-1,MIN(1,IF($A313=$A312,AM312,1)-R313+$D$2))</f>
        <v>1</v>
      </c>
      <c r="AN313" s="19">
        <f>IF(OR($J313=1,COUNTIFS($A$5:$A312,"&gt;="&amp;$A313-1,$A$5:$A312,"&lt;="&amp;$A313,$B$5:$B312,$B313)&gt;0,MIN(1-'Exercise list'!H$2,IF($A313=$A312,AN312,1))-S313&lt;0),-1,MIN(1,IF($A313=$A312,AN312,1)-S313+$D$2))</f>
        <v>1</v>
      </c>
      <c r="AO313" s="19">
        <f>IF(OR($J313=1,COUNTIFS($A$5:$A312,"&gt;="&amp;$A313-1,$A$5:$A312,"&lt;="&amp;$A313,$B$5:$B312,$B313)&gt;0,MIN(1-'Exercise list'!I$2,IF($A313=$A312,AO312,1))-T313&lt;0),-1,MIN(1,IF($A313=$A312,AO312,1)-T313+$D$2))</f>
        <v>1</v>
      </c>
      <c r="AP313" s="19">
        <f>IF(OR($J313=1,COUNTIFS($A$5:$A312,"&gt;="&amp;$A313-1,$A$5:$A312,"&lt;="&amp;$A313,$B$5:$B312,$B313)&gt;0,MIN(1-'Exercise list'!J$2,IF($A313=$A312,AP312,1))-U313&lt;0),-1,MIN(1,IF($A313=$A312,AP312,1)-U313+$D$2))</f>
        <v>1</v>
      </c>
      <c r="AQ313" s="19">
        <f>IF(OR($J313=1,COUNTIFS($A$5:$A312,"&gt;="&amp;$A313-1,$A$5:$A312,"&lt;="&amp;$A313,$B$5:$B312,$B313)&gt;0,MIN(1-'Exercise list'!K$2,IF($A313=$A312,AQ312,1))-V313&lt;0),-1,MIN(1,IF($A313=$A312,AQ312,1)-V313+$D$2))</f>
        <v>1</v>
      </c>
      <c r="AR313" s="19">
        <f>IF(OR($J313=1,COUNTIFS($A$5:$A312,"&gt;="&amp;$A313-1,$A$5:$A312,"&lt;="&amp;$A313,$B$5:$B312,$B313)&gt;0,MIN(1-'Exercise list'!L$2,IF($A313=$A312,AR312,1))-W313&lt;0),-1,MIN(1,IF($A313=$A312,AR312,1)-W313+$D$2))</f>
        <v>1</v>
      </c>
      <c r="AS313" s="19">
        <f>IF(OR($J313=1,COUNTIFS($A$5:$A312,"&gt;="&amp;$A313-1,$A$5:$A312,"&lt;="&amp;$A313,$B$5:$B312,$B313)&gt;0,MIN(1-'Exercise list'!M$2,IF($A313=$A312,AS312,1))-X313&lt;0),-1,MIN(1,IF($A313=$A312,AS312,1)-X313+$D$2))</f>
        <v>1</v>
      </c>
      <c r="AT313" s="19">
        <f>IF(OR($J313=1,COUNTIFS($A$5:$A312,"&gt;="&amp;$A313-1,$A$5:$A312,"&lt;="&amp;$A313,$B$5:$B312,$B313)&gt;0,MIN(1-'Exercise list'!N$2,IF($A313=$A312,AT312,1))-Y313&lt;0),-1,MIN(1,IF($A313=$A312,AT312,1)-Y313+$D$2))</f>
        <v>1</v>
      </c>
      <c r="AU313" s="19">
        <f>IF(OR($J313=1,COUNTIFS($A$5:$A312,"&gt;="&amp;$A313-1,$A$5:$A312,"&lt;="&amp;$A313,$B$5:$B312,$B313)&gt;0,MIN(1-'Exercise list'!O$2,IF($A313=$A312,AU312,1))-Z313&lt;0),-1,MIN(1,IF($A313=$A312,AU312,1)-Z313+$D$2))</f>
        <v>1</v>
      </c>
      <c r="AV313" s="19">
        <f>IF(OR($J313=1,COUNTIFS($A$5:$A312,"&gt;="&amp;$A313-1,$A$5:$A312,"&lt;="&amp;$A313,$B$5:$B312,$B313)&gt;0,MIN(1-'Exercise list'!P$2,IF($A313=$A312,AV312,1))-AA313&lt;0),-1,MIN(1,IF($A313=$A312,AV312,1)-AA313+$D$2))</f>
        <v>1</v>
      </c>
      <c r="AW313" s="19">
        <f>IF(OR($J313=1,COUNTIFS($A$5:$A312,"&gt;="&amp;$A313-1,$A$5:$A312,"&lt;="&amp;$A313,$B$5:$B312,$B313)&gt;0,MIN(1-'Exercise list'!Q$2,IF($A313=$A312,AW312,1))-AB313&lt;0),-1,MIN(1,IF($A313=$A312,AW312,1)-AB313+$D$2))</f>
        <v>1</v>
      </c>
      <c r="AX313" s="19">
        <f>IF(OR($J313=1,COUNTIFS($A$5:$A312,"&gt;="&amp;$A313-1,$A$5:$A312,"&lt;="&amp;$A313,$B$5:$B312,$B313)&gt;0,MIN(1-'Exercise list'!R$2,IF($A313=$A312,AX312,1))-AC313&lt;0),-1,MIN(1,IF($A313=$A312,AX312,1)-AC313+$D$2))</f>
        <v>1</v>
      </c>
      <c r="AY313" s="19">
        <f>IF(OR($J313=1,COUNTIFS($A$5:$A312,"&gt;="&amp;$A313-1,$A$5:$A312,"&lt;="&amp;$A313,$B$5:$B312,$B313)&gt;0,MIN(1-'Exercise list'!S$2,IF($A313=$A312,AY312,1))-AD313&lt;0),-1,MIN(1,IF($A313=$A312,AY312,1)-AD313+$D$2))</f>
        <v>1</v>
      </c>
      <c r="AZ313" s="19">
        <f>IF(OR($J313=1,COUNTIFS($A$5:$A312,"&gt;="&amp;$A313-1,$A$5:$A312,"&lt;="&amp;$A313,$B$5:$B312,$B313)&gt;0,MIN(1-'Exercise list'!T$2,IF($A313=$A312,AZ312,1))-AE313&lt;0),-1,MIN(1,IF($A313=$A312,AZ312,1)-AE313+$D$2))</f>
        <v>1</v>
      </c>
      <c r="BA313" s="19">
        <f>IF(OR($J313=1,COUNTIFS($A$5:$A312,"&gt;="&amp;$A313-1,$A$5:$A312,"&lt;="&amp;$A313,$B$5:$B312,$B313)&gt;0,MIN(1-'Exercise list'!U$2,IF($A313=$A312,BA312,1))-AF313&lt;0),-1,MIN(1,IF($A313=$A312,BA312,1)-AF313+$D$2))</f>
        <v>1</v>
      </c>
      <c r="BB313" s="19">
        <f>IF(OR($J313=1,COUNTIFS($A$5:$A312,"&gt;="&amp;$A313-1,$A$5:$A312,"&lt;="&amp;$A313,$B$5:$B312,$B313)&gt;0,MIN(1-'Exercise list'!V$2,IF($A313=$A312,BB312,1))-AG313&lt;0),-1,MIN(1,IF($A313=$A312,BB312,1)-AG313+$D$2))</f>
        <v>1</v>
      </c>
      <c r="BC313" s="19">
        <f>IF(OR($J313=1,COUNTIFS($A$5:$A312,"&gt;="&amp;$A313-1,$A$5:$A312,"&lt;="&amp;$A313,$B$5:$B312,$B313)&gt;0,MIN(1-'Exercise list'!W$2,IF($A313=$A312,BC312,1))-AH313&lt;0),-1,MIN(1,IF($A313=$A312,BC312,1)-AH313+$D$2))</f>
        <v>1</v>
      </c>
      <c r="BD313" s="19">
        <f>IF(OR($J313=1,COUNTIFS($A$5:$A312,"&gt;="&amp;$A313-1,$A$5:$A312,"&lt;="&amp;$A313,$B$5:$B312,$B313)&gt;0,MIN(1-'Exercise list'!X$2,IF($A313=$A312,BD312,1))-AI313&lt;0),-1,MIN(1,IF($A313=$A312,BD312,1)-AI313+$D$2))</f>
        <v>1</v>
      </c>
      <c r="BE313" s="19"/>
      <c r="BF313" s="23">
        <f t="shared" si="233"/>
        <v>0.19596031081758858</v>
      </c>
      <c r="BG313" s="23">
        <f t="shared" si="234"/>
        <v>0.21844636935459236</v>
      </c>
      <c r="BH313" s="23">
        <f t="shared" si="235"/>
        <v>0.14609696635987124</v>
      </c>
      <c r="BI313" s="23">
        <f t="shared" si="236"/>
        <v>0.13198015366034541</v>
      </c>
      <c r="BJ313" s="23">
        <f t="shared" si="237"/>
        <v>8.3367914198418713E-2</v>
      </c>
      <c r="BK313" s="23">
        <f t="shared" si="238"/>
        <v>0.10640640223148412</v>
      </c>
      <c r="BL313" s="23">
        <f t="shared" si="239"/>
        <v>0.21963504743569431</v>
      </c>
      <c r="BM313" s="23">
        <f t="shared" si="240"/>
        <v>3.8988008374820568E-3</v>
      </c>
      <c r="BN313" s="23">
        <f t="shared" si="241"/>
        <v>0.14537706087090876</v>
      </c>
      <c r="BO313" s="23">
        <f t="shared" si="242"/>
        <v>0.29209790661993401</v>
      </c>
      <c r="BP313" s="23">
        <f t="shared" si="243"/>
        <v>0.31584545163401867</v>
      </c>
      <c r="BQ313" s="23">
        <f t="shared" si="244"/>
        <v>0.1000007994126096</v>
      </c>
      <c r="BR313" s="23">
        <f t="shared" si="245"/>
        <v>0.13164487759885393</v>
      </c>
      <c r="BS313" s="23">
        <f t="shared" si="246"/>
        <v>2.9803550189863123E-2</v>
      </c>
      <c r="BT313" s="23">
        <f t="shared" si="247"/>
        <v>0.13492040904978705</v>
      </c>
      <c r="BU313" s="23">
        <f t="shared" si="248"/>
        <v>0.11703687414398131</v>
      </c>
      <c r="BV313" s="23">
        <f t="shared" si="249"/>
        <v>0.14633353213781661</v>
      </c>
      <c r="BW313" s="23">
        <f t="shared" si="250"/>
        <v>7.5588015111767173E-2</v>
      </c>
      <c r="BX313" s="23">
        <f t="shared" si="251"/>
        <v>8.0345659937185704E-2</v>
      </c>
      <c r="BY313" s="23">
        <f t="shared" si="252"/>
        <v>5.9014643151272549E-2</v>
      </c>
      <c r="BZ313" s="19"/>
      <c r="CA313" s="23" t="str">
        <f t="shared" si="229"/>
        <v/>
      </c>
      <c r="CB313" s="23" t="str">
        <f t="shared" si="210"/>
        <v/>
      </c>
      <c r="CC313" s="23" t="str">
        <f t="shared" si="211"/>
        <v/>
      </c>
      <c r="CD313" s="23" t="str">
        <f t="shared" si="212"/>
        <v/>
      </c>
      <c r="CE313" s="23" t="str">
        <f t="shared" si="213"/>
        <v/>
      </c>
      <c r="CF313" s="23" t="str">
        <f t="shared" si="214"/>
        <v/>
      </c>
      <c r="CG313" s="23" t="str">
        <f t="shared" si="215"/>
        <v/>
      </c>
      <c r="CH313" s="23" t="str">
        <f t="shared" si="216"/>
        <v/>
      </c>
      <c r="CI313" s="23" t="str">
        <f t="shared" si="217"/>
        <v/>
      </c>
      <c r="CJ313" s="23" t="str">
        <f t="shared" si="218"/>
        <v/>
      </c>
      <c r="CK313" s="23" t="str">
        <f t="shared" si="219"/>
        <v/>
      </c>
      <c r="CL313" s="23" t="str">
        <f t="shared" si="220"/>
        <v/>
      </c>
      <c r="CM313" s="23" t="str">
        <f t="shared" si="221"/>
        <v/>
      </c>
      <c r="CN313" s="23" t="str">
        <f t="shared" si="222"/>
        <v/>
      </c>
      <c r="CO313" s="23" t="str">
        <f t="shared" si="223"/>
        <v/>
      </c>
      <c r="CP313" s="23" t="str">
        <f t="shared" si="224"/>
        <v/>
      </c>
      <c r="CQ313" s="23" t="str">
        <f t="shared" si="225"/>
        <v/>
      </c>
      <c r="CR313" s="23" t="str">
        <f t="shared" si="226"/>
        <v/>
      </c>
      <c r="CS313" s="23" t="str">
        <f t="shared" si="227"/>
        <v/>
      </c>
      <c r="CT313" s="23" t="str">
        <f t="shared" si="228"/>
        <v/>
      </c>
      <c r="CU313" s="19"/>
    </row>
    <row r="314" spans="1:99" x14ac:dyDescent="0.25">
      <c r="A314" s="13"/>
      <c r="B314" s="14"/>
      <c r="C314" s="15" t="str" cm="1">
        <f t="array" ref="C314">IF(B314="","",INDEX('Exercise list'!$C$5:$C$102,B314))</f>
        <v/>
      </c>
      <c r="D314" s="12" t="str">
        <f t="shared" si="230"/>
        <v/>
      </c>
      <c r="E314" s="107" t="str">
        <f t="shared" si="253"/>
        <v/>
      </c>
      <c r="F314" s="63" t="str" cm="1">
        <f t="array" ref="F314">IF(B314="","",0.1+IFERROR(INDEX($F$6:$F313,SUMPRODUCT(MAX(ROW($C$6:$C313)*($C314=$C$6:$C313))-ROW($A$5)))*0.9^($A314-INDEX($A$6:A313,SUMPRODUCT(MAX(ROW($C$6:$C313)*($C314=$C$6:$C313))-ROW($A$5)))),0))</f>
        <v/>
      </c>
      <c r="G314" s="64" t="e">
        <f>INDEX('Exercise list'!$Y$5:$Y$102,MATCH(C314,'Exercise list'!$C$5:$C$102,0))</f>
        <v>#N/A</v>
      </c>
      <c r="H314" s="115">
        <f t="shared" si="231"/>
        <v>0</v>
      </c>
      <c r="I314" s="42">
        <f t="shared" si="232"/>
        <v>5</v>
      </c>
      <c r="J314" s="6" t="str" cm="1">
        <f t="array" ref="J314">IF(B314="","",INDEX('Exercise list'!$D$5:$D$102,B314))</f>
        <v/>
      </c>
      <c r="K314" s="12"/>
      <c r="L314" s="74" t="str" cm="1">
        <f t="array" ref="L314">IF(K314="","",INDEX('Exercise list'!$C$5:$C$102,K314))</f>
        <v/>
      </c>
      <c r="M314" s="6"/>
      <c r="N314" s="75" t="str" cm="1">
        <f t="array" ref="N314">IF(M314="","",INDEX('Exercise list'!$C$5:$C$102,M314))</f>
        <v/>
      </c>
      <c r="P314">
        <f>IFERROR(INDEX('Exercise list'!$E$5:$X$102,MATCH($C314,'Exercise list'!$C$5:$C$102,0),MATCH(P$5,'Exercise list'!$E$4:$X$4,0)),0)</f>
        <v>0</v>
      </c>
      <c r="Q314">
        <f>IFERROR(INDEX('Exercise list'!$E$5:$X$102,MATCH($C314,'Exercise list'!$C$5:$C$102,0),MATCH(Q$5,'Exercise list'!$E$4:$X$4,0)),0)</f>
        <v>0</v>
      </c>
      <c r="R314">
        <f>IFERROR(INDEX('Exercise list'!$E$5:$X$102,MATCH($C314,'Exercise list'!$C$5:$C$102,0),MATCH(R$5,'Exercise list'!$E$4:$X$4,0)),0)</f>
        <v>0</v>
      </c>
      <c r="S314">
        <f>IFERROR(INDEX('Exercise list'!$E$5:$X$102,MATCH($C314,'Exercise list'!$C$5:$C$102,0),MATCH(S$5,'Exercise list'!$E$4:$X$4,0)),0)</f>
        <v>0</v>
      </c>
      <c r="T314">
        <f>IFERROR(INDEX('Exercise list'!$E$5:$X$102,MATCH($C314,'Exercise list'!$C$5:$C$102,0),MATCH(T$5,'Exercise list'!$E$4:$X$4,0)),0)</f>
        <v>0</v>
      </c>
      <c r="U314">
        <f>IFERROR(INDEX('Exercise list'!$E$5:$X$102,MATCH($C314,'Exercise list'!$C$5:$C$102,0),MATCH(U$5,'Exercise list'!$E$4:$X$4,0)),0)</f>
        <v>0</v>
      </c>
      <c r="V314">
        <f>IFERROR(INDEX('Exercise list'!$E$5:$X$102,MATCH($C314,'Exercise list'!$C$5:$C$102,0),MATCH(V$5,'Exercise list'!$E$4:$X$4,0)),0)</f>
        <v>0</v>
      </c>
      <c r="W314">
        <f>IFERROR(INDEX('Exercise list'!$E$5:$X$102,MATCH($C314,'Exercise list'!$C$5:$C$102,0),MATCH(W$5,'Exercise list'!$E$4:$X$4,0)),0)</f>
        <v>0</v>
      </c>
      <c r="X314">
        <f>IFERROR(INDEX('Exercise list'!$E$5:$X$102,MATCH($C314,'Exercise list'!$C$5:$C$102,0),MATCH(X$5,'Exercise list'!$E$4:$X$4,0)),0)</f>
        <v>0</v>
      </c>
      <c r="Y314">
        <f>IFERROR(INDEX('Exercise list'!$E$5:$X$102,MATCH($C314,'Exercise list'!$C$5:$C$102,0),MATCH(Y$5,'Exercise list'!$E$4:$X$4,0)),0)</f>
        <v>0</v>
      </c>
      <c r="Z314">
        <f>IFERROR(INDEX('Exercise list'!$E$5:$X$102,MATCH($C314,'Exercise list'!$C$5:$C$102,0),MATCH(Z$5,'Exercise list'!$E$4:$X$4,0)),0)</f>
        <v>0</v>
      </c>
      <c r="AA314">
        <f>IFERROR(INDEX('Exercise list'!$E$5:$X$102,MATCH($C314,'Exercise list'!$C$5:$C$102,0),MATCH(AA$5,'Exercise list'!$E$4:$X$4,0)),0)</f>
        <v>0</v>
      </c>
      <c r="AB314">
        <f>IFERROR(INDEX('Exercise list'!$E$5:$X$102,MATCH($C314,'Exercise list'!$C$5:$C$102,0),MATCH(AB$5,'Exercise list'!$E$4:$X$4,0)),0)</f>
        <v>0</v>
      </c>
      <c r="AC314">
        <f>IFERROR(INDEX('Exercise list'!$E$5:$X$102,MATCH($C314,'Exercise list'!$C$5:$C$102,0),MATCH(AC$5,'Exercise list'!$E$4:$X$4,0)),0)</f>
        <v>0</v>
      </c>
      <c r="AD314">
        <f>IFERROR(INDEX('Exercise list'!$E$5:$X$102,MATCH($C314,'Exercise list'!$C$5:$C$102,0),MATCH(AD$5,'Exercise list'!$E$4:$X$4,0)),0)</f>
        <v>0</v>
      </c>
      <c r="AE314">
        <f>IFERROR(INDEX('Exercise list'!$E$5:$X$102,MATCH($C314,'Exercise list'!$C$5:$C$102,0),MATCH(AE$5,'Exercise list'!$E$4:$X$4,0)),0)</f>
        <v>0</v>
      </c>
      <c r="AF314">
        <f>IFERROR(INDEX('Exercise list'!$E$5:$X$102,MATCH($C314,'Exercise list'!$C$5:$C$102,0),MATCH(AF$5,'Exercise list'!$E$4:$X$4,0)),0)</f>
        <v>0</v>
      </c>
      <c r="AG314">
        <f>IFERROR(INDEX('Exercise list'!$E$5:$X$102,MATCH($C314,'Exercise list'!$C$5:$C$102,0),MATCH(AG$5,'Exercise list'!$E$4:$X$4,0)),0)</f>
        <v>0</v>
      </c>
      <c r="AH314">
        <f>IFERROR(INDEX('Exercise list'!$E$5:$X$102,MATCH($C314,'Exercise list'!$C$5:$C$102,0),MATCH(AH$5,'Exercise list'!$E$4:$X$4,0)),0)</f>
        <v>0</v>
      </c>
      <c r="AI314">
        <f>IFERROR(INDEX('Exercise list'!$E$5:$X$102,MATCH($C314,'Exercise list'!$C$5:$C$102,0),MATCH(AI$5,'Exercise list'!$E$4:$X$4,0)),0)</f>
        <v>0</v>
      </c>
      <c r="AK314">
        <f>IF(OR($J314=1,COUNTIFS($A$5:$A313,"&gt;="&amp;$A314-1,$A$5:$A313,"&lt;="&amp;$A314,$B$5:$B313,$B314)&gt;0,MIN(1-'Exercise list'!E$2,IF($A314=$A313,AK313,1))-P314&lt;0),-1,MIN(1,IF($A314=$A313,AK313,1)-P314+$D$2))</f>
        <v>1</v>
      </c>
      <c r="AL314">
        <f>IF(OR($J314=1,COUNTIFS($A$5:$A313,"&gt;="&amp;$A314-1,$A$5:$A313,"&lt;="&amp;$A314,$B$5:$B313,$B314)&gt;0,MIN(1-'Exercise list'!F$2,IF($A314=$A313,AL313,1))-Q314&lt;0),-1,MIN(1,IF($A314=$A313,AL313,1)-Q314+$D$2))</f>
        <v>1</v>
      </c>
      <c r="AM314">
        <f>IF(OR($J314=1,COUNTIFS($A$5:$A313,"&gt;="&amp;$A314-1,$A$5:$A313,"&lt;="&amp;$A314,$B$5:$B313,$B314)&gt;0,MIN(1-'Exercise list'!G$2,IF($A314=$A313,AM313,1))-R314&lt;0),-1,MIN(1,IF($A314=$A313,AM313,1)-R314+$D$2))</f>
        <v>1</v>
      </c>
      <c r="AN314">
        <f>IF(OR($J314=1,COUNTIFS($A$5:$A313,"&gt;="&amp;$A314-1,$A$5:$A313,"&lt;="&amp;$A314,$B$5:$B313,$B314)&gt;0,MIN(1-'Exercise list'!H$2,IF($A314=$A313,AN313,1))-S314&lt;0),-1,MIN(1,IF($A314=$A313,AN313,1)-S314+$D$2))</f>
        <v>1</v>
      </c>
      <c r="AO314">
        <f>IF(OR($J314=1,COUNTIFS($A$5:$A313,"&gt;="&amp;$A314-1,$A$5:$A313,"&lt;="&amp;$A314,$B$5:$B313,$B314)&gt;0,MIN(1-'Exercise list'!I$2,IF($A314=$A313,AO313,1))-T314&lt;0),-1,MIN(1,IF($A314=$A313,AO313,1)-T314+$D$2))</f>
        <v>1</v>
      </c>
      <c r="AP314">
        <f>IF(OR($J314=1,COUNTIFS($A$5:$A313,"&gt;="&amp;$A314-1,$A$5:$A313,"&lt;="&amp;$A314,$B$5:$B313,$B314)&gt;0,MIN(1-'Exercise list'!J$2,IF($A314=$A313,AP313,1))-U314&lt;0),-1,MIN(1,IF($A314=$A313,AP313,1)-U314+$D$2))</f>
        <v>1</v>
      </c>
      <c r="AQ314">
        <f>IF(OR($J314=1,COUNTIFS($A$5:$A313,"&gt;="&amp;$A314-1,$A$5:$A313,"&lt;="&amp;$A314,$B$5:$B313,$B314)&gt;0,MIN(1-'Exercise list'!K$2,IF($A314=$A313,AQ313,1))-V314&lt;0),-1,MIN(1,IF($A314=$A313,AQ313,1)-V314+$D$2))</f>
        <v>1</v>
      </c>
      <c r="AR314">
        <f>IF(OR($J314=1,COUNTIFS($A$5:$A313,"&gt;="&amp;$A314-1,$A$5:$A313,"&lt;="&amp;$A314,$B$5:$B313,$B314)&gt;0,MIN(1-'Exercise list'!L$2,IF($A314=$A313,AR313,1))-W314&lt;0),-1,MIN(1,IF($A314=$A313,AR313,1)-W314+$D$2))</f>
        <v>1</v>
      </c>
      <c r="AS314">
        <f>IF(OR($J314=1,COUNTIFS($A$5:$A313,"&gt;="&amp;$A314-1,$A$5:$A313,"&lt;="&amp;$A314,$B$5:$B313,$B314)&gt;0,MIN(1-'Exercise list'!M$2,IF($A314=$A313,AS313,1))-X314&lt;0),-1,MIN(1,IF($A314=$A313,AS313,1)-X314+$D$2))</f>
        <v>1</v>
      </c>
      <c r="AT314">
        <f>IF(OR($J314=1,COUNTIFS($A$5:$A313,"&gt;="&amp;$A314-1,$A$5:$A313,"&lt;="&amp;$A314,$B$5:$B313,$B314)&gt;0,MIN(1-'Exercise list'!N$2,IF($A314=$A313,AT313,1))-Y314&lt;0),-1,MIN(1,IF($A314=$A313,AT313,1)-Y314+$D$2))</f>
        <v>1</v>
      </c>
      <c r="AU314">
        <f>IF(OR($J314=1,COUNTIFS($A$5:$A313,"&gt;="&amp;$A314-1,$A$5:$A313,"&lt;="&amp;$A314,$B$5:$B313,$B314)&gt;0,MIN(1-'Exercise list'!O$2,IF($A314=$A313,AU313,1))-Z314&lt;0),-1,MIN(1,IF($A314=$A313,AU313,1)-Z314+$D$2))</f>
        <v>1</v>
      </c>
      <c r="AV314">
        <f>IF(OR($J314=1,COUNTIFS($A$5:$A313,"&gt;="&amp;$A314-1,$A$5:$A313,"&lt;="&amp;$A314,$B$5:$B313,$B314)&gt;0,MIN(1-'Exercise list'!P$2,IF($A314=$A313,AV313,1))-AA314&lt;0),-1,MIN(1,IF($A314=$A313,AV313,1)-AA314+$D$2))</f>
        <v>1</v>
      </c>
      <c r="AW314">
        <f>IF(OR($J314=1,COUNTIFS($A$5:$A313,"&gt;="&amp;$A314-1,$A$5:$A313,"&lt;="&amp;$A314,$B$5:$B313,$B314)&gt;0,MIN(1-'Exercise list'!Q$2,IF($A314=$A313,AW313,1))-AB314&lt;0),-1,MIN(1,IF($A314=$A313,AW313,1)-AB314+$D$2))</f>
        <v>1</v>
      </c>
      <c r="AX314">
        <f>IF(OR($J314=1,COUNTIFS($A$5:$A313,"&gt;="&amp;$A314-1,$A$5:$A313,"&lt;="&amp;$A314,$B$5:$B313,$B314)&gt;0,MIN(1-'Exercise list'!R$2,IF($A314=$A313,AX313,1))-AC314&lt;0),-1,MIN(1,IF($A314=$A313,AX313,1)-AC314+$D$2))</f>
        <v>1</v>
      </c>
      <c r="AY314">
        <f>IF(OR($J314=1,COUNTIFS($A$5:$A313,"&gt;="&amp;$A314-1,$A$5:$A313,"&lt;="&amp;$A314,$B$5:$B313,$B314)&gt;0,MIN(1-'Exercise list'!S$2,IF($A314=$A313,AY313,1))-AD314&lt;0),-1,MIN(1,IF($A314=$A313,AY313,1)-AD314+$D$2))</f>
        <v>1</v>
      </c>
      <c r="AZ314">
        <f>IF(OR($J314=1,COUNTIFS($A$5:$A313,"&gt;="&amp;$A314-1,$A$5:$A313,"&lt;="&amp;$A314,$B$5:$B313,$B314)&gt;0,MIN(1-'Exercise list'!T$2,IF($A314=$A313,AZ313,1))-AE314&lt;0),-1,MIN(1,IF($A314=$A313,AZ313,1)-AE314+$D$2))</f>
        <v>1</v>
      </c>
      <c r="BA314">
        <f>IF(OR($J314=1,COUNTIFS($A$5:$A313,"&gt;="&amp;$A314-1,$A$5:$A313,"&lt;="&amp;$A314,$B$5:$B313,$B314)&gt;0,MIN(1-'Exercise list'!U$2,IF($A314=$A313,BA313,1))-AF314&lt;0),-1,MIN(1,IF($A314=$A313,BA313,1)-AF314+$D$2))</f>
        <v>1</v>
      </c>
      <c r="BB314">
        <f>IF(OR($J314=1,COUNTIFS($A$5:$A313,"&gt;="&amp;$A314-1,$A$5:$A313,"&lt;="&amp;$A314,$B$5:$B313,$B314)&gt;0,MIN(1-'Exercise list'!V$2,IF($A314=$A313,BB313,1))-AG314&lt;0),-1,MIN(1,IF($A314=$A313,BB313,1)-AG314+$D$2))</f>
        <v>1</v>
      </c>
      <c r="BC314">
        <f>IF(OR($J314=1,COUNTIFS($A$5:$A313,"&gt;="&amp;$A314-1,$A$5:$A313,"&lt;="&amp;$A314,$B$5:$B313,$B314)&gt;0,MIN(1-'Exercise list'!W$2,IF($A314=$A313,BC313,1))-AH314&lt;0),-1,MIN(1,IF($A314=$A313,BC313,1)-AH314+$D$2))</f>
        <v>1</v>
      </c>
      <c r="BD314">
        <f>IF(OR($J314=1,COUNTIFS($A$5:$A313,"&gt;="&amp;$A314-1,$A$5:$A313,"&lt;="&amp;$A314,$B$5:$B313,$B314)&gt;0,MIN(1-'Exercise list'!X$2,IF($A314=$A313,BD313,1))-AI314&lt;0),-1,MIN(1,IF($A314=$A313,BD313,1)-AI314+$D$2))</f>
        <v>1</v>
      </c>
      <c r="BF314" s="16">
        <f t="shared" si="233"/>
        <v>0.19596031081758858</v>
      </c>
      <c r="BG314" s="16">
        <f t="shared" si="234"/>
        <v>0.21844636935459236</v>
      </c>
      <c r="BH314" s="16">
        <f t="shared" si="235"/>
        <v>0.14609696635987124</v>
      </c>
      <c r="BI314" s="16">
        <f t="shared" si="236"/>
        <v>0.13198015366034541</v>
      </c>
      <c r="BJ314" s="16">
        <f t="shared" si="237"/>
        <v>8.3367914198418713E-2</v>
      </c>
      <c r="BK314" s="16">
        <f t="shared" si="238"/>
        <v>0.10640640223148412</v>
      </c>
      <c r="BL314" s="16">
        <f t="shared" si="239"/>
        <v>0.21963504743569431</v>
      </c>
      <c r="BM314" s="16">
        <f t="shared" si="240"/>
        <v>3.8988008374820568E-3</v>
      </c>
      <c r="BN314" s="16">
        <f t="shared" si="241"/>
        <v>0.14537706087090876</v>
      </c>
      <c r="BO314" s="16">
        <f t="shared" si="242"/>
        <v>0.29209790661993401</v>
      </c>
      <c r="BP314" s="16">
        <f t="shared" si="243"/>
        <v>0.31584545163401867</v>
      </c>
      <c r="BQ314" s="16">
        <f t="shared" si="244"/>
        <v>0.1000007994126096</v>
      </c>
      <c r="BR314" s="16">
        <f t="shared" si="245"/>
        <v>0.13164487759885393</v>
      </c>
      <c r="BS314" s="16">
        <f t="shared" si="246"/>
        <v>2.9803550189863123E-2</v>
      </c>
      <c r="BT314" s="16">
        <f t="shared" si="247"/>
        <v>0.13492040904978705</v>
      </c>
      <c r="BU314" s="16">
        <f t="shared" si="248"/>
        <v>0.11703687414398131</v>
      </c>
      <c r="BV314" s="16">
        <f t="shared" si="249"/>
        <v>0.14633353213781661</v>
      </c>
      <c r="BW314" s="16">
        <f t="shared" si="250"/>
        <v>7.5588015111767173E-2</v>
      </c>
      <c r="BX314" s="16">
        <f t="shared" si="251"/>
        <v>8.0345659937185704E-2</v>
      </c>
      <c r="BY314" s="16">
        <f t="shared" si="252"/>
        <v>5.9014643151272549E-2</v>
      </c>
      <c r="CA314" s="16" t="str">
        <f t="shared" si="229"/>
        <v/>
      </c>
      <c r="CB314" s="16" t="str">
        <f t="shared" si="210"/>
        <v/>
      </c>
      <c r="CC314" s="16" t="str">
        <f t="shared" si="211"/>
        <v/>
      </c>
      <c r="CD314" s="16" t="str">
        <f t="shared" si="212"/>
        <v/>
      </c>
      <c r="CE314" s="16" t="str">
        <f t="shared" si="213"/>
        <v/>
      </c>
      <c r="CF314" s="16" t="str">
        <f t="shared" si="214"/>
        <v/>
      </c>
      <c r="CG314" s="16" t="str">
        <f t="shared" si="215"/>
        <v/>
      </c>
      <c r="CH314" s="16" t="str">
        <f t="shared" si="216"/>
        <v/>
      </c>
      <c r="CI314" s="16" t="str">
        <f t="shared" si="217"/>
        <v/>
      </c>
      <c r="CJ314" s="16" t="str">
        <f t="shared" si="218"/>
        <v/>
      </c>
      <c r="CK314" s="16" t="str">
        <f t="shared" si="219"/>
        <v/>
      </c>
      <c r="CL314" s="16" t="str">
        <f t="shared" si="220"/>
        <v/>
      </c>
      <c r="CM314" s="16" t="str">
        <f t="shared" si="221"/>
        <v/>
      </c>
      <c r="CN314" s="16" t="str">
        <f t="shared" si="222"/>
        <v/>
      </c>
      <c r="CO314" s="16" t="str">
        <f t="shared" si="223"/>
        <v/>
      </c>
      <c r="CP314" s="16" t="str">
        <f t="shared" si="224"/>
        <v/>
      </c>
      <c r="CQ314" s="16" t="str">
        <f t="shared" si="225"/>
        <v/>
      </c>
      <c r="CR314" s="16" t="str">
        <f t="shared" si="226"/>
        <v/>
      </c>
      <c r="CS314" s="16" t="str">
        <f t="shared" si="227"/>
        <v/>
      </c>
      <c r="CT314" s="16" t="str">
        <f t="shared" si="228"/>
        <v/>
      </c>
    </row>
    <row r="315" spans="1:99" x14ac:dyDescent="0.25">
      <c r="A315" s="13"/>
      <c r="B315" s="14"/>
      <c r="C315" s="15" t="str" cm="1">
        <f t="array" ref="C315">IF(B315="","",INDEX('Exercise list'!$C$5:$C$102,B315))</f>
        <v/>
      </c>
      <c r="D315" s="12" t="str">
        <f t="shared" si="230"/>
        <v/>
      </c>
      <c r="E315" s="107" t="str">
        <f t="shared" si="253"/>
        <v/>
      </c>
      <c r="F315" s="63" t="str" cm="1">
        <f t="array" ref="F315">IF(B315="","",0.1+IFERROR(INDEX($F$6:$F314,SUMPRODUCT(MAX(ROW($C$6:$C314)*($C315=$C$6:$C314))-ROW($A$5)))*0.9^($A315-INDEX($A$6:A314,SUMPRODUCT(MAX(ROW($C$6:$C314)*($C315=$C$6:$C314))-ROW($A$5)))),0))</f>
        <v/>
      </c>
      <c r="G315" s="64" t="e">
        <f>INDEX('Exercise list'!$Y$5:$Y$102,MATCH(C315,'Exercise list'!$C$5:$C$102,0))</f>
        <v>#N/A</v>
      </c>
      <c r="H315" s="115">
        <f t="shared" si="231"/>
        <v>0</v>
      </c>
      <c r="I315" s="6">
        <f t="shared" si="232"/>
        <v>5</v>
      </c>
      <c r="J315" s="6" t="str" cm="1">
        <f t="array" ref="J315">IF(B315="","",INDEX('Exercise list'!$D$5:$D$102,B315))</f>
        <v/>
      </c>
      <c r="K315" s="12"/>
      <c r="L315" s="74" t="str" cm="1">
        <f t="array" ref="L315">IF(K315="","",INDEX('Exercise list'!$C$5:$C$102,K315))</f>
        <v/>
      </c>
      <c r="M315" s="6"/>
      <c r="N315" s="75" t="str" cm="1">
        <f t="array" ref="N315">IF(M315="","",INDEX('Exercise list'!$C$5:$C$102,M315))</f>
        <v/>
      </c>
      <c r="P315">
        <f>IFERROR(INDEX('Exercise list'!$E$5:$X$102,MATCH($C315,'Exercise list'!$C$5:$C$102,0),MATCH(P$5,'Exercise list'!$E$4:$X$4,0)),0)</f>
        <v>0</v>
      </c>
      <c r="Q315">
        <f>IFERROR(INDEX('Exercise list'!$E$5:$X$102,MATCH($C315,'Exercise list'!$C$5:$C$102,0),MATCH(Q$5,'Exercise list'!$E$4:$X$4,0)),0)</f>
        <v>0</v>
      </c>
      <c r="R315">
        <f>IFERROR(INDEX('Exercise list'!$E$5:$X$102,MATCH($C315,'Exercise list'!$C$5:$C$102,0),MATCH(R$5,'Exercise list'!$E$4:$X$4,0)),0)</f>
        <v>0</v>
      </c>
      <c r="S315">
        <f>IFERROR(INDEX('Exercise list'!$E$5:$X$102,MATCH($C315,'Exercise list'!$C$5:$C$102,0),MATCH(S$5,'Exercise list'!$E$4:$X$4,0)),0)</f>
        <v>0</v>
      </c>
      <c r="T315">
        <f>IFERROR(INDEX('Exercise list'!$E$5:$X$102,MATCH($C315,'Exercise list'!$C$5:$C$102,0),MATCH(T$5,'Exercise list'!$E$4:$X$4,0)),0)</f>
        <v>0</v>
      </c>
      <c r="U315">
        <f>IFERROR(INDEX('Exercise list'!$E$5:$X$102,MATCH($C315,'Exercise list'!$C$5:$C$102,0),MATCH(U$5,'Exercise list'!$E$4:$X$4,0)),0)</f>
        <v>0</v>
      </c>
      <c r="V315">
        <f>IFERROR(INDEX('Exercise list'!$E$5:$X$102,MATCH($C315,'Exercise list'!$C$5:$C$102,0),MATCH(V$5,'Exercise list'!$E$4:$X$4,0)),0)</f>
        <v>0</v>
      </c>
      <c r="W315">
        <f>IFERROR(INDEX('Exercise list'!$E$5:$X$102,MATCH($C315,'Exercise list'!$C$5:$C$102,0),MATCH(W$5,'Exercise list'!$E$4:$X$4,0)),0)</f>
        <v>0</v>
      </c>
      <c r="X315">
        <f>IFERROR(INDEX('Exercise list'!$E$5:$X$102,MATCH($C315,'Exercise list'!$C$5:$C$102,0),MATCH(X$5,'Exercise list'!$E$4:$X$4,0)),0)</f>
        <v>0</v>
      </c>
      <c r="Y315">
        <f>IFERROR(INDEX('Exercise list'!$E$5:$X$102,MATCH($C315,'Exercise list'!$C$5:$C$102,0),MATCH(Y$5,'Exercise list'!$E$4:$X$4,0)),0)</f>
        <v>0</v>
      </c>
      <c r="Z315">
        <f>IFERROR(INDEX('Exercise list'!$E$5:$X$102,MATCH($C315,'Exercise list'!$C$5:$C$102,0),MATCH(Z$5,'Exercise list'!$E$4:$X$4,0)),0)</f>
        <v>0</v>
      </c>
      <c r="AA315">
        <f>IFERROR(INDEX('Exercise list'!$E$5:$X$102,MATCH($C315,'Exercise list'!$C$5:$C$102,0),MATCH(AA$5,'Exercise list'!$E$4:$X$4,0)),0)</f>
        <v>0</v>
      </c>
      <c r="AB315">
        <f>IFERROR(INDEX('Exercise list'!$E$5:$X$102,MATCH($C315,'Exercise list'!$C$5:$C$102,0),MATCH(AB$5,'Exercise list'!$E$4:$X$4,0)),0)</f>
        <v>0</v>
      </c>
      <c r="AC315">
        <f>IFERROR(INDEX('Exercise list'!$E$5:$X$102,MATCH($C315,'Exercise list'!$C$5:$C$102,0),MATCH(AC$5,'Exercise list'!$E$4:$X$4,0)),0)</f>
        <v>0</v>
      </c>
      <c r="AD315">
        <f>IFERROR(INDEX('Exercise list'!$E$5:$X$102,MATCH($C315,'Exercise list'!$C$5:$C$102,0),MATCH(AD$5,'Exercise list'!$E$4:$X$4,0)),0)</f>
        <v>0</v>
      </c>
      <c r="AE315">
        <f>IFERROR(INDEX('Exercise list'!$E$5:$X$102,MATCH($C315,'Exercise list'!$C$5:$C$102,0),MATCH(AE$5,'Exercise list'!$E$4:$X$4,0)),0)</f>
        <v>0</v>
      </c>
      <c r="AF315">
        <f>IFERROR(INDEX('Exercise list'!$E$5:$X$102,MATCH($C315,'Exercise list'!$C$5:$C$102,0),MATCH(AF$5,'Exercise list'!$E$4:$X$4,0)),0)</f>
        <v>0</v>
      </c>
      <c r="AG315">
        <f>IFERROR(INDEX('Exercise list'!$E$5:$X$102,MATCH($C315,'Exercise list'!$C$5:$C$102,0),MATCH(AG$5,'Exercise list'!$E$4:$X$4,0)),0)</f>
        <v>0</v>
      </c>
      <c r="AH315">
        <f>IFERROR(INDEX('Exercise list'!$E$5:$X$102,MATCH($C315,'Exercise list'!$C$5:$C$102,0),MATCH(AH$5,'Exercise list'!$E$4:$X$4,0)),0)</f>
        <v>0</v>
      </c>
      <c r="AI315">
        <f>IFERROR(INDEX('Exercise list'!$E$5:$X$102,MATCH($C315,'Exercise list'!$C$5:$C$102,0),MATCH(AI$5,'Exercise list'!$E$4:$X$4,0)),0)</f>
        <v>0</v>
      </c>
      <c r="AK315">
        <f>IF(OR($J315=1,COUNTIFS($A$5:$A314,"&gt;="&amp;$A315-1,$A$5:$A314,"&lt;="&amp;$A315,$B$5:$B314,$B315)&gt;0,MIN(1-'Exercise list'!E$2,IF($A315=$A314,AK314,1))-P315&lt;0),-1,MIN(1,IF($A315=$A314,AK314,1)-P315+$D$2))</f>
        <v>1</v>
      </c>
      <c r="AL315">
        <f>IF(OR($J315=1,COUNTIFS($A$5:$A314,"&gt;="&amp;$A315-1,$A$5:$A314,"&lt;="&amp;$A315,$B$5:$B314,$B315)&gt;0,MIN(1-'Exercise list'!F$2,IF($A315=$A314,AL314,1))-Q315&lt;0),-1,MIN(1,IF($A315=$A314,AL314,1)-Q315+$D$2))</f>
        <v>1</v>
      </c>
      <c r="AM315">
        <f>IF(OR($J315=1,COUNTIFS($A$5:$A314,"&gt;="&amp;$A315-1,$A$5:$A314,"&lt;="&amp;$A315,$B$5:$B314,$B315)&gt;0,MIN(1-'Exercise list'!G$2,IF($A315=$A314,AM314,1))-R315&lt;0),-1,MIN(1,IF($A315=$A314,AM314,1)-R315+$D$2))</f>
        <v>1</v>
      </c>
      <c r="AN315">
        <f>IF(OR($J315=1,COUNTIFS($A$5:$A314,"&gt;="&amp;$A315-1,$A$5:$A314,"&lt;="&amp;$A315,$B$5:$B314,$B315)&gt;0,MIN(1-'Exercise list'!H$2,IF($A315=$A314,AN314,1))-S315&lt;0),-1,MIN(1,IF($A315=$A314,AN314,1)-S315+$D$2))</f>
        <v>1</v>
      </c>
      <c r="AO315">
        <f>IF(OR($J315=1,COUNTIFS($A$5:$A314,"&gt;="&amp;$A315-1,$A$5:$A314,"&lt;="&amp;$A315,$B$5:$B314,$B315)&gt;0,MIN(1-'Exercise list'!I$2,IF($A315=$A314,AO314,1))-T315&lt;0),-1,MIN(1,IF($A315=$A314,AO314,1)-T315+$D$2))</f>
        <v>1</v>
      </c>
      <c r="AP315">
        <f>IF(OR($J315=1,COUNTIFS($A$5:$A314,"&gt;="&amp;$A315-1,$A$5:$A314,"&lt;="&amp;$A315,$B$5:$B314,$B315)&gt;0,MIN(1-'Exercise list'!J$2,IF($A315=$A314,AP314,1))-U315&lt;0),-1,MIN(1,IF($A315=$A314,AP314,1)-U315+$D$2))</f>
        <v>1</v>
      </c>
      <c r="AQ315">
        <f>IF(OR($J315=1,COUNTIFS($A$5:$A314,"&gt;="&amp;$A315-1,$A$5:$A314,"&lt;="&amp;$A315,$B$5:$B314,$B315)&gt;0,MIN(1-'Exercise list'!K$2,IF($A315=$A314,AQ314,1))-V315&lt;0),-1,MIN(1,IF($A315=$A314,AQ314,1)-V315+$D$2))</f>
        <v>1</v>
      </c>
      <c r="AR315">
        <f>IF(OR($J315=1,COUNTIFS($A$5:$A314,"&gt;="&amp;$A315-1,$A$5:$A314,"&lt;="&amp;$A315,$B$5:$B314,$B315)&gt;0,MIN(1-'Exercise list'!L$2,IF($A315=$A314,AR314,1))-W315&lt;0),-1,MIN(1,IF($A315=$A314,AR314,1)-W315+$D$2))</f>
        <v>1</v>
      </c>
      <c r="AS315">
        <f>IF(OR($J315=1,COUNTIFS($A$5:$A314,"&gt;="&amp;$A315-1,$A$5:$A314,"&lt;="&amp;$A315,$B$5:$B314,$B315)&gt;0,MIN(1-'Exercise list'!M$2,IF($A315=$A314,AS314,1))-X315&lt;0),-1,MIN(1,IF($A315=$A314,AS314,1)-X315+$D$2))</f>
        <v>1</v>
      </c>
      <c r="AT315">
        <f>IF(OR($J315=1,COUNTIFS($A$5:$A314,"&gt;="&amp;$A315-1,$A$5:$A314,"&lt;="&amp;$A315,$B$5:$B314,$B315)&gt;0,MIN(1-'Exercise list'!N$2,IF($A315=$A314,AT314,1))-Y315&lt;0),-1,MIN(1,IF($A315=$A314,AT314,1)-Y315+$D$2))</f>
        <v>1</v>
      </c>
      <c r="AU315">
        <f>IF(OR($J315=1,COUNTIFS($A$5:$A314,"&gt;="&amp;$A315-1,$A$5:$A314,"&lt;="&amp;$A315,$B$5:$B314,$B315)&gt;0,MIN(1-'Exercise list'!O$2,IF($A315=$A314,AU314,1))-Z315&lt;0),-1,MIN(1,IF($A315=$A314,AU314,1)-Z315+$D$2))</f>
        <v>1</v>
      </c>
      <c r="AV315">
        <f>IF(OR($J315=1,COUNTIFS($A$5:$A314,"&gt;="&amp;$A315-1,$A$5:$A314,"&lt;="&amp;$A315,$B$5:$B314,$B315)&gt;0,MIN(1-'Exercise list'!P$2,IF($A315=$A314,AV314,1))-AA315&lt;0),-1,MIN(1,IF($A315=$A314,AV314,1)-AA315+$D$2))</f>
        <v>1</v>
      </c>
      <c r="AW315">
        <f>IF(OR($J315=1,COUNTIFS($A$5:$A314,"&gt;="&amp;$A315-1,$A$5:$A314,"&lt;="&amp;$A315,$B$5:$B314,$B315)&gt;0,MIN(1-'Exercise list'!Q$2,IF($A315=$A314,AW314,1))-AB315&lt;0),-1,MIN(1,IF($A315=$A314,AW314,1)-AB315+$D$2))</f>
        <v>1</v>
      </c>
      <c r="AX315">
        <f>IF(OR($J315=1,COUNTIFS($A$5:$A314,"&gt;="&amp;$A315-1,$A$5:$A314,"&lt;="&amp;$A315,$B$5:$B314,$B315)&gt;0,MIN(1-'Exercise list'!R$2,IF($A315=$A314,AX314,1))-AC315&lt;0),-1,MIN(1,IF($A315=$A314,AX314,1)-AC315+$D$2))</f>
        <v>1</v>
      </c>
      <c r="AY315">
        <f>IF(OR($J315=1,COUNTIFS($A$5:$A314,"&gt;="&amp;$A315-1,$A$5:$A314,"&lt;="&amp;$A315,$B$5:$B314,$B315)&gt;0,MIN(1-'Exercise list'!S$2,IF($A315=$A314,AY314,1))-AD315&lt;0),-1,MIN(1,IF($A315=$A314,AY314,1)-AD315+$D$2))</f>
        <v>1</v>
      </c>
      <c r="AZ315">
        <f>IF(OR($J315=1,COUNTIFS($A$5:$A314,"&gt;="&amp;$A315-1,$A$5:$A314,"&lt;="&amp;$A315,$B$5:$B314,$B315)&gt;0,MIN(1-'Exercise list'!T$2,IF($A315=$A314,AZ314,1))-AE315&lt;0),-1,MIN(1,IF($A315=$A314,AZ314,1)-AE315+$D$2))</f>
        <v>1</v>
      </c>
      <c r="BA315">
        <f>IF(OR($J315=1,COUNTIFS($A$5:$A314,"&gt;="&amp;$A315-1,$A$5:$A314,"&lt;="&amp;$A315,$B$5:$B314,$B315)&gt;0,MIN(1-'Exercise list'!U$2,IF($A315=$A314,BA314,1))-AF315&lt;0),-1,MIN(1,IF($A315=$A314,BA314,1)-AF315+$D$2))</f>
        <v>1</v>
      </c>
      <c r="BB315">
        <f>IF(OR($J315=1,COUNTIFS($A$5:$A314,"&gt;="&amp;$A315-1,$A$5:$A314,"&lt;="&amp;$A315,$B$5:$B314,$B315)&gt;0,MIN(1-'Exercise list'!V$2,IF($A315=$A314,BB314,1))-AG315&lt;0),-1,MIN(1,IF($A315=$A314,BB314,1)-AG315+$D$2))</f>
        <v>1</v>
      </c>
      <c r="BC315">
        <f>IF(OR($J315=1,COUNTIFS($A$5:$A314,"&gt;="&amp;$A315-1,$A$5:$A314,"&lt;="&amp;$A315,$B$5:$B314,$B315)&gt;0,MIN(1-'Exercise list'!W$2,IF($A315=$A314,BC314,1))-AH315&lt;0),-1,MIN(1,IF($A315=$A314,BC314,1)-AH315+$D$2))</f>
        <v>1</v>
      </c>
      <c r="BD315">
        <f>IF(OR($J315=1,COUNTIFS($A$5:$A314,"&gt;="&amp;$A315-1,$A$5:$A314,"&lt;="&amp;$A315,$B$5:$B314,$B315)&gt;0,MIN(1-'Exercise list'!X$2,IF($A315=$A314,BD314,1))-AI315&lt;0),-1,MIN(1,IF($A315=$A314,BD314,1)-AI315+$D$2))</f>
        <v>1</v>
      </c>
      <c r="BF315" s="16">
        <f t="shared" si="233"/>
        <v>0.19596031081758858</v>
      </c>
      <c r="BG315" s="16">
        <f t="shared" si="234"/>
        <v>0.21844636935459236</v>
      </c>
      <c r="BH315" s="16">
        <f t="shared" si="235"/>
        <v>0.14609696635987124</v>
      </c>
      <c r="BI315" s="16">
        <f t="shared" si="236"/>
        <v>0.13198015366034541</v>
      </c>
      <c r="BJ315" s="16">
        <f t="shared" si="237"/>
        <v>8.3367914198418713E-2</v>
      </c>
      <c r="BK315" s="16">
        <f t="shared" si="238"/>
        <v>0.10640640223148412</v>
      </c>
      <c r="BL315" s="16">
        <f t="shared" si="239"/>
        <v>0.21963504743569431</v>
      </c>
      <c r="BM315" s="16">
        <f t="shared" si="240"/>
        <v>3.8988008374820568E-3</v>
      </c>
      <c r="BN315" s="16">
        <f t="shared" si="241"/>
        <v>0.14537706087090876</v>
      </c>
      <c r="BO315" s="16">
        <f t="shared" si="242"/>
        <v>0.29209790661993401</v>
      </c>
      <c r="BP315" s="16">
        <f t="shared" si="243"/>
        <v>0.31584545163401867</v>
      </c>
      <c r="BQ315" s="16">
        <f t="shared" si="244"/>
        <v>0.1000007994126096</v>
      </c>
      <c r="BR315" s="16">
        <f t="shared" si="245"/>
        <v>0.13164487759885393</v>
      </c>
      <c r="BS315" s="16">
        <f t="shared" si="246"/>
        <v>2.9803550189863123E-2</v>
      </c>
      <c r="BT315" s="16">
        <f t="shared" si="247"/>
        <v>0.13492040904978705</v>
      </c>
      <c r="BU315" s="16">
        <f t="shared" si="248"/>
        <v>0.11703687414398131</v>
      </c>
      <c r="BV315" s="16">
        <f t="shared" si="249"/>
        <v>0.14633353213781661</v>
      </c>
      <c r="BW315" s="16">
        <f t="shared" si="250"/>
        <v>7.5588015111767173E-2</v>
      </c>
      <c r="BX315" s="16">
        <f t="shared" si="251"/>
        <v>8.0345659937185704E-2</v>
      </c>
      <c r="BY315" s="16">
        <f t="shared" si="252"/>
        <v>5.9014643151272549E-2</v>
      </c>
      <c r="CA315" s="16" t="str">
        <f t="shared" si="229"/>
        <v/>
      </c>
      <c r="CB315" s="16" t="str">
        <f t="shared" si="210"/>
        <v/>
      </c>
      <c r="CC315" s="16" t="str">
        <f t="shared" si="211"/>
        <v/>
      </c>
      <c r="CD315" s="16" t="str">
        <f t="shared" si="212"/>
        <v/>
      </c>
      <c r="CE315" s="16" t="str">
        <f t="shared" si="213"/>
        <v/>
      </c>
      <c r="CF315" s="16" t="str">
        <f t="shared" si="214"/>
        <v/>
      </c>
      <c r="CG315" s="16" t="str">
        <f t="shared" si="215"/>
        <v/>
      </c>
      <c r="CH315" s="16" t="str">
        <f t="shared" si="216"/>
        <v/>
      </c>
      <c r="CI315" s="16" t="str">
        <f t="shared" si="217"/>
        <v/>
      </c>
      <c r="CJ315" s="16" t="str">
        <f t="shared" si="218"/>
        <v/>
      </c>
      <c r="CK315" s="16" t="str">
        <f t="shared" si="219"/>
        <v/>
      </c>
      <c r="CL315" s="16" t="str">
        <f t="shared" si="220"/>
        <v/>
      </c>
      <c r="CM315" s="16" t="str">
        <f t="shared" si="221"/>
        <v/>
      </c>
      <c r="CN315" s="16" t="str">
        <f t="shared" si="222"/>
        <v/>
      </c>
      <c r="CO315" s="16" t="str">
        <f t="shared" si="223"/>
        <v/>
      </c>
      <c r="CP315" s="16" t="str">
        <f t="shared" si="224"/>
        <v/>
      </c>
      <c r="CQ315" s="16" t="str">
        <f t="shared" si="225"/>
        <v/>
      </c>
      <c r="CR315" s="16" t="str">
        <f t="shared" si="226"/>
        <v/>
      </c>
      <c r="CS315" s="16" t="str">
        <f t="shared" si="227"/>
        <v/>
      </c>
      <c r="CT315" s="16" t="str">
        <f t="shared" si="228"/>
        <v/>
      </c>
    </row>
    <row r="316" spans="1:99" x14ac:dyDescent="0.25">
      <c r="A316" s="13"/>
      <c r="B316" s="14"/>
      <c r="C316" s="15" t="str" cm="1">
        <f t="array" ref="C316">IF(B316="","",INDEX('Exercise list'!$C$5:$C$102,B316))</f>
        <v/>
      </c>
      <c r="D316" s="12" t="str">
        <f t="shared" si="230"/>
        <v/>
      </c>
      <c r="E316" s="107" t="str">
        <f t="shared" si="253"/>
        <v/>
      </c>
      <c r="F316" s="63" t="str" cm="1">
        <f t="array" ref="F316">IF(B316="","",0.1+IFERROR(INDEX($F$6:$F315,SUMPRODUCT(MAX(ROW($C$6:$C315)*($C316=$C$6:$C315))-ROW($A$5)))*0.9^($A316-INDEX($A$6:A315,SUMPRODUCT(MAX(ROW($C$6:$C315)*($C316=$C$6:$C315))-ROW($A$5)))),0))</f>
        <v/>
      </c>
      <c r="G316" s="64" t="e">
        <f>INDEX('Exercise list'!$Y$5:$Y$102,MATCH(C316,'Exercise list'!$C$5:$C$102,0))</f>
        <v>#N/A</v>
      </c>
      <c r="H316" s="115">
        <f t="shared" si="231"/>
        <v>0</v>
      </c>
      <c r="I316" s="6">
        <f t="shared" si="232"/>
        <v>5</v>
      </c>
      <c r="J316" s="6" t="str" cm="1">
        <f t="array" ref="J316">IF(B316="","",INDEX('Exercise list'!$D$5:$D$102,B316))</f>
        <v/>
      </c>
      <c r="K316" s="12"/>
      <c r="L316" s="74" t="str" cm="1">
        <f t="array" ref="L316">IF(K316="","",INDEX('Exercise list'!$C$5:$C$102,K316))</f>
        <v/>
      </c>
      <c r="M316" s="6"/>
      <c r="N316" s="75" t="str" cm="1">
        <f t="array" ref="N316">IF(M316="","",INDEX('Exercise list'!$C$5:$C$102,M316))</f>
        <v/>
      </c>
      <c r="P316">
        <f>IFERROR(INDEX('Exercise list'!$E$5:$X$102,MATCH($C316,'Exercise list'!$C$5:$C$102,0),MATCH(P$5,'Exercise list'!$E$4:$X$4,0)),0)</f>
        <v>0</v>
      </c>
      <c r="Q316">
        <f>IFERROR(INDEX('Exercise list'!$E$5:$X$102,MATCH($C316,'Exercise list'!$C$5:$C$102,0),MATCH(Q$5,'Exercise list'!$E$4:$X$4,0)),0)</f>
        <v>0</v>
      </c>
      <c r="R316">
        <f>IFERROR(INDEX('Exercise list'!$E$5:$X$102,MATCH($C316,'Exercise list'!$C$5:$C$102,0),MATCH(R$5,'Exercise list'!$E$4:$X$4,0)),0)</f>
        <v>0</v>
      </c>
      <c r="S316">
        <f>IFERROR(INDEX('Exercise list'!$E$5:$X$102,MATCH($C316,'Exercise list'!$C$5:$C$102,0),MATCH(S$5,'Exercise list'!$E$4:$X$4,0)),0)</f>
        <v>0</v>
      </c>
      <c r="T316">
        <f>IFERROR(INDEX('Exercise list'!$E$5:$X$102,MATCH($C316,'Exercise list'!$C$5:$C$102,0),MATCH(T$5,'Exercise list'!$E$4:$X$4,0)),0)</f>
        <v>0</v>
      </c>
      <c r="U316">
        <f>IFERROR(INDEX('Exercise list'!$E$5:$X$102,MATCH($C316,'Exercise list'!$C$5:$C$102,0),MATCH(U$5,'Exercise list'!$E$4:$X$4,0)),0)</f>
        <v>0</v>
      </c>
      <c r="V316">
        <f>IFERROR(INDEX('Exercise list'!$E$5:$X$102,MATCH($C316,'Exercise list'!$C$5:$C$102,0),MATCH(V$5,'Exercise list'!$E$4:$X$4,0)),0)</f>
        <v>0</v>
      </c>
      <c r="W316">
        <f>IFERROR(INDEX('Exercise list'!$E$5:$X$102,MATCH($C316,'Exercise list'!$C$5:$C$102,0),MATCH(W$5,'Exercise list'!$E$4:$X$4,0)),0)</f>
        <v>0</v>
      </c>
      <c r="X316">
        <f>IFERROR(INDEX('Exercise list'!$E$5:$X$102,MATCH($C316,'Exercise list'!$C$5:$C$102,0),MATCH(X$5,'Exercise list'!$E$4:$X$4,0)),0)</f>
        <v>0</v>
      </c>
      <c r="Y316">
        <f>IFERROR(INDEX('Exercise list'!$E$5:$X$102,MATCH($C316,'Exercise list'!$C$5:$C$102,0),MATCH(Y$5,'Exercise list'!$E$4:$X$4,0)),0)</f>
        <v>0</v>
      </c>
      <c r="Z316">
        <f>IFERROR(INDEX('Exercise list'!$E$5:$X$102,MATCH($C316,'Exercise list'!$C$5:$C$102,0),MATCH(Z$5,'Exercise list'!$E$4:$X$4,0)),0)</f>
        <v>0</v>
      </c>
      <c r="AA316">
        <f>IFERROR(INDEX('Exercise list'!$E$5:$X$102,MATCH($C316,'Exercise list'!$C$5:$C$102,0),MATCH(AA$5,'Exercise list'!$E$4:$X$4,0)),0)</f>
        <v>0</v>
      </c>
      <c r="AB316">
        <f>IFERROR(INDEX('Exercise list'!$E$5:$X$102,MATCH($C316,'Exercise list'!$C$5:$C$102,0),MATCH(AB$5,'Exercise list'!$E$4:$X$4,0)),0)</f>
        <v>0</v>
      </c>
      <c r="AC316">
        <f>IFERROR(INDEX('Exercise list'!$E$5:$X$102,MATCH($C316,'Exercise list'!$C$5:$C$102,0),MATCH(AC$5,'Exercise list'!$E$4:$X$4,0)),0)</f>
        <v>0</v>
      </c>
      <c r="AD316">
        <f>IFERROR(INDEX('Exercise list'!$E$5:$X$102,MATCH($C316,'Exercise list'!$C$5:$C$102,0),MATCH(AD$5,'Exercise list'!$E$4:$X$4,0)),0)</f>
        <v>0</v>
      </c>
      <c r="AE316">
        <f>IFERROR(INDEX('Exercise list'!$E$5:$X$102,MATCH($C316,'Exercise list'!$C$5:$C$102,0),MATCH(AE$5,'Exercise list'!$E$4:$X$4,0)),0)</f>
        <v>0</v>
      </c>
      <c r="AF316">
        <f>IFERROR(INDEX('Exercise list'!$E$5:$X$102,MATCH($C316,'Exercise list'!$C$5:$C$102,0),MATCH(AF$5,'Exercise list'!$E$4:$X$4,0)),0)</f>
        <v>0</v>
      </c>
      <c r="AG316">
        <f>IFERROR(INDEX('Exercise list'!$E$5:$X$102,MATCH($C316,'Exercise list'!$C$5:$C$102,0),MATCH(AG$5,'Exercise list'!$E$4:$X$4,0)),0)</f>
        <v>0</v>
      </c>
      <c r="AH316">
        <f>IFERROR(INDEX('Exercise list'!$E$5:$X$102,MATCH($C316,'Exercise list'!$C$5:$C$102,0),MATCH(AH$5,'Exercise list'!$E$4:$X$4,0)),0)</f>
        <v>0</v>
      </c>
      <c r="AI316">
        <f>IFERROR(INDEX('Exercise list'!$E$5:$X$102,MATCH($C316,'Exercise list'!$C$5:$C$102,0),MATCH(AI$5,'Exercise list'!$E$4:$X$4,0)),0)</f>
        <v>0</v>
      </c>
      <c r="AK316">
        <f>IF(OR($J316=1,COUNTIFS($A$5:$A315,"&gt;="&amp;$A316-1,$A$5:$A315,"&lt;="&amp;$A316,$B$5:$B315,$B316)&gt;0,MIN(1-'Exercise list'!E$2,IF($A316=$A315,AK315,1))-P316&lt;0),-1,MIN(1,IF($A316=$A315,AK315,1)-P316+$D$2))</f>
        <v>1</v>
      </c>
      <c r="AL316">
        <f>IF(OR($J316=1,COUNTIFS($A$5:$A315,"&gt;="&amp;$A316-1,$A$5:$A315,"&lt;="&amp;$A316,$B$5:$B315,$B316)&gt;0,MIN(1-'Exercise list'!F$2,IF($A316=$A315,AL315,1))-Q316&lt;0),-1,MIN(1,IF($A316=$A315,AL315,1)-Q316+$D$2))</f>
        <v>1</v>
      </c>
      <c r="AM316">
        <f>IF(OR($J316=1,COUNTIFS($A$5:$A315,"&gt;="&amp;$A316-1,$A$5:$A315,"&lt;="&amp;$A316,$B$5:$B315,$B316)&gt;0,MIN(1-'Exercise list'!G$2,IF($A316=$A315,AM315,1))-R316&lt;0),-1,MIN(1,IF($A316=$A315,AM315,1)-R316+$D$2))</f>
        <v>1</v>
      </c>
      <c r="AN316">
        <f>IF(OR($J316=1,COUNTIFS($A$5:$A315,"&gt;="&amp;$A316-1,$A$5:$A315,"&lt;="&amp;$A316,$B$5:$B315,$B316)&gt;0,MIN(1-'Exercise list'!H$2,IF($A316=$A315,AN315,1))-S316&lt;0),-1,MIN(1,IF($A316=$A315,AN315,1)-S316+$D$2))</f>
        <v>1</v>
      </c>
      <c r="AO316">
        <f>IF(OR($J316=1,COUNTIFS($A$5:$A315,"&gt;="&amp;$A316-1,$A$5:$A315,"&lt;="&amp;$A316,$B$5:$B315,$B316)&gt;0,MIN(1-'Exercise list'!I$2,IF($A316=$A315,AO315,1))-T316&lt;0),-1,MIN(1,IF($A316=$A315,AO315,1)-T316+$D$2))</f>
        <v>1</v>
      </c>
      <c r="AP316">
        <f>IF(OR($J316=1,COUNTIFS($A$5:$A315,"&gt;="&amp;$A316-1,$A$5:$A315,"&lt;="&amp;$A316,$B$5:$B315,$B316)&gt;0,MIN(1-'Exercise list'!J$2,IF($A316=$A315,AP315,1))-U316&lt;0),-1,MIN(1,IF($A316=$A315,AP315,1)-U316+$D$2))</f>
        <v>1</v>
      </c>
      <c r="AQ316">
        <f>IF(OR($J316=1,COUNTIFS($A$5:$A315,"&gt;="&amp;$A316-1,$A$5:$A315,"&lt;="&amp;$A316,$B$5:$B315,$B316)&gt;0,MIN(1-'Exercise list'!K$2,IF($A316=$A315,AQ315,1))-V316&lt;0),-1,MIN(1,IF($A316=$A315,AQ315,1)-V316+$D$2))</f>
        <v>1</v>
      </c>
      <c r="AR316">
        <f>IF(OR($J316=1,COUNTIFS($A$5:$A315,"&gt;="&amp;$A316-1,$A$5:$A315,"&lt;="&amp;$A316,$B$5:$B315,$B316)&gt;0,MIN(1-'Exercise list'!L$2,IF($A316=$A315,AR315,1))-W316&lt;0),-1,MIN(1,IF($A316=$A315,AR315,1)-W316+$D$2))</f>
        <v>1</v>
      </c>
      <c r="AS316">
        <f>IF(OR($J316=1,COUNTIFS($A$5:$A315,"&gt;="&amp;$A316-1,$A$5:$A315,"&lt;="&amp;$A316,$B$5:$B315,$B316)&gt;0,MIN(1-'Exercise list'!M$2,IF($A316=$A315,AS315,1))-X316&lt;0),-1,MIN(1,IF($A316=$A315,AS315,1)-X316+$D$2))</f>
        <v>1</v>
      </c>
      <c r="AT316">
        <f>IF(OR($J316=1,COUNTIFS($A$5:$A315,"&gt;="&amp;$A316-1,$A$5:$A315,"&lt;="&amp;$A316,$B$5:$B315,$B316)&gt;0,MIN(1-'Exercise list'!N$2,IF($A316=$A315,AT315,1))-Y316&lt;0),-1,MIN(1,IF($A316=$A315,AT315,1)-Y316+$D$2))</f>
        <v>1</v>
      </c>
      <c r="AU316">
        <f>IF(OR($J316=1,COUNTIFS($A$5:$A315,"&gt;="&amp;$A316-1,$A$5:$A315,"&lt;="&amp;$A316,$B$5:$B315,$B316)&gt;0,MIN(1-'Exercise list'!O$2,IF($A316=$A315,AU315,1))-Z316&lt;0),-1,MIN(1,IF($A316=$A315,AU315,1)-Z316+$D$2))</f>
        <v>1</v>
      </c>
      <c r="AV316">
        <f>IF(OR($J316=1,COUNTIFS($A$5:$A315,"&gt;="&amp;$A316-1,$A$5:$A315,"&lt;="&amp;$A316,$B$5:$B315,$B316)&gt;0,MIN(1-'Exercise list'!P$2,IF($A316=$A315,AV315,1))-AA316&lt;0),-1,MIN(1,IF($A316=$A315,AV315,1)-AA316+$D$2))</f>
        <v>1</v>
      </c>
      <c r="AW316">
        <f>IF(OR($J316=1,COUNTIFS($A$5:$A315,"&gt;="&amp;$A316-1,$A$5:$A315,"&lt;="&amp;$A316,$B$5:$B315,$B316)&gt;0,MIN(1-'Exercise list'!Q$2,IF($A316=$A315,AW315,1))-AB316&lt;0),-1,MIN(1,IF($A316=$A315,AW315,1)-AB316+$D$2))</f>
        <v>1</v>
      </c>
      <c r="AX316">
        <f>IF(OR($J316=1,COUNTIFS($A$5:$A315,"&gt;="&amp;$A316-1,$A$5:$A315,"&lt;="&amp;$A316,$B$5:$B315,$B316)&gt;0,MIN(1-'Exercise list'!R$2,IF($A316=$A315,AX315,1))-AC316&lt;0),-1,MIN(1,IF($A316=$A315,AX315,1)-AC316+$D$2))</f>
        <v>1</v>
      </c>
      <c r="AY316">
        <f>IF(OR($J316=1,COUNTIFS($A$5:$A315,"&gt;="&amp;$A316-1,$A$5:$A315,"&lt;="&amp;$A316,$B$5:$B315,$B316)&gt;0,MIN(1-'Exercise list'!S$2,IF($A316=$A315,AY315,1))-AD316&lt;0),-1,MIN(1,IF($A316=$A315,AY315,1)-AD316+$D$2))</f>
        <v>1</v>
      </c>
      <c r="AZ316">
        <f>IF(OR($J316=1,COUNTIFS($A$5:$A315,"&gt;="&amp;$A316-1,$A$5:$A315,"&lt;="&amp;$A316,$B$5:$B315,$B316)&gt;0,MIN(1-'Exercise list'!T$2,IF($A316=$A315,AZ315,1))-AE316&lt;0),-1,MIN(1,IF($A316=$A315,AZ315,1)-AE316+$D$2))</f>
        <v>1</v>
      </c>
      <c r="BA316">
        <f>IF(OR($J316=1,COUNTIFS($A$5:$A315,"&gt;="&amp;$A316-1,$A$5:$A315,"&lt;="&amp;$A316,$B$5:$B315,$B316)&gt;0,MIN(1-'Exercise list'!U$2,IF($A316=$A315,BA315,1))-AF316&lt;0),-1,MIN(1,IF($A316=$A315,BA315,1)-AF316+$D$2))</f>
        <v>1</v>
      </c>
      <c r="BB316">
        <f>IF(OR($J316=1,COUNTIFS($A$5:$A315,"&gt;="&amp;$A316-1,$A$5:$A315,"&lt;="&amp;$A316,$B$5:$B315,$B316)&gt;0,MIN(1-'Exercise list'!V$2,IF($A316=$A315,BB315,1))-AG316&lt;0),-1,MIN(1,IF($A316=$A315,BB315,1)-AG316+$D$2))</f>
        <v>1</v>
      </c>
      <c r="BC316">
        <f>IF(OR($J316=1,COUNTIFS($A$5:$A315,"&gt;="&amp;$A316-1,$A$5:$A315,"&lt;="&amp;$A316,$B$5:$B315,$B316)&gt;0,MIN(1-'Exercise list'!W$2,IF($A316=$A315,BC315,1))-AH316&lt;0),-1,MIN(1,IF($A316=$A315,BC315,1)-AH316+$D$2))</f>
        <v>1</v>
      </c>
      <c r="BD316">
        <f>IF(OR($J316=1,COUNTIFS($A$5:$A315,"&gt;="&amp;$A316-1,$A$5:$A315,"&lt;="&amp;$A316,$B$5:$B315,$B316)&gt;0,MIN(1-'Exercise list'!X$2,IF($A316=$A315,BD315,1))-AI316&lt;0),-1,MIN(1,IF($A316=$A315,BD315,1)-AI316+$D$2))</f>
        <v>1</v>
      </c>
      <c r="BF316" s="16">
        <f t="shared" si="233"/>
        <v>0.19596031081758858</v>
      </c>
      <c r="BG316" s="16">
        <f t="shared" si="234"/>
        <v>0.21844636935459236</v>
      </c>
      <c r="BH316" s="16">
        <f t="shared" si="235"/>
        <v>0.14609696635987124</v>
      </c>
      <c r="BI316" s="16">
        <f t="shared" si="236"/>
        <v>0.13198015366034541</v>
      </c>
      <c r="BJ316" s="16">
        <f t="shared" si="237"/>
        <v>8.3367914198418713E-2</v>
      </c>
      <c r="BK316" s="16">
        <f t="shared" si="238"/>
        <v>0.10640640223148412</v>
      </c>
      <c r="BL316" s="16">
        <f t="shared" si="239"/>
        <v>0.21963504743569431</v>
      </c>
      <c r="BM316" s="16">
        <f t="shared" si="240"/>
        <v>3.8988008374820568E-3</v>
      </c>
      <c r="BN316" s="16">
        <f t="shared" si="241"/>
        <v>0.14537706087090876</v>
      </c>
      <c r="BO316" s="16">
        <f t="shared" si="242"/>
        <v>0.29209790661993401</v>
      </c>
      <c r="BP316" s="16">
        <f t="shared" si="243"/>
        <v>0.31584545163401867</v>
      </c>
      <c r="BQ316" s="16">
        <f t="shared" si="244"/>
        <v>0.1000007994126096</v>
      </c>
      <c r="BR316" s="16">
        <f t="shared" si="245"/>
        <v>0.13164487759885393</v>
      </c>
      <c r="BS316" s="16">
        <f t="shared" si="246"/>
        <v>2.9803550189863123E-2</v>
      </c>
      <c r="BT316" s="16">
        <f t="shared" si="247"/>
        <v>0.13492040904978705</v>
      </c>
      <c r="BU316" s="16">
        <f t="shared" si="248"/>
        <v>0.11703687414398131</v>
      </c>
      <c r="BV316" s="16">
        <f t="shared" si="249"/>
        <v>0.14633353213781661</v>
      </c>
      <c r="BW316" s="16">
        <f t="shared" si="250"/>
        <v>7.5588015111767173E-2</v>
      </c>
      <c r="BX316" s="16">
        <f t="shared" si="251"/>
        <v>8.0345659937185704E-2</v>
      </c>
      <c r="BY316" s="16">
        <f t="shared" si="252"/>
        <v>5.9014643151272549E-2</v>
      </c>
      <c r="CA316" s="16" t="str">
        <f t="shared" si="229"/>
        <v/>
      </c>
      <c r="CB316" s="16" t="str">
        <f t="shared" si="210"/>
        <v/>
      </c>
      <c r="CC316" s="16" t="str">
        <f t="shared" si="211"/>
        <v/>
      </c>
      <c r="CD316" s="16" t="str">
        <f t="shared" si="212"/>
        <v/>
      </c>
      <c r="CE316" s="16" t="str">
        <f t="shared" si="213"/>
        <v/>
      </c>
      <c r="CF316" s="16" t="str">
        <f t="shared" si="214"/>
        <v/>
      </c>
      <c r="CG316" s="16" t="str">
        <f t="shared" si="215"/>
        <v/>
      </c>
      <c r="CH316" s="16" t="str">
        <f t="shared" si="216"/>
        <v/>
      </c>
      <c r="CI316" s="16" t="str">
        <f t="shared" si="217"/>
        <v/>
      </c>
      <c r="CJ316" s="16" t="str">
        <f t="shared" si="218"/>
        <v/>
      </c>
      <c r="CK316" s="16" t="str">
        <f t="shared" si="219"/>
        <v/>
      </c>
      <c r="CL316" s="16" t="str">
        <f t="shared" si="220"/>
        <v/>
      </c>
      <c r="CM316" s="16" t="str">
        <f t="shared" si="221"/>
        <v/>
      </c>
      <c r="CN316" s="16" t="str">
        <f t="shared" si="222"/>
        <v/>
      </c>
      <c r="CO316" s="16" t="str">
        <f t="shared" si="223"/>
        <v/>
      </c>
      <c r="CP316" s="16" t="str">
        <f t="shared" si="224"/>
        <v/>
      </c>
      <c r="CQ316" s="16" t="str">
        <f t="shared" si="225"/>
        <v/>
      </c>
      <c r="CR316" s="16" t="str">
        <f t="shared" si="226"/>
        <v/>
      </c>
      <c r="CS316" s="16" t="str">
        <f t="shared" si="227"/>
        <v/>
      </c>
      <c r="CT316" s="16" t="str">
        <f t="shared" si="228"/>
        <v/>
      </c>
    </row>
    <row r="317" spans="1:99" x14ac:dyDescent="0.25">
      <c r="A317" s="13"/>
      <c r="B317" s="14"/>
      <c r="C317" s="15" t="str" cm="1">
        <f t="array" ref="C317">IF(B317="","",INDEX('Exercise list'!$C$5:$C$102,B317))</f>
        <v/>
      </c>
      <c r="D317" s="12" t="str">
        <f t="shared" si="230"/>
        <v/>
      </c>
      <c r="E317" s="107" t="str">
        <f t="shared" si="253"/>
        <v/>
      </c>
      <c r="F317" s="63" t="str" cm="1">
        <f t="array" ref="F317">IF(B317="","",0.1+IFERROR(INDEX($F$6:$F316,SUMPRODUCT(MAX(ROW($C$6:$C316)*($C317=$C$6:$C316))-ROW($A$5)))*0.9^($A317-INDEX($A$6:A316,SUMPRODUCT(MAX(ROW($C$6:$C316)*($C317=$C$6:$C316))-ROW($A$5)))),0))</f>
        <v/>
      </c>
      <c r="G317" s="64" t="e">
        <f>INDEX('Exercise list'!$Y$5:$Y$102,MATCH(C317,'Exercise list'!$C$5:$C$102,0))</f>
        <v>#N/A</v>
      </c>
      <c r="H317" s="115">
        <f t="shared" si="231"/>
        <v>0</v>
      </c>
      <c r="I317" s="6">
        <f t="shared" si="232"/>
        <v>5</v>
      </c>
      <c r="J317" s="6" t="str" cm="1">
        <f t="array" ref="J317">IF(B317="","",INDEX('Exercise list'!$D$5:$D$102,B317))</f>
        <v/>
      </c>
      <c r="K317" s="12"/>
      <c r="L317" s="74" t="str" cm="1">
        <f t="array" ref="L317">IF(K317="","",INDEX('Exercise list'!$C$5:$C$102,K317))</f>
        <v/>
      </c>
      <c r="M317" s="6"/>
      <c r="N317" s="75" t="str" cm="1">
        <f t="array" ref="N317">IF(M317="","",INDEX('Exercise list'!$C$5:$C$102,M317))</f>
        <v/>
      </c>
      <c r="P317">
        <f>IFERROR(INDEX('Exercise list'!$E$5:$X$102,MATCH($C317,'Exercise list'!$C$5:$C$102,0),MATCH(P$5,'Exercise list'!$E$4:$X$4,0)),0)</f>
        <v>0</v>
      </c>
      <c r="Q317">
        <f>IFERROR(INDEX('Exercise list'!$E$5:$X$102,MATCH($C317,'Exercise list'!$C$5:$C$102,0),MATCH(Q$5,'Exercise list'!$E$4:$X$4,0)),0)</f>
        <v>0</v>
      </c>
      <c r="R317">
        <f>IFERROR(INDEX('Exercise list'!$E$5:$X$102,MATCH($C317,'Exercise list'!$C$5:$C$102,0),MATCH(R$5,'Exercise list'!$E$4:$X$4,0)),0)</f>
        <v>0</v>
      </c>
      <c r="S317">
        <f>IFERROR(INDEX('Exercise list'!$E$5:$X$102,MATCH($C317,'Exercise list'!$C$5:$C$102,0),MATCH(S$5,'Exercise list'!$E$4:$X$4,0)),0)</f>
        <v>0</v>
      </c>
      <c r="T317">
        <f>IFERROR(INDEX('Exercise list'!$E$5:$X$102,MATCH($C317,'Exercise list'!$C$5:$C$102,0),MATCH(T$5,'Exercise list'!$E$4:$X$4,0)),0)</f>
        <v>0</v>
      </c>
      <c r="U317">
        <f>IFERROR(INDEX('Exercise list'!$E$5:$X$102,MATCH($C317,'Exercise list'!$C$5:$C$102,0),MATCH(U$5,'Exercise list'!$E$4:$X$4,0)),0)</f>
        <v>0</v>
      </c>
      <c r="V317">
        <f>IFERROR(INDEX('Exercise list'!$E$5:$X$102,MATCH($C317,'Exercise list'!$C$5:$C$102,0),MATCH(V$5,'Exercise list'!$E$4:$X$4,0)),0)</f>
        <v>0</v>
      </c>
      <c r="W317">
        <f>IFERROR(INDEX('Exercise list'!$E$5:$X$102,MATCH($C317,'Exercise list'!$C$5:$C$102,0),MATCH(W$5,'Exercise list'!$E$4:$X$4,0)),0)</f>
        <v>0</v>
      </c>
      <c r="X317">
        <f>IFERROR(INDEX('Exercise list'!$E$5:$X$102,MATCH($C317,'Exercise list'!$C$5:$C$102,0),MATCH(X$5,'Exercise list'!$E$4:$X$4,0)),0)</f>
        <v>0</v>
      </c>
      <c r="Y317">
        <f>IFERROR(INDEX('Exercise list'!$E$5:$X$102,MATCH($C317,'Exercise list'!$C$5:$C$102,0),MATCH(Y$5,'Exercise list'!$E$4:$X$4,0)),0)</f>
        <v>0</v>
      </c>
      <c r="Z317">
        <f>IFERROR(INDEX('Exercise list'!$E$5:$X$102,MATCH($C317,'Exercise list'!$C$5:$C$102,0),MATCH(Z$5,'Exercise list'!$E$4:$X$4,0)),0)</f>
        <v>0</v>
      </c>
      <c r="AA317">
        <f>IFERROR(INDEX('Exercise list'!$E$5:$X$102,MATCH($C317,'Exercise list'!$C$5:$C$102,0),MATCH(AA$5,'Exercise list'!$E$4:$X$4,0)),0)</f>
        <v>0</v>
      </c>
      <c r="AB317">
        <f>IFERROR(INDEX('Exercise list'!$E$5:$X$102,MATCH($C317,'Exercise list'!$C$5:$C$102,0),MATCH(AB$5,'Exercise list'!$E$4:$X$4,0)),0)</f>
        <v>0</v>
      </c>
      <c r="AC317">
        <f>IFERROR(INDEX('Exercise list'!$E$5:$X$102,MATCH($C317,'Exercise list'!$C$5:$C$102,0),MATCH(AC$5,'Exercise list'!$E$4:$X$4,0)),0)</f>
        <v>0</v>
      </c>
      <c r="AD317">
        <f>IFERROR(INDEX('Exercise list'!$E$5:$X$102,MATCH($C317,'Exercise list'!$C$5:$C$102,0),MATCH(AD$5,'Exercise list'!$E$4:$X$4,0)),0)</f>
        <v>0</v>
      </c>
      <c r="AE317">
        <f>IFERROR(INDEX('Exercise list'!$E$5:$X$102,MATCH($C317,'Exercise list'!$C$5:$C$102,0),MATCH(AE$5,'Exercise list'!$E$4:$X$4,0)),0)</f>
        <v>0</v>
      </c>
      <c r="AF317">
        <f>IFERROR(INDEX('Exercise list'!$E$5:$X$102,MATCH($C317,'Exercise list'!$C$5:$C$102,0),MATCH(AF$5,'Exercise list'!$E$4:$X$4,0)),0)</f>
        <v>0</v>
      </c>
      <c r="AG317">
        <f>IFERROR(INDEX('Exercise list'!$E$5:$X$102,MATCH($C317,'Exercise list'!$C$5:$C$102,0),MATCH(AG$5,'Exercise list'!$E$4:$X$4,0)),0)</f>
        <v>0</v>
      </c>
      <c r="AH317">
        <f>IFERROR(INDEX('Exercise list'!$E$5:$X$102,MATCH($C317,'Exercise list'!$C$5:$C$102,0),MATCH(AH$5,'Exercise list'!$E$4:$X$4,0)),0)</f>
        <v>0</v>
      </c>
      <c r="AI317">
        <f>IFERROR(INDEX('Exercise list'!$E$5:$X$102,MATCH($C317,'Exercise list'!$C$5:$C$102,0),MATCH(AI$5,'Exercise list'!$E$4:$X$4,0)),0)</f>
        <v>0</v>
      </c>
      <c r="AK317">
        <f>IF(OR($J317=1,COUNTIFS($A$5:$A316,"&gt;="&amp;$A317-1,$A$5:$A316,"&lt;="&amp;$A317,$B$5:$B316,$B317)&gt;0,MIN(1-'Exercise list'!E$2,IF($A317=$A316,AK316,1))-P317&lt;0),-1,MIN(1,IF($A317=$A316,AK316,1)-P317+$D$2))</f>
        <v>1</v>
      </c>
      <c r="AL317">
        <f>IF(OR($J317=1,COUNTIFS($A$5:$A316,"&gt;="&amp;$A317-1,$A$5:$A316,"&lt;="&amp;$A317,$B$5:$B316,$B317)&gt;0,MIN(1-'Exercise list'!F$2,IF($A317=$A316,AL316,1))-Q317&lt;0),-1,MIN(1,IF($A317=$A316,AL316,1)-Q317+$D$2))</f>
        <v>1</v>
      </c>
      <c r="AM317">
        <f>IF(OR($J317=1,COUNTIFS($A$5:$A316,"&gt;="&amp;$A317-1,$A$5:$A316,"&lt;="&amp;$A317,$B$5:$B316,$B317)&gt;0,MIN(1-'Exercise list'!G$2,IF($A317=$A316,AM316,1))-R317&lt;0),-1,MIN(1,IF($A317=$A316,AM316,1)-R317+$D$2))</f>
        <v>1</v>
      </c>
      <c r="AN317">
        <f>IF(OR($J317=1,COUNTIFS($A$5:$A316,"&gt;="&amp;$A317-1,$A$5:$A316,"&lt;="&amp;$A317,$B$5:$B316,$B317)&gt;0,MIN(1-'Exercise list'!H$2,IF($A317=$A316,AN316,1))-S317&lt;0),-1,MIN(1,IF($A317=$A316,AN316,1)-S317+$D$2))</f>
        <v>1</v>
      </c>
      <c r="AO317">
        <f>IF(OR($J317=1,COUNTIFS($A$5:$A316,"&gt;="&amp;$A317-1,$A$5:$A316,"&lt;="&amp;$A317,$B$5:$B316,$B317)&gt;0,MIN(1-'Exercise list'!I$2,IF($A317=$A316,AO316,1))-T317&lt;0),-1,MIN(1,IF($A317=$A316,AO316,1)-T317+$D$2))</f>
        <v>1</v>
      </c>
      <c r="AP317">
        <f>IF(OR($J317=1,COUNTIFS($A$5:$A316,"&gt;="&amp;$A317-1,$A$5:$A316,"&lt;="&amp;$A317,$B$5:$B316,$B317)&gt;0,MIN(1-'Exercise list'!J$2,IF($A317=$A316,AP316,1))-U317&lt;0),-1,MIN(1,IF($A317=$A316,AP316,1)-U317+$D$2))</f>
        <v>1</v>
      </c>
      <c r="AQ317">
        <f>IF(OR($J317=1,COUNTIFS($A$5:$A316,"&gt;="&amp;$A317-1,$A$5:$A316,"&lt;="&amp;$A317,$B$5:$B316,$B317)&gt;0,MIN(1-'Exercise list'!K$2,IF($A317=$A316,AQ316,1))-V317&lt;0),-1,MIN(1,IF($A317=$A316,AQ316,1)-V317+$D$2))</f>
        <v>1</v>
      </c>
      <c r="AR317">
        <f>IF(OR($J317=1,COUNTIFS($A$5:$A316,"&gt;="&amp;$A317-1,$A$5:$A316,"&lt;="&amp;$A317,$B$5:$B316,$B317)&gt;0,MIN(1-'Exercise list'!L$2,IF($A317=$A316,AR316,1))-W317&lt;0),-1,MIN(1,IF($A317=$A316,AR316,1)-W317+$D$2))</f>
        <v>1</v>
      </c>
      <c r="AS317">
        <f>IF(OR($J317=1,COUNTIFS($A$5:$A316,"&gt;="&amp;$A317-1,$A$5:$A316,"&lt;="&amp;$A317,$B$5:$B316,$B317)&gt;0,MIN(1-'Exercise list'!M$2,IF($A317=$A316,AS316,1))-X317&lt;0),-1,MIN(1,IF($A317=$A316,AS316,1)-X317+$D$2))</f>
        <v>1</v>
      </c>
      <c r="AT317">
        <f>IF(OR($J317=1,COUNTIFS($A$5:$A316,"&gt;="&amp;$A317-1,$A$5:$A316,"&lt;="&amp;$A317,$B$5:$B316,$B317)&gt;0,MIN(1-'Exercise list'!N$2,IF($A317=$A316,AT316,1))-Y317&lt;0),-1,MIN(1,IF($A317=$A316,AT316,1)-Y317+$D$2))</f>
        <v>1</v>
      </c>
      <c r="AU317">
        <f>IF(OR($J317=1,COUNTIFS($A$5:$A316,"&gt;="&amp;$A317-1,$A$5:$A316,"&lt;="&amp;$A317,$B$5:$B316,$B317)&gt;0,MIN(1-'Exercise list'!O$2,IF($A317=$A316,AU316,1))-Z317&lt;0),-1,MIN(1,IF($A317=$A316,AU316,1)-Z317+$D$2))</f>
        <v>1</v>
      </c>
      <c r="AV317">
        <f>IF(OR($J317=1,COUNTIFS($A$5:$A316,"&gt;="&amp;$A317-1,$A$5:$A316,"&lt;="&amp;$A317,$B$5:$B316,$B317)&gt;0,MIN(1-'Exercise list'!P$2,IF($A317=$A316,AV316,1))-AA317&lt;0),-1,MIN(1,IF($A317=$A316,AV316,1)-AA317+$D$2))</f>
        <v>1</v>
      </c>
      <c r="AW317">
        <f>IF(OR($J317=1,COUNTIFS($A$5:$A316,"&gt;="&amp;$A317-1,$A$5:$A316,"&lt;="&amp;$A317,$B$5:$B316,$B317)&gt;0,MIN(1-'Exercise list'!Q$2,IF($A317=$A316,AW316,1))-AB317&lt;0),-1,MIN(1,IF($A317=$A316,AW316,1)-AB317+$D$2))</f>
        <v>1</v>
      </c>
      <c r="AX317">
        <f>IF(OR($J317=1,COUNTIFS($A$5:$A316,"&gt;="&amp;$A317-1,$A$5:$A316,"&lt;="&amp;$A317,$B$5:$B316,$B317)&gt;0,MIN(1-'Exercise list'!R$2,IF($A317=$A316,AX316,1))-AC317&lt;0),-1,MIN(1,IF($A317=$A316,AX316,1)-AC317+$D$2))</f>
        <v>1</v>
      </c>
      <c r="AY317">
        <f>IF(OR($J317=1,COUNTIFS($A$5:$A316,"&gt;="&amp;$A317-1,$A$5:$A316,"&lt;="&amp;$A317,$B$5:$B316,$B317)&gt;0,MIN(1-'Exercise list'!S$2,IF($A317=$A316,AY316,1))-AD317&lt;0),-1,MIN(1,IF($A317=$A316,AY316,1)-AD317+$D$2))</f>
        <v>1</v>
      </c>
      <c r="AZ317">
        <f>IF(OR($J317=1,COUNTIFS($A$5:$A316,"&gt;="&amp;$A317-1,$A$5:$A316,"&lt;="&amp;$A317,$B$5:$B316,$B317)&gt;0,MIN(1-'Exercise list'!T$2,IF($A317=$A316,AZ316,1))-AE317&lt;0),-1,MIN(1,IF($A317=$A316,AZ316,1)-AE317+$D$2))</f>
        <v>1</v>
      </c>
      <c r="BA317">
        <f>IF(OR($J317=1,COUNTIFS($A$5:$A316,"&gt;="&amp;$A317-1,$A$5:$A316,"&lt;="&amp;$A317,$B$5:$B316,$B317)&gt;0,MIN(1-'Exercise list'!U$2,IF($A317=$A316,BA316,1))-AF317&lt;0),-1,MIN(1,IF($A317=$A316,BA316,1)-AF317+$D$2))</f>
        <v>1</v>
      </c>
      <c r="BB317">
        <f>IF(OR($J317=1,COUNTIFS($A$5:$A316,"&gt;="&amp;$A317-1,$A$5:$A316,"&lt;="&amp;$A317,$B$5:$B316,$B317)&gt;0,MIN(1-'Exercise list'!V$2,IF($A317=$A316,BB316,1))-AG317&lt;0),-1,MIN(1,IF($A317=$A316,BB316,1)-AG317+$D$2))</f>
        <v>1</v>
      </c>
      <c r="BC317">
        <f>IF(OR($J317=1,COUNTIFS($A$5:$A316,"&gt;="&amp;$A317-1,$A$5:$A316,"&lt;="&amp;$A317,$B$5:$B316,$B317)&gt;0,MIN(1-'Exercise list'!W$2,IF($A317=$A316,BC316,1))-AH317&lt;0),-1,MIN(1,IF($A317=$A316,BC316,1)-AH317+$D$2))</f>
        <v>1</v>
      </c>
      <c r="BD317">
        <f>IF(OR($J317=1,COUNTIFS($A$5:$A316,"&gt;="&amp;$A317-1,$A$5:$A316,"&lt;="&amp;$A317,$B$5:$B316,$B317)&gt;0,MIN(1-'Exercise list'!X$2,IF($A317=$A316,BD316,1))-AI317&lt;0),-1,MIN(1,IF($A317=$A316,BD316,1)-AI317+$D$2))</f>
        <v>1</v>
      </c>
      <c r="BF317" s="16">
        <f t="shared" si="233"/>
        <v>0.19596031081758858</v>
      </c>
      <c r="BG317" s="16">
        <f t="shared" si="234"/>
        <v>0.21844636935459236</v>
      </c>
      <c r="BH317" s="16">
        <f t="shared" si="235"/>
        <v>0.14609696635987124</v>
      </c>
      <c r="BI317" s="16">
        <f t="shared" si="236"/>
        <v>0.13198015366034541</v>
      </c>
      <c r="BJ317" s="16">
        <f t="shared" si="237"/>
        <v>8.3367914198418713E-2</v>
      </c>
      <c r="BK317" s="16">
        <f t="shared" si="238"/>
        <v>0.10640640223148412</v>
      </c>
      <c r="BL317" s="16">
        <f t="shared" si="239"/>
        <v>0.21963504743569431</v>
      </c>
      <c r="BM317" s="16">
        <f t="shared" si="240"/>
        <v>3.8988008374820568E-3</v>
      </c>
      <c r="BN317" s="16">
        <f t="shared" si="241"/>
        <v>0.14537706087090876</v>
      </c>
      <c r="BO317" s="16">
        <f t="shared" si="242"/>
        <v>0.29209790661993401</v>
      </c>
      <c r="BP317" s="16">
        <f t="shared" si="243"/>
        <v>0.31584545163401867</v>
      </c>
      <c r="BQ317" s="16">
        <f t="shared" si="244"/>
        <v>0.1000007994126096</v>
      </c>
      <c r="BR317" s="16">
        <f t="shared" si="245"/>
        <v>0.13164487759885393</v>
      </c>
      <c r="BS317" s="16">
        <f t="shared" si="246"/>
        <v>2.9803550189863123E-2</v>
      </c>
      <c r="BT317" s="16">
        <f t="shared" si="247"/>
        <v>0.13492040904978705</v>
      </c>
      <c r="BU317" s="16">
        <f t="shared" si="248"/>
        <v>0.11703687414398131</v>
      </c>
      <c r="BV317" s="16">
        <f t="shared" si="249"/>
        <v>0.14633353213781661</v>
      </c>
      <c r="BW317" s="16">
        <f t="shared" si="250"/>
        <v>7.5588015111767173E-2</v>
      </c>
      <c r="BX317" s="16">
        <f t="shared" si="251"/>
        <v>8.0345659937185704E-2</v>
      </c>
      <c r="BY317" s="16">
        <f t="shared" si="252"/>
        <v>5.9014643151272549E-2</v>
      </c>
      <c r="CA317" s="16" t="str">
        <f t="shared" si="229"/>
        <v/>
      </c>
      <c r="CB317" s="16" t="str">
        <f t="shared" si="210"/>
        <v/>
      </c>
      <c r="CC317" s="16" t="str">
        <f t="shared" si="211"/>
        <v/>
      </c>
      <c r="CD317" s="16" t="str">
        <f t="shared" si="212"/>
        <v/>
      </c>
      <c r="CE317" s="16" t="str">
        <f t="shared" si="213"/>
        <v/>
      </c>
      <c r="CF317" s="16" t="str">
        <f t="shared" si="214"/>
        <v/>
      </c>
      <c r="CG317" s="16" t="str">
        <f t="shared" si="215"/>
        <v/>
      </c>
      <c r="CH317" s="16" t="str">
        <f t="shared" si="216"/>
        <v/>
      </c>
      <c r="CI317" s="16" t="str">
        <f t="shared" si="217"/>
        <v/>
      </c>
      <c r="CJ317" s="16" t="str">
        <f t="shared" si="218"/>
        <v/>
      </c>
      <c r="CK317" s="16" t="str">
        <f t="shared" si="219"/>
        <v/>
      </c>
      <c r="CL317" s="16" t="str">
        <f t="shared" si="220"/>
        <v/>
      </c>
      <c r="CM317" s="16" t="str">
        <f t="shared" si="221"/>
        <v/>
      </c>
      <c r="CN317" s="16" t="str">
        <f t="shared" si="222"/>
        <v/>
      </c>
      <c r="CO317" s="16" t="str">
        <f t="shared" si="223"/>
        <v/>
      </c>
      <c r="CP317" s="16" t="str">
        <f t="shared" si="224"/>
        <v/>
      </c>
      <c r="CQ317" s="16" t="str">
        <f t="shared" si="225"/>
        <v/>
      </c>
      <c r="CR317" s="16" t="str">
        <f t="shared" si="226"/>
        <v/>
      </c>
      <c r="CS317" s="16" t="str">
        <f t="shared" si="227"/>
        <v/>
      </c>
      <c r="CT317" s="16" t="str">
        <f t="shared" si="228"/>
        <v/>
      </c>
    </row>
    <row r="318" spans="1:99" x14ac:dyDescent="0.25">
      <c r="A318" s="20"/>
      <c r="B318" s="21"/>
      <c r="C318" s="22" t="str" cm="1">
        <f t="array" ref="C318">IF(B318="","",INDEX('Exercise list'!$C$5:$C$102,B318))</f>
        <v/>
      </c>
      <c r="D318" s="17" t="str">
        <f t="shared" si="230"/>
        <v/>
      </c>
      <c r="E318" s="108" t="str">
        <f t="shared" si="253"/>
        <v/>
      </c>
      <c r="F318" s="65" t="str" cm="1">
        <f t="array" ref="F318">IF(B318="","",0.1+IFERROR(INDEX($F$6:$F317,SUMPRODUCT(MAX(ROW($C$6:$C317)*($C318=$C$6:$C317))-ROW($A$5)))*0.9^($A318-INDEX($A$6:A317,SUMPRODUCT(MAX(ROW($C$6:$C317)*($C318=$C$6:$C317))-ROW($A$5)))),0))</f>
        <v/>
      </c>
      <c r="G318" s="25" t="e">
        <f>INDEX('Exercise list'!$Y$5:$Y$102,MATCH(C318,'Exercise list'!$C$5:$C$102,0))</f>
        <v>#N/A</v>
      </c>
      <c r="H318" s="116">
        <f t="shared" si="231"/>
        <v>0</v>
      </c>
      <c r="I318" s="18">
        <f t="shared" si="232"/>
        <v>5</v>
      </c>
      <c r="J318" s="18" t="str" cm="1">
        <f t="array" ref="J318">IF(B318="","",INDEX('Exercise list'!$D$5:$D$102,B318))</f>
        <v/>
      </c>
      <c r="K318" s="17"/>
      <c r="L318" s="51" t="str" cm="1">
        <f t="array" ref="L318">IF(K318="","",INDEX('Exercise list'!$C$5:$C$102,K318))</f>
        <v/>
      </c>
      <c r="M318" s="18"/>
      <c r="N318" s="76" t="str" cm="1">
        <f t="array" ref="N318">IF(M318="","",INDEX('Exercise list'!$C$5:$C$102,M318))</f>
        <v/>
      </c>
      <c r="O318" s="19"/>
      <c r="P318" s="19">
        <f>IFERROR(INDEX('Exercise list'!$E$5:$X$102,MATCH($C318,'Exercise list'!$C$5:$C$102,0),MATCH(P$5,'Exercise list'!$E$4:$X$4,0)),0)</f>
        <v>0</v>
      </c>
      <c r="Q318" s="19">
        <f>IFERROR(INDEX('Exercise list'!$E$5:$X$102,MATCH($C318,'Exercise list'!$C$5:$C$102,0),MATCH(Q$5,'Exercise list'!$E$4:$X$4,0)),0)</f>
        <v>0</v>
      </c>
      <c r="R318" s="19">
        <f>IFERROR(INDEX('Exercise list'!$E$5:$X$102,MATCH($C318,'Exercise list'!$C$5:$C$102,0),MATCH(R$5,'Exercise list'!$E$4:$X$4,0)),0)</f>
        <v>0</v>
      </c>
      <c r="S318" s="19">
        <f>IFERROR(INDEX('Exercise list'!$E$5:$X$102,MATCH($C318,'Exercise list'!$C$5:$C$102,0),MATCH(S$5,'Exercise list'!$E$4:$X$4,0)),0)</f>
        <v>0</v>
      </c>
      <c r="T318" s="19">
        <f>IFERROR(INDEX('Exercise list'!$E$5:$X$102,MATCH($C318,'Exercise list'!$C$5:$C$102,0),MATCH(T$5,'Exercise list'!$E$4:$X$4,0)),0)</f>
        <v>0</v>
      </c>
      <c r="U318" s="19">
        <f>IFERROR(INDEX('Exercise list'!$E$5:$X$102,MATCH($C318,'Exercise list'!$C$5:$C$102,0),MATCH(U$5,'Exercise list'!$E$4:$X$4,0)),0)</f>
        <v>0</v>
      </c>
      <c r="V318" s="19">
        <f>IFERROR(INDEX('Exercise list'!$E$5:$X$102,MATCH($C318,'Exercise list'!$C$5:$C$102,0),MATCH(V$5,'Exercise list'!$E$4:$X$4,0)),0)</f>
        <v>0</v>
      </c>
      <c r="W318" s="19">
        <f>IFERROR(INDEX('Exercise list'!$E$5:$X$102,MATCH($C318,'Exercise list'!$C$5:$C$102,0),MATCH(W$5,'Exercise list'!$E$4:$X$4,0)),0)</f>
        <v>0</v>
      </c>
      <c r="X318" s="19">
        <f>IFERROR(INDEX('Exercise list'!$E$5:$X$102,MATCH($C318,'Exercise list'!$C$5:$C$102,0),MATCH(X$5,'Exercise list'!$E$4:$X$4,0)),0)</f>
        <v>0</v>
      </c>
      <c r="Y318" s="19">
        <f>IFERROR(INDEX('Exercise list'!$E$5:$X$102,MATCH($C318,'Exercise list'!$C$5:$C$102,0),MATCH(Y$5,'Exercise list'!$E$4:$X$4,0)),0)</f>
        <v>0</v>
      </c>
      <c r="Z318" s="19">
        <f>IFERROR(INDEX('Exercise list'!$E$5:$X$102,MATCH($C318,'Exercise list'!$C$5:$C$102,0),MATCH(Z$5,'Exercise list'!$E$4:$X$4,0)),0)</f>
        <v>0</v>
      </c>
      <c r="AA318" s="19">
        <f>IFERROR(INDEX('Exercise list'!$E$5:$X$102,MATCH($C318,'Exercise list'!$C$5:$C$102,0),MATCH(AA$5,'Exercise list'!$E$4:$X$4,0)),0)</f>
        <v>0</v>
      </c>
      <c r="AB318" s="19">
        <f>IFERROR(INDEX('Exercise list'!$E$5:$X$102,MATCH($C318,'Exercise list'!$C$5:$C$102,0),MATCH(AB$5,'Exercise list'!$E$4:$X$4,0)),0)</f>
        <v>0</v>
      </c>
      <c r="AC318" s="19">
        <f>IFERROR(INDEX('Exercise list'!$E$5:$X$102,MATCH($C318,'Exercise list'!$C$5:$C$102,0),MATCH(AC$5,'Exercise list'!$E$4:$X$4,0)),0)</f>
        <v>0</v>
      </c>
      <c r="AD318" s="19">
        <f>IFERROR(INDEX('Exercise list'!$E$5:$X$102,MATCH($C318,'Exercise list'!$C$5:$C$102,0),MATCH(AD$5,'Exercise list'!$E$4:$X$4,0)),0)</f>
        <v>0</v>
      </c>
      <c r="AE318" s="19">
        <f>IFERROR(INDEX('Exercise list'!$E$5:$X$102,MATCH($C318,'Exercise list'!$C$5:$C$102,0),MATCH(AE$5,'Exercise list'!$E$4:$X$4,0)),0)</f>
        <v>0</v>
      </c>
      <c r="AF318" s="19">
        <f>IFERROR(INDEX('Exercise list'!$E$5:$X$102,MATCH($C318,'Exercise list'!$C$5:$C$102,0),MATCH(AF$5,'Exercise list'!$E$4:$X$4,0)),0)</f>
        <v>0</v>
      </c>
      <c r="AG318" s="19">
        <f>IFERROR(INDEX('Exercise list'!$E$5:$X$102,MATCH($C318,'Exercise list'!$C$5:$C$102,0),MATCH(AG$5,'Exercise list'!$E$4:$X$4,0)),0)</f>
        <v>0</v>
      </c>
      <c r="AH318" s="19">
        <f>IFERROR(INDEX('Exercise list'!$E$5:$X$102,MATCH($C318,'Exercise list'!$C$5:$C$102,0),MATCH(AH$5,'Exercise list'!$E$4:$X$4,0)),0)</f>
        <v>0</v>
      </c>
      <c r="AI318" s="19">
        <f>IFERROR(INDEX('Exercise list'!$E$5:$X$102,MATCH($C318,'Exercise list'!$C$5:$C$102,0),MATCH(AI$5,'Exercise list'!$E$4:$X$4,0)),0)</f>
        <v>0</v>
      </c>
      <c r="AJ318" s="19"/>
      <c r="AK318" s="19">
        <f>IF(OR($J318=1,COUNTIFS($A$5:$A317,"&gt;="&amp;$A318-1,$A$5:$A317,"&lt;="&amp;$A318,$B$5:$B317,$B318)&gt;0,MIN(1-'Exercise list'!E$2,IF($A318=$A317,AK317,1))-P318&lt;0),-1,MIN(1,IF($A318=$A317,AK317,1)-P318+$D$2))</f>
        <v>1</v>
      </c>
      <c r="AL318" s="19">
        <f>IF(OR($J318=1,COUNTIFS($A$5:$A317,"&gt;="&amp;$A318-1,$A$5:$A317,"&lt;="&amp;$A318,$B$5:$B317,$B318)&gt;0,MIN(1-'Exercise list'!F$2,IF($A318=$A317,AL317,1))-Q318&lt;0),-1,MIN(1,IF($A318=$A317,AL317,1)-Q318+$D$2))</f>
        <v>1</v>
      </c>
      <c r="AM318" s="19">
        <f>IF(OR($J318=1,COUNTIFS($A$5:$A317,"&gt;="&amp;$A318-1,$A$5:$A317,"&lt;="&amp;$A318,$B$5:$B317,$B318)&gt;0,MIN(1-'Exercise list'!G$2,IF($A318=$A317,AM317,1))-R318&lt;0),-1,MIN(1,IF($A318=$A317,AM317,1)-R318+$D$2))</f>
        <v>1</v>
      </c>
      <c r="AN318" s="19">
        <f>IF(OR($J318=1,COUNTIFS($A$5:$A317,"&gt;="&amp;$A318-1,$A$5:$A317,"&lt;="&amp;$A318,$B$5:$B317,$B318)&gt;0,MIN(1-'Exercise list'!H$2,IF($A318=$A317,AN317,1))-S318&lt;0),-1,MIN(1,IF($A318=$A317,AN317,1)-S318+$D$2))</f>
        <v>1</v>
      </c>
      <c r="AO318" s="19">
        <f>IF(OR($J318=1,COUNTIFS($A$5:$A317,"&gt;="&amp;$A318-1,$A$5:$A317,"&lt;="&amp;$A318,$B$5:$B317,$B318)&gt;0,MIN(1-'Exercise list'!I$2,IF($A318=$A317,AO317,1))-T318&lt;0),-1,MIN(1,IF($A318=$A317,AO317,1)-T318+$D$2))</f>
        <v>1</v>
      </c>
      <c r="AP318" s="19">
        <f>IF(OR($J318=1,COUNTIFS($A$5:$A317,"&gt;="&amp;$A318-1,$A$5:$A317,"&lt;="&amp;$A318,$B$5:$B317,$B318)&gt;0,MIN(1-'Exercise list'!J$2,IF($A318=$A317,AP317,1))-U318&lt;0),-1,MIN(1,IF($A318=$A317,AP317,1)-U318+$D$2))</f>
        <v>1</v>
      </c>
      <c r="AQ318" s="19">
        <f>IF(OR($J318=1,COUNTIFS($A$5:$A317,"&gt;="&amp;$A318-1,$A$5:$A317,"&lt;="&amp;$A318,$B$5:$B317,$B318)&gt;0,MIN(1-'Exercise list'!K$2,IF($A318=$A317,AQ317,1))-V318&lt;0),-1,MIN(1,IF($A318=$A317,AQ317,1)-V318+$D$2))</f>
        <v>1</v>
      </c>
      <c r="AR318" s="19">
        <f>IF(OR($J318=1,COUNTIFS($A$5:$A317,"&gt;="&amp;$A318-1,$A$5:$A317,"&lt;="&amp;$A318,$B$5:$B317,$B318)&gt;0,MIN(1-'Exercise list'!L$2,IF($A318=$A317,AR317,1))-W318&lt;0),-1,MIN(1,IF($A318=$A317,AR317,1)-W318+$D$2))</f>
        <v>1</v>
      </c>
      <c r="AS318" s="19">
        <f>IF(OR($J318=1,COUNTIFS($A$5:$A317,"&gt;="&amp;$A318-1,$A$5:$A317,"&lt;="&amp;$A318,$B$5:$B317,$B318)&gt;0,MIN(1-'Exercise list'!M$2,IF($A318=$A317,AS317,1))-X318&lt;0),-1,MIN(1,IF($A318=$A317,AS317,1)-X318+$D$2))</f>
        <v>1</v>
      </c>
      <c r="AT318" s="19">
        <f>IF(OR($J318=1,COUNTIFS($A$5:$A317,"&gt;="&amp;$A318-1,$A$5:$A317,"&lt;="&amp;$A318,$B$5:$B317,$B318)&gt;0,MIN(1-'Exercise list'!N$2,IF($A318=$A317,AT317,1))-Y318&lt;0),-1,MIN(1,IF($A318=$A317,AT317,1)-Y318+$D$2))</f>
        <v>1</v>
      </c>
      <c r="AU318" s="19">
        <f>IF(OR($J318=1,COUNTIFS($A$5:$A317,"&gt;="&amp;$A318-1,$A$5:$A317,"&lt;="&amp;$A318,$B$5:$B317,$B318)&gt;0,MIN(1-'Exercise list'!O$2,IF($A318=$A317,AU317,1))-Z318&lt;0),-1,MIN(1,IF($A318=$A317,AU317,1)-Z318+$D$2))</f>
        <v>1</v>
      </c>
      <c r="AV318" s="19">
        <f>IF(OR($J318=1,COUNTIFS($A$5:$A317,"&gt;="&amp;$A318-1,$A$5:$A317,"&lt;="&amp;$A318,$B$5:$B317,$B318)&gt;0,MIN(1-'Exercise list'!P$2,IF($A318=$A317,AV317,1))-AA318&lt;0),-1,MIN(1,IF($A318=$A317,AV317,1)-AA318+$D$2))</f>
        <v>1</v>
      </c>
      <c r="AW318" s="19">
        <f>IF(OR($J318=1,COUNTIFS($A$5:$A317,"&gt;="&amp;$A318-1,$A$5:$A317,"&lt;="&amp;$A318,$B$5:$B317,$B318)&gt;0,MIN(1-'Exercise list'!Q$2,IF($A318=$A317,AW317,1))-AB318&lt;0),-1,MIN(1,IF($A318=$A317,AW317,1)-AB318+$D$2))</f>
        <v>1</v>
      </c>
      <c r="AX318" s="19">
        <f>IF(OR($J318=1,COUNTIFS($A$5:$A317,"&gt;="&amp;$A318-1,$A$5:$A317,"&lt;="&amp;$A318,$B$5:$B317,$B318)&gt;0,MIN(1-'Exercise list'!R$2,IF($A318=$A317,AX317,1))-AC318&lt;0),-1,MIN(1,IF($A318=$A317,AX317,1)-AC318+$D$2))</f>
        <v>1</v>
      </c>
      <c r="AY318" s="19">
        <f>IF(OR($J318=1,COUNTIFS($A$5:$A317,"&gt;="&amp;$A318-1,$A$5:$A317,"&lt;="&amp;$A318,$B$5:$B317,$B318)&gt;0,MIN(1-'Exercise list'!S$2,IF($A318=$A317,AY317,1))-AD318&lt;0),-1,MIN(1,IF($A318=$A317,AY317,1)-AD318+$D$2))</f>
        <v>1</v>
      </c>
      <c r="AZ318" s="19">
        <f>IF(OR($J318=1,COUNTIFS($A$5:$A317,"&gt;="&amp;$A318-1,$A$5:$A317,"&lt;="&amp;$A318,$B$5:$B317,$B318)&gt;0,MIN(1-'Exercise list'!T$2,IF($A318=$A317,AZ317,1))-AE318&lt;0),-1,MIN(1,IF($A318=$A317,AZ317,1)-AE318+$D$2))</f>
        <v>1</v>
      </c>
      <c r="BA318" s="19">
        <f>IF(OR($J318=1,COUNTIFS($A$5:$A317,"&gt;="&amp;$A318-1,$A$5:$A317,"&lt;="&amp;$A318,$B$5:$B317,$B318)&gt;0,MIN(1-'Exercise list'!U$2,IF($A318=$A317,BA317,1))-AF318&lt;0),-1,MIN(1,IF($A318=$A317,BA317,1)-AF318+$D$2))</f>
        <v>1</v>
      </c>
      <c r="BB318" s="19">
        <f>IF(OR($J318=1,COUNTIFS($A$5:$A317,"&gt;="&amp;$A318-1,$A$5:$A317,"&lt;="&amp;$A318,$B$5:$B317,$B318)&gt;0,MIN(1-'Exercise list'!V$2,IF($A318=$A317,BB317,1))-AG318&lt;0),-1,MIN(1,IF($A318=$A317,BB317,1)-AG318+$D$2))</f>
        <v>1</v>
      </c>
      <c r="BC318" s="19">
        <f>IF(OR($J318=1,COUNTIFS($A$5:$A317,"&gt;="&amp;$A318-1,$A$5:$A317,"&lt;="&amp;$A318,$B$5:$B317,$B318)&gt;0,MIN(1-'Exercise list'!W$2,IF($A318=$A317,BC317,1))-AH318&lt;0),-1,MIN(1,IF($A318=$A317,BC317,1)-AH318+$D$2))</f>
        <v>1</v>
      </c>
      <c r="BD318" s="19">
        <f>IF(OR($J318=1,COUNTIFS($A$5:$A317,"&gt;="&amp;$A318-1,$A$5:$A317,"&lt;="&amp;$A318,$B$5:$B317,$B318)&gt;0,MIN(1-'Exercise list'!X$2,IF($A318=$A317,BD317,1))-AI318&lt;0),-1,MIN(1,IF($A318=$A317,BD317,1)-AI318+$D$2))</f>
        <v>1</v>
      </c>
      <c r="BE318" s="19"/>
      <c r="BF318" s="23">
        <f t="shared" si="233"/>
        <v>0.19596031081758858</v>
      </c>
      <c r="BG318" s="23">
        <f t="shared" si="234"/>
        <v>0.21844636935459236</v>
      </c>
      <c r="BH318" s="23">
        <f t="shared" si="235"/>
        <v>0.14609696635987124</v>
      </c>
      <c r="BI318" s="23">
        <f t="shared" si="236"/>
        <v>0.13198015366034541</v>
      </c>
      <c r="BJ318" s="23">
        <f t="shared" si="237"/>
        <v>8.3367914198418713E-2</v>
      </c>
      <c r="BK318" s="23">
        <f t="shared" si="238"/>
        <v>0.10640640223148412</v>
      </c>
      <c r="BL318" s="23">
        <f t="shared" si="239"/>
        <v>0.21963504743569431</v>
      </c>
      <c r="BM318" s="23">
        <f t="shared" si="240"/>
        <v>3.8988008374820568E-3</v>
      </c>
      <c r="BN318" s="23">
        <f t="shared" si="241"/>
        <v>0.14537706087090876</v>
      </c>
      <c r="BO318" s="23">
        <f t="shared" si="242"/>
        <v>0.29209790661993401</v>
      </c>
      <c r="BP318" s="23">
        <f t="shared" si="243"/>
        <v>0.31584545163401867</v>
      </c>
      <c r="BQ318" s="23">
        <f t="shared" si="244"/>
        <v>0.1000007994126096</v>
      </c>
      <c r="BR318" s="23">
        <f t="shared" si="245"/>
        <v>0.13164487759885393</v>
      </c>
      <c r="BS318" s="23">
        <f t="shared" si="246"/>
        <v>2.9803550189863123E-2</v>
      </c>
      <c r="BT318" s="23">
        <f t="shared" si="247"/>
        <v>0.13492040904978705</v>
      </c>
      <c r="BU318" s="23">
        <f t="shared" si="248"/>
        <v>0.11703687414398131</v>
      </c>
      <c r="BV318" s="23">
        <f t="shared" si="249"/>
        <v>0.14633353213781661</v>
      </c>
      <c r="BW318" s="23">
        <f t="shared" si="250"/>
        <v>7.5588015111767173E-2</v>
      </c>
      <c r="BX318" s="23">
        <f t="shared" si="251"/>
        <v>8.0345659937185704E-2</v>
      </c>
      <c r="BY318" s="23">
        <f t="shared" si="252"/>
        <v>5.9014643151272549E-2</v>
      </c>
      <c r="BZ318" s="19"/>
      <c r="CA318" s="23" t="str">
        <f t="shared" si="229"/>
        <v/>
      </c>
      <c r="CB318" s="23" t="str">
        <f t="shared" si="210"/>
        <v/>
      </c>
      <c r="CC318" s="23" t="str">
        <f t="shared" si="211"/>
        <v/>
      </c>
      <c r="CD318" s="23" t="str">
        <f t="shared" si="212"/>
        <v/>
      </c>
      <c r="CE318" s="23" t="str">
        <f t="shared" si="213"/>
        <v/>
      </c>
      <c r="CF318" s="23" t="str">
        <f t="shared" si="214"/>
        <v/>
      </c>
      <c r="CG318" s="23" t="str">
        <f t="shared" si="215"/>
        <v/>
      </c>
      <c r="CH318" s="23" t="str">
        <f t="shared" si="216"/>
        <v/>
      </c>
      <c r="CI318" s="23" t="str">
        <f t="shared" si="217"/>
        <v/>
      </c>
      <c r="CJ318" s="23" t="str">
        <f t="shared" si="218"/>
        <v/>
      </c>
      <c r="CK318" s="23" t="str">
        <f t="shared" si="219"/>
        <v/>
      </c>
      <c r="CL318" s="23" t="str">
        <f t="shared" si="220"/>
        <v/>
      </c>
      <c r="CM318" s="23" t="str">
        <f t="shared" si="221"/>
        <v/>
      </c>
      <c r="CN318" s="23" t="str">
        <f t="shared" si="222"/>
        <v/>
      </c>
      <c r="CO318" s="23" t="str">
        <f t="shared" si="223"/>
        <v/>
      </c>
      <c r="CP318" s="23" t="str">
        <f t="shared" si="224"/>
        <v/>
      </c>
      <c r="CQ318" s="23" t="str">
        <f t="shared" si="225"/>
        <v/>
      </c>
      <c r="CR318" s="23" t="str">
        <f t="shared" si="226"/>
        <v/>
      </c>
      <c r="CS318" s="23" t="str">
        <f t="shared" si="227"/>
        <v/>
      </c>
      <c r="CT318" s="23" t="str">
        <f t="shared" si="228"/>
        <v/>
      </c>
      <c r="CU318" s="19"/>
    </row>
    <row r="319" spans="1:99" x14ac:dyDescent="0.25">
      <c r="A319" s="13"/>
      <c r="B319" s="14"/>
      <c r="C319" s="15" t="str" cm="1">
        <f t="array" ref="C319">IF(B319="","",INDEX('Exercise list'!$C$5:$C$102,B319))</f>
        <v/>
      </c>
      <c r="D319" s="12" t="str">
        <f t="shared" si="230"/>
        <v/>
      </c>
      <c r="E319" s="107" t="str">
        <f t="shared" si="253"/>
        <v/>
      </c>
      <c r="F319" s="63" t="str" cm="1">
        <f t="array" ref="F319">IF(B319="","",0.1+IFERROR(INDEX($F$6:$F318,SUMPRODUCT(MAX(ROW($C$6:$C318)*($C319=$C$6:$C318))-ROW($A$5)))*0.9^($A319-INDEX($A$6:A318,SUMPRODUCT(MAX(ROW($C$6:$C318)*($C319=$C$6:$C318))-ROW($A$5)))),0))</f>
        <v/>
      </c>
      <c r="G319" s="64" t="e">
        <f>INDEX('Exercise list'!$Y$5:$Y$102,MATCH(C319,'Exercise list'!$C$5:$C$102,0))</f>
        <v>#N/A</v>
      </c>
      <c r="H319" s="115">
        <f t="shared" si="231"/>
        <v>0</v>
      </c>
      <c r="I319" s="42">
        <f t="shared" si="232"/>
        <v>5</v>
      </c>
      <c r="J319" s="6" t="str" cm="1">
        <f t="array" ref="J319">IF(B319="","",INDEX('Exercise list'!$D$5:$D$102,B319))</f>
        <v/>
      </c>
      <c r="K319" s="12"/>
      <c r="L319" s="74" t="str" cm="1">
        <f t="array" ref="L319">IF(K319="","",INDEX('Exercise list'!$C$5:$C$102,K319))</f>
        <v/>
      </c>
      <c r="M319" s="6"/>
      <c r="N319" s="75" t="str" cm="1">
        <f t="array" ref="N319">IF(M319="","",INDEX('Exercise list'!$C$5:$C$102,M319))</f>
        <v/>
      </c>
      <c r="P319">
        <f>IFERROR(INDEX('Exercise list'!$E$5:$X$102,MATCH($C319,'Exercise list'!$C$5:$C$102,0),MATCH(P$5,'Exercise list'!$E$4:$X$4,0)),0)</f>
        <v>0</v>
      </c>
      <c r="Q319">
        <f>IFERROR(INDEX('Exercise list'!$E$5:$X$102,MATCH($C319,'Exercise list'!$C$5:$C$102,0),MATCH(Q$5,'Exercise list'!$E$4:$X$4,0)),0)</f>
        <v>0</v>
      </c>
      <c r="R319">
        <f>IFERROR(INDEX('Exercise list'!$E$5:$X$102,MATCH($C319,'Exercise list'!$C$5:$C$102,0),MATCH(R$5,'Exercise list'!$E$4:$X$4,0)),0)</f>
        <v>0</v>
      </c>
      <c r="S319">
        <f>IFERROR(INDEX('Exercise list'!$E$5:$X$102,MATCH($C319,'Exercise list'!$C$5:$C$102,0),MATCH(S$5,'Exercise list'!$E$4:$X$4,0)),0)</f>
        <v>0</v>
      </c>
      <c r="T319">
        <f>IFERROR(INDEX('Exercise list'!$E$5:$X$102,MATCH($C319,'Exercise list'!$C$5:$C$102,0),MATCH(T$5,'Exercise list'!$E$4:$X$4,0)),0)</f>
        <v>0</v>
      </c>
      <c r="U319">
        <f>IFERROR(INDEX('Exercise list'!$E$5:$X$102,MATCH($C319,'Exercise list'!$C$5:$C$102,0),MATCH(U$5,'Exercise list'!$E$4:$X$4,0)),0)</f>
        <v>0</v>
      </c>
      <c r="V319">
        <f>IFERROR(INDEX('Exercise list'!$E$5:$X$102,MATCH($C319,'Exercise list'!$C$5:$C$102,0),MATCH(V$5,'Exercise list'!$E$4:$X$4,0)),0)</f>
        <v>0</v>
      </c>
      <c r="W319">
        <f>IFERROR(INDEX('Exercise list'!$E$5:$X$102,MATCH($C319,'Exercise list'!$C$5:$C$102,0),MATCH(W$5,'Exercise list'!$E$4:$X$4,0)),0)</f>
        <v>0</v>
      </c>
      <c r="X319">
        <f>IFERROR(INDEX('Exercise list'!$E$5:$X$102,MATCH($C319,'Exercise list'!$C$5:$C$102,0),MATCH(X$5,'Exercise list'!$E$4:$X$4,0)),0)</f>
        <v>0</v>
      </c>
      <c r="Y319">
        <f>IFERROR(INDEX('Exercise list'!$E$5:$X$102,MATCH($C319,'Exercise list'!$C$5:$C$102,0),MATCH(Y$5,'Exercise list'!$E$4:$X$4,0)),0)</f>
        <v>0</v>
      </c>
      <c r="Z319">
        <f>IFERROR(INDEX('Exercise list'!$E$5:$X$102,MATCH($C319,'Exercise list'!$C$5:$C$102,0),MATCH(Z$5,'Exercise list'!$E$4:$X$4,0)),0)</f>
        <v>0</v>
      </c>
      <c r="AA319">
        <f>IFERROR(INDEX('Exercise list'!$E$5:$X$102,MATCH($C319,'Exercise list'!$C$5:$C$102,0),MATCH(AA$5,'Exercise list'!$E$4:$X$4,0)),0)</f>
        <v>0</v>
      </c>
      <c r="AB319">
        <f>IFERROR(INDEX('Exercise list'!$E$5:$X$102,MATCH($C319,'Exercise list'!$C$5:$C$102,0),MATCH(AB$5,'Exercise list'!$E$4:$X$4,0)),0)</f>
        <v>0</v>
      </c>
      <c r="AC319">
        <f>IFERROR(INDEX('Exercise list'!$E$5:$X$102,MATCH($C319,'Exercise list'!$C$5:$C$102,0),MATCH(AC$5,'Exercise list'!$E$4:$X$4,0)),0)</f>
        <v>0</v>
      </c>
      <c r="AD319">
        <f>IFERROR(INDEX('Exercise list'!$E$5:$X$102,MATCH($C319,'Exercise list'!$C$5:$C$102,0),MATCH(AD$5,'Exercise list'!$E$4:$X$4,0)),0)</f>
        <v>0</v>
      </c>
      <c r="AE319">
        <f>IFERROR(INDEX('Exercise list'!$E$5:$X$102,MATCH($C319,'Exercise list'!$C$5:$C$102,0),MATCH(AE$5,'Exercise list'!$E$4:$X$4,0)),0)</f>
        <v>0</v>
      </c>
      <c r="AF319">
        <f>IFERROR(INDEX('Exercise list'!$E$5:$X$102,MATCH($C319,'Exercise list'!$C$5:$C$102,0),MATCH(AF$5,'Exercise list'!$E$4:$X$4,0)),0)</f>
        <v>0</v>
      </c>
      <c r="AG319">
        <f>IFERROR(INDEX('Exercise list'!$E$5:$X$102,MATCH($C319,'Exercise list'!$C$5:$C$102,0),MATCH(AG$5,'Exercise list'!$E$4:$X$4,0)),0)</f>
        <v>0</v>
      </c>
      <c r="AH319">
        <f>IFERROR(INDEX('Exercise list'!$E$5:$X$102,MATCH($C319,'Exercise list'!$C$5:$C$102,0),MATCH(AH$5,'Exercise list'!$E$4:$X$4,0)),0)</f>
        <v>0</v>
      </c>
      <c r="AI319">
        <f>IFERROR(INDEX('Exercise list'!$E$5:$X$102,MATCH($C319,'Exercise list'!$C$5:$C$102,0),MATCH(AI$5,'Exercise list'!$E$4:$X$4,0)),0)</f>
        <v>0</v>
      </c>
      <c r="AK319">
        <f>IF(OR($J319=1,COUNTIFS($A$5:$A318,"&gt;="&amp;$A319-1,$A$5:$A318,"&lt;="&amp;$A319,$B$5:$B318,$B319)&gt;0,MIN(1-'Exercise list'!E$2,IF($A319=$A318,AK318,1))-P319&lt;0),-1,MIN(1,IF($A319=$A318,AK318,1)-P319+$D$2))</f>
        <v>1</v>
      </c>
      <c r="AL319">
        <f>IF(OR($J319=1,COUNTIFS($A$5:$A318,"&gt;="&amp;$A319-1,$A$5:$A318,"&lt;="&amp;$A319,$B$5:$B318,$B319)&gt;0,MIN(1-'Exercise list'!F$2,IF($A319=$A318,AL318,1))-Q319&lt;0),-1,MIN(1,IF($A319=$A318,AL318,1)-Q319+$D$2))</f>
        <v>1</v>
      </c>
      <c r="AM319">
        <f>IF(OR($J319=1,COUNTIFS($A$5:$A318,"&gt;="&amp;$A319-1,$A$5:$A318,"&lt;="&amp;$A319,$B$5:$B318,$B319)&gt;0,MIN(1-'Exercise list'!G$2,IF($A319=$A318,AM318,1))-R319&lt;0),-1,MIN(1,IF($A319=$A318,AM318,1)-R319+$D$2))</f>
        <v>1</v>
      </c>
      <c r="AN319">
        <f>IF(OR($J319=1,COUNTIFS($A$5:$A318,"&gt;="&amp;$A319-1,$A$5:$A318,"&lt;="&amp;$A319,$B$5:$B318,$B319)&gt;0,MIN(1-'Exercise list'!H$2,IF($A319=$A318,AN318,1))-S319&lt;0),-1,MIN(1,IF($A319=$A318,AN318,1)-S319+$D$2))</f>
        <v>1</v>
      </c>
      <c r="AO319">
        <f>IF(OR($J319=1,COUNTIFS($A$5:$A318,"&gt;="&amp;$A319-1,$A$5:$A318,"&lt;="&amp;$A319,$B$5:$B318,$B319)&gt;0,MIN(1-'Exercise list'!I$2,IF($A319=$A318,AO318,1))-T319&lt;0),-1,MIN(1,IF($A319=$A318,AO318,1)-T319+$D$2))</f>
        <v>1</v>
      </c>
      <c r="AP319">
        <f>IF(OR($J319=1,COUNTIFS($A$5:$A318,"&gt;="&amp;$A319-1,$A$5:$A318,"&lt;="&amp;$A319,$B$5:$B318,$B319)&gt;0,MIN(1-'Exercise list'!J$2,IF($A319=$A318,AP318,1))-U319&lt;0),-1,MIN(1,IF($A319=$A318,AP318,1)-U319+$D$2))</f>
        <v>1</v>
      </c>
      <c r="AQ319">
        <f>IF(OR($J319=1,COUNTIFS($A$5:$A318,"&gt;="&amp;$A319-1,$A$5:$A318,"&lt;="&amp;$A319,$B$5:$B318,$B319)&gt;0,MIN(1-'Exercise list'!K$2,IF($A319=$A318,AQ318,1))-V319&lt;0),-1,MIN(1,IF($A319=$A318,AQ318,1)-V319+$D$2))</f>
        <v>1</v>
      </c>
      <c r="AR319">
        <f>IF(OR($J319=1,COUNTIFS($A$5:$A318,"&gt;="&amp;$A319-1,$A$5:$A318,"&lt;="&amp;$A319,$B$5:$B318,$B319)&gt;0,MIN(1-'Exercise list'!L$2,IF($A319=$A318,AR318,1))-W319&lt;0),-1,MIN(1,IF($A319=$A318,AR318,1)-W319+$D$2))</f>
        <v>1</v>
      </c>
      <c r="AS319">
        <f>IF(OR($J319=1,COUNTIFS($A$5:$A318,"&gt;="&amp;$A319-1,$A$5:$A318,"&lt;="&amp;$A319,$B$5:$B318,$B319)&gt;0,MIN(1-'Exercise list'!M$2,IF($A319=$A318,AS318,1))-X319&lt;0),-1,MIN(1,IF($A319=$A318,AS318,1)-X319+$D$2))</f>
        <v>1</v>
      </c>
      <c r="AT319">
        <f>IF(OR($J319=1,COUNTIFS($A$5:$A318,"&gt;="&amp;$A319-1,$A$5:$A318,"&lt;="&amp;$A319,$B$5:$B318,$B319)&gt;0,MIN(1-'Exercise list'!N$2,IF($A319=$A318,AT318,1))-Y319&lt;0),-1,MIN(1,IF($A319=$A318,AT318,1)-Y319+$D$2))</f>
        <v>1</v>
      </c>
      <c r="AU319">
        <f>IF(OR($J319=1,COUNTIFS($A$5:$A318,"&gt;="&amp;$A319-1,$A$5:$A318,"&lt;="&amp;$A319,$B$5:$B318,$B319)&gt;0,MIN(1-'Exercise list'!O$2,IF($A319=$A318,AU318,1))-Z319&lt;0),-1,MIN(1,IF($A319=$A318,AU318,1)-Z319+$D$2))</f>
        <v>1</v>
      </c>
      <c r="AV319">
        <f>IF(OR($J319=1,COUNTIFS($A$5:$A318,"&gt;="&amp;$A319-1,$A$5:$A318,"&lt;="&amp;$A319,$B$5:$B318,$B319)&gt;0,MIN(1-'Exercise list'!P$2,IF($A319=$A318,AV318,1))-AA319&lt;0),-1,MIN(1,IF($A319=$A318,AV318,1)-AA319+$D$2))</f>
        <v>1</v>
      </c>
      <c r="AW319">
        <f>IF(OR($J319=1,COUNTIFS($A$5:$A318,"&gt;="&amp;$A319-1,$A$5:$A318,"&lt;="&amp;$A319,$B$5:$B318,$B319)&gt;0,MIN(1-'Exercise list'!Q$2,IF($A319=$A318,AW318,1))-AB319&lt;0),-1,MIN(1,IF($A319=$A318,AW318,1)-AB319+$D$2))</f>
        <v>1</v>
      </c>
      <c r="AX319">
        <f>IF(OR($J319=1,COUNTIFS($A$5:$A318,"&gt;="&amp;$A319-1,$A$5:$A318,"&lt;="&amp;$A319,$B$5:$B318,$B319)&gt;0,MIN(1-'Exercise list'!R$2,IF($A319=$A318,AX318,1))-AC319&lt;0),-1,MIN(1,IF($A319=$A318,AX318,1)-AC319+$D$2))</f>
        <v>1</v>
      </c>
      <c r="AY319">
        <f>IF(OR($J319=1,COUNTIFS($A$5:$A318,"&gt;="&amp;$A319-1,$A$5:$A318,"&lt;="&amp;$A319,$B$5:$B318,$B319)&gt;0,MIN(1-'Exercise list'!S$2,IF($A319=$A318,AY318,1))-AD319&lt;0),-1,MIN(1,IF($A319=$A318,AY318,1)-AD319+$D$2))</f>
        <v>1</v>
      </c>
      <c r="AZ319">
        <f>IF(OR($J319=1,COUNTIFS($A$5:$A318,"&gt;="&amp;$A319-1,$A$5:$A318,"&lt;="&amp;$A319,$B$5:$B318,$B319)&gt;0,MIN(1-'Exercise list'!T$2,IF($A319=$A318,AZ318,1))-AE319&lt;0),-1,MIN(1,IF($A319=$A318,AZ318,1)-AE319+$D$2))</f>
        <v>1</v>
      </c>
      <c r="BA319">
        <f>IF(OR($J319=1,COUNTIFS($A$5:$A318,"&gt;="&amp;$A319-1,$A$5:$A318,"&lt;="&amp;$A319,$B$5:$B318,$B319)&gt;0,MIN(1-'Exercise list'!U$2,IF($A319=$A318,BA318,1))-AF319&lt;0),-1,MIN(1,IF($A319=$A318,BA318,1)-AF319+$D$2))</f>
        <v>1</v>
      </c>
      <c r="BB319">
        <f>IF(OR($J319=1,COUNTIFS($A$5:$A318,"&gt;="&amp;$A319-1,$A$5:$A318,"&lt;="&amp;$A319,$B$5:$B318,$B319)&gt;0,MIN(1-'Exercise list'!V$2,IF($A319=$A318,BB318,1))-AG319&lt;0),-1,MIN(1,IF($A319=$A318,BB318,1)-AG319+$D$2))</f>
        <v>1</v>
      </c>
      <c r="BC319">
        <f>IF(OR($J319=1,COUNTIFS($A$5:$A318,"&gt;="&amp;$A319-1,$A$5:$A318,"&lt;="&amp;$A319,$B$5:$B318,$B319)&gt;0,MIN(1-'Exercise list'!W$2,IF($A319=$A318,BC318,1))-AH319&lt;0),-1,MIN(1,IF($A319=$A318,BC318,1)-AH319+$D$2))</f>
        <v>1</v>
      </c>
      <c r="BD319">
        <f>IF(OR($J319=1,COUNTIFS($A$5:$A318,"&gt;="&amp;$A319-1,$A$5:$A318,"&lt;="&amp;$A319,$B$5:$B318,$B319)&gt;0,MIN(1-'Exercise list'!X$2,IF($A319=$A318,BD318,1))-AI319&lt;0),-1,MIN(1,IF($A319=$A318,BD318,1)-AI319+$D$2))</f>
        <v>1</v>
      </c>
      <c r="BF319" s="16">
        <f t="shared" si="233"/>
        <v>0.19596031081758858</v>
      </c>
      <c r="BG319" s="16">
        <f t="shared" si="234"/>
        <v>0.21844636935459236</v>
      </c>
      <c r="BH319" s="16">
        <f t="shared" si="235"/>
        <v>0.14609696635987124</v>
      </c>
      <c r="BI319" s="16">
        <f t="shared" si="236"/>
        <v>0.13198015366034541</v>
      </c>
      <c r="BJ319" s="16">
        <f t="shared" si="237"/>
        <v>8.3367914198418713E-2</v>
      </c>
      <c r="BK319" s="16">
        <f t="shared" si="238"/>
        <v>0.10640640223148412</v>
      </c>
      <c r="BL319" s="16">
        <f t="shared" si="239"/>
        <v>0.21963504743569431</v>
      </c>
      <c r="BM319" s="16">
        <f t="shared" si="240"/>
        <v>3.8988008374820568E-3</v>
      </c>
      <c r="BN319" s="16">
        <f t="shared" si="241"/>
        <v>0.14537706087090876</v>
      </c>
      <c r="BO319" s="16">
        <f t="shared" si="242"/>
        <v>0.29209790661993401</v>
      </c>
      <c r="BP319" s="16">
        <f t="shared" si="243"/>
        <v>0.31584545163401867</v>
      </c>
      <c r="BQ319" s="16">
        <f t="shared" si="244"/>
        <v>0.1000007994126096</v>
      </c>
      <c r="BR319" s="16">
        <f t="shared" si="245"/>
        <v>0.13164487759885393</v>
      </c>
      <c r="BS319" s="16">
        <f t="shared" si="246"/>
        <v>2.9803550189863123E-2</v>
      </c>
      <c r="BT319" s="16">
        <f t="shared" si="247"/>
        <v>0.13492040904978705</v>
      </c>
      <c r="BU319" s="16">
        <f t="shared" si="248"/>
        <v>0.11703687414398131</v>
      </c>
      <c r="BV319" s="16">
        <f t="shared" si="249"/>
        <v>0.14633353213781661</v>
      </c>
      <c r="BW319" s="16">
        <f t="shared" si="250"/>
        <v>7.5588015111767173E-2</v>
      </c>
      <c r="BX319" s="16">
        <f t="shared" si="251"/>
        <v>8.0345659937185704E-2</v>
      </c>
      <c r="BY319" s="16">
        <f t="shared" si="252"/>
        <v>5.9014643151272549E-2</v>
      </c>
      <c r="CA319" s="16" t="str">
        <f t="shared" si="229"/>
        <v/>
      </c>
      <c r="CB319" s="16" t="str">
        <f t="shared" si="210"/>
        <v/>
      </c>
      <c r="CC319" s="16" t="str">
        <f t="shared" si="211"/>
        <v/>
      </c>
      <c r="CD319" s="16" t="str">
        <f t="shared" si="212"/>
        <v/>
      </c>
      <c r="CE319" s="16" t="str">
        <f t="shared" si="213"/>
        <v/>
      </c>
      <c r="CF319" s="16" t="str">
        <f t="shared" si="214"/>
        <v/>
      </c>
      <c r="CG319" s="16" t="str">
        <f t="shared" si="215"/>
        <v/>
      </c>
      <c r="CH319" s="16" t="str">
        <f t="shared" si="216"/>
        <v/>
      </c>
      <c r="CI319" s="16" t="str">
        <f t="shared" si="217"/>
        <v/>
      </c>
      <c r="CJ319" s="16" t="str">
        <f t="shared" si="218"/>
        <v/>
      </c>
      <c r="CK319" s="16" t="str">
        <f t="shared" si="219"/>
        <v/>
      </c>
      <c r="CL319" s="16" t="str">
        <f t="shared" si="220"/>
        <v/>
      </c>
      <c r="CM319" s="16" t="str">
        <f t="shared" si="221"/>
        <v/>
      </c>
      <c r="CN319" s="16" t="str">
        <f t="shared" si="222"/>
        <v/>
      </c>
      <c r="CO319" s="16" t="str">
        <f t="shared" si="223"/>
        <v/>
      </c>
      <c r="CP319" s="16" t="str">
        <f t="shared" si="224"/>
        <v/>
      </c>
      <c r="CQ319" s="16" t="str">
        <f t="shared" si="225"/>
        <v/>
      </c>
      <c r="CR319" s="16" t="str">
        <f t="shared" si="226"/>
        <v/>
      </c>
      <c r="CS319" s="16" t="str">
        <f t="shared" si="227"/>
        <v/>
      </c>
      <c r="CT319" s="16" t="str">
        <f t="shared" si="228"/>
        <v/>
      </c>
    </row>
    <row r="320" spans="1:99" x14ac:dyDescent="0.25">
      <c r="A320" s="13"/>
      <c r="B320" s="14"/>
      <c r="C320" s="15" t="str" cm="1">
        <f t="array" ref="C320">IF(B320="","",INDEX('Exercise list'!$C$5:$C$102,B320))</f>
        <v/>
      </c>
      <c r="D320" s="12" t="str">
        <f t="shared" si="230"/>
        <v/>
      </c>
      <c r="E320" s="107" t="str">
        <f t="shared" si="253"/>
        <v/>
      </c>
      <c r="F320" s="63" t="str" cm="1">
        <f t="array" ref="F320">IF(B320="","",0.1+IFERROR(INDEX($F$6:$F319,SUMPRODUCT(MAX(ROW($C$6:$C319)*($C320=$C$6:$C319))-ROW($A$5)))*0.9^($A320-INDEX($A$6:A319,SUMPRODUCT(MAX(ROW($C$6:$C319)*($C320=$C$6:$C319))-ROW($A$5)))),0))</f>
        <v/>
      </c>
      <c r="G320" s="64" t="e">
        <f>INDEX('Exercise list'!$Y$5:$Y$102,MATCH(C320,'Exercise list'!$C$5:$C$102,0))</f>
        <v>#N/A</v>
      </c>
      <c r="H320" s="115">
        <f t="shared" si="231"/>
        <v>0</v>
      </c>
      <c r="I320" s="6">
        <f t="shared" si="232"/>
        <v>5</v>
      </c>
      <c r="J320" s="6" t="str" cm="1">
        <f t="array" ref="J320">IF(B320="","",INDEX('Exercise list'!$D$5:$D$102,B320))</f>
        <v/>
      </c>
      <c r="K320" s="12"/>
      <c r="L320" s="74" t="str" cm="1">
        <f t="array" ref="L320">IF(K320="","",INDEX('Exercise list'!$C$5:$C$102,K320))</f>
        <v/>
      </c>
      <c r="M320" s="6"/>
      <c r="N320" s="75" t="str" cm="1">
        <f t="array" ref="N320">IF(M320="","",INDEX('Exercise list'!$C$5:$C$102,M320))</f>
        <v/>
      </c>
      <c r="P320">
        <f>IFERROR(INDEX('Exercise list'!$E$5:$X$102,MATCH($C320,'Exercise list'!$C$5:$C$102,0),MATCH(P$5,'Exercise list'!$E$4:$X$4,0)),0)</f>
        <v>0</v>
      </c>
      <c r="Q320">
        <f>IFERROR(INDEX('Exercise list'!$E$5:$X$102,MATCH($C320,'Exercise list'!$C$5:$C$102,0),MATCH(Q$5,'Exercise list'!$E$4:$X$4,0)),0)</f>
        <v>0</v>
      </c>
      <c r="R320">
        <f>IFERROR(INDEX('Exercise list'!$E$5:$X$102,MATCH($C320,'Exercise list'!$C$5:$C$102,0),MATCH(R$5,'Exercise list'!$E$4:$X$4,0)),0)</f>
        <v>0</v>
      </c>
      <c r="S320">
        <f>IFERROR(INDEX('Exercise list'!$E$5:$X$102,MATCH($C320,'Exercise list'!$C$5:$C$102,0),MATCH(S$5,'Exercise list'!$E$4:$X$4,0)),0)</f>
        <v>0</v>
      </c>
      <c r="T320">
        <f>IFERROR(INDEX('Exercise list'!$E$5:$X$102,MATCH($C320,'Exercise list'!$C$5:$C$102,0),MATCH(T$5,'Exercise list'!$E$4:$X$4,0)),0)</f>
        <v>0</v>
      </c>
      <c r="U320">
        <f>IFERROR(INDEX('Exercise list'!$E$5:$X$102,MATCH($C320,'Exercise list'!$C$5:$C$102,0),MATCH(U$5,'Exercise list'!$E$4:$X$4,0)),0)</f>
        <v>0</v>
      </c>
      <c r="V320">
        <f>IFERROR(INDEX('Exercise list'!$E$5:$X$102,MATCH($C320,'Exercise list'!$C$5:$C$102,0),MATCH(V$5,'Exercise list'!$E$4:$X$4,0)),0)</f>
        <v>0</v>
      </c>
      <c r="W320">
        <f>IFERROR(INDEX('Exercise list'!$E$5:$X$102,MATCH($C320,'Exercise list'!$C$5:$C$102,0),MATCH(W$5,'Exercise list'!$E$4:$X$4,0)),0)</f>
        <v>0</v>
      </c>
      <c r="X320">
        <f>IFERROR(INDEX('Exercise list'!$E$5:$X$102,MATCH($C320,'Exercise list'!$C$5:$C$102,0),MATCH(X$5,'Exercise list'!$E$4:$X$4,0)),0)</f>
        <v>0</v>
      </c>
      <c r="Y320">
        <f>IFERROR(INDEX('Exercise list'!$E$5:$X$102,MATCH($C320,'Exercise list'!$C$5:$C$102,0),MATCH(Y$5,'Exercise list'!$E$4:$X$4,0)),0)</f>
        <v>0</v>
      </c>
      <c r="Z320">
        <f>IFERROR(INDEX('Exercise list'!$E$5:$X$102,MATCH($C320,'Exercise list'!$C$5:$C$102,0),MATCH(Z$5,'Exercise list'!$E$4:$X$4,0)),0)</f>
        <v>0</v>
      </c>
      <c r="AA320">
        <f>IFERROR(INDEX('Exercise list'!$E$5:$X$102,MATCH($C320,'Exercise list'!$C$5:$C$102,0),MATCH(AA$5,'Exercise list'!$E$4:$X$4,0)),0)</f>
        <v>0</v>
      </c>
      <c r="AB320">
        <f>IFERROR(INDEX('Exercise list'!$E$5:$X$102,MATCH($C320,'Exercise list'!$C$5:$C$102,0),MATCH(AB$5,'Exercise list'!$E$4:$X$4,0)),0)</f>
        <v>0</v>
      </c>
      <c r="AC320">
        <f>IFERROR(INDEX('Exercise list'!$E$5:$X$102,MATCH($C320,'Exercise list'!$C$5:$C$102,0),MATCH(AC$5,'Exercise list'!$E$4:$X$4,0)),0)</f>
        <v>0</v>
      </c>
      <c r="AD320">
        <f>IFERROR(INDEX('Exercise list'!$E$5:$X$102,MATCH($C320,'Exercise list'!$C$5:$C$102,0),MATCH(AD$5,'Exercise list'!$E$4:$X$4,0)),0)</f>
        <v>0</v>
      </c>
      <c r="AE320">
        <f>IFERROR(INDEX('Exercise list'!$E$5:$X$102,MATCH($C320,'Exercise list'!$C$5:$C$102,0),MATCH(AE$5,'Exercise list'!$E$4:$X$4,0)),0)</f>
        <v>0</v>
      </c>
      <c r="AF320">
        <f>IFERROR(INDEX('Exercise list'!$E$5:$X$102,MATCH($C320,'Exercise list'!$C$5:$C$102,0),MATCH(AF$5,'Exercise list'!$E$4:$X$4,0)),0)</f>
        <v>0</v>
      </c>
      <c r="AG320">
        <f>IFERROR(INDEX('Exercise list'!$E$5:$X$102,MATCH($C320,'Exercise list'!$C$5:$C$102,0),MATCH(AG$5,'Exercise list'!$E$4:$X$4,0)),0)</f>
        <v>0</v>
      </c>
      <c r="AH320">
        <f>IFERROR(INDEX('Exercise list'!$E$5:$X$102,MATCH($C320,'Exercise list'!$C$5:$C$102,0),MATCH(AH$5,'Exercise list'!$E$4:$X$4,0)),0)</f>
        <v>0</v>
      </c>
      <c r="AI320">
        <f>IFERROR(INDEX('Exercise list'!$E$5:$X$102,MATCH($C320,'Exercise list'!$C$5:$C$102,0),MATCH(AI$5,'Exercise list'!$E$4:$X$4,0)),0)</f>
        <v>0</v>
      </c>
      <c r="AK320">
        <f>IF(OR($J320=1,COUNTIFS($A$5:$A319,"&gt;="&amp;$A320-1,$A$5:$A319,"&lt;="&amp;$A320,$B$5:$B319,$B320)&gt;0,MIN(1-'Exercise list'!E$2,IF($A320=$A319,AK319,1))-P320&lt;0),-1,MIN(1,IF($A320=$A319,AK319,1)-P320+$D$2))</f>
        <v>1</v>
      </c>
      <c r="AL320">
        <f>IF(OR($J320=1,COUNTIFS($A$5:$A319,"&gt;="&amp;$A320-1,$A$5:$A319,"&lt;="&amp;$A320,$B$5:$B319,$B320)&gt;0,MIN(1-'Exercise list'!F$2,IF($A320=$A319,AL319,1))-Q320&lt;0),-1,MIN(1,IF($A320=$A319,AL319,1)-Q320+$D$2))</f>
        <v>1</v>
      </c>
      <c r="AM320">
        <f>IF(OR($J320=1,COUNTIFS($A$5:$A319,"&gt;="&amp;$A320-1,$A$5:$A319,"&lt;="&amp;$A320,$B$5:$B319,$B320)&gt;0,MIN(1-'Exercise list'!G$2,IF($A320=$A319,AM319,1))-R320&lt;0),-1,MIN(1,IF($A320=$A319,AM319,1)-R320+$D$2))</f>
        <v>1</v>
      </c>
      <c r="AN320">
        <f>IF(OR($J320=1,COUNTIFS($A$5:$A319,"&gt;="&amp;$A320-1,$A$5:$A319,"&lt;="&amp;$A320,$B$5:$B319,$B320)&gt;0,MIN(1-'Exercise list'!H$2,IF($A320=$A319,AN319,1))-S320&lt;0),-1,MIN(1,IF($A320=$A319,AN319,1)-S320+$D$2))</f>
        <v>1</v>
      </c>
      <c r="AO320">
        <f>IF(OR($J320=1,COUNTIFS($A$5:$A319,"&gt;="&amp;$A320-1,$A$5:$A319,"&lt;="&amp;$A320,$B$5:$B319,$B320)&gt;0,MIN(1-'Exercise list'!I$2,IF($A320=$A319,AO319,1))-T320&lt;0),-1,MIN(1,IF($A320=$A319,AO319,1)-T320+$D$2))</f>
        <v>1</v>
      </c>
      <c r="AP320">
        <f>IF(OR($J320=1,COUNTIFS($A$5:$A319,"&gt;="&amp;$A320-1,$A$5:$A319,"&lt;="&amp;$A320,$B$5:$B319,$B320)&gt;0,MIN(1-'Exercise list'!J$2,IF($A320=$A319,AP319,1))-U320&lt;0),-1,MIN(1,IF($A320=$A319,AP319,1)-U320+$D$2))</f>
        <v>1</v>
      </c>
      <c r="AQ320">
        <f>IF(OR($J320=1,COUNTIFS($A$5:$A319,"&gt;="&amp;$A320-1,$A$5:$A319,"&lt;="&amp;$A320,$B$5:$B319,$B320)&gt;0,MIN(1-'Exercise list'!K$2,IF($A320=$A319,AQ319,1))-V320&lt;0),-1,MIN(1,IF($A320=$A319,AQ319,1)-V320+$D$2))</f>
        <v>1</v>
      </c>
      <c r="AR320">
        <f>IF(OR($J320=1,COUNTIFS($A$5:$A319,"&gt;="&amp;$A320-1,$A$5:$A319,"&lt;="&amp;$A320,$B$5:$B319,$B320)&gt;0,MIN(1-'Exercise list'!L$2,IF($A320=$A319,AR319,1))-W320&lt;0),-1,MIN(1,IF($A320=$A319,AR319,1)-W320+$D$2))</f>
        <v>1</v>
      </c>
      <c r="AS320">
        <f>IF(OR($J320=1,COUNTIFS($A$5:$A319,"&gt;="&amp;$A320-1,$A$5:$A319,"&lt;="&amp;$A320,$B$5:$B319,$B320)&gt;0,MIN(1-'Exercise list'!M$2,IF($A320=$A319,AS319,1))-X320&lt;0),-1,MIN(1,IF($A320=$A319,AS319,1)-X320+$D$2))</f>
        <v>1</v>
      </c>
      <c r="AT320">
        <f>IF(OR($J320=1,COUNTIFS($A$5:$A319,"&gt;="&amp;$A320-1,$A$5:$A319,"&lt;="&amp;$A320,$B$5:$B319,$B320)&gt;0,MIN(1-'Exercise list'!N$2,IF($A320=$A319,AT319,1))-Y320&lt;0),-1,MIN(1,IF($A320=$A319,AT319,1)-Y320+$D$2))</f>
        <v>1</v>
      </c>
      <c r="AU320">
        <f>IF(OR($J320=1,COUNTIFS($A$5:$A319,"&gt;="&amp;$A320-1,$A$5:$A319,"&lt;="&amp;$A320,$B$5:$B319,$B320)&gt;0,MIN(1-'Exercise list'!O$2,IF($A320=$A319,AU319,1))-Z320&lt;0),-1,MIN(1,IF($A320=$A319,AU319,1)-Z320+$D$2))</f>
        <v>1</v>
      </c>
      <c r="AV320">
        <f>IF(OR($J320=1,COUNTIFS($A$5:$A319,"&gt;="&amp;$A320-1,$A$5:$A319,"&lt;="&amp;$A320,$B$5:$B319,$B320)&gt;0,MIN(1-'Exercise list'!P$2,IF($A320=$A319,AV319,1))-AA320&lt;0),-1,MIN(1,IF($A320=$A319,AV319,1)-AA320+$D$2))</f>
        <v>1</v>
      </c>
      <c r="AW320">
        <f>IF(OR($J320=1,COUNTIFS($A$5:$A319,"&gt;="&amp;$A320-1,$A$5:$A319,"&lt;="&amp;$A320,$B$5:$B319,$B320)&gt;0,MIN(1-'Exercise list'!Q$2,IF($A320=$A319,AW319,1))-AB320&lt;0),-1,MIN(1,IF($A320=$A319,AW319,1)-AB320+$D$2))</f>
        <v>1</v>
      </c>
      <c r="AX320">
        <f>IF(OR($J320=1,COUNTIFS($A$5:$A319,"&gt;="&amp;$A320-1,$A$5:$A319,"&lt;="&amp;$A320,$B$5:$B319,$B320)&gt;0,MIN(1-'Exercise list'!R$2,IF($A320=$A319,AX319,1))-AC320&lt;0),-1,MIN(1,IF($A320=$A319,AX319,1)-AC320+$D$2))</f>
        <v>1</v>
      </c>
      <c r="AY320">
        <f>IF(OR($J320=1,COUNTIFS($A$5:$A319,"&gt;="&amp;$A320-1,$A$5:$A319,"&lt;="&amp;$A320,$B$5:$B319,$B320)&gt;0,MIN(1-'Exercise list'!S$2,IF($A320=$A319,AY319,1))-AD320&lt;0),-1,MIN(1,IF($A320=$A319,AY319,1)-AD320+$D$2))</f>
        <v>1</v>
      </c>
      <c r="AZ320">
        <f>IF(OR($J320=1,COUNTIFS($A$5:$A319,"&gt;="&amp;$A320-1,$A$5:$A319,"&lt;="&amp;$A320,$B$5:$B319,$B320)&gt;0,MIN(1-'Exercise list'!T$2,IF($A320=$A319,AZ319,1))-AE320&lt;0),-1,MIN(1,IF($A320=$A319,AZ319,1)-AE320+$D$2))</f>
        <v>1</v>
      </c>
      <c r="BA320">
        <f>IF(OR($J320=1,COUNTIFS($A$5:$A319,"&gt;="&amp;$A320-1,$A$5:$A319,"&lt;="&amp;$A320,$B$5:$B319,$B320)&gt;0,MIN(1-'Exercise list'!U$2,IF($A320=$A319,BA319,1))-AF320&lt;0),-1,MIN(1,IF($A320=$A319,BA319,1)-AF320+$D$2))</f>
        <v>1</v>
      </c>
      <c r="BB320">
        <f>IF(OR($J320=1,COUNTIFS($A$5:$A319,"&gt;="&amp;$A320-1,$A$5:$A319,"&lt;="&amp;$A320,$B$5:$B319,$B320)&gt;0,MIN(1-'Exercise list'!V$2,IF($A320=$A319,BB319,1))-AG320&lt;0),-1,MIN(1,IF($A320=$A319,BB319,1)-AG320+$D$2))</f>
        <v>1</v>
      </c>
      <c r="BC320">
        <f>IF(OR($J320=1,COUNTIFS($A$5:$A319,"&gt;="&amp;$A320-1,$A$5:$A319,"&lt;="&amp;$A320,$B$5:$B319,$B320)&gt;0,MIN(1-'Exercise list'!W$2,IF($A320=$A319,BC319,1))-AH320&lt;0),-1,MIN(1,IF($A320=$A319,BC319,1)-AH320+$D$2))</f>
        <v>1</v>
      </c>
      <c r="BD320">
        <f>IF(OR($J320=1,COUNTIFS($A$5:$A319,"&gt;="&amp;$A320-1,$A$5:$A319,"&lt;="&amp;$A320,$B$5:$B319,$B320)&gt;0,MIN(1-'Exercise list'!X$2,IF($A320=$A319,BD319,1))-AI320&lt;0),-1,MIN(1,IF($A320=$A319,BD319,1)-AI320+$D$2))</f>
        <v>1</v>
      </c>
      <c r="BF320" s="16">
        <f t="shared" si="233"/>
        <v>0.19596031081758858</v>
      </c>
      <c r="BG320" s="16">
        <f t="shared" si="234"/>
        <v>0.21844636935459236</v>
      </c>
      <c r="BH320" s="16">
        <f t="shared" si="235"/>
        <v>0.14609696635987124</v>
      </c>
      <c r="BI320" s="16">
        <f t="shared" si="236"/>
        <v>0.13198015366034541</v>
      </c>
      <c r="BJ320" s="16">
        <f t="shared" si="237"/>
        <v>8.3367914198418713E-2</v>
      </c>
      <c r="BK320" s="16">
        <f t="shared" si="238"/>
        <v>0.10640640223148412</v>
      </c>
      <c r="BL320" s="16">
        <f t="shared" si="239"/>
        <v>0.21963504743569431</v>
      </c>
      <c r="BM320" s="16">
        <f t="shared" si="240"/>
        <v>3.8988008374820568E-3</v>
      </c>
      <c r="BN320" s="16">
        <f t="shared" si="241"/>
        <v>0.14537706087090876</v>
      </c>
      <c r="BO320" s="16">
        <f t="shared" si="242"/>
        <v>0.29209790661993401</v>
      </c>
      <c r="BP320" s="16">
        <f t="shared" si="243"/>
        <v>0.31584545163401867</v>
      </c>
      <c r="BQ320" s="16">
        <f t="shared" si="244"/>
        <v>0.1000007994126096</v>
      </c>
      <c r="BR320" s="16">
        <f t="shared" si="245"/>
        <v>0.13164487759885393</v>
      </c>
      <c r="BS320" s="16">
        <f t="shared" si="246"/>
        <v>2.9803550189863123E-2</v>
      </c>
      <c r="BT320" s="16">
        <f t="shared" si="247"/>
        <v>0.13492040904978705</v>
      </c>
      <c r="BU320" s="16">
        <f t="shared" si="248"/>
        <v>0.11703687414398131</v>
      </c>
      <c r="BV320" s="16">
        <f t="shared" si="249"/>
        <v>0.14633353213781661</v>
      </c>
      <c r="BW320" s="16">
        <f t="shared" si="250"/>
        <v>7.5588015111767173E-2</v>
      </c>
      <c r="BX320" s="16">
        <f t="shared" si="251"/>
        <v>8.0345659937185704E-2</v>
      </c>
      <c r="BY320" s="16">
        <f t="shared" si="252"/>
        <v>5.9014643151272549E-2</v>
      </c>
      <c r="CA320" s="16" t="str">
        <f t="shared" si="229"/>
        <v/>
      </c>
      <c r="CB320" s="16" t="str">
        <f t="shared" si="210"/>
        <v/>
      </c>
      <c r="CC320" s="16" t="str">
        <f t="shared" si="211"/>
        <v/>
      </c>
      <c r="CD320" s="16" t="str">
        <f t="shared" si="212"/>
        <v/>
      </c>
      <c r="CE320" s="16" t="str">
        <f t="shared" si="213"/>
        <v/>
      </c>
      <c r="CF320" s="16" t="str">
        <f t="shared" si="214"/>
        <v/>
      </c>
      <c r="CG320" s="16" t="str">
        <f t="shared" si="215"/>
        <v/>
      </c>
      <c r="CH320" s="16" t="str">
        <f t="shared" si="216"/>
        <v/>
      </c>
      <c r="CI320" s="16" t="str">
        <f t="shared" si="217"/>
        <v/>
      </c>
      <c r="CJ320" s="16" t="str">
        <f t="shared" si="218"/>
        <v/>
      </c>
      <c r="CK320" s="16" t="str">
        <f t="shared" si="219"/>
        <v/>
      </c>
      <c r="CL320" s="16" t="str">
        <f t="shared" si="220"/>
        <v/>
      </c>
      <c r="CM320" s="16" t="str">
        <f t="shared" si="221"/>
        <v/>
      </c>
      <c r="CN320" s="16" t="str">
        <f t="shared" si="222"/>
        <v/>
      </c>
      <c r="CO320" s="16" t="str">
        <f t="shared" si="223"/>
        <v/>
      </c>
      <c r="CP320" s="16" t="str">
        <f t="shared" si="224"/>
        <v/>
      </c>
      <c r="CQ320" s="16" t="str">
        <f t="shared" si="225"/>
        <v/>
      </c>
      <c r="CR320" s="16" t="str">
        <f t="shared" si="226"/>
        <v/>
      </c>
      <c r="CS320" s="16" t="str">
        <f t="shared" si="227"/>
        <v/>
      </c>
      <c r="CT320" s="16" t="str">
        <f t="shared" si="228"/>
        <v/>
      </c>
    </row>
    <row r="321" spans="1:99" x14ac:dyDescent="0.25">
      <c r="A321" s="13"/>
      <c r="B321" s="14"/>
      <c r="C321" s="15" t="str" cm="1">
        <f t="array" ref="C321">IF(B321="","",INDEX('Exercise list'!$C$5:$C$102,B321))</f>
        <v/>
      </c>
      <c r="D321" s="12" t="str">
        <f t="shared" si="230"/>
        <v/>
      </c>
      <c r="E321" s="107" t="str">
        <f t="shared" si="253"/>
        <v/>
      </c>
      <c r="F321" s="63" t="str" cm="1">
        <f t="array" ref="F321">IF(B321="","",0.1+IFERROR(INDEX($F$6:$F320,SUMPRODUCT(MAX(ROW($C$6:$C320)*($C321=$C$6:$C320))-ROW($A$5)))*0.9^($A321-INDEX($A$6:A320,SUMPRODUCT(MAX(ROW($C$6:$C320)*($C321=$C$6:$C320))-ROW($A$5)))),0))</f>
        <v/>
      </c>
      <c r="G321" s="64" t="e">
        <f>INDEX('Exercise list'!$Y$5:$Y$102,MATCH(C321,'Exercise list'!$C$5:$C$102,0))</f>
        <v>#N/A</v>
      </c>
      <c r="H321" s="115">
        <f t="shared" si="231"/>
        <v>0</v>
      </c>
      <c r="I321" s="6">
        <f t="shared" si="232"/>
        <v>5</v>
      </c>
      <c r="J321" s="6" t="str" cm="1">
        <f t="array" ref="J321">IF(B321="","",INDEX('Exercise list'!$D$5:$D$102,B321))</f>
        <v/>
      </c>
      <c r="K321" s="12"/>
      <c r="L321" s="74" t="str" cm="1">
        <f t="array" ref="L321">IF(K321="","",INDEX('Exercise list'!$C$5:$C$102,K321))</f>
        <v/>
      </c>
      <c r="M321" s="6"/>
      <c r="N321" s="75" t="str" cm="1">
        <f t="array" ref="N321">IF(M321="","",INDEX('Exercise list'!$C$5:$C$102,M321))</f>
        <v/>
      </c>
      <c r="P321">
        <f>IFERROR(INDEX('Exercise list'!$E$5:$X$102,MATCH($C321,'Exercise list'!$C$5:$C$102,0),MATCH(P$5,'Exercise list'!$E$4:$X$4,0)),0)</f>
        <v>0</v>
      </c>
      <c r="Q321">
        <f>IFERROR(INDEX('Exercise list'!$E$5:$X$102,MATCH($C321,'Exercise list'!$C$5:$C$102,0),MATCH(Q$5,'Exercise list'!$E$4:$X$4,0)),0)</f>
        <v>0</v>
      </c>
      <c r="R321">
        <f>IFERROR(INDEX('Exercise list'!$E$5:$X$102,MATCH($C321,'Exercise list'!$C$5:$C$102,0),MATCH(R$5,'Exercise list'!$E$4:$X$4,0)),0)</f>
        <v>0</v>
      </c>
      <c r="S321">
        <f>IFERROR(INDEX('Exercise list'!$E$5:$X$102,MATCH($C321,'Exercise list'!$C$5:$C$102,0),MATCH(S$5,'Exercise list'!$E$4:$X$4,0)),0)</f>
        <v>0</v>
      </c>
      <c r="T321">
        <f>IFERROR(INDEX('Exercise list'!$E$5:$X$102,MATCH($C321,'Exercise list'!$C$5:$C$102,0),MATCH(T$5,'Exercise list'!$E$4:$X$4,0)),0)</f>
        <v>0</v>
      </c>
      <c r="U321">
        <f>IFERROR(INDEX('Exercise list'!$E$5:$X$102,MATCH($C321,'Exercise list'!$C$5:$C$102,0),MATCH(U$5,'Exercise list'!$E$4:$X$4,0)),0)</f>
        <v>0</v>
      </c>
      <c r="V321">
        <f>IFERROR(INDEX('Exercise list'!$E$5:$X$102,MATCH($C321,'Exercise list'!$C$5:$C$102,0),MATCH(V$5,'Exercise list'!$E$4:$X$4,0)),0)</f>
        <v>0</v>
      </c>
      <c r="W321">
        <f>IFERROR(INDEX('Exercise list'!$E$5:$X$102,MATCH($C321,'Exercise list'!$C$5:$C$102,0),MATCH(W$5,'Exercise list'!$E$4:$X$4,0)),0)</f>
        <v>0</v>
      </c>
      <c r="X321">
        <f>IFERROR(INDEX('Exercise list'!$E$5:$X$102,MATCH($C321,'Exercise list'!$C$5:$C$102,0),MATCH(X$5,'Exercise list'!$E$4:$X$4,0)),0)</f>
        <v>0</v>
      </c>
      <c r="Y321">
        <f>IFERROR(INDEX('Exercise list'!$E$5:$X$102,MATCH($C321,'Exercise list'!$C$5:$C$102,0),MATCH(Y$5,'Exercise list'!$E$4:$X$4,0)),0)</f>
        <v>0</v>
      </c>
      <c r="Z321">
        <f>IFERROR(INDEX('Exercise list'!$E$5:$X$102,MATCH($C321,'Exercise list'!$C$5:$C$102,0),MATCH(Z$5,'Exercise list'!$E$4:$X$4,0)),0)</f>
        <v>0</v>
      </c>
      <c r="AA321">
        <f>IFERROR(INDEX('Exercise list'!$E$5:$X$102,MATCH($C321,'Exercise list'!$C$5:$C$102,0),MATCH(AA$5,'Exercise list'!$E$4:$X$4,0)),0)</f>
        <v>0</v>
      </c>
      <c r="AB321">
        <f>IFERROR(INDEX('Exercise list'!$E$5:$X$102,MATCH($C321,'Exercise list'!$C$5:$C$102,0),MATCH(AB$5,'Exercise list'!$E$4:$X$4,0)),0)</f>
        <v>0</v>
      </c>
      <c r="AC321">
        <f>IFERROR(INDEX('Exercise list'!$E$5:$X$102,MATCH($C321,'Exercise list'!$C$5:$C$102,0),MATCH(AC$5,'Exercise list'!$E$4:$X$4,0)),0)</f>
        <v>0</v>
      </c>
      <c r="AD321">
        <f>IFERROR(INDEX('Exercise list'!$E$5:$X$102,MATCH($C321,'Exercise list'!$C$5:$C$102,0),MATCH(AD$5,'Exercise list'!$E$4:$X$4,0)),0)</f>
        <v>0</v>
      </c>
      <c r="AE321">
        <f>IFERROR(INDEX('Exercise list'!$E$5:$X$102,MATCH($C321,'Exercise list'!$C$5:$C$102,0),MATCH(AE$5,'Exercise list'!$E$4:$X$4,0)),0)</f>
        <v>0</v>
      </c>
      <c r="AF321">
        <f>IFERROR(INDEX('Exercise list'!$E$5:$X$102,MATCH($C321,'Exercise list'!$C$5:$C$102,0),MATCH(AF$5,'Exercise list'!$E$4:$X$4,0)),0)</f>
        <v>0</v>
      </c>
      <c r="AG321">
        <f>IFERROR(INDEX('Exercise list'!$E$5:$X$102,MATCH($C321,'Exercise list'!$C$5:$C$102,0),MATCH(AG$5,'Exercise list'!$E$4:$X$4,0)),0)</f>
        <v>0</v>
      </c>
      <c r="AH321">
        <f>IFERROR(INDEX('Exercise list'!$E$5:$X$102,MATCH($C321,'Exercise list'!$C$5:$C$102,0),MATCH(AH$5,'Exercise list'!$E$4:$X$4,0)),0)</f>
        <v>0</v>
      </c>
      <c r="AI321">
        <f>IFERROR(INDEX('Exercise list'!$E$5:$X$102,MATCH($C321,'Exercise list'!$C$5:$C$102,0),MATCH(AI$5,'Exercise list'!$E$4:$X$4,0)),0)</f>
        <v>0</v>
      </c>
      <c r="AK321">
        <f>IF(OR($J321=1,COUNTIFS($A$5:$A320,"&gt;="&amp;$A321-1,$A$5:$A320,"&lt;="&amp;$A321,$B$5:$B320,$B321)&gt;0,MIN(1-'Exercise list'!E$2,IF($A321=$A320,AK320,1))-P321&lt;0),-1,MIN(1,IF($A321=$A320,AK320,1)-P321+$D$2))</f>
        <v>1</v>
      </c>
      <c r="AL321">
        <f>IF(OR($J321=1,COUNTIFS($A$5:$A320,"&gt;="&amp;$A321-1,$A$5:$A320,"&lt;="&amp;$A321,$B$5:$B320,$B321)&gt;0,MIN(1-'Exercise list'!F$2,IF($A321=$A320,AL320,1))-Q321&lt;0),-1,MIN(1,IF($A321=$A320,AL320,1)-Q321+$D$2))</f>
        <v>1</v>
      </c>
      <c r="AM321">
        <f>IF(OR($J321=1,COUNTIFS($A$5:$A320,"&gt;="&amp;$A321-1,$A$5:$A320,"&lt;="&amp;$A321,$B$5:$B320,$B321)&gt;0,MIN(1-'Exercise list'!G$2,IF($A321=$A320,AM320,1))-R321&lt;0),-1,MIN(1,IF($A321=$A320,AM320,1)-R321+$D$2))</f>
        <v>1</v>
      </c>
      <c r="AN321">
        <f>IF(OR($J321=1,COUNTIFS($A$5:$A320,"&gt;="&amp;$A321-1,$A$5:$A320,"&lt;="&amp;$A321,$B$5:$B320,$B321)&gt;0,MIN(1-'Exercise list'!H$2,IF($A321=$A320,AN320,1))-S321&lt;0),-1,MIN(1,IF($A321=$A320,AN320,1)-S321+$D$2))</f>
        <v>1</v>
      </c>
      <c r="AO321">
        <f>IF(OR($J321=1,COUNTIFS($A$5:$A320,"&gt;="&amp;$A321-1,$A$5:$A320,"&lt;="&amp;$A321,$B$5:$B320,$B321)&gt;0,MIN(1-'Exercise list'!I$2,IF($A321=$A320,AO320,1))-T321&lt;0),-1,MIN(1,IF($A321=$A320,AO320,1)-T321+$D$2))</f>
        <v>1</v>
      </c>
      <c r="AP321">
        <f>IF(OR($J321=1,COUNTIFS($A$5:$A320,"&gt;="&amp;$A321-1,$A$5:$A320,"&lt;="&amp;$A321,$B$5:$B320,$B321)&gt;0,MIN(1-'Exercise list'!J$2,IF($A321=$A320,AP320,1))-U321&lt;0),-1,MIN(1,IF($A321=$A320,AP320,1)-U321+$D$2))</f>
        <v>1</v>
      </c>
      <c r="AQ321">
        <f>IF(OR($J321=1,COUNTIFS($A$5:$A320,"&gt;="&amp;$A321-1,$A$5:$A320,"&lt;="&amp;$A321,$B$5:$B320,$B321)&gt;0,MIN(1-'Exercise list'!K$2,IF($A321=$A320,AQ320,1))-V321&lt;0),-1,MIN(1,IF($A321=$A320,AQ320,1)-V321+$D$2))</f>
        <v>1</v>
      </c>
      <c r="AR321">
        <f>IF(OR($J321=1,COUNTIFS($A$5:$A320,"&gt;="&amp;$A321-1,$A$5:$A320,"&lt;="&amp;$A321,$B$5:$B320,$B321)&gt;0,MIN(1-'Exercise list'!L$2,IF($A321=$A320,AR320,1))-W321&lt;0),-1,MIN(1,IF($A321=$A320,AR320,1)-W321+$D$2))</f>
        <v>1</v>
      </c>
      <c r="AS321">
        <f>IF(OR($J321=1,COUNTIFS($A$5:$A320,"&gt;="&amp;$A321-1,$A$5:$A320,"&lt;="&amp;$A321,$B$5:$B320,$B321)&gt;0,MIN(1-'Exercise list'!M$2,IF($A321=$A320,AS320,1))-X321&lt;0),-1,MIN(1,IF($A321=$A320,AS320,1)-X321+$D$2))</f>
        <v>1</v>
      </c>
      <c r="AT321">
        <f>IF(OR($J321=1,COUNTIFS($A$5:$A320,"&gt;="&amp;$A321-1,$A$5:$A320,"&lt;="&amp;$A321,$B$5:$B320,$B321)&gt;0,MIN(1-'Exercise list'!N$2,IF($A321=$A320,AT320,1))-Y321&lt;0),-1,MIN(1,IF($A321=$A320,AT320,1)-Y321+$D$2))</f>
        <v>1</v>
      </c>
      <c r="AU321">
        <f>IF(OR($J321=1,COUNTIFS($A$5:$A320,"&gt;="&amp;$A321-1,$A$5:$A320,"&lt;="&amp;$A321,$B$5:$B320,$B321)&gt;0,MIN(1-'Exercise list'!O$2,IF($A321=$A320,AU320,1))-Z321&lt;0),-1,MIN(1,IF($A321=$A320,AU320,1)-Z321+$D$2))</f>
        <v>1</v>
      </c>
      <c r="AV321">
        <f>IF(OR($J321=1,COUNTIFS($A$5:$A320,"&gt;="&amp;$A321-1,$A$5:$A320,"&lt;="&amp;$A321,$B$5:$B320,$B321)&gt;0,MIN(1-'Exercise list'!P$2,IF($A321=$A320,AV320,1))-AA321&lt;0),-1,MIN(1,IF($A321=$A320,AV320,1)-AA321+$D$2))</f>
        <v>1</v>
      </c>
      <c r="AW321">
        <f>IF(OR($J321=1,COUNTIFS($A$5:$A320,"&gt;="&amp;$A321-1,$A$5:$A320,"&lt;="&amp;$A321,$B$5:$B320,$B321)&gt;0,MIN(1-'Exercise list'!Q$2,IF($A321=$A320,AW320,1))-AB321&lt;0),-1,MIN(1,IF($A321=$A320,AW320,1)-AB321+$D$2))</f>
        <v>1</v>
      </c>
      <c r="AX321">
        <f>IF(OR($J321=1,COUNTIFS($A$5:$A320,"&gt;="&amp;$A321-1,$A$5:$A320,"&lt;="&amp;$A321,$B$5:$B320,$B321)&gt;0,MIN(1-'Exercise list'!R$2,IF($A321=$A320,AX320,1))-AC321&lt;0),-1,MIN(1,IF($A321=$A320,AX320,1)-AC321+$D$2))</f>
        <v>1</v>
      </c>
      <c r="AY321">
        <f>IF(OR($J321=1,COUNTIFS($A$5:$A320,"&gt;="&amp;$A321-1,$A$5:$A320,"&lt;="&amp;$A321,$B$5:$B320,$B321)&gt;0,MIN(1-'Exercise list'!S$2,IF($A321=$A320,AY320,1))-AD321&lt;0),-1,MIN(1,IF($A321=$A320,AY320,1)-AD321+$D$2))</f>
        <v>1</v>
      </c>
      <c r="AZ321">
        <f>IF(OR($J321=1,COUNTIFS($A$5:$A320,"&gt;="&amp;$A321-1,$A$5:$A320,"&lt;="&amp;$A321,$B$5:$B320,$B321)&gt;0,MIN(1-'Exercise list'!T$2,IF($A321=$A320,AZ320,1))-AE321&lt;0),-1,MIN(1,IF($A321=$A320,AZ320,1)-AE321+$D$2))</f>
        <v>1</v>
      </c>
      <c r="BA321">
        <f>IF(OR($J321=1,COUNTIFS($A$5:$A320,"&gt;="&amp;$A321-1,$A$5:$A320,"&lt;="&amp;$A321,$B$5:$B320,$B321)&gt;0,MIN(1-'Exercise list'!U$2,IF($A321=$A320,BA320,1))-AF321&lt;0),-1,MIN(1,IF($A321=$A320,BA320,1)-AF321+$D$2))</f>
        <v>1</v>
      </c>
      <c r="BB321">
        <f>IF(OR($J321=1,COUNTIFS($A$5:$A320,"&gt;="&amp;$A321-1,$A$5:$A320,"&lt;="&amp;$A321,$B$5:$B320,$B321)&gt;0,MIN(1-'Exercise list'!V$2,IF($A321=$A320,BB320,1))-AG321&lt;0),-1,MIN(1,IF($A321=$A320,BB320,1)-AG321+$D$2))</f>
        <v>1</v>
      </c>
      <c r="BC321">
        <f>IF(OR($J321=1,COUNTIFS($A$5:$A320,"&gt;="&amp;$A321-1,$A$5:$A320,"&lt;="&amp;$A321,$B$5:$B320,$B321)&gt;0,MIN(1-'Exercise list'!W$2,IF($A321=$A320,BC320,1))-AH321&lt;0),-1,MIN(1,IF($A321=$A320,BC320,1)-AH321+$D$2))</f>
        <v>1</v>
      </c>
      <c r="BD321">
        <f>IF(OR($J321=1,COUNTIFS($A$5:$A320,"&gt;="&amp;$A321-1,$A$5:$A320,"&lt;="&amp;$A321,$B$5:$B320,$B321)&gt;0,MIN(1-'Exercise list'!X$2,IF($A321=$A320,BD320,1))-AI321&lt;0),-1,MIN(1,IF($A321=$A320,BD320,1)-AI321+$D$2))</f>
        <v>1</v>
      </c>
      <c r="BF321" s="16">
        <f t="shared" si="233"/>
        <v>0.19596031081758858</v>
      </c>
      <c r="BG321" s="16">
        <f t="shared" si="234"/>
        <v>0.21844636935459236</v>
      </c>
      <c r="BH321" s="16">
        <f t="shared" si="235"/>
        <v>0.14609696635987124</v>
      </c>
      <c r="BI321" s="16">
        <f t="shared" si="236"/>
        <v>0.13198015366034541</v>
      </c>
      <c r="BJ321" s="16">
        <f t="shared" si="237"/>
        <v>8.3367914198418713E-2</v>
      </c>
      <c r="BK321" s="16">
        <f t="shared" si="238"/>
        <v>0.10640640223148412</v>
      </c>
      <c r="BL321" s="16">
        <f t="shared" si="239"/>
        <v>0.21963504743569431</v>
      </c>
      <c r="BM321" s="16">
        <f t="shared" si="240"/>
        <v>3.8988008374820568E-3</v>
      </c>
      <c r="BN321" s="16">
        <f t="shared" si="241"/>
        <v>0.14537706087090876</v>
      </c>
      <c r="BO321" s="16">
        <f t="shared" si="242"/>
        <v>0.29209790661993401</v>
      </c>
      <c r="BP321" s="16">
        <f t="shared" si="243"/>
        <v>0.31584545163401867</v>
      </c>
      <c r="BQ321" s="16">
        <f t="shared" si="244"/>
        <v>0.1000007994126096</v>
      </c>
      <c r="BR321" s="16">
        <f t="shared" si="245"/>
        <v>0.13164487759885393</v>
      </c>
      <c r="BS321" s="16">
        <f t="shared" si="246"/>
        <v>2.9803550189863123E-2</v>
      </c>
      <c r="BT321" s="16">
        <f t="shared" si="247"/>
        <v>0.13492040904978705</v>
      </c>
      <c r="BU321" s="16">
        <f t="shared" si="248"/>
        <v>0.11703687414398131</v>
      </c>
      <c r="BV321" s="16">
        <f t="shared" si="249"/>
        <v>0.14633353213781661</v>
      </c>
      <c r="BW321" s="16">
        <f t="shared" si="250"/>
        <v>7.5588015111767173E-2</v>
      </c>
      <c r="BX321" s="16">
        <f t="shared" si="251"/>
        <v>8.0345659937185704E-2</v>
      </c>
      <c r="BY321" s="16">
        <f t="shared" si="252"/>
        <v>5.9014643151272549E-2</v>
      </c>
      <c r="CA321" s="16" t="str">
        <f t="shared" si="229"/>
        <v/>
      </c>
      <c r="CB321" s="16" t="str">
        <f t="shared" si="210"/>
        <v/>
      </c>
      <c r="CC321" s="16" t="str">
        <f t="shared" si="211"/>
        <v/>
      </c>
      <c r="CD321" s="16" t="str">
        <f t="shared" si="212"/>
        <v/>
      </c>
      <c r="CE321" s="16" t="str">
        <f t="shared" si="213"/>
        <v/>
      </c>
      <c r="CF321" s="16" t="str">
        <f t="shared" si="214"/>
        <v/>
      </c>
      <c r="CG321" s="16" t="str">
        <f t="shared" si="215"/>
        <v/>
      </c>
      <c r="CH321" s="16" t="str">
        <f t="shared" si="216"/>
        <v/>
      </c>
      <c r="CI321" s="16" t="str">
        <f t="shared" si="217"/>
        <v/>
      </c>
      <c r="CJ321" s="16" t="str">
        <f t="shared" si="218"/>
        <v/>
      </c>
      <c r="CK321" s="16" t="str">
        <f t="shared" si="219"/>
        <v/>
      </c>
      <c r="CL321" s="16" t="str">
        <f t="shared" si="220"/>
        <v/>
      </c>
      <c r="CM321" s="16" t="str">
        <f t="shared" si="221"/>
        <v/>
      </c>
      <c r="CN321" s="16" t="str">
        <f t="shared" si="222"/>
        <v/>
      </c>
      <c r="CO321" s="16" t="str">
        <f t="shared" si="223"/>
        <v/>
      </c>
      <c r="CP321" s="16" t="str">
        <f t="shared" si="224"/>
        <v/>
      </c>
      <c r="CQ321" s="16" t="str">
        <f t="shared" si="225"/>
        <v/>
      </c>
      <c r="CR321" s="16" t="str">
        <f t="shared" si="226"/>
        <v/>
      </c>
      <c r="CS321" s="16" t="str">
        <f t="shared" si="227"/>
        <v/>
      </c>
      <c r="CT321" s="16" t="str">
        <f t="shared" si="228"/>
        <v/>
      </c>
    </row>
    <row r="322" spans="1:99" x14ac:dyDescent="0.25">
      <c r="A322" s="13"/>
      <c r="B322" s="14"/>
      <c r="C322" s="15" t="str" cm="1">
        <f t="array" ref="C322">IF(B322="","",INDEX('Exercise list'!$C$5:$C$102,B322))</f>
        <v/>
      </c>
      <c r="D322" s="12" t="str">
        <f t="shared" si="230"/>
        <v/>
      </c>
      <c r="E322" s="107" t="str">
        <f t="shared" si="253"/>
        <v/>
      </c>
      <c r="F322" s="63" t="str" cm="1">
        <f t="array" ref="F322">IF(B322="","",0.1+IFERROR(INDEX($F$6:$F321,SUMPRODUCT(MAX(ROW($C$6:$C321)*($C322=$C$6:$C321))-ROW($A$5)))*0.9^($A322-INDEX($A$6:A321,SUMPRODUCT(MAX(ROW($C$6:$C321)*($C322=$C$6:$C321))-ROW($A$5)))),0))</f>
        <v/>
      </c>
      <c r="G322" s="64" t="e">
        <f>INDEX('Exercise list'!$Y$5:$Y$102,MATCH(C322,'Exercise list'!$C$5:$C$102,0))</f>
        <v>#N/A</v>
      </c>
      <c r="H322" s="115">
        <f t="shared" si="231"/>
        <v>0</v>
      </c>
      <c r="I322" s="6">
        <f t="shared" si="232"/>
        <v>5</v>
      </c>
      <c r="J322" s="6" t="str" cm="1">
        <f t="array" ref="J322">IF(B322="","",INDEX('Exercise list'!$D$5:$D$102,B322))</f>
        <v/>
      </c>
      <c r="K322" s="12"/>
      <c r="L322" s="74" t="str" cm="1">
        <f t="array" ref="L322">IF(K322="","",INDEX('Exercise list'!$C$5:$C$102,K322))</f>
        <v/>
      </c>
      <c r="M322" s="6"/>
      <c r="N322" s="75" t="str" cm="1">
        <f t="array" ref="N322">IF(M322="","",INDEX('Exercise list'!$C$5:$C$102,M322))</f>
        <v/>
      </c>
      <c r="P322">
        <f>IFERROR(INDEX('Exercise list'!$E$5:$X$102,MATCH($C322,'Exercise list'!$C$5:$C$102,0),MATCH(P$5,'Exercise list'!$E$4:$X$4,0)),0)</f>
        <v>0</v>
      </c>
      <c r="Q322">
        <f>IFERROR(INDEX('Exercise list'!$E$5:$X$102,MATCH($C322,'Exercise list'!$C$5:$C$102,0),MATCH(Q$5,'Exercise list'!$E$4:$X$4,0)),0)</f>
        <v>0</v>
      </c>
      <c r="R322">
        <f>IFERROR(INDEX('Exercise list'!$E$5:$X$102,MATCH($C322,'Exercise list'!$C$5:$C$102,0),MATCH(R$5,'Exercise list'!$E$4:$X$4,0)),0)</f>
        <v>0</v>
      </c>
      <c r="S322">
        <f>IFERROR(INDEX('Exercise list'!$E$5:$X$102,MATCH($C322,'Exercise list'!$C$5:$C$102,0),MATCH(S$5,'Exercise list'!$E$4:$X$4,0)),0)</f>
        <v>0</v>
      </c>
      <c r="T322">
        <f>IFERROR(INDEX('Exercise list'!$E$5:$X$102,MATCH($C322,'Exercise list'!$C$5:$C$102,0),MATCH(T$5,'Exercise list'!$E$4:$X$4,0)),0)</f>
        <v>0</v>
      </c>
      <c r="U322">
        <f>IFERROR(INDEX('Exercise list'!$E$5:$X$102,MATCH($C322,'Exercise list'!$C$5:$C$102,0),MATCH(U$5,'Exercise list'!$E$4:$X$4,0)),0)</f>
        <v>0</v>
      </c>
      <c r="V322">
        <f>IFERROR(INDEX('Exercise list'!$E$5:$X$102,MATCH($C322,'Exercise list'!$C$5:$C$102,0),MATCH(V$5,'Exercise list'!$E$4:$X$4,0)),0)</f>
        <v>0</v>
      </c>
      <c r="W322">
        <f>IFERROR(INDEX('Exercise list'!$E$5:$X$102,MATCH($C322,'Exercise list'!$C$5:$C$102,0),MATCH(W$5,'Exercise list'!$E$4:$X$4,0)),0)</f>
        <v>0</v>
      </c>
      <c r="X322">
        <f>IFERROR(INDEX('Exercise list'!$E$5:$X$102,MATCH($C322,'Exercise list'!$C$5:$C$102,0),MATCH(X$5,'Exercise list'!$E$4:$X$4,0)),0)</f>
        <v>0</v>
      </c>
      <c r="Y322">
        <f>IFERROR(INDEX('Exercise list'!$E$5:$X$102,MATCH($C322,'Exercise list'!$C$5:$C$102,0),MATCH(Y$5,'Exercise list'!$E$4:$X$4,0)),0)</f>
        <v>0</v>
      </c>
      <c r="Z322">
        <f>IFERROR(INDEX('Exercise list'!$E$5:$X$102,MATCH($C322,'Exercise list'!$C$5:$C$102,0),MATCH(Z$5,'Exercise list'!$E$4:$X$4,0)),0)</f>
        <v>0</v>
      </c>
      <c r="AA322">
        <f>IFERROR(INDEX('Exercise list'!$E$5:$X$102,MATCH($C322,'Exercise list'!$C$5:$C$102,0),MATCH(AA$5,'Exercise list'!$E$4:$X$4,0)),0)</f>
        <v>0</v>
      </c>
      <c r="AB322">
        <f>IFERROR(INDEX('Exercise list'!$E$5:$X$102,MATCH($C322,'Exercise list'!$C$5:$C$102,0),MATCH(AB$5,'Exercise list'!$E$4:$X$4,0)),0)</f>
        <v>0</v>
      </c>
      <c r="AC322">
        <f>IFERROR(INDEX('Exercise list'!$E$5:$X$102,MATCH($C322,'Exercise list'!$C$5:$C$102,0),MATCH(AC$5,'Exercise list'!$E$4:$X$4,0)),0)</f>
        <v>0</v>
      </c>
      <c r="AD322">
        <f>IFERROR(INDEX('Exercise list'!$E$5:$X$102,MATCH($C322,'Exercise list'!$C$5:$C$102,0),MATCH(AD$5,'Exercise list'!$E$4:$X$4,0)),0)</f>
        <v>0</v>
      </c>
      <c r="AE322">
        <f>IFERROR(INDEX('Exercise list'!$E$5:$X$102,MATCH($C322,'Exercise list'!$C$5:$C$102,0),MATCH(AE$5,'Exercise list'!$E$4:$X$4,0)),0)</f>
        <v>0</v>
      </c>
      <c r="AF322">
        <f>IFERROR(INDEX('Exercise list'!$E$5:$X$102,MATCH($C322,'Exercise list'!$C$5:$C$102,0),MATCH(AF$5,'Exercise list'!$E$4:$X$4,0)),0)</f>
        <v>0</v>
      </c>
      <c r="AG322">
        <f>IFERROR(INDEX('Exercise list'!$E$5:$X$102,MATCH($C322,'Exercise list'!$C$5:$C$102,0),MATCH(AG$5,'Exercise list'!$E$4:$X$4,0)),0)</f>
        <v>0</v>
      </c>
      <c r="AH322">
        <f>IFERROR(INDEX('Exercise list'!$E$5:$X$102,MATCH($C322,'Exercise list'!$C$5:$C$102,0),MATCH(AH$5,'Exercise list'!$E$4:$X$4,0)),0)</f>
        <v>0</v>
      </c>
      <c r="AI322">
        <f>IFERROR(INDEX('Exercise list'!$E$5:$X$102,MATCH($C322,'Exercise list'!$C$5:$C$102,0),MATCH(AI$5,'Exercise list'!$E$4:$X$4,0)),0)</f>
        <v>0</v>
      </c>
      <c r="AK322">
        <f>IF(OR($J322=1,COUNTIFS($A$5:$A321,"&gt;="&amp;$A322-1,$A$5:$A321,"&lt;="&amp;$A322,$B$5:$B321,$B322)&gt;0,MIN(1-'Exercise list'!E$2,IF($A322=$A321,AK321,1))-P322&lt;0),-1,MIN(1,IF($A322=$A321,AK321,1)-P322+$D$2))</f>
        <v>1</v>
      </c>
      <c r="AL322">
        <f>IF(OR($J322=1,COUNTIFS($A$5:$A321,"&gt;="&amp;$A322-1,$A$5:$A321,"&lt;="&amp;$A322,$B$5:$B321,$B322)&gt;0,MIN(1-'Exercise list'!F$2,IF($A322=$A321,AL321,1))-Q322&lt;0),-1,MIN(1,IF($A322=$A321,AL321,1)-Q322+$D$2))</f>
        <v>1</v>
      </c>
      <c r="AM322">
        <f>IF(OR($J322=1,COUNTIFS($A$5:$A321,"&gt;="&amp;$A322-1,$A$5:$A321,"&lt;="&amp;$A322,$B$5:$B321,$B322)&gt;0,MIN(1-'Exercise list'!G$2,IF($A322=$A321,AM321,1))-R322&lt;0),-1,MIN(1,IF($A322=$A321,AM321,1)-R322+$D$2))</f>
        <v>1</v>
      </c>
      <c r="AN322">
        <f>IF(OR($J322=1,COUNTIFS($A$5:$A321,"&gt;="&amp;$A322-1,$A$5:$A321,"&lt;="&amp;$A322,$B$5:$B321,$B322)&gt;0,MIN(1-'Exercise list'!H$2,IF($A322=$A321,AN321,1))-S322&lt;0),-1,MIN(1,IF($A322=$A321,AN321,1)-S322+$D$2))</f>
        <v>1</v>
      </c>
      <c r="AO322">
        <f>IF(OR($J322=1,COUNTIFS($A$5:$A321,"&gt;="&amp;$A322-1,$A$5:$A321,"&lt;="&amp;$A322,$B$5:$B321,$B322)&gt;0,MIN(1-'Exercise list'!I$2,IF($A322=$A321,AO321,1))-T322&lt;0),-1,MIN(1,IF($A322=$A321,AO321,1)-T322+$D$2))</f>
        <v>1</v>
      </c>
      <c r="AP322">
        <f>IF(OR($J322=1,COUNTIFS($A$5:$A321,"&gt;="&amp;$A322-1,$A$5:$A321,"&lt;="&amp;$A322,$B$5:$B321,$B322)&gt;0,MIN(1-'Exercise list'!J$2,IF($A322=$A321,AP321,1))-U322&lt;0),-1,MIN(1,IF($A322=$A321,AP321,1)-U322+$D$2))</f>
        <v>1</v>
      </c>
      <c r="AQ322">
        <f>IF(OR($J322=1,COUNTIFS($A$5:$A321,"&gt;="&amp;$A322-1,$A$5:$A321,"&lt;="&amp;$A322,$B$5:$B321,$B322)&gt;0,MIN(1-'Exercise list'!K$2,IF($A322=$A321,AQ321,1))-V322&lt;0),-1,MIN(1,IF($A322=$A321,AQ321,1)-V322+$D$2))</f>
        <v>1</v>
      </c>
      <c r="AR322">
        <f>IF(OR($J322=1,COUNTIFS($A$5:$A321,"&gt;="&amp;$A322-1,$A$5:$A321,"&lt;="&amp;$A322,$B$5:$B321,$B322)&gt;0,MIN(1-'Exercise list'!L$2,IF($A322=$A321,AR321,1))-W322&lt;0),-1,MIN(1,IF($A322=$A321,AR321,1)-W322+$D$2))</f>
        <v>1</v>
      </c>
      <c r="AS322">
        <f>IF(OR($J322=1,COUNTIFS($A$5:$A321,"&gt;="&amp;$A322-1,$A$5:$A321,"&lt;="&amp;$A322,$B$5:$B321,$B322)&gt;0,MIN(1-'Exercise list'!M$2,IF($A322=$A321,AS321,1))-X322&lt;0),-1,MIN(1,IF($A322=$A321,AS321,1)-X322+$D$2))</f>
        <v>1</v>
      </c>
      <c r="AT322">
        <f>IF(OR($J322=1,COUNTIFS($A$5:$A321,"&gt;="&amp;$A322-1,$A$5:$A321,"&lt;="&amp;$A322,$B$5:$B321,$B322)&gt;0,MIN(1-'Exercise list'!N$2,IF($A322=$A321,AT321,1))-Y322&lt;0),-1,MIN(1,IF($A322=$A321,AT321,1)-Y322+$D$2))</f>
        <v>1</v>
      </c>
      <c r="AU322">
        <f>IF(OR($J322=1,COUNTIFS($A$5:$A321,"&gt;="&amp;$A322-1,$A$5:$A321,"&lt;="&amp;$A322,$B$5:$B321,$B322)&gt;0,MIN(1-'Exercise list'!O$2,IF($A322=$A321,AU321,1))-Z322&lt;0),-1,MIN(1,IF($A322=$A321,AU321,1)-Z322+$D$2))</f>
        <v>1</v>
      </c>
      <c r="AV322">
        <f>IF(OR($J322=1,COUNTIFS($A$5:$A321,"&gt;="&amp;$A322-1,$A$5:$A321,"&lt;="&amp;$A322,$B$5:$B321,$B322)&gt;0,MIN(1-'Exercise list'!P$2,IF($A322=$A321,AV321,1))-AA322&lt;0),-1,MIN(1,IF($A322=$A321,AV321,1)-AA322+$D$2))</f>
        <v>1</v>
      </c>
      <c r="AW322">
        <f>IF(OR($J322=1,COUNTIFS($A$5:$A321,"&gt;="&amp;$A322-1,$A$5:$A321,"&lt;="&amp;$A322,$B$5:$B321,$B322)&gt;0,MIN(1-'Exercise list'!Q$2,IF($A322=$A321,AW321,1))-AB322&lt;0),-1,MIN(1,IF($A322=$A321,AW321,1)-AB322+$D$2))</f>
        <v>1</v>
      </c>
      <c r="AX322">
        <f>IF(OR($J322=1,COUNTIFS($A$5:$A321,"&gt;="&amp;$A322-1,$A$5:$A321,"&lt;="&amp;$A322,$B$5:$B321,$B322)&gt;0,MIN(1-'Exercise list'!R$2,IF($A322=$A321,AX321,1))-AC322&lt;0),-1,MIN(1,IF($A322=$A321,AX321,1)-AC322+$D$2))</f>
        <v>1</v>
      </c>
      <c r="AY322">
        <f>IF(OR($J322=1,COUNTIFS($A$5:$A321,"&gt;="&amp;$A322-1,$A$5:$A321,"&lt;="&amp;$A322,$B$5:$B321,$B322)&gt;0,MIN(1-'Exercise list'!S$2,IF($A322=$A321,AY321,1))-AD322&lt;0),-1,MIN(1,IF($A322=$A321,AY321,1)-AD322+$D$2))</f>
        <v>1</v>
      </c>
      <c r="AZ322">
        <f>IF(OR($J322=1,COUNTIFS($A$5:$A321,"&gt;="&amp;$A322-1,$A$5:$A321,"&lt;="&amp;$A322,$B$5:$B321,$B322)&gt;0,MIN(1-'Exercise list'!T$2,IF($A322=$A321,AZ321,1))-AE322&lt;0),-1,MIN(1,IF($A322=$A321,AZ321,1)-AE322+$D$2))</f>
        <v>1</v>
      </c>
      <c r="BA322">
        <f>IF(OR($J322=1,COUNTIFS($A$5:$A321,"&gt;="&amp;$A322-1,$A$5:$A321,"&lt;="&amp;$A322,$B$5:$B321,$B322)&gt;0,MIN(1-'Exercise list'!U$2,IF($A322=$A321,BA321,1))-AF322&lt;0),-1,MIN(1,IF($A322=$A321,BA321,1)-AF322+$D$2))</f>
        <v>1</v>
      </c>
      <c r="BB322">
        <f>IF(OR($J322=1,COUNTIFS($A$5:$A321,"&gt;="&amp;$A322-1,$A$5:$A321,"&lt;="&amp;$A322,$B$5:$B321,$B322)&gt;0,MIN(1-'Exercise list'!V$2,IF($A322=$A321,BB321,1))-AG322&lt;0),-1,MIN(1,IF($A322=$A321,BB321,1)-AG322+$D$2))</f>
        <v>1</v>
      </c>
      <c r="BC322">
        <f>IF(OR($J322=1,COUNTIFS($A$5:$A321,"&gt;="&amp;$A322-1,$A$5:$A321,"&lt;="&amp;$A322,$B$5:$B321,$B322)&gt;0,MIN(1-'Exercise list'!W$2,IF($A322=$A321,BC321,1))-AH322&lt;0),-1,MIN(1,IF($A322=$A321,BC321,1)-AH322+$D$2))</f>
        <v>1</v>
      </c>
      <c r="BD322">
        <f>IF(OR($J322=1,COUNTIFS($A$5:$A321,"&gt;="&amp;$A322-1,$A$5:$A321,"&lt;="&amp;$A322,$B$5:$B321,$B322)&gt;0,MIN(1-'Exercise list'!X$2,IF($A322=$A321,BD321,1))-AI322&lt;0),-1,MIN(1,IF($A322=$A321,BD321,1)-AI322+$D$2))</f>
        <v>1</v>
      </c>
      <c r="BF322" s="16">
        <f t="shared" si="233"/>
        <v>0.19596031081758858</v>
      </c>
      <c r="BG322" s="16">
        <f t="shared" si="234"/>
        <v>0.21844636935459236</v>
      </c>
      <c r="BH322" s="16">
        <f t="shared" si="235"/>
        <v>0.14609696635987124</v>
      </c>
      <c r="BI322" s="16">
        <f t="shared" si="236"/>
        <v>0.13198015366034541</v>
      </c>
      <c r="BJ322" s="16">
        <f t="shared" si="237"/>
        <v>8.3367914198418713E-2</v>
      </c>
      <c r="BK322" s="16">
        <f t="shared" si="238"/>
        <v>0.10640640223148412</v>
      </c>
      <c r="BL322" s="16">
        <f t="shared" si="239"/>
        <v>0.21963504743569431</v>
      </c>
      <c r="BM322" s="16">
        <f t="shared" si="240"/>
        <v>3.8988008374820568E-3</v>
      </c>
      <c r="BN322" s="16">
        <f t="shared" si="241"/>
        <v>0.14537706087090876</v>
      </c>
      <c r="BO322" s="16">
        <f t="shared" si="242"/>
        <v>0.29209790661993401</v>
      </c>
      <c r="BP322" s="16">
        <f t="shared" si="243"/>
        <v>0.31584545163401867</v>
      </c>
      <c r="BQ322" s="16">
        <f t="shared" si="244"/>
        <v>0.1000007994126096</v>
      </c>
      <c r="BR322" s="16">
        <f t="shared" si="245"/>
        <v>0.13164487759885393</v>
      </c>
      <c r="BS322" s="16">
        <f t="shared" si="246"/>
        <v>2.9803550189863123E-2</v>
      </c>
      <c r="BT322" s="16">
        <f t="shared" si="247"/>
        <v>0.13492040904978705</v>
      </c>
      <c r="BU322" s="16">
        <f t="shared" si="248"/>
        <v>0.11703687414398131</v>
      </c>
      <c r="BV322" s="16">
        <f t="shared" si="249"/>
        <v>0.14633353213781661</v>
      </c>
      <c r="BW322" s="16">
        <f t="shared" si="250"/>
        <v>7.5588015111767173E-2</v>
      </c>
      <c r="BX322" s="16">
        <f t="shared" si="251"/>
        <v>8.0345659937185704E-2</v>
      </c>
      <c r="BY322" s="16">
        <f t="shared" si="252"/>
        <v>5.9014643151272549E-2</v>
      </c>
      <c r="CA322" s="16" t="str">
        <f t="shared" si="229"/>
        <v/>
      </c>
      <c r="CB322" s="16" t="str">
        <f t="shared" si="210"/>
        <v/>
      </c>
      <c r="CC322" s="16" t="str">
        <f t="shared" si="211"/>
        <v/>
      </c>
      <c r="CD322" s="16" t="str">
        <f t="shared" si="212"/>
        <v/>
      </c>
      <c r="CE322" s="16" t="str">
        <f t="shared" si="213"/>
        <v/>
      </c>
      <c r="CF322" s="16" t="str">
        <f t="shared" si="214"/>
        <v/>
      </c>
      <c r="CG322" s="16" t="str">
        <f t="shared" si="215"/>
        <v/>
      </c>
      <c r="CH322" s="16" t="str">
        <f t="shared" si="216"/>
        <v/>
      </c>
      <c r="CI322" s="16" t="str">
        <f t="shared" si="217"/>
        <v/>
      </c>
      <c r="CJ322" s="16" t="str">
        <f t="shared" si="218"/>
        <v/>
      </c>
      <c r="CK322" s="16" t="str">
        <f t="shared" si="219"/>
        <v/>
      </c>
      <c r="CL322" s="16" t="str">
        <f t="shared" si="220"/>
        <v/>
      </c>
      <c r="CM322" s="16" t="str">
        <f t="shared" si="221"/>
        <v/>
      </c>
      <c r="CN322" s="16" t="str">
        <f t="shared" si="222"/>
        <v/>
      </c>
      <c r="CO322" s="16" t="str">
        <f t="shared" si="223"/>
        <v/>
      </c>
      <c r="CP322" s="16" t="str">
        <f t="shared" si="224"/>
        <v/>
      </c>
      <c r="CQ322" s="16" t="str">
        <f t="shared" si="225"/>
        <v/>
      </c>
      <c r="CR322" s="16" t="str">
        <f t="shared" si="226"/>
        <v/>
      </c>
      <c r="CS322" s="16" t="str">
        <f t="shared" si="227"/>
        <v/>
      </c>
      <c r="CT322" s="16" t="str">
        <f t="shared" si="228"/>
        <v/>
      </c>
    </row>
    <row r="323" spans="1:99" x14ac:dyDescent="0.25">
      <c r="A323" s="20"/>
      <c r="B323" s="21"/>
      <c r="C323" s="22" t="str" cm="1">
        <f t="array" ref="C323">IF(B323="","",INDEX('Exercise list'!$C$5:$C$102,B323))</f>
        <v/>
      </c>
      <c r="D323" s="17" t="str">
        <f t="shared" si="230"/>
        <v/>
      </c>
      <c r="E323" s="108" t="str">
        <f t="shared" si="253"/>
        <v/>
      </c>
      <c r="F323" s="65" t="str" cm="1">
        <f t="array" ref="F323">IF(B323="","",0.1+IFERROR(INDEX($F$6:$F322,SUMPRODUCT(MAX(ROW($C$6:$C322)*($C323=$C$6:$C322))-ROW($A$5)))*0.9^($A323-INDEX($A$6:A322,SUMPRODUCT(MAX(ROW($C$6:$C322)*($C323=$C$6:$C322))-ROW($A$5)))),0))</f>
        <v/>
      </c>
      <c r="G323" s="25" t="e">
        <f>INDEX('Exercise list'!$Y$5:$Y$102,MATCH(C323,'Exercise list'!$C$5:$C$102,0))</f>
        <v>#N/A</v>
      </c>
      <c r="H323" s="116">
        <f t="shared" si="231"/>
        <v>0</v>
      </c>
      <c r="I323" s="18">
        <f t="shared" si="232"/>
        <v>5</v>
      </c>
      <c r="J323" s="18" t="str" cm="1">
        <f t="array" ref="J323">IF(B323="","",INDEX('Exercise list'!$D$5:$D$102,B323))</f>
        <v/>
      </c>
      <c r="K323" s="17"/>
      <c r="L323" s="51" t="str" cm="1">
        <f t="array" ref="L323">IF(K323="","",INDEX('Exercise list'!$C$5:$C$102,K323))</f>
        <v/>
      </c>
      <c r="M323" s="18"/>
      <c r="N323" s="76" t="str" cm="1">
        <f t="array" ref="N323">IF(M323="","",INDEX('Exercise list'!$C$5:$C$102,M323))</f>
        <v/>
      </c>
      <c r="O323" s="19"/>
      <c r="P323" s="19">
        <f>IFERROR(INDEX('Exercise list'!$E$5:$X$102,MATCH($C323,'Exercise list'!$C$5:$C$102,0),MATCH(P$5,'Exercise list'!$E$4:$X$4,0)),0)</f>
        <v>0</v>
      </c>
      <c r="Q323" s="19">
        <f>IFERROR(INDEX('Exercise list'!$E$5:$X$102,MATCH($C323,'Exercise list'!$C$5:$C$102,0),MATCH(Q$5,'Exercise list'!$E$4:$X$4,0)),0)</f>
        <v>0</v>
      </c>
      <c r="R323" s="19">
        <f>IFERROR(INDEX('Exercise list'!$E$5:$X$102,MATCH($C323,'Exercise list'!$C$5:$C$102,0),MATCH(R$5,'Exercise list'!$E$4:$X$4,0)),0)</f>
        <v>0</v>
      </c>
      <c r="S323" s="19">
        <f>IFERROR(INDEX('Exercise list'!$E$5:$X$102,MATCH($C323,'Exercise list'!$C$5:$C$102,0),MATCH(S$5,'Exercise list'!$E$4:$X$4,0)),0)</f>
        <v>0</v>
      </c>
      <c r="T323" s="19">
        <f>IFERROR(INDEX('Exercise list'!$E$5:$X$102,MATCH($C323,'Exercise list'!$C$5:$C$102,0),MATCH(T$5,'Exercise list'!$E$4:$X$4,0)),0)</f>
        <v>0</v>
      </c>
      <c r="U323" s="19">
        <f>IFERROR(INDEX('Exercise list'!$E$5:$X$102,MATCH($C323,'Exercise list'!$C$5:$C$102,0),MATCH(U$5,'Exercise list'!$E$4:$X$4,0)),0)</f>
        <v>0</v>
      </c>
      <c r="V323" s="19">
        <f>IFERROR(INDEX('Exercise list'!$E$5:$X$102,MATCH($C323,'Exercise list'!$C$5:$C$102,0),MATCH(V$5,'Exercise list'!$E$4:$X$4,0)),0)</f>
        <v>0</v>
      </c>
      <c r="W323" s="19">
        <f>IFERROR(INDEX('Exercise list'!$E$5:$X$102,MATCH($C323,'Exercise list'!$C$5:$C$102,0),MATCH(W$5,'Exercise list'!$E$4:$X$4,0)),0)</f>
        <v>0</v>
      </c>
      <c r="X323" s="19">
        <f>IFERROR(INDEX('Exercise list'!$E$5:$X$102,MATCH($C323,'Exercise list'!$C$5:$C$102,0),MATCH(X$5,'Exercise list'!$E$4:$X$4,0)),0)</f>
        <v>0</v>
      </c>
      <c r="Y323" s="19">
        <f>IFERROR(INDEX('Exercise list'!$E$5:$X$102,MATCH($C323,'Exercise list'!$C$5:$C$102,0),MATCH(Y$5,'Exercise list'!$E$4:$X$4,0)),0)</f>
        <v>0</v>
      </c>
      <c r="Z323" s="19">
        <f>IFERROR(INDEX('Exercise list'!$E$5:$X$102,MATCH($C323,'Exercise list'!$C$5:$C$102,0),MATCH(Z$5,'Exercise list'!$E$4:$X$4,0)),0)</f>
        <v>0</v>
      </c>
      <c r="AA323" s="19">
        <f>IFERROR(INDEX('Exercise list'!$E$5:$X$102,MATCH($C323,'Exercise list'!$C$5:$C$102,0),MATCH(AA$5,'Exercise list'!$E$4:$X$4,0)),0)</f>
        <v>0</v>
      </c>
      <c r="AB323" s="19">
        <f>IFERROR(INDEX('Exercise list'!$E$5:$X$102,MATCH($C323,'Exercise list'!$C$5:$C$102,0),MATCH(AB$5,'Exercise list'!$E$4:$X$4,0)),0)</f>
        <v>0</v>
      </c>
      <c r="AC323" s="19">
        <f>IFERROR(INDEX('Exercise list'!$E$5:$X$102,MATCH($C323,'Exercise list'!$C$5:$C$102,0),MATCH(AC$5,'Exercise list'!$E$4:$X$4,0)),0)</f>
        <v>0</v>
      </c>
      <c r="AD323" s="19">
        <f>IFERROR(INDEX('Exercise list'!$E$5:$X$102,MATCH($C323,'Exercise list'!$C$5:$C$102,0),MATCH(AD$5,'Exercise list'!$E$4:$X$4,0)),0)</f>
        <v>0</v>
      </c>
      <c r="AE323" s="19">
        <f>IFERROR(INDEX('Exercise list'!$E$5:$X$102,MATCH($C323,'Exercise list'!$C$5:$C$102,0),MATCH(AE$5,'Exercise list'!$E$4:$X$4,0)),0)</f>
        <v>0</v>
      </c>
      <c r="AF323" s="19">
        <f>IFERROR(INDEX('Exercise list'!$E$5:$X$102,MATCH($C323,'Exercise list'!$C$5:$C$102,0),MATCH(AF$5,'Exercise list'!$E$4:$X$4,0)),0)</f>
        <v>0</v>
      </c>
      <c r="AG323" s="19">
        <f>IFERROR(INDEX('Exercise list'!$E$5:$X$102,MATCH($C323,'Exercise list'!$C$5:$C$102,0),MATCH(AG$5,'Exercise list'!$E$4:$X$4,0)),0)</f>
        <v>0</v>
      </c>
      <c r="AH323" s="19">
        <f>IFERROR(INDEX('Exercise list'!$E$5:$X$102,MATCH($C323,'Exercise list'!$C$5:$C$102,0),MATCH(AH$5,'Exercise list'!$E$4:$X$4,0)),0)</f>
        <v>0</v>
      </c>
      <c r="AI323" s="19">
        <f>IFERROR(INDEX('Exercise list'!$E$5:$X$102,MATCH($C323,'Exercise list'!$C$5:$C$102,0),MATCH(AI$5,'Exercise list'!$E$4:$X$4,0)),0)</f>
        <v>0</v>
      </c>
      <c r="AJ323" s="19"/>
      <c r="AK323" s="19">
        <f>IF(OR($J323=1,COUNTIFS($A$5:$A322,"&gt;="&amp;$A323-1,$A$5:$A322,"&lt;="&amp;$A323,$B$5:$B322,$B323)&gt;0,MIN(1-'Exercise list'!E$2,IF($A323=$A322,AK322,1))-P323&lt;0),-1,MIN(1,IF($A323=$A322,AK322,1)-P323+$D$2))</f>
        <v>1</v>
      </c>
      <c r="AL323" s="19">
        <f>IF(OR($J323=1,COUNTIFS($A$5:$A322,"&gt;="&amp;$A323-1,$A$5:$A322,"&lt;="&amp;$A323,$B$5:$B322,$B323)&gt;0,MIN(1-'Exercise list'!F$2,IF($A323=$A322,AL322,1))-Q323&lt;0),-1,MIN(1,IF($A323=$A322,AL322,1)-Q323+$D$2))</f>
        <v>1</v>
      </c>
      <c r="AM323" s="19">
        <f>IF(OR($J323=1,COUNTIFS($A$5:$A322,"&gt;="&amp;$A323-1,$A$5:$A322,"&lt;="&amp;$A323,$B$5:$B322,$B323)&gt;0,MIN(1-'Exercise list'!G$2,IF($A323=$A322,AM322,1))-R323&lt;0),-1,MIN(1,IF($A323=$A322,AM322,1)-R323+$D$2))</f>
        <v>1</v>
      </c>
      <c r="AN323" s="19">
        <f>IF(OR($J323=1,COUNTIFS($A$5:$A322,"&gt;="&amp;$A323-1,$A$5:$A322,"&lt;="&amp;$A323,$B$5:$B322,$B323)&gt;0,MIN(1-'Exercise list'!H$2,IF($A323=$A322,AN322,1))-S323&lt;0),-1,MIN(1,IF($A323=$A322,AN322,1)-S323+$D$2))</f>
        <v>1</v>
      </c>
      <c r="AO323" s="19">
        <f>IF(OR($J323=1,COUNTIFS($A$5:$A322,"&gt;="&amp;$A323-1,$A$5:$A322,"&lt;="&amp;$A323,$B$5:$B322,$B323)&gt;0,MIN(1-'Exercise list'!I$2,IF($A323=$A322,AO322,1))-T323&lt;0),-1,MIN(1,IF($A323=$A322,AO322,1)-T323+$D$2))</f>
        <v>1</v>
      </c>
      <c r="AP323" s="19">
        <f>IF(OR($J323=1,COUNTIFS($A$5:$A322,"&gt;="&amp;$A323-1,$A$5:$A322,"&lt;="&amp;$A323,$B$5:$B322,$B323)&gt;0,MIN(1-'Exercise list'!J$2,IF($A323=$A322,AP322,1))-U323&lt;0),-1,MIN(1,IF($A323=$A322,AP322,1)-U323+$D$2))</f>
        <v>1</v>
      </c>
      <c r="AQ323" s="19">
        <f>IF(OR($J323=1,COUNTIFS($A$5:$A322,"&gt;="&amp;$A323-1,$A$5:$A322,"&lt;="&amp;$A323,$B$5:$B322,$B323)&gt;0,MIN(1-'Exercise list'!K$2,IF($A323=$A322,AQ322,1))-V323&lt;0),-1,MIN(1,IF($A323=$A322,AQ322,1)-V323+$D$2))</f>
        <v>1</v>
      </c>
      <c r="AR323" s="19">
        <f>IF(OR($J323=1,COUNTIFS($A$5:$A322,"&gt;="&amp;$A323-1,$A$5:$A322,"&lt;="&amp;$A323,$B$5:$B322,$B323)&gt;0,MIN(1-'Exercise list'!L$2,IF($A323=$A322,AR322,1))-W323&lt;0),-1,MIN(1,IF($A323=$A322,AR322,1)-W323+$D$2))</f>
        <v>1</v>
      </c>
      <c r="AS323" s="19">
        <f>IF(OR($J323=1,COUNTIFS($A$5:$A322,"&gt;="&amp;$A323-1,$A$5:$A322,"&lt;="&amp;$A323,$B$5:$B322,$B323)&gt;0,MIN(1-'Exercise list'!M$2,IF($A323=$A322,AS322,1))-X323&lt;0),-1,MIN(1,IF($A323=$A322,AS322,1)-X323+$D$2))</f>
        <v>1</v>
      </c>
      <c r="AT323" s="19">
        <f>IF(OR($J323=1,COUNTIFS($A$5:$A322,"&gt;="&amp;$A323-1,$A$5:$A322,"&lt;="&amp;$A323,$B$5:$B322,$B323)&gt;0,MIN(1-'Exercise list'!N$2,IF($A323=$A322,AT322,1))-Y323&lt;0),-1,MIN(1,IF($A323=$A322,AT322,1)-Y323+$D$2))</f>
        <v>1</v>
      </c>
      <c r="AU323" s="19">
        <f>IF(OR($J323=1,COUNTIFS($A$5:$A322,"&gt;="&amp;$A323-1,$A$5:$A322,"&lt;="&amp;$A323,$B$5:$B322,$B323)&gt;0,MIN(1-'Exercise list'!O$2,IF($A323=$A322,AU322,1))-Z323&lt;0),-1,MIN(1,IF($A323=$A322,AU322,1)-Z323+$D$2))</f>
        <v>1</v>
      </c>
      <c r="AV323" s="19">
        <f>IF(OR($J323=1,COUNTIFS($A$5:$A322,"&gt;="&amp;$A323-1,$A$5:$A322,"&lt;="&amp;$A323,$B$5:$B322,$B323)&gt;0,MIN(1-'Exercise list'!P$2,IF($A323=$A322,AV322,1))-AA323&lt;0),-1,MIN(1,IF($A323=$A322,AV322,1)-AA323+$D$2))</f>
        <v>1</v>
      </c>
      <c r="AW323" s="19">
        <f>IF(OR($J323=1,COUNTIFS($A$5:$A322,"&gt;="&amp;$A323-1,$A$5:$A322,"&lt;="&amp;$A323,$B$5:$B322,$B323)&gt;0,MIN(1-'Exercise list'!Q$2,IF($A323=$A322,AW322,1))-AB323&lt;0),-1,MIN(1,IF($A323=$A322,AW322,1)-AB323+$D$2))</f>
        <v>1</v>
      </c>
      <c r="AX323" s="19">
        <f>IF(OR($J323=1,COUNTIFS($A$5:$A322,"&gt;="&amp;$A323-1,$A$5:$A322,"&lt;="&amp;$A323,$B$5:$B322,$B323)&gt;0,MIN(1-'Exercise list'!R$2,IF($A323=$A322,AX322,1))-AC323&lt;0),-1,MIN(1,IF($A323=$A322,AX322,1)-AC323+$D$2))</f>
        <v>1</v>
      </c>
      <c r="AY323" s="19">
        <f>IF(OR($J323=1,COUNTIFS($A$5:$A322,"&gt;="&amp;$A323-1,$A$5:$A322,"&lt;="&amp;$A323,$B$5:$B322,$B323)&gt;0,MIN(1-'Exercise list'!S$2,IF($A323=$A322,AY322,1))-AD323&lt;0),-1,MIN(1,IF($A323=$A322,AY322,1)-AD323+$D$2))</f>
        <v>1</v>
      </c>
      <c r="AZ323" s="19">
        <f>IF(OR($J323=1,COUNTIFS($A$5:$A322,"&gt;="&amp;$A323-1,$A$5:$A322,"&lt;="&amp;$A323,$B$5:$B322,$B323)&gt;0,MIN(1-'Exercise list'!T$2,IF($A323=$A322,AZ322,1))-AE323&lt;0),-1,MIN(1,IF($A323=$A322,AZ322,1)-AE323+$D$2))</f>
        <v>1</v>
      </c>
      <c r="BA323" s="19">
        <f>IF(OR($J323=1,COUNTIFS($A$5:$A322,"&gt;="&amp;$A323-1,$A$5:$A322,"&lt;="&amp;$A323,$B$5:$B322,$B323)&gt;0,MIN(1-'Exercise list'!U$2,IF($A323=$A322,BA322,1))-AF323&lt;0),-1,MIN(1,IF($A323=$A322,BA322,1)-AF323+$D$2))</f>
        <v>1</v>
      </c>
      <c r="BB323" s="19">
        <f>IF(OR($J323=1,COUNTIFS($A$5:$A322,"&gt;="&amp;$A323-1,$A$5:$A322,"&lt;="&amp;$A323,$B$5:$B322,$B323)&gt;0,MIN(1-'Exercise list'!V$2,IF($A323=$A322,BB322,1))-AG323&lt;0),-1,MIN(1,IF($A323=$A322,BB322,1)-AG323+$D$2))</f>
        <v>1</v>
      </c>
      <c r="BC323" s="19">
        <f>IF(OR($J323=1,COUNTIFS($A$5:$A322,"&gt;="&amp;$A323-1,$A$5:$A322,"&lt;="&amp;$A323,$B$5:$B322,$B323)&gt;0,MIN(1-'Exercise list'!W$2,IF($A323=$A322,BC322,1))-AH323&lt;0),-1,MIN(1,IF($A323=$A322,BC322,1)-AH323+$D$2))</f>
        <v>1</v>
      </c>
      <c r="BD323" s="19">
        <f>IF(OR($J323=1,COUNTIFS($A$5:$A322,"&gt;="&amp;$A323-1,$A$5:$A322,"&lt;="&amp;$A323,$B$5:$B322,$B323)&gt;0,MIN(1-'Exercise list'!X$2,IF($A323=$A322,BD322,1))-AI323&lt;0),-1,MIN(1,IF($A323=$A322,BD322,1)-AI323+$D$2))</f>
        <v>1</v>
      </c>
      <c r="BE323" s="19"/>
      <c r="BF323" s="23">
        <f t="shared" si="233"/>
        <v>0.19596031081758858</v>
      </c>
      <c r="BG323" s="23">
        <f t="shared" si="234"/>
        <v>0.21844636935459236</v>
      </c>
      <c r="BH323" s="23">
        <f t="shared" si="235"/>
        <v>0.14609696635987124</v>
      </c>
      <c r="BI323" s="23">
        <f t="shared" si="236"/>
        <v>0.13198015366034541</v>
      </c>
      <c r="BJ323" s="23">
        <f t="shared" si="237"/>
        <v>8.3367914198418713E-2</v>
      </c>
      <c r="BK323" s="23">
        <f t="shared" si="238"/>
        <v>0.10640640223148412</v>
      </c>
      <c r="BL323" s="23">
        <f t="shared" si="239"/>
        <v>0.21963504743569431</v>
      </c>
      <c r="BM323" s="23">
        <f t="shared" si="240"/>
        <v>3.8988008374820568E-3</v>
      </c>
      <c r="BN323" s="23">
        <f t="shared" si="241"/>
        <v>0.14537706087090876</v>
      </c>
      <c r="BO323" s="23">
        <f t="shared" si="242"/>
        <v>0.29209790661993401</v>
      </c>
      <c r="BP323" s="23">
        <f t="shared" si="243"/>
        <v>0.31584545163401867</v>
      </c>
      <c r="BQ323" s="23">
        <f t="shared" si="244"/>
        <v>0.1000007994126096</v>
      </c>
      <c r="BR323" s="23">
        <f t="shared" si="245"/>
        <v>0.13164487759885393</v>
      </c>
      <c r="BS323" s="23">
        <f t="shared" si="246"/>
        <v>2.9803550189863123E-2</v>
      </c>
      <c r="BT323" s="23">
        <f t="shared" si="247"/>
        <v>0.13492040904978705</v>
      </c>
      <c r="BU323" s="23">
        <f t="shared" si="248"/>
        <v>0.11703687414398131</v>
      </c>
      <c r="BV323" s="23">
        <f t="shared" si="249"/>
        <v>0.14633353213781661</v>
      </c>
      <c r="BW323" s="23">
        <f t="shared" si="250"/>
        <v>7.5588015111767173E-2</v>
      </c>
      <c r="BX323" s="23">
        <f t="shared" si="251"/>
        <v>8.0345659937185704E-2</v>
      </c>
      <c r="BY323" s="23">
        <f t="shared" si="252"/>
        <v>5.9014643151272549E-2</v>
      </c>
      <c r="BZ323" s="19"/>
      <c r="CA323" s="23" t="str">
        <f t="shared" si="229"/>
        <v/>
      </c>
      <c r="CB323" s="23" t="str">
        <f t="shared" si="210"/>
        <v/>
      </c>
      <c r="CC323" s="23" t="str">
        <f t="shared" si="211"/>
        <v/>
      </c>
      <c r="CD323" s="23" t="str">
        <f t="shared" si="212"/>
        <v/>
      </c>
      <c r="CE323" s="23" t="str">
        <f t="shared" si="213"/>
        <v/>
      </c>
      <c r="CF323" s="23" t="str">
        <f t="shared" si="214"/>
        <v/>
      </c>
      <c r="CG323" s="23" t="str">
        <f t="shared" si="215"/>
        <v/>
      </c>
      <c r="CH323" s="23" t="str">
        <f t="shared" si="216"/>
        <v/>
      </c>
      <c r="CI323" s="23" t="str">
        <f t="shared" si="217"/>
        <v/>
      </c>
      <c r="CJ323" s="23" t="str">
        <f t="shared" si="218"/>
        <v/>
      </c>
      <c r="CK323" s="23" t="str">
        <f t="shared" si="219"/>
        <v/>
      </c>
      <c r="CL323" s="23" t="str">
        <f t="shared" si="220"/>
        <v/>
      </c>
      <c r="CM323" s="23" t="str">
        <f t="shared" si="221"/>
        <v/>
      </c>
      <c r="CN323" s="23" t="str">
        <f t="shared" si="222"/>
        <v/>
      </c>
      <c r="CO323" s="23" t="str">
        <f t="shared" si="223"/>
        <v/>
      </c>
      <c r="CP323" s="23" t="str">
        <f t="shared" si="224"/>
        <v/>
      </c>
      <c r="CQ323" s="23" t="str">
        <f t="shared" si="225"/>
        <v/>
      </c>
      <c r="CR323" s="23" t="str">
        <f t="shared" si="226"/>
        <v/>
      </c>
      <c r="CS323" s="23" t="str">
        <f t="shared" si="227"/>
        <v/>
      </c>
      <c r="CT323" s="23" t="str">
        <f t="shared" si="228"/>
        <v/>
      </c>
      <c r="CU323" s="19"/>
    </row>
    <row r="324" spans="1:99" x14ac:dyDescent="0.25">
      <c r="A324" s="13"/>
      <c r="B324" s="14"/>
      <c r="C324" s="15" t="str" cm="1">
        <f t="array" ref="C324">IF(B324="","",INDEX('Exercise list'!$C$5:$C$102,B324))</f>
        <v/>
      </c>
      <c r="D324" s="12" t="str">
        <f t="shared" si="230"/>
        <v/>
      </c>
      <c r="E324" s="107" t="str">
        <f t="shared" si="253"/>
        <v/>
      </c>
      <c r="F324" s="63" t="str" cm="1">
        <f t="array" ref="F324">IF(B324="","",0.1+IFERROR(INDEX($F$6:$F323,SUMPRODUCT(MAX(ROW($C$6:$C323)*($C324=$C$6:$C323))-ROW($A$5)))*0.9^($A324-INDEX($A$6:A323,SUMPRODUCT(MAX(ROW($C$6:$C323)*($C324=$C$6:$C323))-ROW($A$5)))),0))</f>
        <v/>
      </c>
      <c r="G324" s="64" t="e">
        <f>INDEX('Exercise list'!$Y$5:$Y$102,MATCH(C324,'Exercise list'!$C$5:$C$102,0))</f>
        <v>#N/A</v>
      </c>
      <c r="H324" s="115">
        <f t="shared" si="231"/>
        <v>0</v>
      </c>
      <c r="I324" s="42">
        <f t="shared" si="232"/>
        <v>5</v>
      </c>
      <c r="J324" s="6" t="str" cm="1">
        <f t="array" ref="J324">IF(B324="","",INDEX('Exercise list'!$D$5:$D$102,B324))</f>
        <v/>
      </c>
      <c r="K324" s="12"/>
      <c r="L324" s="74" t="str" cm="1">
        <f t="array" ref="L324">IF(K324="","",INDEX('Exercise list'!$C$5:$C$102,K324))</f>
        <v/>
      </c>
      <c r="M324" s="6"/>
      <c r="N324" s="75" t="str" cm="1">
        <f t="array" ref="N324">IF(M324="","",INDEX('Exercise list'!$C$5:$C$102,M324))</f>
        <v/>
      </c>
      <c r="P324">
        <f>IFERROR(INDEX('Exercise list'!$E$5:$X$102,MATCH($C324,'Exercise list'!$C$5:$C$102,0),MATCH(P$5,'Exercise list'!$E$4:$X$4,0)),0)</f>
        <v>0</v>
      </c>
      <c r="Q324">
        <f>IFERROR(INDEX('Exercise list'!$E$5:$X$102,MATCH($C324,'Exercise list'!$C$5:$C$102,0),MATCH(Q$5,'Exercise list'!$E$4:$X$4,0)),0)</f>
        <v>0</v>
      </c>
      <c r="R324">
        <f>IFERROR(INDEX('Exercise list'!$E$5:$X$102,MATCH($C324,'Exercise list'!$C$5:$C$102,0),MATCH(R$5,'Exercise list'!$E$4:$X$4,0)),0)</f>
        <v>0</v>
      </c>
      <c r="S324">
        <f>IFERROR(INDEX('Exercise list'!$E$5:$X$102,MATCH($C324,'Exercise list'!$C$5:$C$102,0),MATCH(S$5,'Exercise list'!$E$4:$X$4,0)),0)</f>
        <v>0</v>
      </c>
      <c r="T324">
        <f>IFERROR(INDEX('Exercise list'!$E$5:$X$102,MATCH($C324,'Exercise list'!$C$5:$C$102,0),MATCH(T$5,'Exercise list'!$E$4:$X$4,0)),0)</f>
        <v>0</v>
      </c>
      <c r="U324">
        <f>IFERROR(INDEX('Exercise list'!$E$5:$X$102,MATCH($C324,'Exercise list'!$C$5:$C$102,0),MATCH(U$5,'Exercise list'!$E$4:$X$4,0)),0)</f>
        <v>0</v>
      </c>
      <c r="V324">
        <f>IFERROR(INDEX('Exercise list'!$E$5:$X$102,MATCH($C324,'Exercise list'!$C$5:$C$102,0),MATCH(V$5,'Exercise list'!$E$4:$X$4,0)),0)</f>
        <v>0</v>
      </c>
      <c r="W324">
        <f>IFERROR(INDEX('Exercise list'!$E$5:$X$102,MATCH($C324,'Exercise list'!$C$5:$C$102,0),MATCH(W$5,'Exercise list'!$E$4:$X$4,0)),0)</f>
        <v>0</v>
      </c>
      <c r="X324">
        <f>IFERROR(INDEX('Exercise list'!$E$5:$X$102,MATCH($C324,'Exercise list'!$C$5:$C$102,0),MATCH(X$5,'Exercise list'!$E$4:$X$4,0)),0)</f>
        <v>0</v>
      </c>
      <c r="Y324">
        <f>IFERROR(INDEX('Exercise list'!$E$5:$X$102,MATCH($C324,'Exercise list'!$C$5:$C$102,0),MATCH(Y$5,'Exercise list'!$E$4:$X$4,0)),0)</f>
        <v>0</v>
      </c>
      <c r="Z324">
        <f>IFERROR(INDEX('Exercise list'!$E$5:$X$102,MATCH($C324,'Exercise list'!$C$5:$C$102,0),MATCH(Z$5,'Exercise list'!$E$4:$X$4,0)),0)</f>
        <v>0</v>
      </c>
      <c r="AA324">
        <f>IFERROR(INDEX('Exercise list'!$E$5:$X$102,MATCH($C324,'Exercise list'!$C$5:$C$102,0),MATCH(AA$5,'Exercise list'!$E$4:$X$4,0)),0)</f>
        <v>0</v>
      </c>
      <c r="AB324">
        <f>IFERROR(INDEX('Exercise list'!$E$5:$X$102,MATCH($C324,'Exercise list'!$C$5:$C$102,0),MATCH(AB$5,'Exercise list'!$E$4:$X$4,0)),0)</f>
        <v>0</v>
      </c>
      <c r="AC324">
        <f>IFERROR(INDEX('Exercise list'!$E$5:$X$102,MATCH($C324,'Exercise list'!$C$5:$C$102,0),MATCH(AC$5,'Exercise list'!$E$4:$X$4,0)),0)</f>
        <v>0</v>
      </c>
      <c r="AD324">
        <f>IFERROR(INDEX('Exercise list'!$E$5:$X$102,MATCH($C324,'Exercise list'!$C$5:$C$102,0),MATCH(AD$5,'Exercise list'!$E$4:$X$4,0)),0)</f>
        <v>0</v>
      </c>
      <c r="AE324">
        <f>IFERROR(INDEX('Exercise list'!$E$5:$X$102,MATCH($C324,'Exercise list'!$C$5:$C$102,0),MATCH(AE$5,'Exercise list'!$E$4:$X$4,0)),0)</f>
        <v>0</v>
      </c>
      <c r="AF324">
        <f>IFERROR(INDEX('Exercise list'!$E$5:$X$102,MATCH($C324,'Exercise list'!$C$5:$C$102,0),MATCH(AF$5,'Exercise list'!$E$4:$X$4,0)),0)</f>
        <v>0</v>
      </c>
      <c r="AG324">
        <f>IFERROR(INDEX('Exercise list'!$E$5:$X$102,MATCH($C324,'Exercise list'!$C$5:$C$102,0),MATCH(AG$5,'Exercise list'!$E$4:$X$4,0)),0)</f>
        <v>0</v>
      </c>
      <c r="AH324">
        <f>IFERROR(INDEX('Exercise list'!$E$5:$X$102,MATCH($C324,'Exercise list'!$C$5:$C$102,0),MATCH(AH$5,'Exercise list'!$E$4:$X$4,0)),0)</f>
        <v>0</v>
      </c>
      <c r="AI324">
        <f>IFERROR(INDEX('Exercise list'!$E$5:$X$102,MATCH($C324,'Exercise list'!$C$5:$C$102,0),MATCH(AI$5,'Exercise list'!$E$4:$X$4,0)),0)</f>
        <v>0</v>
      </c>
      <c r="AK324">
        <f>IF(OR($J324=1,COUNTIFS($A$5:$A323,"&gt;="&amp;$A324-1,$A$5:$A323,"&lt;="&amp;$A324,$B$5:$B323,$B324)&gt;0,MIN(1-'Exercise list'!E$2,IF($A324=$A323,AK323,1))-P324&lt;0),-1,MIN(1,IF($A324=$A323,AK323,1)-P324+$D$2))</f>
        <v>1</v>
      </c>
      <c r="AL324">
        <f>IF(OR($J324=1,COUNTIFS($A$5:$A323,"&gt;="&amp;$A324-1,$A$5:$A323,"&lt;="&amp;$A324,$B$5:$B323,$B324)&gt;0,MIN(1-'Exercise list'!F$2,IF($A324=$A323,AL323,1))-Q324&lt;0),-1,MIN(1,IF($A324=$A323,AL323,1)-Q324+$D$2))</f>
        <v>1</v>
      </c>
      <c r="AM324">
        <f>IF(OR($J324=1,COUNTIFS($A$5:$A323,"&gt;="&amp;$A324-1,$A$5:$A323,"&lt;="&amp;$A324,$B$5:$B323,$B324)&gt;0,MIN(1-'Exercise list'!G$2,IF($A324=$A323,AM323,1))-R324&lt;0),-1,MIN(1,IF($A324=$A323,AM323,1)-R324+$D$2))</f>
        <v>1</v>
      </c>
      <c r="AN324">
        <f>IF(OR($J324=1,COUNTIFS($A$5:$A323,"&gt;="&amp;$A324-1,$A$5:$A323,"&lt;="&amp;$A324,$B$5:$B323,$B324)&gt;0,MIN(1-'Exercise list'!H$2,IF($A324=$A323,AN323,1))-S324&lt;0),-1,MIN(1,IF($A324=$A323,AN323,1)-S324+$D$2))</f>
        <v>1</v>
      </c>
      <c r="AO324">
        <f>IF(OR($J324=1,COUNTIFS($A$5:$A323,"&gt;="&amp;$A324-1,$A$5:$A323,"&lt;="&amp;$A324,$B$5:$B323,$B324)&gt;0,MIN(1-'Exercise list'!I$2,IF($A324=$A323,AO323,1))-T324&lt;0),-1,MIN(1,IF($A324=$A323,AO323,1)-T324+$D$2))</f>
        <v>1</v>
      </c>
      <c r="AP324">
        <f>IF(OR($J324=1,COUNTIFS($A$5:$A323,"&gt;="&amp;$A324-1,$A$5:$A323,"&lt;="&amp;$A324,$B$5:$B323,$B324)&gt;0,MIN(1-'Exercise list'!J$2,IF($A324=$A323,AP323,1))-U324&lt;0),-1,MIN(1,IF($A324=$A323,AP323,1)-U324+$D$2))</f>
        <v>1</v>
      </c>
      <c r="AQ324">
        <f>IF(OR($J324=1,COUNTIFS($A$5:$A323,"&gt;="&amp;$A324-1,$A$5:$A323,"&lt;="&amp;$A324,$B$5:$B323,$B324)&gt;0,MIN(1-'Exercise list'!K$2,IF($A324=$A323,AQ323,1))-V324&lt;0),-1,MIN(1,IF($A324=$A323,AQ323,1)-V324+$D$2))</f>
        <v>1</v>
      </c>
      <c r="AR324">
        <f>IF(OR($J324=1,COUNTIFS($A$5:$A323,"&gt;="&amp;$A324-1,$A$5:$A323,"&lt;="&amp;$A324,$B$5:$B323,$B324)&gt;0,MIN(1-'Exercise list'!L$2,IF($A324=$A323,AR323,1))-W324&lt;0),-1,MIN(1,IF($A324=$A323,AR323,1)-W324+$D$2))</f>
        <v>1</v>
      </c>
      <c r="AS324">
        <f>IF(OR($J324=1,COUNTIFS($A$5:$A323,"&gt;="&amp;$A324-1,$A$5:$A323,"&lt;="&amp;$A324,$B$5:$B323,$B324)&gt;0,MIN(1-'Exercise list'!M$2,IF($A324=$A323,AS323,1))-X324&lt;0),-1,MIN(1,IF($A324=$A323,AS323,1)-X324+$D$2))</f>
        <v>1</v>
      </c>
      <c r="AT324">
        <f>IF(OR($J324=1,COUNTIFS($A$5:$A323,"&gt;="&amp;$A324-1,$A$5:$A323,"&lt;="&amp;$A324,$B$5:$B323,$B324)&gt;0,MIN(1-'Exercise list'!N$2,IF($A324=$A323,AT323,1))-Y324&lt;0),-1,MIN(1,IF($A324=$A323,AT323,1)-Y324+$D$2))</f>
        <v>1</v>
      </c>
      <c r="AU324">
        <f>IF(OR($J324=1,COUNTIFS($A$5:$A323,"&gt;="&amp;$A324-1,$A$5:$A323,"&lt;="&amp;$A324,$B$5:$B323,$B324)&gt;0,MIN(1-'Exercise list'!O$2,IF($A324=$A323,AU323,1))-Z324&lt;0),-1,MIN(1,IF($A324=$A323,AU323,1)-Z324+$D$2))</f>
        <v>1</v>
      </c>
      <c r="AV324">
        <f>IF(OR($J324=1,COUNTIFS($A$5:$A323,"&gt;="&amp;$A324-1,$A$5:$A323,"&lt;="&amp;$A324,$B$5:$B323,$B324)&gt;0,MIN(1-'Exercise list'!P$2,IF($A324=$A323,AV323,1))-AA324&lt;0),-1,MIN(1,IF($A324=$A323,AV323,1)-AA324+$D$2))</f>
        <v>1</v>
      </c>
      <c r="AW324">
        <f>IF(OR($J324=1,COUNTIFS($A$5:$A323,"&gt;="&amp;$A324-1,$A$5:$A323,"&lt;="&amp;$A324,$B$5:$B323,$B324)&gt;0,MIN(1-'Exercise list'!Q$2,IF($A324=$A323,AW323,1))-AB324&lt;0),-1,MIN(1,IF($A324=$A323,AW323,1)-AB324+$D$2))</f>
        <v>1</v>
      </c>
      <c r="AX324">
        <f>IF(OR($J324=1,COUNTIFS($A$5:$A323,"&gt;="&amp;$A324-1,$A$5:$A323,"&lt;="&amp;$A324,$B$5:$B323,$B324)&gt;0,MIN(1-'Exercise list'!R$2,IF($A324=$A323,AX323,1))-AC324&lt;0),-1,MIN(1,IF($A324=$A323,AX323,1)-AC324+$D$2))</f>
        <v>1</v>
      </c>
      <c r="AY324">
        <f>IF(OR($J324=1,COUNTIFS($A$5:$A323,"&gt;="&amp;$A324-1,$A$5:$A323,"&lt;="&amp;$A324,$B$5:$B323,$B324)&gt;0,MIN(1-'Exercise list'!S$2,IF($A324=$A323,AY323,1))-AD324&lt;0),-1,MIN(1,IF($A324=$A323,AY323,1)-AD324+$D$2))</f>
        <v>1</v>
      </c>
      <c r="AZ324">
        <f>IF(OR($J324=1,COUNTIFS($A$5:$A323,"&gt;="&amp;$A324-1,$A$5:$A323,"&lt;="&amp;$A324,$B$5:$B323,$B324)&gt;0,MIN(1-'Exercise list'!T$2,IF($A324=$A323,AZ323,1))-AE324&lt;0),-1,MIN(1,IF($A324=$A323,AZ323,1)-AE324+$D$2))</f>
        <v>1</v>
      </c>
      <c r="BA324">
        <f>IF(OR($J324=1,COUNTIFS($A$5:$A323,"&gt;="&amp;$A324-1,$A$5:$A323,"&lt;="&amp;$A324,$B$5:$B323,$B324)&gt;0,MIN(1-'Exercise list'!U$2,IF($A324=$A323,BA323,1))-AF324&lt;0),-1,MIN(1,IF($A324=$A323,BA323,1)-AF324+$D$2))</f>
        <v>1</v>
      </c>
      <c r="BB324">
        <f>IF(OR($J324=1,COUNTIFS($A$5:$A323,"&gt;="&amp;$A324-1,$A$5:$A323,"&lt;="&amp;$A324,$B$5:$B323,$B324)&gt;0,MIN(1-'Exercise list'!V$2,IF($A324=$A323,BB323,1))-AG324&lt;0),-1,MIN(1,IF($A324=$A323,BB323,1)-AG324+$D$2))</f>
        <v>1</v>
      </c>
      <c r="BC324">
        <f>IF(OR($J324=1,COUNTIFS($A$5:$A323,"&gt;="&amp;$A324-1,$A$5:$A323,"&lt;="&amp;$A324,$B$5:$B323,$B324)&gt;0,MIN(1-'Exercise list'!W$2,IF($A324=$A323,BC323,1))-AH324&lt;0),-1,MIN(1,IF($A324=$A323,BC323,1)-AH324+$D$2))</f>
        <v>1</v>
      </c>
      <c r="BD324">
        <f>IF(OR($J324=1,COUNTIFS($A$5:$A323,"&gt;="&amp;$A324-1,$A$5:$A323,"&lt;="&amp;$A324,$B$5:$B323,$B324)&gt;0,MIN(1-'Exercise list'!X$2,IF($A324=$A323,BD323,1))-AI324&lt;0),-1,MIN(1,IF($A324=$A323,BD323,1)-AI324+$D$2))</f>
        <v>1</v>
      </c>
      <c r="BF324" s="16">
        <f t="shared" si="233"/>
        <v>0.19596031081758858</v>
      </c>
      <c r="BG324" s="16">
        <f t="shared" si="234"/>
        <v>0.21844636935459236</v>
      </c>
      <c r="BH324" s="16">
        <f t="shared" si="235"/>
        <v>0.14609696635987124</v>
      </c>
      <c r="BI324" s="16">
        <f t="shared" si="236"/>
        <v>0.13198015366034541</v>
      </c>
      <c r="BJ324" s="16">
        <f t="shared" si="237"/>
        <v>8.3367914198418713E-2</v>
      </c>
      <c r="BK324" s="16">
        <f t="shared" si="238"/>
        <v>0.10640640223148412</v>
      </c>
      <c r="BL324" s="16">
        <f t="shared" si="239"/>
        <v>0.21963504743569431</v>
      </c>
      <c r="BM324" s="16">
        <f t="shared" si="240"/>
        <v>3.8988008374820568E-3</v>
      </c>
      <c r="BN324" s="16">
        <f t="shared" si="241"/>
        <v>0.14537706087090876</v>
      </c>
      <c r="BO324" s="16">
        <f t="shared" si="242"/>
        <v>0.29209790661993401</v>
      </c>
      <c r="BP324" s="16">
        <f t="shared" si="243"/>
        <v>0.31584545163401867</v>
      </c>
      <c r="BQ324" s="16">
        <f t="shared" si="244"/>
        <v>0.1000007994126096</v>
      </c>
      <c r="BR324" s="16">
        <f t="shared" si="245"/>
        <v>0.13164487759885393</v>
      </c>
      <c r="BS324" s="16">
        <f t="shared" si="246"/>
        <v>2.9803550189863123E-2</v>
      </c>
      <c r="BT324" s="16">
        <f t="shared" si="247"/>
        <v>0.13492040904978705</v>
      </c>
      <c r="BU324" s="16">
        <f t="shared" si="248"/>
        <v>0.11703687414398131</v>
      </c>
      <c r="BV324" s="16">
        <f t="shared" si="249"/>
        <v>0.14633353213781661</v>
      </c>
      <c r="BW324" s="16">
        <f t="shared" si="250"/>
        <v>7.5588015111767173E-2</v>
      </c>
      <c r="BX324" s="16">
        <f t="shared" si="251"/>
        <v>8.0345659937185704E-2</v>
      </c>
      <c r="BY324" s="16">
        <f t="shared" si="252"/>
        <v>5.9014643151272549E-2</v>
      </c>
      <c r="CA324" s="16" t="str">
        <f t="shared" si="229"/>
        <v/>
      </c>
      <c r="CB324" s="16" t="str">
        <f t="shared" si="210"/>
        <v/>
      </c>
      <c r="CC324" s="16" t="str">
        <f t="shared" si="211"/>
        <v/>
      </c>
      <c r="CD324" s="16" t="str">
        <f t="shared" si="212"/>
        <v/>
      </c>
      <c r="CE324" s="16" t="str">
        <f t="shared" si="213"/>
        <v/>
      </c>
      <c r="CF324" s="16" t="str">
        <f t="shared" si="214"/>
        <v/>
      </c>
      <c r="CG324" s="16" t="str">
        <f t="shared" si="215"/>
        <v/>
      </c>
      <c r="CH324" s="16" t="str">
        <f t="shared" si="216"/>
        <v/>
      </c>
      <c r="CI324" s="16" t="str">
        <f t="shared" si="217"/>
        <v/>
      </c>
      <c r="CJ324" s="16" t="str">
        <f t="shared" si="218"/>
        <v/>
      </c>
      <c r="CK324" s="16" t="str">
        <f t="shared" si="219"/>
        <v/>
      </c>
      <c r="CL324" s="16" t="str">
        <f t="shared" si="220"/>
        <v/>
      </c>
      <c r="CM324" s="16" t="str">
        <f t="shared" si="221"/>
        <v/>
      </c>
      <c r="CN324" s="16" t="str">
        <f t="shared" si="222"/>
        <v/>
      </c>
      <c r="CO324" s="16" t="str">
        <f t="shared" si="223"/>
        <v/>
      </c>
      <c r="CP324" s="16" t="str">
        <f t="shared" si="224"/>
        <v/>
      </c>
      <c r="CQ324" s="16" t="str">
        <f t="shared" si="225"/>
        <v/>
      </c>
      <c r="CR324" s="16" t="str">
        <f t="shared" si="226"/>
        <v/>
      </c>
      <c r="CS324" s="16" t="str">
        <f t="shared" si="227"/>
        <v/>
      </c>
      <c r="CT324" s="16" t="str">
        <f t="shared" si="228"/>
        <v/>
      </c>
    </row>
    <row r="325" spans="1:99" x14ac:dyDescent="0.25">
      <c r="A325" s="13"/>
      <c r="B325" s="14"/>
      <c r="C325" s="15" t="str" cm="1">
        <f t="array" ref="C325">IF(B325="","",INDEX('Exercise list'!$C$5:$C$102,B325))</f>
        <v/>
      </c>
      <c r="D325" s="12" t="str">
        <f t="shared" si="230"/>
        <v/>
      </c>
      <c r="E325" s="107" t="str">
        <f t="shared" si="253"/>
        <v/>
      </c>
      <c r="F325" s="63" t="str" cm="1">
        <f t="array" ref="F325">IF(B325="","",0.1+IFERROR(INDEX($F$6:$F324,SUMPRODUCT(MAX(ROW($C$6:$C324)*($C325=$C$6:$C324))-ROW($A$5)))*0.9^($A325-INDEX($A$6:A324,SUMPRODUCT(MAX(ROW($C$6:$C324)*($C325=$C$6:$C324))-ROW($A$5)))),0))</f>
        <v/>
      </c>
      <c r="G325" s="64" t="e">
        <f>INDEX('Exercise list'!$Y$5:$Y$102,MATCH(C325,'Exercise list'!$C$5:$C$102,0))</f>
        <v>#N/A</v>
      </c>
      <c r="H325" s="115">
        <f t="shared" si="231"/>
        <v>0</v>
      </c>
      <c r="I325" s="6">
        <f t="shared" si="232"/>
        <v>5</v>
      </c>
      <c r="J325" s="6" t="str" cm="1">
        <f t="array" ref="J325">IF(B325="","",INDEX('Exercise list'!$D$5:$D$102,B325))</f>
        <v/>
      </c>
      <c r="K325" s="12"/>
      <c r="L325" s="74" t="str" cm="1">
        <f t="array" ref="L325">IF(K325="","",INDEX('Exercise list'!$C$5:$C$102,K325))</f>
        <v/>
      </c>
      <c r="M325" s="6"/>
      <c r="N325" s="75" t="str" cm="1">
        <f t="array" ref="N325">IF(M325="","",INDEX('Exercise list'!$C$5:$C$102,M325))</f>
        <v/>
      </c>
      <c r="P325">
        <f>IFERROR(INDEX('Exercise list'!$E$5:$X$102,MATCH($C325,'Exercise list'!$C$5:$C$102,0),MATCH(P$5,'Exercise list'!$E$4:$X$4,0)),0)</f>
        <v>0</v>
      </c>
      <c r="Q325">
        <f>IFERROR(INDEX('Exercise list'!$E$5:$X$102,MATCH($C325,'Exercise list'!$C$5:$C$102,0),MATCH(Q$5,'Exercise list'!$E$4:$X$4,0)),0)</f>
        <v>0</v>
      </c>
      <c r="R325">
        <f>IFERROR(INDEX('Exercise list'!$E$5:$X$102,MATCH($C325,'Exercise list'!$C$5:$C$102,0),MATCH(R$5,'Exercise list'!$E$4:$X$4,0)),0)</f>
        <v>0</v>
      </c>
      <c r="S325">
        <f>IFERROR(INDEX('Exercise list'!$E$5:$X$102,MATCH($C325,'Exercise list'!$C$5:$C$102,0),MATCH(S$5,'Exercise list'!$E$4:$X$4,0)),0)</f>
        <v>0</v>
      </c>
      <c r="T325">
        <f>IFERROR(INDEX('Exercise list'!$E$5:$X$102,MATCH($C325,'Exercise list'!$C$5:$C$102,0),MATCH(T$5,'Exercise list'!$E$4:$X$4,0)),0)</f>
        <v>0</v>
      </c>
      <c r="U325">
        <f>IFERROR(INDEX('Exercise list'!$E$5:$X$102,MATCH($C325,'Exercise list'!$C$5:$C$102,0),MATCH(U$5,'Exercise list'!$E$4:$X$4,0)),0)</f>
        <v>0</v>
      </c>
      <c r="V325">
        <f>IFERROR(INDEX('Exercise list'!$E$5:$X$102,MATCH($C325,'Exercise list'!$C$5:$C$102,0),MATCH(V$5,'Exercise list'!$E$4:$X$4,0)),0)</f>
        <v>0</v>
      </c>
      <c r="W325">
        <f>IFERROR(INDEX('Exercise list'!$E$5:$X$102,MATCH($C325,'Exercise list'!$C$5:$C$102,0),MATCH(W$5,'Exercise list'!$E$4:$X$4,0)),0)</f>
        <v>0</v>
      </c>
      <c r="X325">
        <f>IFERROR(INDEX('Exercise list'!$E$5:$X$102,MATCH($C325,'Exercise list'!$C$5:$C$102,0),MATCH(X$5,'Exercise list'!$E$4:$X$4,0)),0)</f>
        <v>0</v>
      </c>
      <c r="Y325">
        <f>IFERROR(INDEX('Exercise list'!$E$5:$X$102,MATCH($C325,'Exercise list'!$C$5:$C$102,0),MATCH(Y$5,'Exercise list'!$E$4:$X$4,0)),0)</f>
        <v>0</v>
      </c>
      <c r="Z325">
        <f>IFERROR(INDEX('Exercise list'!$E$5:$X$102,MATCH($C325,'Exercise list'!$C$5:$C$102,0),MATCH(Z$5,'Exercise list'!$E$4:$X$4,0)),0)</f>
        <v>0</v>
      </c>
      <c r="AA325">
        <f>IFERROR(INDEX('Exercise list'!$E$5:$X$102,MATCH($C325,'Exercise list'!$C$5:$C$102,0),MATCH(AA$5,'Exercise list'!$E$4:$X$4,0)),0)</f>
        <v>0</v>
      </c>
      <c r="AB325">
        <f>IFERROR(INDEX('Exercise list'!$E$5:$X$102,MATCH($C325,'Exercise list'!$C$5:$C$102,0),MATCH(AB$5,'Exercise list'!$E$4:$X$4,0)),0)</f>
        <v>0</v>
      </c>
      <c r="AC325">
        <f>IFERROR(INDEX('Exercise list'!$E$5:$X$102,MATCH($C325,'Exercise list'!$C$5:$C$102,0),MATCH(AC$5,'Exercise list'!$E$4:$X$4,0)),0)</f>
        <v>0</v>
      </c>
      <c r="AD325">
        <f>IFERROR(INDEX('Exercise list'!$E$5:$X$102,MATCH($C325,'Exercise list'!$C$5:$C$102,0),MATCH(AD$5,'Exercise list'!$E$4:$X$4,0)),0)</f>
        <v>0</v>
      </c>
      <c r="AE325">
        <f>IFERROR(INDEX('Exercise list'!$E$5:$X$102,MATCH($C325,'Exercise list'!$C$5:$C$102,0),MATCH(AE$5,'Exercise list'!$E$4:$X$4,0)),0)</f>
        <v>0</v>
      </c>
      <c r="AF325">
        <f>IFERROR(INDEX('Exercise list'!$E$5:$X$102,MATCH($C325,'Exercise list'!$C$5:$C$102,0),MATCH(AF$5,'Exercise list'!$E$4:$X$4,0)),0)</f>
        <v>0</v>
      </c>
      <c r="AG325">
        <f>IFERROR(INDEX('Exercise list'!$E$5:$X$102,MATCH($C325,'Exercise list'!$C$5:$C$102,0),MATCH(AG$5,'Exercise list'!$E$4:$X$4,0)),0)</f>
        <v>0</v>
      </c>
      <c r="AH325">
        <f>IFERROR(INDEX('Exercise list'!$E$5:$X$102,MATCH($C325,'Exercise list'!$C$5:$C$102,0),MATCH(AH$5,'Exercise list'!$E$4:$X$4,0)),0)</f>
        <v>0</v>
      </c>
      <c r="AI325">
        <f>IFERROR(INDEX('Exercise list'!$E$5:$X$102,MATCH($C325,'Exercise list'!$C$5:$C$102,0),MATCH(AI$5,'Exercise list'!$E$4:$X$4,0)),0)</f>
        <v>0</v>
      </c>
      <c r="AK325">
        <f>IF(OR($J325=1,COUNTIFS($A$5:$A324,"&gt;="&amp;$A325-1,$A$5:$A324,"&lt;="&amp;$A325,$B$5:$B324,$B325)&gt;0,MIN(1-'Exercise list'!E$2,IF($A325=$A324,AK324,1))-P325&lt;0),-1,MIN(1,IF($A325=$A324,AK324,1)-P325+$D$2))</f>
        <v>1</v>
      </c>
      <c r="AL325">
        <f>IF(OR($J325=1,COUNTIFS($A$5:$A324,"&gt;="&amp;$A325-1,$A$5:$A324,"&lt;="&amp;$A325,$B$5:$B324,$B325)&gt;0,MIN(1-'Exercise list'!F$2,IF($A325=$A324,AL324,1))-Q325&lt;0),-1,MIN(1,IF($A325=$A324,AL324,1)-Q325+$D$2))</f>
        <v>1</v>
      </c>
      <c r="AM325">
        <f>IF(OR($J325=1,COUNTIFS($A$5:$A324,"&gt;="&amp;$A325-1,$A$5:$A324,"&lt;="&amp;$A325,$B$5:$B324,$B325)&gt;0,MIN(1-'Exercise list'!G$2,IF($A325=$A324,AM324,1))-R325&lt;0),-1,MIN(1,IF($A325=$A324,AM324,1)-R325+$D$2))</f>
        <v>1</v>
      </c>
      <c r="AN325">
        <f>IF(OR($J325=1,COUNTIFS($A$5:$A324,"&gt;="&amp;$A325-1,$A$5:$A324,"&lt;="&amp;$A325,$B$5:$B324,$B325)&gt;0,MIN(1-'Exercise list'!H$2,IF($A325=$A324,AN324,1))-S325&lt;0),-1,MIN(1,IF($A325=$A324,AN324,1)-S325+$D$2))</f>
        <v>1</v>
      </c>
      <c r="AO325">
        <f>IF(OR($J325=1,COUNTIFS($A$5:$A324,"&gt;="&amp;$A325-1,$A$5:$A324,"&lt;="&amp;$A325,$B$5:$B324,$B325)&gt;0,MIN(1-'Exercise list'!I$2,IF($A325=$A324,AO324,1))-T325&lt;0),-1,MIN(1,IF($A325=$A324,AO324,1)-T325+$D$2))</f>
        <v>1</v>
      </c>
      <c r="AP325">
        <f>IF(OR($J325=1,COUNTIFS($A$5:$A324,"&gt;="&amp;$A325-1,$A$5:$A324,"&lt;="&amp;$A325,$B$5:$B324,$B325)&gt;0,MIN(1-'Exercise list'!J$2,IF($A325=$A324,AP324,1))-U325&lt;0),-1,MIN(1,IF($A325=$A324,AP324,1)-U325+$D$2))</f>
        <v>1</v>
      </c>
      <c r="AQ325">
        <f>IF(OR($J325=1,COUNTIFS($A$5:$A324,"&gt;="&amp;$A325-1,$A$5:$A324,"&lt;="&amp;$A325,$B$5:$B324,$B325)&gt;0,MIN(1-'Exercise list'!K$2,IF($A325=$A324,AQ324,1))-V325&lt;0),-1,MIN(1,IF($A325=$A324,AQ324,1)-V325+$D$2))</f>
        <v>1</v>
      </c>
      <c r="AR325">
        <f>IF(OR($J325=1,COUNTIFS($A$5:$A324,"&gt;="&amp;$A325-1,$A$5:$A324,"&lt;="&amp;$A325,$B$5:$B324,$B325)&gt;0,MIN(1-'Exercise list'!L$2,IF($A325=$A324,AR324,1))-W325&lt;0),-1,MIN(1,IF($A325=$A324,AR324,1)-W325+$D$2))</f>
        <v>1</v>
      </c>
      <c r="AS325">
        <f>IF(OR($J325=1,COUNTIFS($A$5:$A324,"&gt;="&amp;$A325-1,$A$5:$A324,"&lt;="&amp;$A325,$B$5:$B324,$B325)&gt;0,MIN(1-'Exercise list'!M$2,IF($A325=$A324,AS324,1))-X325&lt;0),-1,MIN(1,IF($A325=$A324,AS324,1)-X325+$D$2))</f>
        <v>1</v>
      </c>
      <c r="AT325">
        <f>IF(OR($J325=1,COUNTIFS($A$5:$A324,"&gt;="&amp;$A325-1,$A$5:$A324,"&lt;="&amp;$A325,$B$5:$B324,$B325)&gt;0,MIN(1-'Exercise list'!N$2,IF($A325=$A324,AT324,1))-Y325&lt;0),-1,MIN(1,IF($A325=$A324,AT324,1)-Y325+$D$2))</f>
        <v>1</v>
      </c>
      <c r="AU325">
        <f>IF(OR($J325=1,COUNTIFS($A$5:$A324,"&gt;="&amp;$A325-1,$A$5:$A324,"&lt;="&amp;$A325,$B$5:$B324,$B325)&gt;0,MIN(1-'Exercise list'!O$2,IF($A325=$A324,AU324,1))-Z325&lt;0),-1,MIN(1,IF($A325=$A324,AU324,1)-Z325+$D$2))</f>
        <v>1</v>
      </c>
      <c r="AV325">
        <f>IF(OR($J325=1,COUNTIFS($A$5:$A324,"&gt;="&amp;$A325-1,$A$5:$A324,"&lt;="&amp;$A325,$B$5:$B324,$B325)&gt;0,MIN(1-'Exercise list'!P$2,IF($A325=$A324,AV324,1))-AA325&lt;0),-1,MIN(1,IF($A325=$A324,AV324,1)-AA325+$D$2))</f>
        <v>1</v>
      </c>
      <c r="AW325">
        <f>IF(OR($J325=1,COUNTIFS($A$5:$A324,"&gt;="&amp;$A325-1,$A$5:$A324,"&lt;="&amp;$A325,$B$5:$B324,$B325)&gt;0,MIN(1-'Exercise list'!Q$2,IF($A325=$A324,AW324,1))-AB325&lt;0),-1,MIN(1,IF($A325=$A324,AW324,1)-AB325+$D$2))</f>
        <v>1</v>
      </c>
      <c r="AX325">
        <f>IF(OR($J325=1,COUNTIFS($A$5:$A324,"&gt;="&amp;$A325-1,$A$5:$A324,"&lt;="&amp;$A325,$B$5:$B324,$B325)&gt;0,MIN(1-'Exercise list'!R$2,IF($A325=$A324,AX324,1))-AC325&lt;0),-1,MIN(1,IF($A325=$A324,AX324,1)-AC325+$D$2))</f>
        <v>1</v>
      </c>
      <c r="AY325">
        <f>IF(OR($J325=1,COUNTIFS($A$5:$A324,"&gt;="&amp;$A325-1,$A$5:$A324,"&lt;="&amp;$A325,$B$5:$B324,$B325)&gt;0,MIN(1-'Exercise list'!S$2,IF($A325=$A324,AY324,1))-AD325&lt;0),-1,MIN(1,IF($A325=$A324,AY324,1)-AD325+$D$2))</f>
        <v>1</v>
      </c>
      <c r="AZ325">
        <f>IF(OR($J325=1,COUNTIFS($A$5:$A324,"&gt;="&amp;$A325-1,$A$5:$A324,"&lt;="&amp;$A325,$B$5:$B324,$B325)&gt;0,MIN(1-'Exercise list'!T$2,IF($A325=$A324,AZ324,1))-AE325&lt;0),-1,MIN(1,IF($A325=$A324,AZ324,1)-AE325+$D$2))</f>
        <v>1</v>
      </c>
      <c r="BA325">
        <f>IF(OR($J325=1,COUNTIFS($A$5:$A324,"&gt;="&amp;$A325-1,$A$5:$A324,"&lt;="&amp;$A325,$B$5:$B324,$B325)&gt;0,MIN(1-'Exercise list'!U$2,IF($A325=$A324,BA324,1))-AF325&lt;0),-1,MIN(1,IF($A325=$A324,BA324,1)-AF325+$D$2))</f>
        <v>1</v>
      </c>
      <c r="BB325">
        <f>IF(OR($J325=1,COUNTIFS($A$5:$A324,"&gt;="&amp;$A325-1,$A$5:$A324,"&lt;="&amp;$A325,$B$5:$B324,$B325)&gt;0,MIN(1-'Exercise list'!V$2,IF($A325=$A324,BB324,1))-AG325&lt;0),-1,MIN(1,IF($A325=$A324,BB324,1)-AG325+$D$2))</f>
        <v>1</v>
      </c>
      <c r="BC325">
        <f>IF(OR($J325=1,COUNTIFS($A$5:$A324,"&gt;="&amp;$A325-1,$A$5:$A324,"&lt;="&amp;$A325,$B$5:$B324,$B325)&gt;0,MIN(1-'Exercise list'!W$2,IF($A325=$A324,BC324,1))-AH325&lt;0),-1,MIN(1,IF($A325=$A324,BC324,1)-AH325+$D$2))</f>
        <v>1</v>
      </c>
      <c r="BD325">
        <f>IF(OR($J325=1,COUNTIFS($A$5:$A324,"&gt;="&amp;$A325-1,$A$5:$A324,"&lt;="&amp;$A325,$B$5:$B324,$B325)&gt;0,MIN(1-'Exercise list'!X$2,IF($A325=$A324,BD324,1))-AI325&lt;0),-1,MIN(1,IF($A325=$A324,BD324,1)-AI325+$D$2))</f>
        <v>1</v>
      </c>
      <c r="BF325" s="16">
        <f t="shared" si="233"/>
        <v>0.19596031081758858</v>
      </c>
      <c r="BG325" s="16">
        <f t="shared" si="234"/>
        <v>0.21844636935459236</v>
      </c>
      <c r="BH325" s="16">
        <f t="shared" si="235"/>
        <v>0.14609696635987124</v>
      </c>
      <c r="BI325" s="16">
        <f t="shared" si="236"/>
        <v>0.13198015366034541</v>
      </c>
      <c r="BJ325" s="16">
        <f t="shared" si="237"/>
        <v>8.3367914198418713E-2</v>
      </c>
      <c r="BK325" s="16">
        <f t="shared" si="238"/>
        <v>0.10640640223148412</v>
      </c>
      <c r="BL325" s="16">
        <f t="shared" si="239"/>
        <v>0.21963504743569431</v>
      </c>
      <c r="BM325" s="16">
        <f t="shared" si="240"/>
        <v>3.8988008374820568E-3</v>
      </c>
      <c r="BN325" s="16">
        <f t="shared" si="241"/>
        <v>0.14537706087090876</v>
      </c>
      <c r="BO325" s="16">
        <f t="shared" si="242"/>
        <v>0.29209790661993401</v>
      </c>
      <c r="BP325" s="16">
        <f t="shared" si="243"/>
        <v>0.31584545163401867</v>
      </c>
      <c r="BQ325" s="16">
        <f t="shared" si="244"/>
        <v>0.1000007994126096</v>
      </c>
      <c r="BR325" s="16">
        <f t="shared" si="245"/>
        <v>0.13164487759885393</v>
      </c>
      <c r="BS325" s="16">
        <f t="shared" si="246"/>
        <v>2.9803550189863123E-2</v>
      </c>
      <c r="BT325" s="16">
        <f t="shared" si="247"/>
        <v>0.13492040904978705</v>
      </c>
      <c r="BU325" s="16">
        <f t="shared" si="248"/>
        <v>0.11703687414398131</v>
      </c>
      <c r="BV325" s="16">
        <f t="shared" si="249"/>
        <v>0.14633353213781661</v>
      </c>
      <c r="BW325" s="16">
        <f t="shared" si="250"/>
        <v>7.5588015111767173E-2</v>
      </c>
      <c r="BX325" s="16">
        <f t="shared" si="251"/>
        <v>8.0345659937185704E-2</v>
      </c>
      <c r="BY325" s="16">
        <f t="shared" si="252"/>
        <v>5.9014643151272549E-2</v>
      </c>
      <c r="CA325" s="16" t="str">
        <f t="shared" si="229"/>
        <v/>
      </c>
      <c r="CB325" s="16" t="str">
        <f t="shared" si="210"/>
        <v/>
      </c>
      <c r="CC325" s="16" t="str">
        <f t="shared" si="211"/>
        <v/>
      </c>
      <c r="CD325" s="16" t="str">
        <f t="shared" si="212"/>
        <v/>
      </c>
      <c r="CE325" s="16" t="str">
        <f t="shared" si="213"/>
        <v/>
      </c>
      <c r="CF325" s="16" t="str">
        <f t="shared" si="214"/>
        <v/>
      </c>
      <c r="CG325" s="16" t="str">
        <f t="shared" si="215"/>
        <v/>
      </c>
      <c r="CH325" s="16" t="str">
        <f t="shared" si="216"/>
        <v/>
      </c>
      <c r="CI325" s="16" t="str">
        <f t="shared" si="217"/>
        <v/>
      </c>
      <c r="CJ325" s="16" t="str">
        <f t="shared" si="218"/>
        <v/>
      </c>
      <c r="CK325" s="16" t="str">
        <f t="shared" si="219"/>
        <v/>
      </c>
      <c r="CL325" s="16" t="str">
        <f t="shared" si="220"/>
        <v/>
      </c>
      <c r="CM325" s="16" t="str">
        <f t="shared" si="221"/>
        <v/>
      </c>
      <c r="CN325" s="16" t="str">
        <f t="shared" si="222"/>
        <v/>
      </c>
      <c r="CO325" s="16" t="str">
        <f t="shared" si="223"/>
        <v/>
      </c>
      <c r="CP325" s="16" t="str">
        <f t="shared" si="224"/>
        <v/>
      </c>
      <c r="CQ325" s="16" t="str">
        <f t="shared" si="225"/>
        <v/>
      </c>
      <c r="CR325" s="16" t="str">
        <f t="shared" si="226"/>
        <v/>
      </c>
      <c r="CS325" s="16" t="str">
        <f t="shared" si="227"/>
        <v/>
      </c>
      <c r="CT325" s="16" t="str">
        <f t="shared" si="228"/>
        <v/>
      </c>
    </row>
    <row r="326" spans="1:99" x14ac:dyDescent="0.25">
      <c r="A326" s="13"/>
      <c r="B326" s="14"/>
      <c r="C326" s="15" t="str" cm="1">
        <f t="array" ref="C326">IF(B326="","",INDEX('Exercise list'!$C$5:$C$102,B326))</f>
        <v/>
      </c>
      <c r="D326" s="12" t="str">
        <f t="shared" si="230"/>
        <v/>
      </c>
      <c r="E326" s="107" t="str">
        <f t="shared" si="253"/>
        <v/>
      </c>
      <c r="F326" s="63" t="str" cm="1">
        <f t="array" ref="F326">IF(B326="","",0.1+IFERROR(INDEX($F$6:$F325,SUMPRODUCT(MAX(ROW($C$6:$C325)*($C326=$C$6:$C325))-ROW($A$5)))*0.9^($A326-INDEX($A$6:A325,SUMPRODUCT(MAX(ROW($C$6:$C325)*($C326=$C$6:$C325))-ROW($A$5)))),0))</f>
        <v/>
      </c>
      <c r="G326" s="64" t="e">
        <f>INDEX('Exercise list'!$Y$5:$Y$102,MATCH(C326,'Exercise list'!$C$5:$C$102,0))</f>
        <v>#N/A</v>
      </c>
      <c r="H326" s="115">
        <f t="shared" si="231"/>
        <v>0</v>
      </c>
      <c r="I326" s="6">
        <f t="shared" si="232"/>
        <v>5</v>
      </c>
      <c r="J326" s="6" t="str" cm="1">
        <f t="array" ref="J326">IF(B326="","",INDEX('Exercise list'!$D$5:$D$102,B326))</f>
        <v/>
      </c>
      <c r="K326" s="12"/>
      <c r="L326" s="74" t="str" cm="1">
        <f t="array" ref="L326">IF(K326="","",INDEX('Exercise list'!$C$5:$C$102,K326))</f>
        <v/>
      </c>
      <c r="M326" s="6"/>
      <c r="N326" s="75" t="str" cm="1">
        <f t="array" ref="N326">IF(M326="","",INDEX('Exercise list'!$C$5:$C$102,M326))</f>
        <v/>
      </c>
      <c r="P326">
        <f>IFERROR(INDEX('Exercise list'!$E$5:$X$102,MATCH($C326,'Exercise list'!$C$5:$C$102,0),MATCH(P$5,'Exercise list'!$E$4:$X$4,0)),0)</f>
        <v>0</v>
      </c>
      <c r="Q326">
        <f>IFERROR(INDEX('Exercise list'!$E$5:$X$102,MATCH($C326,'Exercise list'!$C$5:$C$102,0),MATCH(Q$5,'Exercise list'!$E$4:$X$4,0)),0)</f>
        <v>0</v>
      </c>
      <c r="R326">
        <f>IFERROR(INDEX('Exercise list'!$E$5:$X$102,MATCH($C326,'Exercise list'!$C$5:$C$102,0),MATCH(R$5,'Exercise list'!$E$4:$X$4,0)),0)</f>
        <v>0</v>
      </c>
      <c r="S326">
        <f>IFERROR(INDEX('Exercise list'!$E$5:$X$102,MATCH($C326,'Exercise list'!$C$5:$C$102,0),MATCH(S$5,'Exercise list'!$E$4:$X$4,0)),0)</f>
        <v>0</v>
      </c>
      <c r="T326">
        <f>IFERROR(INDEX('Exercise list'!$E$5:$X$102,MATCH($C326,'Exercise list'!$C$5:$C$102,0),MATCH(T$5,'Exercise list'!$E$4:$X$4,0)),0)</f>
        <v>0</v>
      </c>
      <c r="U326">
        <f>IFERROR(INDEX('Exercise list'!$E$5:$X$102,MATCH($C326,'Exercise list'!$C$5:$C$102,0),MATCH(U$5,'Exercise list'!$E$4:$X$4,0)),0)</f>
        <v>0</v>
      </c>
      <c r="V326">
        <f>IFERROR(INDEX('Exercise list'!$E$5:$X$102,MATCH($C326,'Exercise list'!$C$5:$C$102,0),MATCH(V$5,'Exercise list'!$E$4:$X$4,0)),0)</f>
        <v>0</v>
      </c>
      <c r="W326">
        <f>IFERROR(INDEX('Exercise list'!$E$5:$X$102,MATCH($C326,'Exercise list'!$C$5:$C$102,0),MATCH(W$5,'Exercise list'!$E$4:$X$4,0)),0)</f>
        <v>0</v>
      </c>
      <c r="X326">
        <f>IFERROR(INDEX('Exercise list'!$E$5:$X$102,MATCH($C326,'Exercise list'!$C$5:$C$102,0),MATCH(X$5,'Exercise list'!$E$4:$X$4,0)),0)</f>
        <v>0</v>
      </c>
      <c r="Y326">
        <f>IFERROR(INDEX('Exercise list'!$E$5:$X$102,MATCH($C326,'Exercise list'!$C$5:$C$102,0),MATCH(Y$5,'Exercise list'!$E$4:$X$4,0)),0)</f>
        <v>0</v>
      </c>
      <c r="Z326">
        <f>IFERROR(INDEX('Exercise list'!$E$5:$X$102,MATCH($C326,'Exercise list'!$C$5:$C$102,0),MATCH(Z$5,'Exercise list'!$E$4:$X$4,0)),0)</f>
        <v>0</v>
      </c>
      <c r="AA326">
        <f>IFERROR(INDEX('Exercise list'!$E$5:$X$102,MATCH($C326,'Exercise list'!$C$5:$C$102,0),MATCH(AA$5,'Exercise list'!$E$4:$X$4,0)),0)</f>
        <v>0</v>
      </c>
      <c r="AB326">
        <f>IFERROR(INDEX('Exercise list'!$E$5:$X$102,MATCH($C326,'Exercise list'!$C$5:$C$102,0),MATCH(AB$5,'Exercise list'!$E$4:$X$4,0)),0)</f>
        <v>0</v>
      </c>
      <c r="AC326">
        <f>IFERROR(INDEX('Exercise list'!$E$5:$X$102,MATCH($C326,'Exercise list'!$C$5:$C$102,0),MATCH(AC$5,'Exercise list'!$E$4:$X$4,0)),0)</f>
        <v>0</v>
      </c>
      <c r="AD326">
        <f>IFERROR(INDEX('Exercise list'!$E$5:$X$102,MATCH($C326,'Exercise list'!$C$5:$C$102,0),MATCH(AD$5,'Exercise list'!$E$4:$X$4,0)),0)</f>
        <v>0</v>
      </c>
      <c r="AE326">
        <f>IFERROR(INDEX('Exercise list'!$E$5:$X$102,MATCH($C326,'Exercise list'!$C$5:$C$102,0),MATCH(AE$5,'Exercise list'!$E$4:$X$4,0)),0)</f>
        <v>0</v>
      </c>
      <c r="AF326">
        <f>IFERROR(INDEX('Exercise list'!$E$5:$X$102,MATCH($C326,'Exercise list'!$C$5:$C$102,0),MATCH(AF$5,'Exercise list'!$E$4:$X$4,0)),0)</f>
        <v>0</v>
      </c>
      <c r="AG326">
        <f>IFERROR(INDEX('Exercise list'!$E$5:$X$102,MATCH($C326,'Exercise list'!$C$5:$C$102,0),MATCH(AG$5,'Exercise list'!$E$4:$X$4,0)),0)</f>
        <v>0</v>
      </c>
      <c r="AH326">
        <f>IFERROR(INDEX('Exercise list'!$E$5:$X$102,MATCH($C326,'Exercise list'!$C$5:$C$102,0),MATCH(AH$5,'Exercise list'!$E$4:$X$4,0)),0)</f>
        <v>0</v>
      </c>
      <c r="AI326">
        <f>IFERROR(INDEX('Exercise list'!$E$5:$X$102,MATCH($C326,'Exercise list'!$C$5:$C$102,0),MATCH(AI$5,'Exercise list'!$E$4:$X$4,0)),0)</f>
        <v>0</v>
      </c>
      <c r="AK326">
        <f>IF(OR($J326=1,COUNTIFS($A$5:$A325,"&gt;="&amp;$A326-1,$A$5:$A325,"&lt;="&amp;$A326,$B$5:$B325,$B326)&gt;0,MIN(1-'Exercise list'!E$2,IF($A326=$A325,AK325,1))-P326&lt;0),-1,MIN(1,IF($A326=$A325,AK325,1)-P326+$D$2))</f>
        <v>1</v>
      </c>
      <c r="AL326">
        <f>IF(OR($J326=1,COUNTIFS($A$5:$A325,"&gt;="&amp;$A326-1,$A$5:$A325,"&lt;="&amp;$A326,$B$5:$B325,$B326)&gt;0,MIN(1-'Exercise list'!F$2,IF($A326=$A325,AL325,1))-Q326&lt;0),-1,MIN(1,IF($A326=$A325,AL325,1)-Q326+$D$2))</f>
        <v>1</v>
      </c>
      <c r="AM326">
        <f>IF(OR($J326=1,COUNTIFS($A$5:$A325,"&gt;="&amp;$A326-1,$A$5:$A325,"&lt;="&amp;$A326,$B$5:$B325,$B326)&gt;0,MIN(1-'Exercise list'!G$2,IF($A326=$A325,AM325,1))-R326&lt;0),-1,MIN(1,IF($A326=$A325,AM325,1)-R326+$D$2))</f>
        <v>1</v>
      </c>
      <c r="AN326">
        <f>IF(OR($J326=1,COUNTIFS($A$5:$A325,"&gt;="&amp;$A326-1,$A$5:$A325,"&lt;="&amp;$A326,$B$5:$B325,$B326)&gt;0,MIN(1-'Exercise list'!H$2,IF($A326=$A325,AN325,1))-S326&lt;0),-1,MIN(1,IF($A326=$A325,AN325,1)-S326+$D$2))</f>
        <v>1</v>
      </c>
      <c r="AO326">
        <f>IF(OR($J326=1,COUNTIFS($A$5:$A325,"&gt;="&amp;$A326-1,$A$5:$A325,"&lt;="&amp;$A326,$B$5:$B325,$B326)&gt;0,MIN(1-'Exercise list'!I$2,IF($A326=$A325,AO325,1))-T326&lt;0),-1,MIN(1,IF($A326=$A325,AO325,1)-T326+$D$2))</f>
        <v>1</v>
      </c>
      <c r="AP326">
        <f>IF(OR($J326=1,COUNTIFS($A$5:$A325,"&gt;="&amp;$A326-1,$A$5:$A325,"&lt;="&amp;$A326,$B$5:$B325,$B326)&gt;0,MIN(1-'Exercise list'!J$2,IF($A326=$A325,AP325,1))-U326&lt;0),-1,MIN(1,IF($A326=$A325,AP325,1)-U326+$D$2))</f>
        <v>1</v>
      </c>
      <c r="AQ326">
        <f>IF(OR($J326=1,COUNTIFS($A$5:$A325,"&gt;="&amp;$A326-1,$A$5:$A325,"&lt;="&amp;$A326,$B$5:$B325,$B326)&gt;0,MIN(1-'Exercise list'!K$2,IF($A326=$A325,AQ325,1))-V326&lt;0),-1,MIN(1,IF($A326=$A325,AQ325,1)-V326+$D$2))</f>
        <v>1</v>
      </c>
      <c r="AR326">
        <f>IF(OR($J326=1,COUNTIFS($A$5:$A325,"&gt;="&amp;$A326-1,$A$5:$A325,"&lt;="&amp;$A326,$B$5:$B325,$B326)&gt;0,MIN(1-'Exercise list'!L$2,IF($A326=$A325,AR325,1))-W326&lt;0),-1,MIN(1,IF($A326=$A325,AR325,1)-W326+$D$2))</f>
        <v>1</v>
      </c>
      <c r="AS326">
        <f>IF(OR($J326=1,COUNTIFS($A$5:$A325,"&gt;="&amp;$A326-1,$A$5:$A325,"&lt;="&amp;$A326,$B$5:$B325,$B326)&gt;0,MIN(1-'Exercise list'!M$2,IF($A326=$A325,AS325,1))-X326&lt;0),-1,MIN(1,IF($A326=$A325,AS325,1)-X326+$D$2))</f>
        <v>1</v>
      </c>
      <c r="AT326">
        <f>IF(OR($J326=1,COUNTIFS($A$5:$A325,"&gt;="&amp;$A326-1,$A$5:$A325,"&lt;="&amp;$A326,$B$5:$B325,$B326)&gt;0,MIN(1-'Exercise list'!N$2,IF($A326=$A325,AT325,1))-Y326&lt;0),-1,MIN(1,IF($A326=$A325,AT325,1)-Y326+$D$2))</f>
        <v>1</v>
      </c>
      <c r="AU326">
        <f>IF(OR($J326=1,COUNTIFS($A$5:$A325,"&gt;="&amp;$A326-1,$A$5:$A325,"&lt;="&amp;$A326,$B$5:$B325,$B326)&gt;0,MIN(1-'Exercise list'!O$2,IF($A326=$A325,AU325,1))-Z326&lt;0),-1,MIN(1,IF($A326=$A325,AU325,1)-Z326+$D$2))</f>
        <v>1</v>
      </c>
      <c r="AV326">
        <f>IF(OR($J326=1,COUNTIFS($A$5:$A325,"&gt;="&amp;$A326-1,$A$5:$A325,"&lt;="&amp;$A326,$B$5:$B325,$B326)&gt;0,MIN(1-'Exercise list'!P$2,IF($A326=$A325,AV325,1))-AA326&lt;0),-1,MIN(1,IF($A326=$A325,AV325,1)-AA326+$D$2))</f>
        <v>1</v>
      </c>
      <c r="AW326">
        <f>IF(OR($J326=1,COUNTIFS($A$5:$A325,"&gt;="&amp;$A326-1,$A$5:$A325,"&lt;="&amp;$A326,$B$5:$B325,$B326)&gt;0,MIN(1-'Exercise list'!Q$2,IF($A326=$A325,AW325,1))-AB326&lt;0),-1,MIN(1,IF($A326=$A325,AW325,1)-AB326+$D$2))</f>
        <v>1</v>
      </c>
      <c r="AX326">
        <f>IF(OR($J326=1,COUNTIFS($A$5:$A325,"&gt;="&amp;$A326-1,$A$5:$A325,"&lt;="&amp;$A326,$B$5:$B325,$B326)&gt;0,MIN(1-'Exercise list'!R$2,IF($A326=$A325,AX325,1))-AC326&lt;0),-1,MIN(1,IF($A326=$A325,AX325,1)-AC326+$D$2))</f>
        <v>1</v>
      </c>
      <c r="AY326">
        <f>IF(OR($J326=1,COUNTIFS($A$5:$A325,"&gt;="&amp;$A326-1,$A$5:$A325,"&lt;="&amp;$A326,$B$5:$B325,$B326)&gt;0,MIN(1-'Exercise list'!S$2,IF($A326=$A325,AY325,1))-AD326&lt;0),-1,MIN(1,IF($A326=$A325,AY325,1)-AD326+$D$2))</f>
        <v>1</v>
      </c>
      <c r="AZ326">
        <f>IF(OR($J326=1,COUNTIFS($A$5:$A325,"&gt;="&amp;$A326-1,$A$5:$A325,"&lt;="&amp;$A326,$B$5:$B325,$B326)&gt;0,MIN(1-'Exercise list'!T$2,IF($A326=$A325,AZ325,1))-AE326&lt;0),-1,MIN(1,IF($A326=$A325,AZ325,1)-AE326+$D$2))</f>
        <v>1</v>
      </c>
      <c r="BA326">
        <f>IF(OR($J326=1,COUNTIFS($A$5:$A325,"&gt;="&amp;$A326-1,$A$5:$A325,"&lt;="&amp;$A326,$B$5:$B325,$B326)&gt;0,MIN(1-'Exercise list'!U$2,IF($A326=$A325,BA325,1))-AF326&lt;0),-1,MIN(1,IF($A326=$A325,BA325,1)-AF326+$D$2))</f>
        <v>1</v>
      </c>
      <c r="BB326">
        <f>IF(OR($J326=1,COUNTIFS($A$5:$A325,"&gt;="&amp;$A326-1,$A$5:$A325,"&lt;="&amp;$A326,$B$5:$B325,$B326)&gt;0,MIN(1-'Exercise list'!V$2,IF($A326=$A325,BB325,1))-AG326&lt;0),-1,MIN(1,IF($A326=$A325,BB325,1)-AG326+$D$2))</f>
        <v>1</v>
      </c>
      <c r="BC326">
        <f>IF(OR($J326=1,COUNTIFS($A$5:$A325,"&gt;="&amp;$A326-1,$A$5:$A325,"&lt;="&amp;$A326,$B$5:$B325,$B326)&gt;0,MIN(1-'Exercise list'!W$2,IF($A326=$A325,BC325,1))-AH326&lt;0),-1,MIN(1,IF($A326=$A325,BC325,1)-AH326+$D$2))</f>
        <v>1</v>
      </c>
      <c r="BD326">
        <f>IF(OR($J326=1,COUNTIFS($A$5:$A325,"&gt;="&amp;$A326-1,$A$5:$A325,"&lt;="&amp;$A326,$B$5:$B325,$B326)&gt;0,MIN(1-'Exercise list'!X$2,IF($A326=$A325,BD325,1))-AI326&lt;0),-1,MIN(1,IF($A326=$A325,BD325,1)-AI326+$D$2))</f>
        <v>1</v>
      </c>
      <c r="BF326" s="16">
        <f t="shared" si="233"/>
        <v>0.19596031081758858</v>
      </c>
      <c r="BG326" s="16">
        <f t="shared" si="234"/>
        <v>0.21844636935459236</v>
      </c>
      <c r="BH326" s="16">
        <f t="shared" si="235"/>
        <v>0.14609696635987124</v>
      </c>
      <c r="BI326" s="16">
        <f t="shared" si="236"/>
        <v>0.13198015366034541</v>
      </c>
      <c r="BJ326" s="16">
        <f t="shared" si="237"/>
        <v>8.3367914198418713E-2</v>
      </c>
      <c r="BK326" s="16">
        <f t="shared" si="238"/>
        <v>0.10640640223148412</v>
      </c>
      <c r="BL326" s="16">
        <f t="shared" si="239"/>
        <v>0.21963504743569431</v>
      </c>
      <c r="BM326" s="16">
        <f t="shared" si="240"/>
        <v>3.8988008374820568E-3</v>
      </c>
      <c r="BN326" s="16">
        <f t="shared" si="241"/>
        <v>0.14537706087090876</v>
      </c>
      <c r="BO326" s="16">
        <f t="shared" si="242"/>
        <v>0.29209790661993401</v>
      </c>
      <c r="BP326" s="16">
        <f t="shared" si="243"/>
        <v>0.31584545163401867</v>
      </c>
      <c r="BQ326" s="16">
        <f t="shared" si="244"/>
        <v>0.1000007994126096</v>
      </c>
      <c r="BR326" s="16">
        <f t="shared" si="245"/>
        <v>0.13164487759885393</v>
      </c>
      <c r="BS326" s="16">
        <f t="shared" si="246"/>
        <v>2.9803550189863123E-2</v>
      </c>
      <c r="BT326" s="16">
        <f t="shared" si="247"/>
        <v>0.13492040904978705</v>
      </c>
      <c r="BU326" s="16">
        <f t="shared" si="248"/>
        <v>0.11703687414398131</v>
      </c>
      <c r="BV326" s="16">
        <f t="shared" si="249"/>
        <v>0.14633353213781661</v>
      </c>
      <c r="BW326" s="16">
        <f t="shared" si="250"/>
        <v>7.5588015111767173E-2</v>
      </c>
      <c r="BX326" s="16">
        <f t="shared" si="251"/>
        <v>8.0345659937185704E-2</v>
      </c>
      <c r="BY326" s="16">
        <f t="shared" si="252"/>
        <v>5.9014643151272549E-2</v>
      </c>
      <c r="CA326" s="16" t="str">
        <f t="shared" si="229"/>
        <v/>
      </c>
      <c r="CB326" s="16" t="str">
        <f t="shared" ref="CB326:CB389" si="254">IF($A326="","",MAX(0,CB$2/SUM($CA$2:$CT$2)*SUM($BF326:$BY326)-BG326))</f>
        <v/>
      </c>
      <c r="CC326" s="16" t="str">
        <f t="shared" ref="CC326:CC389" si="255">IF($A326="","",MAX(0,CC$2/SUM($CA$2:$CT$2)*SUM($BF326:$BY326)-BH326))</f>
        <v/>
      </c>
      <c r="CD326" s="16" t="str">
        <f t="shared" ref="CD326:CD389" si="256">IF($A326="","",MAX(0,CD$2/SUM($CA$2:$CT$2)*SUM($BF326:$BY326)-BI326))</f>
        <v/>
      </c>
      <c r="CE326" s="16" t="str">
        <f t="shared" ref="CE326:CE389" si="257">IF($A326="","",MAX(0,CE$2/SUM($CA$2:$CT$2)*SUM($BF326:$BY326)-BJ326))</f>
        <v/>
      </c>
      <c r="CF326" s="16" t="str">
        <f t="shared" ref="CF326:CF389" si="258">IF($A326="","",MAX(0,CF$2/SUM($CA$2:$CT$2)*SUM($BF326:$BY326)-BK326))</f>
        <v/>
      </c>
      <c r="CG326" s="16" t="str">
        <f t="shared" ref="CG326:CG389" si="259">IF($A326="","",MAX(0,CG$2/SUM($CA$2:$CT$2)*SUM($BF326:$BY326)-BL326))</f>
        <v/>
      </c>
      <c r="CH326" s="16" t="str">
        <f t="shared" ref="CH326:CH389" si="260">IF($A326="","",MAX(0,CH$2/SUM($CA$2:$CT$2)*SUM($BF326:$BY326)-BM326))</f>
        <v/>
      </c>
      <c r="CI326" s="16" t="str">
        <f t="shared" ref="CI326:CI389" si="261">IF($A326="","",MAX(0,CI$2/SUM($CA$2:$CT$2)*SUM($BF326:$BY326)-BN326))</f>
        <v/>
      </c>
      <c r="CJ326" s="16" t="str">
        <f t="shared" ref="CJ326:CJ389" si="262">IF($A326="","",MAX(0,CJ$2/SUM($CA$2:$CT$2)*SUM($BF326:$BY326)-BO326))</f>
        <v/>
      </c>
      <c r="CK326" s="16" t="str">
        <f t="shared" ref="CK326:CK389" si="263">IF($A326="","",MAX(0,CK$2/SUM($CA$2:$CT$2)*SUM($BF326:$BY326)-BP326))</f>
        <v/>
      </c>
      <c r="CL326" s="16" t="str">
        <f t="shared" ref="CL326:CL389" si="264">IF($A326="","",MAX(0,CL$2/SUM($CA$2:$CT$2)*SUM($BF326:$BY326)-BQ326))</f>
        <v/>
      </c>
      <c r="CM326" s="16" t="str">
        <f t="shared" ref="CM326:CM389" si="265">IF($A326="","",MAX(0,CM$2/SUM($CA$2:$CT$2)*SUM($BF326:$BY326)-BR326))</f>
        <v/>
      </c>
      <c r="CN326" s="16" t="str">
        <f t="shared" ref="CN326:CN389" si="266">IF($A326="","",MAX(0,CN$2/SUM($CA$2:$CT$2)*SUM($BF326:$BY326)-BS326))</f>
        <v/>
      </c>
      <c r="CO326" s="16" t="str">
        <f t="shared" ref="CO326:CO389" si="267">IF($A326="","",MAX(0,CO$2/SUM($CA$2:$CT$2)*SUM($BF326:$BY326)-BT326))</f>
        <v/>
      </c>
      <c r="CP326" s="16" t="str">
        <f t="shared" ref="CP326:CP389" si="268">IF($A326="","",MAX(0,CP$2/SUM($CA$2:$CT$2)*SUM($BF326:$BY326)-BU326))</f>
        <v/>
      </c>
      <c r="CQ326" s="16" t="str">
        <f t="shared" ref="CQ326:CQ389" si="269">IF($A326="","",MAX(0,CQ$2/SUM($CA$2:$CT$2)*SUM($BF326:$BY326)-BV326))</f>
        <v/>
      </c>
      <c r="CR326" s="16" t="str">
        <f t="shared" ref="CR326:CR389" si="270">IF($A326="","",MAX(0,CR$2/SUM($CA$2:$CT$2)*SUM($BF326:$BY326)-BW326))</f>
        <v/>
      </c>
      <c r="CS326" s="16" t="str">
        <f t="shared" ref="CS326:CS389" si="271">IF($A326="","",MAX(0,CS$2/SUM($CA$2:$CT$2)*SUM($BF326:$BY326)-BX326))</f>
        <v/>
      </c>
      <c r="CT326" s="16" t="str">
        <f t="shared" ref="CT326:CT389" si="272">IF($A326="","",MAX(0,CT$2/SUM($CA$2:$CT$2)*SUM($BF326:$BY326)-BY326))</f>
        <v/>
      </c>
    </row>
    <row r="327" spans="1:99" x14ac:dyDescent="0.25">
      <c r="A327" s="13"/>
      <c r="B327" s="14"/>
      <c r="C327" s="15" t="str" cm="1">
        <f t="array" ref="C327">IF(B327="","",INDEX('Exercise list'!$C$5:$C$102,B327))</f>
        <v/>
      </c>
      <c r="D327" s="12" t="str">
        <f t="shared" si="230"/>
        <v/>
      </c>
      <c r="E327" s="107" t="str">
        <f t="shared" si="253"/>
        <v/>
      </c>
      <c r="F327" s="63" t="str" cm="1">
        <f t="array" ref="F327">IF(B327="","",0.1+IFERROR(INDEX($F$6:$F326,SUMPRODUCT(MAX(ROW($C$6:$C326)*($C327=$C$6:$C326))-ROW($A$5)))*0.9^($A327-INDEX($A$6:A326,SUMPRODUCT(MAX(ROW($C$6:$C326)*($C327=$C$6:$C326))-ROW($A$5)))),0))</f>
        <v/>
      </c>
      <c r="G327" s="64" t="e">
        <f>INDEX('Exercise list'!$Y$5:$Y$102,MATCH(C327,'Exercise list'!$C$5:$C$102,0))</f>
        <v>#N/A</v>
      </c>
      <c r="H327" s="115">
        <f t="shared" si="231"/>
        <v>0</v>
      </c>
      <c r="I327" s="6">
        <f t="shared" si="232"/>
        <v>5</v>
      </c>
      <c r="J327" s="6" t="str" cm="1">
        <f t="array" ref="J327">IF(B327="","",INDEX('Exercise list'!$D$5:$D$102,B327))</f>
        <v/>
      </c>
      <c r="K327" s="12"/>
      <c r="L327" s="74" t="str" cm="1">
        <f t="array" ref="L327">IF(K327="","",INDEX('Exercise list'!$C$5:$C$102,K327))</f>
        <v/>
      </c>
      <c r="M327" s="6"/>
      <c r="N327" s="75" t="str" cm="1">
        <f t="array" ref="N327">IF(M327="","",INDEX('Exercise list'!$C$5:$C$102,M327))</f>
        <v/>
      </c>
      <c r="P327">
        <f>IFERROR(INDEX('Exercise list'!$E$5:$X$102,MATCH($C327,'Exercise list'!$C$5:$C$102,0),MATCH(P$5,'Exercise list'!$E$4:$X$4,0)),0)</f>
        <v>0</v>
      </c>
      <c r="Q327">
        <f>IFERROR(INDEX('Exercise list'!$E$5:$X$102,MATCH($C327,'Exercise list'!$C$5:$C$102,0),MATCH(Q$5,'Exercise list'!$E$4:$X$4,0)),0)</f>
        <v>0</v>
      </c>
      <c r="R327">
        <f>IFERROR(INDEX('Exercise list'!$E$5:$X$102,MATCH($C327,'Exercise list'!$C$5:$C$102,0),MATCH(R$5,'Exercise list'!$E$4:$X$4,0)),0)</f>
        <v>0</v>
      </c>
      <c r="S327">
        <f>IFERROR(INDEX('Exercise list'!$E$5:$X$102,MATCH($C327,'Exercise list'!$C$5:$C$102,0),MATCH(S$5,'Exercise list'!$E$4:$X$4,0)),0)</f>
        <v>0</v>
      </c>
      <c r="T327">
        <f>IFERROR(INDEX('Exercise list'!$E$5:$X$102,MATCH($C327,'Exercise list'!$C$5:$C$102,0),MATCH(T$5,'Exercise list'!$E$4:$X$4,0)),0)</f>
        <v>0</v>
      </c>
      <c r="U327">
        <f>IFERROR(INDEX('Exercise list'!$E$5:$X$102,MATCH($C327,'Exercise list'!$C$5:$C$102,0),MATCH(U$5,'Exercise list'!$E$4:$X$4,0)),0)</f>
        <v>0</v>
      </c>
      <c r="V327">
        <f>IFERROR(INDEX('Exercise list'!$E$5:$X$102,MATCH($C327,'Exercise list'!$C$5:$C$102,0),MATCH(V$5,'Exercise list'!$E$4:$X$4,0)),0)</f>
        <v>0</v>
      </c>
      <c r="W327">
        <f>IFERROR(INDEX('Exercise list'!$E$5:$X$102,MATCH($C327,'Exercise list'!$C$5:$C$102,0),MATCH(W$5,'Exercise list'!$E$4:$X$4,0)),0)</f>
        <v>0</v>
      </c>
      <c r="X327">
        <f>IFERROR(INDEX('Exercise list'!$E$5:$X$102,MATCH($C327,'Exercise list'!$C$5:$C$102,0),MATCH(X$5,'Exercise list'!$E$4:$X$4,0)),0)</f>
        <v>0</v>
      </c>
      <c r="Y327">
        <f>IFERROR(INDEX('Exercise list'!$E$5:$X$102,MATCH($C327,'Exercise list'!$C$5:$C$102,0),MATCH(Y$5,'Exercise list'!$E$4:$X$4,0)),0)</f>
        <v>0</v>
      </c>
      <c r="Z327">
        <f>IFERROR(INDEX('Exercise list'!$E$5:$X$102,MATCH($C327,'Exercise list'!$C$5:$C$102,0),MATCH(Z$5,'Exercise list'!$E$4:$X$4,0)),0)</f>
        <v>0</v>
      </c>
      <c r="AA327">
        <f>IFERROR(INDEX('Exercise list'!$E$5:$X$102,MATCH($C327,'Exercise list'!$C$5:$C$102,0),MATCH(AA$5,'Exercise list'!$E$4:$X$4,0)),0)</f>
        <v>0</v>
      </c>
      <c r="AB327">
        <f>IFERROR(INDEX('Exercise list'!$E$5:$X$102,MATCH($C327,'Exercise list'!$C$5:$C$102,0),MATCH(AB$5,'Exercise list'!$E$4:$X$4,0)),0)</f>
        <v>0</v>
      </c>
      <c r="AC327">
        <f>IFERROR(INDEX('Exercise list'!$E$5:$X$102,MATCH($C327,'Exercise list'!$C$5:$C$102,0),MATCH(AC$5,'Exercise list'!$E$4:$X$4,0)),0)</f>
        <v>0</v>
      </c>
      <c r="AD327">
        <f>IFERROR(INDEX('Exercise list'!$E$5:$X$102,MATCH($C327,'Exercise list'!$C$5:$C$102,0),MATCH(AD$5,'Exercise list'!$E$4:$X$4,0)),0)</f>
        <v>0</v>
      </c>
      <c r="AE327">
        <f>IFERROR(INDEX('Exercise list'!$E$5:$X$102,MATCH($C327,'Exercise list'!$C$5:$C$102,0),MATCH(AE$5,'Exercise list'!$E$4:$X$4,0)),0)</f>
        <v>0</v>
      </c>
      <c r="AF327">
        <f>IFERROR(INDEX('Exercise list'!$E$5:$X$102,MATCH($C327,'Exercise list'!$C$5:$C$102,0),MATCH(AF$5,'Exercise list'!$E$4:$X$4,0)),0)</f>
        <v>0</v>
      </c>
      <c r="AG327">
        <f>IFERROR(INDEX('Exercise list'!$E$5:$X$102,MATCH($C327,'Exercise list'!$C$5:$C$102,0),MATCH(AG$5,'Exercise list'!$E$4:$X$4,0)),0)</f>
        <v>0</v>
      </c>
      <c r="AH327">
        <f>IFERROR(INDEX('Exercise list'!$E$5:$X$102,MATCH($C327,'Exercise list'!$C$5:$C$102,0),MATCH(AH$5,'Exercise list'!$E$4:$X$4,0)),0)</f>
        <v>0</v>
      </c>
      <c r="AI327">
        <f>IFERROR(INDEX('Exercise list'!$E$5:$X$102,MATCH($C327,'Exercise list'!$C$5:$C$102,0),MATCH(AI$5,'Exercise list'!$E$4:$X$4,0)),0)</f>
        <v>0</v>
      </c>
      <c r="AK327">
        <f>IF(OR($J327=1,COUNTIFS($A$5:$A326,"&gt;="&amp;$A327-1,$A$5:$A326,"&lt;="&amp;$A327,$B$5:$B326,$B327)&gt;0,MIN(1-'Exercise list'!E$2,IF($A327=$A326,AK326,1))-P327&lt;0),-1,MIN(1,IF($A327=$A326,AK326,1)-P327+$D$2))</f>
        <v>1</v>
      </c>
      <c r="AL327">
        <f>IF(OR($J327=1,COUNTIFS($A$5:$A326,"&gt;="&amp;$A327-1,$A$5:$A326,"&lt;="&amp;$A327,$B$5:$B326,$B327)&gt;0,MIN(1-'Exercise list'!F$2,IF($A327=$A326,AL326,1))-Q327&lt;0),-1,MIN(1,IF($A327=$A326,AL326,1)-Q327+$D$2))</f>
        <v>1</v>
      </c>
      <c r="AM327">
        <f>IF(OR($J327=1,COUNTIFS($A$5:$A326,"&gt;="&amp;$A327-1,$A$5:$A326,"&lt;="&amp;$A327,$B$5:$B326,$B327)&gt;0,MIN(1-'Exercise list'!G$2,IF($A327=$A326,AM326,1))-R327&lt;0),-1,MIN(1,IF($A327=$A326,AM326,1)-R327+$D$2))</f>
        <v>1</v>
      </c>
      <c r="AN327">
        <f>IF(OR($J327=1,COUNTIFS($A$5:$A326,"&gt;="&amp;$A327-1,$A$5:$A326,"&lt;="&amp;$A327,$B$5:$B326,$B327)&gt;0,MIN(1-'Exercise list'!H$2,IF($A327=$A326,AN326,1))-S327&lt;0),-1,MIN(1,IF($A327=$A326,AN326,1)-S327+$D$2))</f>
        <v>1</v>
      </c>
      <c r="AO327">
        <f>IF(OR($J327=1,COUNTIFS($A$5:$A326,"&gt;="&amp;$A327-1,$A$5:$A326,"&lt;="&amp;$A327,$B$5:$B326,$B327)&gt;0,MIN(1-'Exercise list'!I$2,IF($A327=$A326,AO326,1))-T327&lt;0),-1,MIN(1,IF($A327=$A326,AO326,1)-T327+$D$2))</f>
        <v>1</v>
      </c>
      <c r="AP327">
        <f>IF(OR($J327=1,COUNTIFS($A$5:$A326,"&gt;="&amp;$A327-1,$A$5:$A326,"&lt;="&amp;$A327,$B$5:$B326,$B327)&gt;0,MIN(1-'Exercise list'!J$2,IF($A327=$A326,AP326,1))-U327&lt;0),-1,MIN(1,IF($A327=$A326,AP326,1)-U327+$D$2))</f>
        <v>1</v>
      </c>
      <c r="AQ327">
        <f>IF(OR($J327=1,COUNTIFS($A$5:$A326,"&gt;="&amp;$A327-1,$A$5:$A326,"&lt;="&amp;$A327,$B$5:$B326,$B327)&gt;0,MIN(1-'Exercise list'!K$2,IF($A327=$A326,AQ326,1))-V327&lt;0),-1,MIN(1,IF($A327=$A326,AQ326,1)-V327+$D$2))</f>
        <v>1</v>
      </c>
      <c r="AR327">
        <f>IF(OR($J327=1,COUNTIFS($A$5:$A326,"&gt;="&amp;$A327-1,$A$5:$A326,"&lt;="&amp;$A327,$B$5:$B326,$B327)&gt;0,MIN(1-'Exercise list'!L$2,IF($A327=$A326,AR326,1))-W327&lt;0),-1,MIN(1,IF($A327=$A326,AR326,1)-W327+$D$2))</f>
        <v>1</v>
      </c>
      <c r="AS327">
        <f>IF(OR($J327=1,COUNTIFS($A$5:$A326,"&gt;="&amp;$A327-1,$A$5:$A326,"&lt;="&amp;$A327,$B$5:$B326,$B327)&gt;0,MIN(1-'Exercise list'!M$2,IF($A327=$A326,AS326,1))-X327&lt;0),-1,MIN(1,IF($A327=$A326,AS326,1)-X327+$D$2))</f>
        <v>1</v>
      </c>
      <c r="AT327">
        <f>IF(OR($J327=1,COUNTIFS($A$5:$A326,"&gt;="&amp;$A327-1,$A$5:$A326,"&lt;="&amp;$A327,$B$5:$B326,$B327)&gt;0,MIN(1-'Exercise list'!N$2,IF($A327=$A326,AT326,1))-Y327&lt;0),-1,MIN(1,IF($A327=$A326,AT326,1)-Y327+$D$2))</f>
        <v>1</v>
      </c>
      <c r="AU327">
        <f>IF(OR($J327=1,COUNTIFS($A$5:$A326,"&gt;="&amp;$A327-1,$A$5:$A326,"&lt;="&amp;$A327,$B$5:$B326,$B327)&gt;0,MIN(1-'Exercise list'!O$2,IF($A327=$A326,AU326,1))-Z327&lt;0),-1,MIN(1,IF($A327=$A326,AU326,1)-Z327+$D$2))</f>
        <v>1</v>
      </c>
      <c r="AV327">
        <f>IF(OR($J327=1,COUNTIFS($A$5:$A326,"&gt;="&amp;$A327-1,$A$5:$A326,"&lt;="&amp;$A327,$B$5:$B326,$B327)&gt;0,MIN(1-'Exercise list'!P$2,IF($A327=$A326,AV326,1))-AA327&lt;0),-1,MIN(1,IF($A327=$A326,AV326,1)-AA327+$D$2))</f>
        <v>1</v>
      </c>
      <c r="AW327">
        <f>IF(OR($J327=1,COUNTIFS($A$5:$A326,"&gt;="&amp;$A327-1,$A$5:$A326,"&lt;="&amp;$A327,$B$5:$B326,$B327)&gt;0,MIN(1-'Exercise list'!Q$2,IF($A327=$A326,AW326,1))-AB327&lt;0),-1,MIN(1,IF($A327=$A326,AW326,1)-AB327+$D$2))</f>
        <v>1</v>
      </c>
      <c r="AX327">
        <f>IF(OR($J327=1,COUNTIFS($A$5:$A326,"&gt;="&amp;$A327-1,$A$5:$A326,"&lt;="&amp;$A327,$B$5:$B326,$B327)&gt;0,MIN(1-'Exercise list'!R$2,IF($A327=$A326,AX326,1))-AC327&lt;0),-1,MIN(1,IF($A327=$A326,AX326,1)-AC327+$D$2))</f>
        <v>1</v>
      </c>
      <c r="AY327">
        <f>IF(OR($J327=1,COUNTIFS($A$5:$A326,"&gt;="&amp;$A327-1,$A$5:$A326,"&lt;="&amp;$A327,$B$5:$B326,$B327)&gt;0,MIN(1-'Exercise list'!S$2,IF($A327=$A326,AY326,1))-AD327&lt;0),-1,MIN(1,IF($A327=$A326,AY326,1)-AD327+$D$2))</f>
        <v>1</v>
      </c>
      <c r="AZ327">
        <f>IF(OR($J327=1,COUNTIFS($A$5:$A326,"&gt;="&amp;$A327-1,$A$5:$A326,"&lt;="&amp;$A327,$B$5:$B326,$B327)&gt;0,MIN(1-'Exercise list'!T$2,IF($A327=$A326,AZ326,1))-AE327&lt;0),-1,MIN(1,IF($A327=$A326,AZ326,1)-AE327+$D$2))</f>
        <v>1</v>
      </c>
      <c r="BA327">
        <f>IF(OR($J327=1,COUNTIFS($A$5:$A326,"&gt;="&amp;$A327-1,$A$5:$A326,"&lt;="&amp;$A327,$B$5:$B326,$B327)&gt;0,MIN(1-'Exercise list'!U$2,IF($A327=$A326,BA326,1))-AF327&lt;0),-1,MIN(1,IF($A327=$A326,BA326,1)-AF327+$D$2))</f>
        <v>1</v>
      </c>
      <c r="BB327">
        <f>IF(OR($J327=1,COUNTIFS($A$5:$A326,"&gt;="&amp;$A327-1,$A$5:$A326,"&lt;="&amp;$A327,$B$5:$B326,$B327)&gt;0,MIN(1-'Exercise list'!V$2,IF($A327=$A326,BB326,1))-AG327&lt;0),-1,MIN(1,IF($A327=$A326,BB326,1)-AG327+$D$2))</f>
        <v>1</v>
      </c>
      <c r="BC327">
        <f>IF(OR($J327=1,COUNTIFS($A$5:$A326,"&gt;="&amp;$A327-1,$A$5:$A326,"&lt;="&amp;$A327,$B$5:$B326,$B327)&gt;0,MIN(1-'Exercise list'!W$2,IF($A327=$A326,BC326,1))-AH327&lt;0),-1,MIN(1,IF($A327=$A326,BC326,1)-AH327+$D$2))</f>
        <v>1</v>
      </c>
      <c r="BD327">
        <f>IF(OR($J327=1,COUNTIFS($A$5:$A326,"&gt;="&amp;$A327-1,$A$5:$A326,"&lt;="&amp;$A327,$B$5:$B326,$B327)&gt;0,MIN(1-'Exercise list'!X$2,IF($A327=$A326,BD326,1))-AI327&lt;0),-1,MIN(1,IF($A327=$A326,BD326,1)-AI327+$D$2))</f>
        <v>1</v>
      </c>
      <c r="BF327" s="16">
        <f t="shared" si="233"/>
        <v>0.19596031081758858</v>
      </c>
      <c r="BG327" s="16">
        <f t="shared" si="234"/>
        <v>0.21844636935459236</v>
      </c>
      <c r="BH327" s="16">
        <f t="shared" si="235"/>
        <v>0.14609696635987124</v>
      </c>
      <c r="BI327" s="16">
        <f t="shared" si="236"/>
        <v>0.13198015366034541</v>
      </c>
      <c r="BJ327" s="16">
        <f t="shared" si="237"/>
        <v>8.3367914198418713E-2</v>
      </c>
      <c r="BK327" s="16">
        <f t="shared" si="238"/>
        <v>0.10640640223148412</v>
      </c>
      <c r="BL327" s="16">
        <f t="shared" si="239"/>
        <v>0.21963504743569431</v>
      </c>
      <c r="BM327" s="16">
        <f t="shared" si="240"/>
        <v>3.8988008374820568E-3</v>
      </c>
      <c r="BN327" s="16">
        <f t="shared" si="241"/>
        <v>0.14537706087090876</v>
      </c>
      <c r="BO327" s="16">
        <f t="shared" si="242"/>
        <v>0.29209790661993401</v>
      </c>
      <c r="BP327" s="16">
        <f t="shared" si="243"/>
        <v>0.31584545163401867</v>
      </c>
      <c r="BQ327" s="16">
        <f t="shared" si="244"/>
        <v>0.1000007994126096</v>
      </c>
      <c r="BR327" s="16">
        <f t="shared" si="245"/>
        <v>0.13164487759885393</v>
      </c>
      <c r="BS327" s="16">
        <f t="shared" si="246"/>
        <v>2.9803550189863123E-2</v>
      </c>
      <c r="BT327" s="16">
        <f t="shared" si="247"/>
        <v>0.13492040904978705</v>
      </c>
      <c r="BU327" s="16">
        <f t="shared" si="248"/>
        <v>0.11703687414398131</v>
      </c>
      <c r="BV327" s="16">
        <f t="shared" si="249"/>
        <v>0.14633353213781661</v>
      </c>
      <c r="BW327" s="16">
        <f t="shared" si="250"/>
        <v>7.5588015111767173E-2</v>
      </c>
      <c r="BX327" s="16">
        <f t="shared" si="251"/>
        <v>8.0345659937185704E-2</v>
      </c>
      <c r="BY327" s="16">
        <f t="shared" si="252"/>
        <v>5.9014643151272549E-2</v>
      </c>
      <c r="CA327" s="16" t="str">
        <f t="shared" si="229"/>
        <v/>
      </c>
      <c r="CB327" s="16" t="str">
        <f t="shared" si="254"/>
        <v/>
      </c>
      <c r="CC327" s="16" t="str">
        <f t="shared" si="255"/>
        <v/>
      </c>
      <c r="CD327" s="16" t="str">
        <f t="shared" si="256"/>
        <v/>
      </c>
      <c r="CE327" s="16" t="str">
        <f t="shared" si="257"/>
        <v/>
      </c>
      <c r="CF327" s="16" t="str">
        <f t="shared" si="258"/>
        <v/>
      </c>
      <c r="CG327" s="16" t="str">
        <f t="shared" si="259"/>
        <v/>
      </c>
      <c r="CH327" s="16" t="str">
        <f t="shared" si="260"/>
        <v/>
      </c>
      <c r="CI327" s="16" t="str">
        <f t="shared" si="261"/>
        <v/>
      </c>
      <c r="CJ327" s="16" t="str">
        <f t="shared" si="262"/>
        <v/>
      </c>
      <c r="CK327" s="16" t="str">
        <f t="shared" si="263"/>
        <v/>
      </c>
      <c r="CL327" s="16" t="str">
        <f t="shared" si="264"/>
        <v/>
      </c>
      <c r="CM327" s="16" t="str">
        <f t="shared" si="265"/>
        <v/>
      </c>
      <c r="CN327" s="16" t="str">
        <f t="shared" si="266"/>
        <v/>
      </c>
      <c r="CO327" s="16" t="str">
        <f t="shared" si="267"/>
        <v/>
      </c>
      <c r="CP327" s="16" t="str">
        <f t="shared" si="268"/>
        <v/>
      </c>
      <c r="CQ327" s="16" t="str">
        <f t="shared" si="269"/>
        <v/>
      </c>
      <c r="CR327" s="16" t="str">
        <f t="shared" si="270"/>
        <v/>
      </c>
      <c r="CS327" s="16" t="str">
        <f t="shared" si="271"/>
        <v/>
      </c>
      <c r="CT327" s="16" t="str">
        <f t="shared" si="272"/>
        <v/>
      </c>
    </row>
    <row r="328" spans="1:99" x14ac:dyDescent="0.25">
      <c r="A328" s="20"/>
      <c r="B328" s="21"/>
      <c r="C328" s="22" t="str" cm="1">
        <f t="array" ref="C328">IF(B328="","",INDEX('Exercise list'!$C$5:$C$102,B328))</f>
        <v/>
      </c>
      <c r="D328" s="17" t="str">
        <f t="shared" si="230"/>
        <v/>
      </c>
      <c r="E328" s="108" t="str">
        <f t="shared" si="253"/>
        <v/>
      </c>
      <c r="F328" s="65" t="str" cm="1">
        <f t="array" ref="F328">IF(B328="","",0.1+IFERROR(INDEX($F$6:$F327,SUMPRODUCT(MAX(ROW($C$6:$C327)*($C328=$C$6:$C327))-ROW($A$5)))*0.9^($A328-INDEX($A$6:A327,SUMPRODUCT(MAX(ROW($C$6:$C327)*($C328=$C$6:$C327))-ROW($A$5)))),0))</f>
        <v/>
      </c>
      <c r="G328" s="25" t="e">
        <f>INDEX('Exercise list'!$Y$5:$Y$102,MATCH(C328,'Exercise list'!$C$5:$C$102,0))</f>
        <v>#N/A</v>
      </c>
      <c r="H328" s="116">
        <f t="shared" si="231"/>
        <v>0</v>
      </c>
      <c r="I328" s="18">
        <f t="shared" si="232"/>
        <v>5</v>
      </c>
      <c r="J328" s="18" t="str" cm="1">
        <f t="array" ref="J328">IF(B328="","",INDEX('Exercise list'!$D$5:$D$102,B328))</f>
        <v/>
      </c>
      <c r="K328" s="17"/>
      <c r="L328" s="51" t="str" cm="1">
        <f t="array" ref="L328">IF(K328="","",INDEX('Exercise list'!$C$5:$C$102,K328))</f>
        <v/>
      </c>
      <c r="M328" s="18"/>
      <c r="N328" s="76" t="str" cm="1">
        <f t="array" ref="N328">IF(M328="","",INDEX('Exercise list'!$C$5:$C$102,M328))</f>
        <v/>
      </c>
      <c r="O328" s="19"/>
      <c r="P328" s="19">
        <f>IFERROR(INDEX('Exercise list'!$E$5:$X$102,MATCH($C328,'Exercise list'!$C$5:$C$102,0),MATCH(P$5,'Exercise list'!$E$4:$X$4,0)),0)</f>
        <v>0</v>
      </c>
      <c r="Q328" s="19">
        <f>IFERROR(INDEX('Exercise list'!$E$5:$X$102,MATCH($C328,'Exercise list'!$C$5:$C$102,0),MATCH(Q$5,'Exercise list'!$E$4:$X$4,0)),0)</f>
        <v>0</v>
      </c>
      <c r="R328" s="19">
        <f>IFERROR(INDEX('Exercise list'!$E$5:$X$102,MATCH($C328,'Exercise list'!$C$5:$C$102,0),MATCH(R$5,'Exercise list'!$E$4:$X$4,0)),0)</f>
        <v>0</v>
      </c>
      <c r="S328" s="19">
        <f>IFERROR(INDEX('Exercise list'!$E$5:$X$102,MATCH($C328,'Exercise list'!$C$5:$C$102,0),MATCH(S$5,'Exercise list'!$E$4:$X$4,0)),0)</f>
        <v>0</v>
      </c>
      <c r="T328" s="19">
        <f>IFERROR(INDEX('Exercise list'!$E$5:$X$102,MATCH($C328,'Exercise list'!$C$5:$C$102,0),MATCH(T$5,'Exercise list'!$E$4:$X$4,0)),0)</f>
        <v>0</v>
      </c>
      <c r="U328" s="19">
        <f>IFERROR(INDEX('Exercise list'!$E$5:$X$102,MATCH($C328,'Exercise list'!$C$5:$C$102,0),MATCH(U$5,'Exercise list'!$E$4:$X$4,0)),0)</f>
        <v>0</v>
      </c>
      <c r="V328" s="19">
        <f>IFERROR(INDEX('Exercise list'!$E$5:$X$102,MATCH($C328,'Exercise list'!$C$5:$C$102,0),MATCH(V$5,'Exercise list'!$E$4:$X$4,0)),0)</f>
        <v>0</v>
      </c>
      <c r="W328" s="19">
        <f>IFERROR(INDEX('Exercise list'!$E$5:$X$102,MATCH($C328,'Exercise list'!$C$5:$C$102,0),MATCH(W$5,'Exercise list'!$E$4:$X$4,0)),0)</f>
        <v>0</v>
      </c>
      <c r="X328" s="19">
        <f>IFERROR(INDEX('Exercise list'!$E$5:$X$102,MATCH($C328,'Exercise list'!$C$5:$C$102,0),MATCH(X$5,'Exercise list'!$E$4:$X$4,0)),0)</f>
        <v>0</v>
      </c>
      <c r="Y328" s="19">
        <f>IFERROR(INDEX('Exercise list'!$E$5:$X$102,MATCH($C328,'Exercise list'!$C$5:$C$102,0),MATCH(Y$5,'Exercise list'!$E$4:$X$4,0)),0)</f>
        <v>0</v>
      </c>
      <c r="Z328" s="19">
        <f>IFERROR(INDEX('Exercise list'!$E$5:$X$102,MATCH($C328,'Exercise list'!$C$5:$C$102,0),MATCH(Z$5,'Exercise list'!$E$4:$X$4,0)),0)</f>
        <v>0</v>
      </c>
      <c r="AA328" s="19">
        <f>IFERROR(INDEX('Exercise list'!$E$5:$X$102,MATCH($C328,'Exercise list'!$C$5:$C$102,0),MATCH(AA$5,'Exercise list'!$E$4:$X$4,0)),0)</f>
        <v>0</v>
      </c>
      <c r="AB328" s="19">
        <f>IFERROR(INDEX('Exercise list'!$E$5:$X$102,MATCH($C328,'Exercise list'!$C$5:$C$102,0),MATCH(AB$5,'Exercise list'!$E$4:$X$4,0)),0)</f>
        <v>0</v>
      </c>
      <c r="AC328" s="19">
        <f>IFERROR(INDEX('Exercise list'!$E$5:$X$102,MATCH($C328,'Exercise list'!$C$5:$C$102,0),MATCH(AC$5,'Exercise list'!$E$4:$X$4,0)),0)</f>
        <v>0</v>
      </c>
      <c r="AD328" s="19">
        <f>IFERROR(INDEX('Exercise list'!$E$5:$X$102,MATCH($C328,'Exercise list'!$C$5:$C$102,0),MATCH(AD$5,'Exercise list'!$E$4:$X$4,0)),0)</f>
        <v>0</v>
      </c>
      <c r="AE328" s="19">
        <f>IFERROR(INDEX('Exercise list'!$E$5:$X$102,MATCH($C328,'Exercise list'!$C$5:$C$102,0),MATCH(AE$5,'Exercise list'!$E$4:$X$4,0)),0)</f>
        <v>0</v>
      </c>
      <c r="AF328" s="19">
        <f>IFERROR(INDEX('Exercise list'!$E$5:$X$102,MATCH($C328,'Exercise list'!$C$5:$C$102,0),MATCH(AF$5,'Exercise list'!$E$4:$X$4,0)),0)</f>
        <v>0</v>
      </c>
      <c r="AG328" s="19">
        <f>IFERROR(INDEX('Exercise list'!$E$5:$X$102,MATCH($C328,'Exercise list'!$C$5:$C$102,0),MATCH(AG$5,'Exercise list'!$E$4:$X$4,0)),0)</f>
        <v>0</v>
      </c>
      <c r="AH328" s="19">
        <f>IFERROR(INDEX('Exercise list'!$E$5:$X$102,MATCH($C328,'Exercise list'!$C$5:$C$102,0),MATCH(AH$5,'Exercise list'!$E$4:$X$4,0)),0)</f>
        <v>0</v>
      </c>
      <c r="AI328" s="19">
        <f>IFERROR(INDEX('Exercise list'!$E$5:$X$102,MATCH($C328,'Exercise list'!$C$5:$C$102,0),MATCH(AI$5,'Exercise list'!$E$4:$X$4,0)),0)</f>
        <v>0</v>
      </c>
      <c r="AJ328" s="19"/>
      <c r="AK328" s="19">
        <f>IF(OR($J328=1,COUNTIFS($A$5:$A327,"&gt;="&amp;$A328-1,$A$5:$A327,"&lt;="&amp;$A328,$B$5:$B327,$B328)&gt;0,MIN(1-'Exercise list'!E$2,IF($A328=$A327,AK327,1))-P328&lt;0),-1,MIN(1,IF($A328=$A327,AK327,1)-P328+$D$2))</f>
        <v>1</v>
      </c>
      <c r="AL328" s="19">
        <f>IF(OR($J328=1,COUNTIFS($A$5:$A327,"&gt;="&amp;$A328-1,$A$5:$A327,"&lt;="&amp;$A328,$B$5:$B327,$B328)&gt;0,MIN(1-'Exercise list'!F$2,IF($A328=$A327,AL327,1))-Q328&lt;0),-1,MIN(1,IF($A328=$A327,AL327,1)-Q328+$D$2))</f>
        <v>1</v>
      </c>
      <c r="AM328" s="19">
        <f>IF(OR($J328=1,COUNTIFS($A$5:$A327,"&gt;="&amp;$A328-1,$A$5:$A327,"&lt;="&amp;$A328,$B$5:$B327,$B328)&gt;0,MIN(1-'Exercise list'!G$2,IF($A328=$A327,AM327,1))-R328&lt;0),-1,MIN(1,IF($A328=$A327,AM327,1)-R328+$D$2))</f>
        <v>1</v>
      </c>
      <c r="AN328" s="19">
        <f>IF(OR($J328=1,COUNTIFS($A$5:$A327,"&gt;="&amp;$A328-1,$A$5:$A327,"&lt;="&amp;$A328,$B$5:$B327,$B328)&gt;0,MIN(1-'Exercise list'!H$2,IF($A328=$A327,AN327,1))-S328&lt;0),-1,MIN(1,IF($A328=$A327,AN327,1)-S328+$D$2))</f>
        <v>1</v>
      </c>
      <c r="AO328" s="19">
        <f>IF(OR($J328=1,COUNTIFS($A$5:$A327,"&gt;="&amp;$A328-1,$A$5:$A327,"&lt;="&amp;$A328,$B$5:$B327,$B328)&gt;0,MIN(1-'Exercise list'!I$2,IF($A328=$A327,AO327,1))-T328&lt;0),-1,MIN(1,IF($A328=$A327,AO327,1)-T328+$D$2))</f>
        <v>1</v>
      </c>
      <c r="AP328" s="19">
        <f>IF(OR($J328=1,COUNTIFS($A$5:$A327,"&gt;="&amp;$A328-1,$A$5:$A327,"&lt;="&amp;$A328,$B$5:$B327,$B328)&gt;0,MIN(1-'Exercise list'!J$2,IF($A328=$A327,AP327,1))-U328&lt;0),-1,MIN(1,IF($A328=$A327,AP327,1)-U328+$D$2))</f>
        <v>1</v>
      </c>
      <c r="AQ328" s="19">
        <f>IF(OR($J328=1,COUNTIFS($A$5:$A327,"&gt;="&amp;$A328-1,$A$5:$A327,"&lt;="&amp;$A328,$B$5:$B327,$B328)&gt;0,MIN(1-'Exercise list'!K$2,IF($A328=$A327,AQ327,1))-V328&lt;0),-1,MIN(1,IF($A328=$A327,AQ327,1)-V328+$D$2))</f>
        <v>1</v>
      </c>
      <c r="AR328" s="19">
        <f>IF(OR($J328=1,COUNTIFS($A$5:$A327,"&gt;="&amp;$A328-1,$A$5:$A327,"&lt;="&amp;$A328,$B$5:$B327,$B328)&gt;0,MIN(1-'Exercise list'!L$2,IF($A328=$A327,AR327,1))-W328&lt;0),-1,MIN(1,IF($A328=$A327,AR327,1)-W328+$D$2))</f>
        <v>1</v>
      </c>
      <c r="AS328" s="19">
        <f>IF(OR($J328=1,COUNTIFS($A$5:$A327,"&gt;="&amp;$A328-1,$A$5:$A327,"&lt;="&amp;$A328,$B$5:$B327,$B328)&gt;0,MIN(1-'Exercise list'!M$2,IF($A328=$A327,AS327,1))-X328&lt;0),-1,MIN(1,IF($A328=$A327,AS327,1)-X328+$D$2))</f>
        <v>1</v>
      </c>
      <c r="AT328" s="19">
        <f>IF(OR($J328=1,COUNTIFS($A$5:$A327,"&gt;="&amp;$A328-1,$A$5:$A327,"&lt;="&amp;$A328,$B$5:$B327,$B328)&gt;0,MIN(1-'Exercise list'!N$2,IF($A328=$A327,AT327,1))-Y328&lt;0),-1,MIN(1,IF($A328=$A327,AT327,1)-Y328+$D$2))</f>
        <v>1</v>
      </c>
      <c r="AU328" s="19">
        <f>IF(OR($J328=1,COUNTIFS($A$5:$A327,"&gt;="&amp;$A328-1,$A$5:$A327,"&lt;="&amp;$A328,$B$5:$B327,$B328)&gt;0,MIN(1-'Exercise list'!O$2,IF($A328=$A327,AU327,1))-Z328&lt;0),-1,MIN(1,IF($A328=$A327,AU327,1)-Z328+$D$2))</f>
        <v>1</v>
      </c>
      <c r="AV328" s="19">
        <f>IF(OR($J328=1,COUNTIFS($A$5:$A327,"&gt;="&amp;$A328-1,$A$5:$A327,"&lt;="&amp;$A328,$B$5:$B327,$B328)&gt;0,MIN(1-'Exercise list'!P$2,IF($A328=$A327,AV327,1))-AA328&lt;0),-1,MIN(1,IF($A328=$A327,AV327,1)-AA328+$D$2))</f>
        <v>1</v>
      </c>
      <c r="AW328" s="19">
        <f>IF(OR($J328=1,COUNTIFS($A$5:$A327,"&gt;="&amp;$A328-1,$A$5:$A327,"&lt;="&amp;$A328,$B$5:$B327,$B328)&gt;0,MIN(1-'Exercise list'!Q$2,IF($A328=$A327,AW327,1))-AB328&lt;0),-1,MIN(1,IF($A328=$A327,AW327,1)-AB328+$D$2))</f>
        <v>1</v>
      </c>
      <c r="AX328" s="19">
        <f>IF(OR($J328=1,COUNTIFS($A$5:$A327,"&gt;="&amp;$A328-1,$A$5:$A327,"&lt;="&amp;$A328,$B$5:$B327,$B328)&gt;0,MIN(1-'Exercise list'!R$2,IF($A328=$A327,AX327,1))-AC328&lt;0),-1,MIN(1,IF($A328=$A327,AX327,1)-AC328+$D$2))</f>
        <v>1</v>
      </c>
      <c r="AY328" s="19">
        <f>IF(OR($J328=1,COUNTIFS($A$5:$A327,"&gt;="&amp;$A328-1,$A$5:$A327,"&lt;="&amp;$A328,$B$5:$B327,$B328)&gt;0,MIN(1-'Exercise list'!S$2,IF($A328=$A327,AY327,1))-AD328&lt;0),-1,MIN(1,IF($A328=$A327,AY327,1)-AD328+$D$2))</f>
        <v>1</v>
      </c>
      <c r="AZ328" s="19">
        <f>IF(OR($J328=1,COUNTIFS($A$5:$A327,"&gt;="&amp;$A328-1,$A$5:$A327,"&lt;="&amp;$A328,$B$5:$B327,$B328)&gt;0,MIN(1-'Exercise list'!T$2,IF($A328=$A327,AZ327,1))-AE328&lt;0),-1,MIN(1,IF($A328=$A327,AZ327,1)-AE328+$D$2))</f>
        <v>1</v>
      </c>
      <c r="BA328" s="19">
        <f>IF(OR($J328=1,COUNTIFS($A$5:$A327,"&gt;="&amp;$A328-1,$A$5:$A327,"&lt;="&amp;$A328,$B$5:$B327,$B328)&gt;0,MIN(1-'Exercise list'!U$2,IF($A328=$A327,BA327,1))-AF328&lt;0),-1,MIN(1,IF($A328=$A327,BA327,1)-AF328+$D$2))</f>
        <v>1</v>
      </c>
      <c r="BB328" s="19">
        <f>IF(OR($J328=1,COUNTIFS($A$5:$A327,"&gt;="&amp;$A328-1,$A$5:$A327,"&lt;="&amp;$A328,$B$5:$B327,$B328)&gt;0,MIN(1-'Exercise list'!V$2,IF($A328=$A327,BB327,1))-AG328&lt;0),-1,MIN(1,IF($A328=$A327,BB327,1)-AG328+$D$2))</f>
        <v>1</v>
      </c>
      <c r="BC328" s="19">
        <f>IF(OR($J328=1,COUNTIFS($A$5:$A327,"&gt;="&amp;$A328-1,$A$5:$A327,"&lt;="&amp;$A328,$B$5:$B327,$B328)&gt;0,MIN(1-'Exercise list'!W$2,IF($A328=$A327,BC327,1))-AH328&lt;0),-1,MIN(1,IF($A328=$A327,BC327,1)-AH328+$D$2))</f>
        <v>1</v>
      </c>
      <c r="BD328" s="19">
        <f>IF(OR($J328=1,COUNTIFS($A$5:$A327,"&gt;="&amp;$A328-1,$A$5:$A327,"&lt;="&amp;$A328,$B$5:$B327,$B328)&gt;0,MIN(1-'Exercise list'!X$2,IF($A328=$A327,BD327,1))-AI328&lt;0),-1,MIN(1,IF($A328=$A327,BD327,1)-AI328+$D$2))</f>
        <v>1</v>
      </c>
      <c r="BE328" s="19"/>
      <c r="BF328" s="23">
        <f t="shared" si="233"/>
        <v>0.19596031081758858</v>
      </c>
      <c r="BG328" s="23">
        <f t="shared" si="234"/>
        <v>0.21844636935459236</v>
      </c>
      <c r="BH328" s="23">
        <f t="shared" si="235"/>
        <v>0.14609696635987124</v>
      </c>
      <c r="BI328" s="23">
        <f t="shared" si="236"/>
        <v>0.13198015366034541</v>
      </c>
      <c r="BJ328" s="23">
        <f t="shared" si="237"/>
        <v>8.3367914198418713E-2</v>
      </c>
      <c r="BK328" s="23">
        <f t="shared" si="238"/>
        <v>0.10640640223148412</v>
      </c>
      <c r="BL328" s="23">
        <f t="shared" si="239"/>
        <v>0.21963504743569431</v>
      </c>
      <c r="BM328" s="23">
        <f t="shared" si="240"/>
        <v>3.8988008374820568E-3</v>
      </c>
      <c r="BN328" s="23">
        <f t="shared" si="241"/>
        <v>0.14537706087090876</v>
      </c>
      <c r="BO328" s="23">
        <f t="shared" si="242"/>
        <v>0.29209790661993401</v>
      </c>
      <c r="BP328" s="23">
        <f t="shared" si="243"/>
        <v>0.31584545163401867</v>
      </c>
      <c r="BQ328" s="23">
        <f t="shared" si="244"/>
        <v>0.1000007994126096</v>
      </c>
      <c r="BR328" s="23">
        <f t="shared" si="245"/>
        <v>0.13164487759885393</v>
      </c>
      <c r="BS328" s="23">
        <f t="shared" si="246"/>
        <v>2.9803550189863123E-2</v>
      </c>
      <c r="BT328" s="23">
        <f t="shared" si="247"/>
        <v>0.13492040904978705</v>
      </c>
      <c r="BU328" s="23">
        <f t="shared" si="248"/>
        <v>0.11703687414398131</v>
      </c>
      <c r="BV328" s="23">
        <f t="shared" si="249"/>
        <v>0.14633353213781661</v>
      </c>
      <c r="BW328" s="23">
        <f t="shared" si="250"/>
        <v>7.5588015111767173E-2</v>
      </c>
      <c r="BX328" s="23">
        <f t="shared" si="251"/>
        <v>8.0345659937185704E-2</v>
      </c>
      <c r="BY328" s="23">
        <f t="shared" si="252"/>
        <v>5.9014643151272549E-2</v>
      </c>
      <c r="BZ328" s="19"/>
      <c r="CA328" s="23" t="str">
        <f t="shared" si="229"/>
        <v/>
      </c>
      <c r="CB328" s="23" t="str">
        <f t="shared" si="254"/>
        <v/>
      </c>
      <c r="CC328" s="23" t="str">
        <f t="shared" si="255"/>
        <v/>
      </c>
      <c r="CD328" s="23" t="str">
        <f t="shared" si="256"/>
        <v/>
      </c>
      <c r="CE328" s="23" t="str">
        <f t="shared" si="257"/>
        <v/>
      </c>
      <c r="CF328" s="23" t="str">
        <f t="shared" si="258"/>
        <v/>
      </c>
      <c r="CG328" s="23" t="str">
        <f t="shared" si="259"/>
        <v/>
      </c>
      <c r="CH328" s="23" t="str">
        <f t="shared" si="260"/>
        <v/>
      </c>
      <c r="CI328" s="23" t="str">
        <f t="shared" si="261"/>
        <v/>
      </c>
      <c r="CJ328" s="23" t="str">
        <f t="shared" si="262"/>
        <v/>
      </c>
      <c r="CK328" s="23" t="str">
        <f t="shared" si="263"/>
        <v/>
      </c>
      <c r="CL328" s="23" t="str">
        <f t="shared" si="264"/>
        <v/>
      </c>
      <c r="CM328" s="23" t="str">
        <f t="shared" si="265"/>
        <v/>
      </c>
      <c r="CN328" s="23" t="str">
        <f t="shared" si="266"/>
        <v/>
      </c>
      <c r="CO328" s="23" t="str">
        <f t="shared" si="267"/>
        <v/>
      </c>
      <c r="CP328" s="23" t="str">
        <f t="shared" si="268"/>
        <v/>
      </c>
      <c r="CQ328" s="23" t="str">
        <f t="shared" si="269"/>
        <v/>
      </c>
      <c r="CR328" s="23" t="str">
        <f t="shared" si="270"/>
        <v/>
      </c>
      <c r="CS328" s="23" t="str">
        <f t="shared" si="271"/>
        <v/>
      </c>
      <c r="CT328" s="23" t="str">
        <f t="shared" si="272"/>
        <v/>
      </c>
      <c r="CU328" s="19"/>
    </row>
    <row r="329" spans="1:99" x14ac:dyDescent="0.25">
      <c r="A329" s="13"/>
      <c r="B329" s="14"/>
      <c r="C329" s="15" t="str" cm="1">
        <f t="array" ref="C329">IF(B329="","",INDEX('Exercise list'!$C$5:$C$102,B329))</f>
        <v/>
      </c>
      <c r="D329" s="12" t="str">
        <f t="shared" si="230"/>
        <v/>
      </c>
      <c r="E329" s="107" t="str">
        <f t="shared" si="253"/>
        <v/>
      </c>
      <c r="F329" s="63" t="str" cm="1">
        <f t="array" ref="F329">IF(B329="","",0.1+IFERROR(INDEX($F$6:$F328,SUMPRODUCT(MAX(ROW($C$6:$C328)*($C329=$C$6:$C328))-ROW($A$5)))*0.9^($A329-INDEX($A$6:A328,SUMPRODUCT(MAX(ROW($C$6:$C328)*($C329=$C$6:$C328))-ROW($A$5)))),0))</f>
        <v/>
      </c>
      <c r="G329" s="64" t="e">
        <f>INDEX('Exercise list'!$Y$5:$Y$102,MATCH(C329,'Exercise list'!$C$5:$C$102,0))</f>
        <v>#N/A</v>
      </c>
      <c r="H329" s="115">
        <f t="shared" si="231"/>
        <v>0</v>
      </c>
      <c r="I329" s="42">
        <f t="shared" si="232"/>
        <v>5</v>
      </c>
      <c r="J329" s="6" t="str" cm="1">
        <f t="array" ref="J329">IF(B329="","",INDEX('Exercise list'!$D$5:$D$102,B329))</f>
        <v/>
      </c>
      <c r="K329" s="12"/>
      <c r="L329" s="74" t="str" cm="1">
        <f t="array" ref="L329">IF(K329="","",INDEX('Exercise list'!$C$5:$C$102,K329))</f>
        <v/>
      </c>
      <c r="M329" s="6"/>
      <c r="N329" s="75" t="str" cm="1">
        <f t="array" ref="N329">IF(M329="","",INDEX('Exercise list'!$C$5:$C$102,M329))</f>
        <v/>
      </c>
      <c r="P329">
        <f>IFERROR(INDEX('Exercise list'!$E$5:$X$102,MATCH($C329,'Exercise list'!$C$5:$C$102,0),MATCH(P$5,'Exercise list'!$E$4:$X$4,0)),0)</f>
        <v>0</v>
      </c>
      <c r="Q329">
        <f>IFERROR(INDEX('Exercise list'!$E$5:$X$102,MATCH($C329,'Exercise list'!$C$5:$C$102,0),MATCH(Q$5,'Exercise list'!$E$4:$X$4,0)),0)</f>
        <v>0</v>
      </c>
      <c r="R329">
        <f>IFERROR(INDEX('Exercise list'!$E$5:$X$102,MATCH($C329,'Exercise list'!$C$5:$C$102,0),MATCH(R$5,'Exercise list'!$E$4:$X$4,0)),0)</f>
        <v>0</v>
      </c>
      <c r="S329">
        <f>IFERROR(INDEX('Exercise list'!$E$5:$X$102,MATCH($C329,'Exercise list'!$C$5:$C$102,0),MATCH(S$5,'Exercise list'!$E$4:$X$4,0)),0)</f>
        <v>0</v>
      </c>
      <c r="T329">
        <f>IFERROR(INDEX('Exercise list'!$E$5:$X$102,MATCH($C329,'Exercise list'!$C$5:$C$102,0),MATCH(T$5,'Exercise list'!$E$4:$X$4,0)),0)</f>
        <v>0</v>
      </c>
      <c r="U329">
        <f>IFERROR(INDEX('Exercise list'!$E$5:$X$102,MATCH($C329,'Exercise list'!$C$5:$C$102,0),MATCH(U$5,'Exercise list'!$E$4:$X$4,0)),0)</f>
        <v>0</v>
      </c>
      <c r="V329">
        <f>IFERROR(INDEX('Exercise list'!$E$5:$X$102,MATCH($C329,'Exercise list'!$C$5:$C$102,0),MATCH(V$5,'Exercise list'!$E$4:$X$4,0)),0)</f>
        <v>0</v>
      </c>
      <c r="W329">
        <f>IFERROR(INDEX('Exercise list'!$E$5:$X$102,MATCH($C329,'Exercise list'!$C$5:$C$102,0),MATCH(W$5,'Exercise list'!$E$4:$X$4,0)),0)</f>
        <v>0</v>
      </c>
      <c r="X329">
        <f>IFERROR(INDEX('Exercise list'!$E$5:$X$102,MATCH($C329,'Exercise list'!$C$5:$C$102,0),MATCH(X$5,'Exercise list'!$E$4:$X$4,0)),0)</f>
        <v>0</v>
      </c>
      <c r="Y329">
        <f>IFERROR(INDEX('Exercise list'!$E$5:$X$102,MATCH($C329,'Exercise list'!$C$5:$C$102,0),MATCH(Y$5,'Exercise list'!$E$4:$X$4,0)),0)</f>
        <v>0</v>
      </c>
      <c r="Z329">
        <f>IFERROR(INDEX('Exercise list'!$E$5:$X$102,MATCH($C329,'Exercise list'!$C$5:$C$102,0),MATCH(Z$5,'Exercise list'!$E$4:$X$4,0)),0)</f>
        <v>0</v>
      </c>
      <c r="AA329">
        <f>IFERROR(INDEX('Exercise list'!$E$5:$X$102,MATCH($C329,'Exercise list'!$C$5:$C$102,0),MATCH(AA$5,'Exercise list'!$E$4:$X$4,0)),0)</f>
        <v>0</v>
      </c>
      <c r="AB329">
        <f>IFERROR(INDEX('Exercise list'!$E$5:$X$102,MATCH($C329,'Exercise list'!$C$5:$C$102,0),MATCH(AB$5,'Exercise list'!$E$4:$X$4,0)),0)</f>
        <v>0</v>
      </c>
      <c r="AC329">
        <f>IFERROR(INDEX('Exercise list'!$E$5:$X$102,MATCH($C329,'Exercise list'!$C$5:$C$102,0),MATCH(AC$5,'Exercise list'!$E$4:$X$4,0)),0)</f>
        <v>0</v>
      </c>
      <c r="AD329">
        <f>IFERROR(INDEX('Exercise list'!$E$5:$X$102,MATCH($C329,'Exercise list'!$C$5:$C$102,0),MATCH(AD$5,'Exercise list'!$E$4:$X$4,0)),0)</f>
        <v>0</v>
      </c>
      <c r="AE329">
        <f>IFERROR(INDEX('Exercise list'!$E$5:$X$102,MATCH($C329,'Exercise list'!$C$5:$C$102,0),MATCH(AE$5,'Exercise list'!$E$4:$X$4,0)),0)</f>
        <v>0</v>
      </c>
      <c r="AF329">
        <f>IFERROR(INDEX('Exercise list'!$E$5:$X$102,MATCH($C329,'Exercise list'!$C$5:$C$102,0),MATCH(AF$5,'Exercise list'!$E$4:$X$4,0)),0)</f>
        <v>0</v>
      </c>
      <c r="AG329">
        <f>IFERROR(INDEX('Exercise list'!$E$5:$X$102,MATCH($C329,'Exercise list'!$C$5:$C$102,0),MATCH(AG$5,'Exercise list'!$E$4:$X$4,0)),0)</f>
        <v>0</v>
      </c>
      <c r="AH329">
        <f>IFERROR(INDEX('Exercise list'!$E$5:$X$102,MATCH($C329,'Exercise list'!$C$5:$C$102,0),MATCH(AH$5,'Exercise list'!$E$4:$X$4,0)),0)</f>
        <v>0</v>
      </c>
      <c r="AI329">
        <f>IFERROR(INDEX('Exercise list'!$E$5:$X$102,MATCH($C329,'Exercise list'!$C$5:$C$102,0),MATCH(AI$5,'Exercise list'!$E$4:$X$4,0)),0)</f>
        <v>0</v>
      </c>
      <c r="AK329">
        <f>IF(OR($J329=1,COUNTIFS($A$5:$A328,"&gt;="&amp;$A329-1,$A$5:$A328,"&lt;="&amp;$A329,$B$5:$B328,$B329)&gt;0,MIN(1-'Exercise list'!E$2,IF($A329=$A328,AK328,1))-P329&lt;0),-1,MIN(1,IF($A329=$A328,AK328,1)-P329+$D$2))</f>
        <v>1</v>
      </c>
      <c r="AL329">
        <f>IF(OR($J329=1,COUNTIFS($A$5:$A328,"&gt;="&amp;$A329-1,$A$5:$A328,"&lt;="&amp;$A329,$B$5:$B328,$B329)&gt;0,MIN(1-'Exercise list'!F$2,IF($A329=$A328,AL328,1))-Q329&lt;0),-1,MIN(1,IF($A329=$A328,AL328,1)-Q329+$D$2))</f>
        <v>1</v>
      </c>
      <c r="AM329">
        <f>IF(OR($J329=1,COUNTIFS($A$5:$A328,"&gt;="&amp;$A329-1,$A$5:$A328,"&lt;="&amp;$A329,$B$5:$B328,$B329)&gt;0,MIN(1-'Exercise list'!G$2,IF($A329=$A328,AM328,1))-R329&lt;0),-1,MIN(1,IF($A329=$A328,AM328,1)-R329+$D$2))</f>
        <v>1</v>
      </c>
      <c r="AN329">
        <f>IF(OR($J329=1,COUNTIFS($A$5:$A328,"&gt;="&amp;$A329-1,$A$5:$A328,"&lt;="&amp;$A329,$B$5:$B328,$B329)&gt;0,MIN(1-'Exercise list'!H$2,IF($A329=$A328,AN328,1))-S329&lt;0),-1,MIN(1,IF($A329=$A328,AN328,1)-S329+$D$2))</f>
        <v>1</v>
      </c>
      <c r="AO329">
        <f>IF(OR($J329=1,COUNTIFS($A$5:$A328,"&gt;="&amp;$A329-1,$A$5:$A328,"&lt;="&amp;$A329,$B$5:$B328,$B329)&gt;0,MIN(1-'Exercise list'!I$2,IF($A329=$A328,AO328,1))-T329&lt;0),-1,MIN(1,IF($A329=$A328,AO328,1)-T329+$D$2))</f>
        <v>1</v>
      </c>
      <c r="AP329">
        <f>IF(OR($J329=1,COUNTIFS($A$5:$A328,"&gt;="&amp;$A329-1,$A$5:$A328,"&lt;="&amp;$A329,$B$5:$B328,$B329)&gt;0,MIN(1-'Exercise list'!J$2,IF($A329=$A328,AP328,1))-U329&lt;0),-1,MIN(1,IF($A329=$A328,AP328,1)-U329+$D$2))</f>
        <v>1</v>
      </c>
      <c r="AQ329">
        <f>IF(OR($J329=1,COUNTIFS($A$5:$A328,"&gt;="&amp;$A329-1,$A$5:$A328,"&lt;="&amp;$A329,$B$5:$B328,$B329)&gt;0,MIN(1-'Exercise list'!K$2,IF($A329=$A328,AQ328,1))-V329&lt;0),-1,MIN(1,IF($A329=$A328,AQ328,1)-V329+$D$2))</f>
        <v>1</v>
      </c>
      <c r="AR329">
        <f>IF(OR($J329=1,COUNTIFS($A$5:$A328,"&gt;="&amp;$A329-1,$A$5:$A328,"&lt;="&amp;$A329,$B$5:$B328,$B329)&gt;0,MIN(1-'Exercise list'!L$2,IF($A329=$A328,AR328,1))-W329&lt;0),-1,MIN(1,IF($A329=$A328,AR328,1)-W329+$D$2))</f>
        <v>1</v>
      </c>
      <c r="AS329">
        <f>IF(OR($J329=1,COUNTIFS($A$5:$A328,"&gt;="&amp;$A329-1,$A$5:$A328,"&lt;="&amp;$A329,$B$5:$B328,$B329)&gt;0,MIN(1-'Exercise list'!M$2,IF($A329=$A328,AS328,1))-X329&lt;0),-1,MIN(1,IF($A329=$A328,AS328,1)-X329+$D$2))</f>
        <v>1</v>
      </c>
      <c r="AT329">
        <f>IF(OR($J329=1,COUNTIFS($A$5:$A328,"&gt;="&amp;$A329-1,$A$5:$A328,"&lt;="&amp;$A329,$B$5:$B328,$B329)&gt;0,MIN(1-'Exercise list'!N$2,IF($A329=$A328,AT328,1))-Y329&lt;0),-1,MIN(1,IF($A329=$A328,AT328,1)-Y329+$D$2))</f>
        <v>1</v>
      </c>
      <c r="AU329">
        <f>IF(OR($J329=1,COUNTIFS($A$5:$A328,"&gt;="&amp;$A329-1,$A$5:$A328,"&lt;="&amp;$A329,$B$5:$B328,$B329)&gt;0,MIN(1-'Exercise list'!O$2,IF($A329=$A328,AU328,1))-Z329&lt;0),-1,MIN(1,IF($A329=$A328,AU328,1)-Z329+$D$2))</f>
        <v>1</v>
      </c>
      <c r="AV329">
        <f>IF(OR($J329=1,COUNTIFS($A$5:$A328,"&gt;="&amp;$A329-1,$A$5:$A328,"&lt;="&amp;$A329,$B$5:$B328,$B329)&gt;0,MIN(1-'Exercise list'!P$2,IF($A329=$A328,AV328,1))-AA329&lt;0),-1,MIN(1,IF($A329=$A328,AV328,1)-AA329+$D$2))</f>
        <v>1</v>
      </c>
      <c r="AW329">
        <f>IF(OR($J329=1,COUNTIFS($A$5:$A328,"&gt;="&amp;$A329-1,$A$5:$A328,"&lt;="&amp;$A329,$B$5:$B328,$B329)&gt;0,MIN(1-'Exercise list'!Q$2,IF($A329=$A328,AW328,1))-AB329&lt;0),-1,MIN(1,IF($A329=$A328,AW328,1)-AB329+$D$2))</f>
        <v>1</v>
      </c>
      <c r="AX329">
        <f>IF(OR($J329=1,COUNTIFS($A$5:$A328,"&gt;="&amp;$A329-1,$A$5:$A328,"&lt;="&amp;$A329,$B$5:$B328,$B329)&gt;0,MIN(1-'Exercise list'!R$2,IF($A329=$A328,AX328,1))-AC329&lt;0),-1,MIN(1,IF($A329=$A328,AX328,1)-AC329+$D$2))</f>
        <v>1</v>
      </c>
      <c r="AY329">
        <f>IF(OR($J329=1,COUNTIFS($A$5:$A328,"&gt;="&amp;$A329-1,$A$5:$A328,"&lt;="&amp;$A329,$B$5:$B328,$B329)&gt;0,MIN(1-'Exercise list'!S$2,IF($A329=$A328,AY328,1))-AD329&lt;0),-1,MIN(1,IF($A329=$A328,AY328,1)-AD329+$D$2))</f>
        <v>1</v>
      </c>
      <c r="AZ329">
        <f>IF(OR($J329=1,COUNTIFS($A$5:$A328,"&gt;="&amp;$A329-1,$A$5:$A328,"&lt;="&amp;$A329,$B$5:$B328,$B329)&gt;0,MIN(1-'Exercise list'!T$2,IF($A329=$A328,AZ328,1))-AE329&lt;0),-1,MIN(1,IF($A329=$A328,AZ328,1)-AE329+$D$2))</f>
        <v>1</v>
      </c>
      <c r="BA329">
        <f>IF(OR($J329=1,COUNTIFS($A$5:$A328,"&gt;="&amp;$A329-1,$A$5:$A328,"&lt;="&amp;$A329,$B$5:$B328,$B329)&gt;0,MIN(1-'Exercise list'!U$2,IF($A329=$A328,BA328,1))-AF329&lt;0),-1,MIN(1,IF($A329=$A328,BA328,1)-AF329+$D$2))</f>
        <v>1</v>
      </c>
      <c r="BB329">
        <f>IF(OR($J329=1,COUNTIFS($A$5:$A328,"&gt;="&amp;$A329-1,$A$5:$A328,"&lt;="&amp;$A329,$B$5:$B328,$B329)&gt;0,MIN(1-'Exercise list'!V$2,IF($A329=$A328,BB328,1))-AG329&lt;0),-1,MIN(1,IF($A329=$A328,BB328,1)-AG329+$D$2))</f>
        <v>1</v>
      </c>
      <c r="BC329">
        <f>IF(OR($J329=1,COUNTIFS($A$5:$A328,"&gt;="&amp;$A329-1,$A$5:$A328,"&lt;="&amp;$A329,$B$5:$B328,$B329)&gt;0,MIN(1-'Exercise list'!W$2,IF($A329=$A328,BC328,1))-AH329&lt;0),-1,MIN(1,IF($A329=$A328,BC328,1)-AH329+$D$2))</f>
        <v>1</v>
      </c>
      <c r="BD329">
        <f>IF(OR($J329=1,COUNTIFS($A$5:$A328,"&gt;="&amp;$A329-1,$A$5:$A328,"&lt;="&amp;$A329,$B$5:$B328,$B329)&gt;0,MIN(1-'Exercise list'!X$2,IF($A329=$A328,BD328,1))-AI329&lt;0),-1,MIN(1,IF($A329=$A328,BD328,1)-AI329+$D$2))</f>
        <v>1</v>
      </c>
      <c r="BF329" s="16">
        <f t="shared" si="233"/>
        <v>0.19596031081758858</v>
      </c>
      <c r="BG329" s="16">
        <f t="shared" si="234"/>
        <v>0.21844636935459236</v>
      </c>
      <c r="BH329" s="16">
        <f t="shared" si="235"/>
        <v>0.14609696635987124</v>
      </c>
      <c r="BI329" s="16">
        <f t="shared" si="236"/>
        <v>0.13198015366034541</v>
      </c>
      <c r="BJ329" s="16">
        <f t="shared" si="237"/>
        <v>8.3367914198418713E-2</v>
      </c>
      <c r="BK329" s="16">
        <f t="shared" si="238"/>
        <v>0.10640640223148412</v>
      </c>
      <c r="BL329" s="16">
        <f t="shared" si="239"/>
        <v>0.21963504743569431</v>
      </c>
      <c r="BM329" s="16">
        <f t="shared" si="240"/>
        <v>3.8988008374820568E-3</v>
      </c>
      <c r="BN329" s="16">
        <f t="shared" si="241"/>
        <v>0.14537706087090876</v>
      </c>
      <c r="BO329" s="16">
        <f t="shared" si="242"/>
        <v>0.29209790661993401</v>
      </c>
      <c r="BP329" s="16">
        <f t="shared" si="243"/>
        <v>0.31584545163401867</v>
      </c>
      <c r="BQ329" s="16">
        <f t="shared" si="244"/>
        <v>0.1000007994126096</v>
      </c>
      <c r="BR329" s="16">
        <f t="shared" si="245"/>
        <v>0.13164487759885393</v>
      </c>
      <c r="BS329" s="16">
        <f t="shared" si="246"/>
        <v>2.9803550189863123E-2</v>
      </c>
      <c r="BT329" s="16">
        <f t="shared" si="247"/>
        <v>0.13492040904978705</v>
      </c>
      <c r="BU329" s="16">
        <f t="shared" si="248"/>
        <v>0.11703687414398131</v>
      </c>
      <c r="BV329" s="16">
        <f t="shared" si="249"/>
        <v>0.14633353213781661</v>
      </c>
      <c r="BW329" s="16">
        <f t="shared" si="250"/>
        <v>7.5588015111767173E-2</v>
      </c>
      <c r="BX329" s="16">
        <f t="shared" si="251"/>
        <v>8.0345659937185704E-2</v>
      </c>
      <c r="BY329" s="16">
        <f t="shared" si="252"/>
        <v>5.9014643151272549E-2</v>
      </c>
      <c r="CA329" s="16" t="str">
        <f t="shared" si="229"/>
        <v/>
      </c>
      <c r="CB329" s="16" t="str">
        <f t="shared" si="254"/>
        <v/>
      </c>
      <c r="CC329" s="16" t="str">
        <f t="shared" si="255"/>
        <v/>
      </c>
      <c r="CD329" s="16" t="str">
        <f t="shared" si="256"/>
        <v/>
      </c>
      <c r="CE329" s="16" t="str">
        <f t="shared" si="257"/>
        <v/>
      </c>
      <c r="CF329" s="16" t="str">
        <f t="shared" si="258"/>
        <v/>
      </c>
      <c r="CG329" s="16" t="str">
        <f t="shared" si="259"/>
        <v/>
      </c>
      <c r="CH329" s="16" t="str">
        <f t="shared" si="260"/>
        <v/>
      </c>
      <c r="CI329" s="16" t="str">
        <f t="shared" si="261"/>
        <v/>
      </c>
      <c r="CJ329" s="16" t="str">
        <f t="shared" si="262"/>
        <v/>
      </c>
      <c r="CK329" s="16" t="str">
        <f t="shared" si="263"/>
        <v/>
      </c>
      <c r="CL329" s="16" t="str">
        <f t="shared" si="264"/>
        <v/>
      </c>
      <c r="CM329" s="16" t="str">
        <f t="shared" si="265"/>
        <v/>
      </c>
      <c r="CN329" s="16" t="str">
        <f t="shared" si="266"/>
        <v/>
      </c>
      <c r="CO329" s="16" t="str">
        <f t="shared" si="267"/>
        <v/>
      </c>
      <c r="CP329" s="16" t="str">
        <f t="shared" si="268"/>
        <v/>
      </c>
      <c r="CQ329" s="16" t="str">
        <f t="shared" si="269"/>
        <v/>
      </c>
      <c r="CR329" s="16" t="str">
        <f t="shared" si="270"/>
        <v/>
      </c>
      <c r="CS329" s="16" t="str">
        <f t="shared" si="271"/>
        <v/>
      </c>
      <c r="CT329" s="16" t="str">
        <f t="shared" si="272"/>
        <v/>
      </c>
    </row>
    <row r="330" spans="1:99" x14ac:dyDescent="0.25">
      <c r="A330" s="13"/>
      <c r="B330" s="14"/>
      <c r="C330" s="15" t="str" cm="1">
        <f t="array" ref="C330">IF(B330="","",INDEX('Exercise list'!$C$5:$C$102,B330))</f>
        <v/>
      </c>
      <c r="D330" s="12" t="str">
        <f t="shared" si="230"/>
        <v/>
      </c>
      <c r="E330" s="107" t="str">
        <f t="shared" si="253"/>
        <v/>
      </c>
      <c r="F330" s="63" t="str" cm="1">
        <f t="array" ref="F330">IF(B330="","",0.1+IFERROR(INDEX($F$6:$F329,SUMPRODUCT(MAX(ROW($C$6:$C329)*($C330=$C$6:$C329))-ROW($A$5)))*0.9^($A330-INDEX($A$6:A329,SUMPRODUCT(MAX(ROW($C$6:$C329)*($C330=$C$6:$C329))-ROW($A$5)))),0))</f>
        <v/>
      </c>
      <c r="G330" s="64" t="e">
        <f>INDEX('Exercise list'!$Y$5:$Y$102,MATCH(C330,'Exercise list'!$C$5:$C$102,0))</f>
        <v>#N/A</v>
      </c>
      <c r="H330" s="115">
        <f t="shared" si="231"/>
        <v>0</v>
      </c>
      <c r="I330" s="6">
        <f t="shared" si="232"/>
        <v>5</v>
      </c>
      <c r="J330" s="6" t="str" cm="1">
        <f t="array" ref="J330">IF(B330="","",INDEX('Exercise list'!$D$5:$D$102,B330))</f>
        <v/>
      </c>
      <c r="K330" s="12"/>
      <c r="L330" s="74" t="str" cm="1">
        <f t="array" ref="L330">IF(K330="","",INDEX('Exercise list'!$C$5:$C$102,K330))</f>
        <v/>
      </c>
      <c r="M330" s="6"/>
      <c r="N330" s="75" t="str" cm="1">
        <f t="array" ref="N330">IF(M330="","",INDEX('Exercise list'!$C$5:$C$102,M330))</f>
        <v/>
      </c>
      <c r="P330">
        <f>IFERROR(INDEX('Exercise list'!$E$5:$X$102,MATCH($C330,'Exercise list'!$C$5:$C$102,0),MATCH(P$5,'Exercise list'!$E$4:$X$4,0)),0)</f>
        <v>0</v>
      </c>
      <c r="Q330">
        <f>IFERROR(INDEX('Exercise list'!$E$5:$X$102,MATCH($C330,'Exercise list'!$C$5:$C$102,0),MATCH(Q$5,'Exercise list'!$E$4:$X$4,0)),0)</f>
        <v>0</v>
      </c>
      <c r="R330">
        <f>IFERROR(INDEX('Exercise list'!$E$5:$X$102,MATCH($C330,'Exercise list'!$C$5:$C$102,0),MATCH(R$5,'Exercise list'!$E$4:$X$4,0)),0)</f>
        <v>0</v>
      </c>
      <c r="S330">
        <f>IFERROR(INDEX('Exercise list'!$E$5:$X$102,MATCH($C330,'Exercise list'!$C$5:$C$102,0),MATCH(S$5,'Exercise list'!$E$4:$X$4,0)),0)</f>
        <v>0</v>
      </c>
      <c r="T330">
        <f>IFERROR(INDEX('Exercise list'!$E$5:$X$102,MATCH($C330,'Exercise list'!$C$5:$C$102,0),MATCH(T$5,'Exercise list'!$E$4:$X$4,0)),0)</f>
        <v>0</v>
      </c>
      <c r="U330">
        <f>IFERROR(INDEX('Exercise list'!$E$5:$X$102,MATCH($C330,'Exercise list'!$C$5:$C$102,0),MATCH(U$5,'Exercise list'!$E$4:$X$4,0)),0)</f>
        <v>0</v>
      </c>
      <c r="V330">
        <f>IFERROR(INDEX('Exercise list'!$E$5:$X$102,MATCH($C330,'Exercise list'!$C$5:$C$102,0),MATCH(V$5,'Exercise list'!$E$4:$X$4,0)),0)</f>
        <v>0</v>
      </c>
      <c r="W330">
        <f>IFERROR(INDEX('Exercise list'!$E$5:$X$102,MATCH($C330,'Exercise list'!$C$5:$C$102,0),MATCH(W$5,'Exercise list'!$E$4:$X$4,0)),0)</f>
        <v>0</v>
      </c>
      <c r="X330">
        <f>IFERROR(INDEX('Exercise list'!$E$5:$X$102,MATCH($C330,'Exercise list'!$C$5:$C$102,0),MATCH(X$5,'Exercise list'!$E$4:$X$4,0)),0)</f>
        <v>0</v>
      </c>
      <c r="Y330">
        <f>IFERROR(INDEX('Exercise list'!$E$5:$X$102,MATCH($C330,'Exercise list'!$C$5:$C$102,0),MATCH(Y$5,'Exercise list'!$E$4:$X$4,0)),0)</f>
        <v>0</v>
      </c>
      <c r="Z330">
        <f>IFERROR(INDEX('Exercise list'!$E$5:$X$102,MATCH($C330,'Exercise list'!$C$5:$C$102,0),MATCH(Z$5,'Exercise list'!$E$4:$X$4,0)),0)</f>
        <v>0</v>
      </c>
      <c r="AA330">
        <f>IFERROR(INDEX('Exercise list'!$E$5:$X$102,MATCH($C330,'Exercise list'!$C$5:$C$102,0),MATCH(AA$5,'Exercise list'!$E$4:$X$4,0)),0)</f>
        <v>0</v>
      </c>
      <c r="AB330">
        <f>IFERROR(INDEX('Exercise list'!$E$5:$X$102,MATCH($C330,'Exercise list'!$C$5:$C$102,0),MATCH(AB$5,'Exercise list'!$E$4:$X$4,0)),0)</f>
        <v>0</v>
      </c>
      <c r="AC330">
        <f>IFERROR(INDEX('Exercise list'!$E$5:$X$102,MATCH($C330,'Exercise list'!$C$5:$C$102,0),MATCH(AC$5,'Exercise list'!$E$4:$X$4,0)),0)</f>
        <v>0</v>
      </c>
      <c r="AD330">
        <f>IFERROR(INDEX('Exercise list'!$E$5:$X$102,MATCH($C330,'Exercise list'!$C$5:$C$102,0),MATCH(AD$5,'Exercise list'!$E$4:$X$4,0)),0)</f>
        <v>0</v>
      </c>
      <c r="AE330">
        <f>IFERROR(INDEX('Exercise list'!$E$5:$X$102,MATCH($C330,'Exercise list'!$C$5:$C$102,0),MATCH(AE$5,'Exercise list'!$E$4:$X$4,0)),0)</f>
        <v>0</v>
      </c>
      <c r="AF330">
        <f>IFERROR(INDEX('Exercise list'!$E$5:$X$102,MATCH($C330,'Exercise list'!$C$5:$C$102,0),MATCH(AF$5,'Exercise list'!$E$4:$X$4,0)),0)</f>
        <v>0</v>
      </c>
      <c r="AG330">
        <f>IFERROR(INDEX('Exercise list'!$E$5:$X$102,MATCH($C330,'Exercise list'!$C$5:$C$102,0),MATCH(AG$5,'Exercise list'!$E$4:$X$4,0)),0)</f>
        <v>0</v>
      </c>
      <c r="AH330">
        <f>IFERROR(INDEX('Exercise list'!$E$5:$X$102,MATCH($C330,'Exercise list'!$C$5:$C$102,0),MATCH(AH$5,'Exercise list'!$E$4:$X$4,0)),0)</f>
        <v>0</v>
      </c>
      <c r="AI330">
        <f>IFERROR(INDEX('Exercise list'!$E$5:$X$102,MATCH($C330,'Exercise list'!$C$5:$C$102,0),MATCH(AI$5,'Exercise list'!$E$4:$X$4,0)),0)</f>
        <v>0</v>
      </c>
      <c r="AK330">
        <f>IF(OR($J330=1,COUNTIFS($A$5:$A329,"&gt;="&amp;$A330-1,$A$5:$A329,"&lt;="&amp;$A330,$B$5:$B329,$B330)&gt;0,MIN(1-'Exercise list'!E$2,IF($A330=$A329,AK329,1))-P330&lt;0),-1,MIN(1,IF($A330=$A329,AK329,1)-P330+$D$2))</f>
        <v>1</v>
      </c>
      <c r="AL330">
        <f>IF(OR($J330=1,COUNTIFS($A$5:$A329,"&gt;="&amp;$A330-1,$A$5:$A329,"&lt;="&amp;$A330,$B$5:$B329,$B330)&gt;0,MIN(1-'Exercise list'!F$2,IF($A330=$A329,AL329,1))-Q330&lt;0),-1,MIN(1,IF($A330=$A329,AL329,1)-Q330+$D$2))</f>
        <v>1</v>
      </c>
      <c r="AM330">
        <f>IF(OR($J330=1,COUNTIFS($A$5:$A329,"&gt;="&amp;$A330-1,$A$5:$A329,"&lt;="&amp;$A330,$B$5:$B329,$B330)&gt;0,MIN(1-'Exercise list'!G$2,IF($A330=$A329,AM329,1))-R330&lt;0),-1,MIN(1,IF($A330=$A329,AM329,1)-R330+$D$2))</f>
        <v>1</v>
      </c>
      <c r="AN330">
        <f>IF(OR($J330=1,COUNTIFS($A$5:$A329,"&gt;="&amp;$A330-1,$A$5:$A329,"&lt;="&amp;$A330,$B$5:$B329,$B330)&gt;0,MIN(1-'Exercise list'!H$2,IF($A330=$A329,AN329,1))-S330&lt;0),-1,MIN(1,IF($A330=$A329,AN329,1)-S330+$D$2))</f>
        <v>1</v>
      </c>
      <c r="AO330">
        <f>IF(OR($J330=1,COUNTIFS($A$5:$A329,"&gt;="&amp;$A330-1,$A$5:$A329,"&lt;="&amp;$A330,$B$5:$B329,$B330)&gt;0,MIN(1-'Exercise list'!I$2,IF($A330=$A329,AO329,1))-T330&lt;0),-1,MIN(1,IF($A330=$A329,AO329,1)-T330+$D$2))</f>
        <v>1</v>
      </c>
      <c r="AP330">
        <f>IF(OR($J330=1,COUNTIFS($A$5:$A329,"&gt;="&amp;$A330-1,$A$5:$A329,"&lt;="&amp;$A330,$B$5:$B329,$B330)&gt;0,MIN(1-'Exercise list'!J$2,IF($A330=$A329,AP329,1))-U330&lt;0),-1,MIN(1,IF($A330=$A329,AP329,1)-U330+$D$2))</f>
        <v>1</v>
      </c>
      <c r="AQ330">
        <f>IF(OR($J330=1,COUNTIFS($A$5:$A329,"&gt;="&amp;$A330-1,$A$5:$A329,"&lt;="&amp;$A330,$B$5:$B329,$B330)&gt;0,MIN(1-'Exercise list'!K$2,IF($A330=$A329,AQ329,1))-V330&lt;0),-1,MIN(1,IF($A330=$A329,AQ329,1)-V330+$D$2))</f>
        <v>1</v>
      </c>
      <c r="AR330">
        <f>IF(OR($J330=1,COUNTIFS($A$5:$A329,"&gt;="&amp;$A330-1,$A$5:$A329,"&lt;="&amp;$A330,$B$5:$B329,$B330)&gt;0,MIN(1-'Exercise list'!L$2,IF($A330=$A329,AR329,1))-W330&lt;0),-1,MIN(1,IF($A330=$A329,AR329,1)-W330+$D$2))</f>
        <v>1</v>
      </c>
      <c r="AS330">
        <f>IF(OR($J330=1,COUNTIFS($A$5:$A329,"&gt;="&amp;$A330-1,$A$5:$A329,"&lt;="&amp;$A330,$B$5:$B329,$B330)&gt;0,MIN(1-'Exercise list'!M$2,IF($A330=$A329,AS329,1))-X330&lt;0),-1,MIN(1,IF($A330=$A329,AS329,1)-X330+$D$2))</f>
        <v>1</v>
      </c>
      <c r="AT330">
        <f>IF(OR($J330=1,COUNTIFS($A$5:$A329,"&gt;="&amp;$A330-1,$A$5:$A329,"&lt;="&amp;$A330,$B$5:$B329,$B330)&gt;0,MIN(1-'Exercise list'!N$2,IF($A330=$A329,AT329,1))-Y330&lt;0),-1,MIN(1,IF($A330=$A329,AT329,1)-Y330+$D$2))</f>
        <v>1</v>
      </c>
      <c r="AU330">
        <f>IF(OR($J330=1,COUNTIFS($A$5:$A329,"&gt;="&amp;$A330-1,$A$5:$A329,"&lt;="&amp;$A330,$B$5:$B329,$B330)&gt;0,MIN(1-'Exercise list'!O$2,IF($A330=$A329,AU329,1))-Z330&lt;0),-1,MIN(1,IF($A330=$A329,AU329,1)-Z330+$D$2))</f>
        <v>1</v>
      </c>
      <c r="AV330">
        <f>IF(OR($J330=1,COUNTIFS($A$5:$A329,"&gt;="&amp;$A330-1,$A$5:$A329,"&lt;="&amp;$A330,$B$5:$B329,$B330)&gt;0,MIN(1-'Exercise list'!P$2,IF($A330=$A329,AV329,1))-AA330&lt;0),-1,MIN(1,IF($A330=$A329,AV329,1)-AA330+$D$2))</f>
        <v>1</v>
      </c>
      <c r="AW330">
        <f>IF(OR($J330=1,COUNTIFS($A$5:$A329,"&gt;="&amp;$A330-1,$A$5:$A329,"&lt;="&amp;$A330,$B$5:$B329,$B330)&gt;0,MIN(1-'Exercise list'!Q$2,IF($A330=$A329,AW329,1))-AB330&lt;0),-1,MIN(1,IF($A330=$A329,AW329,1)-AB330+$D$2))</f>
        <v>1</v>
      </c>
      <c r="AX330">
        <f>IF(OR($J330=1,COUNTIFS($A$5:$A329,"&gt;="&amp;$A330-1,$A$5:$A329,"&lt;="&amp;$A330,$B$5:$B329,$B330)&gt;0,MIN(1-'Exercise list'!R$2,IF($A330=$A329,AX329,1))-AC330&lt;0),-1,MIN(1,IF($A330=$A329,AX329,1)-AC330+$D$2))</f>
        <v>1</v>
      </c>
      <c r="AY330">
        <f>IF(OR($J330=1,COUNTIFS($A$5:$A329,"&gt;="&amp;$A330-1,$A$5:$A329,"&lt;="&amp;$A330,$B$5:$B329,$B330)&gt;0,MIN(1-'Exercise list'!S$2,IF($A330=$A329,AY329,1))-AD330&lt;0),-1,MIN(1,IF($A330=$A329,AY329,1)-AD330+$D$2))</f>
        <v>1</v>
      </c>
      <c r="AZ330">
        <f>IF(OR($J330=1,COUNTIFS($A$5:$A329,"&gt;="&amp;$A330-1,$A$5:$A329,"&lt;="&amp;$A330,$B$5:$B329,$B330)&gt;0,MIN(1-'Exercise list'!T$2,IF($A330=$A329,AZ329,1))-AE330&lt;0),-1,MIN(1,IF($A330=$A329,AZ329,1)-AE330+$D$2))</f>
        <v>1</v>
      </c>
      <c r="BA330">
        <f>IF(OR($J330=1,COUNTIFS($A$5:$A329,"&gt;="&amp;$A330-1,$A$5:$A329,"&lt;="&amp;$A330,$B$5:$B329,$B330)&gt;0,MIN(1-'Exercise list'!U$2,IF($A330=$A329,BA329,1))-AF330&lt;0),-1,MIN(1,IF($A330=$A329,BA329,1)-AF330+$D$2))</f>
        <v>1</v>
      </c>
      <c r="BB330">
        <f>IF(OR($J330=1,COUNTIFS($A$5:$A329,"&gt;="&amp;$A330-1,$A$5:$A329,"&lt;="&amp;$A330,$B$5:$B329,$B330)&gt;0,MIN(1-'Exercise list'!V$2,IF($A330=$A329,BB329,1))-AG330&lt;0),-1,MIN(1,IF($A330=$A329,BB329,1)-AG330+$D$2))</f>
        <v>1</v>
      </c>
      <c r="BC330">
        <f>IF(OR($J330=1,COUNTIFS($A$5:$A329,"&gt;="&amp;$A330-1,$A$5:$A329,"&lt;="&amp;$A330,$B$5:$B329,$B330)&gt;0,MIN(1-'Exercise list'!W$2,IF($A330=$A329,BC329,1))-AH330&lt;0),-1,MIN(1,IF($A330=$A329,BC329,1)-AH330+$D$2))</f>
        <v>1</v>
      </c>
      <c r="BD330">
        <f>IF(OR($J330=1,COUNTIFS($A$5:$A329,"&gt;="&amp;$A330-1,$A$5:$A329,"&lt;="&amp;$A330,$B$5:$B329,$B330)&gt;0,MIN(1-'Exercise list'!X$2,IF($A330=$A329,BD329,1))-AI330&lt;0),-1,MIN(1,IF($A330=$A329,BD329,1)-AI330+$D$2))</f>
        <v>1</v>
      </c>
      <c r="BF330" s="16">
        <f t="shared" si="233"/>
        <v>0.19596031081758858</v>
      </c>
      <c r="BG330" s="16">
        <f t="shared" si="234"/>
        <v>0.21844636935459236</v>
      </c>
      <c r="BH330" s="16">
        <f t="shared" si="235"/>
        <v>0.14609696635987124</v>
      </c>
      <c r="BI330" s="16">
        <f t="shared" si="236"/>
        <v>0.13198015366034541</v>
      </c>
      <c r="BJ330" s="16">
        <f t="shared" si="237"/>
        <v>8.3367914198418713E-2</v>
      </c>
      <c r="BK330" s="16">
        <f t="shared" si="238"/>
        <v>0.10640640223148412</v>
      </c>
      <c r="BL330" s="16">
        <f t="shared" si="239"/>
        <v>0.21963504743569431</v>
      </c>
      <c r="BM330" s="16">
        <f t="shared" si="240"/>
        <v>3.8988008374820568E-3</v>
      </c>
      <c r="BN330" s="16">
        <f t="shared" si="241"/>
        <v>0.14537706087090876</v>
      </c>
      <c r="BO330" s="16">
        <f t="shared" si="242"/>
        <v>0.29209790661993401</v>
      </c>
      <c r="BP330" s="16">
        <f t="shared" si="243"/>
        <v>0.31584545163401867</v>
      </c>
      <c r="BQ330" s="16">
        <f t="shared" si="244"/>
        <v>0.1000007994126096</v>
      </c>
      <c r="BR330" s="16">
        <f t="shared" si="245"/>
        <v>0.13164487759885393</v>
      </c>
      <c r="BS330" s="16">
        <f t="shared" si="246"/>
        <v>2.9803550189863123E-2</v>
      </c>
      <c r="BT330" s="16">
        <f t="shared" si="247"/>
        <v>0.13492040904978705</v>
      </c>
      <c r="BU330" s="16">
        <f t="shared" si="248"/>
        <v>0.11703687414398131</v>
      </c>
      <c r="BV330" s="16">
        <f t="shared" si="249"/>
        <v>0.14633353213781661</v>
      </c>
      <c r="BW330" s="16">
        <f t="shared" si="250"/>
        <v>7.5588015111767173E-2</v>
      </c>
      <c r="BX330" s="16">
        <f t="shared" si="251"/>
        <v>8.0345659937185704E-2</v>
      </c>
      <c r="BY330" s="16">
        <f t="shared" si="252"/>
        <v>5.9014643151272549E-2</v>
      </c>
      <c r="CA330" s="16" t="str">
        <f t="shared" si="229"/>
        <v/>
      </c>
      <c r="CB330" s="16" t="str">
        <f t="shared" si="254"/>
        <v/>
      </c>
      <c r="CC330" s="16" t="str">
        <f t="shared" si="255"/>
        <v/>
      </c>
      <c r="CD330" s="16" t="str">
        <f t="shared" si="256"/>
        <v/>
      </c>
      <c r="CE330" s="16" t="str">
        <f t="shared" si="257"/>
        <v/>
      </c>
      <c r="CF330" s="16" t="str">
        <f t="shared" si="258"/>
        <v/>
      </c>
      <c r="CG330" s="16" t="str">
        <f t="shared" si="259"/>
        <v/>
      </c>
      <c r="CH330" s="16" t="str">
        <f t="shared" si="260"/>
        <v/>
      </c>
      <c r="CI330" s="16" t="str">
        <f t="shared" si="261"/>
        <v/>
      </c>
      <c r="CJ330" s="16" t="str">
        <f t="shared" si="262"/>
        <v/>
      </c>
      <c r="CK330" s="16" t="str">
        <f t="shared" si="263"/>
        <v/>
      </c>
      <c r="CL330" s="16" t="str">
        <f t="shared" si="264"/>
        <v/>
      </c>
      <c r="CM330" s="16" t="str">
        <f t="shared" si="265"/>
        <v/>
      </c>
      <c r="CN330" s="16" t="str">
        <f t="shared" si="266"/>
        <v/>
      </c>
      <c r="CO330" s="16" t="str">
        <f t="shared" si="267"/>
        <v/>
      </c>
      <c r="CP330" s="16" t="str">
        <f t="shared" si="268"/>
        <v/>
      </c>
      <c r="CQ330" s="16" t="str">
        <f t="shared" si="269"/>
        <v/>
      </c>
      <c r="CR330" s="16" t="str">
        <f t="shared" si="270"/>
        <v/>
      </c>
      <c r="CS330" s="16" t="str">
        <f t="shared" si="271"/>
        <v/>
      </c>
      <c r="CT330" s="16" t="str">
        <f t="shared" si="272"/>
        <v/>
      </c>
    </row>
    <row r="331" spans="1:99" x14ac:dyDescent="0.25">
      <c r="A331" s="13"/>
      <c r="B331" s="14"/>
      <c r="C331" s="15" t="str" cm="1">
        <f t="array" ref="C331">IF(B331="","",INDEX('Exercise list'!$C$5:$C$102,B331))</f>
        <v/>
      </c>
      <c r="D331" s="12" t="str">
        <f t="shared" si="230"/>
        <v/>
      </c>
      <c r="E331" s="107" t="str">
        <f t="shared" si="253"/>
        <v/>
      </c>
      <c r="F331" s="63" t="str" cm="1">
        <f t="array" ref="F331">IF(B331="","",0.1+IFERROR(INDEX($F$6:$F330,SUMPRODUCT(MAX(ROW($C$6:$C330)*($C331=$C$6:$C330))-ROW($A$5)))*0.9^($A331-INDEX($A$6:A330,SUMPRODUCT(MAX(ROW($C$6:$C330)*($C331=$C$6:$C330))-ROW($A$5)))),0))</f>
        <v/>
      </c>
      <c r="G331" s="64" t="e">
        <f>INDEX('Exercise list'!$Y$5:$Y$102,MATCH(C331,'Exercise list'!$C$5:$C$102,0))</f>
        <v>#N/A</v>
      </c>
      <c r="H331" s="115">
        <f t="shared" si="231"/>
        <v>0</v>
      </c>
      <c r="I331" s="6">
        <f t="shared" si="232"/>
        <v>5</v>
      </c>
      <c r="J331" s="6" t="str" cm="1">
        <f t="array" ref="J331">IF(B331="","",INDEX('Exercise list'!$D$5:$D$102,B331))</f>
        <v/>
      </c>
      <c r="K331" s="12"/>
      <c r="L331" s="74" t="str" cm="1">
        <f t="array" ref="L331">IF(K331="","",INDEX('Exercise list'!$C$5:$C$102,K331))</f>
        <v/>
      </c>
      <c r="M331" s="6"/>
      <c r="N331" s="75" t="str" cm="1">
        <f t="array" ref="N331">IF(M331="","",INDEX('Exercise list'!$C$5:$C$102,M331))</f>
        <v/>
      </c>
      <c r="P331">
        <f>IFERROR(INDEX('Exercise list'!$E$5:$X$102,MATCH($C331,'Exercise list'!$C$5:$C$102,0),MATCH(P$5,'Exercise list'!$E$4:$X$4,0)),0)</f>
        <v>0</v>
      </c>
      <c r="Q331">
        <f>IFERROR(INDEX('Exercise list'!$E$5:$X$102,MATCH($C331,'Exercise list'!$C$5:$C$102,0),MATCH(Q$5,'Exercise list'!$E$4:$X$4,0)),0)</f>
        <v>0</v>
      </c>
      <c r="R331">
        <f>IFERROR(INDEX('Exercise list'!$E$5:$X$102,MATCH($C331,'Exercise list'!$C$5:$C$102,0),MATCH(R$5,'Exercise list'!$E$4:$X$4,0)),0)</f>
        <v>0</v>
      </c>
      <c r="S331">
        <f>IFERROR(INDEX('Exercise list'!$E$5:$X$102,MATCH($C331,'Exercise list'!$C$5:$C$102,0),MATCH(S$5,'Exercise list'!$E$4:$X$4,0)),0)</f>
        <v>0</v>
      </c>
      <c r="T331">
        <f>IFERROR(INDEX('Exercise list'!$E$5:$X$102,MATCH($C331,'Exercise list'!$C$5:$C$102,0),MATCH(T$5,'Exercise list'!$E$4:$X$4,0)),0)</f>
        <v>0</v>
      </c>
      <c r="U331">
        <f>IFERROR(INDEX('Exercise list'!$E$5:$X$102,MATCH($C331,'Exercise list'!$C$5:$C$102,0),MATCH(U$5,'Exercise list'!$E$4:$X$4,0)),0)</f>
        <v>0</v>
      </c>
      <c r="V331">
        <f>IFERROR(INDEX('Exercise list'!$E$5:$X$102,MATCH($C331,'Exercise list'!$C$5:$C$102,0),MATCH(V$5,'Exercise list'!$E$4:$X$4,0)),0)</f>
        <v>0</v>
      </c>
      <c r="W331">
        <f>IFERROR(INDEX('Exercise list'!$E$5:$X$102,MATCH($C331,'Exercise list'!$C$5:$C$102,0),MATCH(W$5,'Exercise list'!$E$4:$X$4,0)),0)</f>
        <v>0</v>
      </c>
      <c r="X331">
        <f>IFERROR(INDEX('Exercise list'!$E$5:$X$102,MATCH($C331,'Exercise list'!$C$5:$C$102,0),MATCH(X$5,'Exercise list'!$E$4:$X$4,0)),0)</f>
        <v>0</v>
      </c>
      <c r="Y331">
        <f>IFERROR(INDEX('Exercise list'!$E$5:$X$102,MATCH($C331,'Exercise list'!$C$5:$C$102,0),MATCH(Y$5,'Exercise list'!$E$4:$X$4,0)),0)</f>
        <v>0</v>
      </c>
      <c r="Z331">
        <f>IFERROR(INDEX('Exercise list'!$E$5:$X$102,MATCH($C331,'Exercise list'!$C$5:$C$102,0),MATCH(Z$5,'Exercise list'!$E$4:$X$4,0)),0)</f>
        <v>0</v>
      </c>
      <c r="AA331">
        <f>IFERROR(INDEX('Exercise list'!$E$5:$X$102,MATCH($C331,'Exercise list'!$C$5:$C$102,0),MATCH(AA$5,'Exercise list'!$E$4:$X$4,0)),0)</f>
        <v>0</v>
      </c>
      <c r="AB331">
        <f>IFERROR(INDEX('Exercise list'!$E$5:$X$102,MATCH($C331,'Exercise list'!$C$5:$C$102,0),MATCH(AB$5,'Exercise list'!$E$4:$X$4,0)),0)</f>
        <v>0</v>
      </c>
      <c r="AC331">
        <f>IFERROR(INDEX('Exercise list'!$E$5:$X$102,MATCH($C331,'Exercise list'!$C$5:$C$102,0),MATCH(AC$5,'Exercise list'!$E$4:$X$4,0)),0)</f>
        <v>0</v>
      </c>
      <c r="AD331">
        <f>IFERROR(INDEX('Exercise list'!$E$5:$X$102,MATCH($C331,'Exercise list'!$C$5:$C$102,0),MATCH(AD$5,'Exercise list'!$E$4:$X$4,0)),0)</f>
        <v>0</v>
      </c>
      <c r="AE331">
        <f>IFERROR(INDEX('Exercise list'!$E$5:$X$102,MATCH($C331,'Exercise list'!$C$5:$C$102,0),MATCH(AE$5,'Exercise list'!$E$4:$X$4,0)),0)</f>
        <v>0</v>
      </c>
      <c r="AF331">
        <f>IFERROR(INDEX('Exercise list'!$E$5:$X$102,MATCH($C331,'Exercise list'!$C$5:$C$102,0),MATCH(AF$5,'Exercise list'!$E$4:$X$4,0)),0)</f>
        <v>0</v>
      </c>
      <c r="AG331">
        <f>IFERROR(INDEX('Exercise list'!$E$5:$X$102,MATCH($C331,'Exercise list'!$C$5:$C$102,0),MATCH(AG$5,'Exercise list'!$E$4:$X$4,0)),0)</f>
        <v>0</v>
      </c>
      <c r="AH331">
        <f>IFERROR(INDEX('Exercise list'!$E$5:$X$102,MATCH($C331,'Exercise list'!$C$5:$C$102,0),MATCH(AH$5,'Exercise list'!$E$4:$X$4,0)),0)</f>
        <v>0</v>
      </c>
      <c r="AI331">
        <f>IFERROR(INDEX('Exercise list'!$E$5:$X$102,MATCH($C331,'Exercise list'!$C$5:$C$102,0),MATCH(AI$5,'Exercise list'!$E$4:$X$4,0)),0)</f>
        <v>0</v>
      </c>
      <c r="AK331">
        <f>IF(OR($J331=1,COUNTIFS($A$5:$A330,"&gt;="&amp;$A331-1,$A$5:$A330,"&lt;="&amp;$A331,$B$5:$B330,$B331)&gt;0,MIN(1-'Exercise list'!E$2,IF($A331=$A330,AK330,1))-P331&lt;0),-1,MIN(1,IF($A331=$A330,AK330,1)-P331+$D$2))</f>
        <v>1</v>
      </c>
      <c r="AL331">
        <f>IF(OR($J331=1,COUNTIFS($A$5:$A330,"&gt;="&amp;$A331-1,$A$5:$A330,"&lt;="&amp;$A331,$B$5:$B330,$B331)&gt;0,MIN(1-'Exercise list'!F$2,IF($A331=$A330,AL330,1))-Q331&lt;0),-1,MIN(1,IF($A331=$A330,AL330,1)-Q331+$D$2))</f>
        <v>1</v>
      </c>
      <c r="AM331">
        <f>IF(OR($J331=1,COUNTIFS($A$5:$A330,"&gt;="&amp;$A331-1,$A$5:$A330,"&lt;="&amp;$A331,$B$5:$B330,$B331)&gt;0,MIN(1-'Exercise list'!G$2,IF($A331=$A330,AM330,1))-R331&lt;0),-1,MIN(1,IF($A331=$A330,AM330,1)-R331+$D$2))</f>
        <v>1</v>
      </c>
      <c r="AN331">
        <f>IF(OR($J331=1,COUNTIFS($A$5:$A330,"&gt;="&amp;$A331-1,$A$5:$A330,"&lt;="&amp;$A331,$B$5:$B330,$B331)&gt;0,MIN(1-'Exercise list'!H$2,IF($A331=$A330,AN330,1))-S331&lt;0),-1,MIN(1,IF($A331=$A330,AN330,1)-S331+$D$2))</f>
        <v>1</v>
      </c>
      <c r="AO331">
        <f>IF(OR($J331=1,COUNTIFS($A$5:$A330,"&gt;="&amp;$A331-1,$A$5:$A330,"&lt;="&amp;$A331,$B$5:$B330,$B331)&gt;0,MIN(1-'Exercise list'!I$2,IF($A331=$A330,AO330,1))-T331&lt;0),-1,MIN(1,IF($A331=$A330,AO330,1)-T331+$D$2))</f>
        <v>1</v>
      </c>
      <c r="AP331">
        <f>IF(OR($J331=1,COUNTIFS($A$5:$A330,"&gt;="&amp;$A331-1,$A$5:$A330,"&lt;="&amp;$A331,$B$5:$B330,$B331)&gt;0,MIN(1-'Exercise list'!J$2,IF($A331=$A330,AP330,1))-U331&lt;0),-1,MIN(1,IF($A331=$A330,AP330,1)-U331+$D$2))</f>
        <v>1</v>
      </c>
      <c r="AQ331">
        <f>IF(OR($J331=1,COUNTIFS($A$5:$A330,"&gt;="&amp;$A331-1,$A$5:$A330,"&lt;="&amp;$A331,$B$5:$B330,$B331)&gt;0,MIN(1-'Exercise list'!K$2,IF($A331=$A330,AQ330,1))-V331&lt;0),-1,MIN(1,IF($A331=$A330,AQ330,1)-V331+$D$2))</f>
        <v>1</v>
      </c>
      <c r="AR331">
        <f>IF(OR($J331=1,COUNTIFS($A$5:$A330,"&gt;="&amp;$A331-1,$A$5:$A330,"&lt;="&amp;$A331,$B$5:$B330,$B331)&gt;0,MIN(1-'Exercise list'!L$2,IF($A331=$A330,AR330,1))-W331&lt;0),-1,MIN(1,IF($A331=$A330,AR330,1)-W331+$D$2))</f>
        <v>1</v>
      </c>
      <c r="AS331">
        <f>IF(OR($J331=1,COUNTIFS($A$5:$A330,"&gt;="&amp;$A331-1,$A$5:$A330,"&lt;="&amp;$A331,$B$5:$B330,$B331)&gt;0,MIN(1-'Exercise list'!M$2,IF($A331=$A330,AS330,1))-X331&lt;0),-1,MIN(1,IF($A331=$A330,AS330,1)-X331+$D$2))</f>
        <v>1</v>
      </c>
      <c r="AT331">
        <f>IF(OR($J331=1,COUNTIFS($A$5:$A330,"&gt;="&amp;$A331-1,$A$5:$A330,"&lt;="&amp;$A331,$B$5:$B330,$B331)&gt;0,MIN(1-'Exercise list'!N$2,IF($A331=$A330,AT330,1))-Y331&lt;0),-1,MIN(1,IF($A331=$A330,AT330,1)-Y331+$D$2))</f>
        <v>1</v>
      </c>
      <c r="AU331">
        <f>IF(OR($J331=1,COUNTIFS($A$5:$A330,"&gt;="&amp;$A331-1,$A$5:$A330,"&lt;="&amp;$A331,$B$5:$B330,$B331)&gt;0,MIN(1-'Exercise list'!O$2,IF($A331=$A330,AU330,1))-Z331&lt;0),-1,MIN(1,IF($A331=$A330,AU330,1)-Z331+$D$2))</f>
        <v>1</v>
      </c>
      <c r="AV331">
        <f>IF(OR($J331=1,COUNTIFS($A$5:$A330,"&gt;="&amp;$A331-1,$A$5:$A330,"&lt;="&amp;$A331,$B$5:$B330,$B331)&gt;0,MIN(1-'Exercise list'!P$2,IF($A331=$A330,AV330,1))-AA331&lt;0),-1,MIN(1,IF($A331=$A330,AV330,1)-AA331+$D$2))</f>
        <v>1</v>
      </c>
      <c r="AW331">
        <f>IF(OR($J331=1,COUNTIFS($A$5:$A330,"&gt;="&amp;$A331-1,$A$5:$A330,"&lt;="&amp;$A331,$B$5:$B330,$B331)&gt;0,MIN(1-'Exercise list'!Q$2,IF($A331=$A330,AW330,1))-AB331&lt;0),-1,MIN(1,IF($A331=$A330,AW330,1)-AB331+$D$2))</f>
        <v>1</v>
      </c>
      <c r="AX331">
        <f>IF(OR($J331=1,COUNTIFS($A$5:$A330,"&gt;="&amp;$A331-1,$A$5:$A330,"&lt;="&amp;$A331,$B$5:$B330,$B331)&gt;0,MIN(1-'Exercise list'!R$2,IF($A331=$A330,AX330,1))-AC331&lt;0),-1,MIN(1,IF($A331=$A330,AX330,1)-AC331+$D$2))</f>
        <v>1</v>
      </c>
      <c r="AY331">
        <f>IF(OR($J331=1,COUNTIFS($A$5:$A330,"&gt;="&amp;$A331-1,$A$5:$A330,"&lt;="&amp;$A331,$B$5:$B330,$B331)&gt;0,MIN(1-'Exercise list'!S$2,IF($A331=$A330,AY330,1))-AD331&lt;0),-1,MIN(1,IF($A331=$A330,AY330,1)-AD331+$D$2))</f>
        <v>1</v>
      </c>
      <c r="AZ331">
        <f>IF(OR($J331=1,COUNTIFS($A$5:$A330,"&gt;="&amp;$A331-1,$A$5:$A330,"&lt;="&amp;$A331,$B$5:$B330,$B331)&gt;0,MIN(1-'Exercise list'!T$2,IF($A331=$A330,AZ330,1))-AE331&lt;0),-1,MIN(1,IF($A331=$A330,AZ330,1)-AE331+$D$2))</f>
        <v>1</v>
      </c>
      <c r="BA331">
        <f>IF(OR($J331=1,COUNTIFS($A$5:$A330,"&gt;="&amp;$A331-1,$A$5:$A330,"&lt;="&amp;$A331,$B$5:$B330,$B331)&gt;0,MIN(1-'Exercise list'!U$2,IF($A331=$A330,BA330,1))-AF331&lt;0),-1,MIN(1,IF($A331=$A330,BA330,1)-AF331+$D$2))</f>
        <v>1</v>
      </c>
      <c r="BB331">
        <f>IF(OR($J331=1,COUNTIFS($A$5:$A330,"&gt;="&amp;$A331-1,$A$5:$A330,"&lt;="&amp;$A331,$B$5:$B330,$B331)&gt;0,MIN(1-'Exercise list'!V$2,IF($A331=$A330,BB330,1))-AG331&lt;0),-1,MIN(1,IF($A331=$A330,BB330,1)-AG331+$D$2))</f>
        <v>1</v>
      </c>
      <c r="BC331">
        <f>IF(OR($J331=1,COUNTIFS($A$5:$A330,"&gt;="&amp;$A331-1,$A$5:$A330,"&lt;="&amp;$A331,$B$5:$B330,$B331)&gt;0,MIN(1-'Exercise list'!W$2,IF($A331=$A330,BC330,1))-AH331&lt;0),-1,MIN(1,IF($A331=$A330,BC330,1)-AH331+$D$2))</f>
        <v>1</v>
      </c>
      <c r="BD331">
        <f>IF(OR($J331=1,COUNTIFS($A$5:$A330,"&gt;="&amp;$A331-1,$A$5:$A330,"&lt;="&amp;$A331,$B$5:$B330,$B331)&gt;0,MIN(1-'Exercise list'!X$2,IF($A331=$A330,BD330,1))-AI331&lt;0),-1,MIN(1,IF($A331=$A330,BD330,1)-AI331+$D$2))</f>
        <v>1</v>
      </c>
      <c r="BF331" s="16">
        <f t="shared" si="233"/>
        <v>0.19596031081758858</v>
      </c>
      <c r="BG331" s="16">
        <f t="shared" si="234"/>
        <v>0.21844636935459236</v>
      </c>
      <c r="BH331" s="16">
        <f t="shared" si="235"/>
        <v>0.14609696635987124</v>
      </c>
      <c r="BI331" s="16">
        <f t="shared" si="236"/>
        <v>0.13198015366034541</v>
      </c>
      <c r="BJ331" s="16">
        <f t="shared" si="237"/>
        <v>8.3367914198418713E-2</v>
      </c>
      <c r="BK331" s="16">
        <f t="shared" si="238"/>
        <v>0.10640640223148412</v>
      </c>
      <c r="BL331" s="16">
        <f t="shared" si="239"/>
        <v>0.21963504743569431</v>
      </c>
      <c r="BM331" s="16">
        <f t="shared" si="240"/>
        <v>3.8988008374820568E-3</v>
      </c>
      <c r="BN331" s="16">
        <f t="shared" si="241"/>
        <v>0.14537706087090876</v>
      </c>
      <c r="BO331" s="16">
        <f t="shared" si="242"/>
        <v>0.29209790661993401</v>
      </c>
      <c r="BP331" s="16">
        <f t="shared" si="243"/>
        <v>0.31584545163401867</v>
      </c>
      <c r="BQ331" s="16">
        <f t="shared" si="244"/>
        <v>0.1000007994126096</v>
      </c>
      <c r="BR331" s="16">
        <f t="shared" si="245"/>
        <v>0.13164487759885393</v>
      </c>
      <c r="BS331" s="16">
        <f t="shared" si="246"/>
        <v>2.9803550189863123E-2</v>
      </c>
      <c r="BT331" s="16">
        <f t="shared" si="247"/>
        <v>0.13492040904978705</v>
      </c>
      <c r="BU331" s="16">
        <f t="shared" si="248"/>
        <v>0.11703687414398131</v>
      </c>
      <c r="BV331" s="16">
        <f t="shared" si="249"/>
        <v>0.14633353213781661</v>
      </c>
      <c r="BW331" s="16">
        <f t="shared" si="250"/>
        <v>7.5588015111767173E-2</v>
      </c>
      <c r="BX331" s="16">
        <f t="shared" si="251"/>
        <v>8.0345659937185704E-2</v>
      </c>
      <c r="BY331" s="16">
        <f t="shared" si="252"/>
        <v>5.9014643151272549E-2</v>
      </c>
      <c r="CA331" s="16" t="str">
        <f t="shared" ref="CA331:CA394" si="273">IF($A331="","",MAX(0,CA$2/SUM($CA$2:$CT$2)*SUM($BF331:$BY331)-BF331))</f>
        <v/>
      </c>
      <c r="CB331" s="16" t="str">
        <f t="shared" si="254"/>
        <v/>
      </c>
      <c r="CC331" s="16" t="str">
        <f t="shared" si="255"/>
        <v/>
      </c>
      <c r="CD331" s="16" t="str">
        <f t="shared" si="256"/>
        <v/>
      </c>
      <c r="CE331" s="16" t="str">
        <f t="shared" si="257"/>
        <v/>
      </c>
      <c r="CF331" s="16" t="str">
        <f t="shared" si="258"/>
        <v/>
      </c>
      <c r="CG331" s="16" t="str">
        <f t="shared" si="259"/>
        <v/>
      </c>
      <c r="CH331" s="16" t="str">
        <f t="shared" si="260"/>
        <v/>
      </c>
      <c r="CI331" s="16" t="str">
        <f t="shared" si="261"/>
        <v/>
      </c>
      <c r="CJ331" s="16" t="str">
        <f t="shared" si="262"/>
        <v/>
      </c>
      <c r="CK331" s="16" t="str">
        <f t="shared" si="263"/>
        <v/>
      </c>
      <c r="CL331" s="16" t="str">
        <f t="shared" si="264"/>
        <v/>
      </c>
      <c r="CM331" s="16" t="str">
        <f t="shared" si="265"/>
        <v/>
      </c>
      <c r="CN331" s="16" t="str">
        <f t="shared" si="266"/>
        <v/>
      </c>
      <c r="CO331" s="16" t="str">
        <f t="shared" si="267"/>
        <v/>
      </c>
      <c r="CP331" s="16" t="str">
        <f t="shared" si="268"/>
        <v/>
      </c>
      <c r="CQ331" s="16" t="str">
        <f t="shared" si="269"/>
        <v/>
      </c>
      <c r="CR331" s="16" t="str">
        <f t="shared" si="270"/>
        <v/>
      </c>
      <c r="CS331" s="16" t="str">
        <f t="shared" si="271"/>
        <v/>
      </c>
      <c r="CT331" s="16" t="str">
        <f t="shared" si="272"/>
        <v/>
      </c>
    </row>
    <row r="332" spans="1:99" x14ac:dyDescent="0.25">
      <c r="A332" s="13"/>
      <c r="B332" s="14"/>
      <c r="C332" s="15" t="str" cm="1">
        <f t="array" ref="C332">IF(B332="","",INDEX('Exercise list'!$C$5:$C$102,B332))</f>
        <v/>
      </c>
      <c r="D332" s="12" t="str">
        <f t="shared" si="230"/>
        <v/>
      </c>
      <c r="E332" s="107" t="str">
        <f t="shared" si="253"/>
        <v/>
      </c>
      <c r="F332" s="63" t="str" cm="1">
        <f t="array" ref="F332">IF(B332="","",0.1+IFERROR(INDEX($F$6:$F331,SUMPRODUCT(MAX(ROW($C$6:$C331)*($C332=$C$6:$C331))-ROW($A$5)))*0.9^($A332-INDEX($A$6:A331,SUMPRODUCT(MAX(ROW($C$6:$C331)*($C332=$C$6:$C331))-ROW($A$5)))),0))</f>
        <v/>
      </c>
      <c r="G332" s="64" t="e">
        <f>INDEX('Exercise list'!$Y$5:$Y$102,MATCH(C332,'Exercise list'!$C$5:$C$102,0))</f>
        <v>#N/A</v>
      </c>
      <c r="H332" s="115">
        <f t="shared" si="231"/>
        <v>0</v>
      </c>
      <c r="I332" s="6">
        <f t="shared" si="232"/>
        <v>5</v>
      </c>
      <c r="J332" s="6" t="str" cm="1">
        <f t="array" ref="J332">IF(B332="","",INDEX('Exercise list'!$D$5:$D$102,B332))</f>
        <v/>
      </c>
      <c r="K332" s="12"/>
      <c r="L332" s="74" t="str" cm="1">
        <f t="array" ref="L332">IF(K332="","",INDEX('Exercise list'!$C$5:$C$102,K332))</f>
        <v/>
      </c>
      <c r="M332" s="6"/>
      <c r="N332" s="75" t="str" cm="1">
        <f t="array" ref="N332">IF(M332="","",INDEX('Exercise list'!$C$5:$C$102,M332))</f>
        <v/>
      </c>
      <c r="P332">
        <f>IFERROR(INDEX('Exercise list'!$E$5:$X$102,MATCH($C332,'Exercise list'!$C$5:$C$102,0),MATCH(P$5,'Exercise list'!$E$4:$X$4,0)),0)</f>
        <v>0</v>
      </c>
      <c r="Q332">
        <f>IFERROR(INDEX('Exercise list'!$E$5:$X$102,MATCH($C332,'Exercise list'!$C$5:$C$102,0),MATCH(Q$5,'Exercise list'!$E$4:$X$4,0)),0)</f>
        <v>0</v>
      </c>
      <c r="R332">
        <f>IFERROR(INDEX('Exercise list'!$E$5:$X$102,MATCH($C332,'Exercise list'!$C$5:$C$102,0),MATCH(R$5,'Exercise list'!$E$4:$X$4,0)),0)</f>
        <v>0</v>
      </c>
      <c r="S332">
        <f>IFERROR(INDEX('Exercise list'!$E$5:$X$102,MATCH($C332,'Exercise list'!$C$5:$C$102,0),MATCH(S$5,'Exercise list'!$E$4:$X$4,0)),0)</f>
        <v>0</v>
      </c>
      <c r="T332">
        <f>IFERROR(INDEX('Exercise list'!$E$5:$X$102,MATCH($C332,'Exercise list'!$C$5:$C$102,0),MATCH(T$5,'Exercise list'!$E$4:$X$4,0)),0)</f>
        <v>0</v>
      </c>
      <c r="U332">
        <f>IFERROR(INDEX('Exercise list'!$E$5:$X$102,MATCH($C332,'Exercise list'!$C$5:$C$102,0),MATCH(U$5,'Exercise list'!$E$4:$X$4,0)),0)</f>
        <v>0</v>
      </c>
      <c r="V332">
        <f>IFERROR(INDEX('Exercise list'!$E$5:$X$102,MATCH($C332,'Exercise list'!$C$5:$C$102,0),MATCH(V$5,'Exercise list'!$E$4:$X$4,0)),0)</f>
        <v>0</v>
      </c>
      <c r="W332">
        <f>IFERROR(INDEX('Exercise list'!$E$5:$X$102,MATCH($C332,'Exercise list'!$C$5:$C$102,0),MATCH(W$5,'Exercise list'!$E$4:$X$4,0)),0)</f>
        <v>0</v>
      </c>
      <c r="X332">
        <f>IFERROR(INDEX('Exercise list'!$E$5:$X$102,MATCH($C332,'Exercise list'!$C$5:$C$102,0),MATCH(X$5,'Exercise list'!$E$4:$X$4,0)),0)</f>
        <v>0</v>
      </c>
      <c r="Y332">
        <f>IFERROR(INDEX('Exercise list'!$E$5:$X$102,MATCH($C332,'Exercise list'!$C$5:$C$102,0),MATCH(Y$5,'Exercise list'!$E$4:$X$4,0)),0)</f>
        <v>0</v>
      </c>
      <c r="Z332">
        <f>IFERROR(INDEX('Exercise list'!$E$5:$X$102,MATCH($C332,'Exercise list'!$C$5:$C$102,0),MATCH(Z$5,'Exercise list'!$E$4:$X$4,0)),0)</f>
        <v>0</v>
      </c>
      <c r="AA332">
        <f>IFERROR(INDEX('Exercise list'!$E$5:$X$102,MATCH($C332,'Exercise list'!$C$5:$C$102,0),MATCH(AA$5,'Exercise list'!$E$4:$X$4,0)),0)</f>
        <v>0</v>
      </c>
      <c r="AB332">
        <f>IFERROR(INDEX('Exercise list'!$E$5:$X$102,MATCH($C332,'Exercise list'!$C$5:$C$102,0),MATCH(AB$5,'Exercise list'!$E$4:$X$4,0)),0)</f>
        <v>0</v>
      </c>
      <c r="AC332">
        <f>IFERROR(INDEX('Exercise list'!$E$5:$X$102,MATCH($C332,'Exercise list'!$C$5:$C$102,0),MATCH(AC$5,'Exercise list'!$E$4:$X$4,0)),0)</f>
        <v>0</v>
      </c>
      <c r="AD332">
        <f>IFERROR(INDEX('Exercise list'!$E$5:$X$102,MATCH($C332,'Exercise list'!$C$5:$C$102,0),MATCH(AD$5,'Exercise list'!$E$4:$X$4,0)),0)</f>
        <v>0</v>
      </c>
      <c r="AE332">
        <f>IFERROR(INDEX('Exercise list'!$E$5:$X$102,MATCH($C332,'Exercise list'!$C$5:$C$102,0),MATCH(AE$5,'Exercise list'!$E$4:$X$4,0)),0)</f>
        <v>0</v>
      </c>
      <c r="AF332">
        <f>IFERROR(INDEX('Exercise list'!$E$5:$X$102,MATCH($C332,'Exercise list'!$C$5:$C$102,0),MATCH(AF$5,'Exercise list'!$E$4:$X$4,0)),0)</f>
        <v>0</v>
      </c>
      <c r="AG332">
        <f>IFERROR(INDEX('Exercise list'!$E$5:$X$102,MATCH($C332,'Exercise list'!$C$5:$C$102,0),MATCH(AG$5,'Exercise list'!$E$4:$X$4,0)),0)</f>
        <v>0</v>
      </c>
      <c r="AH332">
        <f>IFERROR(INDEX('Exercise list'!$E$5:$X$102,MATCH($C332,'Exercise list'!$C$5:$C$102,0),MATCH(AH$5,'Exercise list'!$E$4:$X$4,0)),0)</f>
        <v>0</v>
      </c>
      <c r="AI332">
        <f>IFERROR(INDEX('Exercise list'!$E$5:$X$102,MATCH($C332,'Exercise list'!$C$5:$C$102,0),MATCH(AI$5,'Exercise list'!$E$4:$X$4,0)),0)</f>
        <v>0</v>
      </c>
      <c r="AK332">
        <f>IF(OR($J332=1,COUNTIFS($A$5:$A331,"&gt;="&amp;$A332-1,$A$5:$A331,"&lt;="&amp;$A332,$B$5:$B331,$B332)&gt;0,MIN(1-'Exercise list'!E$2,IF($A332=$A331,AK331,1))-P332&lt;0),-1,MIN(1,IF($A332=$A331,AK331,1)-P332+$D$2))</f>
        <v>1</v>
      </c>
      <c r="AL332">
        <f>IF(OR($J332=1,COUNTIFS($A$5:$A331,"&gt;="&amp;$A332-1,$A$5:$A331,"&lt;="&amp;$A332,$B$5:$B331,$B332)&gt;0,MIN(1-'Exercise list'!F$2,IF($A332=$A331,AL331,1))-Q332&lt;0),-1,MIN(1,IF($A332=$A331,AL331,1)-Q332+$D$2))</f>
        <v>1</v>
      </c>
      <c r="AM332">
        <f>IF(OR($J332=1,COUNTIFS($A$5:$A331,"&gt;="&amp;$A332-1,$A$5:$A331,"&lt;="&amp;$A332,$B$5:$B331,$B332)&gt;0,MIN(1-'Exercise list'!G$2,IF($A332=$A331,AM331,1))-R332&lt;0),-1,MIN(1,IF($A332=$A331,AM331,1)-R332+$D$2))</f>
        <v>1</v>
      </c>
      <c r="AN332">
        <f>IF(OR($J332=1,COUNTIFS($A$5:$A331,"&gt;="&amp;$A332-1,$A$5:$A331,"&lt;="&amp;$A332,$B$5:$B331,$B332)&gt;0,MIN(1-'Exercise list'!H$2,IF($A332=$A331,AN331,1))-S332&lt;0),-1,MIN(1,IF($A332=$A331,AN331,1)-S332+$D$2))</f>
        <v>1</v>
      </c>
      <c r="AO332">
        <f>IF(OR($J332=1,COUNTIFS($A$5:$A331,"&gt;="&amp;$A332-1,$A$5:$A331,"&lt;="&amp;$A332,$B$5:$B331,$B332)&gt;0,MIN(1-'Exercise list'!I$2,IF($A332=$A331,AO331,1))-T332&lt;0),-1,MIN(1,IF($A332=$A331,AO331,1)-T332+$D$2))</f>
        <v>1</v>
      </c>
      <c r="AP332">
        <f>IF(OR($J332=1,COUNTIFS($A$5:$A331,"&gt;="&amp;$A332-1,$A$5:$A331,"&lt;="&amp;$A332,$B$5:$B331,$B332)&gt;0,MIN(1-'Exercise list'!J$2,IF($A332=$A331,AP331,1))-U332&lt;0),-1,MIN(1,IF($A332=$A331,AP331,1)-U332+$D$2))</f>
        <v>1</v>
      </c>
      <c r="AQ332">
        <f>IF(OR($J332=1,COUNTIFS($A$5:$A331,"&gt;="&amp;$A332-1,$A$5:$A331,"&lt;="&amp;$A332,$B$5:$B331,$B332)&gt;0,MIN(1-'Exercise list'!K$2,IF($A332=$A331,AQ331,1))-V332&lt;0),-1,MIN(1,IF($A332=$A331,AQ331,1)-V332+$D$2))</f>
        <v>1</v>
      </c>
      <c r="AR332">
        <f>IF(OR($J332=1,COUNTIFS($A$5:$A331,"&gt;="&amp;$A332-1,$A$5:$A331,"&lt;="&amp;$A332,$B$5:$B331,$B332)&gt;0,MIN(1-'Exercise list'!L$2,IF($A332=$A331,AR331,1))-W332&lt;0),-1,MIN(1,IF($A332=$A331,AR331,1)-W332+$D$2))</f>
        <v>1</v>
      </c>
      <c r="AS332">
        <f>IF(OR($J332=1,COUNTIFS($A$5:$A331,"&gt;="&amp;$A332-1,$A$5:$A331,"&lt;="&amp;$A332,$B$5:$B331,$B332)&gt;0,MIN(1-'Exercise list'!M$2,IF($A332=$A331,AS331,1))-X332&lt;0),-1,MIN(1,IF($A332=$A331,AS331,1)-X332+$D$2))</f>
        <v>1</v>
      </c>
      <c r="AT332">
        <f>IF(OR($J332=1,COUNTIFS($A$5:$A331,"&gt;="&amp;$A332-1,$A$5:$A331,"&lt;="&amp;$A332,$B$5:$B331,$B332)&gt;0,MIN(1-'Exercise list'!N$2,IF($A332=$A331,AT331,1))-Y332&lt;0),-1,MIN(1,IF($A332=$A331,AT331,1)-Y332+$D$2))</f>
        <v>1</v>
      </c>
      <c r="AU332">
        <f>IF(OR($J332=1,COUNTIFS($A$5:$A331,"&gt;="&amp;$A332-1,$A$5:$A331,"&lt;="&amp;$A332,$B$5:$B331,$B332)&gt;0,MIN(1-'Exercise list'!O$2,IF($A332=$A331,AU331,1))-Z332&lt;0),-1,MIN(1,IF($A332=$A331,AU331,1)-Z332+$D$2))</f>
        <v>1</v>
      </c>
      <c r="AV332">
        <f>IF(OR($J332=1,COUNTIFS($A$5:$A331,"&gt;="&amp;$A332-1,$A$5:$A331,"&lt;="&amp;$A332,$B$5:$B331,$B332)&gt;0,MIN(1-'Exercise list'!P$2,IF($A332=$A331,AV331,1))-AA332&lt;0),-1,MIN(1,IF($A332=$A331,AV331,1)-AA332+$D$2))</f>
        <v>1</v>
      </c>
      <c r="AW332">
        <f>IF(OR($J332=1,COUNTIFS($A$5:$A331,"&gt;="&amp;$A332-1,$A$5:$A331,"&lt;="&amp;$A332,$B$5:$B331,$B332)&gt;0,MIN(1-'Exercise list'!Q$2,IF($A332=$A331,AW331,1))-AB332&lt;0),-1,MIN(1,IF($A332=$A331,AW331,1)-AB332+$D$2))</f>
        <v>1</v>
      </c>
      <c r="AX332">
        <f>IF(OR($J332=1,COUNTIFS($A$5:$A331,"&gt;="&amp;$A332-1,$A$5:$A331,"&lt;="&amp;$A332,$B$5:$B331,$B332)&gt;0,MIN(1-'Exercise list'!R$2,IF($A332=$A331,AX331,1))-AC332&lt;0),-1,MIN(1,IF($A332=$A331,AX331,1)-AC332+$D$2))</f>
        <v>1</v>
      </c>
      <c r="AY332">
        <f>IF(OR($J332=1,COUNTIFS($A$5:$A331,"&gt;="&amp;$A332-1,$A$5:$A331,"&lt;="&amp;$A332,$B$5:$B331,$B332)&gt;0,MIN(1-'Exercise list'!S$2,IF($A332=$A331,AY331,1))-AD332&lt;0),-1,MIN(1,IF($A332=$A331,AY331,1)-AD332+$D$2))</f>
        <v>1</v>
      </c>
      <c r="AZ332">
        <f>IF(OR($J332=1,COUNTIFS($A$5:$A331,"&gt;="&amp;$A332-1,$A$5:$A331,"&lt;="&amp;$A332,$B$5:$B331,$B332)&gt;0,MIN(1-'Exercise list'!T$2,IF($A332=$A331,AZ331,1))-AE332&lt;0),-1,MIN(1,IF($A332=$A331,AZ331,1)-AE332+$D$2))</f>
        <v>1</v>
      </c>
      <c r="BA332">
        <f>IF(OR($J332=1,COUNTIFS($A$5:$A331,"&gt;="&amp;$A332-1,$A$5:$A331,"&lt;="&amp;$A332,$B$5:$B331,$B332)&gt;0,MIN(1-'Exercise list'!U$2,IF($A332=$A331,BA331,1))-AF332&lt;0),-1,MIN(1,IF($A332=$A331,BA331,1)-AF332+$D$2))</f>
        <v>1</v>
      </c>
      <c r="BB332">
        <f>IF(OR($J332=1,COUNTIFS($A$5:$A331,"&gt;="&amp;$A332-1,$A$5:$A331,"&lt;="&amp;$A332,$B$5:$B331,$B332)&gt;0,MIN(1-'Exercise list'!V$2,IF($A332=$A331,BB331,1))-AG332&lt;0),-1,MIN(1,IF($A332=$A331,BB331,1)-AG332+$D$2))</f>
        <v>1</v>
      </c>
      <c r="BC332">
        <f>IF(OR($J332=1,COUNTIFS($A$5:$A331,"&gt;="&amp;$A332-1,$A$5:$A331,"&lt;="&amp;$A332,$B$5:$B331,$B332)&gt;0,MIN(1-'Exercise list'!W$2,IF($A332=$A331,BC331,1))-AH332&lt;0),-1,MIN(1,IF($A332=$A331,BC331,1)-AH332+$D$2))</f>
        <v>1</v>
      </c>
      <c r="BD332">
        <f>IF(OR($J332=1,COUNTIFS($A$5:$A331,"&gt;="&amp;$A332-1,$A$5:$A331,"&lt;="&amp;$A332,$B$5:$B331,$B332)&gt;0,MIN(1-'Exercise list'!X$2,IF($A332=$A331,BD331,1))-AI332&lt;0),-1,MIN(1,IF($A332=$A331,BD331,1)-AI332+$D$2))</f>
        <v>1</v>
      </c>
      <c r="BF332" s="16">
        <f t="shared" si="233"/>
        <v>0.19596031081758858</v>
      </c>
      <c r="BG332" s="16">
        <f t="shared" si="234"/>
        <v>0.21844636935459236</v>
      </c>
      <c r="BH332" s="16">
        <f t="shared" si="235"/>
        <v>0.14609696635987124</v>
      </c>
      <c r="BI332" s="16">
        <f t="shared" si="236"/>
        <v>0.13198015366034541</v>
      </c>
      <c r="BJ332" s="16">
        <f t="shared" si="237"/>
        <v>8.3367914198418713E-2</v>
      </c>
      <c r="BK332" s="16">
        <f t="shared" si="238"/>
        <v>0.10640640223148412</v>
      </c>
      <c r="BL332" s="16">
        <f t="shared" si="239"/>
        <v>0.21963504743569431</v>
      </c>
      <c r="BM332" s="16">
        <f t="shared" si="240"/>
        <v>3.8988008374820568E-3</v>
      </c>
      <c r="BN332" s="16">
        <f t="shared" si="241"/>
        <v>0.14537706087090876</v>
      </c>
      <c r="BO332" s="16">
        <f t="shared" si="242"/>
        <v>0.29209790661993401</v>
      </c>
      <c r="BP332" s="16">
        <f t="shared" si="243"/>
        <v>0.31584545163401867</v>
      </c>
      <c r="BQ332" s="16">
        <f t="shared" si="244"/>
        <v>0.1000007994126096</v>
      </c>
      <c r="BR332" s="16">
        <f t="shared" si="245"/>
        <v>0.13164487759885393</v>
      </c>
      <c r="BS332" s="16">
        <f t="shared" si="246"/>
        <v>2.9803550189863123E-2</v>
      </c>
      <c r="BT332" s="16">
        <f t="shared" si="247"/>
        <v>0.13492040904978705</v>
      </c>
      <c r="BU332" s="16">
        <f t="shared" si="248"/>
        <v>0.11703687414398131</v>
      </c>
      <c r="BV332" s="16">
        <f t="shared" si="249"/>
        <v>0.14633353213781661</v>
      </c>
      <c r="BW332" s="16">
        <f t="shared" si="250"/>
        <v>7.5588015111767173E-2</v>
      </c>
      <c r="BX332" s="16">
        <f t="shared" si="251"/>
        <v>8.0345659937185704E-2</v>
      </c>
      <c r="BY332" s="16">
        <f t="shared" si="252"/>
        <v>5.9014643151272549E-2</v>
      </c>
      <c r="CA332" s="16" t="str">
        <f t="shared" si="273"/>
        <v/>
      </c>
      <c r="CB332" s="16" t="str">
        <f t="shared" si="254"/>
        <v/>
      </c>
      <c r="CC332" s="16" t="str">
        <f t="shared" si="255"/>
        <v/>
      </c>
      <c r="CD332" s="16" t="str">
        <f t="shared" si="256"/>
        <v/>
      </c>
      <c r="CE332" s="16" t="str">
        <f t="shared" si="257"/>
        <v/>
      </c>
      <c r="CF332" s="16" t="str">
        <f t="shared" si="258"/>
        <v/>
      </c>
      <c r="CG332" s="16" t="str">
        <f t="shared" si="259"/>
        <v/>
      </c>
      <c r="CH332" s="16" t="str">
        <f t="shared" si="260"/>
        <v/>
      </c>
      <c r="CI332" s="16" t="str">
        <f t="shared" si="261"/>
        <v/>
      </c>
      <c r="CJ332" s="16" t="str">
        <f t="shared" si="262"/>
        <v/>
      </c>
      <c r="CK332" s="16" t="str">
        <f t="shared" si="263"/>
        <v/>
      </c>
      <c r="CL332" s="16" t="str">
        <f t="shared" si="264"/>
        <v/>
      </c>
      <c r="CM332" s="16" t="str">
        <f t="shared" si="265"/>
        <v/>
      </c>
      <c r="CN332" s="16" t="str">
        <f t="shared" si="266"/>
        <v/>
      </c>
      <c r="CO332" s="16" t="str">
        <f t="shared" si="267"/>
        <v/>
      </c>
      <c r="CP332" s="16" t="str">
        <f t="shared" si="268"/>
        <v/>
      </c>
      <c r="CQ332" s="16" t="str">
        <f t="shared" si="269"/>
        <v/>
      </c>
      <c r="CR332" s="16" t="str">
        <f t="shared" si="270"/>
        <v/>
      </c>
      <c r="CS332" s="16" t="str">
        <f t="shared" si="271"/>
        <v/>
      </c>
      <c r="CT332" s="16" t="str">
        <f t="shared" si="272"/>
        <v/>
      </c>
    </row>
    <row r="333" spans="1:99" x14ac:dyDescent="0.25">
      <c r="A333" s="20"/>
      <c r="B333" s="21"/>
      <c r="C333" s="22" t="str" cm="1">
        <f t="array" ref="C333">IF(B333="","",INDEX('Exercise list'!$C$5:$C$102,B333))</f>
        <v/>
      </c>
      <c r="D333" s="17" t="str">
        <f t="shared" si="230"/>
        <v/>
      </c>
      <c r="E333" s="108" t="str">
        <f t="shared" si="253"/>
        <v/>
      </c>
      <c r="F333" s="65" t="str" cm="1">
        <f t="array" ref="F333">IF(B333="","",0.1+IFERROR(INDEX($F$6:$F332,SUMPRODUCT(MAX(ROW($C$6:$C332)*($C333=$C$6:$C332))-ROW($A$5)))*0.9^($A333-INDEX($A$6:A332,SUMPRODUCT(MAX(ROW($C$6:$C332)*($C333=$C$6:$C332))-ROW($A$5)))),0))</f>
        <v/>
      </c>
      <c r="G333" s="25" t="e">
        <f>INDEX('Exercise list'!$Y$5:$Y$102,MATCH(C333,'Exercise list'!$C$5:$C$102,0))</f>
        <v>#N/A</v>
      </c>
      <c r="H333" s="116">
        <f t="shared" si="231"/>
        <v>0</v>
      </c>
      <c r="I333" s="18">
        <f t="shared" si="232"/>
        <v>5</v>
      </c>
      <c r="J333" s="18" t="str" cm="1">
        <f t="array" ref="J333">IF(B333="","",INDEX('Exercise list'!$D$5:$D$102,B333))</f>
        <v/>
      </c>
      <c r="K333" s="17"/>
      <c r="L333" s="51" t="str" cm="1">
        <f t="array" ref="L333">IF(K333="","",INDEX('Exercise list'!$C$5:$C$102,K333))</f>
        <v/>
      </c>
      <c r="M333" s="18"/>
      <c r="N333" s="76" t="str" cm="1">
        <f t="array" ref="N333">IF(M333="","",INDEX('Exercise list'!$C$5:$C$102,M333))</f>
        <v/>
      </c>
      <c r="O333" s="19"/>
      <c r="P333" s="19">
        <f>IFERROR(INDEX('Exercise list'!$E$5:$X$102,MATCH($C333,'Exercise list'!$C$5:$C$102,0),MATCH(P$5,'Exercise list'!$E$4:$X$4,0)),0)</f>
        <v>0</v>
      </c>
      <c r="Q333" s="19">
        <f>IFERROR(INDEX('Exercise list'!$E$5:$X$102,MATCH($C333,'Exercise list'!$C$5:$C$102,0),MATCH(Q$5,'Exercise list'!$E$4:$X$4,0)),0)</f>
        <v>0</v>
      </c>
      <c r="R333" s="19">
        <f>IFERROR(INDEX('Exercise list'!$E$5:$X$102,MATCH($C333,'Exercise list'!$C$5:$C$102,0),MATCH(R$5,'Exercise list'!$E$4:$X$4,0)),0)</f>
        <v>0</v>
      </c>
      <c r="S333" s="19">
        <f>IFERROR(INDEX('Exercise list'!$E$5:$X$102,MATCH($C333,'Exercise list'!$C$5:$C$102,0),MATCH(S$5,'Exercise list'!$E$4:$X$4,0)),0)</f>
        <v>0</v>
      </c>
      <c r="T333" s="19">
        <f>IFERROR(INDEX('Exercise list'!$E$5:$X$102,MATCH($C333,'Exercise list'!$C$5:$C$102,0),MATCH(T$5,'Exercise list'!$E$4:$X$4,0)),0)</f>
        <v>0</v>
      </c>
      <c r="U333" s="19">
        <f>IFERROR(INDEX('Exercise list'!$E$5:$X$102,MATCH($C333,'Exercise list'!$C$5:$C$102,0),MATCH(U$5,'Exercise list'!$E$4:$X$4,0)),0)</f>
        <v>0</v>
      </c>
      <c r="V333" s="19">
        <f>IFERROR(INDEX('Exercise list'!$E$5:$X$102,MATCH($C333,'Exercise list'!$C$5:$C$102,0),MATCH(V$5,'Exercise list'!$E$4:$X$4,0)),0)</f>
        <v>0</v>
      </c>
      <c r="W333" s="19">
        <f>IFERROR(INDEX('Exercise list'!$E$5:$X$102,MATCH($C333,'Exercise list'!$C$5:$C$102,0),MATCH(W$5,'Exercise list'!$E$4:$X$4,0)),0)</f>
        <v>0</v>
      </c>
      <c r="X333" s="19">
        <f>IFERROR(INDEX('Exercise list'!$E$5:$X$102,MATCH($C333,'Exercise list'!$C$5:$C$102,0),MATCH(X$5,'Exercise list'!$E$4:$X$4,0)),0)</f>
        <v>0</v>
      </c>
      <c r="Y333" s="19">
        <f>IFERROR(INDEX('Exercise list'!$E$5:$X$102,MATCH($C333,'Exercise list'!$C$5:$C$102,0),MATCH(Y$5,'Exercise list'!$E$4:$X$4,0)),0)</f>
        <v>0</v>
      </c>
      <c r="Z333" s="19">
        <f>IFERROR(INDEX('Exercise list'!$E$5:$X$102,MATCH($C333,'Exercise list'!$C$5:$C$102,0),MATCH(Z$5,'Exercise list'!$E$4:$X$4,0)),0)</f>
        <v>0</v>
      </c>
      <c r="AA333" s="19">
        <f>IFERROR(INDEX('Exercise list'!$E$5:$X$102,MATCH($C333,'Exercise list'!$C$5:$C$102,0),MATCH(AA$5,'Exercise list'!$E$4:$X$4,0)),0)</f>
        <v>0</v>
      </c>
      <c r="AB333" s="19">
        <f>IFERROR(INDEX('Exercise list'!$E$5:$X$102,MATCH($C333,'Exercise list'!$C$5:$C$102,0),MATCH(AB$5,'Exercise list'!$E$4:$X$4,0)),0)</f>
        <v>0</v>
      </c>
      <c r="AC333" s="19">
        <f>IFERROR(INDEX('Exercise list'!$E$5:$X$102,MATCH($C333,'Exercise list'!$C$5:$C$102,0),MATCH(AC$5,'Exercise list'!$E$4:$X$4,0)),0)</f>
        <v>0</v>
      </c>
      <c r="AD333" s="19">
        <f>IFERROR(INDEX('Exercise list'!$E$5:$X$102,MATCH($C333,'Exercise list'!$C$5:$C$102,0),MATCH(AD$5,'Exercise list'!$E$4:$X$4,0)),0)</f>
        <v>0</v>
      </c>
      <c r="AE333" s="19">
        <f>IFERROR(INDEX('Exercise list'!$E$5:$X$102,MATCH($C333,'Exercise list'!$C$5:$C$102,0),MATCH(AE$5,'Exercise list'!$E$4:$X$4,0)),0)</f>
        <v>0</v>
      </c>
      <c r="AF333" s="19">
        <f>IFERROR(INDEX('Exercise list'!$E$5:$X$102,MATCH($C333,'Exercise list'!$C$5:$C$102,0),MATCH(AF$5,'Exercise list'!$E$4:$X$4,0)),0)</f>
        <v>0</v>
      </c>
      <c r="AG333" s="19">
        <f>IFERROR(INDEX('Exercise list'!$E$5:$X$102,MATCH($C333,'Exercise list'!$C$5:$C$102,0),MATCH(AG$5,'Exercise list'!$E$4:$X$4,0)),0)</f>
        <v>0</v>
      </c>
      <c r="AH333" s="19">
        <f>IFERROR(INDEX('Exercise list'!$E$5:$X$102,MATCH($C333,'Exercise list'!$C$5:$C$102,0),MATCH(AH$5,'Exercise list'!$E$4:$X$4,0)),0)</f>
        <v>0</v>
      </c>
      <c r="AI333" s="19">
        <f>IFERROR(INDEX('Exercise list'!$E$5:$X$102,MATCH($C333,'Exercise list'!$C$5:$C$102,0),MATCH(AI$5,'Exercise list'!$E$4:$X$4,0)),0)</f>
        <v>0</v>
      </c>
      <c r="AJ333" s="19"/>
      <c r="AK333" s="19">
        <f>IF(OR($J333=1,COUNTIFS($A$5:$A332,"&gt;="&amp;$A333-1,$A$5:$A332,"&lt;="&amp;$A333,$B$5:$B332,$B333)&gt;0,MIN(1-'Exercise list'!E$2,IF($A333=$A332,AK332,1))-P333&lt;0),-1,MIN(1,IF($A333=$A332,AK332,1)-P333+$D$2))</f>
        <v>1</v>
      </c>
      <c r="AL333" s="19">
        <f>IF(OR($J333=1,COUNTIFS($A$5:$A332,"&gt;="&amp;$A333-1,$A$5:$A332,"&lt;="&amp;$A333,$B$5:$B332,$B333)&gt;0,MIN(1-'Exercise list'!F$2,IF($A333=$A332,AL332,1))-Q333&lt;0),-1,MIN(1,IF($A333=$A332,AL332,1)-Q333+$D$2))</f>
        <v>1</v>
      </c>
      <c r="AM333" s="19">
        <f>IF(OR($J333=1,COUNTIFS($A$5:$A332,"&gt;="&amp;$A333-1,$A$5:$A332,"&lt;="&amp;$A333,$B$5:$B332,$B333)&gt;0,MIN(1-'Exercise list'!G$2,IF($A333=$A332,AM332,1))-R333&lt;0),-1,MIN(1,IF($A333=$A332,AM332,1)-R333+$D$2))</f>
        <v>1</v>
      </c>
      <c r="AN333" s="19">
        <f>IF(OR($J333=1,COUNTIFS($A$5:$A332,"&gt;="&amp;$A333-1,$A$5:$A332,"&lt;="&amp;$A333,$B$5:$B332,$B333)&gt;0,MIN(1-'Exercise list'!H$2,IF($A333=$A332,AN332,1))-S333&lt;0),-1,MIN(1,IF($A333=$A332,AN332,1)-S333+$D$2))</f>
        <v>1</v>
      </c>
      <c r="AO333" s="19">
        <f>IF(OR($J333=1,COUNTIFS($A$5:$A332,"&gt;="&amp;$A333-1,$A$5:$A332,"&lt;="&amp;$A333,$B$5:$B332,$B333)&gt;0,MIN(1-'Exercise list'!I$2,IF($A333=$A332,AO332,1))-T333&lt;0),-1,MIN(1,IF($A333=$A332,AO332,1)-T333+$D$2))</f>
        <v>1</v>
      </c>
      <c r="AP333" s="19">
        <f>IF(OR($J333=1,COUNTIFS($A$5:$A332,"&gt;="&amp;$A333-1,$A$5:$A332,"&lt;="&amp;$A333,$B$5:$B332,$B333)&gt;0,MIN(1-'Exercise list'!J$2,IF($A333=$A332,AP332,1))-U333&lt;0),-1,MIN(1,IF($A333=$A332,AP332,1)-U333+$D$2))</f>
        <v>1</v>
      </c>
      <c r="AQ333" s="19">
        <f>IF(OR($J333=1,COUNTIFS($A$5:$A332,"&gt;="&amp;$A333-1,$A$5:$A332,"&lt;="&amp;$A333,$B$5:$B332,$B333)&gt;0,MIN(1-'Exercise list'!K$2,IF($A333=$A332,AQ332,1))-V333&lt;0),-1,MIN(1,IF($A333=$A332,AQ332,1)-V333+$D$2))</f>
        <v>1</v>
      </c>
      <c r="AR333" s="19">
        <f>IF(OR($J333=1,COUNTIFS($A$5:$A332,"&gt;="&amp;$A333-1,$A$5:$A332,"&lt;="&amp;$A333,$B$5:$B332,$B333)&gt;0,MIN(1-'Exercise list'!L$2,IF($A333=$A332,AR332,1))-W333&lt;0),-1,MIN(1,IF($A333=$A332,AR332,1)-W333+$D$2))</f>
        <v>1</v>
      </c>
      <c r="AS333" s="19">
        <f>IF(OR($J333=1,COUNTIFS($A$5:$A332,"&gt;="&amp;$A333-1,$A$5:$A332,"&lt;="&amp;$A333,$B$5:$B332,$B333)&gt;0,MIN(1-'Exercise list'!M$2,IF($A333=$A332,AS332,1))-X333&lt;0),-1,MIN(1,IF($A333=$A332,AS332,1)-X333+$D$2))</f>
        <v>1</v>
      </c>
      <c r="AT333" s="19">
        <f>IF(OR($J333=1,COUNTIFS($A$5:$A332,"&gt;="&amp;$A333-1,$A$5:$A332,"&lt;="&amp;$A333,$B$5:$B332,$B333)&gt;0,MIN(1-'Exercise list'!N$2,IF($A333=$A332,AT332,1))-Y333&lt;0),-1,MIN(1,IF($A333=$A332,AT332,1)-Y333+$D$2))</f>
        <v>1</v>
      </c>
      <c r="AU333" s="19">
        <f>IF(OR($J333=1,COUNTIFS($A$5:$A332,"&gt;="&amp;$A333-1,$A$5:$A332,"&lt;="&amp;$A333,$B$5:$B332,$B333)&gt;0,MIN(1-'Exercise list'!O$2,IF($A333=$A332,AU332,1))-Z333&lt;0),-1,MIN(1,IF($A333=$A332,AU332,1)-Z333+$D$2))</f>
        <v>1</v>
      </c>
      <c r="AV333" s="19">
        <f>IF(OR($J333=1,COUNTIFS($A$5:$A332,"&gt;="&amp;$A333-1,$A$5:$A332,"&lt;="&amp;$A333,$B$5:$B332,$B333)&gt;0,MIN(1-'Exercise list'!P$2,IF($A333=$A332,AV332,1))-AA333&lt;0),-1,MIN(1,IF($A333=$A332,AV332,1)-AA333+$D$2))</f>
        <v>1</v>
      </c>
      <c r="AW333" s="19">
        <f>IF(OR($J333=1,COUNTIFS($A$5:$A332,"&gt;="&amp;$A333-1,$A$5:$A332,"&lt;="&amp;$A333,$B$5:$B332,$B333)&gt;0,MIN(1-'Exercise list'!Q$2,IF($A333=$A332,AW332,1))-AB333&lt;0),-1,MIN(1,IF($A333=$A332,AW332,1)-AB333+$D$2))</f>
        <v>1</v>
      </c>
      <c r="AX333" s="19">
        <f>IF(OR($J333=1,COUNTIFS($A$5:$A332,"&gt;="&amp;$A333-1,$A$5:$A332,"&lt;="&amp;$A333,$B$5:$B332,$B333)&gt;0,MIN(1-'Exercise list'!R$2,IF($A333=$A332,AX332,1))-AC333&lt;0),-1,MIN(1,IF($A333=$A332,AX332,1)-AC333+$D$2))</f>
        <v>1</v>
      </c>
      <c r="AY333" s="19">
        <f>IF(OR($J333=1,COUNTIFS($A$5:$A332,"&gt;="&amp;$A333-1,$A$5:$A332,"&lt;="&amp;$A333,$B$5:$B332,$B333)&gt;0,MIN(1-'Exercise list'!S$2,IF($A333=$A332,AY332,1))-AD333&lt;0),-1,MIN(1,IF($A333=$A332,AY332,1)-AD333+$D$2))</f>
        <v>1</v>
      </c>
      <c r="AZ333" s="19">
        <f>IF(OR($J333=1,COUNTIFS($A$5:$A332,"&gt;="&amp;$A333-1,$A$5:$A332,"&lt;="&amp;$A333,$B$5:$B332,$B333)&gt;0,MIN(1-'Exercise list'!T$2,IF($A333=$A332,AZ332,1))-AE333&lt;0),-1,MIN(1,IF($A333=$A332,AZ332,1)-AE333+$D$2))</f>
        <v>1</v>
      </c>
      <c r="BA333" s="19">
        <f>IF(OR($J333=1,COUNTIFS($A$5:$A332,"&gt;="&amp;$A333-1,$A$5:$A332,"&lt;="&amp;$A333,$B$5:$B332,$B333)&gt;0,MIN(1-'Exercise list'!U$2,IF($A333=$A332,BA332,1))-AF333&lt;0),-1,MIN(1,IF($A333=$A332,BA332,1)-AF333+$D$2))</f>
        <v>1</v>
      </c>
      <c r="BB333" s="19">
        <f>IF(OR($J333=1,COUNTIFS($A$5:$A332,"&gt;="&amp;$A333-1,$A$5:$A332,"&lt;="&amp;$A333,$B$5:$B332,$B333)&gt;0,MIN(1-'Exercise list'!V$2,IF($A333=$A332,BB332,1))-AG333&lt;0),-1,MIN(1,IF($A333=$A332,BB332,1)-AG333+$D$2))</f>
        <v>1</v>
      </c>
      <c r="BC333" s="19">
        <f>IF(OR($J333=1,COUNTIFS($A$5:$A332,"&gt;="&amp;$A333-1,$A$5:$A332,"&lt;="&amp;$A333,$B$5:$B332,$B333)&gt;0,MIN(1-'Exercise list'!W$2,IF($A333=$A332,BC332,1))-AH333&lt;0),-1,MIN(1,IF($A333=$A332,BC332,1)-AH333+$D$2))</f>
        <v>1</v>
      </c>
      <c r="BD333" s="19">
        <f>IF(OR($J333=1,COUNTIFS($A$5:$A332,"&gt;="&amp;$A333-1,$A$5:$A332,"&lt;="&amp;$A333,$B$5:$B332,$B333)&gt;0,MIN(1-'Exercise list'!X$2,IF($A333=$A332,BD332,1))-AI333&lt;0),-1,MIN(1,IF($A333=$A332,BD332,1)-AI333+$D$2))</f>
        <v>1</v>
      </c>
      <c r="BE333" s="19"/>
      <c r="BF333" s="23">
        <f t="shared" si="233"/>
        <v>0.19596031081758858</v>
      </c>
      <c r="BG333" s="23">
        <f t="shared" si="234"/>
        <v>0.21844636935459236</v>
      </c>
      <c r="BH333" s="23">
        <f t="shared" si="235"/>
        <v>0.14609696635987124</v>
      </c>
      <c r="BI333" s="23">
        <f t="shared" si="236"/>
        <v>0.13198015366034541</v>
      </c>
      <c r="BJ333" s="23">
        <f t="shared" si="237"/>
        <v>8.3367914198418713E-2</v>
      </c>
      <c r="BK333" s="23">
        <f t="shared" si="238"/>
        <v>0.10640640223148412</v>
      </c>
      <c r="BL333" s="23">
        <f t="shared" si="239"/>
        <v>0.21963504743569431</v>
      </c>
      <c r="BM333" s="23">
        <f t="shared" si="240"/>
        <v>3.8988008374820568E-3</v>
      </c>
      <c r="BN333" s="23">
        <f t="shared" si="241"/>
        <v>0.14537706087090876</v>
      </c>
      <c r="BO333" s="23">
        <f t="shared" si="242"/>
        <v>0.29209790661993401</v>
      </c>
      <c r="BP333" s="23">
        <f t="shared" si="243"/>
        <v>0.31584545163401867</v>
      </c>
      <c r="BQ333" s="23">
        <f t="shared" si="244"/>
        <v>0.1000007994126096</v>
      </c>
      <c r="BR333" s="23">
        <f t="shared" si="245"/>
        <v>0.13164487759885393</v>
      </c>
      <c r="BS333" s="23">
        <f t="shared" si="246"/>
        <v>2.9803550189863123E-2</v>
      </c>
      <c r="BT333" s="23">
        <f t="shared" si="247"/>
        <v>0.13492040904978705</v>
      </c>
      <c r="BU333" s="23">
        <f t="shared" si="248"/>
        <v>0.11703687414398131</v>
      </c>
      <c r="BV333" s="23">
        <f t="shared" si="249"/>
        <v>0.14633353213781661</v>
      </c>
      <c r="BW333" s="23">
        <f t="shared" si="250"/>
        <v>7.5588015111767173E-2</v>
      </c>
      <c r="BX333" s="23">
        <f t="shared" si="251"/>
        <v>8.0345659937185704E-2</v>
      </c>
      <c r="BY333" s="23">
        <f t="shared" si="252"/>
        <v>5.9014643151272549E-2</v>
      </c>
      <c r="BZ333" s="19"/>
      <c r="CA333" s="23" t="str">
        <f t="shared" si="273"/>
        <v/>
      </c>
      <c r="CB333" s="23" t="str">
        <f t="shared" si="254"/>
        <v/>
      </c>
      <c r="CC333" s="23" t="str">
        <f t="shared" si="255"/>
        <v/>
      </c>
      <c r="CD333" s="23" t="str">
        <f t="shared" si="256"/>
        <v/>
      </c>
      <c r="CE333" s="23" t="str">
        <f t="shared" si="257"/>
        <v/>
      </c>
      <c r="CF333" s="23" t="str">
        <f t="shared" si="258"/>
        <v/>
      </c>
      <c r="CG333" s="23" t="str">
        <f t="shared" si="259"/>
        <v/>
      </c>
      <c r="CH333" s="23" t="str">
        <f t="shared" si="260"/>
        <v/>
      </c>
      <c r="CI333" s="23" t="str">
        <f t="shared" si="261"/>
        <v/>
      </c>
      <c r="CJ333" s="23" t="str">
        <f t="shared" si="262"/>
        <v/>
      </c>
      <c r="CK333" s="23" t="str">
        <f t="shared" si="263"/>
        <v/>
      </c>
      <c r="CL333" s="23" t="str">
        <f t="shared" si="264"/>
        <v/>
      </c>
      <c r="CM333" s="23" t="str">
        <f t="shared" si="265"/>
        <v/>
      </c>
      <c r="CN333" s="23" t="str">
        <f t="shared" si="266"/>
        <v/>
      </c>
      <c r="CO333" s="23" t="str">
        <f t="shared" si="267"/>
        <v/>
      </c>
      <c r="CP333" s="23" t="str">
        <f t="shared" si="268"/>
        <v/>
      </c>
      <c r="CQ333" s="23" t="str">
        <f t="shared" si="269"/>
        <v/>
      </c>
      <c r="CR333" s="23" t="str">
        <f t="shared" si="270"/>
        <v/>
      </c>
      <c r="CS333" s="23" t="str">
        <f t="shared" si="271"/>
        <v/>
      </c>
      <c r="CT333" s="23" t="str">
        <f t="shared" si="272"/>
        <v/>
      </c>
      <c r="CU333" s="19"/>
    </row>
    <row r="334" spans="1:99" x14ac:dyDescent="0.25">
      <c r="A334" s="13"/>
      <c r="B334" s="14"/>
      <c r="C334" s="15" t="str" cm="1">
        <f t="array" ref="C334">IF(B334="","",INDEX('Exercise list'!$C$5:$C$102,B334))</f>
        <v/>
      </c>
      <c r="D334" s="12" t="str">
        <f t="shared" si="230"/>
        <v/>
      </c>
      <c r="E334" s="107" t="str">
        <f t="shared" si="253"/>
        <v/>
      </c>
      <c r="F334" s="63" t="str" cm="1">
        <f t="array" ref="F334">IF(B334="","",0.1+IFERROR(INDEX($F$6:$F333,SUMPRODUCT(MAX(ROW($C$6:$C333)*($C334=$C$6:$C333))-ROW($A$5)))*0.9^($A334-INDEX($A$6:A333,SUMPRODUCT(MAX(ROW($C$6:$C333)*($C334=$C$6:$C333))-ROW($A$5)))),0))</f>
        <v/>
      </c>
      <c r="G334" s="64" t="e">
        <f>INDEX('Exercise list'!$Y$5:$Y$102,MATCH(C334,'Exercise list'!$C$5:$C$102,0))</f>
        <v>#N/A</v>
      </c>
      <c r="H334" s="115">
        <f t="shared" si="231"/>
        <v>0</v>
      </c>
      <c r="I334" s="42">
        <f t="shared" si="232"/>
        <v>5</v>
      </c>
      <c r="J334" s="6" t="str" cm="1">
        <f t="array" ref="J334">IF(B334="","",INDEX('Exercise list'!$D$5:$D$102,B334))</f>
        <v/>
      </c>
      <c r="K334" s="12"/>
      <c r="L334" s="74" t="str" cm="1">
        <f t="array" ref="L334">IF(K334="","",INDEX('Exercise list'!$C$5:$C$102,K334))</f>
        <v/>
      </c>
      <c r="M334" s="6"/>
      <c r="N334" s="75" t="str" cm="1">
        <f t="array" ref="N334">IF(M334="","",INDEX('Exercise list'!$C$5:$C$102,M334))</f>
        <v/>
      </c>
      <c r="P334">
        <f>IFERROR(INDEX('Exercise list'!$E$5:$X$102,MATCH($C334,'Exercise list'!$C$5:$C$102,0),MATCH(P$5,'Exercise list'!$E$4:$X$4,0)),0)</f>
        <v>0</v>
      </c>
      <c r="Q334">
        <f>IFERROR(INDEX('Exercise list'!$E$5:$X$102,MATCH($C334,'Exercise list'!$C$5:$C$102,0),MATCH(Q$5,'Exercise list'!$E$4:$X$4,0)),0)</f>
        <v>0</v>
      </c>
      <c r="R334">
        <f>IFERROR(INDEX('Exercise list'!$E$5:$X$102,MATCH($C334,'Exercise list'!$C$5:$C$102,0),MATCH(R$5,'Exercise list'!$E$4:$X$4,0)),0)</f>
        <v>0</v>
      </c>
      <c r="S334">
        <f>IFERROR(INDEX('Exercise list'!$E$5:$X$102,MATCH($C334,'Exercise list'!$C$5:$C$102,0),MATCH(S$5,'Exercise list'!$E$4:$X$4,0)),0)</f>
        <v>0</v>
      </c>
      <c r="T334">
        <f>IFERROR(INDEX('Exercise list'!$E$5:$X$102,MATCH($C334,'Exercise list'!$C$5:$C$102,0),MATCH(T$5,'Exercise list'!$E$4:$X$4,0)),0)</f>
        <v>0</v>
      </c>
      <c r="U334">
        <f>IFERROR(INDEX('Exercise list'!$E$5:$X$102,MATCH($C334,'Exercise list'!$C$5:$C$102,0),MATCH(U$5,'Exercise list'!$E$4:$X$4,0)),0)</f>
        <v>0</v>
      </c>
      <c r="V334">
        <f>IFERROR(INDEX('Exercise list'!$E$5:$X$102,MATCH($C334,'Exercise list'!$C$5:$C$102,0),MATCH(V$5,'Exercise list'!$E$4:$X$4,0)),0)</f>
        <v>0</v>
      </c>
      <c r="W334">
        <f>IFERROR(INDEX('Exercise list'!$E$5:$X$102,MATCH($C334,'Exercise list'!$C$5:$C$102,0),MATCH(W$5,'Exercise list'!$E$4:$X$4,0)),0)</f>
        <v>0</v>
      </c>
      <c r="X334">
        <f>IFERROR(INDEX('Exercise list'!$E$5:$X$102,MATCH($C334,'Exercise list'!$C$5:$C$102,0),MATCH(X$5,'Exercise list'!$E$4:$X$4,0)),0)</f>
        <v>0</v>
      </c>
      <c r="Y334">
        <f>IFERROR(INDEX('Exercise list'!$E$5:$X$102,MATCH($C334,'Exercise list'!$C$5:$C$102,0),MATCH(Y$5,'Exercise list'!$E$4:$X$4,0)),0)</f>
        <v>0</v>
      </c>
      <c r="Z334">
        <f>IFERROR(INDEX('Exercise list'!$E$5:$X$102,MATCH($C334,'Exercise list'!$C$5:$C$102,0),MATCH(Z$5,'Exercise list'!$E$4:$X$4,0)),0)</f>
        <v>0</v>
      </c>
      <c r="AA334">
        <f>IFERROR(INDEX('Exercise list'!$E$5:$X$102,MATCH($C334,'Exercise list'!$C$5:$C$102,0),MATCH(AA$5,'Exercise list'!$E$4:$X$4,0)),0)</f>
        <v>0</v>
      </c>
      <c r="AB334">
        <f>IFERROR(INDEX('Exercise list'!$E$5:$X$102,MATCH($C334,'Exercise list'!$C$5:$C$102,0),MATCH(AB$5,'Exercise list'!$E$4:$X$4,0)),0)</f>
        <v>0</v>
      </c>
      <c r="AC334">
        <f>IFERROR(INDEX('Exercise list'!$E$5:$X$102,MATCH($C334,'Exercise list'!$C$5:$C$102,0),MATCH(AC$5,'Exercise list'!$E$4:$X$4,0)),0)</f>
        <v>0</v>
      </c>
      <c r="AD334">
        <f>IFERROR(INDEX('Exercise list'!$E$5:$X$102,MATCH($C334,'Exercise list'!$C$5:$C$102,0),MATCH(AD$5,'Exercise list'!$E$4:$X$4,0)),0)</f>
        <v>0</v>
      </c>
      <c r="AE334">
        <f>IFERROR(INDEX('Exercise list'!$E$5:$X$102,MATCH($C334,'Exercise list'!$C$5:$C$102,0),MATCH(AE$5,'Exercise list'!$E$4:$X$4,0)),0)</f>
        <v>0</v>
      </c>
      <c r="AF334">
        <f>IFERROR(INDEX('Exercise list'!$E$5:$X$102,MATCH($C334,'Exercise list'!$C$5:$C$102,0),MATCH(AF$5,'Exercise list'!$E$4:$X$4,0)),0)</f>
        <v>0</v>
      </c>
      <c r="AG334">
        <f>IFERROR(INDEX('Exercise list'!$E$5:$X$102,MATCH($C334,'Exercise list'!$C$5:$C$102,0),MATCH(AG$5,'Exercise list'!$E$4:$X$4,0)),0)</f>
        <v>0</v>
      </c>
      <c r="AH334">
        <f>IFERROR(INDEX('Exercise list'!$E$5:$X$102,MATCH($C334,'Exercise list'!$C$5:$C$102,0),MATCH(AH$5,'Exercise list'!$E$4:$X$4,0)),0)</f>
        <v>0</v>
      </c>
      <c r="AI334">
        <f>IFERROR(INDEX('Exercise list'!$E$5:$X$102,MATCH($C334,'Exercise list'!$C$5:$C$102,0),MATCH(AI$5,'Exercise list'!$E$4:$X$4,0)),0)</f>
        <v>0</v>
      </c>
      <c r="AK334">
        <f>IF(OR($J334=1,COUNTIFS($A$5:$A333,"&gt;="&amp;$A334-1,$A$5:$A333,"&lt;="&amp;$A334,$B$5:$B333,$B334)&gt;0,MIN(1-'Exercise list'!E$2,IF($A334=$A333,AK333,1))-P334&lt;0),-1,MIN(1,IF($A334=$A333,AK333,1)-P334+$D$2))</f>
        <v>1</v>
      </c>
      <c r="AL334">
        <f>IF(OR($J334=1,COUNTIFS($A$5:$A333,"&gt;="&amp;$A334-1,$A$5:$A333,"&lt;="&amp;$A334,$B$5:$B333,$B334)&gt;0,MIN(1-'Exercise list'!F$2,IF($A334=$A333,AL333,1))-Q334&lt;0),-1,MIN(1,IF($A334=$A333,AL333,1)-Q334+$D$2))</f>
        <v>1</v>
      </c>
      <c r="AM334">
        <f>IF(OR($J334=1,COUNTIFS($A$5:$A333,"&gt;="&amp;$A334-1,$A$5:$A333,"&lt;="&amp;$A334,$B$5:$B333,$B334)&gt;0,MIN(1-'Exercise list'!G$2,IF($A334=$A333,AM333,1))-R334&lt;0),-1,MIN(1,IF($A334=$A333,AM333,1)-R334+$D$2))</f>
        <v>1</v>
      </c>
      <c r="AN334">
        <f>IF(OR($J334=1,COUNTIFS($A$5:$A333,"&gt;="&amp;$A334-1,$A$5:$A333,"&lt;="&amp;$A334,$B$5:$B333,$B334)&gt;0,MIN(1-'Exercise list'!H$2,IF($A334=$A333,AN333,1))-S334&lt;0),-1,MIN(1,IF($A334=$A333,AN333,1)-S334+$D$2))</f>
        <v>1</v>
      </c>
      <c r="AO334">
        <f>IF(OR($J334=1,COUNTIFS($A$5:$A333,"&gt;="&amp;$A334-1,$A$5:$A333,"&lt;="&amp;$A334,$B$5:$B333,$B334)&gt;0,MIN(1-'Exercise list'!I$2,IF($A334=$A333,AO333,1))-T334&lt;0),-1,MIN(1,IF($A334=$A333,AO333,1)-T334+$D$2))</f>
        <v>1</v>
      </c>
      <c r="AP334">
        <f>IF(OR($J334=1,COUNTIFS($A$5:$A333,"&gt;="&amp;$A334-1,$A$5:$A333,"&lt;="&amp;$A334,$B$5:$B333,$B334)&gt;0,MIN(1-'Exercise list'!J$2,IF($A334=$A333,AP333,1))-U334&lt;0),-1,MIN(1,IF($A334=$A333,AP333,1)-U334+$D$2))</f>
        <v>1</v>
      </c>
      <c r="AQ334">
        <f>IF(OR($J334=1,COUNTIFS($A$5:$A333,"&gt;="&amp;$A334-1,$A$5:$A333,"&lt;="&amp;$A334,$B$5:$B333,$B334)&gt;0,MIN(1-'Exercise list'!K$2,IF($A334=$A333,AQ333,1))-V334&lt;0),-1,MIN(1,IF($A334=$A333,AQ333,1)-V334+$D$2))</f>
        <v>1</v>
      </c>
      <c r="AR334">
        <f>IF(OR($J334=1,COUNTIFS($A$5:$A333,"&gt;="&amp;$A334-1,$A$5:$A333,"&lt;="&amp;$A334,$B$5:$B333,$B334)&gt;0,MIN(1-'Exercise list'!L$2,IF($A334=$A333,AR333,1))-W334&lt;0),-1,MIN(1,IF($A334=$A333,AR333,1)-W334+$D$2))</f>
        <v>1</v>
      </c>
      <c r="AS334">
        <f>IF(OR($J334=1,COUNTIFS($A$5:$A333,"&gt;="&amp;$A334-1,$A$5:$A333,"&lt;="&amp;$A334,$B$5:$B333,$B334)&gt;0,MIN(1-'Exercise list'!M$2,IF($A334=$A333,AS333,1))-X334&lt;0),-1,MIN(1,IF($A334=$A333,AS333,1)-X334+$D$2))</f>
        <v>1</v>
      </c>
      <c r="AT334">
        <f>IF(OR($J334=1,COUNTIFS($A$5:$A333,"&gt;="&amp;$A334-1,$A$5:$A333,"&lt;="&amp;$A334,$B$5:$B333,$B334)&gt;0,MIN(1-'Exercise list'!N$2,IF($A334=$A333,AT333,1))-Y334&lt;0),-1,MIN(1,IF($A334=$A333,AT333,1)-Y334+$D$2))</f>
        <v>1</v>
      </c>
      <c r="AU334">
        <f>IF(OR($J334=1,COUNTIFS($A$5:$A333,"&gt;="&amp;$A334-1,$A$5:$A333,"&lt;="&amp;$A334,$B$5:$B333,$B334)&gt;0,MIN(1-'Exercise list'!O$2,IF($A334=$A333,AU333,1))-Z334&lt;0),-1,MIN(1,IF($A334=$A333,AU333,1)-Z334+$D$2))</f>
        <v>1</v>
      </c>
      <c r="AV334">
        <f>IF(OR($J334=1,COUNTIFS($A$5:$A333,"&gt;="&amp;$A334-1,$A$5:$A333,"&lt;="&amp;$A334,$B$5:$B333,$B334)&gt;0,MIN(1-'Exercise list'!P$2,IF($A334=$A333,AV333,1))-AA334&lt;0),-1,MIN(1,IF($A334=$A333,AV333,1)-AA334+$D$2))</f>
        <v>1</v>
      </c>
      <c r="AW334">
        <f>IF(OR($J334=1,COUNTIFS($A$5:$A333,"&gt;="&amp;$A334-1,$A$5:$A333,"&lt;="&amp;$A334,$B$5:$B333,$B334)&gt;0,MIN(1-'Exercise list'!Q$2,IF($A334=$A333,AW333,1))-AB334&lt;0),-1,MIN(1,IF($A334=$A333,AW333,1)-AB334+$D$2))</f>
        <v>1</v>
      </c>
      <c r="AX334">
        <f>IF(OR($J334=1,COUNTIFS($A$5:$A333,"&gt;="&amp;$A334-1,$A$5:$A333,"&lt;="&amp;$A334,$B$5:$B333,$B334)&gt;0,MIN(1-'Exercise list'!R$2,IF($A334=$A333,AX333,1))-AC334&lt;0),-1,MIN(1,IF($A334=$A333,AX333,1)-AC334+$D$2))</f>
        <v>1</v>
      </c>
      <c r="AY334">
        <f>IF(OR($J334=1,COUNTIFS($A$5:$A333,"&gt;="&amp;$A334-1,$A$5:$A333,"&lt;="&amp;$A334,$B$5:$B333,$B334)&gt;0,MIN(1-'Exercise list'!S$2,IF($A334=$A333,AY333,1))-AD334&lt;0),-1,MIN(1,IF($A334=$A333,AY333,1)-AD334+$D$2))</f>
        <v>1</v>
      </c>
      <c r="AZ334">
        <f>IF(OR($J334=1,COUNTIFS($A$5:$A333,"&gt;="&amp;$A334-1,$A$5:$A333,"&lt;="&amp;$A334,$B$5:$B333,$B334)&gt;0,MIN(1-'Exercise list'!T$2,IF($A334=$A333,AZ333,1))-AE334&lt;0),-1,MIN(1,IF($A334=$A333,AZ333,1)-AE334+$D$2))</f>
        <v>1</v>
      </c>
      <c r="BA334">
        <f>IF(OR($J334=1,COUNTIFS($A$5:$A333,"&gt;="&amp;$A334-1,$A$5:$A333,"&lt;="&amp;$A334,$B$5:$B333,$B334)&gt;0,MIN(1-'Exercise list'!U$2,IF($A334=$A333,BA333,1))-AF334&lt;0),-1,MIN(1,IF($A334=$A333,BA333,1)-AF334+$D$2))</f>
        <v>1</v>
      </c>
      <c r="BB334">
        <f>IF(OR($J334=1,COUNTIFS($A$5:$A333,"&gt;="&amp;$A334-1,$A$5:$A333,"&lt;="&amp;$A334,$B$5:$B333,$B334)&gt;0,MIN(1-'Exercise list'!V$2,IF($A334=$A333,BB333,1))-AG334&lt;0),-1,MIN(1,IF($A334=$A333,BB333,1)-AG334+$D$2))</f>
        <v>1</v>
      </c>
      <c r="BC334">
        <f>IF(OR($J334=1,COUNTIFS($A$5:$A333,"&gt;="&amp;$A334-1,$A$5:$A333,"&lt;="&amp;$A334,$B$5:$B333,$B334)&gt;0,MIN(1-'Exercise list'!W$2,IF($A334=$A333,BC333,1))-AH334&lt;0),-1,MIN(1,IF($A334=$A333,BC333,1)-AH334+$D$2))</f>
        <v>1</v>
      </c>
      <c r="BD334">
        <f>IF(OR($J334=1,COUNTIFS($A$5:$A333,"&gt;="&amp;$A334-1,$A$5:$A333,"&lt;="&amp;$A334,$B$5:$B333,$B334)&gt;0,MIN(1-'Exercise list'!X$2,IF($A334=$A333,BD333,1))-AI334&lt;0),-1,MIN(1,IF($A334=$A333,BD333,1)-AI334+$D$2))</f>
        <v>1</v>
      </c>
      <c r="BF334" s="16">
        <f t="shared" si="233"/>
        <v>0.19596031081758858</v>
      </c>
      <c r="BG334" s="16">
        <f t="shared" si="234"/>
        <v>0.21844636935459236</v>
      </c>
      <c r="BH334" s="16">
        <f t="shared" si="235"/>
        <v>0.14609696635987124</v>
      </c>
      <c r="BI334" s="16">
        <f t="shared" si="236"/>
        <v>0.13198015366034541</v>
      </c>
      <c r="BJ334" s="16">
        <f t="shared" si="237"/>
        <v>8.3367914198418713E-2</v>
      </c>
      <c r="BK334" s="16">
        <f t="shared" si="238"/>
        <v>0.10640640223148412</v>
      </c>
      <c r="BL334" s="16">
        <f t="shared" si="239"/>
        <v>0.21963504743569431</v>
      </c>
      <c r="BM334" s="16">
        <f t="shared" si="240"/>
        <v>3.8988008374820568E-3</v>
      </c>
      <c r="BN334" s="16">
        <f t="shared" si="241"/>
        <v>0.14537706087090876</v>
      </c>
      <c r="BO334" s="16">
        <f t="shared" si="242"/>
        <v>0.29209790661993401</v>
      </c>
      <c r="BP334" s="16">
        <f t="shared" si="243"/>
        <v>0.31584545163401867</v>
      </c>
      <c r="BQ334" s="16">
        <f t="shared" si="244"/>
        <v>0.1000007994126096</v>
      </c>
      <c r="BR334" s="16">
        <f t="shared" si="245"/>
        <v>0.13164487759885393</v>
      </c>
      <c r="BS334" s="16">
        <f t="shared" si="246"/>
        <v>2.9803550189863123E-2</v>
      </c>
      <c r="BT334" s="16">
        <f t="shared" si="247"/>
        <v>0.13492040904978705</v>
      </c>
      <c r="BU334" s="16">
        <f t="shared" si="248"/>
        <v>0.11703687414398131</v>
      </c>
      <c r="BV334" s="16">
        <f t="shared" si="249"/>
        <v>0.14633353213781661</v>
      </c>
      <c r="BW334" s="16">
        <f t="shared" si="250"/>
        <v>7.5588015111767173E-2</v>
      </c>
      <c r="BX334" s="16">
        <f t="shared" si="251"/>
        <v>8.0345659937185704E-2</v>
      </c>
      <c r="BY334" s="16">
        <f t="shared" si="252"/>
        <v>5.9014643151272549E-2</v>
      </c>
      <c r="CA334" s="16" t="str">
        <f t="shared" si="273"/>
        <v/>
      </c>
      <c r="CB334" s="16" t="str">
        <f t="shared" si="254"/>
        <v/>
      </c>
      <c r="CC334" s="16" t="str">
        <f t="shared" si="255"/>
        <v/>
      </c>
      <c r="CD334" s="16" t="str">
        <f t="shared" si="256"/>
        <v/>
      </c>
      <c r="CE334" s="16" t="str">
        <f t="shared" si="257"/>
        <v/>
      </c>
      <c r="CF334" s="16" t="str">
        <f t="shared" si="258"/>
        <v/>
      </c>
      <c r="CG334" s="16" t="str">
        <f t="shared" si="259"/>
        <v/>
      </c>
      <c r="CH334" s="16" t="str">
        <f t="shared" si="260"/>
        <v/>
      </c>
      <c r="CI334" s="16" t="str">
        <f t="shared" si="261"/>
        <v/>
      </c>
      <c r="CJ334" s="16" t="str">
        <f t="shared" si="262"/>
        <v/>
      </c>
      <c r="CK334" s="16" t="str">
        <f t="shared" si="263"/>
        <v/>
      </c>
      <c r="CL334" s="16" t="str">
        <f t="shared" si="264"/>
        <v/>
      </c>
      <c r="CM334" s="16" t="str">
        <f t="shared" si="265"/>
        <v/>
      </c>
      <c r="CN334" s="16" t="str">
        <f t="shared" si="266"/>
        <v/>
      </c>
      <c r="CO334" s="16" t="str">
        <f t="shared" si="267"/>
        <v/>
      </c>
      <c r="CP334" s="16" t="str">
        <f t="shared" si="268"/>
        <v/>
      </c>
      <c r="CQ334" s="16" t="str">
        <f t="shared" si="269"/>
        <v/>
      </c>
      <c r="CR334" s="16" t="str">
        <f t="shared" si="270"/>
        <v/>
      </c>
      <c r="CS334" s="16" t="str">
        <f t="shared" si="271"/>
        <v/>
      </c>
      <c r="CT334" s="16" t="str">
        <f t="shared" si="272"/>
        <v/>
      </c>
    </row>
    <row r="335" spans="1:99" x14ac:dyDescent="0.25">
      <c r="A335" s="13"/>
      <c r="B335" s="14"/>
      <c r="C335" s="15" t="str" cm="1">
        <f t="array" ref="C335">IF(B335="","",INDEX('Exercise list'!$C$5:$C$102,B335))</f>
        <v/>
      </c>
      <c r="D335" s="12" t="str">
        <f t="shared" si="230"/>
        <v/>
      </c>
      <c r="E335" s="107" t="str">
        <f t="shared" si="253"/>
        <v/>
      </c>
      <c r="F335" s="63" t="str" cm="1">
        <f t="array" ref="F335">IF(B335="","",0.1+IFERROR(INDEX($F$6:$F334,SUMPRODUCT(MAX(ROW($C$6:$C334)*($C335=$C$6:$C334))-ROW($A$5)))*0.9^($A335-INDEX($A$6:A334,SUMPRODUCT(MAX(ROW($C$6:$C334)*($C335=$C$6:$C334))-ROW($A$5)))),0))</f>
        <v/>
      </c>
      <c r="G335" s="64" t="e">
        <f>INDEX('Exercise list'!$Y$5:$Y$102,MATCH(C335,'Exercise list'!$C$5:$C$102,0))</f>
        <v>#N/A</v>
      </c>
      <c r="H335" s="115">
        <f t="shared" si="231"/>
        <v>0</v>
      </c>
      <c r="I335" s="6">
        <f t="shared" si="232"/>
        <v>5</v>
      </c>
      <c r="J335" s="6" t="str" cm="1">
        <f t="array" ref="J335">IF(B335="","",INDEX('Exercise list'!$D$5:$D$102,B335))</f>
        <v/>
      </c>
      <c r="K335" s="12"/>
      <c r="L335" s="74" t="str" cm="1">
        <f t="array" ref="L335">IF(K335="","",INDEX('Exercise list'!$C$5:$C$102,K335))</f>
        <v/>
      </c>
      <c r="M335" s="6"/>
      <c r="N335" s="75" t="str" cm="1">
        <f t="array" ref="N335">IF(M335="","",INDEX('Exercise list'!$C$5:$C$102,M335))</f>
        <v/>
      </c>
      <c r="P335">
        <f>IFERROR(INDEX('Exercise list'!$E$5:$X$102,MATCH($C335,'Exercise list'!$C$5:$C$102,0),MATCH(P$5,'Exercise list'!$E$4:$X$4,0)),0)</f>
        <v>0</v>
      </c>
      <c r="Q335">
        <f>IFERROR(INDEX('Exercise list'!$E$5:$X$102,MATCH($C335,'Exercise list'!$C$5:$C$102,0),MATCH(Q$5,'Exercise list'!$E$4:$X$4,0)),0)</f>
        <v>0</v>
      </c>
      <c r="R335">
        <f>IFERROR(INDEX('Exercise list'!$E$5:$X$102,MATCH($C335,'Exercise list'!$C$5:$C$102,0),MATCH(R$5,'Exercise list'!$E$4:$X$4,0)),0)</f>
        <v>0</v>
      </c>
      <c r="S335">
        <f>IFERROR(INDEX('Exercise list'!$E$5:$X$102,MATCH($C335,'Exercise list'!$C$5:$C$102,0),MATCH(S$5,'Exercise list'!$E$4:$X$4,0)),0)</f>
        <v>0</v>
      </c>
      <c r="T335">
        <f>IFERROR(INDEX('Exercise list'!$E$5:$X$102,MATCH($C335,'Exercise list'!$C$5:$C$102,0),MATCH(T$5,'Exercise list'!$E$4:$X$4,0)),0)</f>
        <v>0</v>
      </c>
      <c r="U335">
        <f>IFERROR(INDEX('Exercise list'!$E$5:$X$102,MATCH($C335,'Exercise list'!$C$5:$C$102,0),MATCH(U$5,'Exercise list'!$E$4:$X$4,0)),0)</f>
        <v>0</v>
      </c>
      <c r="V335">
        <f>IFERROR(INDEX('Exercise list'!$E$5:$X$102,MATCH($C335,'Exercise list'!$C$5:$C$102,0),MATCH(V$5,'Exercise list'!$E$4:$X$4,0)),0)</f>
        <v>0</v>
      </c>
      <c r="W335">
        <f>IFERROR(INDEX('Exercise list'!$E$5:$X$102,MATCH($C335,'Exercise list'!$C$5:$C$102,0),MATCH(W$5,'Exercise list'!$E$4:$X$4,0)),0)</f>
        <v>0</v>
      </c>
      <c r="X335">
        <f>IFERROR(INDEX('Exercise list'!$E$5:$X$102,MATCH($C335,'Exercise list'!$C$5:$C$102,0),MATCH(X$5,'Exercise list'!$E$4:$X$4,0)),0)</f>
        <v>0</v>
      </c>
      <c r="Y335">
        <f>IFERROR(INDEX('Exercise list'!$E$5:$X$102,MATCH($C335,'Exercise list'!$C$5:$C$102,0),MATCH(Y$5,'Exercise list'!$E$4:$X$4,0)),0)</f>
        <v>0</v>
      </c>
      <c r="Z335">
        <f>IFERROR(INDEX('Exercise list'!$E$5:$X$102,MATCH($C335,'Exercise list'!$C$5:$C$102,0),MATCH(Z$5,'Exercise list'!$E$4:$X$4,0)),0)</f>
        <v>0</v>
      </c>
      <c r="AA335">
        <f>IFERROR(INDEX('Exercise list'!$E$5:$X$102,MATCH($C335,'Exercise list'!$C$5:$C$102,0),MATCH(AA$5,'Exercise list'!$E$4:$X$4,0)),0)</f>
        <v>0</v>
      </c>
      <c r="AB335">
        <f>IFERROR(INDEX('Exercise list'!$E$5:$X$102,MATCH($C335,'Exercise list'!$C$5:$C$102,0),MATCH(AB$5,'Exercise list'!$E$4:$X$4,0)),0)</f>
        <v>0</v>
      </c>
      <c r="AC335">
        <f>IFERROR(INDEX('Exercise list'!$E$5:$X$102,MATCH($C335,'Exercise list'!$C$5:$C$102,0),MATCH(AC$5,'Exercise list'!$E$4:$X$4,0)),0)</f>
        <v>0</v>
      </c>
      <c r="AD335">
        <f>IFERROR(INDEX('Exercise list'!$E$5:$X$102,MATCH($C335,'Exercise list'!$C$5:$C$102,0),MATCH(AD$5,'Exercise list'!$E$4:$X$4,0)),0)</f>
        <v>0</v>
      </c>
      <c r="AE335">
        <f>IFERROR(INDEX('Exercise list'!$E$5:$X$102,MATCH($C335,'Exercise list'!$C$5:$C$102,0),MATCH(AE$5,'Exercise list'!$E$4:$X$4,0)),0)</f>
        <v>0</v>
      </c>
      <c r="AF335">
        <f>IFERROR(INDEX('Exercise list'!$E$5:$X$102,MATCH($C335,'Exercise list'!$C$5:$C$102,0),MATCH(AF$5,'Exercise list'!$E$4:$X$4,0)),0)</f>
        <v>0</v>
      </c>
      <c r="AG335">
        <f>IFERROR(INDEX('Exercise list'!$E$5:$X$102,MATCH($C335,'Exercise list'!$C$5:$C$102,0),MATCH(AG$5,'Exercise list'!$E$4:$X$4,0)),0)</f>
        <v>0</v>
      </c>
      <c r="AH335">
        <f>IFERROR(INDEX('Exercise list'!$E$5:$X$102,MATCH($C335,'Exercise list'!$C$5:$C$102,0),MATCH(AH$5,'Exercise list'!$E$4:$X$4,0)),0)</f>
        <v>0</v>
      </c>
      <c r="AI335">
        <f>IFERROR(INDEX('Exercise list'!$E$5:$X$102,MATCH($C335,'Exercise list'!$C$5:$C$102,0),MATCH(AI$5,'Exercise list'!$E$4:$X$4,0)),0)</f>
        <v>0</v>
      </c>
      <c r="AK335">
        <f>IF(OR($J335=1,COUNTIFS($A$5:$A334,"&gt;="&amp;$A335-1,$A$5:$A334,"&lt;="&amp;$A335,$B$5:$B334,$B335)&gt;0,MIN(1-'Exercise list'!E$2,IF($A335=$A334,AK334,1))-P335&lt;0),-1,MIN(1,IF($A335=$A334,AK334,1)-P335+$D$2))</f>
        <v>1</v>
      </c>
      <c r="AL335">
        <f>IF(OR($J335=1,COUNTIFS($A$5:$A334,"&gt;="&amp;$A335-1,$A$5:$A334,"&lt;="&amp;$A335,$B$5:$B334,$B335)&gt;0,MIN(1-'Exercise list'!F$2,IF($A335=$A334,AL334,1))-Q335&lt;0),-1,MIN(1,IF($A335=$A334,AL334,1)-Q335+$D$2))</f>
        <v>1</v>
      </c>
      <c r="AM335">
        <f>IF(OR($J335=1,COUNTIFS($A$5:$A334,"&gt;="&amp;$A335-1,$A$5:$A334,"&lt;="&amp;$A335,$B$5:$B334,$B335)&gt;0,MIN(1-'Exercise list'!G$2,IF($A335=$A334,AM334,1))-R335&lt;0),-1,MIN(1,IF($A335=$A334,AM334,1)-R335+$D$2))</f>
        <v>1</v>
      </c>
      <c r="AN335">
        <f>IF(OR($J335=1,COUNTIFS($A$5:$A334,"&gt;="&amp;$A335-1,$A$5:$A334,"&lt;="&amp;$A335,$B$5:$B334,$B335)&gt;0,MIN(1-'Exercise list'!H$2,IF($A335=$A334,AN334,1))-S335&lt;0),-1,MIN(1,IF($A335=$A334,AN334,1)-S335+$D$2))</f>
        <v>1</v>
      </c>
      <c r="AO335">
        <f>IF(OR($J335=1,COUNTIFS($A$5:$A334,"&gt;="&amp;$A335-1,$A$5:$A334,"&lt;="&amp;$A335,$B$5:$B334,$B335)&gt;0,MIN(1-'Exercise list'!I$2,IF($A335=$A334,AO334,1))-T335&lt;0),-1,MIN(1,IF($A335=$A334,AO334,1)-T335+$D$2))</f>
        <v>1</v>
      </c>
      <c r="AP335">
        <f>IF(OR($J335=1,COUNTIFS($A$5:$A334,"&gt;="&amp;$A335-1,$A$5:$A334,"&lt;="&amp;$A335,$B$5:$B334,$B335)&gt;0,MIN(1-'Exercise list'!J$2,IF($A335=$A334,AP334,1))-U335&lt;0),-1,MIN(1,IF($A335=$A334,AP334,1)-U335+$D$2))</f>
        <v>1</v>
      </c>
      <c r="AQ335">
        <f>IF(OR($J335=1,COUNTIFS($A$5:$A334,"&gt;="&amp;$A335-1,$A$5:$A334,"&lt;="&amp;$A335,$B$5:$B334,$B335)&gt;0,MIN(1-'Exercise list'!K$2,IF($A335=$A334,AQ334,1))-V335&lt;0),-1,MIN(1,IF($A335=$A334,AQ334,1)-V335+$D$2))</f>
        <v>1</v>
      </c>
      <c r="AR335">
        <f>IF(OR($J335=1,COUNTIFS($A$5:$A334,"&gt;="&amp;$A335-1,$A$5:$A334,"&lt;="&amp;$A335,$B$5:$B334,$B335)&gt;0,MIN(1-'Exercise list'!L$2,IF($A335=$A334,AR334,1))-W335&lt;0),-1,MIN(1,IF($A335=$A334,AR334,1)-W335+$D$2))</f>
        <v>1</v>
      </c>
      <c r="AS335">
        <f>IF(OR($J335=1,COUNTIFS($A$5:$A334,"&gt;="&amp;$A335-1,$A$5:$A334,"&lt;="&amp;$A335,$B$5:$B334,$B335)&gt;0,MIN(1-'Exercise list'!M$2,IF($A335=$A334,AS334,1))-X335&lt;0),-1,MIN(1,IF($A335=$A334,AS334,1)-X335+$D$2))</f>
        <v>1</v>
      </c>
      <c r="AT335">
        <f>IF(OR($J335=1,COUNTIFS($A$5:$A334,"&gt;="&amp;$A335-1,$A$5:$A334,"&lt;="&amp;$A335,$B$5:$B334,$B335)&gt;0,MIN(1-'Exercise list'!N$2,IF($A335=$A334,AT334,1))-Y335&lt;0),-1,MIN(1,IF($A335=$A334,AT334,1)-Y335+$D$2))</f>
        <v>1</v>
      </c>
      <c r="AU335">
        <f>IF(OR($J335=1,COUNTIFS($A$5:$A334,"&gt;="&amp;$A335-1,$A$5:$A334,"&lt;="&amp;$A335,$B$5:$B334,$B335)&gt;0,MIN(1-'Exercise list'!O$2,IF($A335=$A334,AU334,1))-Z335&lt;0),-1,MIN(1,IF($A335=$A334,AU334,1)-Z335+$D$2))</f>
        <v>1</v>
      </c>
      <c r="AV335">
        <f>IF(OR($J335=1,COUNTIFS($A$5:$A334,"&gt;="&amp;$A335-1,$A$5:$A334,"&lt;="&amp;$A335,$B$5:$B334,$B335)&gt;0,MIN(1-'Exercise list'!P$2,IF($A335=$A334,AV334,1))-AA335&lt;0),-1,MIN(1,IF($A335=$A334,AV334,1)-AA335+$D$2))</f>
        <v>1</v>
      </c>
      <c r="AW335">
        <f>IF(OR($J335=1,COUNTIFS($A$5:$A334,"&gt;="&amp;$A335-1,$A$5:$A334,"&lt;="&amp;$A335,$B$5:$B334,$B335)&gt;0,MIN(1-'Exercise list'!Q$2,IF($A335=$A334,AW334,1))-AB335&lt;0),-1,MIN(1,IF($A335=$A334,AW334,1)-AB335+$D$2))</f>
        <v>1</v>
      </c>
      <c r="AX335">
        <f>IF(OR($J335=1,COUNTIFS($A$5:$A334,"&gt;="&amp;$A335-1,$A$5:$A334,"&lt;="&amp;$A335,$B$5:$B334,$B335)&gt;0,MIN(1-'Exercise list'!R$2,IF($A335=$A334,AX334,1))-AC335&lt;0),-1,MIN(1,IF($A335=$A334,AX334,1)-AC335+$D$2))</f>
        <v>1</v>
      </c>
      <c r="AY335">
        <f>IF(OR($J335=1,COUNTIFS($A$5:$A334,"&gt;="&amp;$A335-1,$A$5:$A334,"&lt;="&amp;$A335,$B$5:$B334,$B335)&gt;0,MIN(1-'Exercise list'!S$2,IF($A335=$A334,AY334,1))-AD335&lt;0),-1,MIN(1,IF($A335=$A334,AY334,1)-AD335+$D$2))</f>
        <v>1</v>
      </c>
      <c r="AZ335">
        <f>IF(OR($J335=1,COUNTIFS($A$5:$A334,"&gt;="&amp;$A335-1,$A$5:$A334,"&lt;="&amp;$A335,$B$5:$B334,$B335)&gt;0,MIN(1-'Exercise list'!T$2,IF($A335=$A334,AZ334,1))-AE335&lt;0),-1,MIN(1,IF($A335=$A334,AZ334,1)-AE335+$D$2))</f>
        <v>1</v>
      </c>
      <c r="BA335">
        <f>IF(OR($J335=1,COUNTIFS($A$5:$A334,"&gt;="&amp;$A335-1,$A$5:$A334,"&lt;="&amp;$A335,$B$5:$B334,$B335)&gt;0,MIN(1-'Exercise list'!U$2,IF($A335=$A334,BA334,1))-AF335&lt;0),-1,MIN(1,IF($A335=$A334,BA334,1)-AF335+$D$2))</f>
        <v>1</v>
      </c>
      <c r="BB335">
        <f>IF(OR($J335=1,COUNTIFS($A$5:$A334,"&gt;="&amp;$A335-1,$A$5:$A334,"&lt;="&amp;$A335,$B$5:$B334,$B335)&gt;0,MIN(1-'Exercise list'!V$2,IF($A335=$A334,BB334,1))-AG335&lt;0),-1,MIN(1,IF($A335=$A334,BB334,1)-AG335+$D$2))</f>
        <v>1</v>
      </c>
      <c r="BC335">
        <f>IF(OR($J335=1,COUNTIFS($A$5:$A334,"&gt;="&amp;$A335-1,$A$5:$A334,"&lt;="&amp;$A335,$B$5:$B334,$B335)&gt;0,MIN(1-'Exercise list'!W$2,IF($A335=$A334,BC334,1))-AH335&lt;0),-1,MIN(1,IF($A335=$A334,BC334,1)-AH335+$D$2))</f>
        <v>1</v>
      </c>
      <c r="BD335">
        <f>IF(OR($J335=1,COUNTIFS($A$5:$A334,"&gt;="&amp;$A335-1,$A$5:$A334,"&lt;="&amp;$A335,$B$5:$B334,$B335)&gt;0,MIN(1-'Exercise list'!X$2,IF($A335=$A334,BD334,1))-AI335&lt;0),-1,MIN(1,IF($A335=$A334,BD334,1)-AI335+$D$2))</f>
        <v>1</v>
      </c>
      <c r="BF335" s="16">
        <f t="shared" si="233"/>
        <v>0.19596031081758858</v>
      </c>
      <c r="BG335" s="16">
        <f t="shared" si="234"/>
        <v>0.21844636935459236</v>
      </c>
      <c r="BH335" s="16">
        <f t="shared" si="235"/>
        <v>0.14609696635987124</v>
      </c>
      <c r="BI335" s="16">
        <f t="shared" si="236"/>
        <v>0.13198015366034541</v>
      </c>
      <c r="BJ335" s="16">
        <f t="shared" si="237"/>
        <v>8.3367914198418713E-2</v>
      </c>
      <c r="BK335" s="16">
        <f t="shared" si="238"/>
        <v>0.10640640223148412</v>
      </c>
      <c r="BL335" s="16">
        <f t="shared" si="239"/>
        <v>0.21963504743569431</v>
      </c>
      <c r="BM335" s="16">
        <f t="shared" si="240"/>
        <v>3.8988008374820568E-3</v>
      </c>
      <c r="BN335" s="16">
        <f t="shared" si="241"/>
        <v>0.14537706087090876</v>
      </c>
      <c r="BO335" s="16">
        <f t="shared" si="242"/>
        <v>0.29209790661993401</v>
      </c>
      <c r="BP335" s="16">
        <f t="shared" si="243"/>
        <v>0.31584545163401867</v>
      </c>
      <c r="BQ335" s="16">
        <f t="shared" si="244"/>
        <v>0.1000007994126096</v>
      </c>
      <c r="BR335" s="16">
        <f t="shared" si="245"/>
        <v>0.13164487759885393</v>
      </c>
      <c r="BS335" s="16">
        <f t="shared" si="246"/>
        <v>2.9803550189863123E-2</v>
      </c>
      <c r="BT335" s="16">
        <f t="shared" si="247"/>
        <v>0.13492040904978705</v>
      </c>
      <c r="BU335" s="16">
        <f t="shared" si="248"/>
        <v>0.11703687414398131</v>
      </c>
      <c r="BV335" s="16">
        <f t="shared" si="249"/>
        <v>0.14633353213781661</v>
      </c>
      <c r="BW335" s="16">
        <f t="shared" si="250"/>
        <v>7.5588015111767173E-2</v>
      </c>
      <c r="BX335" s="16">
        <f t="shared" si="251"/>
        <v>8.0345659937185704E-2</v>
      </c>
      <c r="BY335" s="16">
        <f t="shared" si="252"/>
        <v>5.9014643151272549E-2</v>
      </c>
      <c r="CA335" s="16" t="str">
        <f t="shared" si="273"/>
        <v/>
      </c>
      <c r="CB335" s="16" t="str">
        <f t="shared" si="254"/>
        <v/>
      </c>
      <c r="CC335" s="16" t="str">
        <f t="shared" si="255"/>
        <v/>
      </c>
      <c r="CD335" s="16" t="str">
        <f t="shared" si="256"/>
        <v/>
      </c>
      <c r="CE335" s="16" t="str">
        <f t="shared" si="257"/>
        <v/>
      </c>
      <c r="CF335" s="16" t="str">
        <f t="shared" si="258"/>
        <v/>
      </c>
      <c r="CG335" s="16" t="str">
        <f t="shared" si="259"/>
        <v/>
      </c>
      <c r="CH335" s="16" t="str">
        <f t="shared" si="260"/>
        <v/>
      </c>
      <c r="CI335" s="16" t="str">
        <f t="shared" si="261"/>
        <v/>
      </c>
      <c r="CJ335" s="16" t="str">
        <f t="shared" si="262"/>
        <v/>
      </c>
      <c r="CK335" s="16" t="str">
        <f t="shared" si="263"/>
        <v/>
      </c>
      <c r="CL335" s="16" t="str">
        <f t="shared" si="264"/>
        <v/>
      </c>
      <c r="CM335" s="16" t="str">
        <f t="shared" si="265"/>
        <v/>
      </c>
      <c r="CN335" s="16" t="str">
        <f t="shared" si="266"/>
        <v/>
      </c>
      <c r="CO335" s="16" t="str">
        <f t="shared" si="267"/>
        <v/>
      </c>
      <c r="CP335" s="16" t="str">
        <f t="shared" si="268"/>
        <v/>
      </c>
      <c r="CQ335" s="16" t="str">
        <f t="shared" si="269"/>
        <v/>
      </c>
      <c r="CR335" s="16" t="str">
        <f t="shared" si="270"/>
        <v/>
      </c>
      <c r="CS335" s="16" t="str">
        <f t="shared" si="271"/>
        <v/>
      </c>
      <c r="CT335" s="16" t="str">
        <f t="shared" si="272"/>
        <v/>
      </c>
    </row>
    <row r="336" spans="1:99" x14ac:dyDescent="0.25">
      <c r="A336" s="13"/>
      <c r="B336" s="14"/>
      <c r="C336" s="15" t="str" cm="1">
        <f t="array" ref="C336">IF(B336="","",INDEX('Exercise list'!$C$5:$C$102,B336))</f>
        <v/>
      </c>
      <c r="D336" s="12" t="str">
        <f t="shared" si="230"/>
        <v/>
      </c>
      <c r="E336" s="107" t="str">
        <f t="shared" si="253"/>
        <v/>
      </c>
      <c r="F336" s="63" t="str" cm="1">
        <f t="array" ref="F336">IF(B336="","",0.1+IFERROR(INDEX($F$6:$F335,SUMPRODUCT(MAX(ROW($C$6:$C335)*($C336=$C$6:$C335))-ROW($A$5)))*0.9^($A336-INDEX($A$6:A335,SUMPRODUCT(MAX(ROW($C$6:$C335)*($C336=$C$6:$C335))-ROW($A$5)))),0))</f>
        <v/>
      </c>
      <c r="G336" s="64" t="e">
        <f>INDEX('Exercise list'!$Y$5:$Y$102,MATCH(C336,'Exercise list'!$C$5:$C$102,0))</f>
        <v>#N/A</v>
      </c>
      <c r="H336" s="115">
        <f t="shared" si="231"/>
        <v>0</v>
      </c>
      <c r="I336" s="6">
        <f t="shared" si="232"/>
        <v>5</v>
      </c>
      <c r="J336" s="6" t="str" cm="1">
        <f t="array" ref="J336">IF(B336="","",INDEX('Exercise list'!$D$5:$D$102,B336))</f>
        <v/>
      </c>
      <c r="K336" s="12"/>
      <c r="L336" s="74" t="str" cm="1">
        <f t="array" ref="L336">IF(K336="","",INDEX('Exercise list'!$C$5:$C$102,K336))</f>
        <v/>
      </c>
      <c r="M336" s="6"/>
      <c r="N336" s="75" t="str" cm="1">
        <f t="array" ref="N336">IF(M336="","",INDEX('Exercise list'!$C$5:$C$102,M336))</f>
        <v/>
      </c>
      <c r="P336">
        <f>IFERROR(INDEX('Exercise list'!$E$5:$X$102,MATCH($C336,'Exercise list'!$C$5:$C$102,0),MATCH(P$5,'Exercise list'!$E$4:$X$4,0)),0)</f>
        <v>0</v>
      </c>
      <c r="Q336">
        <f>IFERROR(INDEX('Exercise list'!$E$5:$X$102,MATCH($C336,'Exercise list'!$C$5:$C$102,0),MATCH(Q$5,'Exercise list'!$E$4:$X$4,0)),0)</f>
        <v>0</v>
      </c>
      <c r="R336">
        <f>IFERROR(INDEX('Exercise list'!$E$5:$X$102,MATCH($C336,'Exercise list'!$C$5:$C$102,0),MATCH(R$5,'Exercise list'!$E$4:$X$4,0)),0)</f>
        <v>0</v>
      </c>
      <c r="S336">
        <f>IFERROR(INDEX('Exercise list'!$E$5:$X$102,MATCH($C336,'Exercise list'!$C$5:$C$102,0),MATCH(S$5,'Exercise list'!$E$4:$X$4,0)),0)</f>
        <v>0</v>
      </c>
      <c r="T336">
        <f>IFERROR(INDEX('Exercise list'!$E$5:$X$102,MATCH($C336,'Exercise list'!$C$5:$C$102,0),MATCH(T$5,'Exercise list'!$E$4:$X$4,0)),0)</f>
        <v>0</v>
      </c>
      <c r="U336">
        <f>IFERROR(INDEX('Exercise list'!$E$5:$X$102,MATCH($C336,'Exercise list'!$C$5:$C$102,0),MATCH(U$5,'Exercise list'!$E$4:$X$4,0)),0)</f>
        <v>0</v>
      </c>
      <c r="V336">
        <f>IFERROR(INDEX('Exercise list'!$E$5:$X$102,MATCH($C336,'Exercise list'!$C$5:$C$102,0),MATCH(V$5,'Exercise list'!$E$4:$X$4,0)),0)</f>
        <v>0</v>
      </c>
      <c r="W336">
        <f>IFERROR(INDEX('Exercise list'!$E$5:$X$102,MATCH($C336,'Exercise list'!$C$5:$C$102,0),MATCH(W$5,'Exercise list'!$E$4:$X$4,0)),0)</f>
        <v>0</v>
      </c>
      <c r="X336">
        <f>IFERROR(INDEX('Exercise list'!$E$5:$X$102,MATCH($C336,'Exercise list'!$C$5:$C$102,0),MATCH(X$5,'Exercise list'!$E$4:$X$4,0)),0)</f>
        <v>0</v>
      </c>
      <c r="Y336">
        <f>IFERROR(INDEX('Exercise list'!$E$5:$X$102,MATCH($C336,'Exercise list'!$C$5:$C$102,0),MATCH(Y$5,'Exercise list'!$E$4:$X$4,0)),0)</f>
        <v>0</v>
      </c>
      <c r="Z336">
        <f>IFERROR(INDEX('Exercise list'!$E$5:$X$102,MATCH($C336,'Exercise list'!$C$5:$C$102,0),MATCH(Z$5,'Exercise list'!$E$4:$X$4,0)),0)</f>
        <v>0</v>
      </c>
      <c r="AA336">
        <f>IFERROR(INDEX('Exercise list'!$E$5:$X$102,MATCH($C336,'Exercise list'!$C$5:$C$102,0),MATCH(AA$5,'Exercise list'!$E$4:$X$4,0)),0)</f>
        <v>0</v>
      </c>
      <c r="AB336">
        <f>IFERROR(INDEX('Exercise list'!$E$5:$X$102,MATCH($C336,'Exercise list'!$C$5:$C$102,0),MATCH(AB$5,'Exercise list'!$E$4:$X$4,0)),0)</f>
        <v>0</v>
      </c>
      <c r="AC336">
        <f>IFERROR(INDEX('Exercise list'!$E$5:$X$102,MATCH($C336,'Exercise list'!$C$5:$C$102,0),MATCH(AC$5,'Exercise list'!$E$4:$X$4,0)),0)</f>
        <v>0</v>
      </c>
      <c r="AD336">
        <f>IFERROR(INDEX('Exercise list'!$E$5:$X$102,MATCH($C336,'Exercise list'!$C$5:$C$102,0),MATCH(AD$5,'Exercise list'!$E$4:$X$4,0)),0)</f>
        <v>0</v>
      </c>
      <c r="AE336">
        <f>IFERROR(INDEX('Exercise list'!$E$5:$X$102,MATCH($C336,'Exercise list'!$C$5:$C$102,0),MATCH(AE$5,'Exercise list'!$E$4:$X$4,0)),0)</f>
        <v>0</v>
      </c>
      <c r="AF336">
        <f>IFERROR(INDEX('Exercise list'!$E$5:$X$102,MATCH($C336,'Exercise list'!$C$5:$C$102,0),MATCH(AF$5,'Exercise list'!$E$4:$X$4,0)),0)</f>
        <v>0</v>
      </c>
      <c r="AG336">
        <f>IFERROR(INDEX('Exercise list'!$E$5:$X$102,MATCH($C336,'Exercise list'!$C$5:$C$102,0),MATCH(AG$5,'Exercise list'!$E$4:$X$4,0)),0)</f>
        <v>0</v>
      </c>
      <c r="AH336">
        <f>IFERROR(INDEX('Exercise list'!$E$5:$X$102,MATCH($C336,'Exercise list'!$C$5:$C$102,0),MATCH(AH$5,'Exercise list'!$E$4:$X$4,0)),0)</f>
        <v>0</v>
      </c>
      <c r="AI336">
        <f>IFERROR(INDEX('Exercise list'!$E$5:$X$102,MATCH($C336,'Exercise list'!$C$5:$C$102,0),MATCH(AI$5,'Exercise list'!$E$4:$X$4,0)),0)</f>
        <v>0</v>
      </c>
      <c r="AK336">
        <f>IF(OR($J336=1,COUNTIFS($A$5:$A335,"&gt;="&amp;$A336-1,$A$5:$A335,"&lt;="&amp;$A336,$B$5:$B335,$B336)&gt;0,MIN(1-'Exercise list'!E$2,IF($A336=$A335,AK335,1))-P336&lt;0),-1,MIN(1,IF($A336=$A335,AK335,1)-P336+$D$2))</f>
        <v>1</v>
      </c>
      <c r="AL336">
        <f>IF(OR($J336=1,COUNTIFS($A$5:$A335,"&gt;="&amp;$A336-1,$A$5:$A335,"&lt;="&amp;$A336,$B$5:$B335,$B336)&gt;0,MIN(1-'Exercise list'!F$2,IF($A336=$A335,AL335,1))-Q336&lt;0),-1,MIN(1,IF($A336=$A335,AL335,1)-Q336+$D$2))</f>
        <v>1</v>
      </c>
      <c r="AM336">
        <f>IF(OR($J336=1,COUNTIFS($A$5:$A335,"&gt;="&amp;$A336-1,$A$5:$A335,"&lt;="&amp;$A336,$B$5:$B335,$B336)&gt;0,MIN(1-'Exercise list'!G$2,IF($A336=$A335,AM335,1))-R336&lt;0),-1,MIN(1,IF($A336=$A335,AM335,1)-R336+$D$2))</f>
        <v>1</v>
      </c>
      <c r="AN336">
        <f>IF(OR($J336=1,COUNTIFS($A$5:$A335,"&gt;="&amp;$A336-1,$A$5:$A335,"&lt;="&amp;$A336,$B$5:$B335,$B336)&gt;0,MIN(1-'Exercise list'!H$2,IF($A336=$A335,AN335,1))-S336&lt;0),-1,MIN(1,IF($A336=$A335,AN335,1)-S336+$D$2))</f>
        <v>1</v>
      </c>
      <c r="AO336">
        <f>IF(OR($J336=1,COUNTIFS($A$5:$A335,"&gt;="&amp;$A336-1,$A$5:$A335,"&lt;="&amp;$A336,$B$5:$B335,$B336)&gt;0,MIN(1-'Exercise list'!I$2,IF($A336=$A335,AO335,1))-T336&lt;0),-1,MIN(1,IF($A336=$A335,AO335,1)-T336+$D$2))</f>
        <v>1</v>
      </c>
      <c r="AP336">
        <f>IF(OR($J336=1,COUNTIFS($A$5:$A335,"&gt;="&amp;$A336-1,$A$5:$A335,"&lt;="&amp;$A336,$B$5:$B335,$B336)&gt;0,MIN(1-'Exercise list'!J$2,IF($A336=$A335,AP335,1))-U336&lt;0),-1,MIN(1,IF($A336=$A335,AP335,1)-U336+$D$2))</f>
        <v>1</v>
      </c>
      <c r="AQ336">
        <f>IF(OR($J336=1,COUNTIFS($A$5:$A335,"&gt;="&amp;$A336-1,$A$5:$A335,"&lt;="&amp;$A336,$B$5:$B335,$B336)&gt;0,MIN(1-'Exercise list'!K$2,IF($A336=$A335,AQ335,1))-V336&lt;0),-1,MIN(1,IF($A336=$A335,AQ335,1)-V336+$D$2))</f>
        <v>1</v>
      </c>
      <c r="AR336">
        <f>IF(OR($J336=1,COUNTIFS($A$5:$A335,"&gt;="&amp;$A336-1,$A$5:$A335,"&lt;="&amp;$A336,$B$5:$B335,$B336)&gt;0,MIN(1-'Exercise list'!L$2,IF($A336=$A335,AR335,1))-W336&lt;0),-1,MIN(1,IF($A336=$A335,AR335,1)-W336+$D$2))</f>
        <v>1</v>
      </c>
      <c r="AS336">
        <f>IF(OR($J336=1,COUNTIFS($A$5:$A335,"&gt;="&amp;$A336-1,$A$5:$A335,"&lt;="&amp;$A336,$B$5:$B335,$B336)&gt;0,MIN(1-'Exercise list'!M$2,IF($A336=$A335,AS335,1))-X336&lt;0),-1,MIN(1,IF($A336=$A335,AS335,1)-X336+$D$2))</f>
        <v>1</v>
      </c>
      <c r="AT336">
        <f>IF(OR($J336=1,COUNTIFS($A$5:$A335,"&gt;="&amp;$A336-1,$A$5:$A335,"&lt;="&amp;$A336,$B$5:$B335,$B336)&gt;0,MIN(1-'Exercise list'!N$2,IF($A336=$A335,AT335,1))-Y336&lt;0),-1,MIN(1,IF($A336=$A335,AT335,1)-Y336+$D$2))</f>
        <v>1</v>
      </c>
      <c r="AU336">
        <f>IF(OR($J336=1,COUNTIFS($A$5:$A335,"&gt;="&amp;$A336-1,$A$5:$A335,"&lt;="&amp;$A336,$B$5:$B335,$B336)&gt;0,MIN(1-'Exercise list'!O$2,IF($A336=$A335,AU335,1))-Z336&lt;0),-1,MIN(1,IF($A336=$A335,AU335,1)-Z336+$D$2))</f>
        <v>1</v>
      </c>
      <c r="AV336">
        <f>IF(OR($J336=1,COUNTIFS($A$5:$A335,"&gt;="&amp;$A336-1,$A$5:$A335,"&lt;="&amp;$A336,$B$5:$B335,$B336)&gt;0,MIN(1-'Exercise list'!P$2,IF($A336=$A335,AV335,1))-AA336&lt;0),-1,MIN(1,IF($A336=$A335,AV335,1)-AA336+$D$2))</f>
        <v>1</v>
      </c>
      <c r="AW336">
        <f>IF(OR($J336=1,COUNTIFS($A$5:$A335,"&gt;="&amp;$A336-1,$A$5:$A335,"&lt;="&amp;$A336,$B$5:$B335,$B336)&gt;0,MIN(1-'Exercise list'!Q$2,IF($A336=$A335,AW335,1))-AB336&lt;0),-1,MIN(1,IF($A336=$A335,AW335,1)-AB336+$D$2))</f>
        <v>1</v>
      </c>
      <c r="AX336">
        <f>IF(OR($J336=1,COUNTIFS($A$5:$A335,"&gt;="&amp;$A336-1,$A$5:$A335,"&lt;="&amp;$A336,$B$5:$B335,$B336)&gt;0,MIN(1-'Exercise list'!R$2,IF($A336=$A335,AX335,1))-AC336&lt;0),-1,MIN(1,IF($A336=$A335,AX335,1)-AC336+$D$2))</f>
        <v>1</v>
      </c>
      <c r="AY336">
        <f>IF(OR($J336=1,COUNTIFS($A$5:$A335,"&gt;="&amp;$A336-1,$A$5:$A335,"&lt;="&amp;$A336,$B$5:$B335,$B336)&gt;0,MIN(1-'Exercise list'!S$2,IF($A336=$A335,AY335,1))-AD336&lt;0),-1,MIN(1,IF($A336=$A335,AY335,1)-AD336+$D$2))</f>
        <v>1</v>
      </c>
      <c r="AZ336">
        <f>IF(OR($J336=1,COUNTIFS($A$5:$A335,"&gt;="&amp;$A336-1,$A$5:$A335,"&lt;="&amp;$A336,$B$5:$B335,$B336)&gt;0,MIN(1-'Exercise list'!T$2,IF($A336=$A335,AZ335,1))-AE336&lt;0),-1,MIN(1,IF($A336=$A335,AZ335,1)-AE336+$D$2))</f>
        <v>1</v>
      </c>
      <c r="BA336">
        <f>IF(OR($J336=1,COUNTIFS($A$5:$A335,"&gt;="&amp;$A336-1,$A$5:$A335,"&lt;="&amp;$A336,$B$5:$B335,$B336)&gt;0,MIN(1-'Exercise list'!U$2,IF($A336=$A335,BA335,1))-AF336&lt;0),-1,MIN(1,IF($A336=$A335,BA335,1)-AF336+$D$2))</f>
        <v>1</v>
      </c>
      <c r="BB336">
        <f>IF(OR($J336=1,COUNTIFS($A$5:$A335,"&gt;="&amp;$A336-1,$A$5:$A335,"&lt;="&amp;$A336,$B$5:$B335,$B336)&gt;0,MIN(1-'Exercise list'!V$2,IF($A336=$A335,BB335,1))-AG336&lt;0),-1,MIN(1,IF($A336=$A335,BB335,1)-AG336+$D$2))</f>
        <v>1</v>
      </c>
      <c r="BC336">
        <f>IF(OR($J336=1,COUNTIFS($A$5:$A335,"&gt;="&amp;$A336-1,$A$5:$A335,"&lt;="&amp;$A336,$B$5:$B335,$B336)&gt;0,MIN(1-'Exercise list'!W$2,IF($A336=$A335,BC335,1))-AH336&lt;0),-1,MIN(1,IF($A336=$A335,BC335,1)-AH336+$D$2))</f>
        <v>1</v>
      </c>
      <c r="BD336">
        <f>IF(OR($J336=1,COUNTIFS($A$5:$A335,"&gt;="&amp;$A336-1,$A$5:$A335,"&lt;="&amp;$A336,$B$5:$B335,$B336)&gt;0,MIN(1-'Exercise list'!X$2,IF($A336=$A335,BD335,1))-AI336&lt;0),-1,MIN(1,IF($A336=$A335,BD335,1)-AI336+$D$2))</f>
        <v>1</v>
      </c>
      <c r="BF336" s="16">
        <f t="shared" si="233"/>
        <v>0.19596031081758858</v>
      </c>
      <c r="BG336" s="16">
        <f t="shared" si="234"/>
        <v>0.21844636935459236</v>
      </c>
      <c r="BH336" s="16">
        <f t="shared" si="235"/>
        <v>0.14609696635987124</v>
      </c>
      <c r="BI336" s="16">
        <f t="shared" si="236"/>
        <v>0.13198015366034541</v>
      </c>
      <c r="BJ336" s="16">
        <f t="shared" si="237"/>
        <v>8.3367914198418713E-2</v>
      </c>
      <c r="BK336" s="16">
        <f t="shared" si="238"/>
        <v>0.10640640223148412</v>
      </c>
      <c r="BL336" s="16">
        <f t="shared" si="239"/>
        <v>0.21963504743569431</v>
      </c>
      <c r="BM336" s="16">
        <f t="shared" si="240"/>
        <v>3.8988008374820568E-3</v>
      </c>
      <c r="BN336" s="16">
        <f t="shared" si="241"/>
        <v>0.14537706087090876</v>
      </c>
      <c r="BO336" s="16">
        <f t="shared" si="242"/>
        <v>0.29209790661993401</v>
      </c>
      <c r="BP336" s="16">
        <f t="shared" si="243"/>
        <v>0.31584545163401867</v>
      </c>
      <c r="BQ336" s="16">
        <f t="shared" si="244"/>
        <v>0.1000007994126096</v>
      </c>
      <c r="BR336" s="16">
        <f t="shared" si="245"/>
        <v>0.13164487759885393</v>
      </c>
      <c r="BS336" s="16">
        <f t="shared" si="246"/>
        <v>2.9803550189863123E-2</v>
      </c>
      <c r="BT336" s="16">
        <f t="shared" si="247"/>
        <v>0.13492040904978705</v>
      </c>
      <c r="BU336" s="16">
        <f t="shared" si="248"/>
        <v>0.11703687414398131</v>
      </c>
      <c r="BV336" s="16">
        <f t="shared" si="249"/>
        <v>0.14633353213781661</v>
      </c>
      <c r="BW336" s="16">
        <f t="shared" si="250"/>
        <v>7.5588015111767173E-2</v>
      </c>
      <c r="BX336" s="16">
        <f t="shared" si="251"/>
        <v>8.0345659937185704E-2</v>
      </c>
      <c r="BY336" s="16">
        <f t="shared" si="252"/>
        <v>5.9014643151272549E-2</v>
      </c>
      <c r="CA336" s="16" t="str">
        <f t="shared" si="273"/>
        <v/>
      </c>
      <c r="CB336" s="16" t="str">
        <f t="shared" si="254"/>
        <v/>
      </c>
      <c r="CC336" s="16" t="str">
        <f t="shared" si="255"/>
        <v/>
      </c>
      <c r="CD336" s="16" t="str">
        <f t="shared" si="256"/>
        <v/>
      </c>
      <c r="CE336" s="16" t="str">
        <f t="shared" si="257"/>
        <v/>
      </c>
      <c r="CF336" s="16" t="str">
        <f t="shared" si="258"/>
        <v/>
      </c>
      <c r="CG336" s="16" t="str">
        <f t="shared" si="259"/>
        <v/>
      </c>
      <c r="CH336" s="16" t="str">
        <f t="shared" si="260"/>
        <v/>
      </c>
      <c r="CI336" s="16" t="str">
        <f t="shared" si="261"/>
        <v/>
      </c>
      <c r="CJ336" s="16" t="str">
        <f t="shared" si="262"/>
        <v/>
      </c>
      <c r="CK336" s="16" t="str">
        <f t="shared" si="263"/>
        <v/>
      </c>
      <c r="CL336" s="16" t="str">
        <f t="shared" si="264"/>
        <v/>
      </c>
      <c r="CM336" s="16" t="str">
        <f t="shared" si="265"/>
        <v/>
      </c>
      <c r="CN336" s="16" t="str">
        <f t="shared" si="266"/>
        <v/>
      </c>
      <c r="CO336" s="16" t="str">
        <f t="shared" si="267"/>
        <v/>
      </c>
      <c r="CP336" s="16" t="str">
        <f t="shared" si="268"/>
        <v/>
      </c>
      <c r="CQ336" s="16" t="str">
        <f t="shared" si="269"/>
        <v/>
      </c>
      <c r="CR336" s="16" t="str">
        <f t="shared" si="270"/>
        <v/>
      </c>
      <c r="CS336" s="16" t="str">
        <f t="shared" si="271"/>
        <v/>
      </c>
      <c r="CT336" s="16" t="str">
        <f t="shared" si="272"/>
        <v/>
      </c>
    </row>
    <row r="337" spans="1:99" x14ac:dyDescent="0.25">
      <c r="A337" s="13"/>
      <c r="B337" s="14"/>
      <c r="C337" s="15" t="str" cm="1">
        <f t="array" ref="C337">IF(B337="","",INDEX('Exercise list'!$C$5:$C$102,B337))</f>
        <v/>
      </c>
      <c r="D337" s="12" t="str">
        <f t="shared" si="230"/>
        <v/>
      </c>
      <c r="E337" s="107" t="str">
        <f t="shared" si="253"/>
        <v/>
      </c>
      <c r="F337" s="63" t="str" cm="1">
        <f t="array" ref="F337">IF(B337="","",0.1+IFERROR(INDEX($F$6:$F336,SUMPRODUCT(MAX(ROW($C$6:$C336)*($C337=$C$6:$C336))-ROW($A$5)))*0.9^($A337-INDEX($A$6:A336,SUMPRODUCT(MAX(ROW($C$6:$C336)*($C337=$C$6:$C336))-ROW($A$5)))),0))</f>
        <v/>
      </c>
      <c r="G337" s="64" t="e">
        <f>INDEX('Exercise list'!$Y$5:$Y$102,MATCH(C337,'Exercise list'!$C$5:$C$102,0))</f>
        <v>#N/A</v>
      </c>
      <c r="H337" s="115">
        <f t="shared" si="231"/>
        <v>0</v>
      </c>
      <c r="I337" s="6">
        <f t="shared" si="232"/>
        <v>5</v>
      </c>
      <c r="J337" s="6" t="str" cm="1">
        <f t="array" ref="J337">IF(B337="","",INDEX('Exercise list'!$D$5:$D$102,B337))</f>
        <v/>
      </c>
      <c r="K337" s="12"/>
      <c r="L337" s="74" t="str" cm="1">
        <f t="array" ref="L337">IF(K337="","",INDEX('Exercise list'!$C$5:$C$102,K337))</f>
        <v/>
      </c>
      <c r="M337" s="6"/>
      <c r="N337" s="75" t="str" cm="1">
        <f t="array" ref="N337">IF(M337="","",INDEX('Exercise list'!$C$5:$C$102,M337))</f>
        <v/>
      </c>
      <c r="P337">
        <f>IFERROR(INDEX('Exercise list'!$E$5:$X$102,MATCH($C337,'Exercise list'!$C$5:$C$102,0),MATCH(P$5,'Exercise list'!$E$4:$X$4,0)),0)</f>
        <v>0</v>
      </c>
      <c r="Q337">
        <f>IFERROR(INDEX('Exercise list'!$E$5:$X$102,MATCH($C337,'Exercise list'!$C$5:$C$102,0),MATCH(Q$5,'Exercise list'!$E$4:$X$4,0)),0)</f>
        <v>0</v>
      </c>
      <c r="R337">
        <f>IFERROR(INDEX('Exercise list'!$E$5:$X$102,MATCH($C337,'Exercise list'!$C$5:$C$102,0),MATCH(R$5,'Exercise list'!$E$4:$X$4,0)),0)</f>
        <v>0</v>
      </c>
      <c r="S337">
        <f>IFERROR(INDEX('Exercise list'!$E$5:$X$102,MATCH($C337,'Exercise list'!$C$5:$C$102,0),MATCH(S$5,'Exercise list'!$E$4:$X$4,0)),0)</f>
        <v>0</v>
      </c>
      <c r="T337">
        <f>IFERROR(INDEX('Exercise list'!$E$5:$X$102,MATCH($C337,'Exercise list'!$C$5:$C$102,0),MATCH(T$5,'Exercise list'!$E$4:$X$4,0)),0)</f>
        <v>0</v>
      </c>
      <c r="U337">
        <f>IFERROR(INDEX('Exercise list'!$E$5:$X$102,MATCH($C337,'Exercise list'!$C$5:$C$102,0),MATCH(U$5,'Exercise list'!$E$4:$X$4,0)),0)</f>
        <v>0</v>
      </c>
      <c r="V337">
        <f>IFERROR(INDEX('Exercise list'!$E$5:$X$102,MATCH($C337,'Exercise list'!$C$5:$C$102,0),MATCH(V$5,'Exercise list'!$E$4:$X$4,0)),0)</f>
        <v>0</v>
      </c>
      <c r="W337">
        <f>IFERROR(INDEX('Exercise list'!$E$5:$X$102,MATCH($C337,'Exercise list'!$C$5:$C$102,0),MATCH(W$5,'Exercise list'!$E$4:$X$4,0)),0)</f>
        <v>0</v>
      </c>
      <c r="X337">
        <f>IFERROR(INDEX('Exercise list'!$E$5:$X$102,MATCH($C337,'Exercise list'!$C$5:$C$102,0),MATCH(X$5,'Exercise list'!$E$4:$X$4,0)),0)</f>
        <v>0</v>
      </c>
      <c r="Y337">
        <f>IFERROR(INDEX('Exercise list'!$E$5:$X$102,MATCH($C337,'Exercise list'!$C$5:$C$102,0),MATCH(Y$5,'Exercise list'!$E$4:$X$4,0)),0)</f>
        <v>0</v>
      </c>
      <c r="Z337">
        <f>IFERROR(INDEX('Exercise list'!$E$5:$X$102,MATCH($C337,'Exercise list'!$C$5:$C$102,0),MATCH(Z$5,'Exercise list'!$E$4:$X$4,0)),0)</f>
        <v>0</v>
      </c>
      <c r="AA337">
        <f>IFERROR(INDEX('Exercise list'!$E$5:$X$102,MATCH($C337,'Exercise list'!$C$5:$C$102,0),MATCH(AA$5,'Exercise list'!$E$4:$X$4,0)),0)</f>
        <v>0</v>
      </c>
      <c r="AB337">
        <f>IFERROR(INDEX('Exercise list'!$E$5:$X$102,MATCH($C337,'Exercise list'!$C$5:$C$102,0),MATCH(AB$5,'Exercise list'!$E$4:$X$4,0)),0)</f>
        <v>0</v>
      </c>
      <c r="AC337">
        <f>IFERROR(INDEX('Exercise list'!$E$5:$X$102,MATCH($C337,'Exercise list'!$C$5:$C$102,0),MATCH(AC$5,'Exercise list'!$E$4:$X$4,0)),0)</f>
        <v>0</v>
      </c>
      <c r="AD337">
        <f>IFERROR(INDEX('Exercise list'!$E$5:$X$102,MATCH($C337,'Exercise list'!$C$5:$C$102,0),MATCH(AD$5,'Exercise list'!$E$4:$X$4,0)),0)</f>
        <v>0</v>
      </c>
      <c r="AE337">
        <f>IFERROR(INDEX('Exercise list'!$E$5:$X$102,MATCH($C337,'Exercise list'!$C$5:$C$102,0),MATCH(AE$5,'Exercise list'!$E$4:$X$4,0)),0)</f>
        <v>0</v>
      </c>
      <c r="AF337">
        <f>IFERROR(INDEX('Exercise list'!$E$5:$X$102,MATCH($C337,'Exercise list'!$C$5:$C$102,0),MATCH(AF$5,'Exercise list'!$E$4:$X$4,0)),0)</f>
        <v>0</v>
      </c>
      <c r="AG337">
        <f>IFERROR(INDEX('Exercise list'!$E$5:$X$102,MATCH($C337,'Exercise list'!$C$5:$C$102,0),MATCH(AG$5,'Exercise list'!$E$4:$X$4,0)),0)</f>
        <v>0</v>
      </c>
      <c r="AH337">
        <f>IFERROR(INDEX('Exercise list'!$E$5:$X$102,MATCH($C337,'Exercise list'!$C$5:$C$102,0),MATCH(AH$5,'Exercise list'!$E$4:$X$4,0)),0)</f>
        <v>0</v>
      </c>
      <c r="AI337">
        <f>IFERROR(INDEX('Exercise list'!$E$5:$X$102,MATCH($C337,'Exercise list'!$C$5:$C$102,0),MATCH(AI$5,'Exercise list'!$E$4:$X$4,0)),0)</f>
        <v>0</v>
      </c>
      <c r="AK337">
        <f>IF(OR($J337=1,COUNTIFS($A$5:$A336,"&gt;="&amp;$A337-1,$A$5:$A336,"&lt;="&amp;$A337,$B$5:$B336,$B337)&gt;0,MIN(1-'Exercise list'!E$2,IF($A337=$A336,AK336,1))-P337&lt;0),-1,MIN(1,IF($A337=$A336,AK336,1)-P337+$D$2))</f>
        <v>1</v>
      </c>
      <c r="AL337">
        <f>IF(OR($J337=1,COUNTIFS($A$5:$A336,"&gt;="&amp;$A337-1,$A$5:$A336,"&lt;="&amp;$A337,$B$5:$B336,$B337)&gt;0,MIN(1-'Exercise list'!F$2,IF($A337=$A336,AL336,1))-Q337&lt;0),-1,MIN(1,IF($A337=$A336,AL336,1)-Q337+$D$2))</f>
        <v>1</v>
      </c>
      <c r="AM337">
        <f>IF(OR($J337=1,COUNTIFS($A$5:$A336,"&gt;="&amp;$A337-1,$A$5:$A336,"&lt;="&amp;$A337,$B$5:$B336,$B337)&gt;0,MIN(1-'Exercise list'!G$2,IF($A337=$A336,AM336,1))-R337&lt;0),-1,MIN(1,IF($A337=$A336,AM336,1)-R337+$D$2))</f>
        <v>1</v>
      </c>
      <c r="AN337">
        <f>IF(OR($J337=1,COUNTIFS($A$5:$A336,"&gt;="&amp;$A337-1,$A$5:$A336,"&lt;="&amp;$A337,$B$5:$B336,$B337)&gt;0,MIN(1-'Exercise list'!H$2,IF($A337=$A336,AN336,1))-S337&lt;0),-1,MIN(1,IF($A337=$A336,AN336,1)-S337+$D$2))</f>
        <v>1</v>
      </c>
      <c r="AO337">
        <f>IF(OR($J337=1,COUNTIFS($A$5:$A336,"&gt;="&amp;$A337-1,$A$5:$A336,"&lt;="&amp;$A337,$B$5:$B336,$B337)&gt;0,MIN(1-'Exercise list'!I$2,IF($A337=$A336,AO336,1))-T337&lt;0),-1,MIN(1,IF($A337=$A336,AO336,1)-T337+$D$2))</f>
        <v>1</v>
      </c>
      <c r="AP337">
        <f>IF(OR($J337=1,COUNTIFS($A$5:$A336,"&gt;="&amp;$A337-1,$A$5:$A336,"&lt;="&amp;$A337,$B$5:$B336,$B337)&gt;0,MIN(1-'Exercise list'!J$2,IF($A337=$A336,AP336,1))-U337&lt;0),-1,MIN(1,IF($A337=$A336,AP336,1)-U337+$D$2))</f>
        <v>1</v>
      </c>
      <c r="AQ337">
        <f>IF(OR($J337=1,COUNTIFS($A$5:$A336,"&gt;="&amp;$A337-1,$A$5:$A336,"&lt;="&amp;$A337,$B$5:$B336,$B337)&gt;0,MIN(1-'Exercise list'!K$2,IF($A337=$A336,AQ336,1))-V337&lt;0),-1,MIN(1,IF($A337=$A336,AQ336,1)-V337+$D$2))</f>
        <v>1</v>
      </c>
      <c r="AR337">
        <f>IF(OR($J337=1,COUNTIFS($A$5:$A336,"&gt;="&amp;$A337-1,$A$5:$A336,"&lt;="&amp;$A337,$B$5:$B336,$B337)&gt;0,MIN(1-'Exercise list'!L$2,IF($A337=$A336,AR336,1))-W337&lt;0),-1,MIN(1,IF($A337=$A336,AR336,1)-W337+$D$2))</f>
        <v>1</v>
      </c>
      <c r="AS337">
        <f>IF(OR($J337=1,COUNTIFS($A$5:$A336,"&gt;="&amp;$A337-1,$A$5:$A336,"&lt;="&amp;$A337,$B$5:$B336,$B337)&gt;0,MIN(1-'Exercise list'!M$2,IF($A337=$A336,AS336,1))-X337&lt;0),-1,MIN(1,IF($A337=$A336,AS336,1)-X337+$D$2))</f>
        <v>1</v>
      </c>
      <c r="AT337">
        <f>IF(OR($J337=1,COUNTIFS($A$5:$A336,"&gt;="&amp;$A337-1,$A$5:$A336,"&lt;="&amp;$A337,$B$5:$B336,$B337)&gt;0,MIN(1-'Exercise list'!N$2,IF($A337=$A336,AT336,1))-Y337&lt;0),-1,MIN(1,IF($A337=$A336,AT336,1)-Y337+$D$2))</f>
        <v>1</v>
      </c>
      <c r="AU337">
        <f>IF(OR($J337=1,COUNTIFS($A$5:$A336,"&gt;="&amp;$A337-1,$A$5:$A336,"&lt;="&amp;$A337,$B$5:$B336,$B337)&gt;0,MIN(1-'Exercise list'!O$2,IF($A337=$A336,AU336,1))-Z337&lt;0),-1,MIN(1,IF($A337=$A336,AU336,1)-Z337+$D$2))</f>
        <v>1</v>
      </c>
      <c r="AV337">
        <f>IF(OR($J337=1,COUNTIFS($A$5:$A336,"&gt;="&amp;$A337-1,$A$5:$A336,"&lt;="&amp;$A337,$B$5:$B336,$B337)&gt;0,MIN(1-'Exercise list'!P$2,IF($A337=$A336,AV336,1))-AA337&lt;0),-1,MIN(1,IF($A337=$A336,AV336,1)-AA337+$D$2))</f>
        <v>1</v>
      </c>
      <c r="AW337">
        <f>IF(OR($J337=1,COUNTIFS($A$5:$A336,"&gt;="&amp;$A337-1,$A$5:$A336,"&lt;="&amp;$A337,$B$5:$B336,$B337)&gt;0,MIN(1-'Exercise list'!Q$2,IF($A337=$A336,AW336,1))-AB337&lt;0),-1,MIN(1,IF($A337=$A336,AW336,1)-AB337+$D$2))</f>
        <v>1</v>
      </c>
      <c r="AX337">
        <f>IF(OR($J337=1,COUNTIFS($A$5:$A336,"&gt;="&amp;$A337-1,$A$5:$A336,"&lt;="&amp;$A337,$B$5:$B336,$B337)&gt;0,MIN(1-'Exercise list'!R$2,IF($A337=$A336,AX336,1))-AC337&lt;0),-1,MIN(1,IF($A337=$A336,AX336,1)-AC337+$D$2))</f>
        <v>1</v>
      </c>
      <c r="AY337">
        <f>IF(OR($J337=1,COUNTIFS($A$5:$A336,"&gt;="&amp;$A337-1,$A$5:$A336,"&lt;="&amp;$A337,$B$5:$B336,$B337)&gt;0,MIN(1-'Exercise list'!S$2,IF($A337=$A336,AY336,1))-AD337&lt;0),-1,MIN(1,IF($A337=$A336,AY336,1)-AD337+$D$2))</f>
        <v>1</v>
      </c>
      <c r="AZ337">
        <f>IF(OR($J337=1,COUNTIFS($A$5:$A336,"&gt;="&amp;$A337-1,$A$5:$A336,"&lt;="&amp;$A337,$B$5:$B336,$B337)&gt;0,MIN(1-'Exercise list'!T$2,IF($A337=$A336,AZ336,1))-AE337&lt;0),-1,MIN(1,IF($A337=$A336,AZ336,1)-AE337+$D$2))</f>
        <v>1</v>
      </c>
      <c r="BA337">
        <f>IF(OR($J337=1,COUNTIFS($A$5:$A336,"&gt;="&amp;$A337-1,$A$5:$A336,"&lt;="&amp;$A337,$B$5:$B336,$B337)&gt;0,MIN(1-'Exercise list'!U$2,IF($A337=$A336,BA336,1))-AF337&lt;0),-1,MIN(1,IF($A337=$A336,BA336,1)-AF337+$D$2))</f>
        <v>1</v>
      </c>
      <c r="BB337">
        <f>IF(OR($J337=1,COUNTIFS($A$5:$A336,"&gt;="&amp;$A337-1,$A$5:$A336,"&lt;="&amp;$A337,$B$5:$B336,$B337)&gt;0,MIN(1-'Exercise list'!V$2,IF($A337=$A336,BB336,1))-AG337&lt;0),-1,MIN(1,IF($A337=$A336,BB336,1)-AG337+$D$2))</f>
        <v>1</v>
      </c>
      <c r="BC337">
        <f>IF(OR($J337=1,COUNTIFS($A$5:$A336,"&gt;="&amp;$A337-1,$A$5:$A336,"&lt;="&amp;$A337,$B$5:$B336,$B337)&gt;0,MIN(1-'Exercise list'!W$2,IF($A337=$A336,BC336,1))-AH337&lt;0),-1,MIN(1,IF($A337=$A336,BC336,1)-AH337+$D$2))</f>
        <v>1</v>
      </c>
      <c r="BD337">
        <f>IF(OR($J337=1,COUNTIFS($A$5:$A336,"&gt;="&amp;$A337-1,$A$5:$A336,"&lt;="&amp;$A337,$B$5:$B336,$B337)&gt;0,MIN(1-'Exercise list'!X$2,IF($A337=$A336,BD336,1))-AI337&lt;0),-1,MIN(1,IF($A337=$A336,BD336,1)-AI337+$D$2))</f>
        <v>1</v>
      </c>
      <c r="BF337" s="16">
        <f t="shared" si="233"/>
        <v>0.19596031081758858</v>
      </c>
      <c r="BG337" s="16">
        <f t="shared" si="234"/>
        <v>0.21844636935459236</v>
      </c>
      <c r="BH337" s="16">
        <f t="shared" si="235"/>
        <v>0.14609696635987124</v>
      </c>
      <c r="BI337" s="16">
        <f t="shared" si="236"/>
        <v>0.13198015366034541</v>
      </c>
      <c r="BJ337" s="16">
        <f t="shared" si="237"/>
        <v>8.3367914198418713E-2</v>
      </c>
      <c r="BK337" s="16">
        <f t="shared" si="238"/>
        <v>0.10640640223148412</v>
      </c>
      <c r="BL337" s="16">
        <f t="shared" si="239"/>
        <v>0.21963504743569431</v>
      </c>
      <c r="BM337" s="16">
        <f t="shared" si="240"/>
        <v>3.8988008374820568E-3</v>
      </c>
      <c r="BN337" s="16">
        <f t="shared" si="241"/>
        <v>0.14537706087090876</v>
      </c>
      <c r="BO337" s="16">
        <f t="shared" si="242"/>
        <v>0.29209790661993401</v>
      </c>
      <c r="BP337" s="16">
        <f t="shared" si="243"/>
        <v>0.31584545163401867</v>
      </c>
      <c r="BQ337" s="16">
        <f t="shared" si="244"/>
        <v>0.1000007994126096</v>
      </c>
      <c r="BR337" s="16">
        <f t="shared" si="245"/>
        <v>0.13164487759885393</v>
      </c>
      <c r="BS337" s="16">
        <f t="shared" si="246"/>
        <v>2.9803550189863123E-2</v>
      </c>
      <c r="BT337" s="16">
        <f t="shared" si="247"/>
        <v>0.13492040904978705</v>
      </c>
      <c r="BU337" s="16">
        <f t="shared" si="248"/>
        <v>0.11703687414398131</v>
      </c>
      <c r="BV337" s="16">
        <f t="shared" si="249"/>
        <v>0.14633353213781661</v>
      </c>
      <c r="BW337" s="16">
        <f t="shared" si="250"/>
        <v>7.5588015111767173E-2</v>
      </c>
      <c r="BX337" s="16">
        <f t="shared" si="251"/>
        <v>8.0345659937185704E-2</v>
      </c>
      <c r="BY337" s="16">
        <f t="shared" si="252"/>
        <v>5.9014643151272549E-2</v>
      </c>
      <c r="CA337" s="16" t="str">
        <f t="shared" si="273"/>
        <v/>
      </c>
      <c r="CB337" s="16" t="str">
        <f t="shared" si="254"/>
        <v/>
      </c>
      <c r="CC337" s="16" t="str">
        <f t="shared" si="255"/>
        <v/>
      </c>
      <c r="CD337" s="16" t="str">
        <f t="shared" si="256"/>
        <v/>
      </c>
      <c r="CE337" s="16" t="str">
        <f t="shared" si="257"/>
        <v/>
      </c>
      <c r="CF337" s="16" t="str">
        <f t="shared" si="258"/>
        <v/>
      </c>
      <c r="CG337" s="16" t="str">
        <f t="shared" si="259"/>
        <v/>
      </c>
      <c r="CH337" s="16" t="str">
        <f t="shared" si="260"/>
        <v/>
      </c>
      <c r="CI337" s="16" t="str">
        <f t="shared" si="261"/>
        <v/>
      </c>
      <c r="CJ337" s="16" t="str">
        <f t="shared" si="262"/>
        <v/>
      </c>
      <c r="CK337" s="16" t="str">
        <f t="shared" si="263"/>
        <v/>
      </c>
      <c r="CL337" s="16" t="str">
        <f t="shared" si="264"/>
        <v/>
      </c>
      <c r="CM337" s="16" t="str">
        <f t="shared" si="265"/>
        <v/>
      </c>
      <c r="CN337" s="16" t="str">
        <f t="shared" si="266"/>
        <v/>
      </c>
      <c r="CO337" s="16" t="str">
        <f t="shared" si="267"/>
        <v/>
      </c>
      <c r="CP337" s="16" t="str">
        <f t="shared" si="268"/>
        <v/>
      </c>
      <c r="CQ337" s="16" t="str">
        <f t="shared" si="269"/>
        <v/>
      </c>
      <c r="CR337" s="16" t="str">
        <f t="shared" si="270"/>
        <v/>
      </c>
      <c r="CS337" s="16" t="str">
        <f t="shared" si="271"/>
        <v/>
      </c>
      <c r="CT337" s="16" t="str">
        <f t="shared" si="272"/>
        <v/>
      </c>
    </row>
    <row r="338" spans="1:99" x14ac:dyDescent="0.25">
      <c r="A338" s="20"/>
      <c r="B338" s="21"/>
      <c r="C338" s="22" t="str" cm="1">
        <f t="array" ref="C338">IF(B338="","",INDEX('Exercise list'!$C$5:$C$102,B338))</f>
        <v/>
      </c>
      <c r="D338" s="17" t="str">
        <f t="shared" si="230"/>
        <v/>
      </c>
      <c r="E338" s="108" t="str">
        <f t="shared" si="253"/>
        <v/>
      </c>
      <c r="F338" s="65" t="str" cm="1">
        <f t="array" ref="F338">IF(B338="","",0.1+IFERROR(INDEX($F$6:$F337,SUMPRODUCT(MAX(ROW($C$6:$C337)*($C338=$C$6:$C337))-ROW($A$5)))*0.9^($A338-INDEX($A$6:A337,SUMPRODUCT(MAX(ROW($C$6:$C337)*($C338=$C$6:$C337))-ROW($A$5)))),0))</f>
        <v/>
      </c>
      <c r="G338" s="25" t="e">
        <f>INDEX('Exercise list'!$Y$5:$Y$102,MATCH(C338,'Exercise list'!$C$5:$C$102,0))</f>
        <v>#N/A</v>
      </c>
      <c r="H338" s="116">
        <f t="shared" si="231"/>
        <v>0</v>
      </c>
      <c r="I338" s="18">
        <f t="shared" si="232"/>
        <v>5</v>
      </c>
      <c r="J338" s="18" t="str" cm="1">
        <f t="array" ref="J338">IF(B338="","",INDEX('Exercise list'!$D$5:$D$102,B338))</f>
        <v/>
      </c>
      <c r="K338" s="17"/>
      <c r="L338" s="51" t="str" cm="1">
        <f t="array" ref="L338">IF(K338="","",INDEX('Exercise list'!$C$5:$C$102,K338))</f>
        <v/>
      </c>
      <c r="M338" s="18"/>
      <c r="N338" s="76" t="str" cm="1">
        <f t="array" ref="N338">IF(M338="","",INDEX('Exercise list'!$C$5:$C$102,M338))</f>
        <v/>
      </c>
      <c r="O338" s="19"/>
      <c r="P338" s="19">
        <f>IFERROR(INDEX('Exercise list'!$E$5:$X$102,MATCH($C338,'Exercise list'!$C$5:$C$102,0),MATCH(P$5,'Exercise list'!$E$4:$X$4,0)),0)</f>
        <v>0</v>
      </c>
      <c r="Q338" s="19">
        <f>IFERROR(INDEX('Exercise list'!$E$5:$X$102,MATCH($C338,'Exercise list'!$C$5:$C$102,0),MATCH(Q$5,'Exercise list'!$E$4:$X$4,0)),0)</f>
        <v>0</v>
      </c>
      <c r="R338" s="19">
        <f>IFERROR(INDEX('Exercise list'!$E$5:$X$102,MATCH($C338,'Exercise list'!$C$5:$C$102,0),MATCH(R$5,'Exercise list'!$E$4:$X$4,0)),0)</f>
        <v>0</v>
      </c>
      <c r="S338" s="19">
        <f>IFERROR(INDEX('Exercise list'!$E$5:$X$102,MATCH($C338,'Exercise list'!$C$5:$C$102,0),MATCH(S$5,'Exercise list'!$E$4:$X$4,0)),0)</f>
        <v>0</v>
      </c>
      <c r="T338" s="19">
        <f>IFERROR(INDEX('Exercise list'!$E$5:$X$102,MATCH($C338,'Exercise list'!$C$5:$C$102,0),MATCH(T$5,'Exercise list'!$E$4:$X$4,0)),0)</f>
        <v>0</v>
      </c>
      <c r="U338" s="19">
        <f>IFERROR(INDEX('Exercise list'!$E$5:$X$102,MATCH($C338,'Exercise list'!$C$5:$C$102,0),MATCH(U$5,'Exercise list'!$E$4:$X$4,0)),0)</f>
        <v>0</v>
      </c>
      <c r="V338" s="19">
        <f>IFERROR(INDEX('Exercise list'!$E$5:$X$102,MATCH($C338,'Exercise list'!$C$5:$C$102,0),MATCH(V$5,'Exercise list'!$E$4:$X$4,0)),0)</f>
        <v>0</v>
      </c>
      <c r="W338" s="19">
        <f>IFERROR(INDEX('Exercise list'!$E$5:$X$102,MATCH($C338,'Exercise list'!$C$5:$C$102,0),MATCH(W$5,'Exercise list'!$E$4:$X$4,0)),0)</f>
        <v>0</v>
      </c>
      <c r="X338" s="19">
        <f>IFERROR(INDEX('Exercise list'!$E$5:$X$102,MATCH($C338,'Exercise list'!$C$5:$C$102,0),MATCH(X$5,'Exercise list'!$E$4:$X$4,0)),0)</f>
        <v>0</v>
      </c>
      <c r="Y338" s="19">
        <f>IFERROR(INDEX('Exercise list'!$E$5:$X$102,MATCH($C338,'Exercise list'!$C$5:$C$102,0),MATCH(Y$5,'Exercise list'!$E$4:$X$4,0)),0)</f>
        <v>0</v>
      </c>
      <c r="Z338" s="19">
        <f>IFERROR(INDEX('Exercise list'!$E$5:$X$102,MATCH($C338,'Exercise list'!$C$5:$C$102,0),MATCH(Z$5,'Exercise list'!$E$4:$X$4,0)),0)</f>
        <v>0</v>
      </c>
      <c r="AA338" s="19">
        <f>IFERROR(INDEX('Exercise list'!$E$5:$X$102,MATCH($C338,'Exercise list'!$C$5:$C$102,0),MATCH(AA$5,'Exercise list'!$E$4:$X$4,0)),0)</f>
        <v>0</v>
      </c>
      <c r="AB338" s="19">
        <f>IFERROR(INDEX('Exercise list'!$E$5:$X$102,MATCH($C338,'Exercise list'!$C$5:$C$102,0),MATCH(AB$5,'Exercise list'!$E$4:$X$4,0)),0)</f>
        <v>0</v>
      </c>
      <c r="AC338" s="19">
        <f>IFERROR(INDEX('Exercise list'!$E$5:$X$102,MATCH($C338,'Exercise list'!$C$5:$C$102,0),MATCH(AC$5,'Exercise list'!$E$4:$X$4,0)),0)</f>
        <v>0</v>
      </c>
      <c r="AD338" s="19">
        <f>IFERROR(INDEX('Exercise list'!$E$5:$X$102,MATCH($C338,'Exercise list'!$C$5:$C$102,0),MATCH(AD$5,'Exercise list'!$E$4:$X$4,0)),0)</f>
        <v>0</v>
      </c>
      <c r="AE338" s="19">
        <f>IFERROR(INDEX('Exercise list'!$E$5:$X$102,MATCH($C338,'Exercise list'!$C$5:$C$102,0),MATCH(AE$5,'Exercise list'!$E$4:$X$4,0)),0)</f>
        <v>0</v>
      </c>
      <c r="AF338" s="19">
        <f>IFERROR(INDEX('Exercise list'!$E$5:$X$102,MATCH($C338,'Exercise list'!$C$5:$C$102,0),MATCH(AF$5,'Exercise list'!$E$4:$X$4,0)),0)</f>
        <v>0</v>
      </c>
      <c r="AG338" s="19">
        <f>IFERROR(INDEX('Exercise list'!$E$5:$X$102,MATCH($C338,'Exercise list'!$C$5:$C$102,0),MATCH(AG$5,'Exercise list'!$E$4:$X$4,0)),0)</f>
        <v>0</v>
      </c>
      <c r="AH338" s="19">
        <f>IFERROR(INDEX('Exercise list'!$E$5:$X$102,MATCH($C338,'Exercise list'!$C$5:$C$102,0),MATCH(AH$5,'Exercise list'!$E$4:$X$4,0)),0)</f>
        <v>0</v>
      </c>
      <c r="AI338" s="19">
        <f>IFERROR(INDEX('Exercise list'!$E$5:$X$102,MATCH($C338,'Exercise list'!$C$5:$C$102,0),MATCH(AI$5,'Exercise list'!$E$4:$X$4,0)),0)</f>
        <v>0</v>
      </c>
      <c r="AJ338" s="19"/>
      <c r="AK338" s="19">
        <f>IF(OR($J338=1,COUNTIFS($A$5:$A337,"&gt;="&amp;$A338-1,$A$5:$A337,"&lt;="&amp;$A338,$B$5:$B337,$B338)&gt;0,MIN(1-'Exercise list'!E$2,IF($A338=$A337,AK337,1))-P338&lt;0),-1,MIN(1,IF($A338=$A337,AK337,1)-P338+$D$2))</f>
        <v>1</v>
      </c>
      <c r="AL338" s="19">
        <f>IF(OR($J338=1,COUNTIFS($A$5:$A337,"&gt;="&amp;$A338-1,$A$5:$A337,"&lt;="&amp;$A338,$B$5:$B337,$B338)&gt;0,MIN(1-'Exercise list'!F$2,IF($A338=$A337,AL337,1))-Q338&lt;0),-1,MIN(1,IF($A338=$A337,AL337,1)-Q338+$D$2))</f>
        <v>1</v>
      </c>
      <c r="AM338" s="19">
        <f>IF(OR($J338=1,COUNTIFS($A$5:$A337,"&gt;="&amp;$A338-1,$A$5:$A337,"&lt;="&amp;$A338,$B$5:$B337,$B338)&gt;0,MIN(1-'Exercise list'!G$2,IF($A338=$A337,AM337,1))-R338&lt;0),-1,MIN(1,IF($A338=$A337,AM337,1)-R338+$D$2))</f>
        <v>1</v>
      </c>
      <c r="AN338" s="19">
        <f>IF(OR($J338=1,COUNTIFS($A$5:$A337,"&gt;="&amp;$A338-1,$A$5:$A337,"&lt;="&amp;$A338,$B$5:$B337,$B338)&gt;0,MIN(1-'Exercise list'!H$2,IF($A338=$A337,AN337,1))-S338&lt;0),-1,MIN(1,IF($A338=$A337,AN337,1)-S338+$D$2))</f>
        <v>1</v>
      </c>
      <c r="AO338" s="19">
        <f>IF(OR($J338=1,COUNTIFS($A$5:$A337,"&gt;="&amp;$A338-1,$A$5:$A337,"&lt;="&amp;$A338,$B$5:$B337,$B338)&gt;0,MIN(1-'Exercise list'!I$2,IF($A338=$A337,AO337,1))-T338&lt;0),-1,MIN(1,IF($A338=$A337,AO337,1)-T338+$D$2))</f>
        <v>1</v>
      </c>
      <c r="AP338" s="19">
        <f>IF(OR($J338=1,COUNTIFS($A$5:$A337,"&gt;="&amp;$A338-1,$A$5:$A337,"&lt;="&amp;$A338,$B$5:$B337,$B338)&gt;0,MIN(1-'Exercise list'!J$2,IF($A338=$A337,AP337,1))-U338&lt;0),-1,MIN(1,IF($A338=$A337,AP337,1)-U338+$D$2))</f>
        <v>1</v>
      </c>
      <c r="AQ338" s="19">
        <f>IF(OR($J338=1,COUNTIFS($A$5:$A337,"&gt;="&amp;$A338-1,$A$5:$A337,"&lt;="&amp;$A338,$B$5:$B337,$B338)&gt;0,MIN(1-'Exercise list'!K$2,IF($A338=$A337,AQ337,1))-V338&lt;0),-1,MIN(1,IF($A338=$A337,AQ337,1)-V338+$D$2))</f>
        <v>1</v>
      </c>
      <c r="AR338" s="19">
        <f>IF(OR($J338=1,COUNTIFS($A$5:$A337,"&gt;="&amp;$A338-1,$A$5:$A337,"&lt;="&amp;$A338,$B$5:$B337,$B338)&gt;0,MIN(1-'Exercise list'!L$2,IF($A338=$A337,AR337,1))-W338&lt;0),-1,MIN(1,IF($A338=$A337,AR337,1)-W338+$D$2))</f>
        <v>1</v>
      </c>
      <c r="AS338" s="19">
        <f>IF(OR($J338=1,COUNTIFS($A$5:$A337,"&gt;="&amp;$A338-1,$A$5:$A337,"&lt;="&amp;$A338,$B$5:$B337,$B338)&gt;0,MIN(1-'Exercise list'!M$2,IF($A338=$A337,AS337,1))-X338&lt;0),-1,MIN(1,IF($A338=$A337,AS337,1)-X338+$D$2))</f>
        <v>1</v>
      </c>
      <c r="AT338" s="19">
        <f>IF(OR($J338=1,COUNTIFS($A$5:$A337,"&gt;="&amp;$A338-1,$A$5:$A337,"&lt;="&amp;$A338,$B$5:$B337,$B338)&gt;0,MIN(1-'Exercise list'!N$2,IF($A338=$A337,AT337,1))-Y338&lt;0),-1,MIN(1,IF($A338=$A337,AT337,1)-Y338+$D$2))</f>
        <v>1</v>
      </c>
      <c r="AU338" s="19">
        <f>IF(OR($J338=1,COUNTIFS($A$5:$A337,"&gt;="&amp;$A338-1,$A$5:$A337,"&lt;="&amp;$A338,$B$5:$B337,$B338)&gt;0,MIN(1-'Exercise list'!O$2,IF($A338=$A337,AU337,1))-Z338&lt;0),-1,MIN(1,IF($A338=$A337,AU337,1)-Z338+$D$2))</f>
        <v>1</v>
      </c>
      <c r="AV338" s="19">
        <f>IF(OR($J338=1,COUNTIFS($A$5:$A337,"&gt;="&amp;$A338-1,$A$5:$A337,"&lt;="&amp;$A338,$B$5:$B337,$B338)&gt;0,MIN(1-'Exercise list'!P$2,IF($A338=$A337,AV337,1))-AA338&lt;0),-1,MIN(1,IF($A338=$A337,AV337,1)-AA338+$D$2))</f>
        <v>1</v>
      </c>
      <c r="AW338" s="19">
        <f>IF(OR($J338=1,COUNTIFS($A$5:$A337,"&gt;="&amp;$A338-1,$A$5:$A337,"&lt;="&amp;$A338,$B$5:$B337,$B338)&gt;0,MIN(1-'Exercise list'!Q$2,IF($A338=$A337,AW337,1))-AB338&lt;0),-1,MIN(1,IF($A338=$A337,AW337,1)-AB338+$D$2))</f>
        <v>1</v>
      </c>
      <c r="AX338" s="19">
        <f>IF(OR($J338=1,COUNTIFS($A$5:$A337,"&gt;="&amp;$A338-1,$A$5:$A337,"&lt;="&amp;$A338,$B$5:$B337,$B338)&gt;0,MIN(1-'Exercise list'!R$2,IF($A338=$A337,AX337,1))-AC338&lt;0),-1,MIN(1,IF($A338=$A337,AX337,1)-AC338+$D$2))</f>
        <v>1</v>
      </c>
      <c r="AY338" s="19">
        <f>IF(OR($J338=1,COUNTIFS($A$5:$A337,"&gt;="&amp;$A338-1,$A$5:$A337,"&lt;="&amp;$A338,$B$5:$B337,$B338)&gt;0,MIN(1-'Exercise list'!S$2,IF($A338=$A337,AY337,1))-AD338&lt;0),-1,MIN(1,IF($A338=$A337,AY337,1)-AD338+$D$2))</f>
        <v>1</v>
      </c>
      <c r="AZ338" s="19">
        <f>IF(OR($J338=1,COUNTIFS($A$5:$A337,"&gt;="&amp;$A338-1,$A$5:$A337,"&lt;="&amp;$A338,$B$5:$B337,$B338)&gt;0,MIN(1-'Exercise list'!T$2,IF($A338=$A337,AZ337,1))-AE338&lt;0),-1,MIN(1,IF($A338=$A337,AZ337,1)-AE338+$D$2))</f>
        <v>1</v>
      </c>
      <c r="BA338" s="19">
        <f>IF(OR($J338=1,COUNTIFS($A$5:$A337,"&gt;="&amp;$A338-1,$A$5:$A337,"&lt;="&amp;$A338,$B$5:$B337,$B338)&gt;0,MIN(1-'Exercise list'!U$2,IF($A338=$A337,BA337,1))-AF338&lt;0),-1,MIN(1,IF($A338=$A337,BA337,1)-AF338+$D$2))</f>
        <v>1</v>
      </c>
      <c r="BB338" s="19">
        <f>IF(OR($J338=1,COUNTIFS($A$5:$A337,"&gt;="&amp;$A338-1,$A$5:$A337,"&lt;="&amp;$A338,$B$5:$B337,$B338)&gt;0,MIN(1-'Exercise list'!V$2,IF($A338=$A337,BB337,1))-AG338&lt;0),-1,MIN(1,IF($A338=$A337,BB337,1)-AG338+$D$2))</f>
        <v>1</v>
      </c>
      <c r="BC338" s="19">
        <f>IF(OR($J338=1,COUNTIFS($A$5:$A337,"&gt;="&amp;$A338-1,$A$5:$A337,"&lt;="&amp;$A338,$B$5:$B337,$B338)&gt;0,MIN(1-'Exercise list'!W$2,IF($A338=$A337,BC337,1))-AH338&lt;0),-1,MIN(1,IF($A338=$A337,BC337,1)-AH338+$D$2))</f>
        <v>1</v>
      </c>
      <c r="BD338" s="19">
        <f>IF(OR($J338=1,COUNTIFS($A$5:$A337,"&gt;="&amp;$A338-1,$A$5:$A337,"&lt;="&amp;$A338,$B$5:$B337,$B338)&gt;0,MIN(1-'Exercise list'!X$2,IF($A338=$A337,BD337,1))-AI338&lt;0),-1,MIN(1,IF($A338=$A337,BD337,1)-AI338+$D$2))</f>
        <v>1</v>
      </c>
      <c r="BE338" s="19"/>
      <c r="BF338" s="23">
        <f t="shared" si="233"/>
        <v>0.19596031081758858</v>
      </c>
      <c r="BG338" s="23">
        <f t="shared" si="234"/>
        <v>0.21844636935459236</v>
      </c>
      <c r="BH338" s="23">
        <f t="shared" si="235"/>
        <v>0.14609696635987124</v>
      </c>
      <c r="BI338" s="23">
        <f t="shared" si="236"/>
        <v>0.13198015366034541</v>
      </c>
      <c r="BJ338" s="23">
        <f t="shared" si="237"/>
        <v>8.3367914198418713E-2</v>
      </c>
      <c r="BK338" s="23">
        <f t="shared" si="238"/>
        <v>0.10640640223148412</v>
      </c>
      <c r="BL338" s="23">
        <f t="shared" si="239"/>
        <v>0.21963504743569431</v>
      </c>
      <c r="BM338" s="23">
        <f t="shared" si="240"/>
        <v>3.8988008374820568E-3</v>
      </c>
      <c r="BN338" s="23">
        <f t="shared" si="241"/>
        <v>0.14537706087090876</v>
      </c>
      <c r="BO338" s="23">
        <f t="shared" si="242"/>
        <v>0.29209790661993401</v>
      </c>
      <c r="BP338" s="23">
        <f t="shared" si="243"/>
        <v>0.31584545163401867</v>
      </c>
      <c r="BQ338" s="23">
        <f t="shared" si="244"/>
        <v>0.1000007994126096</v>
      </c>
      <c r="BR338" s="23">
        <f t="shared" si="245"/>
        <v>0.13164487759885393</v>
      </c>
      <c r="BS338" s="23">
        <f t="shared" si="246"/>
        <v>2.9803550189863123E-2</v>
      </c>
      <c r="BT338" s="23">
        <f t="shared" si="247"/>
        <v>0.13492040904978705</v>
      </c>
      <c r="BU338" s="23">
        <f t="shared" si="248"/>
        <v>0.11703687414398131</v>
      </c>
      <c r="BV338" s="23">
        <f t="shared" si="249"/>
        <v>0.14633353213781661</v>
      </c>
      <c r="BW338" s="23">
        <f t="shared" si="250"/>
        <v>7.5588015111767173E-2</v>
      </c>
      <c r="BX338" s="23">
        <f t="shared" si="251"/>
        <v>8.0345659937185704E-2</v>
      </c>
      <c r="BY338" s="23">
        <f t="shared" si="252"/>
        <v>5.9014643151272549E-2</v>
      </c>
      <c r="BZ338" s="19"/>
      <c r="CA338" s="23" t="str">
        <f t="shared" si="273"/>
        <v/>
      </c>
      <c r="CB338" s="23" t="str">
        <f t="shared" si="254"/>
        <v/>
      </c>
      <c r="CC338" s="23" t="str">
        <f t="shared" si="255"/>
        <v/>
      </c>
      <c r="CD338" s="23" t="str">
        <f t="shared" si="256"/>
        <v/>
      </c>
      <c r="CE338" s="23" t="str">
        <f t="shared" si="257"/>
        <v/>
      </c>
      <c r="CF338" s="23" t="str">
        <f t="shared" si="258"/>
        <v/>
      </c>
      <c r="CG338" s="23" t="str">
        <f t="shared" si="259"/>
        <v/>
      </c>
      <c r="CH338" s="23" t="str">
        <f t="shared" si="260"/>
        <v/>
      </c>
      <c r="CI338" s="23" t="str">
        <f t="shared" si="261"/>
        <v/>
      </c>
      <c r="CJ338" s="23" t="str">
        <f t="shared" si="262"/>
        <v/>
      </c>
      <c r="CK338" s="23" t="str">
        <f t="shared" si="263"/>
        <v/>
      </c>
      <c r="CL338" s="23" t="str">
        <f t="shared" si="264"/>
        <v/>
      </c>
      <c r="CM338" s="23" t="str">
        <f t="shared" si="265"/>
        <v/>
      </c>
      <c r="CN338" s="23" t="str">
        <f t="shared" si="266"/>
        <v/>
      </c>
      <c r="CO338" s="23" t="str">
        <f t="shared" si="267"/>
        <v/>
      </c>
      <c r="CP338" s="23" t="str">
        <f t="shared" si="268"/>
        <v/>
      </c>
      <c r="CQ338" s="23" t="str">
        <f t="shared" si="269"/>
        <v/>
      </c>
      <c r="CR338" s="23" t="str">
        <f t="shared" si="270"/>
        <v/>
      </c>
      <c r="CS338" s="23" t="str">
        <f t="shared" si="271"/>
        <v/>
      </c>
      <c r="CT338" s="23" t="str">
        <f t="shared" si="272"/>
        <v/>
      </c>
      <c r="CU338" s="19"/>
    </row>
    <row r="339" spans="1:99" x14ac:dyDescent="0.25">
      <c r="A339" s="13"/>
      <c r="B339" s="14"/>
      <c r="C339" s="15" t="str" cm="1">
        <f t="array" ref="C339">IF(B339="","",INDEX('Exercise list'!$C$5:$C$102,B339))</f>
        <v/>
      </c>
      <c r="D339" s="12" t="str">
        <f t="shared" si="230"/>
        <v/>
      </c>
      <c r="E339" s="107" t="str">
        <f t="shared" si="253"/>
        <v/>
      </c>
      <c r="F339" s="63" t="str" cm="1">
        <f t="array" ref="F339">IF(B339="","",0.1+IFERROR(INDEX($F$6:$F338,SUMPRODUCT(MAX(ROW($C$6:$C338)*($C339=$C$6:$C338))-ROW($A$5)))*0.9^($A339-INDEX($A$6:A338,SUMPRODUCT(MAX(ROW($C$6:$C338)*($C339=$C$6:$C338))-ROW($A$5)))),0))</f>
        <v/>
      </c>
      <c r="G339" s="64" t="e">
        <f>INDEX('Exercise list'!$Y$5:$Y$102,MATCH(C339,'Exercise list'!$C$5:$C$102,0))</f>
        <v>#N/A</v>
      </c>
      <c r="H339" s="115">
        <f t="shared" si="231"/>
        <v>0</v>
      </c>
      <c r="I339" s="42">
        <f t="shared" si="232"/>
        <v>5</v>
      </c>
      <c r="J339" s="6" t="str" cm="1">
        <f t="array" ref="J339">IF(B339="","",INDEX('Exercise list'!$D$5:$D$102,B339))</f>
        <v/>
      </c>
      <c r="K339" s="12"/>
      <c r="L339" s="74" t="str" cm="1">
        <f t="array" ref="L339">IF(K339="","",INDEX('Exercise list'!$C$5:$C$102,K339))</f>
        <v/>
      </c>
      <c r="M339" s="6"/>
      <c r="N339" s="75" t="str" cm="1">
        <f t="array" ref="N339">IF(M339="","",INDEX('Exercise list'!$C$5:$C$102,M339))</f>
        <v/>
      </c>
      <c r="P339">
        <f>IFERROR(INDEX('Exercise list'!$E$5:$X$102,MATCH($C339,'Exercise list'!$C$5:$C$102,0),MATCH(P$5,'Exercise list'!$E$4:$X$4,0)),0)</f>
        <v>0</v>
      </c>
      <c r="Q339">
        <f>IFERROR(INDEX('Exercise list'!$E$5:$X$102,MATCH($C339,'Exercise list'!$C$5:$C$102,0),MATCH(Q$5,'Exercise list'!$E$4:$X$4,0)),0)</f>
        <v>0</v>
      </c>
      <c r="R339">
        <f>IFERROR(INDEX('Exercise list'!$E$5:$X$102,MATCH($C339,'Exercise list'!$C$5:$C$102,0),MATCH(R$5,'Exercise list'!$E$4:$X$4,0)),0)</f>
        <v>0</v>
      </c>
      <c r="S339">
        <f>IFERROR(INDEX('Exercise list'!$E$5:$X$102,MATCH($C339,'Exercise list'!$C$5:$C$102,0),MATCH(S$5,'Exercise list'!$E$4:$X$4,0)),0)</f>
        <v>0</v>
      </c>
      <c r="T339">
        <f>IFERROR(INDEX('Exercise list'!$E$5:$X$102,MATCH($C339,'Exercise list'!$C$5:$C$102,0),MATCH(T$5,'Exercise list'!$E$4:$X$4,0)),0)</f>
        <v>0</v>
      </c>
      <c r="U339">
        <f>IFERROR(INDEX('Exercise list'!$E$5:$X$102,MATCH($C339,'Exercise list'!$C$5:$C$102,0),MATCH(U$5,'Exercise list'!$E$4:$X$4,0)),0)</f>
        <v>0</v>
      </c>
      <c r="V339">
        <f>IFERROR(INDEX('Exercise list'!$E$5:$X$102,MATCH($C339,'Exercise list'!$C$5:$C$102,0),MATCH(V$5,'Exercise list'!$E$4:$X$4,0)),0)</f>
        <v>0</v>
      </c>
      <c r="W339">
        <f>IFERROR(INDEX('Exercise list'!$E$5:$X$102,MATCH($C339,'Exercise list'!$C$5:$C$102,0),MATCH(W$5,'Exercise list'!$E$4:$X$4,0)),0)</f>
        <v>0</v>
      </c>
      <c r="X339">
        <f>IFERROR(INDEX('Exercise list'!$E$5:$X$102,MATCH($C339,'Exercise list'!$C$5:$C$102,0),MATCH(X$5,'Exercise list'!$E$4:$X$4,0)),0)</f>
        <v>0</v>
      </c>
      <c r="Y339">
        <f>IFERROR(INDEX('Exercise list'!$E$5:$X$102,MATCH($C339,'Exercise list'!$C$5:$C$102,0),MATCH(Y$5,'Exercise list'!$E$4:$X$4,0)),0)</f>
        <v>0</v>
      </c>
      <c r="Z339">
        <f>IFERROR(INDEX('Exercise list'!$E$5:$X$102,MATCH($C339,'Exercise list'!$C$5:$C$102,0),MATCH(Z$5,'Exercise list'!$E$4:$X$4,0)),0)</f>
        <v>0</v>
      </c>
      <c r="AA339">
        <f>IFERROR(INDEX('Exercise list'!$E$5:$X$102,MATCH($C339,'Exercise list'!$C$5:$C$102,0),MATCH(AA$5,'Exercise list'!$E$4:$X$4,0)),0)</f>
        <v>0</v>
      </c>
      <c r="AB339">
        <f>IFERROR(INDEX('Exercise list'!$E$5:$X$102,MATCH($C339,'Exercise list'!$C$5:$C$102,0),MATCH(AB$5,'Exercise list'!$E$4:$X$4,0)),0)</f>
        <v>0</v>
      </c>
      <c r="AC339">
        <f>IFERROR(INDEX('Exercise list'!$E$5:$X$102,MATCH($C339,'Exercise list'!$C$5:$C$102,0),MATCH(AC$5,'Exercise list'!$E$4:$X$4,0)),0)</f>
        <v>0</v>
      </c>
      <c r="AD339">
        <f>IFERROR(INDEX('Exercise list'!$E$5:$X$102,MATCH($C339,'Exercise list'!$C$5:$C$102,0),MATCH(AD$5,'Exercise list'!$E$4:$X$4,0)),0)</f>
        <v>0</v>
      </c>
      <c r="AE339">
        <f>IFERROR(INDEX('Exercise list'!$E$5:$X$102,MATCH($C339,'Exercise list'!$C$5:$C$102,0),MATCH(AE$5,'Exercise list'!$E$4:$X$4,0)),0)</f>
        <v>0</v>
      </c>
      <c r="AF339">
        <f>IFERROR(INDEX('Exercise list'!$E$5:$X$102,MATCH($C339,'Exercise list'!$C$5:$C$102,0),MATCH(AF$5,'Exercise list'!$E$4:$X$4,0)),0)</f>
        <v>0</v>
      </c>
      <c r="AG339">
        <f>IFERROR(INDEX('Exercise list'!$E$5:$X$102,MATCH($C339,'Exercise list'!$C$5:$C$102,0),MATCH(AG$5,'Exercise list'!$E$4:$X$4,0)),0)</f>
        <v>0</v>
      </c>
      <c r="AH339">
        <f>IFERROR(INDEX('Exercise list'!$E$5:$X$102,MATCH($C339,'Exercise list'!$C$5:$C$102,0),MATCH(AH$5,'Exercise list'!$E$4:$X$4,0)),0)</f>
        <v>0</v>
      </c>
      <c r="AI339">
        <f>IFERROR(INDEX('Exercise list'!$E$5:$X$102,MATCH($C339,'Exercise list'!$C$5:$C$102,0),MATCH(AI$5,'Exercise list'!$E$4:$X$4,0)),0)</f>
        <v>0</v>
      </c>
      <c r="AK339">
        <f>IF(OR($J339=1,COUNTIFS($A$5:$A338,"&gt;="&amp;$A339-1,$A$5:$A338,"&lt;="&amp;$A339,$B$5:$B338,$B339)&gt;0,MIN(1-'Exercise list'!E$2,IF($A339=$A338,AK338,1))-P339&lt;0),-1,MIN(1,IF($A339=$A338,AK338,1)-P339+$D$2))</f>
        <v>1</v>
      </c>
      <c r="AL339">
        <f>IF(OR($J339=1,COUNTIFS($A$5:$A338,"&gt;="&amp;$A339-1,$A$5:$A338,"&lt;="&amp;$A339,$B$5:$B338,$B339)&gt;0,MIN(1-'Exercise list'!F$2,IF($A339=$A338,AL338,1))-Q339&lt;0),-1,MIN(1,IF($A339=$A338,AL338,1)-Q339+$D$2))</f>
        <v>1</v>
      </c>
      <c r="AM339">
        <f>IF(OR($J339=1,COUNTIFS($A$5:$A338,"&gt;="&amp;$A339-1,$A$5:$A338,"&lt;="&amp;$A339,$B$5:$B338,$B339)&gt;0,MIN(1-'Exercise list'!G$2,IF($A339=$A338,AM338,1))-R339&lt;0),-1,MIN(1,IF($A339=$A338,AM338,1)-R339+$D$2))</f>
        <v>1</v>
      </c>
      <c r="AN339">
        <f>IF(OR($J339=1,COUNTIFS($A$5:$A338,"&gt;="&amp;$A339-1,$A$5:$A338,"&lt;="&amp;$A339,$B$5:$B338,$B339)&gt;0,MIN(1-'Exercise list'!H$2,IF($A339=$A338,AN338,1))-S339&lt;0),-1,MIN(1,IF($A339=$A338,AN338,1)-S339+$D$2))</f>
        <v>1</v>
      </c>
      <c r="AO339">
        <f>IF(OR($J339=1,COUNTIFS($A$5:$A338,"&gt;="&amp;$A339-1,$A$5:$A338,"&lt;="&amp;$A339,$B$5:$B338,$B339)&gt;0,MIN(1-'Exercise list'!I$2,IF($A339=$A338,AO338,1))-T339&lt;0),-1,MIN(1,IF($A339=$A338,AO338,1)-T339+$D$2))</f>
        <v>1</v>
      </c>
      <c r="AP339">
        <f>IF(OR($J339=1,COUNTIFS($A$5:$A338,"&gt;="&amp;$A339-1,$A$5:$A338,"&lt;="&amp;$A339,$B$5:$B338,$B339)&gt;0,MIN(1-'Exercise list'!J$2,IF($A339=$A338,AP338,1))-U339&lt;0),-1,MIN(1,IF($A339=$A338,AP338,1)-U339+$D$2))</f>
        <v>1</v>
      </c>
      <c r="AQ339">
        <f>IF(OR($J339=1,COUNTIFS($A$5:$A338,"&gt;="&amp;$A339-1,$A$5:$A338,"&lt;="&amp;$A339,$B$5:$B338,$B339)&gt;0,MIN(1-'Exercise list'!K$2,IF($A339=$A338,AQ338,1))-V339&lt;0),-1,MIN(1,IF($A339=$A338,AQ338,1)-V339+$D$2))</f>
        <v>1</v>
      </c>
      <c r="AR339">
        <f>IF(OR($J339=1,COUNTIFS($A$5:$A338,"&gt;="&amp;$A339-1,$A$5:$A338,"&lt;="&amp;$A339,$B$5:$B338,$B339)&gt;0,MIN(1-'Exercise list'!L$2,IF($A339=$A338,AR338,1))-W339&lt;0),-1,MIN(1,IF($A339=$A338,AR338,1)-W339+$D$2))</f>
        <v>1</v>
      </c>
      <c r="AS339">
        <f>IF(OR($J339=1,COUNTIFS($A$5:$A338,"&gt;="&amp;$A339-1,$A$5:$A338,"&lt;="&amp;$A339,$B$5:$B338,$B339)&gt;0,MIN(1-'Exercise list'!M$2,IF($A339=$A338,AS338,1))-X339&lt;0),-1,MIN(1,IF($A339=$A338,AS338,1)-X339+$D$2))</f>
        <v>1</v>
      </c>
      <c r="AT339">
        <f>IF(OR($J339=1,COUNTIFS($A$5:$A338,"&gt;="&amp;$A339-1,$A$5:$A338,"&lt;="&amp;$A339,$B$5:$B338,$B339)&gt;0,MIN(1-'Exercise list'!N$2,IF($A339=$A338,AT338,1))-Y339&lt;0),-1,MIN(1,IF($A339=$A338,AT338,1)-Y339+$D$2))</f>
        <v>1</v>
      </c>
      <c r="AU339">
        <f>IF(OR($J339=1,COUNTIFS($A$5:$A338,"&gt;="&amp;$A339-1,$A$5:$A338,"&lt;="&amp;$A339,$B$5:$B338,$B339)&gt;0,MIN(1-'Exercise list'!O$2,IF($A339=$A338,AU338,1))-Z339&lt;0),-1,MIN(1,IF($A339=$A338,AU338,1)-Z339+$D$2))</f>
        <v>1</v>
      </c>
      <c r="AV339">
        <f>IF(OR($J339=1,COUNTIFS($A$5:$A338,"&gt;="&amp;$A339-1,$A$5:$A338,"&lt;="&amp;$A339,$B$5:$B338,$B339)&gt;0,MIN(1-'Exercise list'!P$2,IF($A339=$A338,AV338,1))-AA339&lt;0),-1,MIN(1,IF($A339=$A338,AV338,1)-AA339+$D$2))</f>
        <v>1</v>
      </c>
      <c r="AW339">
        <f>IF(OR($J339=1,COUNTIFS($A$5:$A338,"&gt;="&amp;$A339-1,$A$5:$A338,"&lt;="&amp;$A339,$B$5:$B338,$B339)&gt;0,MIN(1-'Exercise list'!Q$2,IF($A339=$A338,AW338,1))-AB339&lt;0),-1,MIN(1,IF($A339=$A338,AW338,1)-AB339+$D$2))</f>
        <v>1</v>
      </c>
      <c r="AX339">
        <f>IF(OR($J339=1,COUNTIFS($A$5:$A338,"&gt;="&amp;$A339-1,$A$5:$A338,"&lt;="&amp;$A339,$B$5:$B338,$B339)&gt;0,MIN(1-'Exercise list'!R$2,IF($A339=$A338,AX338,1))-AC339&lt;0),-1,MIN(1,IF($A339=$A338,AX338,1)-AC339+$D$2))</f>
        <v>1</v>
      </c>
      <c r="AY339">
        <f>IF(OR($J339=1,COUNTIFS($A$5:$A338,"&gt;="&amp;$A339-1,$A$5:$A338,"&lt;="&amp;$A339,$B$5:$B338,$B339)&gt;0,MIN(1-'Exercise list'!S$2,IF($A339=$A338,AY338,1))-AD339&lt;0),-1,MIN(1,IF($A339=$A338,AY338,1)-AD339+$D$2))</f>
        <v>1</v>
      </c>
      <c r="AZ339">
        <f>IF(OR($J339=1,COUNTIFS($A$5:$A338,"&gt;="&amp;$A339-1,$A$5:$A338,"&lt;="&amp;$A339,$B$5:$B338,$B339)&gt;0,MIN(1-'Exercise list'!T$2,IF($A339=$A338,AZ338,1))-AE339&lt;0),-1,MIN(1,IF($A339=$A338,AZ338,1)-AE339+$D$2))</f>
        <v>1</v>
      </c>
      <c r="BA339">
        <f>IF(OR($J339=1,COUNTIFS($A$5:$A338,"&gt;="&amp;$A339-1,$A$5:$A338,"&lt;="&amp;$A339,$B$5:$B338,$B339)&gt;0,MIN(1-'Exercise list'!U$2,IF($A339=$A338,BA338,1))-AF339&lt;0),-1,MIN(1,IF($A339=$A338,BA338,1)-AF339+$D$2))</f>
        <v>1</v>
      </c>
      <c r="BB339">
        <f>IF(OR($J339=1,COUNTIFS($A$5:$A338,"&gt;="&amp;$A339-1,$A$5:$A338,"&lt;="&amp;$A339,$B$5:$B338,$B339)&gt;0,MIN(1-'Exercise list'!V$2,IF($A339=$A338,BB338,1))-AG339&lt;0),-1,MIN(1,IF($A339=$A338,BB338,1)-AG339+$D$2))</f>
        <v>1</v>
      </c>
      <c r="BC339">
        <f>IF(OR($J339=1,COUNTIFS($A$5:$A338,"&gt;="&amp;$A339-1,$A$5:$A338,"&lt;="&amp;$A339,$B$5:$B338,$B339)&gt;0,MIN(1-'Exercise list'!W$2,IF($A339=$A338,BC338,1))-AH339&lt;0),-1,MIN(1,IF($A339=$A338,BC338,1)-AH339+$D$2))</f>
        <v>1</v>
      </c>
      <c r="BD339">
        <f>IF(OR($J339=1,COUNTIFS($A$5:$A338,"&gt;="&amp;$A339-1,$A$5:$A338,"&lt;="&amp;$A339,$B$5:$B338,$B339)&gt;0,MIN(1-'Exercise list'!X$2,IF($A339=$A338,BD338,1))-AI339&lt;0),-1,MIN(1,IF($A339=$A338,BD338,1)-AI339+$D$2))</f>
        <v>1</v>
      </c>
      <c r="BF339" s="16">
        <f t="shared" si="233"/>
        <v>0.19596031081758858</v>
      </c>
      <c r="BG339" s="16">
        <f t="shared" si="234"/>
        <v>0.21844636935459236</v>
      </c>
      <c r="BH339" s="16">
        <f t="shared" si="235"/>
        <v>0.14609696635987124</v>
      </c>
      <c r="BI339" s="16">
        <f t="shared" si="236"/>
        <v>0.13198015366034541</v>
      </c>
      <c r="BJ339" s="16">
        <f t="shared" si="237"/>
        <v>8.3367914198418713E-2</v>
      </c>
      <c r="BK339" s="16">
        <f t="shared" si="238"/>
        <v>0.10640640223148412</v>
      </c>
      <c r="BL339" s="16">
        <f t="shared" si="239"/>
        <v>0.21963504743569431</v>
      </c>
      <c r="BM339" s="16">
        <f t="shared" si="240"/>
        <v>3.8988008374820568E-3</v>
      </c>
      <c r="BN339" s="16">
        <f t="shared" si="241"/>
        <v>0.14537706087090876</v>
      </c>
      <c r="BO339" s="16">
        <f t="shared" si="242"/>
        <v>0.29209790661993401</v>
      </c>
      <c r="BP339" s="16">
        <f t="shared" si="243"/>
        <v>0.31584545163401867</v>
      </c>
      <c r="BQ339" s="16">
        <f t="shared" si="244"/>
        <v>0.1000007994126096</v>
      </c>
      <c r="BR339" s="16">
        <f t="shared" si="245"/>
        <v>0.13164487759885393</v>
      </c>
      <c r="BS339" s="16">
        <f t="shared" si="246"/>
        <v>2.9803550189863123E-2</v>
      </c>
      <c r="BT339" s="16">
        <f t="shared" si="247"/>
        <v>0.13492040904978705</v>
      </c>
      <c r="BU339" s="16">
        <f t="shared" si="248"/>
        <v>0.11703687414398131</v>
      </c>
      <c r="BV339" s="16">
        <f t="shared" si="249"/>
        <v>0.14633353213781661</v>
      </c>
      <c r="BW339" s="16">
        <f t="shared" si="250"/>
        <v>7.5588015111767173E-2</v>
      </c>
      <c r="BX339" s="16">
        <f t="shared" si="251"/>
        <v>8.0345659937185704E-2</v>
      </c>
      <c r="BY339" s="16">
        <f t="shared" si="252"/>
        <v>5.9014643151272549E-2</v>
      </c>
      <c r="CA339" s="16" t="str">
        <f t="shared" si="273"/>
        <v/>
      </c>
      <c r="CB339" s="16" t="str">
        <f t="shared" si="254"/>
        <v/>
      </c>
      <c r="CC339" s="16" t="str">
        <f t="shared" si="255"/>
        <v/>
      </c>
      <c r="CD339" s="16" t="str">
        <f t="shared" si="256"/>
        <v/>
      </c>
      <c r="CE339" s="16" t="str">
        <f t="shared" si="257"/>
        <v/>
      </c>
      <c r="CF339" s="16" t="str">
        <f t="shared" si="258"/>
        <v/>
      </c>
      <c r="CG339" s="16" t="str">
        <f t="shared" si="259"/>
        <v/>
      </c>
      <c r="CH339" s="16" t="str">
        <f t="shared" si="260"/>
        <v/>
      </c>
      <c r="CI339" s="16" t="str">
        <f t="shared" si="261"/>
        <v/>
      </c>
      <c r="CJ339" s="16" t="str">
        <f t="shared" si="262"/>
        <v/>
      </c>
      <c r="CK339" s="16" t="str">
        <f t="shared" si="263"/>
        <v/>
      </c>
      <c r="CL339" s="16" t="str">
        <f t="shared" si="264"/>
        <v/>
      </c>
      <c r="CM339" s="16" t="str">
        <f t="shared" si="265"/>
        <v/>
      </c>
      <c r="CN339" s="16" t="str">
        <f t="shared" si="266"/>
        <v/>
      </c>
      <c r="CO339" s="16" t="str">
        <f t="shared" si="267"/>
        <v/>
      </c>
      <c r="CP339" s="16" t="str">
        <f t="shared" si="268"/>
        <v/>
      </c>
      <c r="CQ339" s="16" t="str">
        <f t="shared" si="269"/>
        <v/>
      </c>
      <c r="CR339" s="16" t="str">
        <f t="shared" si="270"/>
        <v/>
      </c>
      <c r="CS339" s="16" t="str">
        <f t="shared" si="271"/>
        <v/>
      </c>
      <c r="CT339" s="16" t="str">
        <f t="shared" si="272"/>
        <v/>
      </c>
    </row>
    <row r="340" spans="1:99" x14ac:dyDescent="0.25">
      <c r="A340" s="13"/>
      <c r="B340" s="14"/>
      <c r="C340" s="15" t="str" cm="1">
        <f t="array" ref="C340">IF(B340="","",INDEX('Exercise list'!$C$5:$C$102,B340))</f>
        <v/>
      </c>
      <c r="D340" s="12" t="str">
        <f t="shared" si="230"/>
        <v/>
      </c>
      <c r="E340" s="107" t="str">
        <f t="shared" si="253"/>
        <v/>
      </c>
      <c r="F340" s="63" t="str" cm="1">
        <f t="array" ref="F340">IF(B340="","",0.1+IFERROR(INDEX($F$6:$F339,SUMPRODUCT(MAX(ROW($C$6:$C339)*($C340=$C$6:$C339))-ROW($A$5)))*0.9^($A340-INDEX($A$6:A339,SUMPRODUCT(MAX(ROW($C$6:$C339)*($C340=$C$6:$C339))-ROW($A$5)))),0))</f>
        <v/>
      </c>
      <c r="G340" s="64" t="e">
        <f>INDEX('Exercise list'!$Y$5:$Y$102,MATCH(C340,'Exercise list'!$C$5:$C$102,0))</f>
        <v>#N/A</v>
      </c>
      <c r="H340" s="115">
        <f t="shared" si="231"/>
        <v>0</v>
      </c>
      <c r="I340" s="6">
        <f t="shared" si="232"/>
        <v>5</v>
      </c>
      <c r="J340" s="6" t="str" cm="1">
        <f t="array" ref="J340">IF(B340="","",INDEX('Exercise list'!$D$5:$D$102,B340))</f>
        <v/>
      </c>
      <c r="K340" s="12"/>
      <c r="L340" s="74" t="str" cm="1">
        <f t="array" ref="L340">IF(K340="","",INDEX('Exercise list'!$C$5:$C$102,K340))</f>
        <v/>
      </c>
      <c r="M340" s="6"/>
      <c r="N340" s="75" t="str" cm="1">
        <f t="array" ref="N340">IF(M340="","",INDEX('Exercise list'!$C$5:$C$102,M340))</f>
        <v/>
      </c>
      <c r="P340">
        <f>IFERROR(INDEX('Exercise list'!$E$5:$X$102,MATCH($C340,'Exercise list'!$C$5:$C$102,0),MATCH(P$5,'Exercise list'!$E$4:$X$4,0)),0)</f>
        <v>0</v>
      </c>
      <c r="Q340">
        <f>IFERROR(INDEX('Exercise list'!$E$5:$X$102,MATCH($C340,'Exercise list'!$C$5:$C$102,0),MATCH(Q$5,'Exercise list'!$E$4:$X$4,0)),0)</f>
        <v>0</v>
      </c>
      <c r="R340">
        <f>IFERROR(INDEX('Exercise list'!$E$5:$X$102,MATCH($C340,'Exercise list'!$C$5:$C$102,0),MATCH(R$5,'Exercise list'!$E$4:$X$4,0)),0)</f>
        <v>0</v>
      </c>
      <c r="S340">
        <f>IFERROR(INDEX('Exercise list'!$E$5:$X$102,MATCH($C340,'Exercise list'!$C$5:$C$102,0),MATCH(S$5,'Exercise list'!$E$4:$X$4,0)),0)</f>
        <v>0</v>
      </c>
      <c r="T340">
        <f>IFERROR(INDEX('Exercise list'!$E$5:$X$102,MATCH($C340,'Exercise list'!$C$5:$C$102,0),MATCH(T$5,'Exercise list'!$E$4:$X$4,0)),0)</f>
        <v>0</v>
      </c>
      <c r="U340">
        <f>IFERROR(INDEX('Exercise list'!$E$5:$X$102,MATCH($C340,'Exercise list'!$C$5:$C$102,0),MATCH(U$5,'Exercise list'!$E$4:$X$4,0)),0)</f>
        <v>0</v>
      </c>
      <c r="V340">
        <f>IFERROR(INDEX('Exercise list'!$E$5:$X$102,MATCH($C340,'Exercise list'!$C$5:$C$102,0),MATCH(V$5,'Exercise list'!$E$4:$X$4,0)),0)</f>
        <v>0</v>
      </c>
      <c r="W340">
        <f>IFERROR(INDEX('Exercise list'!$E$5:$X$102,MATCH($C340,'Exercise list'!$C$5:$C$102,0),MATCH(W$5,'Exercise list'!$E$4:$X$4,0)),0)</f>
        <v>0</v>
      </c>
      <c r="X340">
        <f>IFERROR(INDEX('Exercise list'!$E$5:$X$102,MATCH($C340,'Exercise list'!$C$5:$C$102,0),MATCH(X$5,'Exercise list'!$E$4:$X$4,0)),0)</f>
        <v>0</v>
      </c>
      <c r="Y340">
        <f>IFERROR(INDEX('Exercise list'!$E$5:$X$102,MATCH($C340,'Exercise list'!$C$5:$C$102,0),MATCH(Y$5,'Exercise list'!$E$4:$X$4,0)),0)</f>
        <v>0</v>
      </c>
      <c r="Z340">
        <f>IFERROR(INDEX('Exercise list'!$E$5:$X$102,MATCH($C340,'Exercise list'!$C$5:$C$102,0),MATCH(Z$5,'Exercise list'!$E$4:$X$4,0)),0)</f>
        <v>0</v>
      </c>
      <c r="AA340">
        <f>IFERROR(INDEX('Exercise list'!$E$5:$X$102,MATCH($C340,'Exercise list'!$C$5:$C$102,0),MATCH(AA$5,'Exercise list'!$E$4:$X$4,0)),0)</f>
        <v>0</v>
      </c>
      <c r="AB340">
        <f>IFERROR(INDEX('Exercise list'!$E$5:$X$102,MATCH($C340,'Exercise list'!$C$5:$C$102,0),MATCH(AB$5,'Exercise list'!$E$4:$X$4,0)),0)</f>
        <v>0</v>
      </c>
      <c r="AC340">
        <f>IFERROR(INDEX('Exercise list'!$E$5:$X$102,MATCH($C340,'Exercise list'!$C$5:$C$102,0),MATCH(AC$5,'Exercise list'!$E$4:$X$4,0)),0)</f>
        <v>0</v>
      </c>
      <c r="AD340">
        <f>IFERROR(INDEX('Exercise list'!$E$5:$X$102,MATCH($C340,'Exercise list'!$C$5:$C$102,0),MATCH(AD$5,'Exercise list'!$E$4:$X$4,0)),0)</f>
        <v>0</v>
      </c>
      <c r="AE340">
        <f>IFERROR(INDEX('Exercise list'!$E$5:$X$102,MATCH($C340,'Exercise list'!$C$5:$C$102,0),MATCH(AE$5,'Exercise list'!$E$4:$X$4,0)),0)</f>
        <v>0</v>
      </c>
      <c r="AF340">
        <f>IFERROR(INDEX('Exercise list'!$E$5:$X$102,MATCH($C340,'Exercise list'!$C$5:$C$102,0),MATCH(AF$5,'Exercise list'!$E$4:$X$4,0)),0)</f>
        <v>0</v>
      </c>
      <c r="AG340">
        <f>IFERROR(INDEX('Exercise list'!$E$5:$X$102,MATCH($C340,'Exercise list'!$C$5:$C$102,0),MATCH(AG$5,'Exercise list'!$E$4:$X$4,0)),0)</f>
        <v>0</v>
      </c>
      <c r="AH340">
        <f>IFERROR(INDEX('Exercise list'!$E$5:$X$102,MATCH($C340,'Exercise list'!$C$5:$C$102,0),MATCH(AH$5,'Exercise list'!$E$4:$X$4,0)),0)</f>
        <v>0</v>
      </c>
      <c r="AI340">
        <f>IFERROR(INDEX('Exercise list'!$E$5:$X$102,MATCH($C340,'Exercise list'!$C$5:$C$102,0),MATCH(AI$5,'Exercise list'!$E$4:$X$4,0)),0)</f>
        <v>0</v>
      </c>
      <c r="AK340">
        <f>IF(OR($J340=1,COUNTIFS($A$5:$A339,"&gt;="&amp;$A340-1,$A$5:$A339,"&lt;="&amp;$A340,$B$5:$B339,$B340)&gt;0,MIN(1-'Exercise list'!E$2,IF($A340=$A339,AK339,1))-P340&lt;0),-1,MIN(1,IF($A340=$A339,AK339,1)-P340+$D$2))</f>
        <v>1</v>
      </c>
      <c r="AL340">
        <f>IF(OR($J340=1,COUNTIFS($A$5:$A339,"&gt;="&amp;$A340-1,$A$5:$A339,"&lt;="&amp;$A340,$B$5:$B339,$B340)&gt;0,MIN(1-'Exercise list'!F$2,IF($A340=$A339,AL339,1))-Q340&lt;0),-1,MIN(1,IF($A340=$A339,AL339,1)-Q340+$D$2))</f>
        <v>1</v>
      </c>
      <c r="AM340">
        <f>IF(OR($J340=1,COUNTIFS($A$5:$A339,"&gt;="&amp;$A340-1,$A$5:$A339,"&lt;="&amp;$A340,$B$5:$B339,$B340)&gt;0,MIN(1-'Exercise list'!G$2,IF($A340=$A339,AM339,1))-R340&lt;0),-1,MIN(1,IF($A340=$A339,AM339,1)-R340+$D$2))</f>
        <v>1</v>
      </c>
      <c r="AN340">
        <f>IF(OR($J340=1,COUNTIFS($A$5:$A339,"&gt;="&amp;$A340-1,$A$5:$A339,"&lt;="&amp;$A340,$B$5:$B339,$B340)&gt;0,MIN(1-'Exercise list'!H$2,IF($A340=$A339,AN339,1))-S340&lt;0),-1,MIN(1,IF($A340=$A339,AN339,1)-S340+$D$2))</f>
        <v>1</v>
      </c>
      <c r="AO340">
        <f>IF(OR($J340=1,COUNTIFS($A$5:$A339,"&gt;="&amp;$A340-1,$A$5:$A339,"&lt;="&amp;$A340,$B$5:$B339,$B340)&gt;0,MIN(1-'Exercise list'!I$2,IF($A340=$A339,AO339,1))-T340&lt;0),-1,MIN(1,IF($A340=$A339,AO339,1)-T340+$D$2))</f>
        <v>1</v>
      </c>
      <c r="AP340">
        <f>IF(OR($J340=1,COUNTIFS($A$5:$A339,"&gt;="&amp;$A340-1,$A$5:$A339,"&lt;="&amp;$A340,$B$5:$B339,$B340)&gt;0,MIN(1-'Exercise list'!J$2,IF($A340=$A339,AP339,1))-U340&lt;0),-1,MIN(1,IF($A340=$A339,AP339,1)-U340+$D$2))</f>
        <v>1</v>
      </c>
      <c r="AQ340">
        <f>IF(OR($J340=1,COUNTIFS($A$5:$A339,"&gt;="&amp;$A340-1,$A$5:$A339,"&lt;="&amp;$A340,$B$5:$B339,$B340)&gt;0,MIN(1-'Exercise list'!K$2,IF($A340=$A339,AQ339,1))-V340&lt;0),-1,MIN(1,IF($A340=$A339,AQ339,1)-V340+$D$2))</f>
        <v>1</v>
      </c>
      <c r="AR340">
        <f>IF(OR($J340=1,COUNTIFS($A$5:$A339,"&gt;="&amp;$A340-1,$A$5:$A339,"&lt;="&amp;$A340,$B$5:$B339,$B340)&gt;0,MIN(1-'Exercise list'!L$2,IF($A340=$A339,AR339,1))-W340&lt;0),-1,MIN(1,IF($A340=$A339,AR339,1)-W340+$D$2))</f>
        <v>1</v>
      </c>
      <c r="AS340">
        <f>IF(OR($J340=1,COUNTIFS($A$5:$A339,"&gt;="&amp;$A340-1,$A$5:$A339,"&lt;="&amp;$A340,$B$5:$B339,$B340)&gt;0,MIN(1-'Exercise list'!M$2,IF($A340=$A339,AS339,1))-X340&lt;0),-1,MIN(1,IF($A340=$A339,AS339,1)-X340+$D$2))</f>
        <v>1</v>
      </c>
      <c r="AT340">
        <f>IF(OR($J340=1,COUNTIFS($A$5:$A339,"&gt;="&amp;$A340-1,$A$5:$A339,"&lt;="&amp;$A340,$B$5:$B339,$B340)&gt;0,MIN(1-'Exercise list'!N$2,IF($A340=$A339,AT339,1))-Y340&lt;0),-1,MIN(1,IF($A340=$A339,AT339,1)-Y340+$D$2))</f>
        <v>1</v>
      </c>
      <c r="AU340">
        <f>IF(OR($J340=1,COUNTIFS($A$5:$A339,"&gt;="&amp;$A340-1,$A$5:$A339,"&lt;="&amp;$A340,$B$5:$B339,$B340)&gt;0,MIN(1-'Exercise list'!O$2,IF($A340=$A339,AU339,1))-Z340&lt;0),-1,MIN(1,IF($A340=$A339,AU339,1)-Z340+$D$2))</f>
        <v>1</v>
      </c>
      <c r="AV340">
        <f>IF(OR($J340=1,COUNTIFS($A$5:$A339,"&gt;="&amp;$A340-1,$A$5:$A339,"&lt;="&amp;$A340,$B$5:$B339,$B340)&gt;0,MIN(1-'Exercise list'!P$2,IF($A340=$A339,AV339,1))-AA340&lt;0),-1,MIN(1,IF($A340=$A339,AV339,1)-AA340+$D$2))</f>
        <v>1</v>
      </c>
      <c r="AW340">
        <f>IF(OR($J340=1,COUNTIFS($A$5:$A339,"&gt;="&amp;$A340-1,$A$5:$A339,"&lt;="&amp;$A340,$B$5:$B339,$B340)&gt;0,MIN(1-'Exercise list'!Q$2,IF($A340=$A339,AW339,1))-AB340&lt;0),-1,MIN(1,IF($A340=$A339,AW339,1)-AB340+$D$2))</f>
        <v>1</v>
      </c>
      <c r="AX340">
        <f>IF(OR($J340=1,COUNTIFS($A$5:$A339,"&gt;="&amp;$A340-1,$A$5:$A339,"&lt;="&amp;$A340,$B$5:$B339,$B340)&gt;0,MIN(1-'Exercise list'!R$2,IF($A340=$A339,AX339,1))-AC340&lt;0),-1,MIN(1,IF($A340=$A339,AX339,1)-AC340+$D$2))</f>
        <v>1</v>
      </c>
      <c r="AY340">
        <f>IF(OR($J340=1,COUNTIFS($A$5:$A339,"&gt;="&amp;$A340-1,$A$5:$A339,"&lt;="&amp;$A340,$B$5:$B339,$B340)&gt;0,MIN(1-'Exercise list'!S$2,IF($A340=$A339,AY339,1))-AD340&lt;0),-1,MIN(1,IF($A340=$A339,AY339,1)-AD340+$D$2))</f>
        <v>1</v>
      </c>
      <c r="AZ340">
        <f>IF(OR($J340=1,COUNTIFS($A$5:$A339,"&gt;="&amp;$A340-1,$A$5:$A339,"&lt;="&amp;$A340,$B$5:$B339,$B340)&gt;0,MIN(1-'Exercise list'!T$2,IF($A340=$A339,AZ339,1))-AE340&lt;0),-1,MIN(1,IF($A340=$A339,AZ339,1)-AE340+$D$2))</f>
        <v>1</v>
      </c>
      <c r="BA340">
        <f>IF(OR($J340=1,COUNTIFS($A$5:$A339,"&gt;="&amp;$A340-1,$A$5:$A339,"&lt;="&amp;$A340,$B$5:$B339,$B340)&gt;0,MIN(1-'Exercise list'!U$2,IF($A340=$A339,BA339,1))-AF340&lt;0),-1,MIN(1,IF($A340=$A339,BA339,1)-AF340+$D$2))</f>
        <v>1</v>
      </c>
      <c r="BB340">
        <f>IF(OR($J340=1,COUNTIFS($A$5:$A339,"&gt;="&amp;$A340-1,$A$5:$A339,"&lt;="&amp;$A340,$B$5:$B339,$B340)&gt;0,MIN(1-'Exercise list'!V$2,IF($A340=$A339,BB339,1))-AG340&lt;0),-1,MIN(1,IF($A340=$A339,BB339,1)-AG340+$D$2))</f>
        <v>1</v>
      </c>
      <c r="BC340">
        <f>IF(OR($J340=1,COUNTIFS($A$5:$A339,"&gt;="&amp;$A340-1,$A$5:$A339,"&lt;="&amp;$A340,$B$5:$B339,$B340)&gt;0,MIN(1-'Exercise list'!W$2,IF($A340=$A339,BC339,1))-AH340&lt;0),-1,MIN(1,IF($A340=$A339,BC339,1)-AH340+$D$2))</f>
        <v>1</v>
      </c>
      <c r="BD340">
        <f>IF(OR($J340=1,COUNTIFS($A$5:$A339,"&gt;="&amp;$A340-1,$A$5:$A339,"&lt;="&amp;$A340,$B$5:$B339,$B340)&gt;0,MIN(1-'Exercise list'!X$2,IF($A340=$A339,BD339,1))-AI340&lt;0),-1,MIN(1,IF($A340=$A339,BD339,1)-AI340+$D$2))</f>
        <v>1</v>
      </c>
      <c r="BF340" s="16">
        <f t="shared" si="233"/>
        <v>0.19596031081758858</v>
      </c>
      <c r="BG340" s="16">
        <f t="shared" si="234"/>
        <v>0.21844636935459236</v>
      </c>
      <c r="BH340" s="16">
        <f t="shared" si="235"/>
        <v>0.14609696635987124</v>
      </c>
      <c r="BI340" s="16">
        <f t="shared" si="236"/>
        <v>0.13198015366034541</v>
      </c>
      <c r="BJ340" s="16">
        <f t="shared" si="237"/>
        <v>8.3367914198418713E-2</v>
      </c>
      <c r="BK340" s="16">
        <f t="shared" si="238"/>
        <v>0.10640640223148412</v>
      </c>
      <c r="BL340" s="16">
        <f t="shared" si="239"/>
        <v>0.21963504743569431</v>
      </c>
      <c r="BM340" s="16">
        <f t="shared" si="240"/>
        <v>3.8988008374820568E-3</v>
      </c>
      <c r="BN340" s="16">
        <f t="shared" si="241"/>
        <v>0.14537706087090876</v>
      </c>
      <c r="BO340" s="16">
        <f t="shared" si="242"/>
        <v>0.29209790661993401</v>
      </c>
      <c r="BP340" s="16">
        <f t="shared" si="243"/>
        <v>0.31584545163401867</v>
      </c>
      <c r="BQ340" s="16">
        <f t="shared" si="244"/>
        <v>0.1000007994126096</v>
      </c>
      <c r="BR340" s="16">
        <f t="shared" si="245"/>
        <v>0.13164487759885393</v>
      </c>
      <c r="BS340" s="16">
        <f t="shared" si="246"/>
        <v>2.9803550189863123E-2</v>
      </c>
      <c r="BT340" s="16">
        <f t="shared" si="247"/>
        <v>0.13492040904978705</v>
      </c>
      <c r="BU340" s="16">
        <f t="shared" si="248"/>
        <v>0.11703687414398131</v>
      </c>
      <c r="BV340" s="16">
        <f t="shared" si="249"/>
        <v>0.14633353213781661</v>
      </c>
      <c r="BW340" s="16">
        <f t="shared" si="250"/>
        <v>7.5588015111767173E-2</v>
      </c>
      <c r="BX340" s="16">
        <f t="shared" si="251"/>
        <v>8.0345659937185704E-2</v>
      </c>
      <c r="BY340" s="16">
        <f t="shared" si="252"/>
        <v>5.9014643151272549E-2</v>
      </c>
      <c r="CA340" s="16" t="str">
        <f t="shared" si="273"/>
        <v/>
      </c>
      <c r="CB340" s="16" t="str">
        <f t="shared" si="254"/>
        <v/>
      </c>
      <c r="CC340" s="16" t="str">
        <f t="shared" si="255"/>
        <v/>
      </c>
      <c r="CD340" s="16" t="str">
        <f t="shared" si="256"/>
        <v/>
      </c>
      <c r="CE340" s="16" t="str">
        <f t="shared" si="257"/>
        <v/>
      </c>
      <c r="CF340" s="16" t="str">
        <f t="shared" si="258"/>
        <v/>
      </c>
      <c r="CG340" s="16" t="str">
        <f t="shared" si="259"/>
        <v/>
      </c>
      <c r="CH340" s="16" t="str">
        <f t="shared" si="260"/>
        <v/>
      </c>
      <c r="CI340" s="16" t="str">
        <f t="shared" si="261"/>
        <v/>
      </c>
      <c r="CJ340" s="16" t="str">
        <f t="shared" si="262"/>
        <v/>
      </c>
      <c r="CK340" s="16" t="str">
        <f t="shared" si="263"/>
        <v/>
      </c>
      <c r="CL340" s="16" t="str">
        <f t="shared" si="264"/>
        <v/>
      </c>
      <c r="CM340" s="16" t="str">
        <f t="shared" si="265"/>
        <v/>
      </c>
      <c r="CN340" s="16" t="str">
        <f t="shared" si="266"/>
        <v/>
      </c>
      <c r="CO340" s="16" t="str">
        <f t="shared" si="267"/>
        <v/>
      </c>
      <c r="CP340" s="16" t="str">
        <f t="shared" si="268"/>
        <v/>
      </c>
      <c r="CQ340" s="16" t="str">
        <f t="shared" si="269"/>
        <v/>
      </c>
      <c r="CR340" s="16" t="str">
        <f t="shared" si="270"/>
        <v/>
      </c>
      <c r="CS340" s="16" t="str">
        <f t="shared" si="271"/>
        <v/>
      </c>
      <c r="CT340" s="16" t="str">
        <f t="shared" si="272"/>
        <v/>
      </c>
    </row>
    <row r="341" spans="1:99" x14ac:dyDescent="0.25">
      <c r="A341" s="13"/>
      <c r="B341" s="14"/>
      <c r="C341" s="15" t="str" cm="1">
        <f t="array" ref="C341">IF(B341="","",INDEX('Exercise list'!$C$5:$C$102,B341))</f>
        <v/>
      </c>
      <c r="D341" s="12" t="str">
        <f t="shared" si="230"/>
        <v/>
      </c>
      <c r="E341" s="107" t="str">
        <f t="shared" si="253"/>
        <v/>
      </c>
      <c r="F341" s="63" t="str" cm="1">
        <f t="array" ref="F341">IF(B341="","",0.1+IFERROR(INDEX($F$6:$F340,SUMPRODUCT(MAX(ROW($C$6:$C340)*($C341=$C$6:$C340))-ROW($A$5)))*0.9^($A341-INDEX($A$6:A340,SUMPRODUCT(MAX(ROW($C$6:$C340)*($C341=$C$6:$C340))-ROW($A$5)))),0))</f>
        <v/>
      </c>
      <c r="G341" s="64" t="e">
        <f>INDEX('Exercise list'!$Y$5:$Y$102,MATCH(C341,'Exercise list'!$C$5:$C$102,0))</f>
        <v>#N/A</v>
      </c>
      <c r="H341" s="115">
        <f t="shared" si="231"/>
        <v>0</v>
      </c>
      <c r="I341" s="6">
        <f t="shared" si="232"/>
        <v>5</v>
      </c>
      <c r="J341" s="6" t="str" cm="1">
        <f t="array" ref="J341">IF(B341="","",INDEX('Exercise list'!$D$5:$D$102,B341))</f>
        <v/>
      </c>
      <c r="K341" s="12"/>
      <c r="L341" s="74" t="str" cm="1">
        <f t="array" ref="L341">IF(K341="","",INDEX('Exercise list'!$C$5:$C$102,K341))</f>
        <v/>
      </c>
      <c r="M341" s="6"/>
      <c r="N341" s="75" t="str" cm="1">
        <f t="array" ref="N341">IF(M341="","",INDEX('Exercise list'!$C$5:$C$102,M341))</f>
        <v/>
      </c>
      <c r="P341">
        <f>IFERROR(INDEX('Exercise list'!$E$5:$X$102,MATCH($C341,'Exercise list'!$C$5:$C$102,0),MATCH(P$5,'Exercise list'!$E$4:$X$4,0)),0)</f>
        <v>0</v>
      </c>
      <c r="Q341">
        <f>IFERROR(INDEX('Exercise list'!$E$5:$X$102,MATCH($C341,'Exercise list'!$C$5:$C$102,0),MATCH(Q$5,'Exercise list'!$E$4:$X$4,0)),0)</f>
        <v>0</v>
      </c>
      <c r="R341">
        <f>IFERROR(INDEX('Exercise list'!$E$5:$X$102,MATCH($C341,'Exercise list'!$C$5:$C$102,0),MATCH(R$5,'Exercise list'!$E$4:$X$4,0)),0)</f>
        <v>0</v>
      </c>
      <c r="S341">
        <f>IFERROR(INDEX('Exercise list'!$E$5:$X$102,MATCH($C341,'Exercise list'!$C$5:$C$102,0),MATCH(S$5,'Exercise list'!$E$4:$X$4,0)),0)</f>
        <v>0</v>
      </c>
      <c r="T341">
        <f>IFERROR(INDEX('Exercise list'!$E$5:$X$102,MATCH($C341,'Exercise list'!$C$5:$C$102,0),MATCH(T$5,'Exercise list'!$E$4:$X$4,0)),0)</f>
        <v>0</v>
      </c>
      <c r="U341">
        <f>IFERROR(INDEX('Exercise list'!$E$5:$X$102,MATCH($C341,'Exercise list'!$C$5:$C$102,0),MATCH(U$5,'Exercise list'!$E$4:$X$4,0)),0)</f>
        <v>0</v>
      </c>
      <c r="V341">
        <f>IFERROR(INDEX('Exercise list'!$E$5:$X$102,MATCH($C341,'Exercise list'!$C$5:$C$102,0),MATCH(V$5,'Exercise list'!$E$4:$X$4,0)),0)</f>
        <v>0</v>
      </c>
      <c r="W341">
        <f>IFERROR(INDEX('Exercise list'!$E$5:$X$102,MATCH($C341,'Exercise list'!$C$5:$C$102,0),MATCH(W$5,'Exercise list'!$E$4:$X$4,0)),0)</f>
        <v>0</v>
      </c>
      <c r="X341">
        <f>IFERROR(INDEX('Exercise list'!$E$5:$X$102,MATCH($C341,'Exercise list'!$C$5:$C$102,0),MATCH(X$5,'Exercise list'!$E$4:$X$4,0)),0)</f>
        <v>0</v>
      </c>
      <c r="Y341">
        <f>IFERROR(INDEX('Exercise list'!$E$5:$X$102,MATCH($C341,'Exercise list'!$C$5:$C$102,0),MATCH(Y$5,'Exercise list'!$E$4:$X$4,0)),0)</f>
        <v>0</v>
      </c>
      <c r="Z341">
        <f>IFERROR(INDEX('Exercise list'!$E$5:$X$102,MATCH($C341,'Exercise list'!$C$5:$C$102,0),MATCH(Z$5,'Exercise list'!$E$4:$X$4,0)),0)</f>
        <v>0</v>
      </c>
      <c r="AA341">
        <f>IFERROR(INDEX('Exercise list'!$E$5:$X$102,MATCH($C341,'Exercise list'!$C$5:$C$102,0),MATCH(AA$5,'Exercise list'!$E$4:$X$4,0)),0)</f>
        <v>0</v>
      </c>
      <c r="AB341">
        <f>IFERROR(INDEX('Exercise list'!$E$5:$X$102,MATCH($C341,'Exercise list'!$C$5:$C$102,0),MATCH(AB$5,'Exercise list'!$E$4:$X$4,0)),0)</f>
        <v>0</v>
      </c>
      <c r="AC341">
        <f>IFERROR(INDEX('Exercise list'!$E$5:$X$102,MATCH($C341,'Exercise list'!$C$5:$C$102,0),MATCH(AC$5,'Exercise list'!$E$4:$X$4,0)),0)</f>
        <v>0</v>
      </c>
      <c r="AD341">
        <f>IFERROR(INDEX('Exercise list'!$E$5:$X$102,MATCH($C341,'Exercise list'!$C$5:$C$102,0),MATCH(AD$5,'Exercise list'!$E$4:$X$4,0)),0)</f>
        <v>0</v>
      </c>
      <c r="AE341">
        <f>IFERROR(INDEX('Exercise list'!$E$5:$X$102,MATCH($C341,'Exercise list'!$C$5:$C$102,0),MATCH(AE$5,'Exercise list'!$E$4:$X$4,0)),0)</f>
        <v>0</v>
      </c>
      <c r="AF341">
        <f>IFERROR(INDEX('Exercise list'!$E$5:$X$102,MATCH($C341,'Exercise list'!$C$5:$C$102,0),MATCH(AF$5,'Exercise list'!$E$4:$X$4,0)),0)</f>
        <v>0</v>
      </c>
      <c r="AG341">
        <f>IFERROR(INDEX('Exercise list'!$E$5:$X$102,MATCH($C341,'Exercise list'!$C$5:$C$102,0),MATCH(AG$5,'Exercise list'!$E$4:$X$4,0)),0)</f>
        <v>0</v>
      </c>
      <c r="AH341">
        <f>IFERROR(INDEX('Exercise list'!$E$5:$X$102,MATCH($C341,'Exercise list'!$C$5:$C$102,0),MATCH(AH$5,'Exercise list'!$E$4:$X$4,0)),0)</f>
        <v>0</v>
      </c>
      <c r="AI341">
        <f>IFERROR(INDEX('Exercise list'!$E$5:$X$102,MATCH($C341,'Exercise list'!$C$5:$C$102,0),MATCH(AI$5,'Exercise list'!$E$4:$X$4,0)),0)</f>
        <v>0</v>
      </c>
      <c r="AK341">
        <f>IF(OR($J341=1,COUNTIFS($A$5:$A340,"&gt;="&amp;$A341-1,$A$5:$A340,"&lt;="&amp;$A341,$B$5:$B340,$B341)&gt;0,MIN(1-'Exercise list'!E$2,IF($A341=$A340,AK340,1))-P341&lt;0),-1,MIN(1,IF($A341=$A340,AK340,1)-P341+$D$2))</f>
        <v>1</v>
      </c>
      <c r="AL341">
        <f>IF(OR($J341=1,COUNTIFS($A$5:$A340,"&gt;="&amp;$A341-1,$A$5:$A340,"&lt;="&amp;$A341,$B$5:$B340,$B341)&gt;0,MIN(1-'Exercise list'!F$2,IF($A341=$A340,AL340,1))-Q341&lt;0),-1,MIN(1,IF($A341=$A340,AL340,1)-Q341+$D$2))</f>
        <v>1</v>
      </c>
      <c r="AM341">
        <f>IF(OR($J341=1,COUNTIFS($A$5:$A340,"&gt;="&amp;$A341-1,$A$5:$A340,"&lt;="&amp;$A341,$B$5:$B340,$B341)&gt;0,MIN(1-'Exercise list'!G$2,IF($A341=$A340,AM340,1))-R341&lt;0),-1,MIN(1,IF($A341=$A340,AM340,1)-R341+$D$2))</f>
        <v>1</v>
      </c>
      <c r="AN341">
        <f>IF(OR($J341=1,COUNTIFS($A$5:$A340,"&gt;="&amp;$A341-1,$A$5:$A340,"&lt;="&amp;$A341,$B$5:$B340,$B341)&gt;0,MIN(1-'Exercise list'!H$2,IF($A341=$A340,AN340,1))-S341&lt;0),-1,MIN(1,IF($A341=$A340,AN340,1)-S341+$D$2))</f>
        <v>1</v>
      </c>
      <c r="AO341">
        <f>IF(OR($J341=1,COUNTIFS($A$5:$A340,"&gt;="&amp;$A341-1,$A$5:$A340,"&lt;="&amp;$A341,$B$5:$B340,$B341)&gt;0,MIN(1-'Exercise list'!I$2,IF($A341=$A340,AO340,1))-T341&lt;0),-1,MIN(1,IF($A341=$A340,AO340,1)-T341+$D$2))</f>
        <v>1</v>
      </c>
      <c r="AP341">
        <f>IF(OR($J341=1,COUNTIFS($A$5:$A340,"&gt;="&amp;$A341-1,$A$5:$A340,"&lt;="&amp;$A341,$B$5:$B340,$B341)&gt;0,MIN(1-'Exercise list'!J$2,IF($A341=$A340,AP340,1))-U341&lt;0),-1,MIN(1,IF($A341=$A340,AP340,1)-U341+$D$2))</f>
        <v>1</v>
      </c>
      <c r="AQ341">
        <f>IF(OR($J341=1,COUNTIFS($A$5:$A340,"&gt;="&amp;$A341-1,$A$5:$A340,"&lt;="&amp;$A341,$B$5:$B340,$B341)&gt;0,MIN(1-'Exercise list'!K$2,IF($A341=$A340,AQ340,1))-V341&lt;0),-1,MIN(1,IF($A341=$A340,AQ340,1)-V341+$D$2))</f>
        <v>1</v>
      </c>
      <c r="AR341">
        <f>IF(OR($J341=1,COUNTIFS($A$5:$A340,"&gt;="&amp;$A341-1,$A$5:$A340,"&lt;="&amp;$A341,$B$5:$B340,$B341)&gt;0,MIN(1-'Exercise list'!L$2,IF($A341=$A340,AR340,1))-W341&lt;0),-1,MIN(1,IF($A341=$A340,AR340,1)-W341+$D$2))</f>
        <v>1</v>
      </c>
      <c r="AS341">
        <f>IF(OR($J341=1,COUNTIFS($A$5:$A340,"&gt;="&amp;$A341-1,$A$5:$A340,"&lt;="&amp;$A341,$B$5:$B340,$B341)&gt;0,MIN(1-'Exercise list'!M$2,IF($A341=$A340,AS340,1))-X341&lt;0),-1,MIN(1,IF($A341=$A340,AS340,1)-X341+$D$2))</f>
        <v>1</v>
      </c>
      <c r="AT341">
        <f>IF(OR($J341=1,COUNTIFS($A$5:$A340,"&gt;="&amp;$A341-1,$A$5:$A340,"&lt;="&amp;$A341,$B$5:$B340,$B341)&gt;0,MIN(1-'Exercise list'!N$2,IF($A341=$A340,AT340,1))-Y341&lt;0),-1,MIN(1,IF($A341=$A340,AT340,1)-Y341+$D$2))</f>
        <v>1</v>
      </c>
      <c r="AU341">
        <f>IF(OR($J341=1,COUNTIFS($A$5:$A340,"&gt;="&amp;$A341-1,$A$5:$A340,"&lt;="&amp;$A341,$B$5:$B340,$B341)&gt;0,MIN(1-'Exercise list'!O$2,IF($A341=$A340,AU340,1))-Z341&lt;0),-1,MIN(1,IF($A341=$A340,AU340,1)-Z341+$D$2))</f>
        <v>1</v>
      </c>
      <c r="AV341">
        <f>IF(OR($J341=1,COUNTIFS($A$5:$A340,"&gt;="&amp;$A341-1,$A$5:$A340,"&lt;="&amp;$A341,$B$5:$B340,$B341)&gt;0,MIN(1-'Exercise list'!P$2,IF($A341=$A340,AV340,1))-AA341&lt;0),-1,MIN(1,IF($A341=$A340,AV340,1)-AA341+$D$2))</f>
        <v>1</v>
      </c>
      <c r="AW341">
        <f>IF(OR($J341=1,COUNTIFS($A$5:$A340,"&gt;="&amp;$A341-1,$A$5:$A340,"&lt;="&amp;$A341,$B$5:$B340,$B341)&gt;0,MIN(1-'Exercise list'!Q$2,IF($A341=$A340,AW340,1))-AB341&lt;0),-1,MIN(1,IF($A341=$A340,AW340,1)-AB341+$D$2))</f>
        <v>1</v>
      </c>
      <c r="AX341">
        <f>IF(OR($J341=1,COUNTIFS($A$5:$A340,"&gt;="&amp;$A341-1,$A$5:$A340,"&lt;="&amp;$A341,$B$5:$B340,$B341)&gt;0,MIN(1-'Exercise list'!R$2,IF($A341=$A340,AX340,1))-AC341&lt;0),-1,MIN(1,IF($A341=$A340,AX340,1)-AC341+$D$2))</f>
        <v>1</v>
      </c>
      <c r="AY341">
        <f>IF(OR($J341=1,COUNTIFS($A$5:$A340,"&gt;="&amp;$A341-1,$A$5:$A340,"&lt;="&amp;$A341,$B$5:$B340,$B341)&gt;0,MIN(1-'Exercise list'!S$2,IF($A341=$A340,AY340,1))-AD341&lt;0),-1,MIN(1,IF($A341=$A340,AY340,1)-AD341+$D$2))</f>
        <v>1</v>
      </c>
      <c r="AZ341">
        <f>IF(OR($J341=1,COUNTIFS($A$5:$A340,"&gt;="&amp;$A341-1,$A$5:$A340,"&lt;="&amp;$A341,$B$5:$B340,$B341)&gt;0,MIN(1-'Exercise list'!T$2,IF($A341=$A340,AZ340,1))-AE341&lt;0),-1,MIN(1,IF($A341=$A340,AZ340,1)-AE341+$D$2))</f>
        <v>1</v>
      </c>
      <c r="BA341">
        <f>IF(OR($J341=1,COUNTIFS($A$5:$A340,"&gt;="&amp;$A341-1,$A$5:$A340,"&lt;="&amp;$A341,$B$5:$B340,$B341)&gt;0,MIN(1-'Exercise list'!U$2,IF($A341=$A340,BA340,1))-AF341&lt;0),-1,MIN(1,IF($A341=$A340,BA340,1)-AF341+$D$2))</f>
        <v>1</v>
      </c>
      <c r="BB341">
        <f>IF(OR($J341=1,COUNTIFS($A$5:$A340,"&gt;="&amp;$A341-1,$A$5:$A340,"&lt;="&amp;$A341,$B$5:$B340,$B341)&gt;0,MIN(1-'Exercise list'!V$2,IF($A341=$A340,BB340,1))-AG341&lt;0),-1,MIN(1,IF($A341=$A340,BB340,1)-AG341+$D$2))</f>
        <v>1</v>
      </c>
      <c r="BC341">
        <f>IF(OR($J341=1,COUNTIFS($A$5:$A340,"&gt;="&amp;$A341-1,$A$5:$A340,"&lt;="&amp;$A341,$B$5:$B340,$B341)&gt;0,MIN(1-'Exercise list'!W$2,IF($A341=$A340,BC340,1))-AH341&lt;0),-1,MIN(1,IF($A341=$A340,BC340,1)-AH341+$D$2))</f>
        <v>1</v>
      </c>
      <c r="BD341">
        <f>IF(OR($J341=1,COUNTIFS($A$5:$A340,"&gt;="&amp;$A341-1,$A$5:$A340,"&lt;="&amp;$A341,$B$5:$B340,$B341)&gt;0,MIN(1-'Exercise list'!X$2,IF($A341=$A340,BD340,1))-AI341&lt;0),-1,MIN(1,IF($A341=$A340,BD340,1)-AI341+$D$2))</f>
        <v>1</v>
      </c>
      <c r="BF341" s="16">
        <f t="shared" si="233"/>
        <v>0.19596031081758858</v>
      </c>
      <c r="BG341" s="16">
        <f t="shared" si="234"/>
        <v>0.21844636935459236</v>
      </c>
      <c r="BH341" s="16">
        <f t="shared" si="235"/>
        <v>0.14609696635987124</v>
      </c>
      <c r="BI341" s="16">
        <f t="shared" si="236"/>
        <v>0.13198015366034541</v>
      </c>
      <c r="BJ341" s="16">
        <f t="shared" si="237"/>
        <v>8.3367914198418713E-2</v>
      </c>
      <c r="BK341" s="16">
        <f t="shared" si="238"/>
        <v>0.10640640223148412</v>
      </c>
      <c r="BL341" s="16">
        <f t="shared" si="239"/>
        <v>0.21963504743569431</v>
      </c>
      <c r="BM341" s="16">
        <f t="shared" si="240"/>
        <v>3.8988008374820568E-3</v>
      </c>
      <c r="BN341" s="16">
        <f t="shared" si="241"/>
        <v>0.14537706087090876</v>
      </c>
      <c r="BO341" s="16">
        <f t="shared" si="242"/>
        <v>0.29209790661993401</v>
      </c>
      <c r="BP341" s="16">
        <f t="shared" si="243"/>
        <v>0.31584545163401867</v>
      </c>
      <c r="BQ341" s="16">
        <f t="shared" si="244"/>
        <v>0.1000007994126096</v>
      </c>
      <c r="BR341" s="16">
        <f t="shared" si="245"/>
        <v>0.13164487759885393</v>
      </c>
      <c r="BS341" s="16">
        <f t="shared" si="246"/>
        <v>2.9803550189863123E-2</v>
      </c>
      <c r="BT341" s="16">
        <f t="shared" si="247"/>
        <v>0.13492040904978705</v>
      </c>
      <c r="BU341" s="16">
        <f t="shared" si="248"/>
        <v>0.11703687414398131</v>
      </c>
      <c r="BV341" s="16">
        <f t="shared" si="249"/>
        <v>0.14633353213781661</v>
      </c>
      <c r="BW341" s="16">
        <f t="shared" si="250"/>
        <v>7.5588015111767173E-2</v>
      </c>
      <c r="BX341" s="16">
        <f t="shared" si="251"/>
        <v>8.0345659937185704E-2</v>
      </c>
      <c r="BY341" s="16">
        <f t="shared" si="252"/>
        <v>5.9014643151272549E-2</v>
      </c>
      <c r="CA341" s="16" t="str">
        <f t="shared" si="273"/>
        <v/>
      </c>
      <c r="CB341" s="16" t="str">
        <f t="shared" si="254"/>
        <v/>
      </c>
      <c r="CC341" s="16" t="str">
        <f t="shared" si="255"/>
        <v/>
      </c>
      <c r="CD341" s="16" t="str">
        <f t="shared" si="256"/>
        <v/>
      </c>
      <c r="CE341" s="16" t="str">
        <f t="shared" si="257"/>
        <v/>
      </c>
      <c r="CF341" s="16" t="str">
        <f t="shared" si="258"/>
        <v/>
      </c>
      <c r="CG341" s="16" t="str">
        <f t="shared" si="259"/>
        <v/>
      </c>
      <c r="CH341" s="16" t="str">
        <f t="shared" si="260"/>
        <v/>
      </c>
      <c r="CI341" s="16" t="str">
        <f t="shared" si="261"/>
        <v/>
      </c>
      <c r="CJ341" s="16" t="str">
        <f t="shared" si="262"/>
        <v/>
      </c>
      <c r="CK341" s="16" t="str">
        <f t="shared" si="263"/>
        <v/>
      </c>
      <c r="CL341" s="16" t="str">
        <f t="shared" si="264"/>
        <v/>
      </c>
      <c r="CM341" s="16" t="str">
        <f t="shared" si="265"/>
        <v/>
      </c>
      <c r="CN341" s="16" t="str">
        <f t="shared" si="266"/>
        <v/>
      </c>
      <c r="CO341" s="16" t="str">
        <f t="shared" si="267"/>
        <v/>
      </c>
      <c r="CP341" s="16" t="str">
        <f t="shared" si="268"/>
        <v/>
      </c>
      <c r="CQ341" s="16" t="str">
        <f t="shared" si="269"/>
        <v/>
      </c>
      <c r="CR341" s="16" t="str">
        <f t="shared" si="270"/>
        <v/>
      </c>
      <c r="CS341" s="16" t="str">
        <f t="shared" si="271"/>
        <v/>
      </c>
      <c r="CT341" s="16" t="str">
        <f t="shared" si="272"/>
        <v/>
      </c>
    </row>
    <row r="342" spans="1:99" x14ac:dyDescent="0.25">
      <c r="A342" s="13"/>
      <c r="B342" s="14"/>
      <c r="C342" s="15" t="str" cm="1">
        <f t="array" ref="C342">IF(B342="","",INDEX('Exercise list'!$C$5:$C$102,B342))</f>
        <v/>
      </c>
      <c r="D342" s="12" t="str">
        <f t="shared" si="230"/>
        <v/>
      </c>
      <c r="E342" s="107" t="str">
        <f t="shared" si="253"/>
        <v/>
      </c>
      <c r="F342" s="63" t="str" cm="1">
        <f t="array" ref="F342">IF(B342="","",0.1+IFERROR(INDEX($F$6:$F341,SUMPRODUCT(MAX(ROW($C$6:$C341)*($C342=$C$6:$C341))-ROW($A$5)))*0.9^($A342-INDEX($A$6:A341,SUMPRODUCT(MAX(ROW($C$6:$C341)*($C342=$C$6:$C341))-ROW($A$5)))),0))</f>
        <v/>
      </c>
      <c r="G342" s="64" t="e">
        <f>INDEX('Exercise list'!$Y$5:$Y$102,MATCH(C342,'Exercise list'!$C$5:$C$102,0))</f>
        <v>#N/A</v>
      </c>
      <c r="H342" s="115">
        <f t="shared" si="231"/>
        <v>0</v>
      </c>
      <c r="I342" s="6">
        <f t="shared" si="232"/>
        <v>5</v>
      </c>
      <c r="J342" s="6" t="str" cm="1">
        <f t="array" ref="J342">IF(B342="","",INDEX('Exercise list'!$D$5:$D$102,B342))</f>
        <v/>
      </c>
      <c r="K342" s="12"/>
      <c r="L342" s="74" t="str" cm="1">
        <f t="array" ref="L342">IF(K342="","",INDEX('Exercise list'!$C$5:$C$102,K342))</f>
        <v/>
      </c>
      <c r="M342" s="6"/>
      <c r="N342" s="75" t="str" cm="1">
        <f t="array" ref="N342">IF(M342="","",INDEX('Exercise list'!$C$5:$C$102,M342))</f>
        <v/>
      </c>
      <c r="P342">
        <f>IFERROR(INDEX('Exercise list'!$E$5:$X$102,MATCH($C342,'Exercise list'!$C$5:$C$102,0),MATCH(P$5,'Exercise list'!$E$4:$X$4,0)),0)</f>
        <v>0</v>
      </c>
      <c r="Q342">
        <f>IFERROR(INDEX('Exercise list'!$E$5:$X$102,MATCH($C342,'Exercise list'!$C$5:$C$102,0),MATCH(Q$5,'Exercise list'!$E$4:$X$4,0)),0)</f>
        <v>0</v>
      </c>
      <c r="R342">
        <f>IFERROR(INDEX('Exercise list'!$E$5:$X$102,MATCH($C342,'Exercise list'!$C$5:$C$102,0),MATCH(R$5,'Exercise list'!$E$4:$X$4,0)),0)</f>
        <v>0</v>
      </c>
      <c r="S342">
        <f>IFERROR(INDEX('Exercise list'!$E$5:$X$102,MATCH($C342,'Exercise list'!$C$5:$C$102,0),MATCH(S$5,'Exercise list'!$E$4:$X$4,0)),0)</f>
        <v>0</v>
      </c>
      <c r="T342">
        <f>IFERROR(INDEX('Exercise list'!$E$5:$X$102,MATCH($C342,'Exercise list'!$C$5:$C$102,0),MATCH(T$5,'Exercise list'!$E$4:$X$4,0)),0)</f>
        <v>0</v>
      </c>
      <c r="U342">
        <f>IFERROR(INDEX('Exercise list'!$E$5:$X$102,MATCH($C342,'Exercise list'!$C$5:$C$102,0),MATCH(U$5,'Exercise list'!$E$4:$X$4,0)),0)</f>
        <v>0</v>
      </c>
      <c r="V342">
        <f>IFERROR(INDEX('Exercise list'!$E$5:$X$102,MATCH($C342,'Exercise list'!$C$5:$C$102,0),MATCH(V$5,'Exercise list'!$E$4:$X$4,0)),0)</f>
        <v>0</v>
      </c>
      <c r="W342">
        <f>IFERROR(INDEX('Exercise list'!$E$5:$X$102,MATCH($C342,'Exercise list'!$C$5:$C$102,0),MATCH(W$5,'Exercise list'!$E$4:$X$4,0)),0)</f>
        <v>0</v>
      </c>
      <c r="X342">
        <f>IFERROR(INDEX('Exercise list'!$E$5:$X$102,MATCH($C342,'Exercise list'!$C$5:$C$102,0),MATCH(X$5,'Exercise list'!$E$4:$X$4,0)),0)</f>
        <v>0</v>
      </c>
      <c r="Y342">
        <f>IFERROR(INDEX('Exercise list'!$E$5:$X$102,MATCH($C342,'Exercise list'!$C$5:$C$102,0),MATCH(Y$5,'Exercise list'!$E$4:$X$4,0)),0)</f>
        <v>0</v>
      </c>
      <c r="Z342">
        <f>IFERROR(INDEX('Exercise list'!$E$5:$X$102,MATCH($C342,'Exercise list'!$C$5:$C$102,0),MATCH(Z$5,'Exercise list'!$E$4:$X$4,0)),0)</f>
        <v>0</v>
      </c>
      <c r="AA342">
        <f>IFERROR(INDEX('Exercise list'!$E$5:$X$102,MATCH($C342,'Exercise list'!$C$5:$C$102,0),MATCH(AA$5,'Exercise list'!$E$4:$X$4,0)),0)</f>
        <v>0</v>
      </c>
      <c r="AB342">
        <f>IFERROR(INDEX('Exercise list'!$E$5:$X$102,MATCH($C342,'Exercise list'!$C$5:$C$102,0),MATCH(AB$5,'Exercise list'!$E$4:$X$4,0)),0)</f>
        <v>0</v>
      </c>
      <c r="AC342">
        <f>IFERROR(INDEX('Exercise list'!$E$5:$X$102,MATCH($C342,'Exercise list'!$C$5:$C$102,0),MATCH(AC$5,'Exercise list'!$E$4:$X$4,0)),0)</f>
        <v>0</v>
      </c>
      <c r="AD342">
        <f>IFERROR(INDEX('Exercise list'!$E$5:$X$102,MATCH($C342,'Exercise list'!$C$5:$C$102,0),MATCH(AD$5,'Exercise list'!$E$4:$X$4,0)),0)</f>
        <v>0</v>
      </c>
      <c r="AE342">
        <f>IFERROR(INDEX('Exercise list'!$E$5:$X$102,MATCH($C342,'Exercise list'!$C$5:$C$102,0),MATCH(AE$5,'Exercise list'!$E$4:$X$4,0)),0)</f>
        <v>0</v>
      </c>
      <c r="AF342">
        <f>IFERROR(INDEX('Exercise list'!$E$5:$X$102,MATCH($C342,'Exercise list'!$C$5:$C$102,0),MATCH(AF$5,'Exercise list'!$E$4:$X$4,0)),0)</f>
        <v>0</v>
      </c>
      <c r="AG342">
        <f>IFERROR(INDEX('Exercise list'!$E$5:$X$102,MATCH($C342,'Exercise list'!$C$5:$C$102,0),MATCH(AG$5,'Exercise list'!$E$4:$X$4,0)),0)</f>
        <v>0</v>
      </c>
      <c r="AH342">
        <f>IFERROR(INDEX('Exercise list'!$E$5:$X$102,MATCH($C342,'Exercise list'!$C$5:$C$102,0),MATCH(AH$5,'Exercise list'!$E$4:$X$4,0)),0)</f>
        <v>0</v>
      </c>
      <c r="AI342">
        <f>IFERROR(INDEX('Exercise list'!$E$5:$X$102,MATCH($C342,'Exercise list'!$C$5:$C$102,0),MATCH(AI$5,'Exercise list'!$E$4:$X$4,0)),0)</f>
        <v>0</v>
      </c>
      <c r="AK342">
        <f>IF(OR($J342=1,COUNTIFS($A$5:$A341,"&gt;="&amp;$A342-1,$A$5:$A341,"&lt;="&amp;$A342,$B$5:$B341,$B342)&gt;0,MIN(1-'Exercise list'!E$2,IF($A342=$A341,AK341,1))-P342&lt;0),-1,MIN(1,IF($A342=$A341,AK341,1)-P342+$D$2))</f>
        <v>1</v>
      </c>
      <c r="AL342">
        <f>IF(OR($J342=1,COUNTIFS($A$5:$A341,"&gt;="&amp;$A342-1,$A$5:$A341,"&lt;="&amp;$A342,$B$5:$B341,$B342)&gt;0,MIN(1-'Exercise list'!F$2,IF($A342=$A341,AL341,1))-Q342&lt;0),-1,MIN(1,IF($A342=$A341,AL341,1)-Q342+$D$2))</f>
        <v>1</v>
      </c>
      <c r="AM342">
        <f>IF(OR($J342=1,COUNTIFS($A$5:$A341,"&gt;="&amp;$A342-1,$A$5:$A341,"&lt;="&amp;$A342,$B$5:$B341,$B342)&gt;0,MIN(1-'Exercise list'!G$2,IF($A342=$A341,AM341,1))-R342&lt;0),-1,MIN(1,IF($A342=$A341,AM341,1)-R342+$D$2))</f>
        <v>1</v>
      </c>
      <c r="AN342">
        <f>IF(OR($J342=1,COUNTIFS($A$5:$A341,"&gt;="&amp;$A342-1,$A$5:$A341,"&lt;="&amp;$A342,$B$5:$B341,$B342)&gt;0,MIN(1-'Exercise list'!H$2,IF($A342=$A341,AN341,1))-S342&lt;0),-1,MIN(1,IF($A342=$A341,AN341,1)-S342+$D$2))</f>
        <v>1</v>
      </c>
      <c r="AO342">
        <f>IF(OR($J342=1,COUNTIFS($A$5:$A341,"&gt;="&amp;$A342-1,$A$5:$A341,"&lt;="&amp;$A342,$B$5:$B341,$B342)&gt;0,MIN(1-'Exercise list'!I$2,IF($A342=$A341,AO341,1))-T342&lt;0),-1,MIN(1,IF($A342=$A341,AO341,1)-T342+$D$2))</f>
        <v>1</v>
      </c>
      <c r="AP342">
        <f>IF(OR($J342=1,COUNTIFS($A$5:$A341,"&gt;="&amp;$A342-1,$A$5:$A341,"&lt;="&amp;$A342,$B$5:$B341,$B342)&gt;0,MIN(1-'Exercise list'!J$2,IF($A342=$A341,AP341,1))-U342&lt;0),-1,MIN(1,IF($A342=$A341,AP341,1)-U342+$D$2))</f>
        <v>1</v>
      </c>
      <c r="AQ342">
        <f>IF(OR($J342=1,COUNTIFS($A$5:$A341,"&gt;="&amp;$A342-1,$A$5:$A341,"&lt;="&amp;$A342,$B$5:$B341,$B342)&gt;0,MIN(1-'Exercise list'!K$2,IF($A342=$A341,AQ341,1))-V342&lt;0),-1,MIN(1,IF($A342=$A341,AQ341,1)-V342+$D$2))</f>
        <v>1</v>
      </c>
      <c r="AR342">
        <f>IF(OR($J342=1,COUNTIFS($A$5:$A341,"&gt;="&amp;$A342-1,$A$5:$A341,"&lt;="&amp;$A342,$B$5:$B341,$B342)&gt;0,MIN(1-'Exercise list'!L$2,IF($A342=$A341,AR341,1))-W342&lt;0),-1,MIN(1,IF($A342=$A341,AR341,1)-W342+$D$2))</f>
        <v>1</v>
      </c>
      <c r="AS342">
        <f>IF(OR($J342=1,COUNTIFS($A$5:$A341,"&gt;="&amp;$A342-1,$A$5:$A341,"&lt;="&amp;$A342,$B$5:$B341,$B342)&gt;0,MIN(1-'Exercise list'!M$2,IF($A342=$A341,AS341,1))-X342&lt;0),-1,MIN(1,IF($A342=$A341,AS341,1)-X342+$D$2))</f>
        <v>1</v>
      </c>
      <c r="AT342">
        <f>IF(OR($J342=1,COUNTIFS($A$5:$A341,"&gt;="&amp;$A342-1,$A$5:$A341,"&lt;="&amp;$A342,$B$5:$B341,$B342)&gt;0,MIN(1-'Exercise list'!N$2,IF($A342=$A341,AT341,1))-Y342&lt;0),-1,MIN(1,IF($A342=$A341,AT341,1)-Y342+$D$2))</f>
        <v>1</v>
      </c>
      <c r="AU342">
        <f>IF(OR($J342=1,COUNTIFS($A$5:$A341,"&gt;="&amp;$A342-1,$A$5:$A341,"&lt;="&amp;$A342,$B$5:$B341,$B342)&gt;0,MIN(1-'Exercise list'!O$2,IF($A342=$A341,AU341,1))-Z342&lt;0),-1,MIN(1,IF($A342=$A341,AU341,1)-Z342+$D$2))</f>
        <v>1</v>
      </c>
      <c r="AV342">
        <f>IF(OR($J342=1,COUNTIFS($A$5:$A341,"&gt;="&amp;$A342-1,$A$5:$A341,"&lt;="&amp;$A342,$B$5:$B341,$B342)&gt;0,MIN(1-'Exercise list'!P$2,IF($A342=$A341,AV341,1))-AA342&lt;0),-1,MIN(1,IF($A342=$A341,AV341,1)-AA342+$D$2))</f>
        <v>1</v>
      </c>
      <c r="AW342">
        <f>IF(OR($J342=1,COUNTIFS($A$5:$A341,"&gt;="&amp;$A342-1,$A$5:$A341,"&lt;="&amp;$A342,$B$5:$B341,$B342)&gt;0,MIN(1-'Exercise list'!Q$2,IF($A342=$A341,AW341,1))-AB342&lt;0),-1,MIN(1,IF($A342=$A341,AW341,1)-AB342+$D$2))</f>
        <v>1</v>
      </c>
      <c r="AX342">
        <f>IF(OR($J342=1,COUNTIFS($A$5:$A341,"&gt;="&amp;$A342-1,$A$5:$A341,"&lt;="&amp;$A342,$B$5:$B341,$B342)&gt;0,MIN(1-'Exercise list'!R$2,IF($A342=$A341,AX341,1))-AC342&lt;0),-1,MIN(1,IF($A342=$A341,AX341,1)-AC342+$D$2))</f>
        <v>1</v>
      </c>
      <c r="AY342">
        <f>IF(OR($J342=1,COUNTIFS($A$5:$A341,"&gt;="&amp;$A342-1,$A$5:$A341,"&lt;="&amp;$A342,$B$5:$B341,$B342)&gt;0,MIN(1-'Exercise list'!S$2,IF($A342=$A341,AY341,1))-AD342&lt;0),-1,MIN(1,IF($A342=$A341,AY341,1)-AD342+$D$2))</f>
        <v>1</v>
      </c>
      <c r="AZ342">
        <f>IF(OR($J342=1,COUNTIFS($A$5:$A341,"&gt;="&amp;$A342-1,$A$5:$A341,"&lt;="&amp;$A342,$B$5:$B341,$B342)&gt;0,MIN(1-'Exercise list'!T$2,IF($A342=$A341,AZ341,1))-AE342&lt;0),-1,MIN(1,IF($A342=$A341,AZ341,1)-AE342+$D$2))</f>
        <v>1</v>
      </c>
      <c r="BA342">
        <f>IF(OR($J342=1,COUNTIFS($A$5:$A341,"&gt;="&amp;$A342-1,$A$5:$A341,"&lt;="&amp;$A342,$B$5:$B341,$B342)&gt;0,MIN(1-'Exercise list'!U$2,IF($A342=$A341,BA341,1))-AF342&lt;0),-1,MIN(1,IF($A342=$A341,BA341,1)-AF342+$D$2))</f>
        <v>1</v>
      </c>
      <c r="BB342">
        <f>IF(OR($J342=1,COUNTIFS($A$5:$A341,"&gt;="&amp;$A342-1,$A$5:$A341,"&lt;="&amp;$A342,$B$5:$B341,$B342)&gt;0,MIN(1-'Exercise list'!V$2,IF($A342=$A341,BB341,1))-AG342&lt;0),-1,MIN(1,IF($A342=$A341,BB341,1)-AG342+$D$2))</f>
        <v>1</v>
      </c>
      <c r="BC342">
        <f>IF(OR($J342=1,COUNTIFS($A$5:$A341,"&gt;="&amp;$A342-1,$A$5:$A341,"&lt;="&amp;$A342,$B$5:$B341,$B342)&gt;0,MIN(1-'Exercise list'!W$2,IF($A342=$A341,BC341,1))-AH342&lt;0),-1,MIN(1,IF($A342=$A341,BC341,1)-AH342+$D$2))</f>
        <v>1</v>
      </c>
      <c r="BD342">
        <f>IF(OR($J342=1,COUNTIFS($A$5:$A341,"&gt;="&amp;$A342-1,$A$5:$A341,"&lt;="&amp;$A342,$B$5:$B341,$B342)&gt;0,MIN(1-'Exercise list'!X$2,IF($A342=$A341,BD341,1))-AI342&lt;0),-1,MIN(1,IF($A342=$A341,BD341,1)-AI342+$D$2))</f>
        <v>1</v>
      </c>
      <c r="BF342" s="16">
        <f t="shared" si="233"/>
        <v>0.19596031081758858</v>
      </c>
      <c r="BG342" s="16">
        <f t="shared" si="234"/>
        <v>0.21844636935459236</v>
      </c>
      <c r="BH342" s="16">
        <f t="shared" si="235"/>
        <v>0.14609696635987124</v>
      </c>
      <c r="BI342" s="16">
        <f t="shared" si="236"/>
        <v>0.13198015366034541</v>
      </c>
      <c r="BJ342" s="16">
        <f t="shared" si="237"/>
        <v>8.3367914198418713E-2</v>
      </c>
      <c r="BK342" s="16">
        <f t="shared" si="238"/>
        <v>0.10640640223148412</v>
      </c>
      <c r="BL342" s="16">
        <f t="shared" si="239"/>
        <v>0.21963504743569431</v>
      </c>
      <c r="BM342" s="16">
        <f t="shared" si="240"/>
        <v>3.8988008374820568E-3</v>
      </c>
      <c r="BN342" s="16">
        <f t="shared" si="241"/>
        <v>0.14537706087090876</v>
      </c>
      <c r="BO342" s="16">
        <f t="shared" si="242"/>
        <v>0.29209790661993401</v>
      </c>
      <c r="BP342" s="16">
        <f t="shared" si="243"/>
        <v>0.31584545163401867</v>
      </c>
      <c r="BQ342" s="16">
        <f t="shared" si="244"/>
        <v>0.1000007994126096</v>
      </c>
      <c r="BR342" s="16">
        <f t="shared" si="245"/>
        <v>0.13164487759885393</v>
      </c>
      <c r="BS342" s="16">
        <f t="shared" si="246"/>
        <v>2.9803550189863123E-2</v>
      </c>
      <c r="BT342" s="16">
        <f t="shared" si="247"/>
        <v>0.13492040904978705</v>
      </c>
      <c r="BU342" s="16">
        <f t="shared" si="248"/>
        <v>0.11703687414398131</v>
      </c>
      <c r="BV342" s="16">
        <f t="shared" si="249"/>
        <v>0.14633353213781661</v>
      </c>
      <c r="BW342" s="16">
        <f t="shared" si="250"/>
        <v>7.5588015111767173E-2</v>
      </c>
      <c r="BX342" s="16">
        <f t="shared" si="251"/>
        <v>8.0345659937185704E-2</v>
      </c>
      <c r="BY342" s="16">
        <f t="shared" si="252"/>
        <v>5.9014643151272549E-2</v>
      </c>
      <c r="CA342" s="16" t="str">
        <f t="shared" si="273"/>
        <v/>
      </c>
      <c r="CB342" s="16" t="str">
        <f t="shared" si="254"/>
        <v/>
      </c>
      <c r="CC342" s="16" t="str">
        <f t="shared" si="255"/>
        <v/>
      </c>
      <c r="CD342" s="16" t="str">
        <f t="shared" si="256"/>
        <v/>
      </c>
      <c r="CE342" s="16" t="str">
        <f t="shared" si="257"/>
        <v/>
      </c>
      <c r="CF342" s="16" t="str">
        <f t="shared" si="258"/>
        <v/>
      </c>
      <c r="CG342" s="16" t="str">
        <f t="shared" si="259"/>
        <v/>
      </c>
      <c r="CH342" s="16" t="str">
        <f t="shared" si="260"/>
        <v/>
      </c>
      <c r="CI342" s="16" t="str">
        <f t="shared" si="261"/>
        <v/>
      </c>
      <c r="CJ342" s="16" t="str">
        <f t="shared" si="262"/>
        <v/>
      </c>
      <c r="CK342" s="16" t="str">
        <f t="shared" si="263"/>
        <v/>
      </c>
      <c r="CL342" s="16" t="str">
        <f t="shared" si="264"/>
        <v/>
      </c>
      <c r="CM342" s="16" t="str">
        <f t="shared" si="265"/>
        <v/>
      </c>
      <c r="CN342" s="16" t="str">
        <f t="shared" si="266"/>
        <v/>
      </c>
      <c r="CO342" s="16" t="str">
        <f t="shared" si="267"/>
        <v/>
      </c>
      <c r="CP342" s="16" t="str">
        <f t="shared" si="268"/>
        <v/>
      </c>
      <c r="CQ342" s="16" t="str">
        <f t="shared" si="269"/>
        <v/>
      </c>
      <c r="CR342" s="16" t="str">
        <f t="shared" si="270"/>
        <v/>
      </c>
      <c r="CS342" s="16" t="str">
        <f t="shared" si="271"/>
        <v/>
      </c>
      <c r="CT342" s="16" t="str">
        <f t="shared" si="272"/>
        <v/>
      </c>
    </row>
    <row r="343" spans="1:99" x14ac:dyDescent="0.25">
      <c r="A343" s="20"/>
      <c r="B343" s="21"/>
      <c r="C343" s="22" t="str" cm="1">
        <f t="array" ref="C343">IF(B343="","",INDEX('Exercise list'!$C$5:$C$102,B343))</f>
        <v/>
      </c>
      <c r="D343" s="17" t="str">
        <f t="shared" si="230"/>
        <v/>
      </c>
      <c r="E343" s="108" t="str">
        <f t="shared" si="253"/>
        <v/>
      </c>
      <c r="F343" s="65" t="str" cm="1">
        <f t="array" ref="F343">IF(B343="","",0.1+IFERROR(INDEX($F$6:$F342,SUMPRODUCT(MAX(ROW($C$6:$C342)*($C343=$C$6:$C342))-ROW($A$5)))*0.9^($A343-INDEX($A$6:A342,SUMPRODUCT(MAX(ROW($C$6:$C342)*($C343=$C$6:$C342))-ROW($A$5)))),0))</f>
        <v/>
      </c>
      <c r="G343" s="25" t="e">
        <f>INDEX('Exercise list'!$Y$5:$Y$102,MATCH(C343,'Exercise list'!$C$5:$C$102,0))</f>
        <v>#N/A</v>
      </c>
      <c r="H343" s="116">
        <f t="shared" si="231"/>
        <v>0</v>
      </c>
      <c r="I343" s="18">
        <f t="shared" si="232"/>
        <v>5</v>
      </c>
      <c r="J343" s="18" t="str" cm="1">
        <f t="array" ref="J343">IF(B343="","",INDEX('Exercise list'!$D$5:$D$102,B343))</f>
        <v/>
      </c>
      <c r="K343" s="17"/>
      <c r="L343" s="51" t="str" cm="1">
        <f t="array" ref="L343">IF(K343="","",INDEX('Exercise list'!$C$5:$C$102,K343))</f>
        <v/>
      </c>
      <c r="M343" s="18"/>
      <c r="N343" s="76" t="str" cm="1">
        <f t="array" ref="N343">IF(M343="","",INDEX('Exercise list'!$C$5:$C$102,M343))</f>
        <v/>
      </c>
      <c r="O343" s="19"/>
      <c r="P343" s="19">
        <f>IFERROR(INDEX('Exercise list'!$E$5:$X$102,MATCH($C343,'Exercise list'!$C$5:$C$102,0),MATCH(P$5,'Exercise list'!$E$4:$X$4,0)),0)</f>
        <v>0</v>
      </c>
      <c r="Q343" s="19">
        <f>IFERROR(INDEX('Exercise list'!$E$5:$X$102,MATCH($C343,'Exercise list'!$C$5:$C$102,0),MATCH(Q$5,'Exercise list'!$E$4:$X$4,0)),0)</f>
        <v>0</v>
      </c>
      <c r="R343" s="19">
        <f>IFERROR(INDEX('Exercise list'!$E$5:$X$102,MATCH($C343,'Exercise list'!$C$5:$C$102,0),MATCH(R$5,'Exercise list'!$E$4:$X$4,0)),0)</f>
        <v>0</v>
      </c>
      <c r="S343" s="19">
        <f>IFERROR(INDEX('Exercise list'!$E$5:$X$102,MATCH($C343,'Exercise list'!$C$5:$C$102,0),MATCH(S$5,'Exercise list'!$E$4:$X$4,0)),0)</f>
        <v>0</v>
      </c>
      <c r="T343" s="19">
        <f>IFERROR(INDEX('Exercise list'!$E$5:$X$102,MATCH($C343,'Exercise list'!$C$5:$C$102,0),MATCH(T$5,'Exercise list'!$E$4:$X$4,0)),0)</f>
        <v>0</v>
      </c>
      <c r="U343" s="19">
        <f>IFERROR(INDEX('Exercise list'!$E$5:$X$102,MATCH($C343,'Exercise list'!$C$5:$C$102,0),MATCH(U$5,'Exercise list'!$E$4:$X$4,0)),0)</f>
        <v>0</v>
      </c>
      <c r="V343" s="19">
        <f>IFERROR(INDEX('Exercise list'!$E$5:$X$102,MATCH($C343,'Exercise list'!$C$5:$C$102,0),MATCH(V$5,'Exercise list'!$E$4:$X$4,0)),0)</f>
        <v>0</v>
      </c>
      <c r="W343" s="19">
        <f>IFERROR(INDEX('Exercise list'!$E$5:$X$102,MATCH($C343,'Exercise list'!$C$5:$C$102,0),MATCH(W$5,'Exercise list'!$E$4:$X$4,0)),0)</f>
        <v>0</v>
      </c>
      <c r="X343" s="19">
        <f>IFERROR(INDEX('Exercise list'!$E$5:$X$102,MATCH($C343,'Exercise list'!$C$5:$C$102,0),MATCH(X$5,'Exercise list'!$E$4:$X$4,0)),0)</f>
        <v>0</v>
      </c>
      <c r="Y343" s="19">
        <f>IFERROR(INDEX('Exercise list'!$E$5:$X$102,MATCH($C343,'Exercise list'!$C$5:$C$102,0),MATCH(Y$5,'Exercise list'!$E$4:$X$4,0)),0)</f>
        <v>0</v>
      </c>
      <c r="Z343" s="19">
        <f>IFERROR(INDEX('Exercise list'!$E$5:$X$102,MATCH($C343,'Exercise list'!$C$5:$C$102,0),MATCH(Z$5,'Exercise list'!$E$4:$X$4,0)),0)</f>
        <v>0</v>
      </c>
      <c r="AA343" s="19">
        <f>IFERROR(INDEX('Exercise list'!$E$5:$X$102,MATCH($C343,'Exercise list'!$C$5:$C$102,0),MATCH(AA$5,'Exercise list'!$E$4:$X$4,0)),0)</f>
        <v>0</v>
      </c>
      <c r="AB343" s="19">
        <f>IFERROR(INDEX('Exercise list'!$E$5:$X$102,MATCH($C343,'Exercise list'!$C$5:$C$102,0),MATCH(AB$5,'Exercise list'!$E$4:$X$4,0)),0)</f>
        <v>0</v>
      </c>
      <c r="AC343" s="19">
        <f>IFERROR(INDEX('Exercise list'!$E$5:$X$102,MATCH($C343,'Exercise list'!$C$5:$C$102,0),MATCH(AC$5,'Exercise list'!$E$4:$X$4,0)),0)</f>
        <v>0</v>
      </c>
      <c r="AD343" s="19">
        <f>IFERROR(INDEX('Exercise list'!$E$5:$X$102,MATCH($C343,'Exercise list'!$C$5:$C$102,0),MATCH(AD$5,'Exercise list'!$E$4:$X$4,0)),0)</f>
        <v>0</v>
      </c>
      <c r="AE343" s="19">
        <f>IFERROR(INDEX('Exercise list'!$E$5:$X$102,MATCH($C343,'Exercise list'!$C$5:$C$102,0),MATCH(AE$5,'Exercise list'!$E$4:$X$4,0)),0)</f>
        <v>0</v>
      </c>
      <c r="AF343" s="19">
        <f>IFERROR(INDEX('Exercise list'!$E$5:$X$102,MATCH($C343,'Exercise list'!$C$5:$C$102,0),MATCH(AF$5,'Exercise list'!$E$4:$X$4,0)),0)</f>
        <v>0</v>
      </c>
      <c r="AG343" s="19">
        <f>IFERROR(INDEX('Exercise list'!$E$5:$X$102,MATCH($C343,'Exercise list'!$C$5:$C$102,0),MATCH(AG$5,'Exercise list'!$E$4:$X$4,0)),0)</f>
        <v>0</v>
      </c>
      <c r="AH343" s="19">
        <f>IFERROR(INDEX('Exercise list'!$E$5:$X$102,MATCH($C343,'Exercise list'!$C$5:$C$102,0),MATCH(AH$5,'Exercise list'!$E$4:$X$4,0)),0)</f>
        <v>0</v>
      </c>
      <c r="AI343" s="19">
        <f>IFERROR(INDEX('Exercise list'!$E$5:$X$102,MATCH($C343,'Exercise list'!$C$5:$C$102,0),MATCH(AI$5,'Exercise list'!$E$4:$X$4,0)),0)</f>
        <v>0</v>
      </c>
      <c r="AJ343" s="19"/>
      <c r="AK343" s="19">
        <f>IF(OR($J343=1,COUNTIFS($A$5:$A342,"&gt;="&amp;$A343-1,$A$5:$A342,"&lt;="&amp;$A343,$B$5:$B342,$B343)&gt;0,MIN(1-'Exercise list'!E$2,IF($A343=$A342,AK342,1))-P343&lt;0),-1,MIN(1,IF($A343=$A342,AK342,1)-P343+$D$2))</f>
        <v>1</v>
      </c>
      <c r="AL343" s="19">
        <f>IF(OR($J343=1,COUNTIFS($A$5:$A342,"&gt;="&amp;$A343-1,$A$5:$A342,"&lt;="&amp;$A343,$B$5:$B342,$B343)&gt;0,MIN(1-'Exercise list'!F$2,IF($A343=$A342,AL342,1))-Q343&lt;0),-1,MIN(1,IF($A343=$A342,AL342,1)-Q343+$D$2))</f>
        <v>1</v>
      </c>
      <c r="AM343" s="19">
        <f>IF(OR($J343=1,COUNTIFS($A$5:$A342,"&gt;="&amp;$A343-1,$A$5:$A342,"&lt;="&amp;$A343,$B$5:$B342,$B343)&gt;0,MIN(1-'Exercise list'!G$2,IF($A343=$A342,AM342,1))-R343&lt;0),-1,MIN(1,IF($A343=$A342,AM342,1)-R343+$D$2))</f>
        <v>1</v>
      </c>
      <c r="AN343" s="19">
        <f>IF(OR($J343=1,COUNTIFS($A$5:$A342,"&gt;="&amp;$A343-1,$A$5:$A342,"&lt;="&amp;$A343,$B$5:$B342,$B343)&gt;0,MIN(1-'Exercise list'!H$2,IF($A343=$A342,AN342,1))-S343&lt;0),-1,MIN(1,IF($A343=$A342,AN342,1)-S343+$D$2))</f>
        <v>1</v>
      </c>
      <c r="AO343" s="19">
        <f>IF(OR($J343=1,COUNTIFS($A$5:$A342,"&gt;="&amp;$A343-1,$A$5:$A342,"&lt;="&amp;$A343,$B$5:$B342,$B343)&gt;0,MIN(1-'Exercise list'!I$2,IF($A343=$A342,AO342,1))-T343&lt;0),-1,MIN(1,IF($A343=$A342,AO342,1)-T343+$D$2))</f>
        <v>1</v>
      </c>
      <c r="AP343" s="19">
        <f>IF(OR($J343=1,COUNTIFS($A$5:$A342,"&gt;="&amp;$A343-1,$A$5:$A342,"&lt;="&amp;$A343,$B$5:$B342,$B343)&gt;0,MIN(1-'Exercise list'!J$2,IF($A343=$A342,AP342,1))-U343&lt;0),-1,MIN(1,IF($A343=$A342,AP342,1)-U343+$D$2))</f>
        <v>1</v>
      </c>
      <c r="AQ343" s="19">
        <f>IF(OR($J343=1,COUNTIFS($A$5:$A342,"&gt;="&amp;$A343-1,$A$5:$A342,"&lt;="&amp;$A343,$B$5:$B342,$B343)&gt;0,MIN(1-'Exercise list'!K$2,IF($A343=$A342,AQ342,1))-V343&lt;0),-1,MIN(1,IF($A343=$A342,AQ342,1)-V343+$D$2))</f>
        <v>1</v>
      </c>
      <c r="AR343" s="19">
        <f>IF(OR($J343=1,COUNTIFS($A$5:$A342,"&gt;="&amp;$A343-1,$A$5:$A342,"&lt;="&amp;$A343,$B$5:$B342,$B343)&gt;0,MIN(1-'Exercise list'!L$2,IF($A343=$A342,AR342,1))-W343&lt;0),-1,MIN(1,IF($A343=$A342,AR342,1)-W343+$D$2))</f>
        <v>1</v>
      </c>
      <c r="AS343" s="19">
        <f>IF(OR($J343=1,COUNTIFS($A$5:$A342,"&gt;="&amp;$A343-1,$A$5:$A342,"&lt;="&amp;$A343,$B$5:$B342,$B343)&gt;0,MIN(1-'Exercise list'!M$2,IF($A343=$A342,AS342,1))-X343&lt;0),-1,MIN(1,IF($A343=$A342,AS342,1)-X343+$D$2))</f>
        <v>1</v>
      </c>
      <c r="AT343" s="19">
        <f>IF(OR($J343=1,COUNTIFS($A$5:$A342,"&gt;="&amp;$A343-1,$A$5:$A342,"&lt;="&amp;$A343,$B$5:$B342,$B343)&gt;0,MIN(1-'Exercise list'!N$2,IF($A343=$A342,AT342,1))-Y343&lt;0),-1,MIN(1,IF($A343=$A342,AT342,1)-Y343+$D$2))</f>
        <v>1</v>
      </c>
      <c r="AU343" s="19">
        <f>IF(OR($J343=1,COUNTIFS($A$5:$A342,"&gt;="&amp;$A343-1,$A$5:$A342,"&lt;="&amp;$A343,$B$5:$B342,$B343)&gt;0,MIN(1-'Exercise list'!O$2,IF($A343=$A342,AU342,1))-Z343&lt;0),-1,MIN(1,IF($A343=$A342,AU342,1)-Z343+$D$2))</f>
        <v>1</v>
      </c>
      <c r="AV343" s="19">
        <f>IF(OR($J343=1,COUNTIFS($A$5:$A342,"&gt;="&amp;$A343-1,$A$5:$A342,"&lt;="&amp;$A343,$B$5:$B342,$B343)&gt;0,MIN(1-'Exercise list'!P$2,IF($A343=$A342,AV342,1))-AA343&lt;0),-1,MIN(1,IF($A343=$A342,AV342,1)-AA343+$D$2))</f>
        <v>1</v>
      </c>
      <c r="AW343" s="19">
        <f>IF(OR($J343=1,COUNTIFS($A$5:$A342,"&gt;="&amp;$A343-1,$A$5:$A342,"&lt;="&amp;$A343,$B$5:$B342,$B343)&gt;0,MIN(1-'Exercise list'!Q$2,IF($A343=$A342,AW342,1))-AB343&lt;0),-1,MIN(1,IF($A343=$A342,AW342,1)-AB343+$D$2))</f>
        <v>1</v>
      </c>
      <c r="AX343" s="19">
        <f>IF(OR($J343=1,COUNTIFS($A$5:$A342,"&gt;="&amp;$A343-1,$A$5:$A342,"&lt;="&amp;$A343,$B$5:$B342,$B343)&gt;0,MIN(1-'Exercise list'!R$2,IF($A343=$A342,AX342,1))-AC343&lt;0),-1,MIN(1,IF($A343=$A342,AX342,1)-AC343+$D$2))</f>
        <v>1</v>
      </c>
      <c r="AY343" s="19">
        <f>IF(OR($J343=1,COUNTIFS($A$5:$A342,"&gt;="&amp;$A343-1,$A$5:$A342,"&lt;="&amp;$A343,$B$5:$B342,$B343)&gt;0,MIN(1-'Exercise list'!S$2,IF($A343=$A342,AY342,1))-AD343&lt;0),-1,MIN(1,IF($A343=$A342,AY342,1)-AD343+$D$2))</f>
        <v>1</v>
      </c>
      <c r="AZ343" s="19">
        <f>IF(OR($J343=1,COUNTIFS($A$5:$A342,"&gt;="&amp;$A343-1,$A$5:$A342,"&lt;="&amp;$A343,$B$5:$B342,$B343)&gt;0,MIN(1-'Exercise list'!T$2,IF($A343=$A342,AZ342,1))-AE343&lt;0),-1,MIN(1,IF($A343=$A342,AZ342,1)-AE343+$D$2))</f>
        <v>1</v>
      </c>
      <c r="BA343" s="19">
        <f>IF(OR($J343=1,COUNTIFS($A$5:$A342,"&gt;="&amp;$A343-1,$A$5:$A342,"&lt;="&amp;$A343,$B$5:$B342,$B343)&gt;0,MIN(1-'Exercise list'!U$2,IF($A343=$A342,BA342,1))-AF343&lt;0),-1,MIN(1,IF($A343=$A342,BA342,1)-AF343+$D$2))</f>
        <v>1</v>
      </c>
      <c r="BB343" s="19">
        <f>IF(OR($J343=1,COUNTIFS($A$5:$A342,"&gt;="&amp;$A343-1,$A$5:$A342,"&lt;="&amp;$A343,$B$5:$B342,$B343)&gt;0,MIN(1-'Exercise list'!V$2,IF($A343=$A342,BB342,1))-AG343&lt;0),-1,MIN(1,IF($A343=$A342,BB342,1)-AG343+$D$2))</f>
        <v>1</v>
      </c>
      <c r="BC343" s="19">
        <f>IF(OR($J343=1,COUNTIFS($A$5:$A342,"&gt;="&amp;$A343-1,$A$5:$A342,"&lt;="&amp;$A343,$B$5:$B342,$B343)&gt;0,MIN(1-'Exercise list'!W$2,IF($A343=$A342,BC342,1))-AH343&lt;0),-1,MIN(1,IF($A343=$A342,BC342,1)-AH343+$D$2))</f>
        <v>1</v>
      </c>
      <c r="BD343" s="19">
        <f>IF(OR($J343=1,COUNTIFS($A$5:$A342,"&gt;="&amp;$A343-1,$A$5:$A342,"&lt;="&amp;$A343,$B$5:$B342,$B343)&gt;0,MIN(1-'Exercise list'!X$2,IF($A343=$A342,BD342,1))-AI343&lt;0),-1,MIN(1,IF($A343=$A342,BD342,1)-AI343+$D$2))</f>
        <v>1</v>
      </c>
      <c r="BE343" s="19"/>
      <c r="BF343" s="23">
        <f t="shared" si="233"/>
        <v>0.19596031081758858</v>
      </c>
      <c r="BG343" s="23">
        <f t="shared" si="234"/>
        <v>0.21844636935459236</v>
      </c>
      <c r="BH343" s="23">
        <f t="shared" si="235"/>
        <v>0.14609696635987124</v>
      </c>
      <c r="BI343" s="23">
        <f t="shared" si="236"/>
        <v>0.13198015366034541</v>
      </c>
      <c r="BJ343" s="23">
        <f t="shared" si="237"/>
        <v>8.3367914198418713E-2</v>
      </c>
      <c r="BK343" s="23">
        <f t="shared" si="238"/>
        <v>0.10640640223148412</v>
      </c>
      <c r="BL343" s="23">
        <f t="shared" si="239"/>
        <v>0.21963504743569431</v>
      </c>
      <c r="BM343" s="23">
        <f t="shared" si="240"/>
        <v>3.8988008374820568E-3</v>
      </c>
      <c r="BN343" s="23">
        <f t="shared" si="241"/>
        <v>0.14537706087090876</v>
      </c>
      <c r="BO343" s="23">
        <f t="shared" si="242"/>
        <v>0.29209790661993401</v>
      </c>
      <c r="BP343" s="23">
        <f t="shared" si="243"/>
        <v>0.31584545163401867</v>
      </c>
      <c r="BQ343" s="23">
        <f t="shared" si="244"/>
        <v>0.1000007994126096</v>
      </c>
      <c r="BR343" s="23">
        <f t="shared" si="245"/>
        <v>0.13164487759885393</v>
      </c>
      <c r="BS343" s="23">
        <f t="shared" si="246"/>
        <v>2.9803550189863123E-2</v>
      </c>
      <c r="BT343" s="23">
        <f t="shared" si="247"/>
        <v>0.13492040904978705</v>
      </c>
      <c r="BU343" s="23">
        <f t="shared" si="248"/>
        <v>0.11703687414398131</v>
      </c>
      <c r="BV343" s="23">
        <f t="shared" si="249"/>
        <v>0.14633353213781661</v>
      </c>
      <c r="BW343" s="23">
        <f t="shared" si="250"/>
        <v>7.5588015111767173E-2</v>
      </c>
      <c r="BX343" s="23">
        <f t="shared" si="251"/>
        <v>8.0345659937185704E-2</v>
      </c>
      <c r="BY343" s="23">
        <f t="shared" si="252"/>
        <v>5.9014643151272549E-2</v>
      </c>
      <c r="BZ343" s="19"/>
      <c r="CA343" s="23" t="str">
        <f t="shared" si="273"/>
        <v/>
      </c>
      <c r="CB343" s="23" t="str">
        <f t="shared" si="254"/>
        <v/>
      </c>
      <c r="CC343" s="23" t="str">
        <f t="shared" si="255"/>
        <v/>
      </c>
      <c r="CD343" s="23" t="str">
        <f t="shared" si="256"/>
        <v/>
      </c>
      <c r="CE343" s="23" t="str">
        <f t="shared" si="257"/>
        <v/>
      </c>
      <c r="CF343" s="23" t="str">
        <f t="shared" si="258"/>
        <v/>
      </c>
      <c r="CG343" s="23" t="str">
        <f t="shared" si="259"/>
        <v/>
      </c>
      <c r="CH343" s="23" t="str">
        <f t="shared" si="260"/>
        <v/>
      </c>
      <c r="CI343" s="23" t="str">
        <f t="shared" si="261"/>
        <v/>
      </c>
      <c r="CJ343" s="23" t="str">
        <f t="shared" si="262"/>
        <v/>
      </c>
      <c r="CK343" s="23" t="str">
        <f t="shared" si="263"/>
        <v/>
      </c>
      <c r="CL343" s="23" t="str">
        <f t="shared" si="264"/>
        <v/>
      </c>
      <c r="CM343" s="23" t="str">
        <f t="shared" si="265"/>
        <v/>
      </c>
      <c r="CN343" s="23" t="str">
        <f t="shared" si="266"/>
        <v/>
      </c>
      <c r="CO343" s="23" t="str">
        <f t="shared" si="267"/>
        <v/>
      </c>
      <c r="CP343" s="23" t="str">
        <f t="shared" si="268"/>
        <v/>
      </c>
      <c r="CQ343" s="23" t="str">
        <f t="shared" si="269"/>
        <v/>
      </c>
      <c r="CR343" s="23" t="str">
        <f t="shared" si="270"/>
        <v/>
      </c>
      <c r="CS343" s="23" t="str">
        <f t="shared" si="271"/>
        <v/>
      </c>
      <c r="CT343" s="23" t="str">
        <f t="shared" si="272"/>
        <v/>
      </c>
      <c r="CU343" s="19"/>
    </row>
    <row r="344" spans="1:99" x14ac:dyDescent="0.25">
      <c r="A344" s="13"/>
      <c r="B344" s="14"/>
      <c r="C344" s="15" t="str" cm="1">
        <f t="array" ref="C344">IF(B344="","",INDEX('Exercise list'!$C$5:$C$102,B344))</f>
        <v/>
      </c>
      <c r="D344" s="12" t="str">
        <f t="shared" si="230"/>
        <v/>
      </c>
      <c r="E344" s="107" t="str">
        <f t="shared" si="253"/>
        <v/>
      </c>
      <c r="F344" s="63" t="str" cm="1">
        <f t="array" ref="F344">IF(B344="","",0.1+IFERROR(INDEX($F$6:$F343,SUMPRODUCT(MAX(ROW($C$6:$C343)*($C344=$C$6:$C343))-ROW($A$5)))*0.9^($A344-INDEX($A$6:A343,SUMPRODUCT(MAX(ROW($C$6:$C343)*($C344=$C$6:$C343))-ROW($A$5)))),0))</f>
        <v/>
      </c>
      <c r="G344" s="64" t="e">
        <f>INDEX('Exercise list'!$Y$5:$Y$102,MATCH(C344,'Exercise list'!$C$5:$C$102,0))</f>
        <v>#N/A</v>
      </c>
      <c r="H344" s="115">
        <f t="shared" si="231"/>
        <v>0</v>
      </c>
      <c r="I344" s="42">
        <f t="shared" si="232"/>
        <v>5</v>
      </c>
      <c r="J344" s="6" t="str" cm="1">
        <f t="array" ref="J344">IF(B344="","",INDEX('Exercise list'!$D$5:$D$102,B344))</f>
        <v/>
      </c>
      <c r="K344" s="12"/>
      <c r="L344" s="74" t="str" cm="1">
        <f t="array" ref="L344">IF(K344="","",INDEX('Exercise list'!$C$5:$C$102,K344))</f>
        <v/>
      </c>
      <c r="M344" s="6"/>
      <c r="N344" s="75" t="str" cm="1">
        <f t="array" ref="N344">IF(M344="","",INDEX('Exercise list'!$C$5:$C$102,M344))</f>
        <v/>
      </c>
      <c r="P344">
        <f>IFERROR(INDEX('Exercise list'!$E$5:$X$102,MATCH($C344,'Exercise list'!$C$5:$C$102,0),MATCH(P$5,'Exercise list'!$E$4:$X$4,0)),0)</f>
        <v>0</v>
      </c>
      <c r="Q344">
        <f>IFERROR(INDEX('Exercise list'!$E$5:$X$102,MATCH($C344,'Exercise list'!$C$5:$C$102,0),MATCH(Q$5,'Exercise list'!$E$4:$X$4,0)),0)</f>
        <v>0</v>
      </c>
      <c r="R344">
        <f>IFERROR(INDEX('Exercise list'!$E$5:$X$102,MATCH($C344,'Exercise list'!$C$5:$C$102,0),MATCH(R$5,'Exercise list'!$E$4:$X$4,0)),0)</f>
        <v>0</v>
      </c>
      <c r="S344">
        <f>IFERROR(INDEX('Exercise list'!$E$5:$X$102,MATCH($C344,'Exercise list'!$C$5:$C$102,0),MATCH(S$5,'Exercise list'!$E$4:$X$4,0)),0)</f>
        <v>0</v>
      </c>
      <c r="T344">
        <f>IFERROR(INDEX('Exercise list'!$E$5:$X$102,MATCH($C344,'Exercise list'!$C$5:$C$102,0),MATCH(T$5,'Exercise list'!$E$4:$X$4,0)),0)</f>
        <v>0</v>
      </c>
      <c r="U344">
        <f>IFERROR(INDEX('Exercise list'!$E$5:$X$102,MATCH($C344,'Exercise list'!$C$5:$C$102,0),MATCH(U$5,'Exercise list'!$E$4:$X$4,0)),0)</f>
        <v>0</v>
      </c>
      <c r="V344">
        <f>IFERROR(INDEX('Exercise list'!$E$5:$X$102,MATCH($C344,'Exercise list'!$C$5:$C$102,0),MATCH(V$5,'Exercise list'!$E$4:$X$4,0)),0)</f>
        <v>0</v>
      </c>
      <c r="W344">
        <f>IFERROR(INDEX('Exercise list'!$E$5:$X$102,MATCH($C344,'Exercise list'!$C$5:$C$102,0),MATCH(W$5,'Exercise list'!$E$4:$X$4,0)),0)</f>
        <v>0</v>
      </c>
      <c r="X344">
        <f>IFERROR(INDEX('Exercise list'!$E$5:$X$102,MATCH($C344,'Exercise list'!$C$5:$C$102,0),MATCH(X$5,'Exercise list'!$E$4:$X$4,0)),0)</f>
        <v>0</v>
      </c>
      <c r="Y344">
        <f>IFERROR(INDEX('Exercise list'!$E$5:$X$102,MATCH($C344,'Exercise list'!$C$5:$C$102,0),MATCH(Y$5,'Exercise list'!$E$4:$X$4,0)),0)</f>
        <v>0</v>
      </c>
      <c r="Z344">
        <f>IFERROR(INDEX('Exercise list'!$E$5:$X$102,MATCH($C344,'Exercise list'!$C$5:$C$102,0),MATCH(Z$5,'Exercise list'!$E$4:$X$4,0)),0)</f>
        <v>0</v>
      </c>
      <c r="AA344">
        <f>IFERROR(INDEX('Exercise list'!$E$5:$X$102,MATCH($C344,'Exercise list'!$C$5:$C$102,0),MATCH(AA$5,'Exercise list'!$E$4:$X$4,0)),0)</f>
        <v>0</v>
      </c>
      <c r="AB344">
        <f>IFERROR(INDEX('Exercise list'!$E$5:$X$102,MATCH($C344,'Exercise list'!$C$5:$C$102,0),MATCH(AB$5,'Exercise list'!$E$4:$X$4,0)),0)</f>
        <v>0</v>
      </c>
      <c r="AC344">
        <f>IFERROR(INDEX('Exercise list'!$E$5:$X$102,MATCH($C344,'Exercise list'!$C$5:$C$102,0),MATCH(AC$5,'Exercise list'!$E$4:$X$4,0)),0)</f>
        <v>0</v>
      </c>
      <c r="AD344">
        <f>IFERROR(INDEX('Exercise list'!$E$5:$X$102,MATCH($C344,'Exercise list'!$C$5:$C$102,0),MATCH(AD$5,'Exercise list'!$E$4:$X$4,0)),0)</f>
        <v>0</v>
      </c>
      <c r="AE344">
        <f>IFERROR(INDEX('Exercise list'!$E$5:$X$102,MATCH($C344,'Exercise list'!$C$5:$C$102,0),MATCH(AE$5,'Exercise list'!$E$4:$X$4,0)),0)</f>
        <v>0</v>
      </c>
      <c r="AF344">
        <f>IFERROR(INDEX('Exercise list'!$E$5:$X$102,MATCH($C344,'Exercise list'!$C$5:$C$102,0),MATCH(AF$5,'Exercise list'!$E$4:$X$4,0)),0)</f>
        <v>0</v>
      </c>
      <c r="AG344">
        <f>IFERROR(INDEX('Exercise list'!$E$5:$X$102,MATCH($C344,'Exercise list'!$C$5:$C$102,0),MATCH(AG$5,'Exercise list'!$E$4:$X$4,0)),0)</f>
        <v>0</v>
      </c>
      <c r="AH344">
        <f>IFERROR(INDEX('Exercise list'!$E$5:$X$102,MATCH($C344,'Exercise list'!$C$5:$C$102,0),MATCH(AH$5,'Exercise list'!$E$4:$X$4,0)),0)</f>
        <v>0</v>
      </c>
      <c r="AI344">
        <f>IFERROR(INDEX('Exercise list'!$E$5:$X$102,MATCH($C344,'Exercise list'!$C$5:$C$102,0),MATCH(AI$5,'Exercise list'!$E$4:$X$4,0)),0)</f>
        <v>0</v>
      </c>
      <c r="AK344">
        <f>IF(OR($J344=1,COUNTIFS($A$5:$A343,"&gt;="&amp;$A344-1,$A$5:$A343,"&lt;="&amp;$A344,$B$5:$B343,$B344)&gt;0,MIN(1-'Exercise list'!E$2,IF($A344=$A343,AK343,1))-P344&lt;0),-1,MIN(1,IF($A344=$A343,AK343,1)-P344+$D$2))</f>
        <v>1</v>
      </c>
      <c r="AL344">
        <f>IF(OR($J344=1,COUNTIFS($A$5:$A343,"&gt;="&amp;$A344-1,$A$5:$A343,"&lt;="&amp;$A344,$B$5:$B343,$B344)&gt;0,MIN(1-'Exercise list'!F$2,IF($A344=$A343,AL343,1))-Q344&lt;0),-1,MIN(1,IF($A344=$A343,AL343,1)-Q344+$D$2))</f>
        <v>1</v>
      </c>
      <c r="AM344">
        <f>IF(OR($J344=1,COUNTIFS($A$5:$A343,"&gt;="&amp;$A344-1,$A$5:$A343,"&lt;="&amp;$A344,$B$5:$B343,$B344)&gt;0,MIN(1-'Exercise list'!G$2,IF($A344=$A343,AM343,1))-R344&lt;0),-1,MIN(1,IF($A344=$A343,AM343,1)-R344+$D$2))</f>
        <v>1</v>
      </c>
      <c r="AN344">
        <f>IF(OR($J344=1,COUNTIFS($A$5:$A343,"&gt;="&amp;$A344-1,$A$5:$A343,"&lt;="&amp;$A344,$B$5:$B343,$B344)&gt;0,MIN(1-'Exercise list'!H$2,IF($A344=$A343,AN343,1))-S344&lt;0),-1,MIN(1,IF($A344=$A343,AN343,1)-S344+$D$2))</f>
        <v>1</v>
      </c>
      <c r="AO344">
        <f>IF(OR($J344=1,COUNTIFS($A$5:$A343,"&gt;="&amp;$A344-1,$A$5:$A343,"&lt;="&amp;$A344,$B$5:$B343,$B344)&gt;0,MIN(1-'Exercise list'!I$2,IF($A344=$A343,AO343,1))-T344&lt;0),-1,MIN(1,IF($A344=$A343,AO343,1)-T344+$D$2))</f>
        <v>1</v>
      </c>
      <c r="AP344">
        <f>IF(OR($J344=1,COUNTIFS($A$5:$A343,"&gt;="&amp;$A344-1,$A$5:$A343,"&lt;="&amp;$A344,$B$5:$B343,$B344)&gt;0,MIN(1-'Exercise list'!J$2,IF($A344=$A343,AP343,1))-U344&lt;0),-1,MIN(1,IF($A344=$A343,AP343,1)-U344+$D$2))</f>
        <v>1</v>
      </c>
      <c r="AQ344">
        <f>IF(OR($J344=1,COUNTIFS($A$5:$A343,"&gt;="&amp;$A344-1,$A$5:$A343,"&lt;="&amp;$A344,$B$5:$B343,$B344)&gt;0,MIN(1-'Exercise list'!K$2,IF($A344=$A343,AQ343,1))-V344&lt;0),-1,MIN(1,IF($A344=$A343,AQ343,1)-V344+$D$2))</f>
        <v>1</v>
      </c>
      <c r="AR344">
        <f>IF(OR($J344=1,COUNTIFS($A$5:$A343,"&gt;="&amp;$A344-1,$A$5:$A343,"&lt;="&amp;$A344,$B$5:$B343,$B344)&gt;0,MIN(1-'Exercise list'!L$2,IF($A344=$A343,AR343,1))-W344&lt;0),-1,MIN(1,IF($A344=$A343,AR343,1)-W344+$D$2))</f>
        <v>1</v>
      </c>
      <c r="AS344">
        <f>IF(OR($J344=1,COUNTIFS($A$5:$A343,"&gt;="&amp;$A344-1,$A$5:$A343,"&lt;="&amp;$A344,$B$5:$B343,$B344)&gt;0,MIN(1-'Exercise list'!M$2,IF($A344=$A343,AS343,1))-X344&lt;0),-1,MIN(1,IF($A344=$A343,AS343,1)-X344+$D$2))</f>
        <v>1</v>
      </c>
      <c r="AT344">
        <f>IF(OR($J344=1,COUNTIFS($A$5:$A343,"&gt;="&amp;$A344-1,$A$5:$A343,"&lt;="&amp;$A344,$B$5:$B343,$B344)&gt;0,MIN(1-'Exercise list'!N$2,IF($A344=$A343,AT343,1))-Y344&lt;0),-1,MIN(1,IF($A344=$A343,AT343,1)-Y344+$D$2))</f>
        <v>1</v>
      </c>
      <c r="AU344">
        <f>IF(OR($J344=1,COUNTIFS($A$5:$A343,"&gt;="&amp;$A344-1,$A$5:$A343,"&lt;="&amp;$A344,$B$5:$B343,$B344)&gt;0,MIN(1-'Exercise list'!O$2,IF($A344=$A343,AU343,1))-Z344&lt;0),-1,MIN(1,IF($A344=$A343,AU343,1)-Z344+$D$2))</f>
        <v>1</v>
      </c>
      <c r="AV344">
        <f>IF(OR($J344=1,COUNTIFS($A$5:$A343,"&gt;="&amp;$A344-1,$A$5:$A343,"&lt;="&amp;$A344,$B$5:$B343,$B344)&gt;0,MIN(1-'Exercise list'!P$2,IF($A344=$A343,AV343,1))-AA344&lt;0),-1,MIN(1,IF($A344=$A343,AV343,1)-AA344+$D$2))</f>
        <v>1</v>
      </c>
      <c r="AW344">
        <f>IF(OR($J344=1,COUNTIFS($A$5:$A343,"&gt;="&amp;$A344-1,$A$5:$A343,"&lt;="&amp;$A344,$B$5:$B343,$B344)&gt;0,MIN(1-'Exercise list'!Q$2,IF($A344=$A343,AW343,1))-AB344&lt;0),-1,MIN(1,IF($A344=$A343,AW343,1)-AB344+$D$2))</f>
        <v>1</v>
      </c>
      <c r="AX344">
        <f>IF(OR($J344=1,COUNTIFS($A$5:$A343,"&gt;="&amp;$A344-1,$A$5:$A343,"&lt;="&amp;$A344,$B$5:$B343,$B344)&gt;0,MIN(1-'Exercise list'!R$2,IF($A344=$A343,AX343,1))-AC344&lt;0),-1,MIN(1,IF($A344=$A343,AX343,1)-AC344+$D$2))</f>
        <v>1</v>
      </c>
      <c r="AY344">
        <f>IF(OR($J344=1,COUNTIFS($A$5:$A343,"&gt;="&amp;$A344-1,$A$5:$A343,"&lt;="&amp;$A344,$B$5:$B343,$B344)&gt;0,MIN(1-'Exercise list'!S$2,IF($A344=$A343,AY343,1))-AD344&lt;0),-1,MIN(1,IF($A344=$A343,AY343,1)-AD344+$D$2))</f>
        <v>1</v>
      </c>
      <c r="AZ344">
        <f>IF(OR($J344=1,COUNTIFS($A$5:$A343,"&gt;="&amp;$A344-1,$A$5:$A343,"&lt;="&amp;$A344,$B$5:$B343,$B344)&gt;0,MIN(1-'Exercise list'!T$2,IF($A344=$A343,AZ343,1))-AE344&lt;0),-1,MIN(1,IF($A344=$A343,AZ343,1)-AE344+$D$2))</f>
        <v>1</v>
      </c>
      <c r="BA344">
        <f>IF(OR($J344=1,COUNTIFS($A$5:$A343,"&gt;="&amp;$A344-1,$A$5:$A343,"&lt;="&amp;$A344,$B$5:$B343,$B344)&gt;0,MIN(1-'Exercise list'!U$2,IF($A344=$A343,BA343,1))-AF344&lt;0),-1,MIN(1,IF($A344=$A343,BA343,1)-AF344+$D$2))</f>
        <v>1</v>
      </c>
      <c r="BB344">
        <f>IF(OR($J344=1,COUNTIFS($A$5:$A343,"&gt;="&amp;$A344-1,$A$5:$A343,"&lt;="&amp;$A344,$B$5:$B343,$B344)&gt;0,MIN(1-'Exercise list'!V$2,IF($A344=$A343,BB343,1))-AG344&lt;0),-1,MIN(1,IF($A344=$A343,BB343,1)-AG344+$D$2))</f>
        <v>1</v>
      </c>
      <c r="BC344">
        <f>IF(OR($J344=1,COUNTIFS($A$5:$A343,"&gt;="&amp;$A344-1,$A$5:$A343,"&lt;="&amp;$A344,$B$5:$B343,$B344)&gt;0,MIN(1-'Exercise list'!W$2,IF($A344=$A343,BC343,1))-AH344&lt;0),-1,MIN(1,IF($A344=$A343,BC343,1)-AH344+$D$2))</f>
        <v>1</v>
      </c>
      <c r="BD344">
        <f>IF(OR($J344=1,COUNTIFS($A$5:$A343,"&gt;="&amp;$A344-1,$A$5:$A343,"&lt;="&amp;$A344,$B$5:$B343,$B344)&gt;0,MIN(1-'Exercise list'!X$2,IF($A344=$A343,BD343,1))-AI344&lt;0),-1,MIN(1,IF($A344=$A343,BD343,1)-AI344+$D$2))</f>
        <v>1</v>
      </c>
      <c r="BF344" s="16">
        <f t="shared" si="233"/>
        <v>0.19596031081758858</v>
      </c>
      <c r="BG344" s="16">
        <f t="shared" si="234"/>
        <v>0.21844636935459236</v>
      </c>
      <c r="BH344" s="16">
        <f t="shared" si="235"/>
        <v>0.14609696635987124</v>
      </c>
      <c r="BI344" s="16">
        <f t="shared" si="236"/>
        <v>0.13198015366034541</v>
      </c>
      <c r="BJ344" s="16">
        <f t="shared" si="237"/>
        <v>8.3367914198418713E-2</v>
      </c>
      <c r="BK344" s="16">
        <f t="shared" si="238"/>
        <v>0.10640640223148412</v>
      </c>
      <c r="BL344" s="16">
        <f t="shared" si="239"/>
        <v>0.21963504743569431</v>
      </c>
      <c r="BM344" s="16">
        <f t="shared" si="240"/>
        <v>3.8988008374820568E-3</v>
      </c>
      <c r="BN344" s="16">
        <f t="shared" si="241"/>
        <v>0.14537706087090876</v>
      </c>
      <c r="BO344" s="16">
        <f t="shared" si="242"/>
        <v>0.29209790661993401</v>
      </c>
      <c r="BP344" s="16">
        <f t="shared" si="243"/>
        <v>0.31584545163401867</v>
      </c>
      <c r="BQ344" s="16">
        <f t="shared" si="244"/>
        <v>0.1000007994126096</v>
      </c>
      <c r="BR344" s="16">
        <f t="shared" si="245"/>
        <v>0.13164487759885393</v>
      </c>
      <c r="BS344" s="16">
        <f t="shared" si="246"/>
        <v>2.9803550189863123E-2</v>
      </c>
      <c r="BT344" s="16">
        <f t="shared" si="247"/>
        <v>0.13492040904978705</v>
      </c>
      <c r="BU344" s="16">
        <f t="shared" si="248"/>
        <v>0.11703687414398131</v>
      </c>
      <c r="BV344" s="16">
        <f t="shared" si="249"/>
        <v>0.14633353213781661</v>
      </c>
      <c r="BW344" s="16">
        <f t="shared" si="250"/>
        <v>7.5588015111767173E-2</v>
      </c>
      <c r="BX344" s="16">
        <f t="shared" si="251"/>
        <v>8.0345659937185704E-2</v>
      </c>
      <c r="BY344" s="16">
        <f t="shared" si="252"/>
        <v>5.9014643151272549E-2</v>
      </c>
      <c r="CA344" s="16" t="str">
        <f t="shared" si="273"/>
        <v/>
      </c>
      <c r="CB344" s="16" t="str">
        <f t="shared" si="254"/>
        <v/>
      </c>
      <c r="CC344" s="16" t="str">
        <f t="shared" si="255"/>
        <v/>
      </c>
      <c r="CD344" s="16" t="str">
        <f t="shared" si="256"/>
        <v/>
      </c>
      <c r="CE344" s="16" t="str">
        <f t="shared" si="257"/>
        <v/>
      </c>
      <c r="CF344" s="16" t="str">
        <f t="shared" si="258"/>
        <v/>
      </c>
      <c r="CG344" s="16" t="str">
        <f t="shared" si="259"/>
        <v/>
      </c>
      <c r="CH344" s="16" t="str">
        <f t="shared" si="260"/>
        <v/>
      </c>
      <c r="CI344" s="16" t="str">
        <f t="shared" si="261"/>
        <v/>
      </c>
      <c r="CJ344" s="16" t="str">
        <f t="shared" si="262"/>
        <v/>
      </c>
      <c r="CK344" s="16" t="str">
        <f t="shared" si="263"/>
        <v/>
      </c>
      <c r="CL344" s="16" t="str">
        <f t="shared" si="264"/>
        <v/>
      </c>
      <c r="CM344" s="16" t="str">
        <f t="shared" si="265"/>
        <v/>
      </c>
      <c r="CN344" s="16" t="str">
        <f t="shared" si="266"/>
        <v/>
      </c>
      <c r="CO344" s="16" t="str">
        <f t="shared" si="267"/>
        <v/>
      </c>
      <c r="CP344" s="16" t="str">
        <f t="shared" si="268"/>
        <v/>
      </c>
      <c r="CQ344" s="16" t="str">
        <f t="shared" si="269"/>
        <v/>
      </c>
      <c r="CR344" s="16" t="str">
        <f t="shared" si="270"/>
        <v/>
      </c>
      <c r="CS344" s="16" t="str">
        <f t="shared" si="271"/>
        <v/>
      </c>
      <c r="CT344" s="16" t="str">
        <f t="shared" si="272"/>
        <v/>
      </c>
    </row>
    <row r="345" spans="1:99" x14ac:dyDescent="0.25">
      <c r="A345" s="13"/>
      <c r="B345" s="14"/>
      <c r="C345" s="15" t="str" cm="1">
        <f t="array" ref="C345">IF(B345="","",INDEX('Exercise list'!$C$5:$C$102,B345))</f>
        <v/>
      </c>
      <c r="D345" s="12" t="str">
        <f t="shared" si="230"/>
        <v/>
      </c>
      <c r="E345" s="107" t="str">
        <f t="shared" si="253"/>
        <v/>
      </c>
      <c r="F345" s="63" t="str" cm="1">
        <f t="array" ref="F345">IF(B345="","",0.1+IFERROR(INDEX($F$6:$F344,SUMPRODUCT(MAX(ROW($C$6:$C344)*($C345=$C$6:$C344))-ROW($A$5)))*0.9^($A345-INDEX($A$6:A344,SUMPRODUCT(MAX(ROW($C$6:$C344)*($C345=$C$6:$C344))-ROW($A$5)))),0))</f>
        <v/>
      </c>
      <c r="G345" s="64" t="e">
        <f>INDEX('Exercise list'!$Y$5:$Y$102,MATCH(C345,'Exercise list'!$C$5:$C$102,0))</f>
        <v>#N/A</v>
      </c>
      <c r="H345" s="115">
        <f t="shared" si="231"/>
        <v>0</v>
      </c>
      <c r="I345" s="6">
        <f t="shared" si="232"/>
        <v>5</v>
      </c>
      <c r="J345" s="6" t="str" cm="1">
        <f t="array" ref="J345">IF(B345="","",INDEX('Exercise list'!$D$5:$D$102,B345))</f>
        <v/>
      </c>
      <c r="K345" s="12"/>
      <c r="L345" s="74" t="str" cm="1">
        <f t="array" ref="L345">IF(K345="","",INDEX('Exercise list'!$C$5:$C$102,K345))</f>
        <v/>
      </c>
      <c r="M345" s="6"/>
      <c r="N345" s="75" t="str" cm="1">
        <f t="array" ref="N345">IF(M345="","",INDEX('Exercise list'!$C$5:$C$102,M345))</f>
        <v/>
      </c>
      <c r="P345">
        <f>IFERROR(INDEX('Exercise list'!$E$5:$X$102,MATCH($C345,'Exercise list'!$C$5:$C$102,0),MATCH(P$5,'Exercise list'!$E$4:$X$4,0)),0)</f>
        <v>0</v>
      </c>
      <c r="Q345">
        <f>IFERROR(INDEX('Exercise list'!$E$5:$X$102,MATCH($C345,'Exercise list'!$C$5:$C$102,0),MATCH(Q$5,'Exercise list'!$E$4:$X$4,0)),0)</f>
        <v>0</v>
      </c>
      <c r="R345">
        <f>IFERROR(INDEX('Exercise list'!$E$5:$X$102,MATCH($C345,'Exercise list'!$C$5:$C$102,0),MATCH(R$5,'Exercise list'!$E$4:$X$4,0)),0)</f>
        <v>0</v>
      </c>
      <c r="S345">
        <f>IFERROR(INDEX('Exercise list'!$E$5:$X$102,MATCH($C345,'Exercise list'!$C$5:$C$102,0),MATCH(S$5,'Exercise list'!$E$4:$X$4,0)),0)</f>
        <v>0</v>
      </c>
      <c r="T345">
        <f>IFERROR(INDEX('Exercise list'!$E$5:$X$102,MATCH($C345,'Exercise list'!$C$5:$C$102,0),MATCH(T$5,'Exercise list'!$E$4:$X$4,0)),0)</f>
        <v>0</v>
      </c>
      <c r="U345">
        <f>IFERROR(INDEX('Exercise list'!$E$5:$X$102,MATCH($C345,'Exercise list'!$C$5:$C$102,0),MATCH(U$5,'Exercise list'!$E$4:$X$4,0)),0)</f>
        <v>0</v>
      </c>
      <c r="V345">
        <f>IFERROR(INDEX('Exercise list'!$E$5:$X$102,MATCH($C345,'Exercise list'!$C$5:$C$102,0),MATCH(V$5,'Exercise list'!$E$4:$X$4,0)),0)</f>
        <v>0</v>
      </c>
      <c r="W345">
        <f>IFERROR(INDEX('Exercise list'!$E$5:$X$102,MATCH($C345,'Exercise list'!$C$5:$C$102,0),MATCH(W$5,'Exercise list'!$E$4:$X$4,0)),0)</f>
        <v>0</v>
      </c>
      <c r="X345">
        <f>IFERROR(INDEX('Exercise list'!$E$5:$X$102,MATCH($C345,'Exercise list'!$C$5:$C$102,0),MATCH(X$5,'Exercise list'!$E$4:$X$4,0)),0)</f>
        <v>0</v>
      </c>
      <c r="Y345">
        <f>IFERROR(INDEX('Exercise list'!$E$5:$X$102,MATCH($C345,'Exercise list'!$C$5:$C$102,0),MATCH(Y$5,'Exercise list'!$E$4:$X$4,0)),0)</f>
        <v>0</v>
      </c>
      <c r="Z345">
        <f>IFERROR(INDEX('Exercise list'!$E$5:$X$102,MATCH($C345,'Exercise list'!$C$5:$C$102,0),MATCH(Z$5,'Exercise list'!$E$4:$X$4,0)),0)</f>
        <v>0</v>
      </c>
      <c r="AA345">
        <f>IFERROR(INDEX('Exercise list'!$E$5:$X$102,MATCH($C345,'Exercise list'!$C$5:$C$102,0),MATCH(AA$5,'Exercise list'!$E$4:$X$4,0)),0)</f>
        <v>0</v>
      </c>
      <c r="AB345">
        <f>IFERROR(INDEX('Exercise list'!$E$5:$X$102,MATCH($C345,'Exercise list'!$C$5:$C$102,0),MATCH(AB$5,'Exercise list'!$E$4:$X$4,0)),0)</f>
        <v>0</v>
      </c>
      <c r="AC345">
        <f>IFERROR(INDEX('Exercise list'!$E$5:$X$102,MATCH($C345,'Exercise list'!$C$5:$C$102,0),MATCH(AC$5,'Exercise list'!$E$4:$X$4,0)),0)</f>
        <v>0</v>
      </c>
      <c r="AD345">
        <f>IFERROR(INDEX('Exercise list'!$E$5:$X$102,MATCH($C345,'Exercise list'!$C$5:$C$102,0),MATCH(AD$5,'Exercise list'!$E$4:$X$4,0)),0)</f>
        <v>0</v>
      </c>
      <c r="AE345">
        <f>IFERROR(INDEX('Exercise list'!$E$5:$X$102,MATCH($C345,'Exercise list'!$C$5:$C$102,0),MATCH(AE$5,'Exercise list'!$E$4:$X$4,0)),0)</f>
        <v>0</v>
      </c>
      <c r="AF345">
        <f>IFERROR(INDEX('Exercise list'!$E$5:$X$102,MATCH($C345,'Exercise list'!$C$5:$C$102,0),MATCH(AF$5,'Exercise list'!$E$4:$X$4,0)),0)</f>
        <v>0</v>
      </c>
      <c r="AG345">
        <f>IFERROR(INDEX('Exercise list'!$E$5:$X$102,MATCH($C345,'Exercise list'!$C$5:$C$102,0),MATCH(AG$5,'Exercise list'!$E$4:$X$4,0)),0)</f>
        <v>0</v>
      </c>
      <c r="AH345">
        <f>IFERROR(INDEX('Exercise list'!$E$5:$X$102,MATCH($C345,'Exercise list'!$C$5:$C$102,0),MATCH(AH$5,'Exercise list'!$E$4:$X$4,0)),0)</f>
        <v>0</v>
      </c>
      <c r="AI345">
        <f>IFERROR(INDEX('Exercise list'!$E$5:$X$102,MATCH($C345,'Exercise list'!$C$5:$C$102,0),MATCH(AI$5,'Exercise list'!$E$4:$X$4,0)),0)</f>
        <v>0</v>
      </c>
      <c r="AK345">
        <f>IF(OR($J345=1,COUNTIFS($A$5:$A344,"&gt;="&amp;$A345-1,$A$5:$A344,"&lt;="&amp;$A345,$B$5:$B344,$B345)&gt;0,MIN(1-'Exercise list'!E$2,IF($A345=$A344,AK344,1))-P345&lt;0),-1,MIN(1,IF($A345=$A344,AK344,1)-P345+$D$2))</f>
        <v>1</v>
      </c>
      <c r="AL345">
        <f>IF(OR($J345=1,COUNTIFS($A$5:$A344,"&gt;="&amp;$A345-1,$A$5:$A344,"&lt;="&amp;$A345,$B$5:$B344,$B345)&gt;0,MIN(1-'Exercise list'!F$2,IF($A345=$A344,AL344,1))-Q345&lt;0),-1,MIN(1,IF($A345=$A344,AL344,1)-Q345+$D$2))</f>
        <v>1</v>
      </c>
      <c r="AM345">
        <f>IF(OR($J345=1,COUNTIFS($A$5:$A344,"&gt;="&amp;$A345-1,$A$5:$A344,"&lt;="&amp;$A345,$B$5:$B344,$B345)&gt;0,MIN(1-'Exercise list'!G$2,IF($A345=$A344,AM344,1))-R345&lt;0),-1,MIN(1,IF($A345=$A344,AM344,1)-R345+$D$2))</f>
        <v>1</v>
      </c>
      <c r="AN345">
        <f>IF(OR($J345=1,COUNTIFS($A$5:$A344,"&gt;="&amp;$A345-1,$A$5:$A344,"&lt;="&amp;$A345,$B$5:$B344,$B345)&gt;0,MIN(1-'Exercise list'!H$2,IF($A345=$A344,AN344,1))-S345&lt;0),-1,MIN(1,IF($A345=$A344,AN344,1)-S345+$D$2))</f>
        <v>1</v>
      </c>
      <c r="AO345">
        <f>IF(OR($J345=1,COUNTIFS($A$5:$A344,"&gt;="&amp;$A345-1,$A$5:$A344,"&lt;="&amp;$A345,$B$5:$B344,$B345)&gt;0,MIN(1-'Exercise list'!I$2,IF($A345=$A344,AO344,1))-T345&lt;0),-1,MIN(1,IF($A345=$A344,AO344,1)-T345+$D$2))</f>
        <v>1</v>
      </c>
      <c r="AP345">
        <f>IF(OR($J345=1,COUNTIFS($A$5:$A344,"&gt;="&amp;$A345-1,$A$5:$A344,"&lt;="&amp;$A345,$B$5:$B344,$B345)&gt;0,MIN(1-'Exercise list'!J$2,IF($A345=$A344,AP344,1))-U345&lt;0),-1,MIN(1,IF($A345=$A344,AP344,1)-U345+$D$2))</f>
        <v>1</v>
      </c>
      <c r="AQ345">
        <f>IF(OR($J345=1,COUNTIFS($A$5:$A344,"&gt;="&amp;$A345-1,$A$5:$A344,"&lt;="&amp;$A345,$B$5:$B344,$B345)&gt;0,MIN(1-'Exercise list'!K$2,IF($A345=$A344,AQ344,1))-V345&lt;0),-1,MIN(1,IF($A345=$A344,AQ344,1)-V345+$D$2))</f>
        <v>1</v>
      </c>
      <c r="AR345">
        <f>IF(OR($J345=1,COUNTIFS($A$5:$A344,"&gt;="&amp;$A345-1,$A$5:$A344,"&lt;="&amp;$A345,$B$5:$B344,$B345)&gt;0,MIN(1-'Exercise list'!L$2,IF($A345=$A344,AR344,1))-W345&lt;0),-1,MIN(1,IF($A345=$A344,AR344,1)-W345+$D$2))</f>
        <v>1</v>
      </c>
      <c r="AS345">
        <f>IF(OR($J345=1,COUNTIFS($A$5:$A344,"&gt;="&amp;$A345-1,$A$5:$A344,"&lt;="&amp;$A345,$B$5:$B344,$B345)&gt;0,MIN(1-'Exercise list'!M$2,IF($A345=$A344,AS344,1))-X345&lt;0),-1,MIN(1,IF($A345=$A344,AS344,1)-X345+$D$2))</f>
        <v>1</v>
      </c>
      <c r="AT345">
        <f>IF(OR($J345=1,COUNTIFS($A$5:$A344,"&gt;="&amp;$A345-1,$A$5:$A344,"&lt;="&amp;$A345,$B$5:$B344,$B345)&gt;0,MIN(1-'Exercise list'!N$2,IF($A345=$A344,AT344,1))-Y345&lt;0),-1,MIN(1,IF($A345=$A344,AT344,1)-Y345+$D$2))</f>
        <v>1</v>
      </c>
      <c r="AU345">
        <f>IF(OR($J345=1,COUNTIFS($A$5:$A344,"&gt;="&amp;$A345-1,$A$5:$A344,"&lt;="&amp;$A345,$B$5:$B344,$B345)&gt;0,MIN(1-'Exercise list'!O$2,IF($A345=$A344,AU344,1))-Z345&lt;0),-1,MIN(1,IF($A345=$A344,AU344,1)-Z345+$D$2))</f>
        <v>1</v>
      </c>
      <c r="AV345">
        <f>IF(OR($J345=1,COUNTIFS($A$5:$A344,"&gt;="&amp;$A345-1,$A$5:$A344,"&lt;="&amp;$A345,$B$5:$B344,$B345)&gt;0,MIN(1-'Exercise list'!P$2,IF($A345=$A344,AV344,1))-AA345&lt;0),-1,MIN(1,IF($A345=$A344,AV344,1)-AA345+$D$2))</f>
        <v>1</v>
      </c>
      <c r="AW345">
        <f>IF(OR($J345=1,COUNTIFS($A$5:$A344,"&gt;="&amp;$A345-1,$A$5:$A344,"&lt;="&amp;$A345,$B$5:$B344,$B345)&gt;0,MIN(1-'Exercise list'!Q$2,IF($A345=$A344,AW344,1))-AB345&lt;0),-1,MIN(1,IF($A345=$A344,AW344,1)-AB345+$D$2))</f>
        <v>1</v>
      </c>
      <c r="AX345">
        <f>IF(OR($J345=1,COUNTIFS($A$5:$A344,"&gt;="&amp;$A345-1,$A$5:$A344,"&lt;="&amp;$A345,$B$5:$B344,$B345)&gt;0,MIN(1-'Exercise list'!R$2,IF($A345=$A344,AX344,1))-AC345&lt;0),-1,MIN(1,IF($A345=$A344,AX344,1)-AC345+$D$2))</f>
        <v>1</v>
      </c>
      <c r="AY345">
        <f>IF(OR($J345=1,COUNTIFS($A$5:$A344,"&gt;="&amp;$A345-1,$A$5:$A344,"&lt;="&amp;$A345,$B$5:$B344,$B345)&gt;0,MIN(1-'Exercise list'!S$2,IF($A345=$A344,AY344,1))-AD345&lt;0),-1,MIN(1,IF($A345=$A344,AY344,1)-AD345+$D$2))</f>
        <v>1</v>
      </c>
      <c r="AZ345">
        <f>IF(OR($J345=1,COUNTIFS($A$5:$A344,"&gt;="&amp;$A345-1,$A$5:$A344,"&lt;="&amp;$A345,$B$5:$B344,$B345)&gt;0,MIN(1-'Exercise list'!T$2,IF($A345=$A344,AZ344,1))-AE345&lt;0),-1,MIN(1,IF($A345=$A344,AZ344,1)-AE345+$D$2))</f>
        <v>1</v>
      </c>
      <c r="BA345">
        <f>IF(OR($J345=1,COUNTIFS($A$5:$A344,"&gt;="&amp;$A345-1,$A$5:$A344,"&lt;="&amp;$A345,$B$5:$B344,$B345)&gt;0,MIN(1-'Exercise list'!U$2,IF($A345=$A344,BA344,1))-AF345&lt;0),-1,MIN(1,IF($A345=$A344,BA344,1)-AF345+$D$2))</f>
        <v>1</v>
      </c>
      <c r="BB345">
        <f>IF(OR($J345=1,COUNTIFS($A$5:$A344,"&gt;="&amp;$A345-1,$A$5:$A344,"&lt;="&amp;$A345,$B$5:$B344,$B345)&gt;0,MIN(1-'Exercise list'!V$2,IF($A345=$A344,BB344,1))-AG345&lt;0),-1,MIN(1,IF($A345=$A344,BB344,1)-AG345+$D$2))</f>
        <v>1</v>
      </c>
      <c r="BC345">
        <f>IF(OR($J345=1,COUNTIFS($A$5:$A344,"&gt;="&amp;$A345-1,$A$5:$A344,"&lt;="&amp;$A345,$B$5:$B344,$B345)&gt;0,MIN(1-'Exercise list'!W$2,IF($A345=$A344,BC344,1))-AH345&lt;0),-1,MIN(1,IF($A345=$A344,BC344,1)-AH345+$D$2))</f>
        <v>1</v>
      </c>
      <c r="BD345">
        <f>IF(OR($J345=1,COUNTIFS($A$5:$A344,"&gt;="&amp;$A345-1,$A$5:$A344,"&lt;="&amp;$A345,$B$5:$B344,$B345)&gt;0,MIN(1-'Exercise list'!X$2,IF($A345=$A344,BD344,1))-AI345&lt;0),-1,MIN(1,IF($A345=$A344,BD344,1)-AI345+$D$2))</f>
        <v>1</v>
      </c>
      <c r="BF345" s="16">
        <f t="shared" si="233"/>
        <v>0.19596031081758858</v>
      </c>
      <c r="BG345" s="16">
        <f t="shared" si="234"/>
        <v>0.21844636935459236</v>
      </c>
      <c r="BH345" s="16">
        <f t="shared" si="235"/>
        <v>0.14609696635987124</v>
      </c>
      <c r="BI345" s="16">
        <f t="shared" si="236"/>
        <v>0.13198015366034541</v>
      </c>
      <c r="BJ345" s="16">
        <f t="shared" si="237"/>
        <v>8.3367914198418713E-2</v>
      </c>
      <c r="BK345" s="16">
        <f t="shared" si="238"/>
        <v>0.10640640223148412</v>
      </c>
      <c r="BL345" s="16">
        <f t="shared" si="239"/>
        <v>0.21963504743569431</v>
      </c>
      <c r="BM345" s="16">
        <f t="shared" si="240"/>
        <v>3.8988008374820568E-3</v>
      </c>
      <c r="BN345" s="16">
        <f t="shared" si="241"/>
        <v>0.14537706087090876</v>
      </c>
      <c r="BO345" s="16">
        <f t="shared" si="242"/>
        <v>0.29209790661993401</v>
      </c>
      <c r="BP345" s="16">
        <f t="shared" si="243"/>
        <v>0.31584545163401867</v>
      </c>
      <c r="BQ345" s="16">
        <f t="shared" si="244"/>
        <v>0.1000007994126096</v>
      </c>
      <c r="BR345" s="16">
        <f t="shared" si="245"/>
        <v>0.13164487759885393</v>
      </c>
      <c r="BS345" s="16">
        <f t="shared" si="246"/>
        <v>2.9803550189863123E-2</v>
      </c>
      <c r="BT345" s="16">
        <f t="shared" si="247"/>
        <v>0.13492040904978705</v>
      </c>
      <c r="BU345" s="16">
        <f t="shared" si="248"/>
        <v>0.11703687414398131</v>
      </c>
      <c r="BV345" s="16">
        <f t="shared" si="249"/>
        <v>0.14633353213781661</v>
      </c>
      <c r="BW345" s="16">
        <f t="shared" si="250"/>
        <v>7.5588015111767173E-2</v>
      </c>
      <c r="BX345" s="16">
        <f t="shared" si="251"/>
        <v>8.0345659937185704E-2</v>
      </c>
      <c r="BY345" s="16">
        <f t="shared" si="252"/>
        <v>5.9014643151272549E-2</v>
      </c>
      <c r="CA345" s="16" t="str">
        <f t="shared" si="273"/>
        <v/>
      </c>
      <c r="CB345" s="16" t="str">
        <f t="shared" si="254"/>
        <v/>
      </c>
      <c r="CC345" s="16" t="str">
        <f t="shared" si="255"/>
        <v/>
      </c>
      <c r="CD345" s="16" t="str">
        <f t="shared" si="256"/>
        <v/>
      </c>
      <c r="CE345" s="16" t="str">
        <f t="shared" si="257"/>
        <v/>
      </c>
      <c r="CF345" s="16" t="str">
        <f t="shared" si="258"/>
        <v/>
      </c>
      <c r="CG345" s="16" t="str">
        <f t="shared" si="259"/>
        <v/>
      </c>
      <c r="CH345" s="16" t="str">
        <f t="shared" si="260"/>
        <v/>
      </c>
      <c r="CI345" s="16" t="str">
        <f t="shared" si="261"/>
        <v/>
      </c>
      <c r="CJ345" s="16" t="str">
        <f t="shared" si="262"/>
        <v/>
      </c>
      <c r="CK345" s="16" t="str">
        <f t="shared" si="263"/>
        <v/>
      </c>
      <c r="CL345" s="16" t="str">
        <f t="shared" si="264"/>
        <v/>
      </c>
      <c r="CM345" s="16" t="str">
        <f t="shared" si="265"/>
        <v/>
      </c>
      <c r="CN345" s="16" t="str">
        <f t="shared" si="266"/>
        <v/>
      </c>
      <c r="CO345" s="16" t="str">
        <f t="shared" si="267"/>
        <v/>
      </c>
      <c r="CP345" s="16" t="str">
        <f t="shared" si="268"/>
        <v/>
      </c>
      <c r="CQ345" s="16" t="str">
        <f t="shared" si="269"/>
        <v/>
      </c>
      <c r="CR345" s="16" t="str">
        <f t="shared" si="270"/>
        <v/>
      </c>
      <c r="CS345" s="16" t="str">
        <f t="shared" si="271"/>
        <v/>
      </c>
      <c r="CT345" s="16" t="str">
        <f t="shared" si="272"/>
        <v/>
      </c>
    </row>
    <row r="346" spans="1:99" x14ac:dyDescent="0.25">
      <c r="A346" s="13"/>
      <c r="B346" s="14"/>
      <c r="C346" s="15" t="str" cm="1">
        <f t="array" ref="C346">IF(B346="","",INDEX('Exercise list'!$C$5:$C$102,B346))</f>
        <v/>
      </c>
      <c r="D346" s="12" t="str">
        <f t="shared" si="230"/>
        <v/>
      </c>
      <c r="E346" s="107" t="str">
        <f t="shared" si="253"/>
        <v/>
      </c>
      <c r="F346" s="63" t="str" cm="1">
        <f t="array" ref="F346">IF(B346="","",0.1+IFERROR(INDEX($F$6:$F345,SUMPRODUCT(MAX(ROW($C$6:$C345)*($C346=$C$6:$C345))-ROW($A$5)))*0.9^($A346-INDEX($A$6:A345,SUMPRODUCT(MAX(ROW($C$6:$C345)*($C346=$C$6:$C345))-ROW($A$5)))),0))</f>
        <v/>
      </c>
      <c r="G346" s="64" t="e">
        <f>INDEX('Exercise list'!$Y$5:$Y$102,MATCH(C346,'Exercise list'!$C$5:$C$102,0))</f>
        <v>#N/A</v>
      </c>
      <c r="H346" s="115">
        <f t="shared" si="231"/>
        <v>0</v>
      </c>
      <c r="I346" s="6">
        <f t="shared" si="232"/>
        <v>5</v>
      </c>
      <c r="J346" s="6" t="str" cm="1">
        <f t="array" ref="J346">IF(B346="","",INDEX('Exercise list'!$D$5:$D$102,B346))</f>
        <v/>
      </c>
      <c r="K346" s="12"/>
      <c r="L346" s="74" t="str" cm="1">
        <f t="array" ref="L346">IF(K346="","",INDEX('Exercise list'!$C$5:$C$102,K346))</f>
        <v/>
      </c>
      <c r="M346" s="6"/>
      <c r="N346" s="75" t="str" cm="1">
        <f t="array" ref="N346">IF(M346="","",INDEX('Exercise list'!$C$5:$C$102,M346))</f>
        <v/>
      </c>
      <c r="P346">
        <f>IFERROR(INDEX('Exercise list'!$E$5:$X$102,MATCH($C346,'Exercise list'!$C$5:$C$102,0),MATCH(P$5,'Exercise list'!$E$4:$X$4,0)),0)</f>
        <v>0</v>
      </c>
      <c r="Q346">
        <f>IFERROR(INDEX('Exercise list'!$E$5:$X$102,MATCH($C346,'Exercise list'!$C$5:$C$102,0),MATCH(Q$5,'Exercise list'!$E$4:$X$4,0)),0)</f>
        <v>0</v>
      </c>
      <c r="R346">
        <f>IFERROR(INDEX('Exercise list'!$E$5:$X$102,MATCH($C346,'Exercise list'!$C$5:$C$102,0),MATCH(R$5,'Exercise list'!$E$4:$X$4,0)),0)</f>
        <v>0</v>
      </c>
      <c r="S346">
        <f>IFERROR(INDEX('Exercise list'!$E$5:$X$102,MATCH($C346,'Exercise list'!$C$5:$C$102,0),MATCH(S$5,'Exercise list'!$E$4:$X$4,0)),0)</f>
        <v>0</v>
      </c>
      <c r="T346">
        <f>IFERROR(INDEX('Exercise list'!$E$5:$X$102,MATCH($C346,'Exercise list'!$C$5:$C$102,0),MATCH(T$5,'Exercise list'!$E$4:$X$4,0)),0)</f>
        <v>0</v>
      </c>
      <c r="U346">
        <f>IFERROR(INDEX('Exercise list'!$E$5:$X$102,MATCH($C346,'Exercise list'!$C$5:$C$102,0),MATCH(U$5,'Exercise list'!$E$4:$X$4,0)),0)</f>
        <v>0</v>
      </c>
      <c r="V346">
        <f>IFERROR(INDEX('Exercise list'!$E$5:$X$102,MATCH($C346,'Exercise list'!$C$5:$C$102,0),MATCH(V$5,'Exercise list'!$E$4:$X$4,0)),0)</f>
        <v>0</v>
      </c>
      <c r="W346">
        <f>IFERROR(INDEX('Exercise list'!$E$5:$X$102,MATCH($C346,'Exercise list'!$C$5:$C$102,0),MATCH(W$5,'Exercise list'!$E$4:$X$4,0)),0)</f>
        <v>0</v>
      </c>
      <c r="X346">
        <f>IFERROR(INDEX('Exercise list'!$E$5:$X$102,MATCH($C346,'Exercise list'!$C$5:$C$102,0),MATCH(X$5,'Exercise list'!$E$4:$X$4,0)),0)</f>
        <v>0</v>
      </c>
      <c r="Y346">
        <f>IFERROR(INDEX('Exercise list'!$E$5:$X$102,MATCH($C346,'Exercise list'!$C$5:$C$102,0),MATCH(Y$5,'Exercise list'!$E$4:$X$4,0)),0)</f>
        <v>0</v>
      </c>
      <c r="Z346">
        <f>IFERROR(INDEX('Exercise list'!$E$5:$X$102,MATCH($C346,'Exercise list'!$C$5:$C$102,0),MATCH(Z$5,'Exercise list'!$E$4:$X$4,0)),0)</f>
        <v>0</v>
      </c>
      <c r="AA346">
        <f>IFERROR(INDEX('Exercise list'!$E$5:$X$102,MATCH($C346,'Exercise list'!$C$5:$C$102,0),MATCH(AA$5,'Exercise list'!$E$4:$X$4,0)),0)</f>
        <v>0</v>
      </c>
      <c r="AB346">
        <f>IFERROR(INDEX('Exercise list'!$E$5:$X$102,MATCH($C346,'Exercise list'!$C$5:$C$102,0),MATCH(AB$5,'Exercise list'!$E$4:$X$4,0)),0)</f>
        <v>0</v>
      </c>
      <c r="AC346">
        <f>IFERROR(INDEX('Exercise list'!$E$5:$X$102,MATCH($C346,'Exercise list'!$C$5:$C$102,0),MATCH(AC$5,'Exercise list'!$E$4:$X$4,0)),0)</f>
        <v>0</v>
      </c>
      <c r="AD346">
        <f>IFERROR(INDEX('Exercise list'!$E$5:$X$102,MATCH($C346,'Exercise list'!$C$5:$C$102,0),MATCH(AD$5,'Exercise list'!$E$4:$X$4,0)),0)</f>
        <v>0</v>
      </c>
      <c r="AE346">
        <f>IFERROR(INDEX('Exercise list'!$E$5:$X$102,MATCH($C346,'Exercise list'!$C$5:$C$102,0),MATCH(AE$5,'Exercise list'!$E$4:$X$4,0)),0)</f>
        <v>0</v>
      </c>
      <c r="AF346">
        <f>IFERROR(INDEX('Exercise list'!$E$5:$X$102,MATCH($C346,'Exercise list'!$C$5:$C$102,0),MATCH(AF$5,'Exercise list'!$E$4:$X$4,0)),0)</f>
        <v>0</v>
      </c>
      <c r="AG346">
        <f>IFERROR(INDEX('Exercise list'!$E$5:$X$102,MATCH($C346,'Exercise list'!$C$5:$C$102,0),MATCH(AG$5,'Exercise list'!$E$4:$X$4,0)),0)</f>
        <v>0</v>
      </c>
      <c r="AH346">
        <f>IFERROR(INDEX('Exercise list'!$E$5:$X$102,MATCH($C346,'Exercise list'!$C$5:$C$102,0),MATCH(AH$5,'Exercise list'!$E$4:$X$4,0)),0)</f>
        <v>0</v>
      </c>
      <c r="AI346">
        <f>IFERROR(INDEX('Exercise list'!$E$5:$X$102,MATCH($C346,'Exercise list'!$C$5:$C$102,0),MATCH(AI$5,'Exercise list'!$E$4:$X$4,0)),0)</f>
        <v>0</v>
      </c>
      <c r="AK346">
        <f>IF(OR($J346=1,COUNTIFS($A$5:$A345,"&gt;="&amp;$A346-1,$A$5:$A345,"&lt;="&amp;$A346,$B$5:$B345,$B346)&gt;0,MIN(1-'Exercise list'!E$2,IF($A346=$A345,AK345,1))-P346&lt;0),-1,MIN(1,IF($A346=$A345,AK345,1)-P346+$D$2))</f>
        <v>1</v>
      </c>
      <c r="AL346">
        <f>IF(OR($J346=1,COUNTIFS($A$5:$A345,"&gt;="&amp;$A346-1,$A$5:$A345,"&lt;="&amp;$A346,$B$5:$B345,$B346)&gt;0,MIN(1-'Exercise list'!F$2,IF($A346=$A345,AL345,1))-Q346&lt;0),-1,MIN(1,IF($A346=$A345,AL345,1)-Q346+$D$2))</f>
        <v>1</v>
      </c>
      <c r="AM346">
        <f>IF(OR($J346=1,COUNTIFS($A$5:$A345,"&gt;="&amp;$A346-1,$A$5:$A345,"&lt;="&amp;$A346,$B$5:$B345,$B346)&gt;0,MIN(1-'Exercise list'!G$2,IF($A346=$A345,AM345,1))-R346&lt;0),-1,MIN(1,IF($A346=$A345,AM345,1)-R346+$D$2))</f>
        <v>1</v>
      </c>
      <c r="AN346">
        <f>IF(OR($J346=1,COUNTIFS($A$5:$A345,"&gt;="&amp;$A346-1,$A$5:$A345,"&lt;="&amp;$A346,$B$5:$B345,$B346)&gt;0,MIN(1-'Exercise list'!H$2,IF($A346=$A345,AN345,1))-S346&lt;0),-1,MIN(1,IF($A346=$A345,AN345,1)-S346+$D$2))</f>
        <v>1</v>
      </c>
      <c r="AO346">
        <f>IF(OR($J346=1,COUNTIFS($A$5:$A345,"&gt;="&amp;$A346-1,$A$5:$A345,"&lt;="&amp;$A346,$B$5:$B345,$B346)&gt;0,MIN(1-'Exercise list'!I$2,IF($A346=$A345,AO345,1))-T346&lt;0),-1,MIN(1,IF($A346=$A345,AO345,1)-T346+$D$2))</f>
        <v>1</v>
      </c>
      <c r="AP346">
        <f>IF(OR($J346=1,COUNTIFS($A$5:$A345,"&gt;="&amp;$A346-1,$A$5:$A345,"&lt;="&amp;$A346,$B$5:$B345,$B346)&gt;0,MIN(1-'Exercise list'!J$2,IF($A346=$A345,AP345,1))-U346&lt;0),-1,MIN(1,IF($A346=$A345,AP345,1)-U346+$D$2))</f>
        <v>1</v>
      </c>
      <c r="AQ346">
        <f>IF(OR($J346=1,COUNTIFS($A$5:$A345,"&gt;="&amp;$A346-1,$A$5:$A345,"&lt;="&amp;$A346,$B$5:$B345,$B346)&gt;0,MIN(1-'Exercise list'!K$2,IF($A346=$A345,AQ345,1))-V346&lt;0),-1,MIN(1,IF($A346=$A345,AQ345,1)-V346+$D$2))</f>
        <v>1</v>
      </c>
      <c r="AR346">
        <f>IF(OR($J346=1,COUNTIFS($A$5:$A345,"&gt;="&amp;$A346-1,$A$5:$A345,"&lt;="&amp;$A346,$B$5:$B345,$B346)&gt;0,MIN(1-'Exercise list'!L$2,IF($A346=$A345,AR345,1))-W346&lt;0),-1,MIN(1,IF($A346=$A345,AR345,1)-W346+$D$2))</f>
        <v>1</v>
      </c>
      <c r="AS346">
        <f>IF(OR($J346=1,COUNTIFS($A$5:$A345,"&gt;="&amp;$A346-1,$A$5:$A345,"&lt;="&amp;$A346,$B$5:$B345,$B346)&gt;0,MIN(1-'Exercise list'!M$2,IF($A346=$A345,AS345,1))-X346&lt;0),-1,MIN(1,IF($A346=$A345,AS345,1)-X346+$D$2))</f>
        <v>1</v>
      </c>
      <c r="AT346">
        <f>IF(OR($J346=1,COUNTIFS($A$5:$A345,"&gt;="&amp;$A346-1,$A$5:$A345,"&lt;="&amp;$A346,$B$5:$B345,$B346)&gt;0,MIN(1-'Exercise list'!N$2,IF($A346=$A345,AT345,1))-Y346&lt;0),-1,MIN(1,IF($A346=$A345,AT345,1)-Y346+$D$2))</f>
        <v>1</v>
      </c>
      <c r="AU346">
        <f>IF(OR($J346=1,COUNTIFS($A$5:$A345,"&gt;="&amp;$A346-1,$A$5:$A345,"&lt;="&amp;$A346,$B$5:$B345,$B346)&gt;0,MIN(1-'Exercise list'!O$2,IF($A346=$A345,AU345,1))-Z346&lt;0),-1,MIN(1,IF($A346=$A345,AU345,1)-Z346+$D$2))</f>
        <v>1</v>
      </c>
      <c r="AV346">
        <f>IF(OR($J346=1,COUNTIFS($A$5:$A345,"&gt;="&amp;$A346-1,$A$5:$A345,"&lt;="&amp;$A346,$B$5:$B345,$B346)&gt;0,MIN(1-'Exercise list'!P$2,IF($A346=$A345,AV345,1))-AA346&lt;0),-1,MIN(1,IF($A346=$A345,AV345,1)-AA346+$D$2))</f>
        <v>1</v>
      </c>
      <c r="AW346">
        <f>IF(OR($J346=1,COUNTIFS($A$5:$A345,"&gt;="&amp;$A346-1,$A$5:$A345,"&lt;="&amp;$A346,$B$5:$B345,$B346)&gt;0,MIN(1-'Exercise list'!Q$2,IF($A346=$A345,AW345,1))-AB346&lt;0),-1,MIN(1,IF($A346=$A345,AW345,1)-AB346+$D$2))</f>
        <v>1</v>
      </c>
      <c r="AX346">
        <f>IF(OR($J346=1,COUNTIFS($A$5:$A345,"&gt;="&amp;$A346-1,$A$5:$A345,"&lt;="&amp;$A346,$B$5:$B345,$B346)&gt;0,MIN(1-'Exercise list'!R$2,IF($A346=$A345,AX345,1))-AC346&lt;0),-1,MIN(1,IF($A346=$A345,AX345,1)-AC346+$D$2))</f>
        <v>1</v>
      </c>
      <c r="AY346">
        <f>IF(OR($J346=1,COUNTIFS($A$5:$A345,"&gt;="&amp;$A346-1,$A$5:$A345,"&lt;="&amp;$A346,$B$5:$B345,$B346)&gt;0,MIN(1-'Exercise list'!S$2,IF($A346=$A345,AY345,1))-AD346&lt;0),-1,MIN(1,IF($A346=$A345,AY345,1)-AD346+$D$2))</f>
        <v>1</v>
      </c>
      <c r="AZ346">
        <f>IF(OR($J346=1,COUNTIFS($A$5:$A345,"&gt;="&amp;$A346-1,$A$5:$A345,"&lt;="&amp;$A346,$B$5:$B345,$B346)&gt;0,MIN(1-'Exercise list'!T$2,IF($A346=$A345,AZ345,1))-AE346&lt;0),-1,MIN(1,IF($A346=$A345,AZ345,1)-AE346+$D$2))</f>
        <v>1</v>
      </c>
      <c r="BA346">
        <f>IF(OR($J346=1,COUNTIFS($A$5:$A345,"&gt;="&amp;$A346-1,$A$5:$A345,"&lt;="&amp;$A346,$B$5:$B345,$B346)&gt;0,MIN(1-'Exercise list'!U$2,IF($A346=$A345,BA345,1))-AF346&lt;0),-1,MIN(1,IF($A346=$A345,BA345,1)-AF346+$D$2))</f>
        <v>1</v>
      </c>
      <c r="BB346">
        <f>IF(OR($J346=1,COUNTIFS($A$5:$A345,"&gt;="&amp;$A346-1,$A$5:$A345,"&lt;="&amp;$A346,$B$5:$B345,$B346)&gt;0,MIN(1-'Exercise list'!V$2,IF($A346=$A345,BB345,1))-AG346&lt;0),-1,MIN(1,IF($A346=$A345,BB345,1)-AG346+$D$2))</f>
        <v>1</v>
      </c>
      <c r="BC346">
        <f>IF(OR($J346=1,COUNTIFS($A$5:$A345,"&gt;="&amp;$A346-1,$A$5:$A345,"&lt;="&amp;$A346,$B$5:$B345,$B346)&gt;0,MIN(1-'Exercise list'!W$2,IF($A346=$A345,BC345,1))-AH346&lt;0),-1,MIN(1,IF($A346=$A345,BC345,1)-AH346+$D$2))</f>
        <v>1</v>
      </c>
      <c r="BD346">
        <f>IF(OR($J346=1,COUNTIFS($A$5:$A345,"&gt;="&amp;$A346-1,$A$5:$A345,"&lt;="&amp;$A346,$B$5:$B345,$B346)&gt;0,MIN(1-'Exercise list'!X$2,IF($A346=$A345,BD345,1))-AI346&lt;0),-1,MIN(1,IF($A346=$A345,BD345,1)-AI346+$D$2))</f>
        <v>1</v>
      </c>
      <c r="BF346" s="16">
        <f t="shared" si="233"/>
        <v>0.19596031081758858</v>
      </c>
      <c r="BG346" s="16">
        <f t="shared" si="234"/>
        <v>0.21844636935459236</v>
      </c>
      <c r="BH346" s="16">
        <f t="shared" si="235"/>
        <v>0.14609696635987124</v>
      </c>
      <c r="BI346" s="16">
        <f t="shared" si="236"/>
        <v>0.13198015366034541</v>
      </c>
      <c r="BJ346" s="16">
        <f t="shared" si="237"/>
        <v>8.3367914198418713E-2</v>
      </c>
      <c r="BK346" s="16">
        <f t="shared" si="238"/>
        <v>0.10640640223148412</v>
      </c>
      <c r="BL346" s="16">
        <f t="shared" si="239"/>
        <v>0.21963504743569431</v>
      </c>
      <c r="BM346" s="16">
        <f t="shared" si="240"/>
        <v>3.8988008374820568E-3</v>
      </c>
      <c r="BN346" s="16">
        <f t="shared" si="241"/>
        <v>0.14537706087090876</v>
      </c>
      <c r="BO346" s="16">
        <f t="shared" si="242"/>
        <v>0.29209790661993401</v>
      </c>
      <c r="BP346" s="16">
        <f t="shared" si="243"/>
        <v>0.31584545163401867</v>
      </c>
      <c r="BQ346" s="16">
        <f t="shared" si="244"/>
        <v>0.1000007994126096</v>
      </c>
      <c r="BR346" s="16">
        <f t="shared" si="245"/>
        <v>0.13164487759885393</v>
      </c>
      <c r="BS346" s="16">
        <f t="shared" si="246"/>
        <v>2.9803550189863123E-2</v>
      </c>
      <c r="BT346" s="16">
        <f t="shared" si="247"/>
        <v>0.13492040904978705</v>
      </c>
      <c r="BU346" s="16">
        <f t="shared" si="248"/>
        <v>0.11703687414398131</v>
      </c>
      <c r="BV346" s="16">
        <f t="shared" si="249"/>
        <v>0.14633353213781661</v>
      </c>
      <c r="BW346" s="16">
        <f t="shared" si="250"/>
        <v>7.5588015111767173E-2</v>
      </c>
      <c r="BX346" s="16">
        <f t="shared" si="251"/>
        <v>8.0345659937185704E-2</v>
      </c>
      <c r="BY346" s="16">
        <f t="shared" si="252"/>
        <v>5.9014643151272549E-2</v>
      </c>
      <c r="CA346" s="16" t="str">
        <f t="shared" si="273"/>
        <v/>
      </c>
      <c r="CB346" s="16" t="str">
        <f t="shared" si="254"/>
        <v/>
      </c>
      <c r="CC346" s="16" t="str">
        <f t="shared" si="255"/>
        <v/>
      </c>
      <c r="CD346" s="16" t="str">
        <f t="shared" si="256"/>
        <v/>
      </c>
      <c r="CE346" s="16" t="str">
        <f t="shared" si="257"/>
        <v/>
      </c>
      <c r="CF346" s="16" t="str">
        <f t="shared" si="258"/>
        <v/>
      </c>
      <c r="CG346" s="16" t="str">
        <f t="shared" si="259"/>
        <v/>
      </c>
      <c r="CH346" s="16" t="str">
        <f t="shared" si="260"/>
        <v/>
      </c>
      <c r="CI346" s="16" t="str">
        <f t="shared" si="261"/>
        <v/>
      </c>
      <c r="CJ346" s="16" t="str">
        <f t="shared" si="262"/>
        <v/>
      </c>
      <c r="CK346" s="16" t="str">
        <f t="shared" si="263"/>
        <v/>
      </c>
      <c r="CL346" s="16" t="str">
        <f t="shared" si="264"/>
        <v/>
      </c>
      <c r="CM346" s="16" t="str">
        <f t="shared" si="265"/>
        <v/>
      </c>
      <c r="CN346" s="16" t="str">
        <f t="shared" si="266"/>
        <v/>
      </c>
      <c r="CO346" s="16" t="str">
        <f t="shared" si="267"/>
        <v/>
      </c>
      <c r="CP346" s="16" t="str">
        <f t="shared" si="268"/>
        <v/>
      </c>
      <c r="CQ346" s="16" t="str">
        <f t="shared" si="269"/>
        <v/>
      </c>
      <c r="CR346" s="16" t="str">
        <f t="shared" si="270"/>
        <v/>
      </c>
      <c r="CS346" s="16" t="str">
        <f t="shared" si="271"/>
        <v/>
      </c>
      <c r="CT346" s="16" t="str">
        <f t="shared" si="272"/>
        <v/>
      </c>
    </row>
    <row r="347" spans="1:99" x14ac:dyDescent="0.25">
      <c r="A347" s="13"/>
      <c r="B347" s="14"/>
      <c r="C347" s="15" t="str" cm="1">
        <f t="array" ref="C347">IF(B347="","",INDEX('Exercise list'!$C$5:$C$102,B347))</f>
        <v/>
      </c>
      <c r="D347" s="12" t="str">
        <f t="shared" si="230"/>
        <v/>
      </c>
      <c r="E347" s="107" t="str">
        <f t="shared" si="253"/>
        <v/>
      </c>
      <c r="F347" s="63" t="str" cm="1">
        <f t="array" ref="F347">IF(B347="","",0.1+IFERROR(INDEX($F$6:$F346,SUMPRODUCT(MAX(ROW($C$6:$C346)*($C347=$C$6:$C346))-ROW($A$5)))*0.9^($A347-INDEX($A$6:A346,SUMPRODUCT(MAX(ROW($C$6:$C346)*($C347=$C$6:$C346))-ROW($A$5)))),0))</f>
        <v/>
      </c>
      <c r="G347" s="64" t="e">
        <f>INDEX('Exercise list'!$Y$5:$Y$102,MATCH(C347,'Exercise list'!$C$5:$C$102,0))</f>
        <v>#N/A</v>
      </c>
      <c r="H347" s="115">
        <f t="shared" si="231"/>
        <v>0</v>
      </c>
      <c r="I347" s="6">
        <f t="shared" si="232"/>
        <v>5</v>
      </c>
      <c r="J347" s="6" t="str" cm="1">
        <f t="array" ref="J347">IF(B347="","",INDEX('Exercise list'!$D$5:$D$102,B347))</f>
        <v/>
      </c>
      <c r="K347" s="12"/>
      <c r="L347" s="74" t="str" cm="1">
        <f t="array" ref="L347">IF(K347="","",INDEX('Exercise list'!$C$5:$C$102,K347))</f>
        <v/>
      </c>
      <c r="M347" s="6"/>
      <c r="N347" s="75" t="str" cm="1">
        <f t="array" ref="N347">IF(M347="","",INDEX('Exercise list'!$C$5:$C$102,M347))</f>
        <v/>
      </c>
      <c r="P347">
        <f>IFERROR(INDEX('Exercise list'!$E$5:$X$102,MATCH($C347,'Exercise list'!$C$5:$C$102,0),MATCH(P$5,'Exercise list'!$E$4:$X$4,0)),0)</f>
        <v>0</v>
      </c>
      <c r="Q347">
        <f>IFERROR(INDEX('Exercise list'!$E$5:$X$102,MATCH($C347,'Exercise list'!$C$5:$C$102,0),MATCH(Q$5,'Exercise list'!$E$4:$X$4,0)),0)</f>
        <v>0</v>
      </c>
      <c r="R347">
        <f>IFERROR(INDEX('Exercise list'!$E$5:$X$102,MATCH($C347,'Exercise list'!$C$5:$C$102,0),MATCH(R$5,'Exercise list'!$E$4:$X$4,0)),0)</f>
        <v>0</v>
      </c>
      <c r="S347">
        <f>IFERROR(INDEX('Exercise list'!$E$5:$X$102,MATCH($C347,'Exercise list'!$C$5:$C$102,0),MATCH(S$5,'Exercise list'!$E$4:$X$4,0)),0)</f>
        <v>0</v>
      </c>
      <c r="T347">
        <f>IFERROR(INDEX('Exercise list'!$E$5:$X$102,MATCH($C347,'Exercise list'!$C$5:$C$102,0),MATCH(T$5,'Exercise list'!$E$4:$X$4,0)),0)</f>
        <v>0</v>
      </c>
      <c r="U347">
        <f>IFERROR(INDEX('Exercise list'!$E$5:$X$102,MATCH($C347,'Exercise list'!$C$5:$C$102,0),MATCH(U$5,'Exercise list'!$E$4:$X$4,0)),0)</f>
        <v>0</v>
      </c>
      <c r="V347">
        <f>IFERROR(INDEX('Exercise list'!$E$5:$X$102,MATCH($C347,'Exercise list'!$C$5:$C$102,0),MATCH(V$5,'Exercise list'!$E$4:$X$4,0)),0)</f>
        <v>0</v>
      </c>
      <c r="W347">
        <f>IFERROR(INDEX('Exercise list'!$E$5:$X$102,MATCH($C347,'Exercise list'!$C$5:$C$102,0),MATCH(W$5,'Exercise list'!$E$4:$X$4,0)),0)</f>
        <v>0</v>
      </c>
      <c r="X347">
        <f>IFERROR(INDEX('Exercise list'!$E$5:$X$102,MATCH($C347,'Exercise list'!$C$5:$C$102,0),MATCH(X$5,'Exercise list'!$E$4:$X$4,0)),0)</f>
        <v>0</v>
      </c>
      <c r="Y347">
        <f>IFERROR(INDEX('Exercise list'!$E$5:$X$102,MATCH($C347,'Exercise list'!$C$5:$C$102,0),MATCH(Y$5,'Exercise list'!$E$4:$X$4,0)),0)</f>
        <v>0</v>
      </c>
      <c r="Z347">
        <f>IFERROR(INDEX('Exercise list'!$E$5:$X$102,MATCH($C347,'Exercise list'!$C$5:$C$102,0),MATCH(Z$5,'Exercise list'!$E$4:$X$4,0)),0)</f>
        <v>0</v>
      </c>
      <c r="AA347">
        <f>IFERROR(INDEX('Exercise list'!$E$5:$X$102,MATCH($C347,'Exercise list'!$C$5:$C$102,0),MATCH(AA$5,'Exercise list'!$E$4:$X$4,0)),0)</f>
        <v>0</v>
      </c>
      <c r="AB347">
        <f>IFERROR(INDEX('Exercise list'!$E$5:$X$102,MATCH($C347,'Exercise list'!$C$5:$C$102,0),MATCH(AB$5,'Exercise list'!$E$4:$X$4,0)),0)</f>
        <v>0</v>
      </c>
      <c r="AC347">
        <f>IFERROR(INDEX('Exercise list'!$E$5:$X$102,MATCH($C347,'Exercise list'!$C$5:$C$102,0),MATCH(AC$5,'Exercise list'!$E$4:$X$4,0)),0)</f>
        <v>0</v>
      </c>
      <c r="AD347">
        <f>IFERROR(INDEX('Exercise list'!$E$5:$X$102,MATCH($C347,'Exercise list'!$C$5:$C$102,0),MATCH(AD$5,'Exercise list'!$E$4:$X$4,0)),0)</f>
        <v>0</v>
      </c>
      <c r="AE347">
        <f>IFERROR(INDEX('Exercise list'!$E$5:$X$102,MATCH($C347,'Exercise list'!$C$5:$C$102,0),MATCH(AE$5,'Exercise list'!$E$4:$X$4,0)),0)</f>
        <v>0</v>
      </c>
      <c r="AF347">
        <f>IFERROR(INDEX('Exercise list'!$E$5:$X$102,MATCH($C347,'Exercise list'!$C$5:$C$102,0),MATCH(AF$5,'Exercise list'!$E$4:$X$4,0)),0)</f>
        <v>0</v>
      </c>
      <c r="AG347">
        <f>IFERROR(INDEX('Exercise list'!$E$5:$X$102,MATCH($C347,'Exercise list'!$C$5:$C$102,0),MATCH(AG$5,'Exercise list'!$E$4:$X$4,0)),0)</f>
        <v>0</v>
      </c>
      <c r="AH347">
        <f>IFERROR(INDEX('Exercise list'!$E$5:$X$102,MATCH($C347,'Exercise list'!$C$5:$C$102,0),MATCH(AH$5,'Exercise list'!$E$4:$X$4,0)),0)</f>
        <v>0</v>
      </c>
      <c r="AI347">
        <f>IFERROR(INDEX('Exercise list'!$E$5:$X$102,MATCH($C347,'Exercise list'!$C$5:$C$102,0),MATCH(AI$5,'Exercise list'!$E$4:$X$4,0)),0)</f>
        <v>0</v>
      </c>
      <c r="AK347">
        <f>IF(OR($J347=1,COUNTIFS($A$5:$A346,"&gt;="&amp;$A347-1,$A$5:$A346,"&lt;="&amp;$A347,$B$5:$B346,$B347)&gt;0,MIN(1-'Exercise list'!E$2,IF($A347=$A346,AK346,1))-P347&lt;0),-1,MIN(1,IF($A347=$A346,AK346,1)-P347+$D$2))</f>
        <v>1</v>
      </c>
      <c r="AL347">
        <f>IF(OR($J347=1,COUNTIFS($A$5:$A346,"&gt;="&amp;$A347-1,$A$5:$A346,"&lt;="&amp;$A347,$B$5:$B346,$B347)&gt;0,MIN(1-'Exercise list'!F$2,IF($A347=$A346,AL346,1))-Q347&lt;0),-1,MIN(1,IF($A347=$A346,AL346,1)-Q347+$D$2))</f>
        <v>1</v>
      </c>
      <c r="AM347">
        <f>IF(OR($J347=1,COUNTIFS($A$5:$A346,"&gt;="&amp;$A347-1,$A$5:$A346,"&lt;="&amp;$A347,$B$5:$B346,$B347)&gt;0,MIN(1-'Exercise list'!G$2,IF($A347=$A346,AM346,1))-R347&lt;0),-1,MIN(1,IF($A347=$A346,AM346,1)-R347+$D$2))</f>
        <v>1</v>
      </c>
      <c r="AN347">
        <f>IF(OR($J347=1,COUNTIFS($A$5:$A346,"&gt;="&amp;$A347-1,$A$5:$A346,"&lt;="&amp;$A347,$B$5:$B346,$B347)&gt;0,MIN(1-'Exercise list'!H$2,IF($A347=$A346,AN346,1))-S347&lt;0),-1,MIN(1,IF($A347=$A346,AN346,1)-S347+$D$2))</f>
        <v>1</v>
      </c>
      <c r="AO347">
        <f>IF(OR($J347=1,COUNTIFS($A$5:$A346,"&gt;="&amp;$A347-1,$A$5:$A346,"&lt;="&amp;$A347,$B$5:$B346,$B347)&gt;0,MIN(1-'Exercise list'!I$2,IF($A347=$A346,AO346,1))-T347&lt;0),-1,MIN(1,IF($A347=$A346,AO346,1)-T347+$D$2))</f>
        <v>1</v>
      </c>
      <c r="AP347">
        <f>IF(OR($J347=1,COUNTIFS($A$5:$A346,"&gt;="&amp;$A347-1,$A$5:$A346,"&lt;="&amp;$A347,$B$5:$B346,$B347)&gt;0,MIN(1-'Exercise list'!J$2,IF($A347=$A346,AP346,1))-U347&lt;0),-1,MIN(1,IF($A347=$A346,AP346,1)-U347+$D$2))</f>
        <v>1</v>
      </c>
      <c r="AQ347">
        <f>IF(OR($J347=1,COUNTIFS($A$5:$A346,"&gt;="&amp;$A347-1,$A$5:$A346,"&lt;="&amp;$A347,$B$5:$B346,$B347)&gt;0,MIN(1-'Exercise list'!K$2,IF($A347=$A346,AQ346,1))-V347&lt;0),-1,MIN(1,IF($A347=$A346,AQ346,1)-V347+$D$2))</f>
        <v>1</v>
      </c>
      <c r="AR347">
        <f>IF(OR($J347=1,COUNTIFS($A$5:$A346,"&gt;="&amp;$A347-1,$A$5:$A346,"&lt;="&amp;$A347,$B$5:$B346,$B347)&gt;0,MIN(1-'Exercise list'!L$2,IF($A347=$A346,AR346,1))-W347&lt;0),-1,MIN(1,IF($A347=$A346,AR346,1)-W347+$D$2))</f>
        <v>1</v>
      </c>
      <c r="AS347">
        <f>IF(OR($J347=1,COUNTIFS($A$5:$A346,"&gt;="&amp;$A347-1,$A$5:$A346,"&lt;="&amp;$A347,$B$5:$B346,$B347)&gt;0,MIN(1-'Exercise list'!M$2,IF($A347=$A346,AS346,1))-X347&lt;0),-1,MIN(1,IF($A347=$A346,AS346,1)-X347+$D$2))</f>
        <v>1</v>
      </c>
      <c r="AT347">
        <f>IF(OR($J347=1,COUNTIFS($A$5:$A346,"&gt;="&amp;$A347-1,$A$5:$A346,"&lt;="&amp;$A347,$B$5:$B346,$B347)&gt;0,MIN(1-'Exercise list'!N$2,IF($A347=$A346,AT346,1))-Y347&lt;0),-1,MIN(1,IF($A347=$A346,AT346,1)-Y347+$D$2))</f>
        <v>1</v>
      </c>
      <c r="AU347">
        <f>IF(OR($J347=1,COUNTIFS($A$5:$A346,"&gt;="&amp;$A347-1,$A$5:$A346,"&lt;="&amp;$A347,$B$5:$B346,$B347)&gt;0,MIN(1-'Exercise list'!O$2,IF($A347=$A346,AU346,1))-Z347&lt;0),-1,MIN(1,IF($A347=$A346,AU346,1)-Z347+$D$2))</f>
        <v>1</v>
      </c>
      <c r="AV347">
        <f>IF(OR($J347=1,COUNTIFS($A$5:$A346,"&gt;="&amp;$A347-1,$A$5:$A346,"&lt;="&amp;$A347,$B$5:$B346,$B347)&gt;0,MIN(1-'Exercise list'!P$2,IF($A347=$A346,AV346,1))-AA347&lt;0),-1,MIN(1,IF($A347=$A346,AV346,1)-AA347+$D$2))</f>
        <v>1</v>
      </c>
      <c r="AW347">
        <f>IF(OR($J347=1,COUNTIFS($A$5:$A346,"&gt;="&amp;$A347-1,$A$5:$A346,"&lt;="&amp;$A347,$B$5:$B346,$B347)&gt;0,MIN(1-'Exercise list'!Q$2,IF($A347=$A346,AW346,1))-AB347&lt;0),-1,MIN(1,IF($A347=$A346,AW346,1)-AB347+$D$2))</f>
        <v>1</v>
      </c>
      <c r="AX347">
        <f>IF(OR($J347=1,COUNTIFS($A$5:$A346,"&gt;="&amp;$A347-1,$A$5:$A346,"&lt;="&amp;$A347,$B$5:$B346,$B347)&gt;0,MIN(1-'Exercise list'!R$2,IF($A347=$A346,AX346,1))-AC347&lt;0),-1,MIN(1,IF($A347=$A346,AX346,1)-AC347+$D$2))</f>
        <v>1</v>
      </c>
      <c r="AY347">
        <f>IF(OR($J347=1,COUNTIFS($A$5:$A346,"&gt;="&amp;$A347-1,$A$5:$A346,"&lt;="&amp;$A347,$B$5:$B346,$B347)&gt;0,MIN(1-'Exercise list'!S$2,IF($A347=$A346,AY346,1))-AD347&lt;0),-1,MIN(1,IF($A347=$A346,AY346,1)-AD347+$D$2))</f>
        <v>1</v>
      </c>
      <c r="AZ347">
        <f>IF(OR($J347=1,COUNTIFS($A$5:$A346,"&gt;="&amp;$A347-1,$A$5:$A346,"&lt;="&amp;$A347,$B$5:$B346,$B347)&gt;0,MIN(1-'Exercise list'!T$2,IF($A347=$A346,AZ346,1))-AE347&lt;0),-1,MIN(1,IF($A347=$A346,AZ346,1)-AE347+$D$2))</f>
        <v>1</v>
      </c>
      <c r="BA347">
        <f>IF(OR($J347=1,COUNTIFS($A$5:$A346,"&gt;="&amp;$A347-1,$A$5:$A346,"&lt;="&amp;$A347,$B$5:$B346,$B347)&gt;0,MIN(1-'Exercise list'!U$2,IF($A347=$A346,BA346,1))-AF347&lt;0),-1,MIN(1,IF($A347=$A346,BA346,1)-AF347+$D$2))</f>
        <v>1</v>
      </c>
      <c r="BB347">
        <f>IF(OR($J347=1,COUNTIFS($A$5:$A346,"&gt;="&amp;$A347-1,$A$5:$A346,"&lt;="&amp;$A347,$B$5:$B346,$B347)&gt;0,MIN(1-'Exercise list'!V$2,IF($A347=$A346,BB346,1))-AG347&lt;0),-1,MIN(1,IF($A347=$A346,BB346,1)-AG347+$D$2))</f>
        <v>1</v>
      </c>
      <c r="BC347">
        <f>IF(OR($J347=1,COUNTIFS($A$5:$A346,"&gt;="&amp;$A347-1,$A$5:$A346,"&lt;="&amp;$A347,$B$5:$B346,$B347)&gt;0,MIN(1-'Exercise list'!W$2,IF($A347=$A346,BC346,1))-AH347&lt;0),-1,MIN(1,IF($A347=$A346,BC346,1)-AH347+$D$2))</f>
        <v>1</v>
      </c>
      <c r="BD347">
        <f>IF(OR($J347=1,COUNTIFS($A$5:$A346,"&gt;="&amp;$A347-1,$A$5:$A346,"&lt;="&amp;$A347,$B$5:$B346,$B347)&gt;0,MIN(1-'Exercise list'!X$2,IF($A347=$A346,BD346,1))-AI347&lt;0),-1,MIN(1,IF($A347=$A346,BD346,1)-AI347+$D$2))</f>
        <v>1</v>
      </c>
      <c r="BF347" s="16">
        <f t="shared" si="233"/>
        <v>0.19596031081758858</v>
      </c>
      <c r="BG347" s="16">
        <f t="shared" si="234"/>
        <v>0.21844636935459236</v>
      </c>
      <c r="BH347" s="16">
        <f t="shared" si="235"/>
        <v>0.14609696635987124</v>
      </c>
      <c r="BI347" s="16">
        <f t="shared" si="236"/>
        <v>0.13198015366034541</v>
      </c>
      <c r="BJ347" s="16">
        <f t="shared" si="237"/>
        <v>8.3367914198418713E-2</v>
      </c>
      <c r="BK347" s="16">
        <f t="shared" si="238"/>
        <v>0.10640640223148412</v>
      </c>
      <c r="BL347" s="16">
        <f t="shared" si="239"/>
        <v>0.21963504743569431</v>
      </c>
      <c r="BM347" s="16">
        <f t="shared" si="240"/>
        <v>3.8988008374820568E-3</v>
      </c>
      <c r="BN347" s="16">
        <f t="shared" si="241"/>
        <v>0.14537706087090876</v>
      </c>
      <c r="BO347" s="16">
        <f t="shared" si="242"/>
        <v>0.29209790661993401</v>
      </c>
      <c r="BP347" s="16">
        <f t="shared" si="243"/>
        <v>0.31584545163401867</v>
      </c>
      <c r="BQ347" s="16">
        <f t="shared" si="244"/>
        <v>0.1000007994126096</v>
      </c>
      <c r="BR347" s="16">
        <f t="shared" si="245"/>
        <v>0.13164487759885393</v>
      </c>
      <c r="BS347" s="16">
        <f t="shared" si="246"/>
        <v>2.9803550189863123E-2</v>
      </c>
      <c r="BT347" s="16">
        <f t="shared" si="247"/>
        <v>0.13492040904978705</v>
      </c>
      <c r="BU347" s="16">
        <f t="shared" si="248"/>
        <v>0.11703687414398131</v>
      </c>
      <c r="BV347" s="16">
        <f t="shared" si="249"/>
        <v>0.14633353213781661</v>
      </c>
      <c r="BW347" s="16">
        <f t="shared" si="250"/>
        <v>7.5588015111767173E-2</v>
      </c>
      <c r="BX347" s="16">
        <f t="shared" si="251"/>
        <v>8.0345659937185704E-2</v>
      </c>
      <c r="BY347" s="16">
        <f t="shared" si="252"/>
        <v>5.9014643151272549E-2</v>
      </c>
      <c r="CA347" s="16" t="str">
        <f t="shared" si="273"/>
        <v/>
      </c>
      <c r="CB347" s="16" t="str">
        <f t="shared" si="254"/>
        <v/>
      </c>
      <c r="CC347" s="16" t="str">
        <f t="shared" si="255"/>
        <v/>
      </c>
      <c r="CD347" s="16" t="str">
        <f t="shared" si="256"/>
        <v/>
      </c>
      <c r="CE347" s="16" t="str">
        <f t="shared" si="257"/>
        <v/>
      </c>
      <c r="CF347" s="16" t="str">
        <f t="shared" si="258"/>
        <v/>
      </c>
      <c r="CG347" s="16" t="str">
        <f t="shared" si="259"/>
        <v/>
      </c>
      <c r="CH347" s="16" t="str">
        <f t="shared" si="260"/>
        <v/>
      </c>
      <c r="CI347" s="16" t="str">
        <f t="shared" si="261"/>
        <v/>
      </c>
      <c r="CJ347" s="16" t="str">
        <f t="shared" si="262"/>
        <v/>
      </c>
      <c r="CK347" s="16" t="str">
        <f t="shared" si="263"/>
        <v/>
      </c>
      <c r="CL347" s="16" t="str">
        <f t="shared" si="264"/>
        <v/>
      </c>
      <c r="CM347" s="16" t="str">
        <f t="shared" si="265"/>
        <v/>
      </c>
      <c r="CN347" s="16" t="str">
        <f t="shared" si="266"/>
        <v/>
      </c>
      <c r="CO347" s="16" t="str">
        <f t="shared" si="267"/>
        <v/>
      </c>
      <c r="CP347" s="16" t="str">
        <f t="shared" si="268"/>
        <v/>
      </c>
      <c r="CQ347" s="16" t="str">
        <f t="shared" si="269"/>
        <v/>
      </c>
      <c r="CR347" s="16" t="str">
        <f t="shared" si="270"/>
        <v/>
      </c>
      <c r="CS347" s="16" t="str">
        <f t="shared" si="271"/>
        <v/>
      </c>
      <c r="CT347" s="16" t="str">
        <f t="shared" si="272"/>
        <v/>
      </c>
    </row>
    <row r="348" spans="1:99" x14ac:dyDescent="0.25">
      <c r="A348" s="20"/>
      <c r="B348" s="21"/>
      <c r="C348" s="22" t="str" cm="1">
        <f t="array" ref="C348">IF(B348="","",INDEX('Exercise list'!$C$5:$C$102,B348))</f>
        <v/>
      </c>
      <c r="D348" s="17" t="str">
        <f t="shared" si="230"/>
        <v/>
      </c>
      <c r="E348" s="108" t="str">
        <f t="shared" si="253"/>
        <v/>
      </c>
      <c r="F348" s="65" t="str" cm="1">
        <f t="array" ref="F348">IF(B348="","",0.1+IFERROR(INDEX($F$6:$F347,SUMPRODUCT(MAX(ROW($C$6:$C347)*($C348=$C$6:$C347))-ROW($A$5)))*0.9^($A348-INDEX($A$6:A347,SUMPRODUCT(MAX(ROW($C$6:$C347)*($C348=$C$6:$C347))-ROW($A$5)))),0))</f>
        <v/>
      </c>
      <c r="G348" s="25" t="e">
        <f>INDEX('Exercise list'!$Y$5:$Y$102,MATCH(C348,'Exercise list'!$C$5:$C$102,0))</f>
        <v>#N/A</v>
      </c>
      <c r="H348" s="116">
        <f t="shared" si="231"/>
        <v>0</v>
      </c>
      <c r="I348" s="18">
        <f t="shared" si="232"/>
        <v>5</v>
      </c>
      <c r="J348" s="18" t="str" cm="1">
        <f t="array" ref="J348">IF(B348="","",INDEX('Exercise list'!$D$5:$D$102,B348))</f>
        <v/>
      </c>
      <c r="K348" s="17"/>
      <c r="L348" s="51" t="str" cm="1">
        <f t="array" ref="L348">IF(K348="","",INDEX('Exercise list'!$C$5:$C$102,K348))</f>
        <v/>
      </c>
      <c r="M348" s="18"/>
      <c r="N348" s="76" t="str" cm="1">
        <f t="array" ref="N348">IF(M348="","",INDEX('Exercise list'!$C$5:$C$102,M348))</f>
        <v/>
      </c>
      <c r="O348" s="19"/>
      <c r="P348" s="19">
        <f>IFERROR(INDEX('Exercise list'!$E$5:$X$102,MATCH($C348,'Exercise list'!$C$5:$C$102,0),MATCH(P$5,'Exercise list'!$E$4:$X$4,0)),0)</f>
        <v>0</v>
      </c>
      <c r="Q348" s="19">
        <f>IFERROR(INDEX('Exercise list'!$E$5:$X$102,MATCH($C348,'Exercise list'!$C$5:$C$102,0),MATCH(Q$5,'Exercise list'!$E$4:$X$4,0)),0)</f>
        <v>0</v>
      </c>
      <c r="R348" s="19">
        <f>IFERROR(INDEX('Exercise list'!$E$5:$X$102,MATCH($C348,'Exercise list'!$C$5:$C$102,0),MATCH(R$5,'Exercise list'!$E$4:$X$4,0)),0)</f>
        <v>0</v>
      </c>
      <c r="S348" s="19">
        <f>IFERROR(INDEX('Exercise list'!$E$5:$X$102,MATCH($C348,'Exercise list'!$C$5:$C$102,0),MATCH(S$5,'Exercise list'!$E$4:$X$4,0)),0)</f>
        <v>0</v>
      </c>
      <c r="T348" s="19">
        <f>IFERROR(INDEX('Exercise list'!$E$5:$X$102,MATCH($C348,'Exercise list'!$C$5:$C$102,0),MATCH(T$5,'Exercise list'!$E$4:$X$4,0)),0)</f>
        <v>0</v>
      </c>
      <c r="U348" s="19">
        <f>IFERROR(INDEX('Exercise list'!$E$5:$X$102,MATCH($C348,'Exercise list'!$C$5:$C$102,0),MATCH(U$5,'Exercise list'!$E$4:$X$4,0)),0)</f>
        <v>0</v>
      </c>
      <c r="V348" s="19">
        <f>IFERROR(INDEX('Exercise list'!$E$5:$X$102,MATCH($C348,'Exercise list'!$C$5:$C$102,0),MATCH(V$5,'Exercise list'!$E$4:$X$4,0)),0)</f>
        <v>0</v>
      </c>
      <c r="W348" s="19">
        <f>IFERROR(INDEX('Exercise list'!$E$5:$X$102,MATCH($C348,'Exercise list'!$C$5:$C$102,0),MATCH(W$5,'Exercise list'!$E$4:$X$4,0)),0)</f>
        <v>0</v>
      </c>
      <c r="X348" s="19">
        <f>IFERROR(INDEX('Exercise list'!$E$5:$X$102,MATCH($C348,'Exercise list'!$C$5:$C$102,0),MATCH(X$5,'Exercise list'!$E$4:$X$4,0)),0)</f>
        <v>0</v>
      </c>
      <c r="Y348" s="19">
        <f>IFERROR(INDEX('Exercise list'!$E$5:$X$102,MATCH($C348,'Exercise list'!$C$5:$C$102,0),MATCH(Y$5,'Exercise list'!$E$4:$X$4,0)),0)</f>
        <v>0</v>
      </c>
      <c r="Z348" s="19">
        <f>IFERROR(INDEX('Exercise list'!$E$5:$X$102,MATCH($C348,'Exercise list'!$C$5:$C$102,0),MATCH(Z$5,'Exercise list'!$E$4:$X$4,0)),0)</f>
        <v>0</v>
      </c>
      <c r="AA348" s="19">
        <f>IFERROR(INDEX('Exercise list'!$E$5:$X$102,MATCH($C348,'Exercise list'!$C$5:$C$102,0),MATCH(AA$5,'Exercise list'!$E$4:$X$4,0)),0)</f>
        <v>0</v>
      </c>
      <c r="AB348" s="19">
        <f>IFERROR(INDEX('Exercise list'!$E$5:$X$102,MATCH($C348,'Exercise list'!$C$5:$C$102,0),MATCH(AB$5,'Exercise list'!$E$4:$X$4,0)),0)</f>
        <v>0</v>
      </c>
      <c r="AC348" s="19">
        <f>IFERROR(INDEX('Exercise list'!$E$5:$X$102,MATCH($C348,'Exercise list'!$C$5:$C$102,0),MATCH(AC$5,'Exercise list'!$E$4:$X$4,0)),0)</f>
        <v>0</v>
      </c>
      <c r="AD348" s="19">
        <f>IFERROR(INDEX('Exercise list'!$E$5:$X$102,MATCH($C348,'Exercise list'!$C$5:$C$102,0),MATCH(AD$5,'Exercise list'!$E$4:$X$4,0)),0)</f>
        <v>0</v>
      </c>
      <c r="AE348" s="19">
        <f>IFERROR(INDEX('Exercise list'!$E$5:$X$102,MATCH($C348,'Exercise list'!$C$5:$C$102,0),MATCH(AE$5,'Exercise list'!$E$4:$X$4,0)),0)</f>
        <v>0</v>
      </c>
      <c r="AF348" s="19">
        <f>IFERROR(INDEX('Exercise list'!$E$5:$X$102,MATCH($C348,'Exercise list'!$C$5:$C$102,0),MATCH(AF$5,'Exercise list'!$E$4:$X$4,0)),0)</f>
        <v>0</v>
      </c>
      <c r="AG348" s="19">
        <f>IFERROR(INDEX('Exercise list'!$E$5:$X$102,MATCH($C348,'Exercise list'!$C$5:$C$102,0),MATCH(AG$5,'Exercise list'!$E$4:$X$4,0)),0)</f>
        <v>0</v>
      </c>
      <c r="AH348" s="19">
        <f>IFERROR(INDEX('Exercise list'!$E$5:$X$102,MATCH($C348,'Exercise list'!$C$5:$C$102,0),MATCH(AH$5,'Exercise list'!$E$4:$X$4,0)),0)</f>
        <v>0</v>
      </c>
      <c r="AI348" s="19">
        <f>IFERROR(INDEX('Exercise list'!$E$5:$X$102,MATCH($C348,'Exercise list'!$C$5:$C$102,0),MATCH(AI$5,'Exercise list'!$E$4:$X$4,0)),0)</f>
        <v>0</v>
      </c>
      <c r="AJ348" s="19"/>
      <c r="AK348" s="19">
        <f>IF(OR($J348=1,COUNTIFS($A$5:$A347,"&gt;="&amp;$A348-1,$A$5:$A347,"&lt;="&amp;$A348,$B$5:$B347,$B348)&gt;0,MIN(1-'Exercise list'!E$2,IF($A348=$A347,AK347,1))-P348&lt;0),-1,MIN(1,IF($A348=$A347,AK347,1)-P348+$D$2))</f>
        <v>1</v>
      </c>
      <c r="AL348" s="19">
        <f>IF(OR($J348=1,COUNTIFS($A$5:$A347,"&gt;="&amp;$A348-1,$A$5:$A347,"&lt;="&amp;$A348,$B$5:$B347,$B348)&gt;0,MIN(1-'Exercise list'!F$2,IF($A348=$A347,AL347,1))-Q348&lt;0),-1,MIN(1,IF($A348=$A347,AL347,1)-Q348+$D$2))</f>
        <v>1</v>
      </c>
      <c r="AM348" s="19">
        <f>IF(OR($J348=1,COUNTIFS($A$5:$A347,"&gt;="&amp;$A348-1,$A$5:$A347,"&lt;="&amp;$A348,$B$5:$B347,$B348)&gt;0,MIN(1-'Exercise list'!G$2,IF($A348=$A347,AM347,1))-R348&lt;0),-1,MIN(1,IF($A348=$A347,AM347,1)-R348+$D$2))</f>
        <v>1</v>
      </c>
      <c r="AN348" s="19">
        <f>IF(OR($J348=1,COUNTIFS($A$5:$A347,"&gt;="&amp;$A348-1,$A$5:$A347,"&lt;="&amp;$A348,$B$5:$B347,$B348)&gt;0,MIN(1-'Exercise list'!H$2,IF($A348=$A347,AN347,1))-S348&lt;0),-1,MIN(1,IF($A348=$A347,AN347,1)-S348+$D$2))</f>
        <v>1</v>
      </c>
      <c r="AO348" s="19">
        <f>IF(OR($J348=1,COUNTIFS($A$5:$A347,"&gt;="&amp;$A348-1,$A$5:$A347,"&lt;="&amp;$A348,$B$5:$B347,$B348)&gt;0,MIN(1-'Exercise list'!I$2,IF($A348=$A347,AO347,1))-T348&lt;0),-1,MIN(1,IF($A348=$A347,AO347,1)-T348+$D$2))</f>
        <v>1</v>
      </c>
      <c r="AP348" s="19">
        <f>IF(OR($J348=1,COUNTIFS($A$5:$A347,"&gt;="&amp;$A348-1,$A$5:$A347,"&lt;="&amp;$A348,$B$5:$B347,$B348)&gt;0,MIN(1-'Exercise list'!J$2,IF($A348=$A347,AP347,1))-U348&lt;0),-1,MIN(1,IF($A348=$A347,AP347,1)-U348+$D$2))</f>
        <v>1</v>
      </c>
      <c r="AQ348" s="19">
        <f>IF(OR($J348=1,COUNTIFS($A$5:$A347,"&gt;="&amp;$A348-1,$A$5:$A347,"&lt;="&amp;$A348,$B$5:$B347,$B348)&gt;0,MIN(1-'Exercise list'!K$2,IF($A348=$A347,AQ347,1))-V348&lt;0),-1,MIN(1,IF($A348=$A347,AQ347,1)-V348+$D$2))</f>
        <v>1</v>
      </c>
      <c r="AR348" s="19">
        <f>IF(OR($J348=1,COUNTIFS($A$5:$A347,"&gt;="&amp;$A348-1,$A$5:$A347,"&lt;="&amp;$A348,$B$5:$B347,$B348)&gt;0,MIN(1-'Exercise list'!L$2,IF($A348=$A347,AR347,1))-W348&lt;0),-1,MIN(1,IF($A348=$A347,AR347,1)-W348+$D$2))</f>
        <v>1</v>
      </c>
      <c r="AS348" s="19">
        <f>IF(OR($J348=1,COUNTIFS($A$5:$A347,"&gt;="&amp;$A348-1,$A$5:$A347,"&lt;="&amp;$A348,$B$5:$B347,$B348)&gt;0,MIN(1-'Exercise list'!M$2,IF($A348=$A347,AS347,1))-X348&lt;0),-1,MIN(1,IF($A348=$A347,AS347,1)-X348+$D$2))</f>
        <v>1</v>
      </c>
      <c r="AT348" s="19">
        <f>IF(OR($J348=1,COUNTIFS($A$5:$A347,"&gt;="&amp;$A348-1,$A$5:$A347,"&lt;="&amp;$A348,$B$5:$B347,$B348)&gt;0,MIN(1-'Exercise list'!N$2,IF($A348=$A347,AT347,1))-Y348&lt;0),-1,MIN(1,IF($A348=$A347,AT347,1)-Y348+$D$2))</f>
        <v>1</v>
      </c>
      <c r="AU348" s="19">
        <f>IF(OR($J348=1,COUNTIFS($A$5:$A347,"&gt;="&amp;$A348-1,$A$5:$A347,"&lt;="&amp;$A348,$B$5:$B347,$B348)&gt;0,MIN(1-'Exercise list'!O$2,IF($A348=$A347,AU347,1))-Z348&lt;0),-1,MIN(1,IF($A348=$A347,AU347,1)-Z348+$D$2))</f>
        <v>1</v>
      </c>
      <c r="AV348" s="19">
        <f>IF(OR($J348=1,COUNTIFS($A$5:$A347,"&gt;="&amp;$A348-1,$A$5:$A347,"&lt;="&amp;$A348,$B$5:$B347,$B348)&gt;0,MIN(1-'Exercise list'!P$2,IF($A348=$A347,AV347,1))-AA348&lt;0),-1,MIN(1,IF($A348=$A347,AV347,1)-AA348+$D$2))</f>
        <v>1</v>
      </c>
      <c r="AW348" s="19">
        <f>IF(OR($J348=1,COUNTIFS($A$5:$A347,"&gt;="&amp;$A348-1,$A$5:$A347,"&lt;="&amp;$A348,$B$5:$B347,$B348)&gt;0,MIN(1-'Exercise list'!Q$2,IF($A348=$A347,AW347,1))-AB348&lt;0),-1,MIN(1,IF($A348=$A347,AW347,1)-AB348+$D$2))</f>
        <v>1</v>
      </c>
      <c r="AX348" s="19">
        <f>IF(OR($J348=1,COUNTIFS($A$5:$A347,"&gt;="&amp;$A348-1,$A$5:$A347,"&lt;="&amp;$A348,$B$5:$B347,$B348)&gt;0,MIN(1-'Exercise list'!R$2,IF($A348=$A347,AX347,1))-AC348&lt;0),-1,MIN(1,IF($A348=$A347,AX347,1)-AC348+$D$2))</f>
        <v>1</v>
      </c>
      <c r="AY348" s="19">
        <f>IF(OR($J348=1,COUNTIFS($A$5:$A347,"&gt;="&amp;$A348-1,$A$5:$A347,"&lt;="&amp;$A348,$B$5:$B347,$B348)&gt;0,MIN(1-'Exercise list'!S$2,IF($A348=$A347,AY347,1))-AD348&lt;0),-1,MIN(1,IF($A348=$A347,AY347,1)-AD348+$D$2))</f>
        <v>1</v>
      </c>
      <c r="AZ348" s="19">
        <f>IF(OR($J348=1,COUNTIFS($A$5:$A347,"&gt;="&amp;$A348-1,$A$5:$A347,"&lt;="&amp;$A348,$B$5:$B347,$B348)&gt;0,MIN(1-'Exercise list'!T$2,IF($A348=$A347,AZ347,1))-AE348&lt;0),-1,MIN(1,IF($A348=$A347,AZ347,1)-AE348+$D$2))</f>
        <v>1</v>
      </c>
      <c r="BA348" s="19">
        <f>IF(OR($J348=1,COUNTIFS($A$5:$A347,"&gt;="&amp;$A348-1,$A$5:$A347,"&lt;="&amp;$A348,$B$5:$B347,$B348)&gt;0,MIN(1-'Exercise list'!U$2,IF($A348=$A347,BA347,1))-AF348&lt;0),-1,MIN(1,IF($A348=$A347,BA347,1)-AF348+$D$2))</f>
        <v>1</v>
      </c>
      <c r="BB348" s="19">
        <f>IF(OR($J348=1,COUNTIFS($A$5:$A347,"&gt;="&amp;$A348-1,$A$5:$A347,"&lt;="&amp;$A348,$B$5:$B347,$B348)&gt;0,MIN(1-'Exercise list'!V$2,IF($A348=$A347,BB347,1))-AG348&lt;0),-1,MIN(1,IF($A348=$A347,BB347,1)-AG348+$D$2))</f>
        <v>1</v>
      </c>
      <c r="BC348" s="19">
        <f>IF(OR($J348=1,COUNTIFS($A$5:$A347,"&gt;="&amp;$A348-1,$A$5:$A347,"&lt;="&amp;$A348,$B$5:$B347,$B348)&gt;0,MIN(1-'Exercise list'!W$2,IF($A348=$A347,BC347,1))-AH348&lt;0),-1,MIN(1,IF($A348=$A347,BC347,1)-AH348+$D$2))</f>
        <v>1</v>
      </c>
      <c r="BD348" s="19">
        <f>IF(OR($J348=1,COUNTIFS($A$5:$A347,"&gt;="&amp;$A348-1,$A$5:$A347,"&lt;="&amp;$A348,$B$5:$B347,$B348)&gt;0,MIN(1-'Exercise list'!X$2,IF($A348=$A347,BD347,1))-AI348&lt;0),-1,MIN(1,IF($A348=$A347,BD347,1)-AI348+$D$2))</f>
        <v>1</v>
      </c>
      <c r="BE348" s="19"/>
      <c r="BF348" s="23">
        <f t="shared" si="233"/>
        <v>0.19596031081758858</v>
      </c>
      <c r="BG348" s="23">
        <f t="shared" si="234"/>
        <v>0.21844636935459236</v>
      </c>
      <c r="BH348" s="23">
        <f t="shared" si="235"/>
        <v>0.14609696635987124</v>
      </c>
      <c r="BI348" s="23">
        <f t="shared" si="236"/>
        <v>0.13198015366034541</v>
      </c>
      <c r="BJ348" s="23">
        <f t="shared" si="237"/>
        <v>8.3367914198418713E-2</v>
      </c>
      <c r="BK348" s="23">
        <f t="shared" si="238"/>
        <v>0.10640640223148412</v>
      </c>
      <c r="BL348" s="23">
        <f t="shared" si="239"/>
        <v>0.21963504743569431</v>
      </c>
      <c r="BM348" s="23">
        <f t="shared" si="240"/>
        <v>3.8988008374820568E-3</v>
      </c>
      <c r="BN348" s="23">
        <f t="shared" si="241"/>
        <v>0.14537706087090876</v>
      </c>
      <c r="BO348" s="23">
        <f t="shared" si="242"/>
        <v>0.29209790661993401</v>
      </c>
      <c r="BP348" s="23">
        <f t="shared" si="243"/>
        <v>0.31584545163401867</v>
      </c>
      <c r="BQ348" s="23">
        <f t="shared" si="244"/>
        <v>0.1000007994126096</v>
      </c>
      <c r="BR348" s="23">
        <f t="shared" si="245"/>
        <v>0.13164487759885393</v>
      </c>
      <c r="BS348" s="23">
        <f t="shared" si="246"/>
        <v>2.9803550189863123E-2</v>
      </c>
      <c r="BT348" s="23">
        <f t="shared" si="247"/>
        <v>0.13492040904978705</v>
      </c>
      <c r="BU348" s="23">
        <f t="shared" si="248"/>
        <v>0.11703687414398131</v>
      </c>
      <c r="BV348" s="23">
        <f t="shared" si="249"/>
        <v>0.14633353213781661</v>
      </c>
      <c r="BW348" s="23">
        <f t="shared" si="250"/>
        <v>7.5588015111767173E-2</v>
      </c>
      <c r="BX348" s="23">
        <f t="shared" si="251"/>
        <v>8.0345659937185704E-2</v>
      </c>
      <c r="BY348" s="23">
        <f t="shared" si="252"/>
        <v>5.9014643151272549E-2</v>
      </c>
      <c r="BZ348" s="19"/>
      <c r="CA348" s="23" t="str">
        <f t="shared" si="273"/>
        <v/>
      </c>
      <c r="CB348" s="23" t="str">
        <f t="shared" si="254"/>
        <v/>
      </c>
      <c r="CC348" s="23" t="str">
        <f t="shared" si="255"/>
        <v/>
      </c>
      <c r="CD348" s="23" t="str">
        <f t="shared" si="256"/>
        <v/>
      </c>
      <c r="CE348" s="23" t="str">
        <f t="shared" si="257"/>
        <v/>
      </c>
      <c r="CF348" s="23" t="str">
        <f t="shared" si="258"/>
        <v/>
      </c>
      <c r="CG348" s="23" t="str">
        <f t="shared" si="259"/>
        <v/>
      </c>
      <c r="CH348" s="23" t="str">
        <f t="shared" si="260"/>
        <v/>
      </c>
      <c r="CI348" s="23" t="str">
        <f t="shared" si="261"/>
        <v/>
      </c>
      <c r="CJ348" s="23" t="str">
        <f t="shared" si="262"/>
        <v/>
      </c>
      <c r="CK348" s="23" t="str">
        <f t="shared" si="263"/>
        <v/>
      </c>
      <c r="CL348" s="23" t="str">
        <f t="shared" si="264"/>
        <v/>
      </c>
      <c r="CM348" s="23" t="str">
        <f t="shared" si="265"/>
        <v/>
      </c>
      <c r="CN348" s="23" t="str">
        <f t="shared" si="266"/>
        <v/>
      </c>
      <c r="CO348" s="23" t="str">
        <f t="shared" si="267"/>
        <v/>
      </c>
      <c r="CP348" s="23" t="str">
        <f t="shared" si="268"/>
        <v/>
      </c>
      <c r="CQ348" s="23" t="str">
        <f t="shared" si="269"/>
        <v/>
      </c>
      <c r="CR348" s="23" t="str">
        <f t="shared" si="270"/>
        <v/>
      </c>
      <c r="CS348" s="23" t="str">
        <f t="shared" si="271"/>
        <v/>
      </c>
      <c r="CT348" s="23" t="str">
        <f t="shared" si="272"/>
        <v/>
      </c>
      <c r="CU348" s="19"/>
    </row>
    <row r="349" spans="1:99" x14ac:dyDescent="0.25">
      <c r="A349" s="13"/>
      <c r="B349" s="14"/>
      <c r="C349" s="15" t="str" cm="1">
        <f t="array" ref="C349">IF(B349="","",INDEX('Exercise list'!$C$5:$C$102,B349))</f>
        <v/>
      </c>
      <c r="D349" s="12" t="str">
        <f t="shared" si="230"/>
        <v/>
      </c>
      <c r="E349" s="107" t="str">
        <f t="shared" si="253"/>
        <v/>
      </c>
      <c r="F349" s="63" t="str" cm="1">
        <f t="array" ref="F349">IF(B349="","",0.1+IFERROR(INDEX($F$6:$F348,SUMPRODUCT(MAX(ROW($C$6:$C348)*($C349=$C$6:$C348))-ROW($A$5)))*0.9^($A349-INDEX($A$6:A348,SUMPRODUCT(MAX(ROW($C$6:$C348)*($C349=$C$6:$C348))-ROW($A$5)))),0))</f>
        <v/>
      </c>
      <c r="G349" s="64" t="e">
        <f>INDEX('Exercise list'!$Y$5:$Y$102,MATCH(C349,'Exercise list'!$C$5:$C$102,0))</f>
        <v>#N/A</v>
      </c>
      <c r="H349" s="115">
        <f t="shared" si="231"/>
        <v>0</v>
      </c>
      <c r="I349" s="42">
        <f t="shared" si="232"/>
        <v>5</v>
      </c>
      <c r="J349" s="6" t="str" cm="1">
        <f t="array" ref="J349">IF(B349="","",INDEX('Exercise list'!$D$5:$D$102,B349))</f>
        <v/>
      </c>
      <c r="K349" s="12"/>
      <c r="L349" s="74" t="str" cm="1">
        <f t="array" ref="L349">IF(K349="","",INDEX('Exercise list'!$C$5:$C$102,K349))</f>
        <v/>
      </c>
      <c r="M349" s="6"/>
      <c r="N349" s="75" t="str" cm="1">
        <f t="array" ref="N349">IF(M349="","",INDEX('Exercise list'!$C$5:$C$102,M349))</f>
        <v/>
      </c>
      <c r="P349">
        <f>IFERROR(INDEX('Exercise list'!$E$5:$X$102,MATCH($C349,'Exercise list'!$C$5:$C$102,0),MATCH(P$5,'Exercise list'!$E$4:$X$4,0)),0)</f>
        <v>0</v>
      </c>
      <c r="Q349">
        <f>IFERROR(INDEX('Exercise list'!$E$5:$X$102,MATCH($C349,'Exercise list'!$C$5:$C$102,0),MATCH(Q$5,'Exercise list'!$E$4:$X$4,0)),0)</f>
        <v>0</v>
      </c>
      <c r="R349">
        <f>IFERROR(INDEX('Exercise list'!$E$5:$X$102,MATCH($C349,'Exercise list'!$C$5:$C$102,0),MATCH(R$5,'Exercise list'!$E$4:$X$4,0)),0)</f>
        <v>0</v>
      </c>
      <c r="S349">
        <f>IFERROR(INDEX('Exercise list'!$E$5:$X$102,MATCH($C349,'Exercise list'!$C$5:$C$102,0),MATCH(S$5,'Exercise list'!$E$4:$X$4,0)),0)</f>
        <v>0</v>
      </c>
      <c r="T349">
        <f>IFERROR(INDEX('Exercise list'!$E$5:$X$102,MATCH($C349,'Exercise list'!$C$5:$C$102,0),MATCH(T$5,'Exercise list'!$E$4:$X$4,0)),0)</f>
        <v>0</v>
      </c>
      <c r="U349">
        <f>IFERROR(INDEX('Exercise list'!$E$5:$X$102,MATCH($C349,'Exercise list'!$C$5:$C$102,0),MATCH(U$5,'Exercise list'!$E$4:$X$4,0)),0)</f>
        <v>0</v>
      </c>
      <c r="V349">
        <f>IFERROR(INDEX('Exercise list'!$E$5:$X$102,MATCH($C349,'Exercise list'!$C$5:$C$102,0),MATCH(V$5,'Exercise list'!$E$4:$X$4,0)),0)</f>
        <v>0</v>
      </c>
      <c r="W349">
        <f>IFERROR(INDEX('Exercise list'!$E$5:$X$102,MATCH($C349,'Exercise list'!$C$5:$C$102,0),MATCH(W$5,'Exercise list'!$E$4:$X$4,0)),0)</f>
        <v>0</v>
      </c>
      <c r="X349">
        <f>IFERROR(INDEX('Exercise list'!$E$5:$X$102,MATCH($C349,'Exercise list'!$C$5:$C$102,0),MATCH(X$5,'Exercise list'!$E$4:$X$4,0)),0)</f>
        <v>0</v>
      </c>
      <c r="Y349">
        <f>IFERROR(INDEX('Exercise list'!$E$5:$X$102,MATCH($C349,'Exercise list'!$C$5:$C$102,0),MATCH(Y$5,'Exercise list'!$E$4:$X$4,0)),0)</f>
        <v>0</v>
      </c>
      <c r="Z349">
        <f>IFERROR(INDEX('Exercise list'!$E$5:$X$102,MATCH($C349,'Exercise list'!$C$5:$C$102,0),MATCH(Z$5,'Exercise list'!$E$4:$X$4,0)),0)</f>
        <v>0</v>
      </c>
      <c r="AA349">
        <f>IFERROR(INDEX('Exercise list'!$E$5:$X$102,MATCH($C349,'Exercise list'!$C$5:$C$102,0),MATCH(AA$5,'Exercise list'!$E$4:$X$4,0)),0)</f>
        <v>0</v>
      </c>
      <c r="AB349">
        <f>IFERROR(INDEX('Exercise list'!$E$5:$X$102,MATCH($C349,'Exercise list'!$C$5:$C$102,0),MATCH(AB$5,'Exercise list'!$E$4:$X$4,0)),0)</f>
        <v>0</v>
      </c>
      <c r="AC349">
        <f>IFERROR(INDEX('Exercise list'!$E$5:$X$102,MATCH($C349,'Exercise list'!$C$5:$C$102,0),MATCH(AC$5,'Exercise list'!$E$4:$X$4,0)),0)</f>
        <v>0</v>
      </c>
      <c r="AD349">
        <f>IFERROR(INDEX('Exercise list'!$E$5:$X$102,MATCH($C349,'Exercise list'!$C$5:$C$102,0),MATCH(AD$5,'Exercise list'!$E$4:$X$4,0)),0)</f>
        <v>0</v>
      </c>
      <c r="AE349">
        <f>IFERROR(INDEX('Exercise list'!$E$5:$X$102,MATCH($C349,'Exercise list'!$C$5:$C$102,0),MATCH(AE$5,'Exercise list'!$E$4:$X$4,0)),0)</f>
        <v>0</v>
      </c>
      <c r="AF349">
        <f>IFERROR(INDEX('Exercise list'!$E$5:$X$102,MATCH($C349,'Exercise list'!$C$5:$C$102,0),MATCH(AF$5,'Exercise list'!$E$4:$X$4,0)),0)</f>
        <v>0</v>
      </c>
      <c r="AG349">
        <f>IFERROR(INDEX('Exercise list'!$E$5:$X$102,MATCH($C349,'Exercise list'!$C$5:$C$102,0),MATCH(AG$5,'Exercise list'!$E$4:$X$4,0)),0)</f>
        <v>0</v>
      </c>
      <c r="AH349">
        <f>IFERROR(INDEX('Exercise list'!$E$5:$X$102,MATCH($C349,'Exercise list'!$C$5:$C$102,0),MATCH(AH$5,'Exercise list'!$E$4:$X$4,0)),0)</f>
        <v>0</v>
      </c>
      <c r="AI349">
        <f>IFERROR(INDEX('Exercise list'!$E$5:$X$102,MATCH($C349,'Exercise list'!$C$5:$C$102,0),MATCH(AI$5,'Exercise list'!$E$4:$X$4,0)),0)</f>
        <v>0</v>
      </c>
      <c r="AK349">
        <f>IF(OR($J349=1,COUNTIFS($A$5:$A348,"&gt;="&amp;$A349-1,$A$5:$A348,"&lt;="&amp;$A349,$B$5:$B348,$B349)&gt;0,MIN(1-'Exercise list'!E$2,IF($A349=$A348,AK348,1))-P349&lt;0),-1,MIN(1,IF($A349=$A348,AK348,1)-P349+$D$2))</f>
        <v>1</v>
      </c>
      <c r="AL349">
        <f>IF(OR($J349=1,COUNTIFS($A$5:$A348,"&gt;="&amp;$A349-1,$A$5:$A348,"&lt;="&amp;$A349,$B$5:$B348,$B349)&gt;0,MIN(1-'Exercise list'!F$2,IF($A349=$A348,AL348,1))-Q349&lt;0),-1,MIN(1,IF($A349=$A348,AL348,1)-Q349+$D$2))</f>
        <v>1</v>
      </c>
      <c r="AM349">
        <f>IF(OR($J349=1,COUNTIFS($A$5:$A348,"&gt;="&amp;$A349-1,$A$5:$A348,"&lt;="&amp;$A349,$B$5:$B348,$B349)&gt;0,MIN(1-'Exercise list'!G$2,IF($A349=$A348,AM348,1))-R349&lt;0),-1,MIN(1,IF($A349=$A348,AM348,1)-R349+$D$2))</f>
        <v>1</v>
      </c>
      <c r="AN349">
        <f>IF(OR($J349=1,COUNTIFS($A$5:$A348,"&gt;="&amp;$A349-1,$A$5:$A348,"&lt;="&amp;$A349,$B$5:$B348,$B349)&gt;0,MIN(1-'Exercise list'!H$2,IF($A349=$A348,AN348,1))-S349&lt;0),-1,MIN(1,IF($A349=$A348,AN348,1)-S349+$D$2))</f>
        <v>1</v>
      </c>
      <c r="AO349">
        <f>IF(OR($J349=1,COUNTIFS($A$5:$A348,"&gt;="&amp;$A349-1,$A$5:$A348,"&lt;="&amp;$A349,$B$5:$B348,$B349)&gt;0,MIN(1-'Exercise list'!I$2,IF($A349=$A348,AO348,1))-T349&lt;0),-1,MIN(1,IF($A349=$A348,AO348,1)-T349+$D$2))</f>
        <v>1</v>
      </c>
      <c r="AP349">
        <f>IF(OR($J349=1,COUNTIFS($A$5:$A348,"&gt;="&amp;$A349-1,$A$5:$A348,"&lt;="&amp;$A349,$B$5:$B348,$B349)&gt;0,MIN(1-'Exercise list'!J$2,IF($A349=$A348,AP348,1))-U349&lt;0),-1,MIN(1,IF($A349=$A348,AP348,1)-U349+$D$2))</f>
        <v>1</v>
      </c>
      <c r="AQ349">
        <f>IF(OR($J349=1,COUNTIFS($A$5:$A348,"&gt;="&amp;$A349-1,$A$5:$A348,"&lt;="&amp;$A349,$B$5:$B348,$B349)&gt;0,MIN(1-'Exercise list'!K$2,IF($A349=$A348,AQ348,1))-V349&lt;0),-1,MIN(1,IF($A349=$A348,AQ348,1)-V349+$D$2))</f>
        <v>1</v>
      </c>
      <c r="AR349">
        <f>IF(OR($J349=1,COUNTIFS($A$5:$A348,"&gt;="&amp;$A349-1,$A$5:$A348,"&lt;="&amp;$A349,$B$5:$B348,$B349)&gt;0,MIN(1-'Exercise list'!L$2,IF($A349=$A348,AR348,1))-W349&lt;0),-1,MIN(1,IF($A349=$A348,AR348,1)-W349+$D$2))</f>
        <v>1</v>
      </c>
      <c r="AS349">
        <f>IF(OR($J349=1,COUNTIFS($A$5:$A348,"&gt;="&amp;$A349-1,$A$5:$A348,"&lt;="&amp;$A349,$B$5:$B348,$B349)&gt;0,MIN(1-'Exercise list'!M$2,IF($A349=$A348,AS348,1))-X349&lt;0),-1,MIN(1,IF($A349=$A348,AS348,1)-X349+$D$2))</f>
        <v>1</v>
      </c>
      <c r="AT349">
        <f>IF(OR($J349=1,COUNTIFS($A$5:$A348,"&gt;="&amp;$A349-1,$A$5:$A348,"&lt;="&amp;$A349,$B$5:$B348,$B349)&gt;0,MIN(1-'Exercise list'!N$2,IF($A349=$A348,AT348,1))-Y349&lt;0),-1,MIN(1,IF($A349=$A348,AT348,1)-Y349+$D$2))</f>
        <v>1</v>
      </c>
      <c r="AU349">
        <f>IF(OR($J349=1,COUNTIFS($A$5:$A348,"&gt;="&amp;$A349-1,$A$5:$A348,"&lt;="&amp;$A349,$B$5:$B348,$B349)&gt;0,MIN(1-'Exercise list'!O$2,IF($A349=$A348,AU348,1))-Z349&lt;0),-1,MIN(1,IF($A349=$A348,AU348,1)-Z349+$D$2))</f>
        <v>1</v>
      </c>
      <c r="AV349">
        <f>IF(OR($J349=1,COUNTIFS($A$5:$A348,"&gt;="&amp;$A349-1,$A$5:$A348,"&lt;="&amp;$A349,$B$5:$B348,$B349)&gt;0,MIN(1-'Exercise list'!P$2,IF($A349=$A348,AV348,1))-AA349&lt;0),-1,MIN(1,IF($A349=$A348,AV348,1)-AA349+$D$2))</f>
        <v>1</v>
      </c>
      <c r="AW349">
        <f>IF(OR($J349=1,COUNTIFS($A$5:$A348,"&gt;="&amp;$A349-1,$A$5:$A348,"&lt;="&amp;$A349,$B$5:$B348,$B349)&gt;0,MIN(1-'Exercise list'!Q$2,IF($A349=$A348,AW348,1))-AB349&lt;0),-1,MIN(1,IF($A349=$A348,AW348,1)-AB349+$D$2))</f>
        <v>1</v>
      </c>
      <c r="AX349">
        <f>IF(OR($J349=1,COUNTIFS($A$5:$A348,"&gt;="&amp;$A349-1,$A$5:$A348,"&lt;="&amp;$A349,$B$5:$B348,$B349)&gt;0,MIN(1-'Exercise list'!R$2,IF($A349=$A348,AX348,1))-AC349&lt;0),-1,MIN(1,IF($A349=$A348,AX348,1)-AC349+$D$2))</f>
        <v>1</v>
      </c>
      <c r="AY349">
        <f>IF(OR($J349=1,COUNTIFS($A$5:$A348,"&gt;="&amp;$A349-1,$A$5:$A348,"&lt;="&amp;$A349,$B$5:$B348,$B349)&gt;0,MIN(1-'Exercise list'!S$2,IF($A349=$A348,AY348,1))-AD349&lt;0),-1,MIN(1,IF($A349=$A348,AY348,1)-AD349+$D$2))</f>
        <v>1</v>
      </c>
      <c r="AZ349">
        <f>IF(OR($J349=1,COUNTIFS($A$5:$A348,"&gt;="&amp;$A349-1,$A$5:$A348,"&lt;="&amp;$A349,$B$5:$B348,$B349)&gt;0,MIN(1-'Exercise list'!T$2,IF($A349=$A348,AZ348,1))-AE349&lt;0),-1,MIN(1,IF($A349=$A348,AZ348,1)-AE349+$D$2))</f>
        <v>1</v>
      </c>
      <c r="BA349">
        <f>IF(OR($J349=1,COUNTIFS($A$5:$A348,"&gt;="&amp;$A349-1,$A$5:$A348,"&lt;="&amp;$A349,$B$5:$B348,$B349)&gt;0,MIN(1-'Exercise list'!U$2,IF($A349=$A348,BA348,1))-AF349&lt;0),-1,MIN(1,IF($A349=$A348,BA348,1)-AF349+$D$2))</f>
        <v>1</v>
      </c>
      <c r="BB349">
        <f>IF(OR($J349=1,COUNTIFS($A$5:$A348,"&gt;="&amp;$A349-1,$A$5:$A348,"&lt;="&amp;$A349,$B$5:$B348,$B349)&gt;0,MIN(1-'Exercise list'!V$2,IF($A349=$A348,BB348,1))-AG349&lt;0),-1,MIN(1,IF($A349=$A348,BB348,1)-AG349+$D$2))</f>
        <v>1</v>
      </c>
      <c r="BC349">
        <f>IF(OR($J349=1,COUNTIFS($A$5:$A348,"&gt;="&amp;$A349-1,$A$5:$A348,"&lt;="&amp;$A349,$B$5:$B348,$B349)&gt;0,MIN(1-'Exercise list'!W$2,IF($A349=$A348,BC348,1))-AH349&lt;0),-1,MIN(1,IF($A349=$A348,BC348,1)-AH349+$D$2))</f>
        <v>1</v>
      </c>
      <c r="BD349">
        <f>IF(OR($J349=1,COUNTIFS($A$5:$A348,"&gt;="&amp;$A349-1,$A$5:$A348,"&lt;="&amp;$A349,$B$5:$B348,$B349)&gt;0,MIN(1-'Exercise list'!X$2,IF($A349=$A348,BD348,1))-AI349&lt;0),-1,MIN(1,IF($A349=$A348,BD348,1)-AI349+$D$2))</f>
        <v>1</v>
      </c>
      <c r="BF349" s="16">
        <f t="shared" si="233"/>
        <v>0.19596031081758858</v>
      </c>
      <c r="BG349" s="16">
        <f t="shared" si="234"/>
        <v>0.21844636935459236</v>
      </c>
      <c r="BH349" s="16">
        <f t="shared" si="235"/>
        <v>0.14609696635987124</v>
      </c>
      <c r="BI349" s="16">
        <f t="shared" si="236"/>
        <v>0.13198015366034541</v>
      </c>
      <c r="BJ349" s="16">
        <f t="shared" si="237"/>
        <v>8.3367914198418713E-2</v>
      </c>
      <c r="BK349" s="16">
        <f t="shared" si="238"/>
        <v>0.10640640223148412</v>
      </c>
      <c r="BL349" s="16">
        <f t="shared" si="239"/>
        <v>0.21963504743569431</v>
      </c>
      <c r="BM349" s="16">
        <f t="shared" si="240"/>
        <v>3.8988008374820568E-3</v>
      </c>
      <c r="BN349" s="16">
        <f t="shared" si="241"/>
        <v>0.14537706087090876</v>
      </c>
      <c r="BO349" s="16">
        <f t="shared" si="242"/>
        <v>0.29209790661993401</v>
      </c>
      <c r="BP349" s="16">
        <f t="shared" si="243"/>
        <v>0.31584545163401867</v>
      </c>
      <c r="BQ349" s="16">
        <f t="shared" si="244"/>
        <v>0.1000007994126096</v>
      </c>
      <c r="BR349" s="16">
        <f t="shared" si="245"/>
        <v>0.13164487759885393</v>
      </c>
      <c r="BS349" s="16">
        <f t="shared" si="246"/>
        <v>2.9803550189863123E-2</v>
      </c>
      <c r="BT349" s="16">
        <f t="shared" si="247"/>
        <v>0.13492040904978705</v>
      </c>
      <c r="BU349" s="16">
        <f t="shared" si="248"/>
        <v>0.11703687414398131</v>
      </c>
      <c r="BV349" s="16">
        <f t="shared" si="249"/>
        <v>0.14633353213781661</v>
      </c>
      <c r="BW349" s="16">
        <f t="shared" si="250"/>
        <v>7.5588015111767173E-2</v>
      </c>
      <c r="BX349" s="16">
        <f t="shared" si="251"/>
        <v>8.0345659937185704E-2</v>
      </c>
      <c r="BY349" s="16">
        <f t="shared" si="252"/>
        <v>5.9014643151272549E-2</v>
      </c>
      <c r="CA349" s="16" t="str">
        <f t="shared" si="273"/>
        <v/>
      </c>
      <c r="CB349" s="16" t="str">
        <f t="shared" si="254"/>
        <v/>
      </c>
      <c r="CC349" s="16" t="str">
        <f t="shared" si="255"/>
        <v/>
      </c>
      <c r="CD349" s="16" t="str">
        <f t="shared" si="256"/>
        <v/>
      </c>
      <c r="CE349" s="16" t="str">
        <f t="shared" si="257"/>
        <v/>
      </c>
      <c r="CF349" s="16" t="str">
        <f t="shared" si="258"/>
        <v/>
      </c>
      <c r="CG349" s="16" t="str">
        <f t="shared" si="259"/>
        <v/>
      </c>
      <c r="CH349" s="16" t="str">
        <f t="shared" si="260"/>
        <v/>
      </c>
      <c r="CI349" s="16" t="str">
        <f t="shared" si="261"/>
        <v/>
      </c>
      <c r="CJ349" s="16" t="str">
        <f t="shared" si="262"/>
        <v/>
      </c>
      <c r="CK349" s="16" t="str">
        <f t="shared" si="263"/>
        <v/>
      </c>
      <c r="CL349" s="16" t="str">
        <f t="shared" si="264"/>
        <v/>
      </c>
      <c r="CM349" s="16" t="str">
        <f t="shared" si="265"/>
        <v/>
      </c>
      <c r="CN349" s="16" t="str">
        <f t="shared" si="266"/>
        <v/>
      </c>
      <c r="CO349" s="16" t="str">
        <f t="shared" si="267"/>
        <v/>
      </c>
      <c r="CP349" s="16" t="str">
        <f t="shared" si="268"/>
        <v/>
      </c>
      <c r="CQ349" s="16" t="str">
        <f t="shared" si="269"/>
        <v/>
      </c>
      <c r="CR349" s="16" t="str">
        <f t="shared" si="270"/>
        <v/>
      </c>
      <c r="CS349" s="16" t="str">
        <f t="shared" si="271"/>
        <v/>
      </c>
      <c r="CT349" s="16" t="str">
        <f t="shared" si="272"/>
        <v/>
      </c>
    </row>
    <row r="350" spans="1:99" x14ac:dyDescent="0.25">
      <c r="A350" s="13"/>
      <c r="B350" s="14"/>
      <c r="C350" s="15" t="str" cm="1">
        <f t="array" ref="C350">IF(B350="","",INDEX('Exercise list'!$C$5:$C$102,B350))</f>
        <v/>
      </c>
      <c r="D350" s="12" t="str">
        <f t="shared" si="230"/>
        <v/>
      </c>
      <c r="E350" s="107" t="str">
        <f t="shared" si="253"/>
        <v/>
      </c>
      <c r="F350" s="63" t="str" cm="1">
        <f t="array" ref="F350">IF(B350="","",0.1+IFERROR(INDEX($F$6:$F349,SUMPRODUCT(MAX(ROW($C$6:$C349)*($C350=$C$6:$C349))-ROW($A$5)))*0.9^($A350-INDEX($A$6:A349,SUMPRODUCT(MAX(ROW($C$6:$C349)*($C350=$C$6:$C349))-ROW($A$5)))),0))</f>
        <v/>
      </c>
      <c r="G350" s="64" t="e">
        <f>INDEX('Exercise list'!$Y$5:$Y$102,MATCH(C350,'Exercise list'!$C$5:$C$102,0))</f>
        <v>#N/A</v>
      </c>
      <c r="H350" s="115">
        <f t="shared" si="231"/>
        <v>0</v>
      </c>
      <c r="I350" s="6">
        <f t="shared" si="232"/>
        <v>5</v>
      </c>
      <c r="J350" s="6" t="str" cm="1">
        <f t="array" ref="J350">IF(B350="","",INDEX('Exercise list'!$D$5:$D$102,B350))</f>
        <v/>
      </c>
      <c r="K350" s="12"/>
      <c r="L350" s="74" t="str" cm="1">
        <f t="array" ref="L350">IF(K350="","",INDEX('Exercise list'!$C$5:$C$102,K350))</f>
        <v/>
      </c>
      <c r="M350" s="6"/>
      <c r="N350" s="75" t="str" cm="1">
        <f t="array" ref="N350">IF(M350="","",INDEX('Exercise list'!$C$5:$C$102,M350))</f>
        <v/>
      </c>
      <c r="P350">
        <f>IFERROR(INDEX('Exercise list'!$E$5:$X$102,MATCH($C350,'Exercise list'!$C$5:$C$102,0),MATCH(P$5,'Exercise list'!$E$4:$X$4,0)),0)</f>
        <v>0</v>
      </c>
      <c r="Q350">
        <f>IFERROR(INDEX('Exercise list'!$E$5:$X$102,MATCH($C350,'Exercise list'!$C$5:$C$102,0),MATCH(Q$5,'Exercise list'!$E$4:$X$4,0)),0)</f>
        <v>0</v>
      </c>
      <c r="R350">
        <f>IFERROR(INDEX('Exercise list'!$E$5:$X$102,MATCH($C350,'Exercise list'!$C$5:$C$102,0),MATCH(R$5,'Exercise list'!$E$4:$X$4,0)),0)</f>
        <v>0</v>
      </c>
      <c r="S350">
        <f>IFERROR(INDEX('Exercise list'!$E$5:$X$102,MATCH($C350,'Exercise list'!$C$5:$C$102,0),MATCH(S$5,'Exercise list'!$E$4:$X$4,0)),0)</f>
        <v>0</v>
      </c>
      <c r="T350">
        <f>IFERROR(INDEX('Exercise list'!$E$5:$X$102,MATCH($C350,'Exercise list'!$C$5:$C$102,0),MATCH(T$5,'Exercise list'!$E$4:$X$4,0)),0)</f>
        <v>0</v>
      </c>
      <c r="U350">
        <f>IFERROR(INDEX('Exercise list'!$E$5:$X$102,MATCH($C350,'Exercise list'!$C$5:$C$102,0),MATCH(U$5,'Exercise list'!$E$4:$X$4,0)),0)</f>
        <v>0</v>
      </c>
      <c r="V350">
        <f>IFERROR(INDEX('Exercise list'!$E$5:$X$102,MATCH($C350,'Exercise list'!$C$5:$C$102,0),MATCH(V$5,'Exercise list'!$E$4:$X$4,0)),0)</f>
        <v>0</v>
      </c>
      <c r="W350">
        <f>IFERROR(INDEX('Exercise list'!$E$5:$X$102,MATCH($C350,'Exercise list'!$C$5:$C$102,0),MATCH(W$5,'Exercise list'!$E$4:$X$4,0)),0)</f>
        <v>0</v>
      </c>
      <c r="X350">
        <f>IFERROR(INDEX('Exercise list'!$E$5:$X$102,MATCH($C350,'Exercise list'!$C$5:$C$102,0),MATCH(X$5,'Exercise list'!$E$4:$X$4,0)),0)</f>
        <v>0</v>
      </c>
      <c r="Y350">
        <f>IFERROR(INDEX('Exercise list'!$E$5:$X$102,MATCH($C350,'Exercise list'!$C$5:$C$102,0),MATCH(Y$5,'Exercise list'!$E$4:$X$4,0)),0)</f>
        <v>0</v>
      </c>
      <c r="Z350">
        <f>IFERROR(INDEX('Exercise list'!$E$5:$X$102,MATCH($C350,'Exercise list'!$C$5:$C$102,0),MATCH(Z$5,'Exercise list'!$E$4:$X$4,0)),0)</f>
        <v>0</v>
      </c>
      <c r="AA350">
        <f>IFERROR(INDEX('Exercise list'!$E$5:$X$102,MATCH($C350,'Exercise list'!$C$5:$C$102,0),MATCH(AA$5,'Exercise list'!$E$4:$X$4,0)),0)</f>
        <v>0</v>
      </c>
      <c r="AB350">
        <f>IFERROR(INDEX('Exercise list'!$E$5:$X$102,MATCH($C350,'Exercise list'!$C$5:$C$102,0),MATCH(AB$5,'Exercise list'!$E$4:$X$4,0)),0)</f>
        <v>0</v>
      </c>
      <c r="AC350">
        <f>IFERROR(INDEX('Exercise list'!$E$5:$X$102,MATCH($C350,'Exercise list'!$C$5:$C$102,0),MATCH(AC$5,'Exercise list'!$E$4:$X$4,0)),0)</f>
        <v>0</v>
      </c>
      <c r="AD350">
        <f>IFERROR(INDEX('Exercise list'!$E$5:$X$102,MATCH($C350,'Exercise list'!$C$5:$C$102,0),MATCH(AD$5,'Exercise list'!$E$4:$X$4,0)),0)</f>
        <v>0</v>
      </c>
      <c r="AE350">
        <f>IFERROR(INDEX('Exercise list'!$E$5:$X$102,MATCH($C350,'Exercise list'!$C$5:$C$102,0),MATCH(AE$5,'Exercise list'!$E$4:$X$4,0)),0)</f>
        <v>0</v>
      </c>
      <c r="AF350">
        <f>IFERROR(INDEX('Exercise list'!$E$5:$X$102,MATCH($C350,'Exercise list'!$C$5:$C$102,0),MATCH(AF$5,'Exercise list'!$E$4:$X$4,0)),0)</f>
        <v>0</v>
      </c>
      <c r="AG350">
        <f>IFERROR(INDEX('Exercise list'!$E$5:$X$102,MATCH($C350,'Exercise list'!$C$5:$C$102,0),MATCH(AG$5,'Exercise list'!$E$4:$X$4,0)),0)</f>
        <v>0</v>
      </c>
      <c r="AH350">
        <f>IFERROR(INDEX('Exercise list'!$E$5:$X$102,MATCH($C350,'Exercise list'!$C$5:$C$102,0),MATCH(AH$5,'Exercise list'!$E$4:$X$4,0)),0)</f>
        <v>0</v>
      </c>
      <c r="AI350">
        <f>IFERROR(INDEX('Exercise list'!$E$5:$X$102,MATCH($C350,'Exercise list'!$C$5:$C$102,0),MATCH(AI$5,'Exercise list'!$E$4:$X$4,0)),0)</f>
        <v>0</v>
      </c>
      <c r="AK350">
        <f>IF(OR($J350=1,COUNTIFS($A$5:$A349,"&gt;="&amp;$A350-1,$A$5:$A349,"&lt;="&amp;$A350,$B$5:$B349,$B350)&gt;0,MIN(1-'Exercise list'!E$2,IF($A350=$A349,AK349,1))-P350&lt;0),-1,MIN(1,IF($A350=$A349,AK349,1)-P350+$D$2))</f>
        <v>1</v>
      </c>
      <c r="AL350">
        <f>IF(OR($J350=1,COUNTIFS($A$5:$A349,"&gt;="&amp;$A350-1,$A$5:$A349,"&lt;="&amp;$A350,$B$5:$B349,$B350)&gt;0,MIN(1-'Exercise list'!F$2,IF($A350=$A349,AL349,1))-Q350&lt;0),-1,MIN(1,IF($A350=$A349,AL349,1)-Q350+$D$2))</f>
        <v>1</v>
      </c>
      <c r="AM350">
        <f>IF(OR($J350=1,COUNTIFS($A$5:$A349,"&gt;="&amp;$A350-1,$A$5:$A349,"&lt;="&amp;$A350,$B$5:$B349,$B350)&gt;0,MIN(1-'Exercise list'!G$2,IF($A350=$A349,AM349,1))-R350&lt;0),-1,MIN(1,IF($A350=$A349,AM349,1)-R350+$D$2))</f>
        <v>1</v>
      </c>
      <c r="AN350">
        <f>IF(OR($J350=1,COUNTIFS($A$5:$A349,"&gt;="&amp;$A350-1,$A$5:$A349,"&lt;="&amp;$A350,$B$5:$B349,$B350)&gt;0,MIN(1-'Exercise list'!H$2,IF($A350=$A349,AN349,1))-S350&lt;0),-1,MIN(1,IF($A350=$A349,AN349,1)-S350+$D$2))</f>
        <v>1</v>
      </c>
      <c r="AO350">
        <f>IF(OR($J350=1,COUNTIFS($A$5:$A349,"&gt;="&amp;$A350-1,$A$5:$A349,"&lt;="&amp;$A350,$B$5:$B349,$B350)&gt;0,MIN(1-'Exercise list'!I$2,IF($A350=$A349,AO349,1))-T350&lt;0),-1,MIN(1,IF($A350=$A349,AO349,1)-T350+$D$2))</f>
        <v>1</v>
      </c>
      <c r="AP350">
        <f>IF(OR($J350=1,COUNTIFS($A$5:$A349,"&gt;="&amp;$A350-1,$A$5:$A349,"&lt;="&amp;$A350,$B$5:$B349,$B350)&gt;0,MIN(1-'Exercise list'!J$2,IF($A350=$A349,AP349,1))-U350&lt;0),-1,MIN(1,IF($A350=$A349,AP349,1)-U350+$D$2))</f>
        <v>1</v>
      </c>
      <c r="AQ350">
        <f>IF(OR($J350=1,COUNTIFS($A$5:$A349,"&gt;="&amp;$A350-1,$A$5:$A349,"&lt;="&amp;$A350,$B$5:$B349,$B350)&gt;0,MIN(1-'Exercise list'!K$2,IF($A350=$A349,AQ349,1))-V350&lt;0),-1,MIN(1,IF($A350=$A349,AQ349,1)-V350+$D$2))</f>
        <v>1</v>
      </c>
      <c r="AR350">
        <f>IF(OR($J350=1,COUNTIFS($A$5:$A349,"&gt;="&amp;$A350-1,$A$5:$A349,"&lt;="&amp;$A350,$B$5:$B349,$B350)&gt;0,MIN(1-'Exercise list'!L$2,IF($A350=$A349,AR349,1))-W350&lt;0),-1,MIN(1,IF($A350=$A349,AR349,1)-W350+$D$2))</f>
        <v>1</v>
      </c>
      <c r="AS350">
        <f>IF(OR($J350=1,COUNTIFS($A$5:$A349,"&gt;="&amp;$A350-1,$A$5:$A349,"&lt;="&amp;$A350,$B$5:$B349,$B350)&gt;0,MIN(1-'Exercise list'!M$2,IF($A350=$A349,AS349,1))-X350&lt;0),-1,MIN(1,IF($A350=$A349,AS349,1)-X350+$D$2))</f>
        <v>1</v>
      </c>
      <c r="AT350">
        <f>IF(OR($J350=1,COUNTIFS($A$5:$A349,"&gt;="&amp;$A350-1,$A$5:$A349,"&lt;="&amp;$A350,$B$5:$B349,$B350)&gt;0,MIN(1-'Exercise list'!N$2,IF($A350=$A349,AT349,1))-Y350&lt;0),-1,MIN(1,IF($A350=$A349,AT349,1)-Y350+$D$2))</f>
        <v>1</v>
      </c>
      <c r="AU350">
        <f>IF(OR($J350=1,COUNTIFS($A$5:$A349,"&gt;="&amp;$A350-1,$A$5:$A349,"&lt;="&amp;$A350,$B$5:$B349,$B350)&gt;0,MIN(1-'Exercise list'!O$2,IF($A350=$A349,AU349,1))-Z350&lt;0),-1,MIN(1,IF($A350=$A349,AU349,1)-Z350+$D$2))</f>
        <v>1</v>
      </c>
      <c r="AV350">
        <f>IF(OR($J350=1,COUNTIFS($A$5:$A349,"&gt;="&amp;$A350-1,$A$5:$A349,"&lt;="&amp;$A350,$B$5:$B349,$B350)&gt;0,MIN(1-'Exercise list'!P$2,IF($A350=$A349,AV349,1))-AA350&lt;0),-1,MIN(1,IF($A350=$A349,AV349,1)-AA350+$D$2))</f>
        <v>1</v>
      </c>
      <c r="AW350">
        <f>IF(OR($J350=1,COUNTIFS($A$5:$A349,"&gt;="&amp;$A350-1,$A$5:$A349,"&lt;="&amp;$A350,$B$5:$B349,$B350)&gt;0,MIN(1-'Exercise list'!Q$2,IF($A350=$A349,AW349,1))-AB350&lt;0),-1,MIN(1,IF($A350=$A349,AW349,1)-AB350+$D$2))</f>
        <v>1</v>
      </c>
      <c r="AX350">
        <f>IF(OR($J350=1,COUNTIFS($A$5:$A349,"&gt;="&amp;$A350-1,$A$5:$A349,"&lt;="&amp;$A350,$B$5:$B349,$B350)&gt;0,MIN(1-'Exercise list'!R$2,IF($A350=$A349,AX349,1))-AC350&lt;0),-1,MIN(1,IF($A350=$A349,AX349,1)-AC350+$D$2))</f>
        <v>1</v>
      </c>
      <c r="AY350">
        <f>IF(OR($J350=1,COUNTIFS($A$5:$A349,"&gt;="&amp;$A350-1,$A$5:$A349,"&lt;="&amp;$A350,$B$5:$B349,$B350)&gt;0,MIN(1-'Exercise list'!S$2,IF($A350=$A349,AY349,1))-AD350&lt;0),-1,MIN(1,IF($A350=$A349,AY349,1)-AD350+$D$2))</f>
        <v>1</v>
      </c>
      <c r="AZ350">
        <f>IF(OR($J350=1,COUNTIFS($A$5:$A349,"&gt;="&amp;$A350-1,$A$5:$A349,"&lt;="&amp;$A350,$B$5:$B349,$B350)&gt;0,MIN(1-'Exercise list'!T$2,IF($A350=$A349,AZ349,1))-AE350&lt;0),-1,MIN(1,IF($A350=$A349,AZ349,1)-AE350+$D$2))</f>
        <v>1</v>
      </c>
      <c r="BA350">
        <f>IF(OR($J350=1,COUNTIFS($A$5:$A349,"&gt;="&amp;$A350-1,$A$5:$A349,"&lt;="&amp;$A350,$B$5:$B349,$B350)&gt;0,MIN(1-'Exercise list'!U$2,IF($A350=$A349,BA349,1))-AF350&lt;0),-1,MIN(1,IF($A350=$A349,BA349,1)-AF350+$D$2))</f>
        <v>1</v>
      </c>
      <c r="BB350">
        <f>IF(OR($J350=1,COUNTIFS($A$5:$A349,"&gt;="&amp;$A350-1,$A$5:$A349,"&lt;="&amp;$A350,$B$5:$B349,$B350)&gt;0,MIN(1-'Exercise list'!V$2,IF($A350=$A349,BB349,1))-AG350&lt;0),-1,MIN(1,IF($A350=$A349,BB349,1)-AG350+$D$2))</f>
        <v>1</v>
      </c>
      <c r="BC350">
        <f>IF(OR($J350=1,COUNTIFS($A$5:$A349,"&gt;="&amp;$A350-1,$A$5:$A349,"&lt;="&amp;$A350,$B$5:$B349,$B350)&gt;0,MIN(1-'Exercise list'!W$2,IF($A350=$A349,BC349,1))-AH350&lt;0),-1,MIN(1,IF($A350=$A349,BC349,1)-AH350+$D$2))</f>
        <v>1</v>
      </c>
      <c r="BD350">
        <f>IF(OR($J350=1,COUNTIFS($A$5:$A349,"&gt;="&amp;$A350-1,$A$5:$A349,"&lt;="&amp;$A350,$B$5:$B349,$B350)&gt;0,MIN(1-'Exercise list'!X$2,IF($A350=$A349,BD349,1))-AI350&lt;0),-1,MIN(1,IF($A350=$A349,BD349,1)-AI350+$D$2))</f>
        <v>1</v>
      </c>
      <c r="BF350" s="16">
        <f t="shared" si="233"/>
        <v>0.19596031081758858</v>
      </c>
      <c r="BG350" s="16">
        <f t="shared" si="234"/>
        <v>0.21844636935459236</v>
      </c>
      <c r="BH350" s="16">
        <f t="shared" si="235"/>
        <v>0.14609696635987124</v>
      </c>
      <c r="BI350" s="16">
        <f t="shared" si="236"/>
        <v>0.13198015366034541</v>
      </c>
      <c r="BJ350" s="16">
        <f t="shared" si="237"/>
        <v>8.3367914198418713E-2</v>
      </c>
      <c r="BK350" s="16">
        <f t="shared" si="238"/>
        <v>0.10640640223148412</v>
      </c>
      <c r="BL350" s="16">
        <f t="shared" si="239"/>
        <v>0.21963504743569431</v>
      </c>
      <c r="BM350" s="16">
        <f t="shared" si="240"/>
        <v>3.8988008374820568E-3</v>
      </c>
      <c r="BN350" s="16">
        <f t="shared" si="241"/>
        <v>0.14537706087090876</v>
      </c>
      <c r="BO350" s="16">
        <f t="shared" si="242"/>
        <v>0.29209790661993401</v>
      </c>
      <c r="BP350" s="16">
        <f t="shared" si="243"/>
        <v>0.31584545163401867</v>
      </c>
      <c r="BQ350" s="16">
        <f t="shared" si="244"/>
        <v>0.1000007994126096</v>
      </c>
      <c r="BR350" s="16">
        <f t="shared" si="245"/>
        <v>0.13164487759885393</v>
      </c>
      <c r="BS350" s="16">
        <f t="shared" si="246"/>
        <v>2.9803550189863123E-2</v>
      </c>
      <c r="BT350" s="16">
        <f t="shared" si="247"/>
        <v>0.13492040904978705</v>
      </c>
      <c r="BU350" s="16">
        <f t="shared" si="248"/>
        <v>0.11703687414398131</v>
      </c>
      <c r="BV350" s="16">
        <f t="shared" si="249"/>
        <v>0.14633353213781661</v>
      </c>
      <c r="BW350" s="16">
        <f t="shared" si="250"/>
        <v>7.5588015111767173E-2</v>
      </c>
      <c r="BX350" s="16">
        <f t="shared" si="251"/>
        <v>8.0345659937185704E-2</v>
      </c>
      <c r="BY350" s="16">
        <f t="shared" si="252"/>
        <v>5.9014643151272549E-2</v>
      </c>
      <c r="CA350" s="16" t="str">
        <f t="shared" si="273"/>
        <v/>
      </c>
      <c r="CB350" s="16" t="str">
        <f t="shared" si="254"/>
        <v/>
      </c>
      <c r="CC350" s="16" t="str">
        <f t="shared" si="255"/>
        <v/>
      </c>
      <c r="CD350" s="16" t="str">
        <f t="shared" si="256"/>
        <v/>
      </c>
      <c r="CE350" s="16" t="str">
        <f t="shared" si="257"/>
        <v/>
      </c>
      <c r="CF350" s="16" t="str">
        <f t="shared" si="258"/>
        <v/>
      </c>
      <c r="CG350" s="16" t="str">
        <f t="shared" si="259"/>
        <v/>
      </c>
      <c r="CH350" s="16" t="str">
        <f t="shared" si="260"/>
        <v/>
      </c>
      <c r="CI350" s="16" t="str">
        <f t="shared" si="261"/>
        <v/>
      </c>
      <c r="CJ350" s="16" t="str">
        <f t="shared" si="262"/>
        <v/>
      </c>
      <c r="CK350" s="16" t="str">
        <f t="shared" si="263"/>
        <v/>
      </c>
      <c r="CL350" s="16" t="str">
        <f t="shared" si="264"/>
        <v/>
      </c>
      <c r="CM350" s="16" t="str">
        <f t="shared" si="265"/>
        <v/>
      </c>
      <c r="CN350" s="16" t="str">
        <f t="shared" si="266"/>
        <v/>
      </c>
      <c r="CO350" s="16" t="str">
        <f t="shared" si="267"/>
        <v/>
      </c>
      <c r="CP350" s="16" t="str">
        <f t="shared" si="268"/>
        <v/>
      </c>
      <c r="CQ350" s="16" t="str">
        <f t="shared" si="269"/>
        <v/>
      </c>
      <c r="CR350" s="16" t="str">
        <f t="shared" si="270"/>
        <v/>
      </c>
      <c r="CS350" s="16" t="str">
        <f t="shared" si="271"/>
        <v/>
      </c>
      <c r="CT350" s="16" t="str">
        <f t="shared" si="272"/>
        <v/>
      </c>
    </row>
    <row r="351" spans="1:99" x14ac:dyDescent="0.25">
      <c r="A351" s="13"/>
      <c r="B351" s="14"/>
      <c r="C351" s="15" t="str" cm="1">
        <f t="array" ref="C351">IF(B351="","",INDEX('Exercise list'!$C$5:$C$102,B351))</f>
        <v/>
      </c>
      <c r="D351" s="12" t="str">
        <f t="shared" si="230"/>
        <v/>
      </c>
      <c r="E351" s="107" t="str">
        <f t="shared" si="253"/>
        <v/>
      </c>
      <c r="F351" s="63" t="str" cm="1">
        <f t="array" ref="F351">IF(B351="","",0.1+IFERROR(INDEX($F$6:$F350,SUMPRODUCT(MAX(ROW($C$6:$C350)*($C351=$C$6:$C350))-ROW($A$5)))*0.9^($A351-INDEX($A$6:A350,SUMPRODUCT(MAX(ROW($C$6:$C350)*($C351=$C$6:$C350))-ROW($A$5)))),0))</f>
        <v/>
      </c>
      <c r="G351" s="64" t="e">
        <f>INDEX('Exercise list'!$Y$5:$Y$102,MATCH(C351,'Exercise list'!$C$5:$C$102,0))</f>
        <v>#N/A</v>
      </c>
      <c r="H351" s="115">
        <f t="shared" si="231"/>
        <v>0</v>
      </c>
      <c r="I351" s="6">
        <f t="shared" si="232"/>
        <v>5</v>
      </c>
      <c r="J351" s="6" t="str" cm="1">
        <f t="array" ref="J351">IF(B351="","",INDEX('Exercise list'!$D$5:$D$102,B351))</f>
        <v/>
      </c>
      <c r="K351" s="12"/>
      <c r="L351" s="74" t="str" cm="1">
        <f t="array" ref="L351">IF(K351="","",INDEX('Exercise list'!$C$5:$C$102,K351))</f>
        <v/>
      </c>
      <c r="M351" s="6"/>
      <c r="N351" s="75" t="str" cm="1">
        <f t="array" ref="N351">IF(M351="","",INDEX('Exercise list'!$C$5:$C$102,M351))</f>
        <v/>
      </c>
      <c r="P351">
        <f>IFERROR(INDEX('Exercise list'!$E$5:$X$102,MATCH($C351,'Exercise list'!$C$5:$C$102,0),MATCH(P$5,'Exercise list'!$E$4:$X$4,0)),0)</f>
        <v>0</v>
      </c>
      <c r="Q351">
        <f>IFERROR(INDEX('Exercise list'!$E$5:$X$102,MATCH($C351,'Exercise list'!$C$5:$C$102,0),MATCH(Q$5,'Exercise list'!$E$4:$X$4,0)),0)</f>
        <v>0</v>
      </c>
      <c r="R351">
        <f>IFERROR(INDEX('Exercise list'!$E$5:$X$102,MATCH($C351,'Exercise list'!$C$5:$C$102,0),MATCH(R$5,'Exercise list'!$E$4:$X$4,0)),0)</f>
        <v>0</v>
      </c>
      <c r="S351">
        <f>IFERROR(INDEX('Exercise list'!$E$5:$X$102,MATCH($C351,'Exercise list'!$C$5:$C$102,0),MATCH(S$5,'Exercise list'!$E$4:$X$4,0)),0)</f>
        <v>0</v>
      </c>
      <c r="T351">
        <f>IFERROR(INDEX('Exercise list'!$E$5:$X$102,MATCH($C351,'Exercise list'!$C$5:$C$102,0),MATCH(T$5,'Exercise list'!$E$4:$X$4,0)),0)</f>
        <v>0</v>
      </c>
      <c r="U351">
        <f>IFERROR(INDEX('Exercise list'!$E$5:$X$102,MATCH($C351,'Exercise list'!$C$5:$C$102,0),MATCH(U$5,'Exercise list'!$E$4:$X$4,0)),0)</f>
        <v>0</v>
      </c>
      <c r="V351">
        <f>IFERROR(INDEX('Exercise list'!$E$5:$X$102,MATCH($C351,'Exercise list'!$C$5:$C$102,0),MATCH(V$5,'Exercise list'!$E$4:$X$4,0)),0)</f>
        <v>0</v>
      </c>
      <c r="W351">
        <f>IFERROR(INDEX('Exercise list'!$E$5:$X$102,MATCH($C351,'Exercise list'!$C$5:$C$102,0),MATCH(W$5,'Exercise list'!$E$4:$X$4,0)),0)</f>
        <v>0</v>
      </c>
      <c r="X351">
        <f>IFERROR(INDEX('Exercise list'!$E$5:$X$102,MATCH($C351,'Exercise list'!$C$5:$C$102,0),MATCH(X$5,'Exercise list'!$E$4:$X$4,0)),0)</f>
        <v>0</v>
      </c>
      <c r="Y351">
        <f>IFERROR(INDEX('Exercise list'!$E$5:$X$102,MATCH($C351,'Exercise list'!$C$5:$C$102,0),MATCH(Y$5,'Exercise list'!$E$4:$X$4,0)),0)</f>
        <v>0</v>
      </c>
      <c r="Z351">
        <f>IFERROR(INDEX('Exercise list'!$E$5:$X$102,MATCH($C351,'Exercise list'!$C$5:$C$102,0),MATCH(Z$5,'Exercise list'!$E$4:$X$4,0)),0)</f>
        <v>0</v>
      </c>
      <c r="AA351">
        <f>IFERROR(INDEX('Exercise list'!$E$5:$X$102,MATCH($C351,'Exercise list'!$C$5:$C$102,0),MATCH(AA$5,'Exercise list'!$E$4:$X$4,0)),0)</f>
        <v>0</v>
      </c>
      <c r="AB351">
        <f>IFERROR(INDEX('Exercise list'!$E$5:$X$102,MATCH($C351,'Exercise list'!$C$5:$C$102,0),MATCH(AB$5,'Exercise list'!$E$4:$X$4,0)),0)</f>
        <v>0</v>
      </c>
      <c r="AC351">
        <f>IFERROR(INDEX('Exercise list'!$E$5:$X$102,MATCH($C351,'Exercise list'!$C$5:$C$102,0),MATCH(AC$5,'Exercise list'!$E$4:$X$4,0)),0)</f>
        <v>0</v>
      </c>
      <c r="AD351">
        <f>IFERROR(INDEX('Exercise list'!$E$5:$X$102,MATCH($C351,'Exercise list'!$C$5:$C$102,0),MATCH(AD$5,'Exercise list'!$E$4:$X$4,0)),0)</f>
        <v>0</v>
      </c>
      <c r="AE351">
        <f>IFERROR(INDEX('Exercise list'!$E$5:$X$102,MATCH($C351,'Exercise list'!$C$5:$C$102,0),MATCH(AE$5,'Exercise list'!$E$4:$X$4,0)),0)</f>
        <v>0</v>
      </c>
      <c r="AF351">
        <f>IFERROR(INDEX('Exercise list'!$E$5:$X$102,MATCH($C351,'Exercise list'!$C$5:$C$102,0),MATCH(AF$5,'Exercise list'!$E$4:$X$4,0)),0)</f>
        <v>0</v>
      </c>
      <c r="AG351">
        <f>IFERROR(INDEX('Exercise list'!$E$5:$X$102,MATCH($C351,'Exercise list'!$C$5:$C$102,0),MATCH(AG$5,'Exercise list'!$E$4:$X$4,0)),0)</f>
        <v>0</v>
      </c>
      <c r="AH351">
        <f>IFERROR(INDEX('Exercise list'!$E$5:$X$102,MATCH($C351,'Exercise list'!$C$5:$C$102,0),MATCH(AH$5,'Exercise list'!$E$4:$X$4,0)),0)</f>
        <v>0</v>
      </c>
      <c r="AI351">
        <f>IFERROR(INDEX('Exercise list'!$E$5:$X$102,MATCH($C351,'Exercise list'!$C$5:$C$102,0),MATCH(AI$5,'Exercise list'!$E$4:$X$4,0)),0)</f>
        <v>0</v>
      </c>
      <c r="AK351">
        <f>IF(OR($J351=1,COUNTIFS($A$5:$A350,"&gt;="&amp;$A351-1,$A$5:$A350,"&lt;="&amp;$A351,$B$5:$B350,$B351)&gt;0,MIN(1-'Exercise list'!E$2,IF($A351=$A350,AK350,1))-P351&lt;0),-1,MIN(1,IF($A351=$A350,AK350,1)-P351+$D$2))</f>
        <v>1</v>
      </c>
      <c r="AL351">
        <f>IF(OR($J351=1,COUNTIFS($A$5:$A350,"&gt;="&amp;$A351-1,$A$5:$A350,"&lt;="&amp;$A351,$B$5:$B350,$B351)&gt;0,MIN(1-'Exercise list'!F$2,IF($A351=$A350,AL350,1))-Q351&lt;0),-1,MIN(1,IF($A351=$A350,AL350,1)-Q351+$D$2))</f>
        <v>1</v>
      </c>
      <c r="AM351">
        <f>IF(OR($J351=1,COUNTIFS($A$5:$A350,"&gt;="&amp;$A351-1,$A$5:$A350,"&lt;="&amp;$A351,$B$5:$B350,$B351)&gt;0,MIN(1-'Exercise list'!G$2,IF($A351=$A350,AM350,1))-R351&lt;0),-1,MIN(1,IF($A351=$A350,AM350,1)-R351+$D$2))</f>
        <v>1</v>
      </c>
      <c r="AN351">
        <f>IF(OR($J351=1,COUNTIFS($A$5:$A350,"&gt;="&amp;$A351-1,$A$5:$A350,"&lt;="&amp;$A351,$B$5:$B350,$B351)&gt;0,MIN(1-'Exercise list'!H$2,IF($A351=$A350,AN350,1))-S351&lt;0),-1,MIN(1,IF($A351=$A350,AN350,1)-S351+$D$2))</f>
        <v>1</v>
      </c>
      <c r="AO351">
        <f>IF(OR($J351=1,COUNTIFS($A$5:$A350,"&gt;="&amp;$A351-1,$A$5:$A350,"&lt;="&amp;$A351,$B$5:$B350,$B351)&gt;0,MIN(1-'Exercise list'!I$2,IF($A351=$A350,AO350,1))-T351&lt;0),-1,MIN(1,IF($A351=$A350,AO350,1)-T351+$D$2))</f>
        <v>1</v>
      </c>
      <c r="AP351">
        <f>IF(OR($J351=1,COUNTIFS($A$5:$A350,"&gt;="&amp;$A351-1,$A$5:$A350,"&lt;="&amp;$A351,$B$5:$B350,$B351)&gt;0,MIN(1-'Exercise list'!J$2,IF($A351=$A350,AP350,1))-U351&lt;0),-1,MIN(1,IF($A351=$A350,AP350,1)-U351+$D$2))</f>
        <v>1</v>
      </c>
      <c r="AQ351">
        <f>IF(OR($J351=1,COUNTIFS($A$5:$A350,"&gt;="&amp;$A351-1,$A$5:$A350,"&lt;="&amp;$A351,$B$5:$B350,$B351)&gt;0,MIN(1-'Exercise list'!K$2,IF($A351=$A350,AQ350,1))-V351&lt;0),-1,MIN(1,IF($A351=$A350,AQ350,1)-V351+$D$2))</f>
        <v>1</v>
      </c>
      <c r="AR351">
        <f>IF(OR($J351=1,COUNTIFS($A$5:$A350,"&gt;="&amp;$A351-1,$A$5:$A350,"&lt;="&amp;$A351,$B$5:$B350,$B351)&gt;0,MIN(1-'Exercise list'!L$2,IF($A351=$A350,AR350,1))-W351&lt;0),-1,MIN(1,IF($A351=$A350,AR350,1)-W351+$D$2))</f>
        <v>1</v>
      </c>
      <c r="AS351">
        <f>IF(OR($J351=1,COUNTIFS($A$5:$A350,"&gt;="&amp;$A351-1,$A$5:$A350,"&lt;="&amp;$A351,$B$5:$B350,$B351)&gt;0,MIN(1-'Exercise list'!M$2,IF($A351=$A350,AS350,1))-X351&lt;0),-1,MIN(1,IF($A351=$A350,AS350,1)-X351+$D$2))</f>
        <v>1</v>
      </c>
      <c r="AT351">
        <f>IF(OR($J351=1,COUNTIFS($A$5:$A350,"&gt;="&amp;$A351-1,$A$5:$A350,"&lt;="&amp;$A351,$B$5:$B350,$B351)&gt;0,MIN(1-'Exercise list'!N$2,IF($A351=$A350,AT350,1))-Y351&lt;0),-1,MIN(1,IF($A351=$A350,AT350,1)-Y351+$D$2))</f>
        <v>1</v>
      </c>
      <c r="AU351">
        <f>IF(OR($J351=1,COUNTIFS($A$5:$A350,"&gt;="&amp;$A351-1,$A$5:$A350,"&lt;="&amp;$A351,$B$5:$B350,$B351)&gt;0,MIN(1-'Exercise list'!O$2,IF($A351=$A350,AU350,1))-Z351&lt;0),-1,MIN(1,IF($A351=$A350,AU350,1)-Z351+$D$2))</f>
        <v>1</v>
      </c>
      <c r="AV351">
        <f>IF(OR($J351=1,COUNTIFS($A$5:$A350,"&gt;="&amp;$A351-1,$A$5:$A350,"&lt;="&amp;$A351,$B$5:$B350,$B351)&gt;0,MIN(1-'Exercise list'!P$2,IF($A351=$A350,AV350,1))-AA351&lt;0),-1,MIN(1,IF($A351=$A350,AV350,1)-AA351+$D$2))</f>
        <v>1</v>
      </c>
      <c r="AW351">
        <f>IF(OR($J351=1,COUNTIFS($A$5:$A350,"&gt;="&amp;$A351-1,$A$5:$A350,"&lt;="&amp;$A351,$B$5:$B350,$B351)&gt;0,MIN(1-'Exercise list'!Q$2,IF($A351=$A350,AW350,1))-AB351&lt;0),-1,MIN(1,IF($A351=$A350,AW350,1)-AB351+$D$2))</f>
        <v>1</v>
      </c>
      <c r="AX351">
        <f>IF(OR($J351=1,COUNTIFS($A$5:$A350,"&gt;="&amp;$A351-1,$A$5:$A350,"&lt;="&amp;$A351,$B$5:$B350,$B351)&gt;0,MIN(1-'Exercise list'!R$2,IF($A351=$A350,AX350,1))-AC351&lt;0),-1,MIN(1,IF($A351=$A350,AX350,1)-AC351+$D$2))</f>
        <v>1</v>
      </c>
      <c r="AY351">
        <f>IF(OR($J351=1,COUNTIFS($A$5:$A350,"&gt;="&amp;$A351-1,$A$5:$A350,"&lt;="&amp;$A351,$B$5:$B350,$B351)&gt;0,MIN(1-'Exercise list'!S$2,IF($A351=$A350,AY350,1))-AD351&lt;0),-1,MIN(1,IF($A351=$A350,AY350,1)-AD351+$D$2))</f>
        <v>1</v>
      </c>
      <c r="AZ351">
        <f>IF(OR($J351=1,COUNTIFS($A$5:$A350,"&gt;="&amp;$A351-1,$A$5:$A350,"&lt;="&amp;$A351,$B$5:$B350,$B351)&gt;0,MIN(1-'Exercise list'!T$2,IF($A351=$A350,AZ350,1))-AE351&lt;0),-1,MIN(1,IF($A351=$A350,AZ350,1)-AE351+$D$2))</f>
        <v>1</v>
      </c>
      <c r="BA351">
        <f>IF(OR($J351=1,COUNTIFS($A$5:$A350,"&gt;="&amp;$A351-1,$A$5:$A350,"&lt;="&amp;$A351,$B$5:$B350,$B351)&gt;0,MIN(1-'Exercise list'!U$2,IF($A351=$A350,BA350,1))-AF351&lt;0),-1,MIN(1,IF($A351=$A350,BA350,1)-AF351+$D$2))</f>
        <v>1</v>
      </c>
      <c r="BB351">
        <f>IF(OR($J351=1,COUNTIFS($A$5:$A350,"&gt;="&amp;$A351-1,$A$5:$A350,"&lt;="&amp;$A351,$B$5:$B350,$B351)&gt;0,MIN(1-'Exercise list'!V$2,IF($A351=$A350,BB350,1))-AG351&lt;0),-1,MIN(1,IF($A351=$A350,BB350,1)-AG351+$D$2))</f>
        <v>1</v>
      </c>
      <c r="BC351">
        <f>IF(OR($J351=1,COUNTIFS($A$5:$A350,"&gt;="&amp;$A351-1,$A$5:$A350,"&lt;="&amp;$A351,$B$5:$B350,$B351)&gt;0,MIN(1-'Exercise list'!W$2,IF($A351=$A350,BC350,1))-AH351&lt;0),-1,MIN(1,IF($A351=$A350,BC350,1)-AH351+$D$2))</f>
        <v>1</v>
      </c>
      <c r="BD351">
        <f>IF(OR($J351=1,COUNTIFS($A$5:$A350,"&gt;="&amp;$A351-1,$A$5:$A350,"&lt;="&amp;$A351,$B$5:$B350,$B351)&gt;0,MIN(1-'Exercise list'!X$2,IF($A351=$A350,BD350,1))-AI351&lt;0),-1,MIN(1,IF($A351=$A350,BD350,1)-AI351+$D$2))</f>
        <v>1</v>
      </c>
      <c r="BF351" s="16">
        <f t="shared" si="233"/>
        <v>0.19596031081758858</v>
      </c>
      <c r="BG351" s="16">
        <f t="shared" si="234"/>
        <v>0.21844636935459236</v>
      </c>
      <c r="BH351" s="16">
        <f t="shared" si="235"/>
        <v>0.14609696635987124</v>
      </c>
      <c r="BI351" s="16">
        <f t="shared" si="236"/>
        <v>0.13198015366034541</v>
      </c>
      <c r="BJ351" s="16">
        <f t="shared" si="237"/>
        <v>8.3367914198418713E-2</v>
      </c>
      <c r="BK351" s="16">
        <f t="shared" si="238"/>
        <v>0.10640640223148412</v>
      </c>
      <c r="BL351" s="16">
        <f t="shared" si="239"/>
        <v>0.21963504743569431</v>
      </c>
      <c r="BM351" s="16">
        <f t="shared" si="240"/>
        <v>3.8988008374820568E-3</v>
      </c>
      <c r="BN351" s="16">
        <f t="shared" si="241"/>
        <v>0.14537706087090876</v>
      </c>
      <c r="BO351" s="16">
        <f t="shared" si="242"/>
        <v>0.29209790661993401</v>
      </c>
      <c r="BP351" s="16">
        <f t="shared" si="243"/>
        <v>0.31584545163401867</v>
      </c>
      <c r="BQ351" s="16">
        <f t="shared" si="244"/>
        <v>0.1000007994126096</v>
      </c>
      <c r="BR351" s="16">
        <f t="shared" si="245"/>
        <v>0.13164487759885393</v>
      </c>
      <c r="BS351" s="16">
        <f t="shared" si="246"/>
        <v>2.9803550189863123E-2</v>
      </c>
      <c r="BT351" s="16">
        <f t="shared" si="247"/>
        <v>0.13492040904978705</v>
      </c>
      <c r="BU351" s="16">
        <f t="shared" si="248"/>
        <v>0.11703687414398131</v>
      </c>
      <c r="BV351" s="16">
        <f t="shared" si="249"/>
        <v>0.14633353213781661</v>
      </c>
      <c r="BW351" s="16">
        <f t="shared" si="250"/>
        <v>7.5588015111767173E-2</v>
      </c>
      <c r="BX351" s="16">
        <f t="shared" si="251"/>
        <v>8.0345659937185704E-2</v>
      </c>
      <c r="BY351" s="16">
        <f t="shared" si="252"/>
        <v>5.9014643151272549E-2</v>
      </c>
      <c r="CA351" s="16" t="str">
        <f t="shared" si="273"/>
        <v/>
      </c>
      <c r="CB351" s="16" t="str">
        <f t="shared" si="254"/>
        <v/>
      </c>
      <c r="CC351" s="16" t="str">
        <f t="shared" si="255"/>
        <v/>
      </c>
      <c r="CD351" s="16" t="str">
        <f t="shared" si="256"/>
        <v/>
      </c>
      <c r="CE351" s="16" t="str">
        <f t="shared" si="257"/>
        <v/>
      </c>
      <c r="CF351" s="16" t="str">
        <f t="shared" si="258"/>
        <v/>
      </c>
      <c r="CG351" s="16" t="str">
        <f t="shared" si="259"/>
        <v/>
      </c>
      <c r="CH351" s="16" t="str">
        <f t="shared" si="260"/>
        <v/>
      </c>
      <c r="CI351" s="16" t="str">
        <f t="shared" si="261"/>
        <v/>
      </c>
      <c r="CJ351" s="16" t="str">
        <f t="shared" si="262"/>
        <v/>
      </c>
      <c r="CK351" s="16" t="str">
        <f t="shared" si="263"/>
        <v/>
      </c>
      <c r="CL351" s="16" t="str">
        <f t="shared" si="264"/>
        <v/>
      </c>
      <c r="CM351" s="16" t="str">
        <f t="shared" si="265"/>
        <v/>
      </c>
      <c r="CN351" s="16" t="str">
        <f t="shared" si="266"/>
        <v/>
      </c>
      <c r="CO351" s="16" t="str">
        <f t="shared" si="267"/>
        <v/>
      </c>
      <c r="CP351" s="16" t="str">
        <f t="shared" si="268"/>
        <v/>
      </c>
      <c r="CQ351" s="16" t="str">
        <f t="shared" si="269"/>
        <v/>
      </c>
      <c r="CR351" s="16" t="str">
        <f t="shared" si="270"/>
        <v/>
      </c>
      <c r="CS351" s="16" t="str">
        <f t="shared" si="271"/>
        <v/>
      </c>
      <c r="CT351" s="16" t="str">
        <f t="shared" si="272"/>
        <v/>
      </c>
    </row>
    <row r="352" spans="1:99" x14ac:dyDescent="0.25">
      <c r="A352" s="13"/>
      <c r="B352" s="14"/>
      <c r="C352" s="15" t="str" cm="1">
        <f t="array" ref="C352">IF(B352="","",INDEX('Exercise list'!$C$5:$C$102,B352))</f>
        <v/>
      </c>
      <c r="D352" s="12" t="str">
        <f t="shared" si="230"/>
        <v/>
      </c>
      <c r="E352" s="107" t="str">
        <f t="shared" si="253"/>
        <v/>
      </c>
      <c r="F352" s="63" t="str" cm="1">
        <f t="array" ref="F352">IF(B352="","",0.1+IFERROR(INDEX($F$6:$F351,SUMPRODUCT(MAX(ROW($C$6:$C351)*($C352=$C$6:$C351))-ROW($A$5)))*0.9^($A352-INDEX($A$6:A351,SUMPRODUCT(MAX(ROW($C$6:$C351)*($C352=$C$6:$C351))-ROW($A$5)))),0))</f>
        <v/>
      </c>
      <c r="G352" s="64" t="e">
        <f>INDEX('Exercise list'!$Y$5:$Y$102,MATCH(C352,'Exercise list'!$C$5:$C$102,0))</f>
        <v>#N/A</v>
      </c>
      <c r="H352" s="115">
        <f t="shared" si="231"/>
        <v>0</v>
      </c>
      <c r="I352" s="6">
        <f t="shared" si="232"/>
        <v>5</v>
      </c>
      <c r="J352" s="6" t="str" cm="1">
        <f t="array" ref="J352">IF(B352="","",INDEX('Exercise list'!$D$5:$D$102,B352))</f>
        <v/>
      </c>
      <c r="K352" s="12"/>
      <c r="L352" s="74" t="str" cm="1">
        <f t="array" ref="L352">IF(K352="","",INDEX('Exercise list'!$C$5:$C$102,K352))</f>
        <v/>
      </c>
      <c r="M352" s="6"/>
      <c r="N352" s="75" t="str" cm="1">
        <f t="array" ref="N352">IF(M352="","",INDEX('Exercise list'!$C$5:$C$102,M352))</f>
        <v/>
      </c>
      <c r="P352">
        <f>IFERROR(INDEX('Exercise list'!$E$5:$X$102,MATCH($C352,'Exercise list'!$C$5:$C$102,0),MATCH(P$5,'Exercise list'!$E$4:$X$4,0)),0)</f>
        <v>0</v>
      </c>
      <c r="Q352">
        <f>IFERROR(INDEX('Exercise list'!$E$5:$X$102,MATCH($C352,'Exercise list'!$C$5:$C$102,0),MATCH(Q$5,'Exercise list'!$E$4:$X$4,0)),0)</f>
        <v>0</v>
      </c>
      <c r="R352">
        <f>IFERROR(INDEX('Exercise list'!$E$5:$X$102,MATCH($C352,'Exercise list'!$C$5:$C$102,0),MATCH(R$5,'Exercise list'!$E$4:$X$4,0)),0)</f>
        <v>0</v>
      </c>
      <c r="S352">
        <f>IFERROR(INDEX('Exercise list'!$E$5:$X$102,MATCH($C352,'Exercise list'!$C$5:$C$102,0),MATCH(S$5,'Exercise list'!$E$4:$X$4,0)),0)</f>
        <v>0</v>
      </c>
      <c r="T352">
        <f>IFERROR(INDEX('Exercise list'!$E$5:$X$102,MATCH($C352,'Exercise list'!$C$5:$C$102,0),MATCH(T$5,'Exercise list'!$E$4:$X$4,0)),0)</f>
        <v>0</v>
      </c>
      <c r="U352">
        <f>IFERROR(INDEX('Exercise list'!$E$5:$X$102,MATCH($C352,'Exercise list'!$C$5:$C$102,0),MATCH(U$5,'Exercise list'!$E$4:$X$4,0)),0)</f>
        <v>0</v>
      </c>
      <c r="V352">
        <f>IFERROR(INDEX('Exercise list'!$E$5:$X$102,MATCH($C352,'Exercise list'!$C$5:$C$102,0),MATCH(V$5,'Exercise list'!$E$4:$X$4,0)),0)</f>
        <v>0</v>
      </c>
      <c r="W352">
        <f>IFERROR(INDEX('Exercise list'!$E$5:$X$102,MATCH($C352,'Exercise list'!$C$5:$C$102,0),MATCH(W$5,'Exercise list'!$E$4:$X$4,0)),0)</f>
        <v>0</v>
      </c>
      <c r="X352">
        <f>IFERROR(INDEX('Exercise list'!$E$5:$X$102,MATCH($C352,'Exercise list'!$C$5:$C$102,0),MATCH(X$5,'Exercise list'!$E$4:$X$4,0)),0)</f>
        <v>0</v>
      </c>
      <c r="Y352">
        <f>IFERROR(INDEX('Exercise list'!$E$5:$X$102,MATCH($C352,'Exercise list'!$C$5:$C$102,0),MATCH(Y$5,'Exercise list'!$E$4:$X$4,0)),0)</f>
        <v>0</v>
      </c>
      <c r="Z352">
        <f>IFERROR(INDEX('Exercise list'!$E$5:$X$102,MATCH($C352,'Exercise list'!$C$5:$C$102,0),MATCH(Z$5,'Exercise list'!$E$4:$X$4,0)),0)</f>
        <v>0</v>
      </c>
      <c r="AA352">
        <f>IFERROR(INDEX('Exercise list'!$E$5:$X$102,MATCH($C352,'Exercise list'!$C$5:$C$102,0),MATCH(AA$5,'Exercise list'!$E$4:$X$4,0)),0)</f>
        <v>0</v>
      </c>
      <c r="AB352">
        <f>IFERROR(INDEX('Exercise list'!$E$5:$X$102,MATCH($C352,'Exercise list'!$C$5:$C$102,0),MATCH(AB$5,'Exercise list'!$E$4:$X$4,0)),0)</f>
        <v>0</v>
      </c>
      <c r="AC352">
        <f>IFERROR(INDEX('Exercise list'!$E$5:$X$102,MATCH($C352,'Exercise list'!$C$5:$C$102,0),MATCH(AC$5,'Exercise list'!$E$4:$X$4,0)),0)</f>
        <v>0</v>
      </c>
      <c r="AD352">
        <f>IFERROR(INDEX('Exercise list'!$E$5:$X$102,MATCH($C352,'Exercise list'!$C$5:$C$102,0),MATCH(AD$5,'Exercise list'!$E$4:$X$4,0)),0)</f>
        <v>0</v>
      </c>
      <c r="AE352">
        <f>IFERROR(INDEX('Exercise list'!$E$5:$X$102,MATCH($C352,'Exercise list'!$C$5:$C$102,0),MATCH(AE$5,'Exercise list'!$E$4:$X$4,0)),0)</f>
        <v>0</v>
      </c>
      <c r="AF352">
        <f>IFERROR(INDEX('Exercise list'!$E$5:$X$102,MATCH($C352,'Exercise list'!$C$5:$C$102,0),MATCH(AF$5,'Exercise list'!$E$4:$X$4,0)),0)</f>
        <v>0</v>
      </c>
      <c r="AG352">
        <f>IFERROR(INDEX('Exercise list'!$E$5:$X$102,MATCH($C352,'Exercise list'!$C$5:$C$102,0),MATCH(AG$5,'Exercise list'!$E$4:$X$4,0)),0)</f>
        <v>0</v>
      </c>
      <c r="AH352">
        <f>IFERROR(INDEX('Exercise list'!$E$5:$X$102,MATCH($C352,'Exercise list'!$C$5:$C$102,0),MATCH(AH$5,'Exercise list'!$E$4:$X$4,0)),0)</f>
        <v>0</v>
      </c>
      <c r="AI352">
        <f>IFERROR(INDEX('Exercise list'!$E$5:$X$102,MATCH($C352,'Exercise list'!$C$5:$C$102,0),MATCH(AI$5,'Exercise list'!$E$4:$X$4,0)),0)</f>
        <v>0</v>
      </c>
      <c r="AK352">
        <f>IF(OR($J352=1,COUNTIFS($A$5:$A351,"&gt;="&amp;$A352-1,$A$5:$A351,"&lt;="&amp;$A352,$B$5:$B351,$B352)&gt;0,MIN(1-'Exercise list'!E$2,IF($A352=$A351,AK351,1))-P352&lt;0),-1,MIN(1,IF($A352=$A351,AK351,1)-P352+$D$2))</f>
        <v>1</v>
      </c>
      <c r="AL352">
        <f>IF(OR($J352=1,COUNTIFS($A$5:$A351,"&gt;="&amp;$A352-1,$A$5:$A351,"&lt;="&amp;$A352,$B$5:$B351,$B352)&gt;0,MIN(1-'Exercise list'!F$2,IF($A352=$A351,AL351,1))-Q352&lt;0),-1,MIN(1,IF($A352=$A351,AL351,1)-Q352+$D$2))</f>
        <v>1</v>
      </c>
      <c r="AM352">
        <f>IF(OR($J352=1,COUNTIFS($A$5:$A351,"&gt;="&amp;$A352-1,$A$5:$A351,"&lt;="&amp;$A352,$B$5:$B351,$B352)&gt;0,MIN(1-'Exercise list'!G$2,IF($A352=$A351,AM351,1))-R352&lt;0),-1,MIN(1,IF($A352=$A351,AM351,1)-R352+$D$2))</f>
        <v>1</v>
      </c>
      <c r="AN352">
        <f>IF(OR($J352=1,COUNTIFS($A$5:$A351,"&gt;="&amp;$A352-1,$A$5:$A351,"&lt;="&amp;$A352,$B$5:$B351,$B352)&gt;0,MIN(1-'Exercise list'!H$2,IF($A352=$A351,AN351,1))-S352&lt;0),-1,MIN(1,IF($A352=$A351,AN351,1)-S352+$D$2))</f>
        <v>1</v>
      </c>
      <c r="AO352">
        <f>IF(OR($J352=1,COUNTIFS($A$5:$A351,"&gt;="&amp;$A352-1,$A$5:$A351,"&lt;="&amp;$A352,$B$5:$B351,$B352)&gt;0,MIN(1-'Exercise list'!I$2,IF($A352=$A351,AO351,1))-T352&lt;0),-1,MIN(1,IF($A352=$A351,AO351,1)-T352+$D$2))</f>
        <v>1</v>
      </c>
      <c r="AP352">
        <f>IF(OR($J352=1,COUNTIFS($A$5:$A351,"&gt;="&amp;$A352-1,$A$5:$A351,"&lt;="&amp;$A352,$B$5:$B351,$B352)&gt;0,MIN(1-'Exercise list'!J$2,IF($A352=$A351,AP351,1))-U352&lt;0),-1,MIN(1,IF($A352=$A351,AP351,1)-U352+$D$2))</f>
        <v>1</v>
      </c>
      <c r="AQ352">
        <f>IF(OR($J352=1,COUNTIFS($A$5:$A351,"&gt;="&amp;$A352-1,$A$5:$A351,"&lt;="&amp;$A352,$B$5:$B351,$B352)&gt;0,MIN(1-'Exercise list'!K$2,IF($A352=$A351,AQ351,1))-V352&lt;0),-1,MIN(1,IF($A352=$A351,AQ351,1)-V352+$D$2))</f>
        <v>1</v>
      </c>
      <c r="AR352">
        <f>IF(OR($J352=1,COUNTIFS($A$5:$A351,"&gt;="&amp;$A352-1,$A$5:$A351,"&lt;="&amp;$A352,$B$5:$B351,$B352)&gt;0,MIN(1-'Exercise list'!L$2,IF($A352=$A351,AR351,1))-W352&lt;0),-1,MIN(1,IF($A352=$A351,AR351,1)-W352+$D$2))</f>
        <v>1</v>
      </c>
      <c r="AS352">
        <f>IF(OR($J352=1,COUNTIFS($A$5:$A351,"&gt;="&amp;$A352-1,$A$5:$A351,"&lt;="&amp;$A352,$B$5:$B351,$B352)&gt;0,MIN(1-'Exercise list'!M$2,IF($A352=$A351,AS351,1))-X352&lt;0),-1,MIN(1,IF($A352=$A351,AS351,1)-X352+$D$2))</f>
        <v>1</v>
      </c>
      <c r="AT352">
        <f>IF(OR($J352=1,COUNTIFS($A$5:$A351,"&gt;="&amp;$A352-1,$A$5:$A351,"&lt;="&amp;$A352,$B$5:$B351,$B352)&gt;0,MIN(1-'Exercise list'!N$2,IF($A352=$A351,AT351,1))-Y352&lt;0),-1,MIN(1,IF($A352=$A351,AT351,1)-Y352+$D$2))</f>
        <v>1</v>
      </c>
      <c r="AU352">
        <f>IF(OR($J352=1,COUNTIFS($A$5:$A351,"&gt;="&amp;$A352-1,$A$5:$A351,"&lt;="&amp;$A352,$B$5:$B351,$B352)&gt;0,MIN(1-'Exercise list'!O$2,IF($A352=$A351,AU351,1))-Z352&lt;0),-1,MIN(1,IF($A352=$A351,AU351,1)-Z352+$D$2))</f>
        <v>1</v>
      </c>
      <c r="AV352">
        <f>IF(OR($J352=1,COUNTIFS($A$5:$A351,"&gt;="&amp;$A352-1,$A$5:$A351,"&lt;="&amp;$A352,$B$5:$B351,$B352)&gt;0,MIN(1-'Exercise list'!P$2,IF($A352=$A351,AV351,1))-AA352&lt;0),-1,MIN(1,IF($A352=$A351,AV351,1)-AA352+$D$2))</f>
        <v>1</v>
      </c>
      <c r="AW352">
        <f>IF(OR($J352=1,COUNTIFS($A$5:$A351,"&gt;="&amp;$A352-1,$A$5:$A351,"&lt;="&amp;$A352,$B$5:$B351,$B352)&gt;0,MIN(1-'Exercise list'!Q$2,IF($A352=$A351,AW351,1))-AB352&lt;0),-1,MIN(1,IF($A352=$A351,AW351,1)-AB352+$D$2))</f>
        <v>1</v>
      </c>
      <c r="AX352">
        <f>IF(OR($J352=1,COUNTIFS($A$5:$A351,"&gt;="&amp;$A352-1,$A$5:$A351,"&lt;="&amp;$A352,$B$5:$B351,$B352)&gt;0,MIN(1-'Exercise list'!R$2,IF($A352=$A351,AX351,1))-AC352&lt;0),-1,MIN(1,IF($A352=$A351,AX351,1)-AC352+$D$2))</f>
        <v>1</v>
      </c>
      <c r="AY352">
        <f>IF(OR($J352=1,COUNTIFS($A$5:$A351,"&gt;="&amp;$A352-1,$A$5:$A351,"&lt;="&amp;$A352,$B$5:$B351,$B352)&gt;0,MIN(1-'Exercise list'!S$2,IF($A352=$A351,AY351,1))-AD352&lt;0),-1,MIN(1,IF($A352=$A351,AY351,1)-AD352+$D$2))</f>
        <v>1</v>
      </c>
      <c r="AZ352">
        <f>IF(OR($J352=1,COUNTIFS($A$5:$A351,"&gt;="&amp;$A352-1,$A$5:$A351,"&lt;="&amp;$A352,$B$5:$B351,$B352)&gt;0,MIN(1-'Exercise list'!T$2,IF($A352=$A351,AZ351,1))-AE352&lt;0),-1,MIN(1,IF($A352=$A351,AZ351,1)-AE352+$D$2))</f>
        <v>1</v>
      </c>
      <c r="BA352">
        <f>IF(OR($J352=1,COUNTIFS($A$5:$A351,"&gt;="&amp;$A352-1,$A$5:$A351,"&lt;="&amp;$A352,$B$5:$B351,$B352)&gt;0,MIN(1-'Exercise list'!U$2,IF($A352=$A351,BA351,1))-AF352&lt;0),-1,MIN(1,IF($A352=$A351,BA351,1)-AF352+$D$2))</f>
        <v>1</v>
      </c>
      <c r="BB352">
        <f>IF(OR($J352=1,COUNTIFS($A$5:$A351,"&gt;="&amp;$A352-1,$A$5:$A351,"&lt;="&amp;$A352,$B$5:$B351,$B352)&gt;0,MIN(1-'Exercise list'!V$2,IF($A352=$A351,BB351,1))-AG352&lt;0),-1,MIN(1,IF($A352=$A351,BB351,1)-AG352+$D$2))</f>
        <v>1</v>
      </c>
      <c r="BC352">
        <f>IF(OR($J352=1,COUNTIFS($A$5:$A351,"&gt;="&amp;$A352-1,$A$5:$A351,"&lt;="&amp;$A352,$B$5:$B351,$B352)&gt;0,MIN(1-'Exercise list'!W$2,IF($A352=$A351,BC351,1))-AH352&lt;0),-1,MIN(1,IF($A352=$A351,BC351,1)-AH352+$D$2))</f>
        <v>1</v>
      </c>
      <c r="BD352">
        <f>IF(OR($J352=1,COUNTIFS($A$5:$A351,"&gt;="&amp;$A352-1,$A$5:$A351,"&lt;="&amp;$A352,$B$5:$B351,$B352)&gt;0,MIN(1-'Exercise list'!X$2,IF($A352=$A351,BD351,1))-AI352&lt;0),-1,MIN(1,IF($A352=$A351,BD351,1)-AI352+$D$2))</f>
        <v>1</v>
      </c>
      <c r="BF352" s="16">
        <f t="shared" si="233"/>
        <v>0.19596031081758858</v>
      </c>
      <c r="BG352" s="16">
        <f t="shared" si="234"/>
        <v>0.21844636935459236</v>
      </c>
      <c r="BH352" s="16">
        <f t="shared" si="235"/>
        <v>0.14609696635987124</v>
      </c>
      <c r="BI352" s="16">
        <f t="shared" si="236"/>
        <v>0.13198015366034541</v>
      </c>
      <c r="BJ352" s="16">
        <f t="shared" si="237"/>
        <v>8.3367914198418713E-2</v>
      </c>
      <c r="BK352" s="16">
        <f t="shared" si="238"/>
        <v>0.10640640223148412</v>
      </c>
      <c r="BL352" s="16">
        <f t="shared" si="239"/>
        <v>0.21963504743569431</v>
      </c>
      <c r="BM352" s="16">
        <f t="shared" si="240"/>
        <v>3.8988008374820568E-3</v>
      </c>
      <c r="BN352" s="16">
        <f t="shared" si="241"/>
        <v>0.14537706087090876</v>
      </c>
      <c r="BO352" s="16">
        <f t="shared" si="242"/>
        <v>0.29209790661993401</v>
      </c>
      <c r="BP352" s="16">
        <f t="shared" si="243"/>
        <v>0.31584545163401867</v>
      </c>
      <c r="BQ352" s="16">
        <f t="shared" si="244"/>
        <v>0.1000007994126096</v>
      </c>
      <c r="BR352" s="16">
        <f t="shared" si="245"/>
        <v>0.13164487759885393</v>
      </c>
      <c r="BS352" s="16">
        <f t="shared" si="246"/>
        <v>2.9803550189863123E-2</v>
      </c>
      <c r="BT352" s="16">
        <f t="shared" si="247"/>
        <v>0.13492040904978705</v>
      </c>
      <c r="BU352" s="16">
        <f t="shared" si="248"/>
        <v>0.11703687414398131</v>
      </c>
      <c r="BV352" s="16">
        <f t="shared" si="249"/>
        <v>0.14633353213781661</v>
      </c>
      <c r="BW352" s="16">
        <f t="shared" si="250"/>
        <v>7.5588015111767173E-2</v>
      </c>
      <c r="BX352" s="16">
        <f t="shared" si="251"/>
        <v>8.0345659937185704E-2</v>
      </c>
      <c r="BY352" s="16">
        <f t="shared" si="252"/>
        <v>5.9014643151272549E-2</v>
      </c>
      <c r="CA352" s="16" t="str">
        <f t="shared" si="273"/>
        <v/>
      </c>
      <c r="CB352" s="16" t="str">
        <f t="shared" si="254"/>
        <v/>
      </c>
      <c r="CC352" s="16" t="str">
        <f t="shared" si="255"/>
        <v/>
      </c>
      <c r="CD352" s="16" t="str">
        <f t="shared" si="256"/>
        <v/>
      </c>
      <c r="CE352" s="16" t="str">
        <f t="shared" si="257"/>
        <v/>
      </c>
      <c r="CF352" s="16" t="str">
        <f t="shared" si="258"/>
        <v/>
      </c>
      <c r="CG352" s="16" t="str">
        <f t="shared" si="259"/>
        <v/>
      </c>
      <c r="CH352" s="16" t="str">
        <f t="shared" si="260"/>
        <v/>
      </c>
      <c r="CI352" s="16" t="str">
        <f t="shared" si="261"/>
        <v/>
      </c>
      <c r="CJ352" s="16" t="str">
        <f t="shared" si="262"/>
        <v/>
      </c>
      <c r="CK352" s="16" t="str">
        <f t="shared" si="263"/>
        <v/>
      </c>
      <c r="CL352" s="16" t="str">
        <f t="shared" si="264"/>
        <v/>
      </c>
      <c r="CM352" s="16" t="str">
        <f t="shared" si="265"/>
        <v/>
      </c>
      <c r="CN352" s="16" t="str">
        <f t="shared" si="266"/>
        <v/>
      </c>
      <c r="CO352" s="16" t="str">
        <f t="shared" si="267"/>
        <v/>
      </c>
      <c r="CP352" s="16" t="str">
        <f t="shared" si="268"/>
        <v/>
      </c>
      <c r="CQ352" s="16" t="str">
        <f t="shared" si="269"/>
        <v/>
      </c>
      <c r="CR352" s="16" t="str">
        <f t="shared" si="270"/>
        <v/>
      </c>
      <c r="CS352" s="16" t="str">
        <f t="shared" si="271"/>
        <v/>
      </c>
      <c r="CT352" s="16" t="str">
        <f t="shared" si="272"/>
        <v/>
      </c>
    </row>
    <row r="353" spans="1:99" x14ac:dyDescent="0.25">
      <c r="A353" s="20"/>
      <c r="B353" s="21"/>
      <c r="C353" s="22" t="str" cm="1">
        <f t="array" ref="C353">IF(B353="","",INDEX('Exercise list'!$C$5:$C$102,B353))</f>
        <v/>
      </c>
      <c r="D353" s="17" t="str">
        <f t="shared" si="230"/>
        <v/>
      </c>
      <c r="E353" s="108" t="str">
        <f t="shared" si="253"/>
        <v/>
      </c>
      <c r="F353" s="65" t="str" cm="1">
        <f t="array" ref="F353">IF(B353="","",0.1+IFERROR(INDEX($F$6:$F352,SUMPRODUCT(MAX(ROW($C$6:$C352)*($C353=$C$6:$C352))-ROW($A$5)))*0.9^($A353-INDEX($A$6:A352,SUMPRODUCT(MAX(ROW($C$6:$C352)*($C353=$C$6:$C352))-ROW($A$5)))),0))</f>
        <v/>
      </c>
      <c r="G353" s="25" t="e">
        <f>INDEX('Exercise list'!$Y$5:$Y$102,MATCH(C353,'Exercise list'!$C$5:$C$102,0))</f>
        <v>#N/A</v>
      </c>
      <c r="H353" s="116">
        <f t="shared" si="231"/>
        <v>0</v>
      </c>
      <c r="I353" s="18">
        <f t="shared" si="232"/>
        <v>5</v>
      </c>
      <c r="J353" s="18" t="str" cm="1">
        <f t="array" ref="J353">IF(B353="","",INDEX('Exercise list'!$D$5:$D$102,B353))</f>
        <v/>
      </c>
      <c r="K353" s="17"/>
      <c r="L353" s="51" t="str" cm="1">
        <f t="array" ref="L353">IF(K353="","",INDEX('Exercise list'!$C$5:$C$102,K353))</f>
        <v/>
      </c>
      <c r="M353" s="18"/>
      <c r="N353" s="76" t="str" cm="1">
        <f t="array" ref="N353">IF(M353="","",INDEX('Exercise list'!$C$5:$C$102,M353))</f>
        <v/>
      </c>
      <c r="O353" s="19"/>
      <c r="P353" s="19">
        <f>IFERROR(INDEX('Exercise list'!$E$5:$X$102,MATCH($C353,'Exercise list'!$C$5:$C$102,0),MATCH(P$5,'Exercise list'!$E$4:$X$4,0)),0)</f>
        <v>0</v>
      </c>
      <c r="Q353" s="19">
        <f>IFERROR(INDEX('Exercise list'!$E$5:$X$102,MATCH($C353,'Exercise list'!$C$5:$C$102,0),MATCH(Q$5,'Exercise list'!$E$4:$X$4,0)),0)</f>
        <v>0</v>
      </c>
      <c r="R353" s="19">
        <f>IFERROR(INDEX('Exercise list'!$E$5:$X$102,MATCH($C353,'Exercise list'!$C$5:$C$102,0),MATCH(R$5,'Exercise list'!$E$4:$X$4,0)),0)</f>
        <v>0</v>
      </c>
      <c r="S353" s="19">
        <f>IFERROR(INDEX('Exercise list'!$E$5:$X$102,MATCH($C353,'Exercise list'!$C$5:$C$102,0),MATCH(S$5,'Exercise list'!$E$4:$X$4,0)),0)</f>
        <v>0</v>
      </c>
      <c r="T353" s="19">
        <f>IFERROR(INDEX('Exercise list'!$E$5:$X$102,MATCH($C353,'Exercise list'!$C$5:$C$102,0),MATCH(T$5,'Exercise list'!$E$4:$X$4,0)),0)</f>
        <v>0</v>
      </c>
      <c r="U353" s="19">
        <f>IFERROR(INDEX('Exercise list'!$E$5:$X$102,MATCH($C353,'Exercise list'!$C$5:$C$102,0),MATCH(U$5,'Exercise list'!$E$4:$X$4,0)),0)</f>
        <v>0</v>
      </c>
      <c r="V353" s="19">
        <f>IFERROR(INDEX('Exercise list'!$E$5:$X$102,MATCH($C353,'Exercise list'!$C$5:$C$102,0),MATCH(V$5,'Exercise list'!$E$4:$X$4,0)),0)</f>
        <v>0</v>
      </c>
      <c r="W353" s="19">
        <f>IFERROR(INDEX('Exercise list'!$E$5:$X$102,MATCH($C353,'Exercise list'!$C$5:$C$102,0),MATCH(W$5,'Exercise list'!$E$4:$X$4,0)),0)</f>
        <v>0</v>
      </c>
      <c r="X353" s="19">
        <f>IFERROR(INDEX('Exercise list'!$E$5:$X$102,MATCH($C353,'Exercise list'!$C$5:$C$102,0),MATCH(X$5,'Exercise list'!$E$4:$X$4,0)),0)</f>
        <v>0</v>
      </c>
      <c r="Y353" s="19">
        <f>IFERROR(INDEX('Exercise list'!$E$5:$X$102,MATCH($C353,'Exercise list'!$C$5:$C$102,0),MATCH(Y$5,'Exercise list'!$E$4:$X$4,0)),0)</f>
        <v>0</v>
      </c>
      <c r="Z353" s="19">
        <f>IFERROR(INDEX('Exercise list'!$E$5:$X$102,MATCH($C353,'Exercise list'!$C$5:$C$102,0),MATCH(Z$5,'Exercise list'!$E$4:$X$4,0)),0)</f>
        <v>0</v>
      </c>
      <c r="AA353" s="19">
        <f>IFERROR(INDEX('Exercise list'!$E$5:$X$102,MATCH($C353,'Exercise list'!$C$5:$C$102,0),MATCH(AA$5,'Exercise list'!$E$4:$X$4,0)),0)</f>
        <v>0</v>
      </c>
      <c r="AB353" s="19">
        <f>IFERROR(INDEX('Exercise list'!$E$5:$X$102,MATCH($C353,'Exercise list'!$C$5:$C$102,0),MATCH(AB$5,'Exercise list'!$E$4:$X$4,0)),0)</f>
        <v>0</v>
      </c>
      <c r="AC353" s="19">
        <f>IFERROR(INDEX('Exercise list'!$E$5:$X$102,MATCH($C353,'Exercise list'!$C$5:$C$102,0),MATCH(AC$5,'Exercise list'!$E$4:$X$4,0)),0)</f>
        <v>0</v>
      </c>
      <c r="AD353" s="19">
        <f>IFERROR(INDEX('Exercise list'!$E$5:$X$102,MATCH($C353,'Exercise list'!$C$5:$C$102,0),MATCH(AD$5,'Exercise list'!$E$4:$X$4,0)),0)</f>
        <v>0</v>
      </c>
      <c r="AE353" s="19">
        <f>IFERROR(INDEX('Exercise list'!$E$5:$X$102,MATCH($C353,'Exercise list'!$C$5:$C$102,0),MATCH(AE$5,'Exercise list'!$E$4:$X$4,0)),0)</f>
        <v>0</v>
      </c>
      <c r="AF353" s="19">
        <f>IFERROR(INDEX('Exercise list'!$E$5:$X$102,MATCH($C353,'Exercise list'!$C$5:$C$102,0),MATCH(AF$5,'Exercise list'!$E$4:$X$4,0)),0)</f>
        <v>0</v>
      </c>
      <c r="AG353" s="19">
        <f>IFERROR(INDEX('Exercise list'!$E$5:$X$102,MATCH($C353,'Exercise list'!$C$5:$C$102,0),MATCH(AG$5,'Exercise list'!$E$4:$X$4,0)),0)</f>
        <v>0</v>
      </c>
      <c r="AH353" s="19">
        <f>IFERROR(INDEX('Exercise list'!$E$5:$X$102,MATCH($C353,'Exercise list'!$C$5:$C$102,0),MATCH(AH$5,'Exercise list'!$E$4:$X$4,0)),0)</f>
        <v>0</v>
      </c>
      <c r="AI353" s="19">
        <f>IFERROR(INDEX('Exercise list'!$E$5:$X$102,MATCH($C353,'Exercise list'!$C$5:$C$102,0),MATCH(AI$5,'Exercise list'!$E$4:$X$4,0)),0)</f>
        <v>0</v>
      </c>
      <c r="AJ353" s="19"/>
      <c r="AK353" s="19">
        <f>IF(OR($J353=1,COUNTIFS($A$5:$A352,"&gt;="&amp;$A353-1,$A$5:$A352,"&lt;="&amp;$A353,$B$5:$B352,$B353)&gt;0,MIN(1-'Exercise list'!E$2,IF($A353=$A352,AK352,1))-P353&lt;0),-1,MIN(1,IF($A353=$A352,AK352,1)-P353+$D$2))</f>
        <v>1</v>
      </c>
      <c r="AL353" s="19">
        <f>IF(OR($J353=1,COUNTIFS($A$5:$A352,"&gt;="&amp;$A353-1,$A$5:$A352,"&lt;="&amp;$A353,$B$5:$B352,$B353)&gt;0,MIN(1-'Exercise list'!F$2,IF($A353=$A352,AL352,1))-Q353&lt;0),-1,MIN(1,IF($A353=$A352,AL352,1)-Q353+$D$2))</f>
        <v>1</v>
      </c>
      <c r="AM353" s="19">
        <f>IF(OR($J353=1,COUNTIFS($A$5:$A352,"&gt;="&amp;$A353-1,$A$5:$A352,"&lt;="&amp;$A353,$B$5:$B352,$B353)&gt;0,MIN(1-'Exercise list'!G$2,IF($A353=$A352,AM352,1))-R353&lt;0),-1,MIN(1,IF($A353=$A352,AM352,1)-R353+$D$2))</f>
        <v>1</v>
      </c>
      <c r="AN353" s="19">
        <f>IF(OR($J353=1,COUNTIFS($A$5:$A352,"&gt;="&amp;$A353-1,$A$5:$A352,"&lt;="&amp;$A353,$B$5:$B352,$B353)&gt;0,MIN(1-'Exercise list'!H$2,IF($A353=$A352,AN352,1))-S353&lt;0),-1,MIN(1,IF($A353=$A352,AN352,1)-S353+$D$2))</f>
        <v>1</v>
      </c>
      <c r="AO353" s="19">
        <f>IF(OR($J353=1,COUNTIFS($A$5:$A352,"&gt;="&amp;$A353-1,$A$5:$A352,"&lt;="&amp;$A353,$B$5:$B352,$B353)&gt;0,MIN(1-'Exercise list'!I$2,IF($A353=$A352,AO352,1))-T353&lt;0),-1,MIN(1,IF($A353=$A352,AO352,1)-T353+$D$2))</f>
        <v>1</v>
      </c>
      <c r="AP353" s="19">
        <f>IF(OR($J353=1,COUNTIFS($A$5:$A352,"&gt;="&amp;$A353-1,$A$5:$A352,"&lt;="&amp;$A353,$B$5:$B352,$B353)&gt;0,MIN(1-'Exercise list'!J$2,IF($A353=$A352,AP352,1))-U353&lt;0),-1,MIN(1,IF($A353=$A352,AP352,1)-U353+$D$2))</f>
        <v>1</v>
      </c>
      <c r="AQ353" s="19">
        <f>IF(OR($J353=1,COUNTIFS($A$5:$A352,"&gt;="&amp;$A353-1,$A$5:$A352,"&lt;="&amp;$A353,$B$5:$B352,$B353)&gt;0,MIN(1-'Exercise list'!K$2,IF($A353=$A352,AQ352,1))-V353&lt;0),-1,MIN(1,IF($A353=$A352,AQ352,1)-V353+$D$2))</f>
        <v>1</v>
      </c>
      <c r="AR353" s="19">
        <f>IF(OR($J353=1,COUNTIFS($A$5:$A352,"&gt;="&amp;$A353-1,$A$5:$A352,"&lt;="&amp;$A353,$B$5:$B352,$B353)&gt;0,MIN(1-'Exercise list'!L$2,IF($A353=$A352,AR352,1))-W353&lt;0),-1,MIN(1,IF($A353=$A352,AR352,1)-W353+$D$2))</f>
        <v>1</v>
      </c>
      <c r="AS353" s="19">
        <f>IF(OR($J353=1,COUNTIFS($A$5:$A352,"&gt;="&amp;$A353-1,$A$5:$A352,"&lt;="&amp;$A353,$B$5:$B352,$B353)&gt;0,MIN(1-'Exercise list'!M$2,IF($A353=$A352,AS352,1))-X353&lt;0),-1,MIN(1,IF($A353=$A352,AS352,1)-X353+$D$2))</f>
        <v>1</v>
      </c>
      <c r="AT353" s="19">
        <f>IF(OR($J353=1,COUNTIFS($A$5:$A352,"&gt;="&amp;$A353-1,$A$5:$A352,"&lt;="&amp;$A353,$B$5:$B352,$B353)&gt;0,MIN(1-'Exercise list'!N$2,IF($A353=$A352,AT352,1))-Y353&lt;0),-1,MIN(1,IF($A353=$A352,AT352,1)-Y353+$D$2))</f>
        <v>1</v>
      </c>
      <c r="AU353" s="19">
        <f>IF(OR($J353=1,COUNTIFS($A$5:$A352,"&gt;="&amp;$A353-1,$A$5:$A352,"&lt;="&amp;$A353,$B$5:$B352,$B353)&gt;0,MIN(1-'Exercise list'!O$2,IF($A353=$A352,AU352,1))-Z353&lt;0),-1,MIN(1,IF($A353=$A352,AU352,1)-Z353+$D$2))</f>
        <v>1</v>
      </c>
      <c r="AV353" s="19">
        <f>IF(OR($J353=1,COUNTIFS($A$5:$A352,"&gt;="&amp;$A353-1,$A$5:$A352,"&lt;="&amp;$A353,$B$5:$B352,$B353)&gt;0,MIN(1-'Exercise list'!P$2,IF($A353=$A352,AV352,1))-AA353&lt;0),-1,MIN(1,IF($A353=$A352,AV352,1)-AA353+$D$2))</f>
        <v>1</v>
      </c>
      <c r="AW353" s="19">
        <f>IF(OR($J353=1,COUNTIFS($A$5:$A352,"&gt;="&amp;$A353-1,$A$5:$A352,"&lt;="&amp;$A353,$B$5:$B352,$B353)&gt;0,MIN(1-'Exercise list'!Q$2,IF($A353=$A352,AW352,1))-AB353&lt;0),-1,MIN(1,IF($A353=$A352,AW352,1)-AB353+$D$2))</f>
        <v>1</v>
      </c>
      <c r="AX353" s="19">
        <f>IF(OR($J353=1,COUNTIFS($A$5:$A352,"&gt;="&amp;$A353-1,$A$5:$A352,"&lt;="&amp;$A353,$B$5:$B352,$B353)&gt;0,MIN(1-'Exercise list'!R$2,IF($A353=$A352,AX352,1))-AC353&lt;0),-1,MIN(1,IF($A353=$A352,AX352,1)-AC353+$D$2))</f>
        <v>1</v>
      </c>
      <c r="AY353" s="19">
        <f>IF(OR($J353=1,COUNTIFS($A$5:$A352,"&gt;="&amp;$A353-1,$A$5:$A352,"&lt;="&amp;$A353,$B$5:$B352,$B353)&gt;0,MIN(1-'Exercise list'!S$2,IF($A353=$A352,AY352,1))-AD353&lt;0),-1,MIN(1,IF($A353=$A352,AY352,1)-AD353+$D$2))</f>
        <v>1</v>
      </c>
      <c r="AZ353" s="19">
        <f>IF(OR($J353=1,COUNTIFS($A$5:$A352,"&gt;="&amp;$A353-1,$A$5:$A352,"&lt;="&amp;$A353,$B$5:$B352,$B353)&gt;0,MIN(1-'Exercise list'!T$2,IF($A353=$A352,AZ352,1))-AE353&lt;0),-1,MIN(1,IF($A353=$A352,AZ352,1)-AE353+$D$2))</f>
        <v>1</v>
      </c>
      <c r="BA353" s="19">
        <f>IF(OR($J353=1,COUNTIFS($A$5:$A352,"&gt;="&amp;$A353-1,$A$5:$A352,"&lt;="&amp;$A353,$B$5:$B352,$B353)&gt;0,MIN(1-'Exercise list'!U$2,IF($A353=$A352,BA352,1))-AF353&lt;0),-1,MIN(1,IF($A353=$A352,BA352,1)-AF353+$D$2))</f>
        <v>1</v>
      </c>
      <c r="BB353" s="19">
        <f>IF(OR($J353=1,COUNTIFS($A$5:$A352,"&gt;="&amp;$A353-1,$A$5:$A352,"&lt;="&amp;$A353,$B$5:$B352,$B353)&gt;0,MIN(1-'Exercise list'!V$2,IF($A353=$A352,BB352,1))-AG353&lt;0),-1,MIN(1,IF($A353=$A352,BB352,1)-AG353+$D$2))</f>
        <v>1</v>
      </c>
      <c r="BC353" s="19">
        <f>IF(OR($J353=1,COUNTIFS($A$5:$A352,"&gt;="&amp;$A353-1,$A$5:$A352,"&lt;="&amp;$A353,$B$5:$B352,$B353)&gt;0,MIN(1-'Exercise list'!W$2,IF($A353=$A352,BC352,1))-AH353&lt;0),-1,MIN(1,IF($A353=$A352,BC352,1)-AH353+$D$2))</f>
        <v>1</v>
      </c>
      <c r="BD353" s="19">
        <f>IF(OR($J353=1,COUNTIFS($A$5:$A352,"&gt;="&amp;$A353-1,$A$5:$A352,"&lt;="&amp;$A353,$B$5:$B352,$B353)&gt;0,MIN(1-'Exercise list'!X$2,IF($A353=$A352,BD352,1))-AI353&lt;0),-1,MIN(1,IF($A353=$A352,BD352,1)-AI353+$D$2))</f>
        <v>1</v>
      </c>
      <c r="BE353" s="19"/>
      <c r="BF353" s="23">
        <f t="shared" si="233"/>
        <v>0.19596031081758858</v>
      </c>
      <c r="BG353" s="23">
        <f t="shared" si="234"/>
        <v>0.21844636935459236</v>
      </c>
      <c r="BH353" s="23">
        <f t="shared" si="235"/>
        <v>0.14609696635987124</v>
      </c>
      <c r="BI353" s="23">
        <f t="shared" si="236"/>
        <v>0.13198015366034541</v>
      </c>
      <c r="BJ353" s="23">
        <f t="shared" si="237"/>
        <v>8.3367914198418713E-2</v>
      </c>
      <c r="BK353" s="23">
        <f t="shared" si="238"/>
        <v>0.10640640223148412</v>
      </c>
      <c r="BL353" s="23">
        <f t="shared" si="239"/>
        <v>0.21963504743569431</v>
      </c>
      <c r="BM353" s="23">
        <f t="shared" si="240"/>
        <v>3.8988008374820568E-3</v>
      </c>
      <c r="BN353" s="23">
        <f t="shared" si="241"/>
        <v>0.14537706087090876</v>
      </c>
      <c r="BO353" s="23">
        <f t="shared" si="242"/>
        <v>0.29209790661993401</v>
      </c>
      <c r="BP353" s="23">
        <f t="shared" si="243"/>
        <v>0.31584545163401867</v>
      </c>
      <c r="BQ353" s="23">
        <f t="shared" si="244"/>
        <v>0.1000007994126096</v>
      </c>
      <c r="BR353" s="23">
        <f t="shared" si="245"/>
        <v>0.13164487759885393</v>
      </c>
      <c r="BS353" s="23">
        <f t="shared" si="246"/>
        <v>2.9803550189863123E-2</v>
      </c>
      <c r="BT353" s="23">
        <f t="shared" si="247"/>
        <v>0.13492040904978705</v>
      </c>
      <c r="BU353" s="23">
        <f t="shared" si="248"/>
        <v>0.11703687414398131</v>
      </c>
      <c r="BV353" s="23">
        <f t="shared" si="249"/>
        <v>0.14633353213781661</v>
      </c>
      <c r="BW353" s="23">
        <f t="shared" si="250"/>
        <v>7.5588015111767173E-2</v>
      </c>
      <c r="BX353" s="23">
        <f t="shared" si="251"/>
        <v>8.0345659937185704E-2</v>
      </c>
      <c r="BY353" s="23">
        <f t="shared" si="252"/>
        <v>5.9014643151272549E-2</v>
      </c>
      <c r="BZ353" s="19"/>
      <c r="CA353" s="23" t="str">
        <f t="shared" si="273"/>
        <v/>
      </c>
      <c r="CB353" s="23" t="str">
        <f t="shared" si="254"/>
        <v/>
      </c>
      <c r="CC353" s="23" t="str">
        <f t="shared" si="255"/>
        <v/>
      </c>
      <c r="CD353" s="23" t="str">
        <f t="shared" si="256"/>
        <v/>
      </c>
      <c r="CE353" s="23" t="str">
        <f t="shared" si="257"/>
        <v/>
      </c>
      <c r="CF353" s="23" t="str">
        <f t="shared" si="258"/>
        <v/>
      </c>
      <c r="CG353" s="23" t="str">
        <f t="shared" si="259"/>
        <v/>
      </c>
      <c r="CH353" s="23" t="str">
        <f t="shared" si="260"/>
        <v/>
      </c>
      <c r="CI353" s="23" t="str">
        <f t="shared" si="261"/>
        <v/>
      </c>
      <c r="CJ353" s="23" t="str">
        <f t="shared" si="262"/>
        <v/>
      </c>
      <c r="CK353" s="23" t="str">
        <f t="shared" si="263"/>
        <v/>
      </c>
      <c r="CL353" s="23" t="str">
        <f t="shared" si="264"/>
        <v/>
      </c>
      <c r="CM353" s="23" t="str">
        <f t="shared" si="265"/>
        <v/>
      </c>
      <c r="CN353" s="23" t="str">
        <f t="shared" si="266"/>
        <v/>
      </c>
      <c r="CO353" s="23" t="str">
        <f t="shared" si="267"/>
        <v/>
      </c>
      <c r="CP353" s="23" t="str">
        <f t="shared" si="268"/>
        <v/>
      </c>
      <c r="CQ353" s="23" t="str">
        <f t="shared" si="269"/>
        <v/>
      </c>
      <c r="CR353" s="23" t="str">
        <f t="shared" si="270"/>
        <v/>
      </c>
      <c r="CS353" s="23" t="str">
        <f t="shared" si="271"/>
        <v/>
      </c>
      <c r="CT353" s="23" t="str">
        <f t="shared" si="272"/>
        <v/>
      </c>
      <c r="CU353" s="19"/>
    </row>
    <row r="354" spans="1:99" x14ac:dyDescent="0.25">
      <c r="A354" s="13"/>
      <c r="B354" s="14"/>
      <c r="C354" s="15" t="str" cm="1">
        <f t="array" ref="C354">IF(B354="","",INDEX('Exercise list'!$C$5:$C$102,B354))</f>
        <v/>
      </c>
      <c r="D354" s="12" t="str">
        <f t="shared" si="230"/>
        <v/>
      </c>
      <c r="E354" s="107" t="str">
        <f t="shared" si="253"/>
        <v/>
      </c>
      <c r="F354" s="63" t="str" cm="1">
        <f t="array" ref="F354">IF(B354="","",0.1+IFERROR(INDEX($F$6:$F353,SUMPRODUCT(MAX(ROW($C$6:$C353)*($C354=$C$6:$C353))-ROW($A$5)))*0.9^($A354-INDEX($A$6:A353,SUMPRODUCT(MAX(ROW($C$6:$C353)*($C354=$C$6:$C353))-ROW($A$5)))),0))</f>
        <v/>
      </c>
      <c r="G354" s="64" t="e">
        <f>INDEX('Exercise list'!$Y$5:$Y$102,MATCH(C354,'Exercise list'!$C$5:$C$102,0))</f>
        <v>#N/A</v>
      </c>
      <c r="H354" s="115">
        <f t="shared" si="231"/>
        <v>0</v>
      </c>
      <c r="I354" s="42">
        <f t="shared" si="232"/>
        <v>5</v>
      </c>
      <c r="J354" s="6" t="str" cm="1">
        <f t="array" ref="J354">IF(B354="","",INDEX('Exercise list'!$D$5:$D$102,B354))</f>
        <v/>
      </c>
      <c r="K354" s="12"/>
      <c r="L354" s="74" t="str" cm="1">
        <f t="array" ref="L354">IF(K354="","",INDEX('Exercise list'!$C$5:$C$102,K354))</f>
        <v/>
      </c>
      <c r="M354" s="6"/>
      <c r="N354" s="75" t="str" cm="1">
        <f t="array" ref="N354">IF(M354="","",INDEX('Exercise list'!$C$5:$C$102,M354))</f>
        <v/>
      </c>
      <c r="P354">
        <f>IFERROR(INDEX('Exercise list'!$E$5:$X$102,MATCH($C354,'Exercise list'!$C$5:$C$102,0),MATCH(P$5,'Exercise list'!$E$4:$X$4,0)),0)</f>
        <v>0</v>
      </c>
      <c r="Q354">
        <f>IFERROR(INDEX('Exercise list'!$E$5:$X$102,MATCH($C354,'Exercise list'!$C$5:$C$102,0),MATCH(Q$5,'Exercise list'!$E$4:$X$4,0)),0)</f>
        <v>0</v>
      </c>
      <c r="R354">
        <f>IFERROR(INDEX('Exercise list'!$E$5:$X$102,MATCH($C354,'Exercise list'!$C$5:$C$102,0),MATCH(R$5,'Exercise list'!$E$4:$X$4,0)),0)</f>
        <v>0</v>
      </c>
      <c r="S354">
        <f>IFERROR(INDEX('Exercise list'!$E$5:$X$102,MATCH($C354,'Exercise list'!$C$5:$C$102,0),MATCH(S$5,'Exercise list'!$E$4:$X$4,0)),0)</f>
        <v>0</v>
      </c>
      <c r="T354">
        <f>IFERROR(INDEX('Exercise list'!$E$5:$X$102,MATCH($C354,'Exercise list'!$C$5:$C$102,0),MATCH(T$5,'Exercise list'!$E$4:$X$4,0)),0)</f>
        <v>0</v>
      </c>
      <c r="U354">
        <f>IFERROR(INDEX('Exercise list'!$E$5:$X$102,MATCH($C354,'Exercise list'!$C$5:$C$102,0),MATCH(U$5,'Exercise list'!$E$4:$X$4,0)),0)</f>
        <v>0</v>
      </c>
      <c r="V354">
        <f>IFERROR(INDEX('Exercise list'!$E$5:$X$102,MATCH($C354,'Exercise list'!$C$5:$C$102,0),MATCH(V$5,'Exercise list'!$E$4:$X$4,0)),0)</f>
        <v>0</v>
      </c>
      <c r="W354">
        <f>IFERROR(INDEX('Exercise list'!$E$5:$X$102,MATCH($C354,'Exercise list'!$C$5:$C$102,0),MATCH(W$5,'Exercise list'!$E$4:$X$4,0)),0)</f>
        <v>0</v>
      </c>
      <c r="X354">
        <f>IFERROR(INDEX('Exercise list'!$E$5:$X$102,MATCH($C354,'Exercise list'!$C$5:$C$102,0),MATCH(X$5,'Exercise list'!$E$4:$X$4,0)),0)</f>
        <v>0</v>
      </c>
      <c r="Y354">
        <f>IFERROR(INDEX('Exercise list'!$E$5:$X$102,MATCH($C354,'Exercise list'!$C$5:$C$102,0),MATCH(Y$5,'Exercise list'!$E$4:$X$4,0)),0)</f>
        <v>0</v>
      </c>
      <c r="Z354">
        <f>IFERROR(INDEX('Exercise list'!$E$5:$X$102,MATCH($C354,'Exercise list'!$C$5:$C$102,0),MATCH(Z$5,'Exercise list'!$E$4:$X$4,0)),0)</f>
        <v>0</v>
      </c>
      <c r="AA354">
        <f>IFERROR(INDEX('Exercise list'!$E$5:$X$102,MATCH($C354,'Exercise list'!$C$5:$C$102,0),MATCH(AA$5,'Exercise list'!$E$4:$X$4,0)),0)</f>
        <v>0</v>
      </c>
      <c r="AB354">
        <f>IFERROR(INDEX('Exercise list'!$E$5:$X$102,MATCH($C354,'Exercise list'!$C$5:$C$102,0),MATCH(AB$5,'Exercise list'!$E$4:$X$4,0)),0)</f>
        <v>0</v>
      </c>
      <c r="AC354">
        <f>IFERROR(INDEX('Exercise list'!$E$5:$X$102,MATCH($C354,'Exercise list'!$C$5:$C$102,0),MATCH(AC$5,'Exercise list'!$E$4:$X$4,0)),0)</f>
        <v>0</v>
      </c>
      <c r="AD354">
        <f>IFERROR(INDEX('Exercise list'!$E$5:$X$102,MATCH($C354,'Exercise list'!$C$5:$C$102,0),MATCH(AD$5,'Exercise list'!$E$4:$X$4,0)),0)</f>
        <v>0</v>
      </c>
      <c r="AE354">
        <f>IFERROR(INDEX('Exercise list'!$E$5:$X$102,MATCH($C354,'Exercise list'!$C$5:$C$102,0),MATCH(AE$5,'Exercise list'!$E$4:$X$4,0)),0)</f>
        <v>0</v>
      </c>
      <c r="AF354">
        <f>IFERROR(INDEX('Exercise list'!$E$5:$X$102,MATCH($C354,'Exercise list'!$C$5:$C$102,0),MATCH(AF$5,'Exercise list'!$E$4:$X$4,0)),0)</f>
        <v>0</v>
      </c>
      <c r="AG354">
        <f>IFERROR(INDEX('Exercise list'!$E$5:$X$102,MATCH($C354,'Exercise list'!$C$5:$C$102,0),MATCH(AG$5,'Exercise list'!$E$4:$X$4,0)),0)</f>
        <v>0</v>
      </c>
      <c r="AH354">
        <f>IFERROR(INDEX('Exercise list'!$E$5:$X$102,MATCH($C354,'Exercise list'!$C$5:$C$102,0),MATCH(AH$5,'Exercise list'!$E$4:$X$4,0)),0)</f>
        <v>0</v>
      </c>
      <c r="AI354">
        <f>IFERROR(INDEX('Exercise list'!$E$5:$X$102,MATCH($C354,'Exercise list'!$C$5:$C$102,0),MATCH(AI$5,'Exercise list'!$E$4:$X$4,0)),0)</f>
        <v>0</v>
      </c>
      <c r="AK354">
        <f>IF(OR($J354=1,COUNTIFS($A$5:$A353,"&gt;="&amp;$A354-1,$A$5:$A353,"&lt;="&amp;$A354,$B$5:$B353,$B354)&gt;0,MIN(1-'Exercise list'!E$2,IF($A354=$A353,AK353,1))-P354&lt;0),-1,MIN(1,IF($A354=$A353,AK353,1)-P354+$D$2))</f>
        <v>1</v>
      </c>
      <c r="AL354">
        <f>IF(OR($J354=1,COUNTIFS($A$5:$A353,"&gt;="&amp;$A354-1,$A$5:$A353,"&lt;="&amp;$A354,$B$5:$B353,$B354)&gt;0,MIN(1-'Exercise list'!F$2,IF($A354=$A353,AL353,1))-Q354&lt;0),-1,MIN(1,IF($A354=$A353,AL353,1)-Q354+$D$2))</f>
        <v>1</v>
      </c>
      <c r="AM354">
        <f>IF(OR($J354=1,COUNTIFS($A$5:$A353,"&gt;="&amp;$A354-1,$A$5:$A353,"&lt;="&amp;$A354,$B$5:$B353,$B354)&gt;0,MIN(1-'Exercise list'!G$2,IF($A354=$A353,AM353,1))-R354&lt;0),-1,MIN(1,IF($A354=$A353,AM353,1)-R354+$D$2))</f>
        <v>1</v>
      </c>
      <c r="AN354">
        <f>IF(OR($J354=1,COUNTIFS($A$5:$A353,"&gt;="&amp;$A354-1,$A$5:$A353,"&lt;="&amp;$A354,$B$5:$B353,$B354)&gt;0,MIN(1-'Exercise list'!H$2,IF($A354=$A353,AN353,1))-S354&lt;0),-1,MIN(1,IF($A354=$A353,AN353,1)-S354+$D$2))</f>
        <v>1</v>
      </c>
      <c r="AO354">
        <f>IF(OR($J354=1,COUNTIFS($A$5:$A353,"&gt;="&amp;$A354-1,$A$5:$A353,"&lt;="&amp;$A354,$B$5:$B353,$B354)&gt;0,MIN(1-'Exercise list'!I$2,IF($A354=$A353,AO353,1))-T354&lt;0),-1,MIN(1,IF($A354=$A353,AO353,1)-T354+$D$2))</f>
        <v>1</v>
      </c>
      <c r="AP354">
        <f>IF(OR($J354=1,COUNTIFS($A$5:$A353,"&gt;="&amp;$A354-1,$A$5:$A353,"&lt;="&amp;$A354,$B$5:$B353,$B354)&gt;0,MIN(1-'Exercise list'!J$2,IF($A354=$A353,AP353,1))-U354&lt;0),-1,MIN(1,IF($A354=$A353,AP353,1)-U354+$D$2))</f>
        <v>1</v>
      </c>
      <c r="AQ354">
        <f>IF(OR($J354=1,COUNTIFS($A$5:$A353,"&gt;="&amp;$A354-1,$A$5:$A353,"&lt;="&amp;$A354,$B$5:$B353,$B354)&gt;0,MIN(1-'Exercise list'!K$2,IF($A354=$A353,AQ353,1))-V354&lt;0),-1,MIN(1,IF($A354=$A353,AQ353,1)-V354+$D$2))</f>
        <v>1</v>
      </c>
      <c r="AR354">
        <f>IF(OR($J354=1,COUNTIFS($A$5:$A353,"&gt;="&amp;$A354-1,$A$5:$A353,"&lt;="&amp;$A354,$B$5:$B353,$B354)&gt;0,MIN(1-'Exercise list'!L$2,IF($A354=$A353,AR353,1))-W354&lt;0),-1,MIN(1,IF($A354=$A353,AR353,1)-W354+$D$2))</f>
        <v>1</v>
      </c>
      <c r="AS354">
        <f>IF(OR($J354=1,COUNTIFS($A$5:$A353,"&gt;="&amp;$A354-1,$A$5:$A353,"&lt;="&amp;$A354,$B$5:$B353,$B354)&gt;0,MIN(1-'Exercise list'!M$2,IF($A354=$A353,AS353,1))-X354&lt;0),-1,MIN(1,IF($A354=$A353,AS353,1)-X354+$D$2))</f>
        <v>1</v>
      </c>
      <c r="AT354">
        <f>IF(OR($J354=1,COUNTIFS($A$5:$A353,"&gt;="&amp;$A354-1,$A$5:$A353,"&lt;="&amp;$A354,$B$5:$B353,$B354)&gt;0,MIN(1-'Exercise list'!N$2,IF($A354=$A353,AT353,1))-Y354&lt;0),-1,MIN(1,IF($A354=$A353,AT353,1)-Y354+$D$2))</f>
        <v>1</v>
      </c>
      <c r="AU354">
        <f>IF(OR($J354=1,COUNTIFS($A$5:$A353,"&gt;="&amp;$A354-1,$A$5:$A353,"&lt;="&amp;$A354,$B$5:$B353,$B354)&gt;0,MIN(1-'Exercise list'!O$2,IF($A354=$A353,AU353,1))-Z354&lt;0),-1,MIN(1,IF($A354=$A353,AU353,1)-Z354+$D$2))</f>
        <v>1</v>
      </c>
      <c r="AV354">
        <f>IF(OR($J354=1,COUNTIFS($A$5:$A353,"&gt;="&amp;$A354-1,$A$5:$A353,"&lt;="&amp;$A354,$B$5:$B353,$B354)&gt;0,MIN(1-'Exercise list'!P$2,IF($A354=$A353,AV353,1))-AA354&lt;0),-1,MIN(1,IF($A354=$A353,AV353,1)-AA354+$D$2))</f>
        <v>1</v>
      </c>
      <c r="AW354">
        <f>IF(OR($J354=1,COUNTIFS($A$5:$A353,"&gt;="&amp;$A354-1,$A$5:$A353,"&lt;="&amp;$A354,$B$5:$B353,$B354)&gt;0,MIN(1-'Exercise list'!Q$2,IF($A354=$A353,AW353,1))-AB354&lt;0),-1,MIN(1,IF($A354=$A353,AW353,1)-AB354+$D$2))</f>
        <v>1</v>
      </c>
      <c r="AX354">
        <f>IF(OR($J354=1,COUNTIFS($A$5:$A353,"&gt;="&amp;$A354-1,$A$5:$A353,"&lt;="&amp;$A354,$B$5:$B353,$B354)&gt;0,MIN(1-'Exercise list'!R$2,IF($A354=$A353,AX353,1))-AC354&lt;0),-1,MIN(1,IF($A354=$A353,AX353,1)-AC354+$D$2))</f>
        <v>1</v>
      </c>
      <c r="AY354">
        <f>IF(OR($J354=1,COUNTIFS($A$5:$A353,"&gt;="&amp;$A354-1,$A$5:$A353,"&lt;="&amp;$A354,$B$5:$B353,$B354)&gt;0,MIN(1-'Exercise list'!S$2,IF($A354=$A353,AY353,1))-AD354&lt;0),-1,MIN(1,IF($A354=$A353,AY353,1)-AD354+$D$2))</f>
        <v>1</v>
      </c>
      <c r="AZ354">
        <f>IF(OR($J354=1,COUNTIFS($A$5:$A353,"&gt;="&amp;$A354-1,$A$5:$A353,"&lt;="&amp;$A354,$B$5:$B353,$B354)&gt;0,MIN(1-'Exercise list'!T$2,IF($A354=$A353,AZ353,1))-AE354&lt;0),-1,MIN(1,IF($A354=$A353,AZ353,1)-AE354+$D$2))</f>
        <v>1</v>
      </c>
      <c r="BA354">
        <f>IF(OR($J354=1,COUNTIFS($A$5:$A353,"&gt;="&amp;$A354-1,$A$5:$A353,"&lt;="&amp;$A354,$B$5:$B353,$B354)&gt;0,MIN(1-'Exercise list'!U$2,IF($A354=$A353,BA353,1))-AF354&lt;0),-1,MIN(1,IF($A354=$A353,BA353,1)-AF354+$D$2))</f>
        <v>1</v>
      </c>
      <c r="BB354">
        <f>IF(OR($J354=1,COUNTIFS($A$5:$A353,"&gt;="&amp;$A354-1,$A$5:$A353,"&lt;="&amp;$A354,$B$5:$B353,$B354)&gt;0,MIN(1-'Exercise list'!V$2,IF($A354=$A353,BB353,1))-AG354&lt;0),-1,MIN(1,IF($A354=$A353,BB353,1)-AG354+$D$2))</f>
        <v>1</v>
      </c>
      <c r="BC354">
        <f>IF(OR($J354=1,COUNTIFS($A$5:$A353,"&gt;="&amp;$A354-1,$A$5:$A353,"&lt;="&amp;$A354,$B$5:$B353,$B354)&gt;0,MIN(1-'Exercise list'!W$2,IF($A354=$A353,BC353,1))-AH354&lt;0),-1,MIN(1,IF($A354=$A353,BC353,1)-AH354+$D$2))</f>
        <v>1</v>
      </c>
      <c r="BD354">
        <f>IF(OR($J354=1,COUNTIFS($A$5:$A353,"&gt;="&amp;$A354-1,$A$5:$A353,"&lt;="&amp;$A354,$B$5:$B353,$B354)&gt;0,MIN(1-'Exercise list'!X$2,IF($A354=$A353,BD353,1))-AI354&lt;0),-1,MIN(1,IF($A354=$A353,BD353,1)-AI354+$D$2))</f>
        <v>1</v>
      </c>
      <c r="BF354" s="16">
        <f t="shared" si="233"/>
        <v>0.19596031081758858</v>
      </c>
      <c r="BG354" s="16">
        <f t="shared" si="234"/>
        <v>0.21844636935459236</v>
      </c>
      <c r="BH354" s="16">
        <f t="shared" si="235"/>
        <v>0.14609696635987124</v>
      </c>
      <c r="BI354" s="16">
        <f t="shared" si="236"/>
        <v>0.13198015366034541</v>
      </c>
      <c r="BJ354" s="16">
        <f t="shared" si="237"/>
        <v>8.3367914198418713E-2</v>
      </c>
      <c r="BK354" s="16">
        <f t="shared" si="238"/>
        <v>0.10640640223148412</v>
      </c>
      <c r="BL354" s="16">
        <f t="shared" si="239"/>
        <v>0.21963504743569431</v>
      </c>
      <c r="BM354" s="16">
        <f t="shared" si="240"/>
        <v>3.8988008374820568E-3</v>
      </c>
      <c r="BN354" s="16">
        <f t="shared" si="241"/>
        <v>0.14537706087090876</v>
      </c>
      <c r="BO354" s="16">
        <f t="shared" si="242"/>
        <v>0.29209790661993401</v>
      </c>
      <c r="BP354" s="16">
        <f t="shared" si="243"/>
        <v>0.31584545163401867</v>
      </c>
      <c r="BQ354" s="16">
        <f t="shared" si="244"/>
        <v>0.1000007994126096</v>
      </c>
      <c r="BR354" s="16">
        <f t="shared" si="245"/>
        <v>0.13164487759885393</v>
      </c>
      <c r="BS354" s="16">
        <f t="shared" si="246"/>
        <v>2.9803550189863123E-2</v>
      </c>
      <c r="BT354" s="16">
        <f t="shared" si="247"/>
        <v>0.13492040904978705</v>
      </c>
      <c r="BU354" s="16">
        <f t="shared" si="248"/>
        <v>0.11703687414398131</v>
      </c>
      <c r="BV354" s="16">
        <f t="shared" si="249"/>
        <v>0.14633353213781661</v>
      </c>
      <c r="BW354" s="16">
        <f t="shared" si="250"/>
        <v>7.5588015111767173E-2</v>
      </c>
      <c r="BX354" s="16">
        <f t="shared" si="251"/>
        <v>8.0345659937185704E-2</v>
      </c>
      <c r="BY354" s="16">
        <f t="shared" si="252"/>
        <v>5.9014643151272549E-2</v>
      </c>
      <c r="CA354" s="16" t="str">
        <f t="shared" si="273"/>
        <v/>
      </c>
      <c r="CB354" s="16" t="str">
        <f t="shared" si="254"/>
        <v/>
      </c>
      <c r="CC354" s="16" t="str">
        <f t="shared" si="255"/>
        <v/>
      </c>
      <c r="CD354" s="16" t="str">
        <f t="shared" si="256"/>
        <v/>
      </c>
      <c r="CE354" s="16" t="str">
        <f t="shared" si="257"/>
        <v/>
      </c>
      <c r="CF354" s="16" t="str">
        <f t="shared" si="258"/>
        <v/>
      </c>
      <c r="CG354" s="16" t="str">
        <f t="shared" si="259"/>
        <v/>
      </c>
      <c r="CH354" s="16" t="str">
        <f t="shared" si="260"/>
        <v/>
      </c>
      <c r="CI354" s="16" t="str">
        <f t="shared" si="261"/>
        <v/>
      </c>
      <c r="CJ354" s="16" t="str">
        <f t="shared" si="262"/>
        <v/>
      </c>
      <c r="CK354" s="16" t="str">
        <f t="shared" si="263"/>
        <v/>
      </c>
      <c r="CL354" s="16" t="str">
        <f t="shared" si="264"/>
        <v/>
      </c>
      <c r="CM354" s="16" t="str">
        <f t="shared" si="265"/>
        <v/>
      </c>
      <c r="CN354" s="16" t="str">
        <f t="shared" si="266"/>
        <v/>
      </c>
      <c r="CO354" s="16" t="str">
        <f t="shared" si="267"/>
        <v/>
      </c>
      <c r="CP354" s="16" t="str">
        <f t="shared" si="268"/>
        <v/>
      </c>
      <c r="CQ354" s="16" t="str">
        <f t="shared" si="269"/>
        <v/>
      </c>
      <c r="CR354" s="16" t="str">
        <f t="shared" si="270"/>
        <v/>
      </c>
      <c r="CS354" s="16" t="str">
        <f t="shared" si="271"/>
        <v/>
      </c>
      <c r="CT354" s="16" t="str">
        <f t="shared" si="272"/>
        <v/>
      </c>
    </row>
    <row r="355" spans="1:99" x14ac:dyDescent="0.25">
      <c r="A355" s="13"/>
      <c r="B355" s="14"/>
      <c r="C355" s="15" t="str" cm="1">
        <f t="array" ref="C355">IF(B355="","",INDEX('Exercise list'!$C$5:$C$102,B355))</f>
        <v/>
      </c>
      <c r="D355" s="12" t="str">
        <f t="shared" ref="D355:D418" si="274">IF(C355="","",MIN(AK355:BD355))</f>
        <v/>
      </c>
      <c r="E355" s="107" t="str">
        <f t="shared" si="253"/>
        <v/>
      </c>
      <c r="F355" s="63" t="str" cm="1">
        <f t="array" ref="F355">IF(B355="","",0.1+IFERROR(INDEX($F$6:$F354,SUMPRODUCT(MAX(ROW($C$6:$C354)*($C355=$C$6:$C354))-ROW($A$5)))*0.9^($A355-INDEX($A$6:A354,SUMPRODUCT(MAX(ROW($C$6:$C354)*($C355=$C$6:$C354))-ROW($A$5)))),0))</f>
        <v/>
      </c>
      <c r="G355" s="64" t="e">
        <f>INDEX('Exercise list'!$Y$5:$Y$102,MATCH(C355,'Exercise list'!$C$5:$C$102,0))</f>
        <v>#N/A</v>
      </c>
      <c r="H355" s="115">
        <f t="shared" ref="H355:H418" si="275">SQRT(SUMPRODUCT(CA355:CT355,CA355:CT355)/20)</f>
        <v>0</v>
      </c>
      <c r="I355" s="6">
        <f t="shared" ref="I355:I418" si="276">IF(A355&gt;A354,1,IF(A355&gt;A353,2,IF(A355&gt;A352,3,IF(A355&gt;A351,4,5))))</f>
        <v>5</v>
      </c>
      <c r="J355" s="6" t="str" cm="1">
        <f t="array" ref="J355">IF(B355="","",INDEX('Exercise list'!$D$5:$D$102,B355))</f>
        <v/>
      </c>
      <c r="K355" s="12"/>
      <c r="L355" s="74" t="str" cm="1">
        <f t="array" ref="L355">IF(K355="","",INDEX('Exercise list'!$C$5:$C$102,K355))</f>
        <v/>
      </c>
      <c r="M355" s="6"/>
      <c r="N355" s="75" t="str" cm="1">
        <f t="array" ref="N355">IF(M355="","",INDEX('Exercise list'!$C$5:$C$102,M355))</f>
        <v/>
      </c>
      <c r="P355">
        <f>IFERROR(INDEX('Exercise list'!$E$5:$X$102,MATCH($C355,'Exercise list'!$C$5:$C$102,0),MATCH(P$5,'Exercise list'!$E$4:$X$4,0)),0)</f>
        <v>0</v>
      </c>
      <c r="Q355">
        <f>IFERROR(INDEX('Exercise list'!$E$5:$X$102,MATCH($C355,'Exercise list'!$C$5:$C$102,0),MATCH(Q$5,'Exercise list'!$E$4:$X$4,0)),0)</f>
        <v>0</v>
      </c>
      <c r="R355">
        <f>IFERROR(INDEX('Exercise list'!$E$5:$X$102,MATCH($C355,'Exercise list'!$C$5:$C$102,0),MATCH(R$5,'Exercise list'!$E$4:$X$4,0)),0)</f>
        <v>0</v>
      </c>
      <c r="S355">
        <f>IFERROR(INDEX('Exercise list'!$E$5:$X$102,MATCH($C355,'Exercise list'!$C$5:$C$102,0),MATCH(S$5,'Exercise list'!$E$4:$X$4,0)),0)</f>
        <v>0</v>
      </c>
      <c r="T355">
        <f>IFERROR(INDEX('Exercise list'!$E$5:$X$102,MATCH($C355,'Exercise list'!$C$5:$C$102,0),MATCH(T$5,'Exercise list'!$E$4:$X$4,0)),0)</f>
        <v>0</v>
      </c>
      <c r="U355">
        <f>IFERROR(INDEX('Exercise list'!$E$5:$X$102,MATCH($C355,'Exercise list'!$C$5:$C$102,0),MATCH(U$5,'Exercise list'!$E$4:$X$4,0)),0)</f>
        <v>0</v>
      </c>
      <c r="V355">
        <f>IFERROR(INDEX('Exercise list'!$E$5:$X$102,MATCH($C355,'Exercise list'!$C$5:$C$102,0),MATCH(V$5,'Exercise list'!$E$4:$X$4,0)),0)</f>
        <v>0</v>
      </c>
      <c r="W355">
        <f>IFERROR(INDEX('Exercise list'!$E$5:$X$102,MATCH($C355,'Exercise list'!$C$5:$C$102,0),MATCH(W$5,'Exercise list'!$E$4:$X$4,0)),0)</f>
        <v>0</v>
      </c>
      <c r="X355">
        <f>IFERROR(INDEX('Exercise list'!$E$5:$X$102,MATCH($C355,'Exercise list'!$C$5:$C$102,0),MATCH(X$5,'Exercise list'!$E$4:$X$4,0)),0)</f>
        <v>0</v>
      </c>
      <c r="Y355">
        <f>IFERROR(INDEX('Exercise list'!$E$5:$X$102,MATCH($C355,'Exercise list'!$C$5:$C$102,0),MATCH(Y$5,'Exercise list'!$E$4:$X$4,0)),0)</f>
        <v>0</v>
      </c>
      <c r="Z355">
        <f>IFERROR(INDEX('Exercise list'!$E$5:$X$102,MATCH($C355,'Exercise list'!$C$5:$C$102,0),MATCH(Z$5,'Exercise list'!$E$4:$X$4,0)),0)</f>
        <v>0</v>
      </c>
      <c r="AA355">
        <f>IFERROR(INDEX('Exercise list'!$E$5:$X$102,MATCH($C355,'Exercise list'!$C$5:$C$102,0),MATCH(AA$5,'Exercise list'!$E$4:$X$4,0)),0)</f>
        <v>0</v>
      </c>
      <c r="AB355">
        <f>IFERROR(INDEX('Exercise list'!$E$5:$X$102,MATCH($C355,'Exercise list'!$C$5:$C$102,0),MATCH(AB$5,'Exercise list'!$E$4:$X$4,0)),0)</f>
        <v>0</v>
      </c>
      <c r="AC355">
        <f>IFERROR(INDEX('Exercise list'!$E$5:$X$102,MATCH($C355,'Exercise list'!$C$5:$C$102,0),MATCH(AC$5,'Exercise list'!$E$4:$X$4,0)),0)</f>
        <v>0</v>
      </c>
      <c r="AD355">
        <f>IFERROR(INDEX('Exercise list'!$E$5:$X$102,MATCH($C355,'Exercise list'!$C$5:$C$102,0),MATCH(AD$5,'Exercise list'!$E$4:$X$4,0)),0)</f>
        <v>0</v>
      </c>
      <c r="AE355">
        <f>IFERROR(INDEX('Exercise list'!$E$5:$X$102,MATCH($C355,'Exercise list'!$C$5:$C$102,0),MATCH(AE$5,'Exercise list'!$E$4:$X$4,0)),0)</f>
        <v>0</v>
      </c>
      <c r="AF355">
        <f>IFERROR(INDEX('Exercise list'!$E$5:$X$102,MATCH($C355,'Exercise list'!$C$5:$C$102,0),MATCH(AF$5,'Exercise list'!$E$4:$X$4,0)),0)</f>
        <v>0</v>
      </c>
      <c r="AG355">
        <f>IFERROR(INDEX('Exercise list'!$E$5:$X$102,MATCH($C355,'Exercise list'!$C$5:$C$102,0),MATCH(AG$5,'Exercise list'!$E$4:$X$4,0)),0)</f>
        <v>0</v>
      </c>
      <c r="AH355">
        <f>IFERROR(INDEX('Exercise list'!$E$5:$X$102,MATCH($C355,'Exercise list'!$C$5:$C$102,0),MATCH(AH$5,'Exercise list'!$E$4:$X$4,0)),0)</f>
        <v>0</v>
      </c>
      <c r="AI355">
        <f>IFERROR(INDEX('Exercise list'!$E$5:$X$102,MATCH($C355,'Exercise list'!$C$5:$C$102,0),MATCH(AI$5,'Exercise list'!$E$4:$X$4,0)),0)</f>
        <v>0</v>
      </c>
      <c r="AK355">
        <f>IF(OR($J355=1,COUNTIFS($A$5:$A354,"&gt;="&amp;$A355-1,$A$5:$A354,"&lt;="&amp;$A355,$B$5:$B354,$B355)&gt;0,MIN(1-'Exercise list'!E$2,IF($A355=$A354,AK354,1))-P355&lt;0),-1,MIN(1,IF($A355=$A354,AK354,1)-P355+$D$2))</f>
        <v>1</v>
      </c>
      <c r="AL355">
        <f>IF(OR($J355=1,COUNTIFS($A$5:$A354,"&gt;="&amp;$A355-1,$A$5:$A354,"&lt;="&amp;$A355,$B$5:$B354,$B355)&gt;0,MIN(1-'Exercise list'!F$2,IF($A355=$A354,AL354,1))-Q355&lt;0),-1,MIN(1,IF($A355=$A354,AL354,1)-Q355+$D$2))</f>
        <v>1</v>
      </c>
      <c r="AM355">
        <f>IF(OR($J355=1,COUNTIFS($A$5:$A354,"&gt;="&amp;$A355-1,$A$5:$A354,"&lt;="&amp;$A355,$B$5:$B354,$B355)&gt;0,MIN(1-'Exercise list'!G$2,IF($A355=$A354,AM354,1))-R355&lt;0),-1,MIN(1,IF($A355=$A354,AM354,1)-R355+$D$2))</f>
        <v>1</v>
      </c>
      <c r="AN355">
        <f>IF(OR($J355=1,COUNTIFS($A$5:$A354,"&gt;="&amp;$A355-1,$A$5:$A354,"&lt;="&amp;$A355,$B$5:$B354,$B355)&gt;0,MIN(1-'Exercise list'!H$2,IF($A355=$A354,AN354,1))-S355&lt;0),-1,MIN(1,IF($A355=$A354,AN354,1)-S355+$D$2))</f>
        <v>1</v>
      </c>
      <c r="AO355">
        <f>IF(OR($J355=1,COUNTIFS($A$5:$A354,"&gt;="&amp;$A355-1,$A$5:$A354,"&lt;="&amp;$A355,$B$5:$B354,$B355)&gt;0,MIN(1-'Exercise list'!I$2,IF($A355=$A354,AO354,1))-T355&lt;0),-1,MIN(1,IF($A355=$A354,AO354,1)-T355+$D$2))</f>
        <v>1</v>
      </c>
      <c r="AP355">
        <f>IF(OR($J355=1,COUNTIFS($A$5:$A354,"&gt;="&amp;$A355-1,$A$5:$A354,"&lt;="&amp;$A355,$B$5:$B354,$B355)&gt;0,MIN(1-'Exercise list'!J$2,IF($A355=$A354,AP354,1))-U355&lt;0),-1,MIN(1,IF($A355=$A354,AP354,1)-U355+$D$2))</f>
        <v>1</v>
      </c>
      <c r="AQ355">
        <f>IF(OR($J355=1,COUNTIFS($A$5:$A354,"&gt;="&amp;$A355-1,$A$5:$A354,"&lt;="&amp;$A355,$B$5:$B354,$B355)&gt;0,MIN(1-'Exercise list'!K$2,IF($A355=$A354,AQ354,1))-V355&lt;0),-1,MIN(1,IF($A355=$A354,AQ354,1)-V355+$D$2))</f>
        <v>1</v>
      </c>
      <c r="AR355">
        <f>IF(OR($J355=1,COUNTIFS($A$5:$A354,"&gt;="&amp;$A355-1,$A$5:$A354,"&lt;="&amp;$A355,$B$5:$B354,$B355)&gt;0,MIN(1-'Exercise list'!L$2,IF($A355=$A354,AR354,1))-W355&lt;0),-1,MIN(1,IF($A355=$A354,AR354,1)-W355+$D$2))</f>
        <v>1</v>
      </c>
      <c r="AS355">
        <f>IF(OR($J355=1,COUNTIFS($A$5:$A354,"&gt;="&amp;$A355-1,$A$5:$A354,"&lt;="&amp;$A355,$B$5:$B354,$B355)&gt;0,MIN(1-'Exercise list'!M$2,IF($A355=$A354,AS354,1))-X355&lt;0),-1,MIN(1,IF($A355=$A354,AS354,1)-X355+$D$2))</f>
        <v>1</v>
      </c>
      <c r="AT355">
        <f>IF(OR($J355=1,COUNTIFS($A$5:$A354,"&gt;="&amp;$A355-1,$A$5:$A354,"&lt;="&amp;$A355,$B$5:$B354,$B355)&gt;0,MIN(1-'Exercise list'!N$2,IF($A355=$A354,AT354,1))-Y355&lt;0),-1,MIN(1,IF($A355=$A354,AT354,1)-Y355+$D$2))</f>
        <v>1</v>
      </c>
      <c r="AU355">
        <f>IF(OR($J355=1,COUNTIFS($A$5:$A354,"&gt;="&amp;$A355-1,$A$5:$A354,"&lt;="&amp;$A355,$B$5:$B354,$B355)&gt;0,MIN(1-'Exercise list'!O$2,IF($A355=$A354,AU354,1))-Z355&lt;0),-1,MIN(1,IF($A355=$A354,AU354,1)-Z355+$D$2))</f>
        <v>1</v>
      </c>
      <c r="AV355">
        <f>IF(OR($J355=1,COUNTIFS($A$5:$A354,"&gt;="&amp;$A355-1,$A$5:$A354,"&lt;="&amp;$A355,$B$5:$B354,$B355)&gt;0,MIN(1-'Exercise list'!P$2,IF($A355=$A354,AV354,1))-AA355&lt;0),-1,MIN(1,IF($A355=$A354,AV354,1)-AA355+$D$2))</f>
        <v>1</v>
      </c>
      <c r="AW355">
        <f>IF(OR($J355=1,COUNTIFS($A$5:$A354,"&gt;="&amp;$A355-1,$A$5:$A354,"&lt;="&amp;$A355,$B$5:$B354,$B355)&gt;0,MIN(1-'Exercise list'!Q$2,IF($A355=$A354,AW354,1))-AB355&lt;0),-1,MIN(1,IF($A355=$A354,AW354,1)-AB355+$D$2))</f>
        <v>1</v>
      </c>
      <c r="AX355">
        <f>IF(OR($J355=1,COUNTIFS($A$5:$A354,"&gt;="&amp;$A355-1,$A$5:$A354,"&lt;="&amp;$A355,$B$5:$B354,$B355)&gt;0,MIN(1-'Exercise list'!R$2,IF($A355=$A354,AX354,1))-AC355&lt;0),-1,MIN(1,IF($A355=$A354,AX354,1)-AC355+$D$2))</f>
        <v>1</v>
      </c>
      <c r="AY355">
        <f>IF(OR($J355=1,COUNTIFS($A$5:$A354,"&gt;="&amp;$A355-1,$A$5:$A354,"&lt;="&amp;$A355,$B$5:$B354,$B355)&gt;0,MIN(1-'Exercise list'!S$2,IF($A355=$A354,AY354,1))-AD355&lt;0),-1,MIN(1,IF($A355=$A354,AY354,1)-AD355+$D$2))</f>
        <v>1</v>
      </c>
      <c r="AZ355">
        <f>IF(OR($J355=1,COUNTIFS($A$5:$A354,"&gt;="&amp;$A355-1,$A$5:$A354,"&lt;="&amp;$A355,$B$5:$B354,$B355)&gt;0,MIN(1-'Exercise list'!T$2,IF($A355=$A354,AZ354,1))-AE355&lt;0),-1,MIN(1,IF($A355=$A354,AZ354,1)-AE355+$D$2))</f>
        <v>1</v>
      </c>
      <c r="BA355">
        <f>IF(OR($J355=1,COUNTIFS($A$5:$A354,"&gt;="&amp;$A355-1,$A$5:$A354,"&lt;="&amp;$A355,$B$5:$B354,$B355)&gt;0,MIN(1-'Exercise list'!U$2,IF($A355=$A354,BA354,1))-AF355&lt;0),-1,MIN(1,IF($A355=$A354,BA354,1)-AF355+$D$2))</f>
        <v>1</v>
      </c>
      <c r="BB355">
        <f>IF(OR($J355=1,COUNTIFS($A$5:$A354,"&gt;="&amp;$A355-1,$A$5:$A354,"&lt;="&amp;$A355,$B$5:$B354,$B355)&gt;0,MIN(1-'Exercise list'!V$2,IF($A355=$A354,BB354,1))-AG355&lt;0),-1,MIN(1,IF($A355=$A354,BB354,1)-AG355+$D$2))</f>
        <v>1</v>
      </c>
      <c r="BC355">
        <f>IF(OR($J355=1,COUNTIFS($A$5:$A354,"&gt;="&amp;$A355-1,$A$5:$A354,"&lt;="&amp;$A355,$B$5:$B354,$B355)&gt;0,MIN(1-'Exercise list'!W$2,IF($A355=$A354,BC354,1))-AH355&lt;0),-1,MIN(1,IF($A355=$A354,BC354,1)-AH355+$D$2))</f>
        <v>1</v>
      </c>
      <c r="BD355">
        <f>IF(OR($J355=1,COUNTIFS($A$5:$A354,"&gt;="&amp;$A355-1,$A$5:$A354,"&lt;="&amp;$A355,$B$5:$B354,$B355)&gt;0,MIN(1-'Exercise list'!X$2,IF($A355=$A354,BD354,1))-AI355&lt;0),-1,MIN(1,IF($A355=$A354,BD354,1)-AI355+$D$2))</f>
        <v>1</v>
      </c>
      <c r="BF355" s="16">
        <f t="shared" ref="BF355:BF418" si="277">IF($B355&lt;6,BF354,$AN$2*P355+(1-$AN$2)*BF354)</f>
        <v>0.19596031081758858</v>
      </c>
      <c r="BG355" s="16">
        <f t="shared" ref="BG355:BG418" si="278">IF($B355&lt;6,BG354,$AN$2*Q355+(1-$AN$2)*BG354)</f>
        <v>0.21844636935459236</v>
      </c>
      <c r="BH355" s="16">
        <f t="shared" ref="BH355:BH418" si="279">IF($B355&lt;6,BH354,$AN$2*R355+(1-$AN$2)*BH354)</f>
        <v>0.14609696635987124</v>
      </c>
      <c r="BI355" s="16">
        <f t="shared" ref="BI355:BI418" si="280">IF($B355&lt;6,BI354,$AN$2*S355+(1-$AN$2)*BI354)</f>
        <v>0.13198015366034541</v>
      </c>
      <c r="BJ355" s="16">
        <f t="shared" ref="BJ355:BJ418" si="281">IF($B355&lt;6,BJ354,$AN$2*T355+(1-$AN$2)*BJ354)</f>
        <v>8.3367914198418713E-2</v>
      </c>
      <c r="BK355" s="16">
        <f t="shared" ref="BK355:BK418" si="282">IF($B355&lt;6,BK354,$AN$2*U355+(1-$AN$2)*BK354)</f>
        <v>0.10640640223148412</v>
      </c>
      <c r="BL355" s="16">
        <f t="shared" ref="BL355:BL418" si="283">IF($B355&lt;6,BL354,$AN$2*V355+(1-$AN$2)*BL354)</f>
        <v>0.21963504743569431</v>
      </c>
      <c r="BM355" s="16">
        <f t="shared" ref="BM355:BM418" si="284">IF($B355&lt;6,BM354,$AN$2*W355+(1-$AN$2)*BM354)</f>
        <v>3.8988008374820568E-3</v>
      </c>
      <c r="BN355" s="16">
        <f t="shared" ref="BN355:BN418" si="285">IF($B355&lt;6,BN354,$AN$2*X355+(1-$AN$2)*BN354)</f>
        <v>0.14537706087090876</v>
      </c>
      <c r="BO355" s="16">
        <f t="shared" ref="BO355:BO418" si="286">IF($B355&lt;6,BO354,$AN$2*Y355+(1-$AN$2)*BO354)</f>
        <v>0.29209790661993401</v>
      </c>
      <c r="BP355" s="16">
        <f t="shared" ref="BP355:BP418" si="287">IF($B355&lt;6,BP354,$AN$2*Z355+(1-$AN$2)*BP354)</f>
        <v>0.31584545163401867</v>
      </c>
      <c r="BQ355" s="16">
        <f t="shared" ref="BQ355:BQ418" si="288">IF($B355&lt;6,BQ354,$AN$2*AA355+(1-$AN$2)*BQ354)</f>
        <v>0.1000007994126096</v>
      </c>
      <c r="BR355" s="16">
        <f t="shared" ref="BR355:BR418" si="289">IF($B355&lt;6,BR354,$AN$2*AB355+(1-$AN$2)*BR354)</f>
        <v>0.13164487759885393</v>
      </c>
      <c r="BS355" s="16">
        <f t="shared" ref="BS355:BS418" si="290">IF($B355&lt;6,BS354,$AN$2*AC355+(1-$AN$2)*BS354)</f>
        <v>2.9803550189863123E-2</v>
      </c>
      <c r="BT355" s="16">
        <f t="shared" ref="BT355:BT418" si="291">IF($B355&lt;6,BT354,$AN$2*AD355+(1-$AN$2)*BT354)</f>
        <v>0.13492040904978705</v>
      </c>
      <c r="BU355" s="16">
        <f t="shared" ref="BU355:BU418" si="292">IF($B355&lt;6,BU354,$AN$2*AE355+(1-$AN$2)*BU354)</f>
        <v>0.11703687414398131</v>
      </c>
      <c r="BV355" s="16">
        <f t="shared" ref="BV355:BV418" si="293">IF($B355&lt;6,BV354,$AN$2*AF355+(1-$AN$2)*BV354)</f>
        <v>0.14633353213781661</v>
      </c>
      <c r="BW355" s="16">
        <f t="shared" ref="BW355:BW418" si="294">IF($B355&lt;6,BW354,$AN$2*AG355+(1-$AN$2)*BW354)</f>
        <v>7.5588015111767173E-2</v>
      </c>
      <c r="BX355" s="16">
        <f t="shared" ref="BX355:BX418" si="295">IF($B355&lt;6,BX354,$AN$2*AH355+(1-$AN$2)*BX354)</f>
        <v>8.0345659937185704E-2</v>
      </c>
      <c r="BY355" s="16">
        <f t="shared" ref="BY355:BY418" si="296">IF($B355&lt;6,BY354,$AN$2*AI355+(1-$AN$2)*BY354)</f>
        <v>5.9014643151272549E-2</v>
      </c>
      <c r="CA355" s="16" t="str">
        <f t="shared" si="273"/>
        <v/>
      </c>
      <c r="CB355" s="16" t="str">
        <f t="shared" si="254"/>
        <v/>
      </c>
      <c r="CC355" s="16" t="str">
        <f t="shared" si="255"/>
        <v/>
      </c>
      <c r="CD355" s="16" t="str">
        <f t="shared" si="256"/>
        <v/>
      </c>
      <c r="CE355" s="16" t="str">
        <f t="shared" si="257"/>
        <v/>
      </c>
      <c r="CF355" s="16" t="str">
        <f t="shared" si="258"/>
        <v/>
      </c>
      <c r="CG355" s="16" t="str">
        <f t="shared" si="259"/>
        <v/>
      </c>
      <c r="CH355" s="16" t="str">
        <f t="shared" si="260"/>
        <v/>
      </c>
      <c r="CI355" s="16" t="str">
        <f t="shared" si="261"/>
        <v/>
      </c>
      <c r="CJ355" s="16" t="str">
        <f t="shared" si="262"/>
        <v/>
      </c>
      <c r="CK355" s="16" t="str">
        <f t="shared" si="263"/>
        <v/>
      </c>
      <c r="CL355" s="16" t="str">
        <f t="shared" si="264"/>
        <v/>
      </c>
      <c r="CM355" s="16" t="str">
        <f t="shared" si="265"/>
        <v/>
      </c>
      <c r="CN355" s="16" t="str">
        <f t="shared" si="266"/>
        <v/>
      </c>
      <c r="CO355" s="16" t="str">
        <f t="shared" si="267"/>
        <v/>
      </c>
      <c r="CP355" s="16" t="str">
        <f t="shared" si="268"/>
        <v/>
      </c>
      <c r="CQ355" s="16" t="str">
        <f t="shared" si="269"/>
        <v/>
      </c>
      <c r="CR355" s="16" t="str">
        <f t="shared" si="270"/>
        <v/>
      </c>
      <c r="CS355" s="16" t="str">
        <f t="shared" si="271"/>
        <v/>
      </c>
      <c r="CT355" s="16" t="str">
        <f t="shared" si="272"/>
        <v/>
      </c>
    </row>
    <row r="356" spans="1:99" x14ac:dyDescent="0.25">
      <c r="A356" s="13"/>
      <c r="B356" s="14"/>
      <c r="C356" s="15" t="str" cm="1">
        <f t="array" ref="C356">IF(B356="","",INDEX('Exercise list'!$C$5:$C$102,B356))</f>
        <v/>
      </c>
      <c r="D356" s="12" t="str">
        <f t="shared" si="274"/>
        <v/>
      </c>
      <c r="E356" s="107" t="str">
        <f t="shared" ref="E356:E419" si="297">IF(C356="","",IFERROR(
(1+9*(F356-$F$3)/($F$4-$F$3))^$F$2*
IF(B356&lt;=5,1,
(1+9*(G356-$G$3)/($G$4-$G$3))^$G$2*
(1+9*(H356-$H$3)/($H$4-$H$3))^$H$2),
0))</f>
        <v/>
      </c>
      <c r="F356" s="63" t="str" cm="1">
        <f t="array" ref="F356">IF(B356="","",0.1+IFERROR(INDEX($F$6:$F355,SUMPRODUCT(MAX(ROW($C$6:$C355)*($C356=$C$6:$C355))-ROW($A$5)))*0.9^($A356-INDEX($A$6:A355,SUMPRODUCT(MAX(ROW($C$6:$C355)*($C356=$C$6:$C355))-ROW($A$5)))),0))</f>
        <v/>
      </c>
      <c r="G356" s="64" t="e">
        <f>INDEX('Exercise list'!$Y$5:$Y$102,MATCH(C356,'Exercise list'!$C$5:$C$102,0))</f>
        <v>#N/A</v>
      </c>
      <c r="H356" s="115">
        <f t="shared" si="275"/>
        <v>0</v>
      </c>
      <c r="I356" s="6">
        <f t="shared" si="276"/>
        <v>5</v>
      </c>
      <c r="J356" s="6" t="str" cm="1">
        <f t="array" ref="J356">IF(B356="","",INDEX('Exercise list'!$D$5:$D$102,B356))</f>
        <v/>
      </c>
      <c r="K356" s="12"/>
      <c r="L356" s="74" t="str" cm="1">
        <f t="array" ref="L356">IF(K356="","",INDEX('Exercise list'!$C$5:$C$102,K356))</f>
        <v/>
      </c>
      <c r="M356" s="6"/>
      <c r="N356" s="75" t="str" cm="1">
        <f t="array" ref="N356">IF(M356="","",INDEX('Exercise list'!$C$5:$C$102,M356))</f>
        <v/>
      </c>
      <c r="P356">
        <f>IFERROR(INDEX('Exercise list'!$E$5:$X$102,MATCH($C356,'Exercise list'!$C$5:$C$102,0),MATCH(P$5,'Exercise list'!$E$4:$X$4,0)),0)</f>
        <v>0</v>
      </c>
      <c r="Q356">
        <f>IFERROR(INDEX('Exercise list'!$E$5:$X$102,MATCH($C356,'Exercise list'!$C$5:$C$102,0),MATCH(Q$5,'Exercise list'!$E$4:$X$4,0)),0)</f>
        <v>0</v>
      </c>
      <c r="R356">
        <f>IFERROR(INDEX('Exercise list'!$E$5:$X$102,MATCH($C356,'Exercise list'!$C$5:$C$102,0),MATCH(R$5,'Exercise list'!$E$4:$X$4,0)),0)</f>
        <v>0</v>
      </c>
      <c r="S356">
        <f>IFERROR(INDEX('Exercise list'!$E$5:$X$102,MATCH($C356,'Exercise list'!$C$5:$C$102,0),MATCH(S$5,'Exercise list'!$E$4:$X$4,0)),0)</f>
        <v>0</v>
      </c>
      <c r="T356">
        <f>IFERROR(INDEX('Exercise list'!$E$5:$X$102,MATCH($C356,'Exercise list'!$C$5:$C$102,0),MATCH(T$5,'Exercise list'!$E$4:$X$4,0)),0)</f>
        <v>0</v>
      </c>
      <c r="U356">
        <f>IFERROR(INDEX('Exercise list'!$E$5:$X$102,MATCH($C356,'Exercise list'!$C$5:$C$102,0),MATCH(U$5,'Exercise list'!$E$4:$X$4,0)),0)</f>
        <v>0</v>
      </c>
      <c r="V356">
        <f>IFERROR(INDEX('Exercise list'!$E$5:$X$102,MATCH($C356,'Exercise list'!$C$5:$C$102,0),MATCH(V$5,'Exercise list'!$E$4:$X$4,0)),0)</f>
        <v>0</v>
      </c>
      <c r="W356">
        <f>IFERROR(INDEX('Exercise list'!$E$5:$X$102,MATCH($C356,'Exercise list'!$C$5:$C$102,0),MATCH(W$5,'Exercise list'!$E$4:$X$4,0)),0)</f>
        <v>0</v>
      </c>
      <c r="X356">
        <f>IFERROR(INDEX('Exercise list'!$E$5:$X$102,MATCH($C356,'Exercise list'!$C$5:$C$102,0),MATCH(X$5,'Exercise list'!$E$4:$X$4,0)),0)</f>
        <v>0</v>
      </c>
      <c r="Y356">
        <f>IFERROR(INDEX('Exercise list'!$E$5:$X$102,MATCH($C356,'Exercise list'!$C$5:$C$102,0),MATCH(Y$5,'Exercise list'!$E$4:$X$4,0)),0)</f>
        <v>0</v>
      </c>
      <c r="Z356">
        <f>IFERROR(INDEX('Exercise list'!$E$5:$X$102,MATCH($C356,'Exercise list'!$C$5:$C$102,0),MATCH(Z$5,'Exercise list'!$E$4:$X$4,0)),0)</f>
        <v>0</v>
      </c>
      <c r="AA356">
        <f>IFERROR(INDEX('Exercise list'!$E$5:$X$102,MATCH($C356,'Exercise list'!$C$5:$C$102,0),MATCH(AA$5,'Exercise list'!$E$4:$X$4,0)),0)</f>
        <v>0</v>
      </c>
      <c r="AB356">
        <f>IFERROR(INDEX('Exercise list'!$E$5:$X$102,MATCH($C356,'Exercise list'!$C$5:$C$102,0),MATCH(AB$5,'Exercise list'!$E$4:$X$4,0)),0)</f>
        <v>0</v>
      </c>
      <c r="AC356">
        <f>IFERROR(INDEX('Exercise list'!$E$5:$X$102,MATCH($C356,'Exercise list'!$C$5:$C$102,0),MATCH(AC$5,'Exercise list'!$E$4:$X$4,0)),0)</f>
        <v>0</v>
      </c>
      <c r="AD356">
        <f>IFERROR(INDEX('Exercise list'!$E$5:$X$102,MATCH($C356,'Exercise list'!$C$5:$C$102,0),MATCH(AD$5,'Exercise list'!$E$4:$X$4,0)),0)</f>
        <v>0</v>
      </c>
      <c r="AE356">
        <f>IFERROR(INDEX('Exercise list'!$E$5:$X$102,MATCH($C356,'Exercise list'!$C$5:$C$102,0),MATCH(AE$5,'Exercise list'!$E$4:$X$4,0)),0)</f>
        <v>0</v>
      </c>
      <c r="AF356">
        <f>IFERROR(INDEX('Exercise list'!$E$5:$X$102,MATCH($C356,'Exercise list'!$C$5:$C$102,0),MATCH(AF$5,'Exercise list'!$E$4:$X$4,0)),0)</f>
        <v>0</v>
      </c>
      <c r="AG356">
        <f>IFERROR(INDEX('Exercise list'!$E$5:$X$102,MATCH($C356,'Exercise list'!$C$5:$C$102,0),MATCH(AG$5,'Exercise list'!$E$4:$X$4,0)),0)</f>
        <v>0</v>
      </c>
      <c r="AH356">
        <f>IFERROR(INDEX('Exercise list'!$E$5:$X$102,MATCH($C356,'Exercise list'!$C$5:$C$102,0),MATCH(AH$5,'Exercise list'!$E$4:$X$4,0)),0)</f>
        <v>0</v>
      </c>
      <c r="AI356">
        <f>IFERROR(INDEX('Exercise list'!$E$5:$X$102,MATCH($C356,'Exercise list'!$C$5:$C$102,0),MATCH(AI$5,'Exercise list'!$E$4:$X$4,0)),0)</f>
        <v>0</v>
      </c>
      <c r="AK356">
        <f>IF(OR($J356=1,COUNTIFS($A$5:$A355,"&gt;="&amp;$A356-1,$A$5:$A355,"&lt;="&amp;$A356,$B$5:$B355,$B356)&gt;0,MIN(1-'Exercise list'!E$2,IF($A356=$A355,AK355,1))-P356&lt;0),-1,MIN(1,IF($A356=$A355,AK355,1)-P356+$D$2))</f>
        <v>1</v>
      </c>
      <c r="AL356">
        <f>IF(OR($J356=1,COUNTIFS($A$5:$A355,"&gt;="&amp;$A356-1,$A$5:$A355,"&lt;="&amp;$A356,$B$5:$B355,$B356)&gt;0,MIN(1-'Exercise list'!F$2,IF($A356=$A355,AL355,1))-Q356&lt;0),-1,MIN(1,IF($A356=$A355,AL355,1)-Q356+$D$2))</f>
        <v>1</v>
      </c>
      <c r="AM356">
        <f>IF(OR($J356=1,COUNTIFS($A$5:$A355,"&gt;="&amp;$A356-1,$A$5:$A355,"&lt;="&amp;$A356,$B$5:$B355,$B356)&gt;0,MIN(1-'Exercise list'!G$2,IF($A356=$A355,AM355,1))-R356&lt;0),-1,MIN(1,IF($A356=$A355,AM355,1)-R356+$D$2))</f>
        <v>1</v>
      </c>
      <c r="AN356">
        <f>IF(OR($J356=1,COUNTIFS($A$5:$A355,"&gt;="&amp;$A356-1,$A$5:$A355,"&lt;="&amp;$A356,$B$5:$B355,$B356)&gt;0,MIN(1-'Exercise list'!H$2,IF($A356=$A355,AN355,1))-S356&lt;0),-1,MIN(1,IF($A356=$A355,AN355,1)-S356+$D$2))</f>
        <v>1</v>
      </c>
      <c r="AO356">
        <f>IF(OR($J356=1,COUNTIFS($A$5:$A355,"&gt;="&amp;$A356-1,$A$5:$A355,"&lt;="&amp;$A356,$B$5:$B355,$B356)&gt;0,MIN(1-'Exercise list'!I$2,IF($A356=$A355,AO355,1))-T356&lt;0),-1,MIN(1,IF($A356=$A355,AO355,1)-T356+$D$2))</f>
        <v>1</v>
      </c>
      <c r="AP356">
        <f>IF(OR($J356=1,COUNTIFS($A$5:$A355,"&gt;="&amp;$A356-1,$A$5:$A355,"&lt;="&amp;$A356,$B$5:$B355,$B356)&gt;0,MIN(1-'Exercise list'!J$2,IF($A356=$A355,AP355,1))-U356&lt;0),-1,MIN(1,IF($A356=$A355,AP355,1)-U356+$D$2))</f>
        <v>1</v>
      </c>
      <c r="AQ356">
        <f>IF(OR($J356=1,COUNTIFS($A$5:$A355,"&gt;="&amp;$A356-1,$A$5:$A355,"&lt;="&amp;$A356,$B$5:$B355,$B356)&gt;0,MIN(1-'Exercise list'!K$2,IF($A356=$A355,AQ355,1))-V356&lt;0),-1,MIN(1,IF($A356=$A355,AQ355,1)-V356+$D$2))</f>
        <v>1</v>
      </c>
      <c r="AR356">
        <f>IF(OR($J356=1,COUNTIFS($A$5:$A355,"&gt;="&amp;$A356-1,$A$5:$A355,"&lt;="&amp;$A356,$B$5:$B355,$B356)&gt;0,MIN(1-'Exercise list'!L$2,IF($A356=$A355,AR355,1))-W356&lt;0),-1,MIN(1,IF($A356=$A355,AR355,1)-W356+$D$2))</f>
        <v>1</v>
      </c>
      <c r="AS356">
        <f>IF(OR($J356=1,COUNTIFS($A$5:$A355,"&gt;="&amp;$A356-1,$A$5:$A355,"&lt;="&amp;$A356,$B$5:$B355,$B356)&gt;0,MIN(1-'Exercise list'!M$2,IF($A356=$A355,AS355,1))-X356&lt;0),-1,MIN(1,IF($A356=$A355,AS355,1)-X356+$D$2))</f>
        <v>1</v>
      </c>
      <c r="AT356">
        <f>IF(OR($J356=1,COUNTIFS($A$5:$A355,"&gt;="&amp;$A356-1,$A$5:$A355,"&lt;="&amp;$A356,$B$5:$B355,$B356)&gt;0,MIN(1-'Exercise list'!N$2,IF($A356=$A355,AT355,1))-Y356&lt;0),-1,MIN(1,IF($A356=$A355,AT355,1)-Y356+$D$2))</f>
        <v>1</v>
      </c>
      <c r="AU356">
        <f>IF(OR($J356=1,COUNTIFS($A$5:$A355,"&gt;="&amp;$A356-1,$A$5:$A355,"&lt;="&amp;$A356,$B$5:$B355,$B356)&gt;0,MIN(1-'Exercise list'!O$2,IF($A356=$A355,AU355,1))-Z356&lt;0),-1,MIN(1,IF($A356=$A355,AU355,1)-Z356+$D$2))</f>
        <v>1</v>
      </c>
      <c r="AV356">
        <f>IF(OR($J356=1,COUNTIFS($A$5:$A355,"&gt;="&amp;$A356-1,$A$5:$A355,"&lt;="&amp;$A356,$B$5:$B355,$B356)&gt;0,MIN(1-'Exercise list'!P$2,IF($A356=$A355,AV355,1))-AA356&lt;0),-1,MIN(1,IF($A356=$A355,AV355,1)-AA356+$D$2))</f>
        <v>1</v>
      </c>
      <c r="AW356">
        <f>IF(OR($J356=1,COUNTIFS($A$5:$A355,"&gt;="&amp;$A356-1,$A$5:$A355,"&lt;="&amp;$A356,$B$5:$B355,$B356)&gt;0,MIN(1-'Exercise list'!Q$2,IF($A356=$A355,AW355,1))-AB356&lt;0),-1,MIN(1,IF($A356=$A355,AW355,1)-AB356+$D$2))</f>
        <v>1</v>
      </c>
      <c r="AX356">
        <f>IF(OR($J356=1,COUNTIFS($A$5:$A355,"&gt;="&amp;$A356-1,$A$5:$A355,"&lt;="&amp;$A356,$B$5:$B355,$B356)&gt;0,MIN(1-'Exercise list'!R$2,IF($A356=$A355,AX355,1))-AC356&lt;0),-1,MIN(1,IF($A356=$A355,AX355,1)-AC356+$D$2))</f>
        <v>1</v>
      </c>
      <c r="AY356">
        <f>IF(OR($J356=1,COUNTIFS($A$5:$A355,"&gt;="&amp;$A356-1,$A$5:$A355,"&lt;="&amp;$A356,$B$5:$B355,$B356)&gt;0,MIN(1-'Exercise list'!S$2,IF($A356=$A355,AY355,1))-AD356&lt;0),-1,MIN(1,IF($A356=$A355,AY355,1)-AD356+$D$2))</f>
        <v>1</v>
      </c>
      <c r="AZ356">
        <f>IF(OR($J356=1,COUNTIFS($A$5:$A355,"&gt;="&amp;$A356-1,$A$5:$A355,"&lt;="&amp;$A356,$B$5:$B355,$B356)&gt;0,MIN(1-'Exercise list'!T$2,IF($A356=$A355,AZ355,1))-AE356&lt;0),-1,MIN(1,IF($A356=$A355,AZ355,1)-AE356+$D$2))</f>
        <v>1</v>
      </c>
      <c r="BA356">
        <f>IF(OR($J356=1,COUNTIFS($A$5:$A355,"&gt;="&amp;$A356-1,$A$5:$A355,"&lt;="&amp;$A356,$B$5:$B355,$B356)&gt;0,MIN(1-'Exercise list'!U$2,IF($A356=$A355,BA355,1))-AF356&lt;0),-1,MIN(1,IF($A356=$A355,BA355,1)-AF356+$D$2))</f>
        <v>1</v>
      </c>
      <c r="BB356">
        <f>IF(OR($J356=1,COUNTIFS($A$5:$A355,"&gt;="&amp;$A356-1,$A$5:$A355,"&lt;="&amp;$A356,$B$5:$B355,$B356)&gt;0,MIN(1-'Exercise list'!V$2,IF($A356=$A355,BB355,1))-AG356&lt;0),-1,MIN(1,IF($A356=$A355,BB355,1)-AG356+$D$2))</f>
        <v>1</v>
      </c>
      <c r="BC356">
        <f>IF(OR($J356=1,COUNTIFS($A$5:$A355,"&gt;="&amp;$A356-1,$A$5:$A355,"&lt;="&amp;$A356,$B$5:$B355,$B356)&gt;0,MIN(1-'Exercise list'!W$2,IF($A356=$A355,BC355,1))-AH356&lt;0),-1,MIN(1,IF($A356=$A355,BC355,1)-AH356+$D$2))</f>
        <v>1</v>
      </c>
      <c r="BD356">
        <f>IF(OR($J356=1,COUNTIFS($A$5:$A355,"&gt;="&amp;$A356-1,$A$5:$A355,"&lt;="&amp;$A356,$B$5:$B355,$B356)&gt;0,MIN(1-'Exercise list'!X$2,IF($A356=$A355,BD355,1))-AI356&lt;0),-1,MIN(1,IF($A356=$A355,BD355,1)-AI356+$D$2))</f>
        <v>1</v>
      </c>
      <c r="BF356" s="16">
        <f t="shared" si="277"/>
        <v>0.19596031081758858</v>
      </c>
      <c r="BG356" s="16">
        <f t="shared" si="278"/>
        <v>0.21844636935459236</v>
      </c>
      <c r="BH356" s="16">
        <f t="shared" si="279"/>
        <v>0.14609696635987124</v>
      </c>
      <c r="BI356" s="16">
        <f t="shared" si="280"/>
        <v>0.13198015366034541</v>
      </c>
      <c r="BJ356" s="16">
        <f t="shared" si="281"/>
        <v>8.3367914198418713E-2</v>
      </c>
      <c r="BK356" s="16">
        <f t="shared" si="282"/>
        <v>0.10640640223148412</v>
      </c>
      <c r="BL356" s="16">
        <f t="shared" si="283"/>
        <v>0.21963504743569431</v>
      </c>
      <c r="BM356" s="16">
        <f t="shared" si="284"/>
        <v>3.8988008374820568E-3</v>
      </c>
      <c r="BN356" s="16">
        <f t="shared" si="285"/>
        <v>0.14537706087090876</v>
      </c>
      <c r="BO356" s="16">
        <f t="shared" si="286"/>
        <v>0.29209790661993401</v>
      </c>
      <c r="BP356" s="16">
        <f t="shared" si="287"/>
        <v>0.31584545163401867</v>
      </c>
      <c r="BQ356" s="16">
        <f t="shared" si="288"/>
        <v>0.1000007994126096</v>
      </c>
      <c r="BR356" s="16">
        <f t="shared" si="289"/>
        <v>0.13164487759885393</v>
      </c>
      <c r="BS356" s="16">
        <f t="shared" si="290"/>
        <v>2.9803550189863123E-2</v>
      </c>
      <c r="BT356" s="16">
        <f t="shared" si="291"/>
        <v>0.13492040904978705</v>
      </c>
      <c r="BU356" s="16">
        <f t="shared" si="292"/>
        <v>0.11703687414398131</v>
      </c>
      <c r="BV356" s="16">
        <f t="shared" si="293"/>
        <v>0.14633353213781661</v>
      </c>
      <c r="BW356" s="16">
        <f t="shared" si="294"/>
        <v>7.5588015111767173E-2</v>
      </c>
      <c r="BX356" s="16">
        <f t="shared" si="295"/>
        <v>8.0345659937185704E-2</v>
      </c>
      <c r="BY356" s="16">
        <f t="shared" si="296"/>
        <v>5.9014643151272549E-2</v>
      </c>
      <c r="CA356" s="16" t="str">
        <f t="shared" si="273"/>
        <v/>
      </c>
      <c r="CB356" s="16" t="str">
        <f t="shared" si="254"/>
        <v/>
      </c>
      <c r="CC356" s="16" t="str">
        <f t="shared" si="255"/>
        <v/>
      </c>
      <c r="CD356" s="16" t="str">
        <f t="shared" si="256"/>
        <v/>
      </c>
      <c r="CE356" s="16" t="str">
        <f t="shared" si="257"/>
        <v/>
      </c>
      <c r="CF356" s="16" t="str">
        <f t="shared" si="258"/>
        <v/>
      </c>
      <c r="CG356" s="16" t="str">
        <f t="shared" si="259"/>
        <v/>
      </c>
      <c r="CH356" s="16" t="str">
        <f t="shared" si="260"/>
        <v/>
      </c>
      <c r="CI356" s="16" t="str">
        <f t="shared" si="261"/>
        <v/>
      </c>
      <c r="CJ356" s="16" t="str">
        <f t="shared" si="262"/>
        <v/>
      </c>
      <c r="CK356" s="16" t="str">
        <f t="shared" si="263"/>
        <v/>
      </c>
      <c r="CL356" s="16" t="str">
        <f t="shared" si="264"/>
        <v/>
      </c>
      <c r="CM356" s="16" t="str">
        <f t="shared" si="265"/>
        <v/>
      </c>
      <c r="CN356" s="16" t="str">
        <f t="shared" si="266"/>
        <v/>
      </c>
      <c r="CO356" s="16" t="str">
        <f t="shared" si="267"/>
        <v/>
      </c>
      <c r="CP356" s="16" t="str">
        <f t="shared" si="268"/>
        <v/>
      </c>
      <c r="CQ356" s="16" t="str">
        <f t="shared" si="269"/>
        <v/>
      </c>
      <c r="CR356" s="16" t="str">
        <f t="shared" si="270"/>
        <v/>
      </c>
      <c r="CS356" s="16" t="str">
        <f t="shared" si="271"/>
        <v/>
      </c>
      <c r="CT356" s="16" t="str">
        <f t="shared" si="272"/>
        <v/>
      </c>
    </row>
    <row r="357" spans="1:99" x14ac:dyDescent="0.25">
      <c r="A357" s="13"/>
      <c r="B357" s="14"/>
      <c r="C357" s="15" t="str" cm="1">
        <f t="array" ref="C357">IF(B357="","",INDEX('Exercise list'!$C$5:$C$102,B357))</f>
        <v/>
      </c>
      <c r="D357" s="12" t="str">
        <f t="shared" si="274"/>
        <v/>
      </c>
      <c r="E357" s="107" t="str">
        <f t="shared" si="297"/>
        <v/>
      </c>
      <c r="F357" s="63" t="str" cm="1">
        <f t="array" ref="F357">IF(B357="","",0.1+IFERROR(INDEX($F$6:$F356,SUMPRODUCT(MAX(ROW($C$6:$C356)*($C357=$C$6:$C356))-ROW($A$5)))*0.9^($A357-INDEX($A$6:A356,SUMPRODUCT(MAX(ROW($C$6:$C356)*($C357=$C$6:$C356))-ROW($A$5)))),0))</f>
        <v/>
      </c>
      <c r="G357" s="64" t="e">
        <f>INDEX('Exercise list'!$Y$5:$Y$102,MATCH(C357,'Exercise list'!$C$5:$C$102,0))</f>
        <v>#N/A</v>
      </c>
      <c r="H357" s="115">
        <f t="shared" si="275"/>
        <v>0</v>
      </c>
      <c r="I357" s="6">
        <f t="shared" si="276"/>
        <v>5</v>
      </c>
      <c r="J357" s="6" t="str" cm="1">
        <f t="array" ref="J357">IF(B357="","",INDEX('Exercise list'!$D$5:$D$102,B357))</f>
        <v/>
      </c>
      <c r="K357" s="12"/>
      <c r="L357" s="74" t="str" cm="1">
        <f t="array" ref="L357">IF(K357="","",INDEX('Exercise list'!$C$5:$C$102,K357))</f>
        <v/>
      </c>
      <c r="M357" s="6"/>
      <c r="N357" s="75" t="str" cm="1">
        <f t="array" ref="N357">IF(M357="","",INDEX('Exercise list'!$C$5:$C$102,M357))</f>
        <v/>
      </c>
      <c r="P357">
        <f>IFERROR(INDEX('Exercise list'!$E$5:$X$102,MATCH($C357,'Exercise list'!$C$5:$C$102,0),MATCH(P$5,'Exercise list'!$E$4:$X$4,0)),0)</f>
        <v>0</v>
      </c>
      <c r="Q357">
        <f>IFERROR(INDEX('Exercise list'!$E$5:$X$102,MATCH($C357,'Exercise list'!$C$5:$C$102,0),MATCH(Q$5,'Exercise list'!$E$4:$X$4,0)),0)</f>
        <v>0</v>
      </c>
      <c r="R357">
        <f>IFERROR(INDEX('Exercise list'!$E$5:$X$102,MATCH($C357,'Exercise list'!$C$5:$C$102,0),MATCH(R$5,'Exercise list'!$E$4:$X$4,0)),0)</f>
        <v>0</v>
      </c>
      <c r="S357">
        <f>IFERROR(INDEX('Exercise list'!$E$5:$X$102,MATCH($C357,'Exercise list'!$C$5:$C$102,0),MATCH(S$5,'Exercise list'!$E$4:$X$4,0)),0)</f>
        <v>0</v>
      </c>
      <c r="T357">
        <f>IFERROR(INDEX('Exercise list'!$E$5:$X$102,MATCH($C357,'Exercise list'!$C$5:$C$102,0),MATCH(T$5,'Exercise list'!$E$4:$X$4,0)),0)</f>
        <v>0</v>
      </c>
      <c r="U357">
        <f>IFERROR(INDEX('Exercise list'!$E$5:$X$102,MATCH($C357,'Exercise list'!$C$5:$C$102,0),MATCH(U$5,'Exercise list'!$E$4:$X$4,0)),0)</f>
        <v>0</v>
      </c>
      <c r="V357">
        <f>IFERROR(INDEX('Exercise list'!$E$5:$X$102,MATCH($C357,'Exercise list'!$C$5:$C$102,0),MATCH(V$5,'Exercise list'!$E$4:$X$4,0)),0)</f>
        <v>0</v>
      </c>
      <c r="W357">
        <f>IFERROR(INDEX('Exercise list'!$E$5:$X$102,MATCH($C357,'Exercise list'!$C$5:$C$102,0),MATCH(W$5,'Exercise list'!$E$4:$X$4,0)),0)</f>
        <v>0</v>
      </c>
      <c r="X357">
        <f>IFERROR(INDEX('Exercise list'!$E$5:$X$102,MATCH($C357,'Exercise list'!$C$5:$C$102,0),MATCH(X$5,'Exercise list'!$E$4:$X$4,0)),0)</f>
        <v>0</v>
      </c>
      <c r="Y357">
        <f>IFERROR(INDEX('Exercise list'!$E$5:$X$102,MATCH($C357,'Exercise list'!$C$5:$C$102,0),MATCH(Y$5,'Exercise list'!$E$4:$X$4,0)),0)</f>
        <v>0</v>
      </c>
      <c r="Z357">
        <f>IFERROR(INDEX('Exercise list'!$E$5:$X$102,MATCH($C357,'Exercise list'!$C$5:$C$102,0),MATCH(Z$5,'Exercise list'!$E$4:$X$4,0)),0)</f>
        <v>0</v>
      </c>
      <c r="AA357">
        <f>IFERROR(INDEX('Exercise list'!$E$5:$X$102,MATCH($C357,'Exercise list'!$C$5:$C$102,0),MATCH(AA$5,'Exercise list'!$E$4:$X$4,0)),0)</f>
        <v>0</v>
      </c>
      <c r="AB357">
        <f>IFERROR(INDEX('Exercise list'!$E$5:$X$102,MATCH($C357,'Exercise list'!$C$5:$C$102,0),MATCH(AB$5,'Exercise list'!$E$4:$X$4,0)),0)</f>
        <v>0</v>
      </c>
      <c r="AC357">
        <f>IFERROR(INDEX('Exercise list'!$E$5:$X$102,MATCH($C357,'Exercise list'!$C$5:$C$102,0),MATCH(AC$5,'Exercise list'!$E$4:$X$4,0)),0)</f>
        <v>0</v>
      </c>
      <c r="AD357">
        <f>IFERROR(INDEX('Exercise list'!$E$5:$X$102,MATCH($C357,'Exercise list'!$C$5:$C$102,0),MATCH(AD$5,'Exercise list'!$E$4:$X$4,0)),0)</f>
        <v>0</v>
      </c>
      <c r="AE357">
        <f>IFERROR(INDEX('Exercise list'!$E$5:$X$102,MATCH($C357,'Exercise list'!$C$5:$C$102,0),MATCH(AE$5,'Exercise list'!$E$4:$X$4,0)),0)</f>
        <v>0</v>
      </c>
      <c r="AF357">
        <f>IFERROR(INDEX('Exercise list'!$E$5:$X$102,MATCH($C357,'Exercise list'!$C$5:$C$102,0),MATCH(AF$5,'Exercise list'!$E$4:$X$4,0)),0)</f>
        <v>0</v>
      </c>
      <c r="AG357">
        <f>IFERROR(INDEX('Exercise list'!$E$5:$X$102,MATCH($C357,'Exercise list'!$C$5:$C$102,0),MATCH(AG$5,'Exercise list'!$E$4:$X$4,0)),0)</f>
        <v>0</v>
      </c>
      <c r="AH357">
        <f>IFERROR(INDEX('Exercise list'!$E$5:$X$102,MATCH($C357,'Exercise list'!$C$5:$C$102,0),MATCH(AH$5,'Exercise list'!$E$4:$X$4,0)),0)</f>
        <v>0</v>
      </c>
      <c r="AI357">
        <f>IFERROR(INDEX('Exercise list'!$E$5:$X$102,MATCH($C357,'Exercise list'!$C$5:$C$102,0),MATCH(AI$5,'Exercise list'!$E$4:$X$4,0)),0)</f>
        <v>0</v>
      </c>
      <c r="AK357">
        <f>IF(OR($J357=1,COUNTIFS($A$5:$A356,"&gt;="&amp;$A357-1,$A$5:$A356,"&lt;="&amp;$A357,$B$5:$B356,$B357)&gt;0,MIN(1-'Exercise list'!E$2,IF($A357=$A356,AK356,1))-P357&lt;0),-1,MIN(1,IF($A357=$A356,AK356,1)-P357+$D$2))</f>
        <v>1</v>
      </c>
      <c r="AL357">
        <f>IF(OR($J357=1,COUNTIFS($A$5:$A356,"&gt;="&amp;$A357-1,$A$5:$A356,"&lt;="&amp;$A357,$B$5:$B356,$B357)&gt;0,MIN(1-'Exercise list'!F$2,IF($A357=$A356,AL356,1))-Q357&lt;0),-1,MIN(1,IF($A357=$A356,AL356,1)-Q357+$D$2))</f>
        <v>1</v>
      </c>
      <c r="AM357">
        <f>IF(OR($J357=1,COUNTIFS($A$5:$A356,"&gt;="&amp;$A357-1,$A$5:$A356,"&lt;="&amp;$A357,$B$5:$B356,$B357)&gt;0,MIN(1-'Exercise list'!G$2,IF($A357=$A356,AM356,1))-R357&lt;0),-1,MIN(1,IF($A357=$A356,AM356,1)-R357+$D$2))</f>
        <v>1</v>
      </c>
      <c r="AN357">
        <f>IF(OR($J357=1,COUNTIFS($A$5:$A356,"&gt;="&amp;$A357-1,$A$5:$A356,"&lt;="&amp;$A357,$B$5:$B356,$B357)&gt;0,MIN(1-'Exercise list'!H$2,IF($A357=$A356,AN356,1))-S357&lt;0),-1,MIN(1,IF($A357=$A356,AN356,1)-S357+$D$2))</f>
        <v>1</v>
      </c>
      <c r="AO357">
        <f>IF(OR($J357=1,COUNTIFS($A$5:$A356,"&gt;="&amp;$A357-1,$A$5:$A356,"&lt;="&amp;$A357,$B$5:$B356,$B357)&gt;0,MIN(1-'Exercise list'!I$2,IF($A357=$A356,AO356,1))-T357&lt;0),-1,MIN(1,IF($A357=$A356,AO356,1)-T357+$D$2))</f>
        <v>1</v>
      </c>
      <c r="AP357">
        <f>IF(OR($J357=1,COUNTIFS($A$5:$A356,"&gt;="&amp;$A357-1,$A$5:$A356,"&lt;="&amp;$A357,$B$5:$B356,$B357)&gt;0,MIN(1-'Exercise list'!J$2,IF($A357=$A356,AP356,1))-U357&lt;0),-1,MIN(1,IF($A357=$A356,AP356,1)-U357+$D$2))</f>
        <v>1</v>
      </c>
      <c r="AQ357">
        <f>IF(OR($J357=1,COUNTIFS($A$5:$A356,"&gt;="&amp;$A357-1,$A$5:$A356,"&lt;="&amp;$A357,$B$5:$B356,$B357)&gt;0,MIN(1-'Exercise list'!K$2,IF($A357=$A356,AQ356,1))-V357&lt;0),-1,MIN(1,IF($A357=$A356,AQ356,1)-V357+$D$2))</f>
        <v>1</v>
      </c>
      <c r="AR357">
        <f>IF(OR($J357=1,COUNTIFS($A$5:$A356,"&gt;="&amp;$A357-1,$A$5:$A356,"&lt;="&amp;$A357,$B$5:$B356,$B357)&gt;0,MIN(1-'Exercise list'!L$2,IF($A357=$A356,AR356,1))-W357&lt;0),-1,MIN(1,IF($A357=$A356,AR356,1)-W357+$D$2))</f>
        <v>1</v>
      </c>
      <c r="AS357">
        <f>IF(OR($J357=1,COUNTIFS($A$5:$A356,"&gt;="&amp;$A357-1,$A$5:$A356,"&lt;="&amp;$A357,$B$5:$B356,$B357)&gt;0,MIN(1-'Exercise list'!M$2,IF($A357=$A356,AS356,1))-X357&lt;0),-1,MIN(1,IF($A357=$A356,AS356,1)-X357+$D$2))</f>
        <v>1</v>
      </c>
      <c r="AT357">
        <f>IF(OR($J357=1,COUNTIFS($A$5:$A356,"&gt;="&amp;$A357-1,$A$5:$A356,"&lt;="&amp;$A357,$B$5:$B356,$B357)&gt;0,MIN(1-'Exercise list'!N$2,IF($A357=$A356,AT356,1))-Y357&lt;0),-1,MIN(1,IF($A357=$A356,AT356,1)-Y357+$D$2))</f>
        <v>1</v>
      </c>
      <c r="AU357">
        <f>IF(OR($J357=1,COUNTIFS($A$5:$A356,"&gt;="&amp;$A357-1,$A$5:$A356,"&lt;="&amp;$A357,$B$5:$B356,$B357)&gt;0,MIN(1-'Exercise list'!O$2,IF($A357=$A356,AU356,1))-Z357&lt;0),-1,MIN(1,IF($A357=$A356,AU356,1)-Z357+$D$2))</f>
        <v>1</v>
      </c>
      <c r="AV357">
        <f>IF(OR($J357=1,COUNTIFS($A$5:$A356,"&gt;="&amp;$A357-1,$A$5:$A356,"&lt;="&amp;$A357,$B$5:$B356,$B357)&gt;0,MIN(1-'Exercise list'!P$2,IF($A357=$A356,AV356,1))-AA357&lt;0),-1,MIN(1,IF($A357=$A356,AV356,1)-AA357+$D$2))</f>
        <v>1</v>
      </c>
      <c r="AW357">
        <f>IF(OR($J357=1,COUNTIFS($A$5:$A356,"&gt;="&amp;$A357-1,$A$5:$A356,"&lt;="&amp;$A357,$B$5:$B356,$B357)&gt;0,MIN(1-'Exercise list'!Q$2,IF($A357=$A356,AW356,1))-AB357&lt;0),-1,MIN(1,IF($A357=$A356,AW356,1)-AB357+$D$2))</f>
        <v>1</v>
      </c>
      <c r="AX357">
        <f>IF(OR($J357=1,COUNTIFS($A$5:$A356,"&gt;="&amp;$A357-1,$A$5:$A356,"&lt;="&amp;$A357,$B$5:$B356,$B357)&gt;0,MIN(1-'Exercise list'!R$2,IF($A357=$A356,AX356,1))-AC357&lt;0),-1,MIN(1,IF($A357=$A356,AX356,1)-AC357+$D$2))</f>
        <v>1</v>
      </c>
      <c r="AY357">
        <f>IF(OR($J357=1,COUNTIFS($A$5:$A356,"&gt;="&amp;$A357-1,$A$5:$A356,"&lt;="&amp;$A357,$B$5:$B356,$B357)&gt;0,MIN(1-'Exercise list'!S$2,IF($A357=$A356,AY356,1))-AD357&lt;0),-1,MIN(1,IF($A357=$A356,AY356,1)-AD357+$D$2))</f>
        <v>1</v>
      </c>
      <c r="AZ357">
        <f>IF(OR($J357=1,COUNTIFS($A$5:$A356,"&gt;="&amp;$A357-1,$A$5:$A356,"&lt;="&amp;$A357,$B$5:$B356,$B357)&gt;0,MIN(1-'Exercise list'!T$2,IF($A357=$A356,AZ356,1))-AE357&lt;0),-1,MIN(1,IF($A357=$A356,AZ356,1)-AE357+$D$2))</f>
        <v>1</v>
      </c>
      <c r="BA357">
        <f>IF(OR($J357=1,COUNTIFS($A$5:$A356,"&gt;="&amp;$A357-1,$A$5:$A356,"&lt;="&amp;$A357,$B$5:$B356,$B357)&gt;0,MIN(1-'Exercise list'!U$2,IF($A357=$A356,BA356,1))-AF357&lt;0),-1,MIN(1,IF($A357=$A356,BA356,1)-AF357+$D$2))</f>
        <v>1</v>
      </c>
      <c r="BB357">
        <f>IF(OR($J357=1,COUNTIFS($A$5:$A356,"&gt;="&amp;$A357-1,$A$5:$A356,"&lt;="&amp;$A357,$B$5:$B356,$B357)&gt;0,MIN(1-'Exercise list'!V$2,IF($A357=$A356,BB356,1))-AG357&lt;0),-1,MIN(1,IF($A357=$A356,BB356,1)-AG357+$D$2))</f>
        <v>1</v>
      </c>
      <c r="BC357">
        <f>IF(OR($J357=1,COUNTIFS($A$5:$A356,"&gt;="&amp;$A357-1,$A$5:$A356,"&lt;="&amp;$A357,$B$5:$B356,$B357)&gt;0,MIN(1-'Exercise list'!W$2,IF($A357=$A356,BC356,1))-AH357&lt;0),-1,MIN(1,IF($A357=$A356,BC356,1)-AH357+$D$2))</f>
        <v>1</v>
      </c>
      <c r="BD357">
        <f>IF(OR($J357=1,COUNTIFS($A$5:$A356,"&gt;="&amp;$A357-1,$A$5:$A356,"&lt;="&amp;$A357,$B$5:$B356,$B357)&gt;0,MIN(1-'Exercise list'!X$2,IF($A357=$A356,BD356,1))-AI357&lt;0),-1,MIN(1,IF($A357=$A356,BD356,1)-AI357+$D$2))</f>
        <v>1</v>
      </c>
      <c r="BF357" s="16">
        <f t="shared" si="277"/>
        <v>0.19596031081758858</v>
      </c>
      <c r="BG357" s="16">
        <f t="shared" si="278"/>
        <v>0.21844636935459236</v>
      </c>
      <c r="BH357" s="16">
        <f t="shared" si="279"/>
        <v>0.14609696635987124</v>
      </c>
      <c r="BI357" s="16">
        <f t="shared" si="280"/>
        <v>0.13198015366034541</v>
      </c>
      <c r="BJ357" s="16">
        <f t="shared" si="281"/>
        <v>8.3367914198418713E-2</v>
      </c>
      <c r="BK357" s="16">
        <f t="shared" si="282"/>
        <v>0.10640640223148412</v>
      </c>
      <c r="BL357" s="16">
        <f t="shared" si="283"/>
        <v>0.21963504743569431</v>
      </c>
      <c r="BM357" s="16">
        <f t="shared" si="284"/>
        <v>3.8988008374820568E-3</v>
      </c>
      <c r="BN357" s="16">
        <f t="shared" si="285"/>
        <v>0.14537706087090876</v>
      </c>
      <c r="BO357" s="16">
        <f t="shared" si="286"/>
        <v>0.29209790661993401</v>
      </c>
      <c r="BP357" s="16">
        <f t="shared" si="287"/>
        <v>0.31584545163401867</v>
      </c>
      <c r="BQ357" s="16">
        <f t="shared" si="288"/>
        <v>0.1000007994126096</v>
      </c>
      <c r="BR357" s="16">
        <f t="shared" si="289"/>
        <v>0.13164487759885393</v>
      </c>
      <c r="BS357" s="16">
        <f t="shared" si="290"/>
        <v>2.9803550189863123E-2</v>
      </c>
      <c r="BT357" s="16">
        <f t="shared" si="291"/>
        <v>0.13492040904978705</v>
      </c>
      <c r="BU357" s="16">
        <f t="shared" si="292"/>
        <v>0.11703687414398131</v>
      </c>
      <c r="BV357" s="16">
        <f t="shared" si="293"/>
        <v>0.14633353213781661</v>
      </c>
      <c r="BW357" s="16">
        <f t="shared" si="294"/>
        <v>7.5588015111767173E-2</v>
      </c>
      <c r="BX357" s="16">
        <f t="shared" si="295"/>
        <v>8.0345659937185704E-2</v>
      </c>
      <c r="BY357" s="16">
        <f t="shared" si="296"/>
        <v>5.9014643151272549E-2</v>
      </c>
      <c r="CA357" s="16" t="str">
        <f t="shared" si="273"/>
        <v/>
      </c>
      <c r="CB357" s="16" t="str">
        <f t="shared" si="254"/>
        <v/>
      </c>
      <c r="CC357" s="16" t="str">
        <f t="shared" si="255"/>
        <v/>
      </c>
      <c r="CD357" s="16" t="str">
        <f t="shared" si="256"/>
        <v/>
      </c>
      <c r="CE357" s="16" t="str">
        <f t="shared" si="257"/>
        <v/>
      </c>
      <c r="CF357" s="16" t="str">
        <f t="shared" si="258"/>
        <v/>
      </c>
      <c r="CG357" s="16" t="str">
        <f t="shared" si="259"/>
        <v/>
      </c>
      <c r="CH357" s="16" t="str">
        <f t="shared" si="260"/>
        <v/>
      </c>
      <c r="CI357" s="16" t="str">
        <f t="shared" si="261"/>
        <v/>
      </c>
      <c r="CJ357" s="16" t="str">
        <f t="shared" si="262"/>
        <v/>
      </c>
      <c r="CK357" s="16" t="str">
        <f t="shared" si="263"/>
        <v/>
      </c>
      <c r="CL357" s="16" t="str">
        <f t="shared" si="264"/>
        <v/>
      </c>
      <c r="CM357" s="16" t="str">
        <f t="shared" si="265"/>
        <v/>
      </c>
      <c r="CN357" s="16" t="str">
        <f t="shared" si="266"/>
        <v/>
      </c>
      <c r="CO357" s="16" t="str">
        <f t="shared" si="267"/>
        <v/>
      </c>
      <c r="CP357" s="16" t="str">
        <f t="shared" si="268"/>
        <v/>
      </c>
      <c r="CQ357" s="16" t="str">
        <f t="shared" si="269"/>
        <v/>
      </c>
      <c r="CR357" s="16" t="str">
        <f t="shared" si="270"/>
        <v/>
      </c>
      <c r="CS357" s="16" t="str">
        <f t="shared" si="271"/>
        <v/>
      </c>
      <c r="CT357" s="16" t="str">
        <f t="shared" si="272"/>
        <v/>
      </c>
    </row>
    <row r="358" spans="1:99" x14ac:dyDescent="0.25">
      <c r="A358" s="20"/>
      <c r="B358" s="21"/>
      <c r="C358" s="22" t="str" cm="1">
        <f t="array" ref="C358">IF(B358="","",INDEX('Exercise list'!$C$5:$C$102,B358))</f>
        <v/>
      </c>
      <c r="D358" s="17" t="str">
        <f t="shared" si="274"/>
        <v/>
      </c>
      <c r="E358" s="108" t="str">
        <f t="shared" si="297"/>
        <v/>
      </c>
      <c r="F358" s="65" t="str" cm="1">
        <f t="array" ref="F358">IF(B358="","",0.1+IFERROR(INDEX($F$6:$F357,SUMPRODUCT(MAX(ROW($C$6:$C357)*($C358=$C$6:$C357))-ROW($A$5)))*0.9^($A358-INDEX($A$6:A357,SUMPRODUCT(MAX(ROW($C$6:$C357)*($C358=$C$6:$C357))-ROW($A$5)))),0))</f>
        <v/>
      </c>
      <c r="G358" s="25" t="e">
        <f>INDEX('Exercise list'!$Y$5:$Y$102,MATCH(C358,'Exercise list'!$C$5:$C$102,0))</f>
        <v>#N/A</v>
      </c>
      <c r="H358" s="116">
        <f t="shared" si="275"/>
        <v>0</v>
      </c>
      <c r="I358" s="18">
        <f t="shared" si="276"/>
        <v>5</v>
      </c>
      <c r="J358" s="18" t="str" cm="1">
        <f t="array" ref="J358">IF(B358="","",INDEX('Exercise list'!$D$5:$D$102,B358))</f>
        <v/>
      </c>
      <c r="K358" s="17"/>
      <c r="L358" s="51" t="str" cm="1">
        <f t="array" ref="L358">IF(K358="","",INDEX('Exercise list'!$C$5:$C$102,K358))</f>
        <v/>
      </c>
      <c r="M358" s="18"/>
      <c r="N358" s="76" t="str" cm="1">
        <f t="array" ref="N358">IF(M358="","",INDEX('Exercise list'!$C$5:$C$102,M358))</f>
        <v/>
      </c>
      <c r="O358" s="19"/>
      <c r="P358" s="19">
        <f>IFERROR(INDEX('Exercise list'!$E$5:$X$102,MATCH($C358,'Exercise list'!$C$5:$C$102,0),MATCH(P$5,'Exercise list'!$E$4:$X$4,0)),0)</f>
        <v>0</v>
      </c>
      <c r="Q358" s="19">
        <f>IFERROR(INDEX('Exercise list'!$E$5:$X$102,MATCH($C358,'Exercise list'!$C$5:$C$102,0),MATCH(Q$5,'Exercise list'!$E$4:$X$4,0)),0)</f>
        <v>0</v>
      </c>
      <c r="R358" s="19">
        <f>IFERROR(INDEX('Exercise list'!$E$5:$X$102,MATCH($C358,'Exercise list'!$C$5:$C$102,0),MATCH(R$5,'Exercise list'!$E$4:$X$4,0)),0)</f>
        <v>0</v>
      </c>
      <c r="S358" s="19">
        <f>IFERROR(INDEX('Exercise list'!$E$5:$X$102,MATCH($C358,'Exercise list'!$C$5:$C$102,0),MATCH(S$5,'Exercise list'!$E$4:$X$4,0)),0)</f>
        <v>0</v>
      </c>
      <c r="T358" s="19">
        <f>IFERROR(INDEX('Exercise list'!$E$5:$X$102,MATCH($C358,'Exercise list'!$C$5:$C$102,0),MATCH(T$5,'Exercise list'!$E$4:$X$4,0)),0)</f>
        <v>0</v>
      </c>
      <c r="U358" s="19">
        <f>IFERROR(INDEX('Exercise list'!$E$5:$X$102,MATCH($C358,'Exercise list'!$C$5:$C$102,0),MATCH(U$5,'Exercise list'!$E$4:$X$4,0)),0)</f>
        <v>0</v>
      </c>
      <c r="V358" s="19">
        <f>IFERROR(INDEX('Exercise list'!$E$5:$X$102,MATCH($C358,'Exercise list'!$C$5:$C$102,0),MATCH(V$5,'Exercise list'!$E$4:$X$4,0)),0)</f>
        <v>0</v>
      </c>
      <c r="W358" s="19">
        <f>IFERROR(INDEX('Exercise list'!$E$5:$X$102,MATCH($C358,'Exercise list'!$C$5:$C$102,0),MATCH(W$5,'Exercise list'!$E$4:$X$4,0)),0)</f>
        <v>0</v>
      </c>
      <c r="X358" s="19">
        <f>IFERROR(INDEX('Exercise list'!$E$5:$X$102,MATCH($C358,'Exercise list'!$C$5:$C$102,0),MATCH(X$5,'Exercise list'!$E$4:$X$4,0)),0)</f>
        <v>0</v>
      </c>
      <c r="Y358" s="19">
        <f>IFERROR(INDEX('Exercise list'!$E$5:$X$102,MATCH($C358,'Exercise list'!$C$5:$C$102,0),MATCH(Y$5,'Exercise list'!$E$4:$X$4,0)),0)</f>
        <v>0</v>
      </c>
      <c r="Z358" s="19">
        <f>IFERROR(INDEX('Exercise list'!$E$5:$X$102,MATCH($C358,'Exercise list'!$C$5:$C$102,0),MATCH(Z$5,'Exercise list'!$E$4:$X$4,0)),0)</f>
        <v>0</v>
      </c>
      <c r="AA358" s="19">
        <f>IFERROR(INDEX('Exercise list'!$E$5:$X$102,MATCH($C358,'Exercise list'!$C$5:$C$102,0),MATCH(AA$5,'Exercise list'!$E$4:$X$4,0)),0)</f>
        <v>0</v>
      </c>
      <c r="AB358" s="19">
        <f>IFERROR(INDEX('Exercise list'!$E$5:$X$102,MATCH($C358,'Exercise list'!$C$5:$C$102,0),MATCH(AB$5,'Exercise list'!$E$4:$X$4,0)),0)</f>
        <v>0</v>
      </c>
      <c r="AC358" s="19">
        <f>IFERROR(INDEX('Exercise list'!$E$5:$X$102,MATCH($C358,'Exercise list'!$C$5:$C$102,0),MATCH(AC$5,'Exercise list'!$E$4:$X$4,0)),0)</f>
        <v>0</v>
      </c>
      <c r="AD358" s="19">
        <f>IFERROR(INDEX('Exercise list'!$E$5:$X$102,MATCH($C358,'Exercise list'!$C$5:$C$102,0),MATCH(AD$5,'Exercise list'!$E$4:$X$4,0)),0)</f>
        <v>0</v>
      </c>
      <c r="AE358" s="19">
        <f>IFERROR(INDEX('Exercise list'!$E$5:$X$102,MATCH($C358,'Exercise list'!$C$5:$C$102,0),MATCH(AE$5,'Exercise list'!$E$4:$X$4,0)),0)</f>
        <v>0</v>
      </c>
      <c r="AF358" s="19">
        <f>IFERROR(INDEX('Exercise list'!$E$5:$X$102,MATCH($C358,'Exercise list'!$C$5:$C$102,0),MATCH(AF$5,'Exercise list'!$E$4:$X$4,0)),0)</f>
        <v>0</v>
      </c>
      <c r="AG358" s="19">
        <f>IFERROR(INDEX('Exercise list'!$E$5:$X$102,MATCH($C358,'Exercise list'!$C$5:$C$102,0),MATCH(AG$5,'Exercise list'!$E$4:$X$4,0)),0)</f>
        <v>0</v>
      </c>
      <c r="AH358" s="19">
        <f>IFERROR(INDEX('Exercise list'!$E$5:$X$102,MATCH($C358,'Exercise list'!$C$5:$C$102,0),MATCH(AH$5,'Exercise list'!$E$4:$X$4,0)),0)</f>
        <v>0</v>
      </c>
      <c r="AI358" s="19">
        <f>IFERROR(INDEX('Exercise list'!$E$5:$X$102,MATCH($C358,'Exercise list'!$C$5:$C$102,0),MATCH(AI$5,'Exercise list'!$E$4:$X$4,0)),0)</f>
        <v>0</v>
      </c>
      <c r="AJ358" s="19"/>
      <c r="AK358" s="19">
        <f>IF(OR($J358=1,COUNTIFS($A$5:$A357,"&gt;="&amp;$A358-1,$A$5:$A357,"&lt;="&amp;$A358,$B$5:$B357,$B358)&gt;0,MIN(1-'Exercise list'!E$2,IF($A358=$A357,AK357,1))-P358&lt;0),-1,MIN(1,IF($A358=$A357,AK357,1)-P358+$D$2))</f>
        <v>1</v>
      </c>
      <c r="AL358" s="19">
        <f>IF(OR($J358=1,COUNTIFS($A$5:$A357,"&gt;="&amp;$A358-1,$A$5:$A357,"&lt;="&amp;$A358,$B$5:$B357,$B358)&gt;0,MIN(1-'Exercise list'!F$2,IF($A358=$A357,AL357,1))-Q358&lt;0),-1,MIN(1,IF($A358=$A357,AL357,1)-Q358+$D$2))</f>
        <v>1</v>
      </c>
      <c r="AM358" s="19">
        <f>IF(OR($J358=1,COUNTIFS($A$5:$A357,"&gt;="&amp;$A358-1,$A$5:$A357,"&lt;="&amp;$A358,$B$5:$B357,$B358)&gt;0,MIN(1-'Exercise list'!G$2,IF($A358=$A357,AM357,1))-R358&lt;0),-1,MIN(1,IF($A358=$A357,AM357,1)-R358+$D$2))</f>
        <v>1</v>
      </c>
      <c r="AN358" s="19">
        <f>IF(OR($J358=1,COUNTIFS($A$5:$A357,"&gt;="&amp;$A358-1,$A$5:$A357,"&lt;="&amp;$A358,$B$5:$B357,$B358)&gt;0,MIN(1-'Exercise list'!H$2,IF($A358=$A357,AN357,1))-S358&lt;0),-1,MIN(1,IF($A358=$A357,AN357,1)-S358+$D$2))</f>
        <v>1</v>
      </c>
      <c r="AO358" s="19">
        <f>IF(OR($J358=1,COUNTIFS($A$5:$A357,"&gt;="&amp;$A358-1,$A$5:$A357,"&lt;="&amp;$A358,$B$5:$B357,$B358)&gt;0,MIN(1-'Exercise list'!I$2,IF($A358=$A357,AO357,1))-T358&lt;0),-1,MIN(1,IF($A358=$A357,AO357,1)-T358+$D$2))</f>
        <v>1</v>
      </c>
      <c r="AP358" s="19">
        <f>IF(OR($J358=1,COUNTIFS($A$5:$A357,"&gt;="&amp;$A358-1,$A$5:$A357,"&lt;="&amp;$A358,$B$5:$B357,$B358)&gt;0,MIN(1-'Exercise list'!J$2,IF($A358=$A357,AP357,1))-U358&lt;0),-1,MIN(1,IF($A358=$A357,AP357,1)-U358+$D$2))</f>
        <v>1</v>
      </c>
      <c r="AQ358" s="19">
        <f>IF(OR($J358=1,COUNTIFS($A$5:$A357,"&gt;="&amp;$A358-1,$A$5:$A357,"&lt;="&amp;$A358,$B$5:$B357,$B358)&gt;0,MIN(1-'Exercise list'!K$2,IF($A358=$A357,AQ357,1))-V358&lt;0),-1,MIN(1,IF($A358=$A357,AQ357,1)-V358+$D$2))</f>
        <v>1</v>
      </c>
      <c r="AR358" s="19">
        <f>IF(OR($J358=1,COUNTIFS($A$5:$A357,"&gt;="&amp;$A358-1,$A$5:$A357,"&lt;="&amp;$A358,$B$5:$B357,$B358)&gt;0,MIN(1-'Exercise list'!L$2,IF($A358=$A357,AR357,1))-W358&lt;0),-1,MIN(1,IF($A358=$A357,AR357,1)-W358+$D$2))</f>
        <v>1</v>
      </c>
      <c r="AS358" s="19">
        <f>IF(OR($J358=1,COUNTIFS($A$5:$A357,"&gt;="&amp;$A358-1,$A$5:$A357,"&lt;="&amp;$A358,$B$5:$B357,$B358)&gt;0,MIN(1-'Exercise list'!M$2,IF($A358=$A357,AS357,1))-X358&lt;0),-1,MIN(1,IF($A358=$A357,AS357,1)-X358+$D$2))</f>
        <v>1</v>
      </c>
      <c r="AT358" s="19">
        <f>IF(OR($J358=1,COUNTIFS($A$5:$A357,"&gt;="&amp;$A358-1,$A$5:$A357,"&lt;="&amp;$A358,$B$5:$B357,$B358)&gt;0,MIN(1-'Exercise list'!N$2,IF($A358=$A357,AT357,1))-Y358&lt;0),-1,MIN(1,IF($A358=$A357,AT357,1)-Y358+$D$2))</f>
        <v>1</v>
      </c>
      <c r="AU358" s="19">
        <f>IF(OR($J358=1,COUNTIFS($A$5:$A357,"&gt;="&amp;$A358-1,$A$5:$A357,"&lt;="&amp;$A358,$B$5:$B357,$B358)&gt;0,MIN(1-'Exercise list'!O$2,IF($A358=$A357,AU357,1))-Z358&lt;0),-1,MIN(1,IF($A358=$A357,AU357,1)-Z358+$D$2))</f>
        <v>1</v>
      </c>
      <c r="AV358" s="19">
        <f>IF(OR($J358=1,COUNTIFS($A$5:$A357,"&gt;="&amp;$A358-1,$A$5:$A357,"&lt;="&amp;$A358,$B$5:$B357,$B358)&gt;0,MIN(1-'Exercise list'!P$2,IF($A358=$A357,AV357,1))-AA358&lt;0),-1,MIN(1,IF($A358=$A357,AV357,1)-AA358+$D$2))</f>
        <v>1</v>
      </c>
      <c r="AW358" s="19">
        <f>IF(OR($J358=1,COUNTIFS($A$5:$A357,"&gt;="&amp;$A358-1,$A$5:$A357,"&lt;="&amp;$A358,$B$5:$B357,$B358)&gt;0,MIN(1-'Exercise list'!Q$2,IF($A358=$A357,AW357,1))-AB358&lt;0),-1,MIN(1,IF($A358=$A357,AW357,1)-AB358+$D$2))</f>
        <v>1</v>
      </c>
      <c r="AX358" s="19">
        <f>IF(OR($J358=1,COUNTIFS($A$5:$A357,"&gt;="&amp;$A358-1,$A$5:$A357,"&lt;="&amp;$A358,$B$5:$B357,$B358)&gt;0,MIN(1-'Exercise list'!R$2,IF($A358=$A357,AX357,1))-AC358&lt;0),-1,MIN(1,IF($A358=$A357,AX357,1)-AC358+$D$2))</f>
        <v>1</v>
      </c>
      <c r="AY358" s="19">
        <f>IF(OR($J358=1,COUNTIFS($A$5:$A357,"&gt;="&amp;$A358-1,$A$5:$A357,"&lt;="&amp;$A358,$B$5:$B357,$B358)&gt;0,MIN(1-'Exercise list'!S$2,IF($A358=$A357,AY357,1))-AD358&lt;0),-1,MIN(1,IF($A358=$A357,AY357,1)-AD358+$D$2))</f>
        <v>1</v>
      </c>
      <c r="AZ358" s="19">
        <f>IF(OR($J358=1,COUNTIFS($A$5:$A357,"&gt;="&amp;$A358-1,$A$5:$A357,"&lt;="&amp;$A358,$B$5:$B357,$B358)&gt;0,MIN(1-'Exercise list'!T$2,IF($A358=$A357,AZ357,1))-AE358&lt;0),-1,MIN(1,IF($A358=$A357,AZ357,1)-AE358+$D$2))</f>
        <v>1</v>
      </c>
      <c r="BA358" s="19">
        <f>IF(OR($J358=1,COUNTIFS($A$5:$A357,"&gt;="&amp;$A358-1,$A$5:$A357,"&lt;="&amp;$A358,$B$5:$B357,$B358)&gt;0,MIN(1-'Exercise list'!U$2,IF($A358=$A357,BA357,1))-AF358&lt;0),-1,MIN(1,IF($A358=$A357,BA357,1)-AF358+$D$2))</f>
        <v>1</v>
      </c>
      <c r="BB358" s="19">
        <f>IF(OR($J358=1,COUNTIFS($A$5:$A357,"&gt;="&amp;$A358-1,$A$5:$A357,"&lt;="&amp;$A358,$B$5:$B357,$B358)&gt;0,MIN(1-'Exercise list'!V$2,IF($A358=$A357,BB357,1))-AG358&lt;0),-1,MIN(1,IF($A358=$A357,BB357,1)-AG358+$D$2))</f>
        <v>1</v>
      </c>
      <c r="BC358" s="19">
        <f>IF(OR($J358=1,COUNTIFS($A$5:$A357,"&gt;="&amp;$A358-1,$A$5:$A357,"&lt;="&amp;$A358,$B$5:$B357,$B358)&gt;0,MIN(1-'Exercise list'!W$2,IF($A358=$A357,BC357,1))-AH358&lt;0),-1,MIN(1,IF($A358=$A357,BC357,1)-AH358+$D$2))</f>
        <v>1</v>
      </c>
      <c r="BD358" s="19">
        <f>IF(OR($J358=1,COUNTIFS($A$5:$A357,"&gt;="&amp;$A358-1,$A$5:$A357,"&lt;="&amp;$A358,$B$5:$B357,$B358)&gt;0,MIN(1-'Exercise list'!X$2,IF($A358=$A357,BD357,1))-AI358&lt;0),-1,MIN(1,IF($A358=$A357,BD357,1)-AI358+$D$2))</f>
        <v>1</v>
      </c>
      <c r="BE358" s="19"/>
      <c r="BF358" s="23">
        <f t="shared" si="277"/>
        <v>0.19596031081758858</v>
      </c>
      <c r="BG358" s="23">
        <f t="shared" si="278"/>
        <v>0.21844636935459236</v>
      </c>
      <c r="BH358" s="23">
        <f t="shared" si="279"/>
        <v>0.14609696635987124</v>
      </c>
      <c r="BI358" s="23">
        <f t="shared" si="280"/>
        <v>0.13198015366034541</v>
      </c>
      <c r="BJ358" s="23">
        <f t="shared" si="281"/>
        <v>8.3367914198418713E-2</v>
      </c>
      <c r="BK358" s="23">
        <f t="shared" si="282"/>
        <v>0.10640640223148412</v>
      </c>
      <c r="BL358" s="23">
        <f t="shared" si="283"/>
        <v>0.21963504743569431</v>
      </c>
      <c r="BM358" s="23">
        <f t="shared" si="284"/>
        <v>3.8988008374820568E-3</v>
      </c>
      <c r="BN358" s="23">
        <f t="shared" si="285"/>
        <v>0.14537706087090876</v>
      </c>
      <c r="BO358" s="23">
        <f t="shared" si="286"/>
        <v>0.29209790661993401</v>
      </c>
      <c r="BP358" s="23">
        <f t="shared" si="287"/>
        <v>0.31584545163401867</v>
      </c>
      <c r="BQ358" s="23">
        <f t="shared" si="288"/>
        <v>0.1000007994126096</v>
      </c>
      <c r="BR358" s="23">
        <f t="shared" si="289"/>
        <v>0.13164487759885393</v>
      </c>
      <c r="BS358" s="23">
        <f t="shared" si="290"/>
        <v>2.9803550189863123E-2</v>
      </c>
      <c r="BT358" s="23">
        <f t="shared" si="291"/>
        <v>0.13492040904978705</v>
      </c>
      <c r="BU358" s="23">
        <f t="shared" si="292"/>
        <v>0.11703687414398131</v>
      </c>
      <c r="BV358" s="23">
        <f t="shared" si="293"/>
        <v>0.14633353213781661</v>
      </c>
      <c r="BW358" s="23">
        <f t="shared" si="294"/>
        <v>7.5588015111767173E-2</v>
      </c>
      <c r="BX358" s="23">
        <f t="shared" si="295"/>
        <v>8.0345659937185704E-2</v>
      </c>
      <c r="BY358" s="23">
        <f t="shared" si="296"/>
        <v>5.9014643151272549E-2</v>
      </c>
      <c r="BZ358" s="19"/>
      <c r="CA358" s="23" t="str">
        <f t="shared" si="273"/>
        <v/>
      </c>
      <c r="CB358" s="23" t="str">
        <f t="shared" si="254"/>
        <v/>
      </c>
      <c r="CC358" s="23" t="str">
        <f t="shared" si="255"/>
        <v/>
      </c>
      <c r="CD358" s="23" t="str">
        <f t="shared" si="256"/>
        <v/>
      </c>
      <c r="CE358" s="23" t="str">
        <f t="shared" si="257"/>
        <v/>
      </c>
      <c r="CF358" s="23" t="str">
        <f t="shared" si="258"/>
        <v/>
      </c>
      <c r="CG358" s="23" t="str">
        <f t="shared" si="259"/>
        <v/>
      </c>
      <c r="CH358" s="23" t="str">
        <f t="shared" si="260"/>
        <v/>
      </c>
      <c r="CI358" s="23" t="str">
        <f t="shared" si="261"/>
        <v/>
      </c>
      <c r="CJ358" s="23" t="str">
        <f t="shared" si="262"/>
        <v/>
      </c>
      <c r="CK358" s="23" t="str">
        <f t="shared" si="263"/>
        <v/>
      </c>
      <c r="CL358" s="23" t="str">
        <f t="shared" si="264"/>
        <v/>
      </c>
      <c r="CM358" s="23" t="str">
        <f t="shared" si="265"/>
        <v/>
      </c>
      <c r="CN358" s="23" t="str">
        <f t="shared" si="266"/>
        <v/>
      </c>
      <c r="CO358" s="23" t="str">
        <f t="shared" si="267"/>
        <v/>
      </c>
      <c r="CP358" s="23" t="str">
        <f t="shared" si="268"/>
        <v/>
      </c>
      <c r="CQ358" s="23" t="str">
        <f t="shared" si="269"/>
        <v/>
      </c>
      <c r="CR358" s="23" t="str">
        <f t="shared" si="270"/>
        <v/>
      </c>
      <c r="CS358" s="23" t="str">
        <f t="shared" si="271"/>
        <v/>
      </c>
      <c r="CT358" s="23" t="str">
        <f t="shared" si="272"/>
        <v/>
      </c>
      <c r="CU358" s="19"/>
    </row>
    <row r="359" spans="1:99" x14ac:dyDescent="0.25">
      <c r="A359" s="13"/>
      <c r="B359" s="14"/>
      <c r="C359" s="15" t="str" cm="1">
        <f t="array" ref="C359">IF(B359="","",INDEX('Exercise list'!$C$5:$C$102,B359))</f>
        <v/>
      </c>
      <c r="D359" s="12" t="str">
        <f t="shared" si="274"/>
        <v/>
      </c>
      <c r="E359" s="107" t="str">
        <f t="shared" si="297"/>
        <v/>
      </c>
      <c r="F359" s="63" t="str" cm="1">
        <f t="array" ref="F359">IF(B359="","",0.1+IFERROR(INDEX($F$6:$F358,SUMPRODUCT(MAX(ROW($C$6:$C358)*($C359=$C$6:$C358))-ROW($A$5)))*0.9^($A359-INDEX($A$6:A358,SUMPRODUCT(MAX(ROW($C$6:$C358)*($C359=$C$6:$C358))-ROW($A$5)))),0))</f>
        <v/>
      </c>
      <c r="G359" s="64" t="e">
        <f>INDEX('Exercise list'!$Y$5:$Y$102,MATCH(C359,'Exercise list'!$C$5:$C$102,0))</f>
        <v>#N/A</v>
      </c>
      <c r="H359" s="115">
        <f t="shared" si="275"/>
        <v>0</v>
      </c>
      <c r="I359" s="42">
        <f t="shared" si="276"/>
        <v>5</v>
      </c>
      <c r="J359" s="6" t="str" cm="1">
        <f t="array" ref="J359">IF(B359="","",INDEX('Exercise list'!$D$5:$D$102,B359))</f>
        <v/>
      </c>
      <c r="K359" s="12"/>
      <c r="L359" s="74" t="str" cm="1">
        <f t="array" ref="L359">IF(K359="","",INDEX('Exercise list'!$C$5:$C$102,K359))</f>
        <v/>
      </c>
      <c r="M359" s="6"/>
      <c r="N359" s="75" t="str" cm="1">
        <f t="array" ref="N359">IF(M359="","",INDEX('Exercise list'!$C$5:$C$102,M359))</f>
        <v/>
      </c>
      <c r="P359">
        <f>IFERROR(INDEX('Exercise list'!$E$5:$X$102,MATCH($C359,'Exercise list'!$C$5:$C$102,0),MATCH(P$5,'Exercise list'!$E$4:$X$4,0)),0)</f>
        <v>0</v>
      </c>
      <c r="Q359">
        <f>IFERROR(INDEX('Exercise list'!$E$5:$X$102,MATCH($C359,'Exercise list'!$C$5:$C$102,0),MATCH(Q$5,'Exercise list'!$E$4:$X$4,0)),0)</f>
        <v>0</v>
      </c>
      <c r="R359">
        <f>IFERROR(INDEX('Exercise list'!$E$5:$X$102,MATCH($C359,'Exercise list'!$C$5:$C$102,0),MATCH(R$5,'Exercise list'!$E$4:$X$4,0)),0)</f>
        <v>0</v>
      </c>
      <c r="S359">
        <f>IFERROR(INDEX('Exercise list'!$E$5:$X$102,MATCH($C359,'Exercise list'!$C$5:$C$102,0),MATCH(S$5,'Exercise list'!$E$4:$X$4,0)),0)</f>
        <v>0</v>
      </c>
      <c r="T359">
        <f>IFERROR(INDEX('Exercise list'!$E$5:$X$102,MATCH($C359,'Exercise list'!$C$5:$C$102,0),MATCH(T$5,'Exercise list'!$E$4:$X$4,0)),0)</f>
        <v>0</v>
      </c>
      <c r="U359">
        <f>IFERROR(INDEX('Exercise list'!$E$5:$X$102,MATCH($C359,'Exercise list'!$C$5:$C$102,0),MATCH(U$5,'Exercise list'!$E$4:$X$4,0)),0)</f>
        <v>0</v>
      </c>
      <c r="V359">
        <f>IFERROR(INDEX('Exercise list'!$E$5:$X$102,MATCH($C359,'Exercise list'!$C$5:$C$102,0),MATCH(V$5,'Exercise list'!$E$4:$X$4,0)),0)</f>
        <v>0</v>
      </c>
      <c r="W359">
        <f>IFERROR(INDEX('Exercise list'!$E$5:$X$102,MATCH($C359,'Exercise list'!$C$5:$C$102,0),MATCH(W$5,'Exercise list'!$E$4:$X$4,0)),0)</f>
        <v>0</v>
      </c>
      <c r="X359">
        <f>IFERROR(INDEX('Exercise list'!$E$5:$X$102,MATCH($C359,'Exercise list'!$C$5:$C$102,0),MATCH(X$5,'Exercise list'!$E$4:$X$4,0)),0)</f>
        <v>0</v>
      </c>
      <c r="Y359">
        <f>IFERROR(INDEX('Exercise list'!$E$5:$X$102,MATCH($C359,'Exercise list'!$C$5:$C$102,0),MATCH(Y$5,'Exercise list'!$E$4:$X$4,0)),0)</f>
        <v>0</v>
      </c>
      <c r="Z359">
        <f>IFERROR(INDEX('Exercise list'!$E$5:$X$102,MATCH($C359,'Exercise list'!$C$5:$C$102,0),MATCH(Z$5,'Exercise list'!$E$4:$X$4,0)),0)</f>
        <v>0</v>
      </c>
      <c r="AA359">
        <f>IFERROR(INDEX('Exercise list'!$E$5:$X$102,MATCH($C359,'Exercise list'!$C$5:$C$102,0),MATCH(AA$5,'Exercise list'!$E$4:$X$4,0)),0)</f>
        <v>0</v>
      </c>
      <c r="AB359">
        <f>IFERROR(INDEX('Exercise list'!$E$5:$X$102,MATCH($C359,'Exercise list'!$C$5:$C$102,0),MATCH(AB$5,'Exercise list'!$E$4:$X$4,0)),0)</f>
        <v>0</v>
      </c>
      <c r="AC359">
        <f>IFERROR(INDEX('Exercise list'!$E$5:$X$102,MATCH($C359,'Exercise list'!$C$5:$C$102,0),MATCH(AC$5,'Exercise list'!$E$4:$X$4,0)),0)</f>
        <v>0</v>
      </c>
      <c r="AD359">
        <f>IFERROR(INDEX('Exercise list'!$E$5:$X$102,MATCH($C359,'Exercise list'!$C$5:$C$102,0),MATCH(AD$5,'Exercise list'!$E$4:$X$4,0)),0)</f>
        <v>0</v>
      </c>
      <c r="AE359">
        <f>IFERROR(INDEX('Exercise list'!$E$5:$X$102,MATCH($C359,'Exercise list'!$C$5:$C$102,0),MATCH(AE$5,'Exercise list'!$E$4:$X$4,0)),0)</f>
        <v>0</v>
      </c>
      <c r="AF359">
        <f>IFERROR(INDEX('Exercise list'!$E$5:$X$102,MATCH($C359,'Exercise list'!$C$5:$C$102,0),MATCH(AF$5,'Exercise list'!$E$4:$X$4,0)),0)</f>
        <v>0</v>
      </c>
      <c r="AG359">
        <f>IFERROR(INDEX('Exercise list'!$E$5:$X$102,MATCH($C359,'Exercise list'!$C$5:$C$102,0),MATCH(AG$5,'Exercise list'!$E$4:$X$4,0)),0)</f>
        <v>0</v>
      </c>
      <c r="AH359">
        <f>IFERROR(INDEX('Exercise list'!$E$5:$X$102,MATCH($C359,'Exercise list'!$C$5:$C$102,0),MATCH(AH$5,'Exercise list'!$E$4:$X$4,0)),0)</f>
        <v>0</v>
      </c>
      <c r="AI359">
        <f>IFERROR(INDEX('Exercise list'!$E$5:$X$102,MATCH($C359,'Exercise list'!$C$5:$C$102,0),MATCH(AI$5,'Exercise list'!$E$4:$X$4,0)),0)</f>
        <v>0</v>
      </c>
      <c r="AK359">
        <f>IF(OR($J359=1,COUNTIFS($A$5:$A358,"&gt;="&amp;$A359-1,$A$5:$A358,"&lt;="&amp;$A359,$B$5:$B358,$B359)&gt;0,MIN(1-'Exercise list'!E$2,IF($A359=$A358,AK358,1))-P359&lt;0),-1,MIN(1,IF($A359=$A358,AK358,1)-P359+$D$2))</f>
        <v>1</v>
      </c>
      <c r="AL359">
        <f>IF(OR($J359=1,COUNTIFS($A$5:$A358,"&gt;="&amp;$A359-1,$A$5:$A358,"&lt;="&amp;$A359,$B$5:$B358,$B359)&gt;0,MIN(1-'Exercise list'!F$2,IF($A359=$A358,AL358,1))-Q359&lt;0),-1,MIN(1,IF($A359=$A358,AL358,1)-Q359+$D$2))</f>
        <v>1</v>
      </c>
      <c r="AM359">
        <f>IF(OR($J359=1,COUNTIFS($A$5:$A358,"&gt;="&amp;$A359-1,$A$5:$A358,"&lt;="&amp;$A359,$B$5:$B358,$B359)&gt;0,MIN(1-'Exercise list'!G$2,IF($A359=$A358,AM358,1))-R359&lt;0),-1,MIN(1,IF($A359=$A358,AM358,1)-R359+$D$2))</f>
        <v>1</v>
      </c>
      <c r="AN359">
        <f>IF(OR($J359=1,COUNTIFS($A$5:$A358,"&gt;="&amp;$A359-1,$A$5:$A358,"&lt;="&amp;$A359,$B$5:$B358,$B359)&gt;0,MIN(1-'Exercise list'!H$2,IF($A359=$A358,AN358,1))-S359&lt;0),-1,MIN(1,IF($A359=$A358,AN358,1)-S359+$D$2))</f>
        <v>1</v>
      </c>
      <c r="AO359">
        <f>IF(OR($J359=1,COUNTIFS($A$5:$A358,"&gt;="&amp;$A359-1,$A$5:$A358,"&lt;="&amp;$A359,$B$5:$B358,$B359)&gt;0,MIN(1-'Exercise list'!I$2,IF($A359=$A358,AO358,1))-T359&lt;0),-1,MIN(1,IF($A359=$A358,AO358,1)-T359+$D$2))</f>
        <v>1</v>
      </c>
      <c r="AP359">
        <f>IF(OR($J359=1,COUNTIFS($A$5:$A358,"&gt;="&amp;$A359-1,$A$5:$A358,"&lt;="&amp;$A359,$B$5:$B358,$B359)&gt;0,MIN(1-'Exercise list'!J$2,IF($A359=$A358,AP358,1))-U359&lt;0),-1,MIN(1,IF($A359=$A358,AP358,1)-U359+$D$2))</f>
        <v>1</v>
      </c>
      <c r="AQ359">
        <f>IF(OR($J359=1,COUNTIFS($A$5:$A358,"&gt;="&amp;$A359-1,$A$5:$A358,"&lt;="&amp;$A359,$B$5:$B358,$B359)&gt;0,MIN(1-'Exercise list'!K$2,IF($A359=$A358,AQ358,1))-V359&lt;0),-1,MIN(1,IF($A359=$A358,AQ358,1)-V359+$D$2))</f>
        <v>1</v>
      </c>
      <c r="AR359">
        <f>IF(OR($J359=1,COUNTIFS($A$5:$A358,"&gt;="&amp;$A359-1,$A$5:$A358,"&lt;="&amp;$A359,$B$5:$B358,$B359)&gt;0,MIN(1-'Exercise list'!L$2,IF($A359=$A358,AR358,1))-W359&lt;0),-1,MIN(1,IF($A359=$A358,AR358,1)-W359+$D$2))</f>
        <v>1</v>
      </c>
      <c r="AS359">
        <f>IF(OR($J359=1,COUNTIFS($A$5:$A358,"&gt;="&amp;$A359-1,$A$5:$A358,"&lt;="&amp;$A359,$B$5:$B358,$B359)&gt;0,MIN(1-'Exercise list'!M$2,IF($A359=$A358,AS358,1))-X359&lt;0),-1,MIN(1,IF($A359=$A358,AS358,1)-X359+$D$2))</f>
        <v>1</v>
      </c>
      <c r="AT359">
        <f>IF(OR($J359=1,COUNTIFS($A$5:$A358,"&gt;="&amp;$A359-1,$A$5:$A358,"&lt;="&amp;$A359,$B$5:$B358,$B359)&gt;0,MIN(1-'Exercise list'!N$2,IF($A359=$A358,AT358,1))-Y359&lt;0),-1,MIN(1,IF($A359=$A358,AT358,1)-Y359+$D$2))</f>
        <v>1</v>
      </c>
      <c r="AU359">
        <f>IF(OR($J359=1,COUNTIFS($A$5:$A358,"&gt;="&amp;$A359-1,$A$5:$A358,"&lt;="&amp;$A359,$B$5:$B358,$B359)&gt;0,MIN(1-'Exercise list'!O$2,IF($A359=$A358,AU358,1))-Z359&lt;0),-1,MIN(1,IF($A359=$A358,AU358,1)-Z359+$D$2))</f>
        <v>1</v>
      </c>
      <c r="AV359">
        <f>IF(OR($J359=1,COUNTIFS($A$5:$A358,"&gt;="&amp;$A359-1,$A$5:$A358,"&lt;="&amp;$A359,$B$5:$B358,$B359)&gt;0,MIN(1-'Exercise list'!P$2,IF($A359=$A358,AV358,1))-AA359&lt;0),-1,MIN(1,IF($A359=$A358,AV358,1)-AA359+$D$2))</f>
        <v>1</v>
      </c>
      <c r="AW359">
        <f>IF(OR($J359=1,COUNTIFS($A$5:$A358,"&gt;="&amp;$A359-1,$A$5:$A358,"&lt;="&amp;$A359,$B$5:$B358,$B359)&gt;0,MIN(1-'Exercise list'!Q$2,IF($A359=$A358,AW358,1))-AB359&lt;0),-1,MIN(1,IF($A359=$A358,AW358,1)-AB359+$D$2))</f>
        <v>1</v>
      </c>
      <c r="AX359">
        <f>IF(OR($J359=1,COUNTIFS($A$5:$A358,"&gt;="&amp;$A359-1,$A$5:$A358,"&lt;="&amp;$A359,$B$5:$B358,$B359)&gt;0,MIN(1-'Exercise list'!R$2,IF($A359=$A358,AX358,1))-AC359&lt;0),-1,MIN(1,IF($A359=$A358,AX358,1)-AC359+$D$2))</f>
        <v>1</v>
      </c>
      <c r="AY359">
        <f>IF(OR($J359=1,COUNTIFS($A$5:$A358,"&gt;="&amp;$A359-1,$A$5:$A358,"&lt;="&amp;$A359,$B$5:$B358,$B359)&gt;0,MIN(1-'Exercise list'!S$2,IF($A359=$A358,AY358,1))-AD359&lt;0),-1,MIN(1,IF($A359=$A358,AY358,1)-AD359+$D$2))</f>
        <v>1</v>
      </c>
      <c r="AZ359">
        <f>IF(OR($J359=1,COUNTIFS($A$5:$A358,"&gt;="&amp;$A359-1,$A$5:$A358,"&lt;="&amp;$A359,$B$5:$B358,$B359)&gt;0,MIN(1-'Exercise list'!T$2,IF($A359=$A358,AZ358,1))-AE359&lt;0),-1,MIN(1,IF($A359=$A358,AZ358,1)-AE359+$D$2))</f>
        <v>1</v>
      </c>
      <c r="BA359">
        <f>IF(OR($J359=1,COUNTIFS($A$5:$A358,"&gt;="&amp;$A359-1,$A$5:$A358,"&lt;="&amp;$A359,$B$5:$B358,$B359)&gt;0,MIN(1-'Exercise list'!U$2,IF($A359=$A358,BA358,1))-AF359&lt;0),-1,MIN(1,IF($A359=$A358,BA358,1)-AF359+$D$2))</f>
        <v>1</v>
      </c>
      <c r="BB359">
        <f>IF(OR($J359=1,COUNTIFS($A$5:$A358,"&gt;="&amp;$A359-1,$A$5:$A358,"&lt;="&amp;$A359,$B$5:$B358,$B359)&gt;0,MIN(1-'Exercise list'!V$2,IF($A359=$A358,BB358,1))-AG359&lt;0),-1,MIN(1,IF($A359=$A358,BB358,1)-AG359+$D$2))</f>
        <v>1</v>
      </c>
      <c r="BC359">
        <f>IF(OR($J359=1,COUNTIFS($A$5:$A358,"&gt;="&amp;$A359-1,$A$5:$A358,"&lt;="&amp;$A359,$B$5:$B358,$B359)&gt;0,MIN(1-'Exercise list'!W$2,IF($A359=$A358,BC358,1))-AH359&lt;0),-1,MIN(1,IF($A359=$A358,BC358,1)-AH359+$D$2))</f>
        <v>1</v>
      </c>
      <c r="BD359">
        <f>IF(OR($J359=1,COUNTIFS($A$5:$A358,"&gt;="&amp;$A359-1,$A$5:$A358,"&lt;="&amp;$A359,$B$5:$B358,$B359)&gt;0,MIN(1-'Exercise list'!X$2,IF($A359=$A358,BD358,1))-AI359&lt;0),-1,MIN(1,IF($A359=$A358,BD358,1)-AI359+$D$2))</f>
        <v>1</v>
      </c>
      <c r="BF359" s="16">
        <f t="shared" si="277"/>
        <v>0.19596031081758858</v>
      </c>
      <c r="BG359" s="16">
        <f t="shared" si="278"/>
        <v>0.21844636935459236</v>
      </c>
      <c r="BH359" s="16">
        <f t="shared" si="279"/>
        <v>0.14609696635987124</v>
      </c>
      <c r="BI359" s="16">
        <f t="shared" si="280"/>
        <v>0.13198015366034541</v>
      </c>
      <c r="BJ359" s="16">
        <f t="shared" si="281"/>
        <v>8.3367914198418713E-2</v>
      </c>
      <c r="BK359" s="16">
        <f t="shared" si="282"/>
        <v>0.10640640223148412</v>
      </c>
      <c r="BL359" s="16">
        <f t="shared" si="283"/>
        <v>0.21963504743569431</v>
      </c>
      <c r="BM359" s="16">
        <f t="shared" si="284"/>
        <v>3.8988008374820568E-3</v>
      </c>
      <c r="BN359" s="16">
        <f t="shared" si="285"/>
        <v>0.14537706087090876</v>
      </c>
      <c r="BO359" s="16">
        <f t="shared" si="286"/>
        <v>0.29209790661993401</v>
      </c>
      <c r="BP359" s="16">
        <f t="shared" si="287"/>
        <v>0.31584545163401867</v>
      </c>
      <c r="BQ359" s="16">
        <f t="shared" si="288"/>
        <v>0.1000007994126096</v>
      </c>
      <c r="BR359" s="16">
        <f t="shared" si="289"/>
        <v>0.13164487759885393</v>
      </c>
      <c r="BS359" s="16">
        <f t="shared" si="290"/>
        <v>2.9803550189863123E-2</v>
      </c>
      <c r="BT359" s="16">
        <f t="shared" si="291"/>
        <v>0.13492040904978705</v>
      </c>
      <c r="BU359" s="16">
        <f t="shared" si="292"/>
        <v>0.11703687414398131</v>
      </c>
      <c r="BV359" s="16">
        <f t="shared" si="293"/>
        <v>0.14633353213781661</v>
      </c>
      <c r="BW359" s="16">
        <f t="shared" si="294"/>
        <v>7.5588015111767173E-2</v>
      </c>
      <c r="BX359" s="16">
        <f t="shared" si="295"/>
        <v>8.0345659937185704E-2</v>
      </c>
      <c r="BY359" s="16">
        <f t="shared" si="296"/>
        <v>5.9014643151272549E-2</v>
      </c>
      <c r="CA359" s="16" t="str">
        <f t="shared" si="273"/>
        <v/>
      </c>
      <c r="CB359" s="16" t="str">
        <f t="shared" si="254"/>
        <v/>
      </c>
      <c r="CC359" s="16" t="str">
        <f t="shared" si="255"/>
        <v/>
      </c>
      <c r="CD359" s="16" t="str">
        <f t="shared" si="256"/>
        <v/>
      </c>
      <c r="CE359" s="16" t="str">
        <f t="shared" si="257"/>
        <v/>
      </c>
      <c r="CF359" s="16" t="str">
        <f t="shared" si="258"/>
        <v/>
      </c>
      <c r="CG359" s="16" t="str">
        <f t="shared" si="259"/>
        <v/>
      </c>
      <c r="CH359" s="16" t="str">
        <f t="shared" si="260"/>
        <v/>
      </c>
      <c r="CI359" s="16" t="str">
        <f t="shared" si="261"/>
        <v/>
      </c>
      <c r="CJ359" s="16" t="str">
        <f t="shared" si="262"/>
        <v/>
      </c>
      <c r="CK359" s="16" t="str">
        <f t="shared" si="263"/>
        <v/>
      </c>
      <c r="CL359" s="16" t="str">
        <f t="shared" si="264"/>
        <v/>
      </c>
      <c r="CM359" s="16" t="str">
        <f t="shared" si="265"/>
        <v/>
      </c>
      <c r="CN359" s="16" t="str">
        <f t="shared" si="266"/>
        <v/>
      </c>
      <c r="CO359" s="16" t="str">
        <f t="shared" si="267"/>
        <v/>
      </c>
      <c r="CP359" s="16" t="str">
        <f t="shared" si="268"/>
        <v/>
      </c>
      <c r="CQ359" s="16" t="str">
        <f t="shared" si="269"/>
        <v/>
      </c>
      <c r="CR359" s="16" t="str">
        <f t="shared" si="270"/>
        <v/>
      </c>
      <c r="CS359" s="16" t="str">
        <f t="shared" si="271"/>
        <v/>
      </c>
      <c r="CT359" s="16" t="str">
        <f t="shared" si="272"/>
        <v/>
      </c>
    </row>
    <row r="360" spans="1:99" x14ac:dyDescent="0.25">
      <c r="A360" s="13"/>
      <c r="B360" s="14"/>
      <c r="C360" s="15" t="str" cm="1">
        <f t="array" ref="C360">IF(B360="","",INDEX('Exercise list'!$C$5:$C$102,B360))</f>
        <v/>
      </c>
      <c r="D360" s="12" t="str">
        <f t="shared" si="274"/>
        <v/>
      </c>
      <c r="E360" s="107" t="str">
        <f t="shared" si="297"/>
        <v/>
      </c>
      <c r="F360" s="63" t="str" cm="1">
        <f t="array" ref="F360">IF(B360="","",0.1+IFERROR(INDEX($F$6:$F359,SUMPRODUCT(MAX(ROW($C$6:$C359)*($C360=$C$6:$C359))-ROW($A$5)))*0.9^($A360-INDEX($A$6:A359,SUMPRODUCT(MAX(ROW($C$6:$C359)*($C360=$C$6:$C359))-ROW($A$5)))),0))</f>
        <v/>
      </c>
      <c r="G360" s="64" t="e">
        <f>INDEX('Exercise list'!$Y$5:$Y$102,MATCH(C360,'Exercise list'!$C$5:$C$102,0))</f>
        <v>#N/A</v>
      </c>
      <c r="H360" s="115">
        <f t="shared" si="275"/>
        <v>0</v>
      </c>
      <c r="I360" s="6">
        <f t="shared" si="276"/>
        <v>5</v>
      </c>
      <c r="J360" s="6" t="str" cm="1">
        <f t="array" ref="J360">IF(B360="","",INDEX('Exercise list'!$D$5:$D$102,B360))</f>
        <v/>
      </c>
      <c r="K360" s="12"/>
      <c r="L360" s="74" t="str" cm="1">
        <f t="array" ref="L360">IF(K360="","",INDEX('Exercise list'!$C$5:$C$102,K360))</f>
        <v/>
      </c>
      <c r="M360" s="6"/>
      <c r="N360" s="75" t="str" cm="1">
        <f t="array" ref="N360">IF(M360="","",INDEX('Exercise list'!$C$5:$C$102,M360))</f>
        <v/>
      </c>
      <c r="P360">
        <f>IFERROR(INDEX('Exercise list'!$E$5:$X$102,MATCH($C360,'Exercise list'!$C$5:$C$102,0),MATCH(P$5,'Exercise list'!$E$4:$X$4,0)),0)</f>
        <v>0</v>
      </c>
      <c r="Q360">
        <f>IFERROR(INDEX('Exercise list'!$E$5:$X$102,MATCH($C360,'Exercise list'!$C$5:$C$102,0),MATCH(Q$5,'Exercise list'!$E$4:$X$4,0)),0)</f>
        <v>0</v>
      </c>
      <c r="R360">
        <f>IFERROR(INDEX('Exercise list'!$E$5:$X$102,MATCH($C360,'Exercise list'!$C$5:$C$102,0),MATCH(R$5,'Exercise list'!$E$4:$X$4,0)),0)</f>
        <v>0</v>
      </c>
      <c r="S360">
        <f>IFERROR(INDEX('Exercise list'!$E$5:$X$102,MATCH($C360,'Exercise list'!$C$5:$C$102,0),MATCH(S$5,'Exercise list'!$E$4:$X$4,0)),0)</f>
        <v>0</v>
      </c>
      <c r="T360">
        <f>IFERROR(INDEX('Exercise list'!$E$5:$X$102,MATCH($C360,'Exercise list'!$C$5:$C$102,0),MATCH(T$5,'Exercise list'!$E$4:$X$4,0)),0)</f>
        <v>0</v>
      </c>
      <c r="U360">
        <f>IFERROR(INDEX('Exercise list'!$E$5:$X$102,MATCH($C360,'Exercise list'!$C$5:$C$102,0),MATCH(U$5,'Exercise list'!$E$4:$X$4,0)),0)</f>
        <v>0</v>
      </c>
      <c r="V360">
        <f>IFERROR(INDEX('Exercise list'!$E$5:$X$102,MATCH($C360,'Exercise list'!$C$5:$C$102,0),MATCH(V$5,'Exercise list'!$E$4:$X$4,0)),0)</f>
        <v>0</v>
      </c>
      <c r="W360">
        <f>IFERROR(INDEX('Exercise list'!$E$5:$X$102,MATCH($C360,'Exercise list'!$C$5:$C$102,0),MATCH(W$5,'Exercise list'!$E$4:$X$4,0)),0)</f>
        <v>0</v>
      </c>
      <c r="X360">
        <f>IFERROR(INDEX('Exercise list'!$E$5:$X$102,MATCH($C360,'Exercise list'!$C$5:$C$102,0),MATCH(X$5,'Exercise list'!$E$4:$X$4,0)),0)</f>
        <v>0</v>
      </c>
      <c r="Y360">
        <f>IFERROR(INDEX('Exercise list'!$E$5:$X$102,MATCH($C360,'Exercise list'!$C$5:$C$102,0),MATCH(Y$5,'Exercise list'!$E$4:$X$4,0)),0)</f>
        <v>0</v>
      </c>
      <c r="Z360">
        <f>IFERROR(INDEX('Exercise list'!$E$5:$X$102,MATCH($C360,'Exercise list'!$C$5:$C$102,0),MATCH(Z$5,'Exercise list'!$E$4:$X$4,0)),0)</f>
        <v>0</v>
      </c>
      <c r="AA360">
        <f>IFERROR(INDEX('Exercise list'!$E$5:$X$102,MATCH($C360,'Exercise list'!$C$5:$C$102,0),MATCH(AA$5,'Exercise list'!$E$4:$X$4,0)),0)</f>
        <v>0</v>
      </c>
      <c r="AB360">
        <f>IFERROR(INDEX('Exercise list'!$E$5:$X$102,MATCH($C360,'Exercise list'!$C$5:$C$102,0),MATCH(AB$5,'Exercise list'!$E$4:$X$4,0)),0)</f>
        <v>0</v>
      </c>
      <c r="AC360">
        <f>IFERROR(INDEX('Exercise list'!$E$5:$X$102,MATCH($C360,'Exercise list'!$C$5:$C$102,0),MATCH(AC$5,'Exercise list'!$E$4:$X$4,0)),0)</f>
        <v>0</v>
      </c>
      <c r="AD360">
        <f>IFERROR(INDEX('Exercise list'!$E$5:$X$102,MATCH($C360,'Exercise list'!$C$5:$C$102,0),MATCH(AD$5,'Exercise list'!$E$4:$X$4,0)),0)</f>
        <v>0</v>
      </c>
      <c r="AE360">
        <f>IFERROR(INDEX('Exercise list'!$E$5:$X$102,MATCH($C360,'Exercise list'!$C$5:$C$102,0),MATCH(AE$5,'Exercise list'!$E$4:$X$4,0)),0)</f>
        <v>0</v>
      </c>
      <c r="AF360">
        <f>IFERROR(INDEX('Exercise list'!$E$5:$X$102,MATCH($C360,'Exercise list'!$C$5:$C$102,0),MATCH(AF$5,'Exercise list'!$E$4:$X$4,0)),0)</f>
        <v>0</v>
      </c>
      <c r="AG360">
        <f>IFERROR(INDEX('Exercise list'!$E$5:$X$102,MATCH($C360,'Exercise list'!$C$5:$C$102,0),MATCH(AG$5,'Exercise list'!$E$4:$X$4,0)),0)</f>
        <v>0</v>
      </c>
      <c r="AH360">
        <f>IFERROR(INDEX('Exercise list'!$E$5:$X$102,MATCH($C360,'Exercise list'!$C$5:$C$102,0),MATCH(AH$5,'Exercise list'!$E$4:$X$4,0)),0)</f>
        <v>0</v>
      </c>
      <c r="AI360">
        <f>IFERROR(INDEX('Exercise list'!$E$5:$X$102,MATCH($C360,'Exercise list'!$C$5:$C$102,0),MATCH(AI$5,'Exercise list'!$E$4:$X$4,0)),0)</f>
        <v>0</v>
      </c>
      <c r="AK360">
        <f>IF(OR($J360=1,COUNTIFS($A$5:$A359,"&gt;="&amp;$A360-1,$A$5:$A359,"&lt;="&amp;$A360,$B$5:$B359,$B360)&gt;0,MIN(1-'Exercise list'!E$2,IF($A360=$A359,AK359,1))-P360&lt;0),-1,MIN(1,IF($A360=$A359,AK359,1)-P360+$D$2))</f>
        <v>1</v>
      </c>
      <c r="AL360">
        <f>IF(OR($J360=1,COUNTIFS($A$5:$A359,"&gt;="&amp;$A360-1,$A$5:$A359,"&lt;="&amp;$A360,$B$5:$B359,$B360)&gt;0,MIN(1-'Exercise list'!F$2,IF($A360=$A359,AL359,1))-Q360&lt;0),-1,MIN(1,IF($A360=$A359,AL359,1)-Q360+$D$2))</f>
        <v>1</v>
      </c>
      <c r="AM360">
        <f>IF(OR($J360=1,COUNTIFS($A$5:$A359,"&gt;="&amp;$A360-1,$A$5:$A359,"&lt;="&amp;$A360,$B$5:$B359,$B360)&gt;0,MIN(1-'Exercise list'!G$2,IF($A360=$A359,AM359,1))-R360&lt;0),-1,MIN(1,IF($A360=$A359,AM359,1)-R360+$D$2))</f>
        <v>1</v>
      </c>
      <c r="AN360">
        <f>IF(OR($J360=1,COUNTIFS($A$5:$A359,"&gt;="&amp;$A360-1,$A$5:$A359,"&lt;="&amp;$A360,$B$5:$B359,$B360)&gt;0,MIN(1-'Exercise list'!H$2,IF($A360=$A359,AN359,1))-S360&lt;0),-1,MIN(1,IF($A360=$A359,AN359,1)-S360+$D$2))</f>
        <v>1</v>
      </c>
      <c r="AO360">
        <f>IF(OR($J360=1,COUNTIFS($A$5:$A359,"&gt;="&amp;$A360-1,$A$5:$A359,"&lt;="&amp;$A360,$B$5:$B359,$B360)&gt;0,MIN(1-'Exercise list'!I$2,IF($A360=$A359,AO359,1))-T360&lt;0),-1,MIN(1,IF($A360=$A359,AO359,1)-T360+$D$2))</f>
        <v>1</v>
      </c>
      <c r="AP360">
        <f>IF(OR($J360=1,COUNTIFS($A$5:$A359,"&gt;="&amp;$A360-1,$A$5:$A359,"&lt;="&amp;$A360,$B$5:$B359,$B360)&gt;0,MIN(1-'Exercise list'!J$2,IF($A360=$A359,AP359,1))-U360&lt;0),-1,MIN(1,IF($A360=$A359,AP359,1)-U360+$D$2))</f>
        <v>1</v>
      </c>
      <c r="AQ360">
        <f>IF(OR($J360=1,COUNTIFS($A$5:$A359,"&gt;="&amp;$A360-1,$A$5:$A359,"&lt;="&amp;$A360,$B$5:$B359,$B360)&gt;0,MIN(1-'Exercise list'!K$2,IF($A360=$A359,AQ359,1))-V360&lt;0),-1,MIN(1,IF($A360=$A359,AQ359,1)-V360+$D$2))</f>
        <v>1</v>
      </c>
      <c r="AR360">
        <f>IF(OR($J360=1,COUNTIFS($A$5:$A359,"&gt;="&amp;$A360-1,$A$5:$A359,"&lt;="&amp;$A360,$B$5:$B359,$B360)&gt;0,MIN(1-'Exercise list'!L$2,IF($A360=$A359,AR359,1))-W360&lt;0),-1,MIN(1,IF($A360=$A359,AR359,1)-W360+$D$2))</f>
        <v>1</v>
      </c>
      <c r="AS360">
        <f>IF(OR($J360=1,COUNTIFS($A$5:$A359,"&gt;="&amp;$A360-1,$A$5:$A359,"&lt;="&amp;$A360,$B$5:$B359,$B360)&gt;0,MIN(1-'Exercise list'!M$2,IF($A360=$A359,AS359,1))-X360&lt;0),-1,MIN(1,IF($A360=$A359,AS359,1)-X360+$D$2))</f>
        <v>1</v>
      </c>
      <c r="AT360">
        <f>IF(OR($J360=1,COUNTIFS($A$5:$A359,"&gt;="&amp;$A360-1,$A$5:$A359,"&lt;="&amp;$A360,$B$5:$B359,$B360)&gt;0,MIN(1-'Exercise list'!N$2,IF($A360=$A359,AT359,1))-Y360&lt;0),-1,MIN(1,IF($A360=$A359,AT359,1)-Y360+$D$2))</f>
        <v>1</v>
      </c>
      <c r="AU360">
        <f>IF(OR($J360=1,COUNTIFS($A$5:$A359,"&gt;="&amp;$A360-1,$A$5:$A359,"&lt;="&amp;$A360,$B$5:$B359,$B360)&gt;0,MIN(1-'Exercise list'!O$2,IF($A360=$A359,AU359,1))-Z360&lt;0),-1,MIN(1,IF($A360=$A359,AU359,1)-Z360+$D$2))</f>
        <v>1</v>
      </c>
      <c r="AV360">
        <f>IF(OR($J360=1,COUNTIFS($A$5:$A359,"&gt;="&amp;$A360-1,$A$5:$A359,"&lt;="&amp;$A360,$B$5:$B359,$B360)&gt;0,MIN(1-'Exercise list'!P$2,IF($A360=$A359,AV359,1))-AA360&lt;0),-1,MIN(1,IF($A360=$A359,AV359,1)-AA360+$D$2))</f>
        <v>1</v>
      </c>
      <c r="AW360">
        <f>IF(OR($J360=1,COUNTIFS($A$5:$A359,"&gt;="&amp;$A360-1,$A$5:$A359,"&lt;="&amp;$A360,$B$5:$B359,$B360)&gt;0,MIN(1-'Exercise list'!Q$2,IF($A360=$A359,AW359,1))-AB360&lt;0),-1,MIN(1,IF($A360=$A359,AW359,1)-AB360+$D$2))</f>
        <v>1</v>
      </c>
      <c r="AX360">
        <f>IF(OR($J360=1,COUNTIFS($A$5:$A359,"&gt;="&amp;$A360-1,$A$5:$A359,"&lt;="&amp;$A360,$B$5:$B359,$B360)&gt;0,MIN(1-'Exercise list'!R$2,IF($A360=$A359,AX359,1))-AC360&lt;0),-1,MIN(1,IF($A360=$A359,AX359,1)-AC360+$D$2))</f>
        <v>1</v>
      </c>
      <c r="AY360">
        <f>IF(OR($J360=1,COUNTIFS($A$5:$A359,"&gt;="&amp;$A360-1,$A$5:$A359,"&lt;="&amp;$A360,$B$5:$B359,$B360)&gt;0,MIN(1-'Exercise list'!S$2,IF($A360=$A359,AY359,1))-AD360&lt;0),-1,MIN(1,IF($A360=$A359,AY359,1)-AD360+$D$2))</f>
        <v>1</v>
      </c>
      <c r="AZ360">
        <f>IF(OR($J360=1,COUNTIFS($A$5:$A359,"&gt;="&amp;$A360-1,$A$5:$A359,"&lt;="&amp;$A360,$B$5:$B359,$B360)&gt;0,MIN(1-'Exercise list'!T$2,IF($A360=$A359,AZ359,1))-AE360&lt;0),-1,MIN(1,IF($A360=$A359,AZ359,1)-AE360+$D$2))</f>
        <v>1</v>
      </c>
      <c r="BA360">
        <f>IF(OR($J360=1,COUNTIFS($A$5:$A359,"&gt;="&amp;$A360-1,$A$5:$A359,"&lt;="&amp;$A360,$B$5:$B359,$B360)&gt;0,MIN(1-'Exercise list'!U$2,IF($A360=$A359,BA359,1))-AF360&lt;0),-1,MIN(1,IF($A360=$A359,BA359,1)-AF360+$D$2))</f>
        <v>1</v>
      </c>
      <c r="BB360">
        <f>IF(OR($J360=1,COUNTIFS($A$5:$A359,"&gt;="&amp;$A360-1,$A$5:$A359,"&lt;="&amp;$A360,$B$5:$B359,$B360)&gt;0,MIN(1-'Exercise list'!V$2,IF($A360=$A359,BB359,1))-AG360&lt;0),-1,MIN(1,IF($A360=$A359,BB359,1)-AG360+$D$2))</f>
        <v>1</v>
      </c>
      <c r="BC360">
        <f>IF(OR($J360=1,COUNTIFS($A$5:$A359,"&gt;="&amp;$A360-1,$A$5:$A359,"&lt;="&amp;$A360,$B$5:$B359,$B360)&gt;0,MIN(1-'Exercise list'!W$2,IF($A360=$A359,BC359,1))-AH360&lt;0),-1,MIN(1,IF($A360=$A359,BC359,1)-AH360+$D$2))</f>
        <v>1</v>
      </c>
      <c r="BD360">
        <f>IF(OR($J360=1,COUNTIFS($A$5:$A359,"&gt;="&amp;$A360-1,$A$5:$A359,"&lt;="&amp;$A360,$B$5:$B359,$B360)&gt;0,MIN(1-'Exercise list'!X$2,IF($A360=$A359,BD359,1))-AI360&lt;0),-1,MIN(1,IF($A360=$A359,BD359,1)-AI360+$D$2))</f>
        <v>1</v>
      </c>
      <c r="BF360" s="16">
        <f t="shared" si="277"/>
        <v>0.19596031081758858</v>
      </c>
      <c r="BG360" s="16">
        <f t="shared" si="278"/>
        <v>0.21844636935459236</v>
      </c>
      <c r="BH360" s="16">
        <f t="shared" si="279"/>
        <v>0.14609696635987124</v>
      </c>
      <c r="BI360" s="16">
        <f t="shared" si="280"/>
        <v>0.13198015366034541</v>
      </c>
      <c r="BJ360" s="16">
        <f t="shared" si="281"/>
        <v>8.3367914198418713E-2</v>
      </c>
      <c r="BK360" s="16">
        <f t="shared" si="282"/>
        <v>0.10640640223148412</v>
      </c>
      <c r="BL360" s="16">
        <f t="shared" si="283"/>
        <v>0.21963504743569431</v>
      </c>
      <c r="BM360" s="16">
        <f t="shared" si="284"/>
        <v>3.8988008374820568E-3</v>
      </c>
      <c r="BN360" s="16">
        <f t="shared" si="285"/>
        <v>0.14537706087090876</v>
      </c>
      <c r="BO360" s="16">
        <f t="shared" si="286"/>
        <v>0.29209790661993401</v>
      </c>
      <c r="BP360" s="16">
        <f t="shared" si="287"/>
        <v>0.31584545163401867</v>
      </c>
      <c r="BQ360" s="16">
        <f t="shared" si="288"/>
        <v>0.1000007994126096</v>
      </c>
      <c r="BR360" s="16">
        <f t="shared" si="289"/>
        <v>0.13164487759885393</v>
      </c>
      <c r="BS360" s="16">
        <f t="shared" si="290"/>
        <v>2.9803550189863123E-2</v>
      </c>
      <c r="BT360" s="16">
        <f t="shared" si="291"/>
        <v>0.13492040904978705</v>
      </c>
      <c r="BU360" s="16">
        <f t="shared" si="292"/>
        <v>0.11703687414398131</v>
      </c>
      <c r="BV360" s="16">
        <f t="shared" si="293"/>
        <v>0.14633353213781661</v>
      </c>
      <c r="BW360" s="16">
        <f t="shared" si="294"/>
        <v>7.5588015111767173E-2</v>
      </c>
      <c r="BX360" s="16">
        <f t="shared" si="295"/>
        <v>8.0345659937185704E-2</v>
      </c>
      <c r="BY360" s="16">
        <f t="shared" si="296"/>
        <v>5.9014643151272549E-2</v>
      </c>
      <c r="CA360" s="16" t="str">
        <f t="shared" si="273"/>
        <v/>
      </c>
      <c r="CB360" s="16" t="str">
        <f t="shared" si="254"/>
        <v/>
      </c>
      <c r="CC360" s="16" t="str">
        <f t="shared" si="255"/>
        <v/>
      </c>
      <c r="CD360" s="16" t="str">
        <f t="shared" si="256"/>
        <v/>
      </c>
      <c r="CE360" s="16" t="str">
        <f t="shared" si="257"/>
        <v/>
      </c>
      <c r="CF360" s="16" t="str">
        <f t="shared" si="258"/>
        <v/>
      </c>
      <c r="CG360" s="16" t="str">
        <f t="shared" si="259"/>
        <v/>
      </c>
      <c r="CH360" s="16" t="str">
        <f t="shared" si="260"/>
        <v/>
      </c>
      <c r="CI360" s="16" t="str">
        <f t="shared" si="261"/>
        <v/>
      </c>
      <c r="CJ360" s="16" t="str">
        <f t="shared" si="262"/>
        <v/>
      </c>
      <c r="CK360" s="16" t="str">
        <f t="shared" si="263"/>
        <v/>
      </c>
      <c r="CL360" s="16" t="str">
        <f t="shared" si="264"/>
        <v/>
      </c>
      <c r="CM360" s="16" t="str">
        <f t="shared" si="265"/>
        <v/>
      </c>
      <c r="CN360" s="16" t="str">
        <f t="shared" si="266"/>
        <v/>
      </c>
      <c r="CO360" s="16" t="str">
        <f t="shared" si="267"/>
        <v/>
      </c>
      <c r="CP360" s="16" t="str">
        <f t="shared" si="268"/>
        <v/>
      </c>
      <c r="CQ360" s="16" t="str">
        <f t="shared" si="269"/>
        <v/>
      </c>
      <c r="CR360" s="16" t="str">
        <f t="shared" si="270"/>
        <v/>
      </c>
      <c r="CS360" s="16" t="str">
        <f t="shared" si="271"/>
        <v/>
      </c>
      <c r="CT360" s="16" t="str">
        <f t="shared" si="272"/>
        <v/>
      </c>
    </row>
    <row r="361" spans="1:99" x14ac:dyDescent="0.25">
      <c r="A361" s="13"/>
      <c r="B361" s="14"/>
      <c r="C361" s="15" t="str" cm="1">
        <f t="array" ref="C361">IF(B361="","",INDEX('Exercise list'!$C$5:$C$102,B361))</f>
        <v/>
      </c>
      <c r="D361" s="12" t="str">
        <f t="shared" si="274"/>
        <v/>
      </c>
      <c r="E361" s="107" t="str">
        <f t="shared" si="297"/>
        <v/>
      </c>
      <c r="F361" s="63" t="str" cm="1">
        <f t="array" ref="F361">IF(B361="","",0.1+IFERROR(INDEX($F$6:$F360,SUMPRODUCT(MAX(ROW($C$6:$C360)*($C361=$C$6:$C360))-ROW($A$5)))*0.9^($A361-INDEX($A$6:A360,SUMPRODUCT(MAX(ROW($C$6:$C360)*($C361=$C$6:$C360))-ROW($A$5)))),0))</f>
        <v/>
      </c>
      <c r="G361" s="64" t="e">
        <f>INDEX('Exercise list'!$Y$5:$Y$102,MATCH(C361,'Exercise list'!$C$5:$C$102,0))</f>
        <v>#N/A</v>
      </c>
      <c r="H361" s="115">
        <f t="shared" si="275"/>
        <v>0</v>
      </c>
      <c r="I361" s="6">
        <f t="shared" si="276"/>
        <v>5</v>
      </c>
      <c r="J361" s="6" t="str" cm="1">
        <f t="array" ref="J361">IF(B361="","",INDEX('Exercise list'!$D$5:$D$102,B361))</f>
        <v/>
      </c>
      <c r="K361" s="12"/>
      <c r="L361" s="74" t="str" cm="1">
        <f t="array" ref="L361">IF(K361="","",INDEX('Exercise list'!$C$5:$C$102,K361))</f>
        <v/>
      </c>
      <c r="M361" s="6"/>
      <c r="N361" s="75" t="str" cm="1">
        <f t="array" ref="N361">IF(M361="","",INDEX('Exercise list'!$C$5:$C$102,M361))</f>
        <v/>
      </c>
      <c r="P361">
        <f>IFERROR(INDEX('Exercise list'!$E$5:$X$102,MATCH($C361,'Exercise list'!$C$5:$C$102,0),MATCH(P$5,'Exercise list'!$E$4:$X$4,0)),0)</f>
        <v>0</v>
      </c>
      <c r="Q361">
        <f>IFERROR(INDEX('Exercise list'!$E$5:$X$102,MATCH($C361,'Exercise list'!$C$5:$C$102,0),MATCH(Q$5,'Exercise list'!$E$4:$X$4,0)),0)</f>
        <v>0</v>
      </c>
      <c r="R361">
        <f>IFERROR(INDEX('Exercise list'!$E$5:$X$102,MATCH($C361,'Exercise list'!$C$5:$C$102,0),MATCH(R$5,'Exercise list'!$E$4:$X$4,0)),0)</f>
        <v>0</v>
      </c>
      <c r="S361">
        <f>IFERROR(INDEX('Exercise list'!$E$5:$X$102,MATCH($C361,'Exercise list'!$C$5:$C$102,0),MATCH(S$5,'Exercise list'!$E$4:$X$4,0)),0)</f>
        <v>0</v>
      </c>
      <c r="T361">
        <f>IFERROR(INDEX('Exercise list'!$E$5:$X$102,MATCH($C361,'Exercise list'!$C$5:$C$102,0),MATCH(T$5,'Exercise list'!$E$4:$X$4,0)),0)</f>
        <v>0</v>
      </c>
      <c r="U361">
        <f>IFERROR(INDEX('Exercise list'!$E$5:$X$102,MATCH($C361,'Exercise list'!$C$5:$C$102,0),MATCH(U$5,'Exercise list'!$E$4:$X$4,0)),0)</f>
        <v>0</v>
      </c>
      <c r="V361">
        <f>IFERROR(INDEX('Exercise list'!$E$5:$X$102,MATCH($C361,'Exercise list'!$C$5:$C$102,0),MATCH(V$5,'Exercise list'!$E$4:$X$4,0)),0)</f>
        <v>0</v>
      </c>
      <c r="W361">
        <f>IFERROR(INDEX('Exercise list'!$E$5:$X$102,MATCH($C361,'Exercise list'!$C$5:$C$102,0),MATCH(W$5,'Exercise list'!$E$4:$X$4,0)),0)</f>
        <v>0</v>
      </c>
      <c r="X361">
        <f>IFERROR(INDEX('Exercise list'!$E$5:$X$102,MATCH($C361,'Exercise list'!$C$5:$C$102,0),MATCH(X$5,'Exercise list'!$E$4:$X$4,0)),0)</f>
        <v>0</v>
      </c>
      <c r="Y361">
        <f>IFERROR(INDEX('Exercise list'!$E$5:$X$102,MATCH($C361,'Exercise list'!$C$5:$C$102,0),MATCH(Y$5,'Exercise list'!$E$4:$X$4,0)),0)</f>
        <v>0</v>
      </c>
      <c r="Z361">
        <f>IFERROR(INDEX('Exercise list'!$E$5:$X$102,MATCH($C361,'Exercise list'!$C$5:$C$102,0),MATCH(Z$5,'Exercise list'!$E$4:$X$4,0)),0)</f>
        <v>0</v>
      </c>
      <c r="AA361">
        <f>IFERROR(INDEX('Exercise list'!$E$5:$X$102,MATCH($C361,'Exercise list'!$C$5:$C$102,0),MATCH(AA$5,'Exercise list'!$E$4:$X$4,0)),0)</f>
        <v>0</v>
      </c>
      <c r="AB361">
        <f>IFERROR(INDEX('Exercise list'!$E$5:$X$102,MATCH($C361,'Exercise list'!$C$5:$C$102,0),MATCH(AB$5,'Exercise list'!$E$4:$X$4,0)),0)</f>
        <v>0</v>
      </c>
      <c r="AC361">
        <f>IFERROR(INDEX('Exercise list'!$E$5:$X$102,MATCH($C361,'Exercise list'!$C$5:$C$102,0),MATCH(AC$5,'Exercise list'!$E$4:$X$4,0)),0)</f>
        <v>0</v>
      </c>
      <c r="AD361">
        <f>IFERROR(INDEX('Exercise list'!$E$5:$X$102,MATCH($C361,'Exercise list'!$C$5:$C$102,0),MATCH(AD$5,'Exercise list'!$E$4:$X$4,0)),0)</f>
        <v>0</v>
      </c>
      <c r="AE361">
        <f>IFERROR(INDEX('Exercise list'!$E$5:$X$102,MATCH($C361,'Exercise list'!$C$5:$C$102,0),MATCH(AE$5,'Exercise list'!$E$4:$X$4,0)),0)</f>
        <v>0</v>
      </c>
      <c r="AF361">
        <f>IFERROR(INDEX('Exercise list'!$E$5:$X$102,MATCH($C361,'Exercise list'!$C$5:$C$102,0),MATCH(AF$5,'Exercise list'!$E$4:$X$4,0)),0)</f>
        <v>0</v>
      </c>
      <c r="AG361">
        <f>IFERROR(INDEX('Exercise list'!$E$5:$X$102,MATCH($C361,'Exercise list'!$C$5:$C$102,0),MATCH(AG$5,'Exercise list'!$E$4:$X$4,0)),0)</f>
        <v>0</v>
      </c>
      <c r="AH361">
        <f>IFERROR(INDEX('Exercise list'!$E$5:$X$102,MATCH($C361,'Exercise list'!$C$5:$C$102,0),MATCH(AH$5,'Exercise list'!$E$4:$X$4,0)),0)</f>
        <v>0</v>
      </c>
      <c r="AI361">
        <f>IFERROR(INDEX('Exercise list'!$E$5:$X$102,MATCH($C361,'Exercise list'!$C$5:$C$102,0),MATCH(AI$5,'Exercise list'!$E$4:$X$4,0)),0)</f>
        <v>0</v>
      </c>
      <c r="AK361">
        <f>IF(OR($J361=1,COUNTIFS($A$5:$A360,"&gt;="&amp;$A361-1,$A$5:$A360,"&lt;="&amp;$A361,$B$5:$B360,$B361)&gt;0,MIN(1-'Exercise list'!E$2,IF($A361=$A360,AK360,1))-P361&lt;0),-1,MIN(1,IF($A361=$A360,AK360,1)-P361+$D$2))</f>
        <v>1</v>
      </c>
      <c r="AL361">
        <f>IF(OR($J361=1,COUNTIFS($A$5:$A360,"&gt;="&amp;$A361-1,$A$5:$A360,"&lt;="&amp;$A361,$B$5:$B360,$B361)&gt;0,MIN(1-'Exercise list'!F$2,IF($A361=$A360,AL360,1))-Q361&lt;0),-1,MIN(1,IF($A361=$A360,AL360,1)-Q361+$D$2))</f>
        <v>1</v>
      </c>
      <c r="AM361">
        <f>IF(OR($J361=1,COUNTIFS($A$5:$A360,"&gt;="&amp;$A361-1,$A$5:$A360,"&lt;="&amp;$A361,$B$5:$B360,$B361)&gt;0,MIN(1-'Exercise list'!G$2,IF($A361=$A360,AM360,1))-R361&lt;0),-1,MIN(1,IF($A361=$A360,AM360,1)-R361+$D$2))</f>
        <v>1</v>
      </c>
      <c r="AN361">
        <f>IF(OR($J361=1,COUNTIFS($A$5:$A360,"&gt;="&amp;$A361-1,$A$5:$A360,"&lt;="&amp;$A361,$B$5:$B360,$B361)&gt;0,MIN(1-'Exercise list'!H$2,IF($A361=$A360,AN360,1))-S361&lt;0),-1,MIN(1,IF($A361=$A360,AN360,1)-S361+$D$2))</f>
        <v>1</v>
      </c>
      <c r="AO361">
        <f>IF(OR($J361=1,COUNTIFS($A$5:$A360,"&gt;="&amp;$A361-1,$A$5:$A360,"&lt;="&amp;$A361,$B$5:$B360,$B361)&gt;0,MIN(1-'Exercise list'!I$2,IF($A361=$A360,AO360,1))-T361&lt;0),-1,MIN(1,IF($A361=$A360,AO360,1)-T361+$D$2))</f>
        <v>1</v>
      </c>
      <c r="AP361">
        <f>IF(OR($J361=1,COUNTIFS($A$5:$A360,"&gt;="&amp;$A361-1,$A$5:$A360,"&lt;="&amp;$A361,$B$5:$B360,$B361)&gt;0,MIN(1-'Exercise list'!J$2,IF($A361=$A360,AP360,1))-U361&lt;0),-1,MIN(1,IF($A361=$A360,AP360,1)-U361+$D$2))</f>
        <v>1</v>
      </c>
      <c r="AQ361">
        <f>IF(OR($J361=1,COUNTIFS($A$5:$A360,"&gt;="&amp;$A361-1,$A$5:$A360,"&lt;="&amp;$A361,$B$5:$B360,$B361)&gt;0,MIN(1-'Exercise list'!K$2,IF($A361=$A360,AQ360,1))-V361&lt;0),-1,MIN(1,IF($A361=$A360,AQ360,1)-V361+$D$2))</f>
        <v>1</v>
      </c>
      <c r="AR361">
        <f>IF(OR($J361=1,COUNTIFS($A$5:$A360,"&gt;="&amp;$A361-1,$A$5:$A360,"&lt;="&amp;$A361,$B$5:$B360,$B361)&gt;0,MIN(1-'Exercise list'!L$2,IF($A361=$A360,AR360,1))-W361&lt;0),-1,MIN(1,IF($A361=$A360,AR360,1)-W361+$D$2))</f>
        <v>1</v>
      </c>
      <c r="AS361">
        <f>IF(OR($J361=1,COUNTIFS($A$5:$A360,"&gt;="&amp;$A361-1,$A$5:$A360,"&lt;="&amp;$A361,$B$5:$B360,$B361)&gt;0,MIN(1-'Exercise list'!M$2,IF($A361=$A360,AS360,1))-X361&lt;0),-1,MIN(1,IF($A361=$A360,AS360,1)-X361+$D$2))</f>
        <v>1</v>
      </c>
      <c r="AT361">
        <f>IF(OR($J361=1,COUNTIFS($A$5:$A360,"&gt;="&amp;$A361-1,$A$5:$A360,"&lt;="&amp;$A361,$B$5:$B360,$B361)&gt;0,MIN(1-'Exercise list'!N$2,IF($A361=$A360,AT360,1))-Y361&lt;0),-1,MIN(1,IF($A361=$A360,AT360,1)-Y361+$D$2))</f>
        <v>1</v>
      </c>
      <c r="AU361">
        <f>IF(OR($J361=1,COUNTIFS($A$5:$A360,"&gt;="&amp;$A361-1,$A$5:$A360,"&lt;="&amp;$A361,$B$5:$B360,$B361)&gt;0,MIN(1-'Exercise list'!O$2,IF($A361=$A360,AU360,1))-Z361&lt;0),-1,MIN(1,IF($A361=$A360,AU360,1)-Z361+$D$2))</f>
        <v>1</v>
      </c>
      <c r="AV361">
        <f>IF(OR($J361=1,COUNTIFS($A$5:$A360,"&gt;="&amp;$A361-1,$A$5:$A360,"&lt;="&amp;$A361,$B$5:$B360,$B361)&gt;0,MIN(1-'Exercise list'!P$2,IF($A361=$A360,AV360,1))-AA361&lt;0),-1,MIN(1,IF($A361=$A360,AV360,1)-AA361+$D$2))</f>
        <v>1</v>
      </c>
      <c r="AW361">
        <f>IF(OR($J361=1,COUNTIFS($A$5:$A360,"&gt;="&amp;$A361-1,$A$5:$A360,"&lt;="&amp;$A361,$B$5:$B360,$B361)&gt;0,MIN(1-'Exercise list'!Q$2,IF($A361=$A360,AW360,1))-AB361&lt;0),-1,MIN(1,IF($A361=$A360,AW360,1)-AB361+$D$2))</f>
        <v>1</v>
      </c>
      <c r="AX361">
        <f>IF(OR($J361=1,COUNTIFS($A$5:$A360,"&gt;="&amp;$A361-1,$A$5:$A360,"&lt;="&amp;$A361,$B$5:$B360,$B361)&gt;0,MIN(1-'Exercise list'!R$2,IF($A361=$A360,AX360,1))-AC361&lt;0),-1,MIN(1,IF($A361=$A360,AX360,1)-AC361+$D$2))</f>
        <v>1</v>
      </c>
      <c r="AY361">
        <f>IF(OR($J361=1,COUNTIFS($A$5:$A360,"&gt;="&amp;$A361-1,$A$5:$A360,"&lt;="&amp;$A361,$B$5:$B360,$B361)&gt;0,MIN(1-'Exercise list'!S$2,IF($A361=$A360,AY360,1))-AD361&lt;0),-1,MIN(1,IF($A361=$A360,AY360,1)-AD361+$D$2))</f>
        <v>1</v>
      </c>
      <c r="AZ361">
        <f>IF(OR($J361=1,COUNTIFS($A$5:$A360,"&gt;="&amp;$A361-1,$A$5:$A360,"&lt;="&amp;$A361,$B$5:$B360,$B361)&gt;0,MIN(1-'Exercise list'!T$2,IF($A361=$A360,AZ360,1))-AE361&lt;0),-1,MIN(1,IF($A361=$A360,AZ360,1)-AE361+$D$2))</f>
        <v>1</v>
      </c>
      <c r="BA361">
        <f>IF(OR($J361=1,COUNTIFS($A$5:$A360,"&gt;="&amp;$A361-1,$A$5:$A360,"&lt;="&amp;$A361,$B$5:$B360,$B361)&gt;0,MIN(1-'Exercise list'!U$2,IF($A361=$A360,BA360,1))-AF361&lt;0),-1,MIN(1,IF($A361=$A360,BA360,1)-AF361+$D$2))</f>
        <v>1</v>
      </c>
      <c r="BB361">
        <f>IF(OR($J361=1,COUNTIFS($A$5:$A360,"&gt;="&amp;$A361-1,$A$5:$A360,"&lt;="&amp;$A361,$B$5:$B360,$B361)&gt;0,MIN(1-'Exercise list'!V$2,IF($A361=$A360,BB360,1))-AG361&lt;0),-1,MIN(1,IF($A361=$A360,BB360,1)-AG361+$D$2))</f>
        <v>1</v>
      </c>
      <c r="BC361">
        <f>IF(OR($J361=1,COUNTIFS($A$5:$A360,"&gt;="&amp;$A361-1,$A$5:$A360,"&lt;="&amp;$A361,$B$5:$B360,$B361)&gt;0,MIN(1-'Exercise list'!W$2,IF($A361=$A360,BC360,1))-AH361&lt;0),-1,MIN(1,IF($A361=$A360,BC360,1)-AH361+$D$2))</f>
        <v>1</v>
      </c>
      <c r="BD361">
        <f>IF(OR($J361=1,COUNTIFS($A$5:$A360,"&gt;="&amp;$A361-1,$A$5:$A360,"&lt;="&amp;$A361,$B$5:$B360,$B361)&gt;0,MIN(1-'Exercise list'!X$2,IF($A361=$A360,BD360,1))-AI361&lt;0),-1,MIN(1,IF($A361=$A360,BD360,1)-AI361+$D$2))</f>
        <v>1</v>
      </c>
      <c r="BF361" s="16">
        <f t="shared" si="277"/>
        <v>0.19596031081758858</v>
      </c>
      <c r="BG361" s="16">
        <f t="shared" si="278"/>
        <v>0.21844636935459236</v>
      </c>
      <c r="BH361" s="16">
        <f t="shared" si="279"/>
        <v>0.14609696635987124</v>
      </c>
      <c r="BI361" s="16">
        <f t="shared" si="280"/>
        <v>0.13198015366034541</v>
      </c>
      <c r="BJ361" s="16">
        <f t="shared" si="281"/>
        <v>8.3367914198418713E-2</v>
      </c>
      <c r="BK361" s="16">
        <f t="shared" si="282"/>
        <v>0.10640640223148412</v>
      </c>
      <c r="BL361" s="16">
        <f t="shared" si="283"/>
        <v>0.21963504743569431</v>
      </c>
      <c r="BM361" s="16">
        <f t="shared" si="284"/>
        <v>3.8988008374820568E-3</v>
      </c>
      <c r="BN361" s="16">
        <f t="shared" si="285"/>
        <v>0.14537706087090876</v>
      </c>
      <c r="BO361" s="16">
        <f t="shared" si="286"/>
        <v>0.29209790661993401</v>
      </c>
      <c r="BP361" s="16">
        <f t="shared" si="287"/>
        <v>0.31584545163401867</v>
      </c>
      <c r="BQ361" s="16">
        <f t="shared" si="288"/>
        <v>0.1000007994126096</v>
      </c>
      <c r="BR361" s="16">
        <f t="shared" si="289"/>
        <v>0.13164487759885393</v>
      </c>
      <c r="BS361" s="16">
        <f t="shared" si="290"/>
        <v>2.9803550189863123E-2</v>
      </c>
      <c r="BT361" s="16">
        <f t="shared" si="291"/>
        <v>0.13492040904978705</v>
      </c>
      <c r="BU361" s="16">
        <f t="shared" si="292"/>
        <v>0.11703687414398131</v>
      </c>
      <c r="BV361" s="16">
        <f t="shared" si="293"/>
        <v>0.14633353213781661</v>
      </c>
      <c r="BW361" s="16">
        <f t="shared" si="294"/>
        <v>7.5588015111767173E-2</v>
      </c>
      <c r="BX361" s="16">
        <f t="shared" si="295"/>
        <v>8.0345659937185704E-2</v>
      </c>
      <c r="BY361" s="16">
        <f t="shared" si="296"/>
        <v>5.9014643151272549E-2</v>
      </c>
      <c r="CA361" s="16" t="str">
        <f t="shared" si="273"/>
        <v/>
      </c>
      <c r="CB361" s="16" t="str">
        <f t="shared" si="254"/>
        <v/>
      </c>
      <c r="CC361" s="16" t="str">
        <f t="shared" si="255"/>
        <v/>
      </c>
      <c r="CD361" s="16" t="str">
        <f t="shared" si="256"/>
        <v/>
      </c>
      <c r="CE361" s="16" t="str">
        <f t="shared" si="257"/>
        <v/>
      </c>
      <c r="CF361" s="16" t="str">
        <f t="shared" si="258"/>
        <v/>
      </c>
      <c r="CG361" s="16" t="str">
        <f t="shared" si="259"/>
        <v/>
      </c>
      <c r="CH361" s="16" t="str">
        <f t="shared" si="260"/>
        <v/>
      </c>
      <c r="CI361" s="16" t="str">
        <f t="shared" si="261"/>
        <v/>
      </c>
      <c r="CJ361" s="16" t="str">
        <f t="shared" si="262"/>
        <v/>
      </c>
      <c r="CK361" s="16" t="str">
        <f t="shared" si="263"/>
        <v/>
      </c>
      <c r="CL361" s="16" t="str">
        <f t="shared" si="264"/>
        <v/>
      </c>
      <c r="CM361" s="16" t="str">
        <f t="shared" si="265"/>
        <v/>
      </c>
      <c r="CN361" s="16" t="str">
        <f t="shared" si="266"/>
        <v/>
      </c>
      <c r="CO361" s="16" t="str">
        <f t="shared" si="267"/>
        <v/>
      </c>
      <c r="CP361" s="16" t="str">
        <f t="shared" si="268"/>
        <v/>
      </c>
      <c r="CQ361" s="16" t="str">
        <f t="shared" si="269"/>
        <v/>
      </c>
      <c r="CR361" s="16" t="str">
        <f t="shared" si="270"/>
        <v/>
      </c>
      <c r="CS361" s="16" t="str">
        <f t="shared" si="271"/>
        <v/>
      </c>
      <c r="CT361" s="16" t="str">
        <f t="shared" si="272"/>
        <v/>
      </c>
    </row>
    <row r="362" spans="1:99" x14ac:dyDescent="0.25">
      <c r="A362" s="13"/>
      <c r="B362" s="14"/>
      <c r="C362" s="15" t="str" cm="1">
        <f t="array" ref="C362">IF(B362="","",INDEX('Exercise list'!$C$5:$C$102,B362))</f>
        <v/>
      </c>
      <c r="D362" s="12" t="str">
        <f t="shared" si="274"/>
        <v/>
      </c>
      <c r="E362" s="107" t="str">
        <f t="shared" si="297"/>
        <v/>
      </c>
      <c r="F362" s="63" t="str" cm="1">
        <f t="array" ref="F362">IF(B362="","",0.1+IFERROR(INDEX($F$6:$F361,SUMPRODUCT(MAX(ROW($C$6:$C361)*($C362=$C$6:$C361))-ROW($A$5)))*0.9^($A362-INDEX($A$6:A361,SUMPRODUCT(MAX(ROW($C$6:$C361)*($C362=$C$6:$C361))-ROW($A$5)))),0))</f>
        <v/>
      </c>
      <c r="G362" s="64" t="e">
        <f>INDEX('Exercise list'!$Y$5:$Y$102,MATCH(C362,'Exercise list'!$C$5:$C$102,0))</f>
        <v>#N/A</v>
      </c>
      <c r="H362" s="115">
        <f t="shared" si="275"/>
        <v>0</v>
      </c>
      <c r="I362" s="6">
        <f t="shared" si="276"/>
        <v>5</v>
      </c>
      <c r="J362" s="6" t="str" cm="1">
        <f t="array" ref="J362">IF(B362="","",INDEX('Exercise list'!$D$5:$D$102,B362))</f>
        <v/>
      </c>
      <c r="K362" s="12"/>
      <c r="L362" s="74" t="str" cm="1">
        <f t="array" ref="L362">IF(K362="","",INDEX('Exercise list'!$C$5:$C$102,K362))</f>
        <v/>
      </c>
      <c r="M362" s="6"/>
      <c r="N362" s="75" t="str" cm="1">
        <f t="array" ref="N362">IF(M362="","",INDEX('Exercise list'!$C$5:$C$102,M362))</f>
        <v/>
      </c>
      <c r="P362">
        <f>IFERROR(INDEX('Exercise list'!$E$5:$X$102,MATCH($C362,'Exercise list'!$C$5:$C$102,0),MATCH(P$5,'Exercise list'!$E$4:$X$4,0)),0)</f>
        <v>0</v>
      </c>
      <c r="Q362">
        <f>IFERROR(INDEX('Exercise list'!$E$5:$X$102,MATCH($C362,'Exercise list'!$C$5:$C$102,0),MATCH(Q$5,'Exercise list'!$E$4:$X$4,0)),0)</f>
        <v>0</v>
      </c>
      <c r="R362">
        <f>IFERROR(INDEX('Exercise list'!$E$5:$X$102,MATCH($C362,'Exercise list'!$C$5:$C$102,0),MATCH(R$5,'Exercise list'!$E$4:$X$4,0)),0)</f>
        <v>0</v>
      </c>
      <c r="S362">
        <f>IFERROR(INDEX('Exercise list'!$E$5:$X$102,MATCH($C362,'Exercise list'!$C$5:$C$102,0),MATCH(S$5,'Exercise list'!$E$4:$X$4,0)),0)</f>
        <v>0</v>
      </c>
      <c r="T362">
        <f>IFERROR(INDEX('Exercise list'!$E$5:$X$102,MATCH($C362,'Exercise list'!$C$5:$C$102,0),MATCH(T$5,'Exercise list'!$E$4:$X$4,0)),0)</f>
        <v>0</v>
      </c>
      <c r="U362">
        <f>IFERROR(INDEX('Exercise list'!$E$5:$X$102,MATCH($C362,'Exercise list'!$C$5:$C$102,0),MATCH(U$5,'Exercise list'!$E$4:$X$4,0)),0)</f>
        <v>0</v>
      </c>
      <c r="V362">
        <f>IFERROR(INDEX('Exercise list'!$E$5:$X$102,MATCH($C362,'Exercise list'!$C$5:$C$102,0),MATCH(V$5,'Exercise list'!$E$4:$X$4,0)),0)</f>
        <v>0</v>
      </c>
      <c r="W362">
        <f>IFERROR(INDEX('Exercise list'!$E$5:$X$102,MATCH($C362,'Exercise list'!$C$5:$C$102,0),MATCH(W$5,'Exercise list'!$E$4:$X$4,0)),0)</f>
        <v>0</v>
      </c>
      <c r="X362">
        <f>IFERROR(INDEX('Exercise list'!$E$5:$X$102,MATCH($C362,'Exercise list'!$C$5:$C$102,0),MATCH(X$5,'Exercise list'!$E$4:$X$4,0)),0)</f>
        <v>0</v>
      </c>
      <c r="Y362">
        <f>IFERROR(INDEX('Exercise list'!$E$5:$X$102,MATCH($C362,'Exercise list'!$C$5:$C$102,0),MATCH(Y$5,'Exercise list'!$E$4:$X$4,0)),0)</f>
        <v>0</v>
      </c>
      <c r="Z362">
        <f>IFERROR(INDEX('Exercise list'!$E$5:$X$102,MATCH($C362,'Exercise list'!$C$5:$C$102,0),MATCH(Z$5,'Exercise list'!$E$4:$X$4,0)),0)</f>
        <v>0</v>
      </c>
      <c r="AA362">
        <f>IFERROR(INDEX('Exercise list'!$E$5:$X$102,MATCH($C362,'Exercise list'!$C$5:$C$102,0),MATCH(AA$5,'Exercise list'!$E$4:$X$4,0)),0)</f>
        <v>0</v>
      </c>
      <c r="AB362">
        <f>IFERROR(INDEX('Exercise list'!$E$5:$X$102,MATCH($C362,'Exercise list'!$C$5:$C$102,0),MATCH(AB$5,'Exercise list'!$E$4:$X$4,0)),0)</f>
        <v>0</v>
      </c>
      <c r="AC362">
        <f>IFERROR(INDEX('Exercise list'!$E$5:$X$102,MATCH($C362,'Exercise list'!$C$5:$C$102,0),MATCH(AC$5,'Exercise list'!$E$4:$X$4,0)),0)</f>
        <v>0</v>
      </c>
      <c r="AD362">
        <f>IFERROR(INDEX('Exercise list'!$E$5:$X$102,MATCH($C362,'Exercise list'!$C$5:$C$102,0),MATCH(AD$5,'Exercise list'!$E$4:$X$4,0)),0)</f>
        <v>0</v>
      </c>
      <c r="AE362">
        <f>IFERROR(INDEX('Exercise list'!$E$5:$X$102,MATCH($C362,'Exercise list'!$C$5:$C$102,0),MATCH(AE$5,'Exercise list'!$E$4:$X$4,0)),0)</f>
        <v>0</v>
      </c>
      <c r="AF362">
        <f>IFERROR(INDEX('Exercise list'!$E$5:$X$102,MATCH($C362,'Exercise list'!$C$5:$C$102,0),MATCH(AF$5,'Exercise list'!$E$4:$X$4,0)),0)</f>
        <v>0</v>
      </c>
      <c r="AG362">
        <f>IFERROR(INDEX('Exercise list'!$E$5:$X$102,MATCH($C362,'Exercise list'!$C$5:$C$102,0),MATCH(AG$5,'Exercise list'!$E$4:$X$4,0)),0)</f>
        <v>0</v>
      </c>
      <c r="AH362">
        <f>IFERROR(INDEX('Exercise list'!$E$5:$X$102,MATCH($C362,'Exercise list'!$C$5:$C$102,0),MATCH(AH$5,'Exercise list'!$E$4:$X$4,0)),0)</f>
        <v>0</v>
      </c>
      <c r="AI362">
        <f>IFERROR(INDEX('Exercise list'!$E$5:$X$102,MATCH($C362,'Exercise list'!$C$5:$C$102,0),MATCH(AI$5,'Exercise list'!$E$4:$X$4,0)),0)</f>
        <v>0</v>
      </c>
      <c r="AK362">
        <f>IF(OR($J362=1,COUNTIFS($A$5:$A361,"&gt;="&amp;$A362-1,$A$5:$A361,"&lt;="&amp;$A362,$B$5:$B361,$B362)&gt;0,MIN(1-'Exercise list'!E$2,IF($A362=$A361,AK361,1))-P362&lt;0),-1,MIN(1,IF($A362=$A361,AK361,1)-P362+$D$2))</f>
        <v>1</v>
      </c>
      <c r="AL362">
        <f>IF(OR($J362=1,COUNTIFS($A$5:$A361,"&gt;="&amp;$A362-1,$A$5:$A361,"&lt;="&amp;$A362,$B$5:$B361,$B362)&gt;0,MIN(1-'Exercise list'!F$2,IF($A362=$A361,AL361,1))-Q362&lt;0),-1,MIN(1,IF($A362=$A361,AL361,1)-Q362+$D$2))</f>
        <v>1</v>
      </c>
      <c r="AM362">
        <f>IF(OR($J362=1,COUNTIFS($A$5:$A361,"&gt;="&amp;$A362-1,$A$5:$A361,"&lt;="&amp;$A362,$B$5:$B361,$B362)&gt;0,MIN(1-'Exercise list'!G$2,IF($A362=$A361,AM361,1))-R362&lt;0),-1,MIN(1,IF($A362=$A361,AM361,1)-R362+$D$2))</f>
        <v>1</v>
      </c>
      <c r="AN362">
        <f>IF(OR($J362=1,COUNTIFS($A$5:$A361,"&gt;="&amp;$A362-1,$A$5:$A361,"&lt;="&amp;$A362,$B$5:$B361,$B362)&gt;0,MIN(1-'Exercise list'!H$2,IF($A362=$A361,AN361,1))-S362&lt;0),-1,MIN(1,IF($A362=$A361,AN361,1)-S362+$D$2))</f>
        <v>1</v>
      </c>
      <c r="AO362">
        <f>IF(OR($J362=1,COUNTIFS($A$5:$A361,"&gt;="&amp;$A362-1,$A$5:$A361,"&lt;="&amp;$A362,$B$5:$B361,$B362)&gt;0,MIN(1-'Exercise list'!I$2,IF($A362=$A361,AO361,1))-T362&lt;0),-1,MIN(1,IF($A362=$A361,AO361,1)-T362+$D$2))</f>
        <v>1</v>
      </c>
      <c r="AP362">
        <f>IF(OR($J362=1,COUNTIFS($A$5:$A361,"&gt;="&amp;$A362-1,$A$5:$A361,"&lt;="&amp;$A362,$B$5:$B361,$B362)&gt;0,MIN(1-'Exercise list'!J$2,IF($A362=$A361,AP361,1))-U362&lt;0),-1,MIN(1,IF($A362=$A361,AP361,1)-U362+$D$2))</f>
        <v>1</v>
      </c>
      <c r="AQ362">
        <f>IF(OR($J362=1,COUNTIFS($A$5:$A361,"&gt;="&amp;$A362-1,$A$5:$A361,"&lt;="&amp;$A362,$B$5:$B361,$B362)&gt;0,MIN(1-'Exercise list'!K$2,IF($A362=$A361,AQ361,1))-V362&lt;0),-1,MIN(1,IF($A362=$A361,AQ361,1)-V362+$D$2))</f>
        <v>1</v>
      </c>
      <c r="AR362">
        <f>IF(OR($J362=1,COUNTIFS($A$5:$A361,"&gt;="&amp;$A362-1,$A$5:$A361,"&lt;="&amp;$A362,$B$5:$B361,$B362)&gt;0,MIN(1-'Exercise list'!L$2,IF($A362=$A361,AR361,1))-W362&lt;0),-1,MIN(1,IF($A362=$A361,AR361,1)-W362+$D$2))</f>
        <v>1</v>
      </c>
      <c r="AS362">
        <f>IF(OR($J362=1,COUNTIFS($A$5:$A361,"&gt;="&amp;$A362-1,$A$5:$A361,"&lt;="&amp;$A362,$B$5:$B361,$B362)&gt;0,MIN(1-'Exercise list'!M$2,IF($A362=$A361,AS361,1))-X362&lt;0),-1,MIN(1,IF($A362=$A361,AS361,1)-X362+$D$2))</f>
        <v>1</v>
      </c>
      <c r="AT362">
        <f>IF(OR($J362=1,COUNTIFS($A$5:$A361,"&gt;="&amp;$A362-1,$A$5:$A361,"&lt;="&amp;$A362,$B$5:$B361,$B362)&gt;0,MIN(1-'Exercise list'!N$2,IF($A362=$A361,AT361,1))-Y362&lt;0),-1,MIN(1,IF($A362=$A361,AT361,1)-Y362+$D$2))</f>
        <v>1</v>
      </c>
      <c r="AU362">
        <f>IF(OR($J362=1,COUNTIFS($A$5:$A361,"&gt;="&amp;$A362-1,$A$5:$A361,"&lt;="&amp;$A362,$B$5:$B361,$B362)&gt;0,MIN(1-'Exercise list'!O$2,IF($A362=$A361,AU361,1))-Z362&lt;0),-1,MIN(1,IF($A362=$A361,AU361,1)-Z362+$D$2))</f>
        <v>1</v>
      </c>
      <c r="AV362">
        <f>IF(OR($J362=1,COUNTIFS($A$5:$A361,"&gt;="&amp;$A362-1,$A$5:$A361,"&lt;="&amp;$A362,$B$5:$B361,$B362)&gt;0,MIN(1-'Exercise list'!P$2,IF($A362=$A361,AV361,1))-AA362&lt;0),-1,MIN(1,IF($A362=$A361,AV361,1)-AA362+$D$2))</f>
        <v>1</v>
      </c>
      <c r="AW362">
        <f>IF(OR($J362=1,COUNTIFS($A$5:$A361,"&gt;="&amp;$A362-1,$A$5:$A361,"&lt;="&amp;$A362,$B$5:$B361,$B362)&gt;0,MIN(1-'Exercise list'!Q$2,IF($A362=$A361,AW361,1))-AB362&lt;0),-1,MIN(1,IF($A362=$A361,AW361,1)-AB362+$D$2))</f>
        <v>1</v>
      </c>
      <c r="AX362">
        <f>IF(OR($J362=1,COUNTIFS($A$5:$A361,"&gt;="&amp;$A362-1,$A$5:$A361,"&lt;="&amp;$A362,$B$5:$B361,$B362)&gt;0,MIN(1-'Exercise list'!R$2,IF($A362=$A361,AX361,1))-AC362&lt;0),-1,MIN(1,IF($A362=$A361,AX361,1)-AC362+$D$2))</f>
        <v>1</v>
      </c>
      <c r="AY362">
        <f>IF(OR($J362=1,COUNTIFS($A$5:$A361,"&gt;="&amp;$A362-1,$A$5:$A361,"&lt;="&amp;$A362,$B$5:$B361,$B362)&gt;0,MIN(1-'Exercise list'!S$2,IF($A362=$A361,AY361,1))-AD362&lt;0),-1,MIN(1,IF($A362=$A361,AY361,1)-AD362+$D$2))</f>
        <v>1</v>
      </c>
      <c r="AZ362">
        <f>IF(OR($J362=1,COUNTIFS($A$5:$A361,"&gt;="&amp;$A362-1,$A$5:$A361,"&lt;="&amp;$A362,$B$5:$B361,$B362)&gt;0,MIN(1-'Exercise list'!T$2,IF($A362=$A361,AZ361,1))-AE362&lt;0),-1,MIN(1,IF($A362=$A361,AZ361,1)-AE362+$D$2))</f>
        <v>1</v>
      </c>
      <c r="BA362">
        <f>IF(OR($J362=1,COUNTIFS($A$5:$A361,"&gt;="&amp;$A362-1,$A$5:$A361,"&lt;="&amp;$A362,$B$5:$B361,$B362)&gt;0,MIN(1-'Exercise list'!U$2,IF($A362=$A361,BA361,1))-AF362&lt;0),-1,MIN(1,IF($A362=$A361,BA361,1)-AF362+$D$2))</f>
        <v>1</v>
      </c>
      <c r="BB362">
        <f>IF(OR($J362=1,COUNTIFS($A$5:$A361,"&gt;="&amp;$A362-1,$A$5:$A361,"&lt;="&amp;$A362,$B$5:$B361,$B362)&gt;0,MIN(1-'Exercise list'!V$2,IF($A362=$A361,BB361,1))-AG362&lt;0),-1,MIN(1,IF($A362=$A361,BB361,1)-AG362+$D$2))</f>
        <v>1</v>
      </c>
      <c r="BC362">
        <f>IF(OR($J362=1,COUNTIFS($A$5:$A361,"&gt;="&amp;$A362-1,$A$5:$A361,"&lt;="&amp;$A362,$B$5:$B361,$B362)&gt;0,MIN(1-'Exercise list'!W$2,IF($A362=$A361,BC361,1))-AH362&lt;0),-1,MIN(1,IF($A362=$A361,BC361,1)-AH362+$D$2))</f>
        <v>1</v>
      </c>
      <c r="BD362">
        <f>IF(OR($J362=1,COUNTIFS($A$5:$A361,"&gt;="&amp;$A362-1,$A$5:$A361,"&lt;="&amp;$A362,$B$5:$B361,$B362)&gt;0,MIN(1-'Exercise list'!X$2,IF($A362=$A361,BD361,1))-AI362&lt;0),-1,MIN(1,IF($A362=$A361,BD361,1)-AI362+$D$2))</f>
        <v>1</v>
      </c>
      <c r="BF362" s="16">
        <f t="shared" si="277"/>
        <v>0.19596031081758858</v>
      </c>
      <c r="BG362" s="16">
        <f t="shared" si="278"/>
        <v>0.21844636935459236</v>
      </c>
      <c r="BH362" s="16">
        <f t="shared" si="279"/>
        <v>0.14609696635987124</v>
      </c>
      <c r="BI362" s="16">
        <f t="shared" si="280"/>
        <v>0.13198015366034541</v>
      </c>
      <c r="BJ362" s="16">
        <f t="shared" si="281"/>
        <v>8.3367914198418713E-2</v>
      </c>
      <c r="BK362" s="16">
        <f t="shared" si="282"/>
        <v>0.10640640223148412</v>
      </c>
      <c r="BL362" s="16">
        <f t="shared" si="283"/>
        <v>0.21963504743569431</v>
      </c>
      <c r="BM362" s="16">
        <f t="shared" si="284"/>
        <v>3.8988008374820568E-3</v>
      </c>
      <c r="BN362" s="16">
        <f t="shared" si="285"/>
        <v>0.14537706087090876</v>
      </c>
      <c r="BO362" s="16">
        <f t="shared" si="286"/>
        <v>0.29209790661993401</v>
      </c>
      <c r="BP362" s="16">
        <f t="shared" si="287"/>
        <v>0.31584545163401867</v>
      </c>
      <c r="BQ362" s="16">
        <f t="shared" si="288"/>
        <v>0.1000007994126096</v>
      </c>
      <c r="BR362" s="16">
        <f t="shared" si="289"/>
        <v>0.13164487759885393</v>
      </c>
      <c r="BS362" s="16">
        <f t="shared" si="290"/>
        <v>2.9803550189863123E-2</v>
      </c>
      <c r="BT362" s="16">
        <f t="shared" si="291"/>
        <v>0.13492040904978705</v>
      </c>
      <c r="BU362" s="16">
        <f t="shared" si="292"/>
        <v>0.11703687414398131</v>
      </c>
      <c r="BV362" s="16">
        <f t="shared" si="293"/>
        <v>0.14633353213781661</v>
      </c>
      <c r="BW362" s="16">
        <f t="shared" si="294"/>
        <v>7.5588015111767173E-2</v>
      </c>
      <c r="BX362" s="16">
        <f t="shared" si="295"/>
        <v>8.0345659937185704E-2</v>
      </c>
      <c r="BY362" s="16">
        <f t="shared" si="296"/>
        <v>5.9014643151272549E-2</v>
      </c>
      <c r="CA362" s="16" t="str">
        <f t="shared" si="273"/>
        <v/>
      </c>
      <c r="CB362" s="16" t="str">
        <f t="shared" si="254"/>
        <v/>
      </c>
      <c r="CC362" s="16" t="str">
        <f t="shared" si="255"/>
        <v/>
      </c>
      <c r="CD362" s="16" t="str">
        <f t="shared" si="256"/>
        <v/>
      </c>
      <c r="CE362" s="16" t="str">
        <f t="shared" si="257"/>
        <v/>
      </c>
      <c r="CF362" s="16" t="str">
        <f t="shared" si="258"/>
        <v/>
      </c>
      <c r="CG362" s="16" t="str">
        <f t="shared" si="259"/>
        <v/>
      </c>
      <c r="CH362" s="16" t="str">
        <f t="shared" si="260"/>
        <v/>
      </c>
      <c r="CI362" s="16" t="str">
        <f t="shared" si="261"/>
        <v/>
      </c>
      <c r="CJ362" s="16" t="str">
        <f t="shared" si="262"/>
        <v/>
      </c>
      <c r="CK362" s="16" t="str">
        <f t="shared" si="263"/>
        <v/>
      </c>
      <c r="CL362" s="16" t="str">
        <f t="shared" si="264"/>
        <v/>
      </c>
      <c r="CM362" s="16" t="str">
        <f t="shared" si="265"/>
        <v/>
      </c>
      <c r="CN362" s="16" t="str">
        <f t="shared" si="266"/>
        <v/>
      </c>
      <c r="CO362" s="16" t="str">
        <f t="shared" si="267"/>
        <v/>
      </c>
      <c r="CP362" s="16" t="str">
        <f t="shared" si="268"/>
        <v/>
      </c>
      <c r="CQ362" s="16" t="str">
        <f t="shared" si="269"/>
        <v/>
      </c>
      <c r="CR362" s="16" t="str">
        <f t="shared" si="270"/>
        <v/>
      </c>
      <c r="CS362" s="16" t="str">
        <f t="shared" si="271"/>
        <v/>
      </c>
      <c r="CT362" s="16" t="str">
        <f t="shared" si="272"/>
        <v/>
      </c>
    </row>
    <row r="363" spans="1:99" x14ac:dyDescent="0.25">
      <c r="A363" s="20"/>
      <c r="B363" s="21"/>
      <c r="C363" s="22" t="str" cm="1">
        <f t="array" ref="C363">IF(B363="","",INDEX('Exercise list'!$C$5:$C$102,B363))</f>
        <v/>
      </c>
      <c r="D363" s="17" t="str">
        <f t="shared" si="274"/>
        <v/>
      </c>
      <c r="E363" s="108" t="str">
        <f t="shared" si="297"/>
        <v/>
      </c>
      <c r="F363" s="65" t="str" cm="1">
        <f t="array" ref="F363">IF(B363="","",0.1+IFERROR(INDEX($F$6:$F362,SUMPRODUCT(MAX(ROW($C$6:$C362)*($C363=$C$6:$C362))-ROW($A$5)))*0.9^($A363-INDEX($A$6:A362,SUMPRODUCT(MAX(ROW($C$6:$C362)*($C363=$C$6:$C362))-ROW($A$5)))),0))</f>
        <v/>
      </c>
      <c r="G363" s="25" t="e">
        <f>INDEX('Exercise list'!$Y$5:$Y$102,MATCH(C363,'Exercise list'!$C$5:$C$102,0))</f>
        <v>#N/A</v>
      </c>
      <c r="H363" s="116">
        <f t="shared" si="275"/>
        <v>0</v>
      </c>
      <c r="I363" s="18">
        <f t="shared" si="276"/>
        <v>5</v>
      </c>
      <c r="J363" s="18" t="str" cm="1">
        <f t="array" ref="J363">IF(B363="","",INDEX('Exercise list'!$D$5:$D$102,B363))</f>
        <v/>
      </c>
      <c r="K363" s="17"/>
      <c r="L363" s="51" t="str" cm="1">
        <f t="array" ref="L363">IF(K363="","",INDEX('Exercise list'!$C$5:$C$102,K363))</f>
        <v/>
      </c>
      <c r="M363" s="18"/>
      <c r="N363" s="76" t="str" cm="1">
        <f t="array" ref="N363">IF(M363="","",INDEX('Exercise list'!$C$5:$C$102,M363))</f>
        <v/>
      </c>
      <c r="O363" s="19"/>
      <c r="P363" s="19">
        <f>IFERROR(INDEX('Exercise list'!$E$5:$X$102,MATCH($C363,'Exercise list'!$C$5:$C$102,0),MATCH(P$5,'Exercise list'!$E$4:$X$4,0)),0)</f>
        <v>0</v>
      </c>
      <c r="Q363" s="19">
        <f>IFERROR(INDEX('Exercise list'!$E$5:$X$102,MATCH($C363,'Exercise list'!$C$5:$C$102,0),MATCH(Q$5,'Exercise list'!$E$4:$X$4,0)),0)</f>
        <v>0</v>
      </c>
      <c r="R363" s="19">
        <f>IFERROR(INDEX('Exercise list'!$E$5:$X$102,MATCH($C363,'Exercise list'!$C$5:$C$102,0),MATCH(R$5,'Exercise list'!$E$4:$X$4,0)),0)</f>
        <v>0</v>
      </c>
      <c r="S363" s="19">
        <f>IFERROR(INDEX('Exercise list'!$E$5:$X$102,MATCH($C363,'Exercise list'!$C$5:$C$102,0),MATCH(S$5,'Exercise list'!$E$4:$X$4,0)),0)</f>
        <v>0</v>
      </c>
      <c r="T363" s="19">
        <f>IFERROR(INDEX('Exercise list'!$E$5:$X$102,MATCH($C363,'Exercise list'!$C$5:$C$102,0),MATCH(T$5,'Exercise list'!$E$4:$X$4,0)),0)</f>
        <v>0</v>
      </c>
      <c r="U363" s="19">
        <f>IFERROR(INDEX('Exercise list'!$E$5:$X$102,MATCH($C363,'Exercise list'!$C$5:$C$102,0),MATCH(U$5,'Exercise list'!$E$4:$X$4,0)),0)</f>
        <v>0</v>
      </c>
      <c r="V363" s="19">
        <f>IFERROR(INDEX('Exercise list'!$E$5:$X$102,MATCH($C363,'Exercise list'!$C$5:$C$102,0),MATCH(V$5,'Exercise list'!$E$4:$X$4,0)),0)</f>
        <v>0</v>
      </c>
      <c r="W363" s="19">
        <f>IFERROR(INDEX('Exercise list'!$E$5:$X$102,MATCH($C363,'Exercise list'!$C$5:$C$102,0),MATCH(W$5,'Exercise list'!$E$4:$X$4,0)),0)</f>
        <v>0</v>
      </c>
      <c r="X363" s="19">
        <f>IFERROR(INDEX('Exercise list'!$E$5:$X$102,MATCH($C363,'Exercise list'!$C$5:$C$102,0),MATCH(X$5,'Exercise list'!$E$4:$X$4,0)),0)</f>
        <v>0</v>
      </c>
      <c r="Y363" s="19">
        <f>IFERROR(INDEX('Exercise list'!$E$5:$X$102,MATCH($C363,'Exercise list'!$C$5:$C$102,0),MATCH(Y$5,'Exercise list'!$E$4:$X$4,0)),0)</f>
        <v>0</v>
      </c>
      <c r="Z363" s="19">
        <f>IFERROR(INDEX('Exercise list'!$E$5:$X$102,MATCH($C363,'Exercise list'!$C$5:$C$102,0),MATCH(Z$5,'Exercise list'!$E$4:$X$4,0)),0)</f>
        <v>0</v>
      </c>
      <c r="AA363" s="19">
        <f>IFERROR(INDEX('Exercise list'!$E$5:$X$102,MATCH($C363,'Exercise list'!$C$5:$C$102,0),MATCH(AA$5,'Exercise list'!$E$4:$X$4,0)),0)</f>
        <v>0</v>
      </c>
      <c r="AB363" s="19">
        <f>IFERROR(INDEX('Exercise list'!$E$5:$X$102,MATCH($C363,'Exercise list'!$C$5:$C$102,0),MATCH(AB$5,'Exercise list'!$E$4:$X$4,0)),0)</f>
        <v>0</v>
      </c>
      <c r="AC363" s="19">
        <f>IFERROR(INDEX('Exercise list'!$E$5:$X$102,MATCH($C363,'Exercise list'!$C$5:$C$102,0),MATCH(AC$5,'Exercise list'!$E$4:$X$4,0)),0)</f>
        <v>0</v>
      </c>
      <c r="AD363" s="19">
        <f>IFERROR(INDEX('Exercise list'!$E$5:$X$102,MATCH($C363,'Exercise list'!$C$5:$C$102,0),MATCH(AD$5,'Exercise list'!$E$4:$X$4,0)),0)</f>
        <v>0</v>
      </c>
      <c r="AE363" s="19">
        <f>IFERROR(INDEX('Exercise list'!$E$5:$X$102,MATCH($C363,'Exercise list'!$C$5:$C$102,0),MATCH(AE$5,'Exercise list'!$E$4:$X$4,0)),0)</f>
        <v>0</v>
      </c>
      <c r="AF363" s="19">
        <f>IFERROR(INDEX('Exercise list'!$E$5:$X$102,MATCH($C363,'Exercise list'!$C$5:$C$102,0),MATCH(AF$5,'Exercise list'!$E$4:$X$4,0)),0)</f>
        <v>0</v>
      </c>
      <c r="AG363" s="19">
        <f>IFERROR(INDEX('Exercise list'!$E$5:$X$102,MATCH($C363,'Exercise list'!$C$5:$C$102,0),MATCH(AG$5,'Exercise list'!$E$4:$X$4,0)),0)</f>
        <v>0</v>
      </c>
      <c r="AH363" s="19">
        <f>IFERROR(INDEX('Exercise list'!$E$5:$X$102,MATCH($C363,'Exercise list'!$C$5:$C$102,0),MATCH(AH$5,'Exercise list'!$E$4:$X$4,0)),0)</f>
        <v>0</v>
      </c>
      <c r="AI363" s="19">
        <f>IFERROR(INDEX('Exercise list'!$E$5:$X$102,MATCH($C363,'Exercise list'!$C$5:$C$102,0),MATCH(AI$5,'Exercise list'!$E$4:$X$4,0)),0)</f>
        <v>0</v>
      </c>
      <c r="AJ363" s="19"/>
      <c r="AK363" s="19">
        <f>IF(OR($J363=1,COUNTIFS($A$5:$A362,"&gt;="&amp;$A363-1,$A$5:$A362,"&lt;="&amp;$A363,$B$5:$B362,$B363)&gt;0,MIN(1-'Exercise list'!E$2,IF($A363=$A362,AK362,1))-P363&lt;0),-1,MIN(1,IF($A363=$A362,AK362,1)-P363+$D$2))</f>
        <v>1</v>
      </c>
      <c r="AL363" s="19">
        <f>IF(OR($J363=1,COUNTIFS($A$5:$A362,"&gt;="&amp;$A363-1,$A$5:$A362,"&lt;="&amp;$A363,$B$5:$B362,$B363)&gt;0,MIN(1-'Exercise list'!F$2,IF($A363=$A362,AL362,1))-Q363&lt;0),-1,MIN(1,IF($A363=$A362,AL362,1)-Q363+$D$2))</f>
        <v>1</v>
      </c>
      <c r="AM363" s="19">
        <f>IF(OR($J363=1,COUNTIFS($A$5:$A362,"&gt;="&amp;$A363-1,$A$5:$A362,"&lt;="&amp;$A363,$B$5:$B362,$B363)&gt;0,MIN(1-'Exercise list'!G$2,IF($A363=$A362,AM362,1))-R363&lt;0),-1,MIN(1,IF($A363=$A362,AM362,1)-R363+$D$2))</f>
        <v>1</v>
      </c>
      <c r="AN363" s="19">
        <f>IF(OR($J363=1,COUNTIFS($A$5:$A362,"&gt;="&amp;$A363-1,$A$5:$A362,"&lt;="&amp;$A363,$B$5:$B362,$B363)&gt;0,MIN(1-'Exercise list'!H$2,IF($A363=$A362,AN362,1))-S363&lt;0),-1,MIN(1,IF($A363=$A362,AN362,1)-S363+$D$2))</f>
        <v>1</v>
      </c>
      <c r="AO363" s="19">
        <f>IF(OR($J363=1,COUNTIFS($A$5:$A362,"&gt;="&amp;$A363-1,$A$5:$A362,"&lt;="&amp;$A363,$B$5:$B362,$B363)&gt;0,MIN(1-'Exercise list'!I$2,IF($A363=$A362,AO362,1))-T363&lt;0),-1,MIN(1,IF($A363=$A362,AO362,1)-T363+$D$2))</f>
        <v>1</v>
      </c>
      <c r="AP363" s="19">
        <f>IF(OR($J363=1,COUNTIFS($A$5:$A362,"&gt;="&amp;$A363-1,$A$5:$A362,"&lt;="&amp;$A363,$B$5:$B362,$B363)&gt;0,MIN(1-'Exercise list'!J$2,IF($A363=$A362,AP362,1))-U363&lt;0),-1,MIN(1,IF($A363=$A362,AP362,1)-U363+$D$2))</f>
        <v>1</v>
      </c>
      <c r="AQ363" s="19">
        <f>IF(OR($J363=1,COUNTIFS($A$5:$A362,"&gt;="&amp;$A363-1,$A$5:$A362,"&lt;="&amp;$A363,$B$5:$B362,$B363)&gt;0,MIN(1-'Exercise list'!K$2,IF($A363=$A362,AQ362,1))-V363&lt;0),-1,MIN(1,IF($A363=$A362,AQ362,1)-V363+$D$2))</f>
        <v>1</v>
      </c>
      <c r="AR363" s="19">
        <f>IF(OR($J363=1,COUNTIFS($A$5:$A362,"&gt;="&amp;$A363-1,$A$5:$A362,"&lt;="&amp;$A363,$B$5:$B362,$B363)&gt;0,MIN(1-'Exercise list'!L$2,IF($A363=$A362,AR362,1))-W363&lt;0),-1,MIN(1,IF($A363=$A362,AR362,1)-W363+$D$2))</f>
        <v>1</v>
      </c>
      <c r="AS363" s="19">
        <f>IF(OR($J363=1,COUNTIFS($A$5:$A362,"&gt;="&amp;$A363-1,$A$5:$A362,"&lt;="&amp;$A363,$B$5:$B362,$B363)&gt;0,MIN(1-'Exercise list'!M$2,IF($A363=$A362,AS362,1))-X363&lt;0),-1,MIN(1,IF($A363=$A362,AS362,1)-X363+$D$2))</f>
        <v>1</v>
      </c>
      <c r="AT363" s="19">
        <f>IF(OR($J363=1,COUNTIFS($A$5:$A362,"&gt;="&amp;$A363-1,$A$5:$A362,"&lt;="&amp;$A363,$B$5:$B362,$B363)&gt;0,MIN(1-'Exercise list'!N$2,IF($A363=$A362,AT362,1))-Y363&lt;0),-1,MIN(1,IF($A363=$A362,AT362,1)-Y363+$D$2))</f>
        <v>1</v>
      </c>
      <c r="AU363" s="19">
        <f>IF(OR($J363=1,COUNTIFS($A$5:$A362,"&gt;="&amp;$A363-1,$A$5:$A362,"&lt;="&amp;$A363,$B$5:$B362,$B363)&gt;0,MIN(1-'Exercise list'!O$2,IF($A363=$A362,AU362,1))-Z363&lt;0),-1,MIN(1,IF($A363=$A362,AU362,1)-Z363+$D$2))</f>
        <v>1</v>
      </c>
      <c r="AV363" s="19">
        <f>IF(OR($J363=1,COUNTIFS($A$5:$A362,"&gt;="&amp;$A363-1,$A$5:$A362,"&lt;="&amp;$A363,$B$5:$B362,$B363)&gt;0,MIN(1-'Exercise list'!P$2,IF($A363=$A362,AV362,1))-AA363&lt;0),-1,MIN(1,IF($A363=$A362,AV362,1)-AA363+$D$2))</f>
        <v>1</v>
      </c>
      <c r="AW363" s="19">
        <f>IF(OR($J363=1,COUNTIFS($A$5:$A362,"&gt;="&amp;$A363-1,$A$5:$A362,"&lt;="&amp;$A363,$B$5:$B362,$B363)&gt;0,MIN(1-'Exercise list'!Q$2,IF($A363=$A362,AW362,1))-AB363&lt;0),-1,MIN(1,IF($A363=$A362,AW362,1)-AB363+$D$2))</f>
        <v>1</v>
      </c>
      <c r="AX363" s="19">
        <f>IF(OR($J363=1,COUNTIFS($A$5:$A362,"&gt;="&amp;$A363-1,$A$5:$A362,"&lt;="&amp;$A363,$B$5:$B362,$B363)&gt;0,MIN(1-'Exercise list'!R$2,IF($A363=$A362,AX362,1))-AC363&lt;0),-1,MIN(1,IF($A363=$A362,AX362,1)-AC363+$D$2))</f>
        <v>1</v>
      </c>
      <c r="AY363" s="19">
        <f>IF(OR($J363=1,COUNTIFS($A$5:$A362,"&gt;="&amp;$A363-1,$A$5:$A362,"&lt;="&amp;$A363,$B$5:$B362,$B363)&gt;0,MIN(1-'Exercise list'!S$2,IF($A363=$A362,AY362,1))-AD363&lt;0),-1,MIN(1,IF($A363=$A362,AY362,1)-AD363+$D$2))</f>
        <v>1</v>
      </c>
      <c r="AZ363" s="19">
        <f>IF(OR($J363=1,COUNTIFS($A$5:$A362,"&gt;="&amp;$A363-1,$A$5:$A362,"&lt;="&amp;$A363,$B$5:$B362,$B363)&gt;0,MIN(1-'Exercise list'!T$2,IF($A363=$A362,AZ362,1))-AE363&lt;0),-1,MIN(1,IF($A363=$A362,AZ362,1)-AE363+$D$2))</f>
        <v>1</v>
      </c>
      <c r="BA363" s="19">
        <f>IF(OR($J363=1,COUNTIFS($A$5:$A362,"&gt;="&amp;$A363-1,$A$5:$A362,"&lt;="&amp;$A363,$B$5:$B362,$B363)&gt;0,MIN(1-'Exercise list'!U$2,IF($A363=$A362,BA362,1))-AF363&lt;0),-1,MIN(1,IF($A363=$A362,BA362,1)-AF363+$D$2))</f>
        <v>1</v>
      </c>
      <c r="BB363" s="19">
        <f>IF(OR($J363=1,COUNTIFS($A$5:$A362,"&gt;="&amp;$A363-1,$A$5:$A362,"&lt;="&amp;$A363,$B$5:$B362,$B363)&gt;0,MIN(1-'Exercise list'!V$2,IF($A363=$A362,BB362,1))-AG363&lt;0),-1,MIN(1,IF($A363=$A362,BB362,1)-AG363+$D$2))</f>
        <v>1</v>
      </c>
      <c r="BC363" s="19">
        <f>IF(OR($J363=1,COUNTIFS($A$5:$A362,"&gt;="&amp;$A363-1,$A$5:$A362,"&lt;="&amp;$A363,$B$5:$B362,$B363)&gt;0,MIN(1-'Exercise list'!W$2,IF($A363=$A362,BC362,1))-AH363&lt;0),-1,MIN(1,IF($A363=$A362,BC362,1)-AH363+$D$2))</f>
        <v>1</v>
      </c>
      <c r="BD363" s="19">
        <f>IF(OR($J363=1,COUNTIFS($A$5:$A362,"&gt;="&amp;$A363-1,$A$5:$A362,"&lt;="&amp;$A363,$B$5:$B362,$B363)&gt;0,MIN(1-'Exercise list'!X$2,IF($A363=$A362,BD362,1))-AI363&lt;0),-1,MIN(1,IF($A363=$A362,BD362,1)-AI363+$D$2))</f>
        <v>1</v>
      </c>
      <c r="BE363" s="19"/>
      <c r="BF363" s="23">
        <f t="shared" si="277"/>
        <v>0.19596031081758858</v>
      </c>
      <c r="BG363" s="23">
        <f t="shared" si="278"/>
        <v>0.21844636935459236</v>
      </c>
      <c r="BH363" s="23">
        <f t="shared" si="279"/>
        <v>0.14609696635987124</v>
      </c>
      <c r="BI363" s="23">
        <f t="shared" si="280"/>
        <v>0.13198015366034541</v>
      </c>
      <c r="BJ363" s="23">
        <f t="shared" si="281"/>
        <v>8.3367914198418713E-2</v>
      </c>
      <c r="BK363" s="23">
        <f t="shared" si="282"/>
        <v>0.10640640223148412</v>
      </c>
      <c r="BL363" s="23">
        <f t="shared" si="283"/>
        <v>0.21963504743569431</v>
      </c>
      <c r="BM363" s="23">
        <f t="shared" si="284"/>
        <v>3.8988008374820568E-3</v>
      </c>
      <c r="BN363" s="23">
        <f t="shared" si="285"/>
        <v>0.14537706087090876</v>
      </c>
      <c r="BO363" s="23">
        <f t="shared" si="286"/>
        <v>0.29209790661993401</v>
      </c>
      <c r="BP363" s="23">
        <f t="shared" si="287"/>
        <v>0.31584545163401867</v>
      </c>
      <c r="BQ363" s="23">
        <f t="shared" si="288"/>
        <v>0.1000007994126096</v>
      </c>
      <c r="BR363" s="23">
        <f t="shared" si="289"/>
        <v>0.13164487759885393</v>
      </c>
      <c r="BS363" s="23">
        <f t="shared" si="290"/>
        <v>2.9803550189863123E-2</v>
      </c>
      <c r="BT363" s="23">
        <f t="shared" si="291"/>
        <v>0.13492040904978705</v>
      </c>
      <c r="BU363" s="23">
        <f t="shared" si="292"/>
        <v>0.11703687414398131</v>
      </c>
      <c r="BV363" s="23">
        <f t="shared" si="293"/>
        <v>0.14633353213781661</v>
      </c>
      <c r="BW363" s="23">
        <f t="shared" si="294"/>
        <v>7.5588015111767173E-2</v>
      </c>
      <c r="BX363" s="23">
        <f t="shared" si="295"/>
        <v>8.0345659937185704E-2</v>
      </c>
      <c r="BY363" s="23">
        <f t="shared" si="296"/>
        <v>5.9014643151272549E-2</v>
      </c>
      <c r="BZ363" s="19"/>
      <c r="CA363" s="23" t="str">
        <f t="shared" si="273"/>
        <v/>
      </c>
      <c r="CB363" s="23" t="str">
        <f t="shared" si="254"/>
        <v/>
      </c>
      <c r="CC363" s="23" t="str">
        <f t="shared" si="255"/>
        <v/>
      </c>
      <c r="CD363" s="23" t="str">
        <f t="shared" si="256"/>
        <v/>
      </c>
      <c r="CE363" s="23" t="str">
        <f t="shared" si="257"/>
        <v/>
      </c>
      <c r="CF363" s="23" t="str">
        <f t="shared" si="258"/>
        <v/>
      </c>
      <c r="CG363" s="23" t="str">
        <f t="shared" si="259"/>
        <v/>
      </c>
      <c r="CH363" s="23" t="str">
        <f t="shared" si="260"/>
        <v/>
      </c>
      <c r="CI363" s="23" t="str">
        <f t="shared" si="261"/>
        <v/>
      </c>
      <c r="CJ363" s="23" t="str">
        <f t="shared" si="262"/>
        <v/>
      </c>
      <c r="CK363" s="23" t="str">
        <f t="shared" si="263"/>
        <v/>
      </c>
      <c r="CL363" s="23" t="str">
        <f t="shared" si="264"/>
        <v/>
      </c>
      <c r="CM363" s="23" t="str">
        <f t="shared" si="265"/>
        <v/>
      </c>
      <c r="CN363" s="23" t="str">
        <f t="shared" si="266"/>
        <v/>
      </c>
      <c r="CO363" s="23" t="str">
        <f t="shared" si="267"/>
        <v/>
      </c>
      <c r="CP363" s="23" t="str">
        <f t="shared" si="268"/>
        <v/>
      </c>
      <c r="CQ363" s="23" t="str">
        <f t="shared" si="269"/>
        <v/>
      </c>
      <c r="CR363" s="23" t="str">
        <f t="shared" si="270"/>
        <v/>
      </c>
      <c r="CS363" s="23" t="str">
        <f t="shared" si="271"/>
        <v/>
      </c>
      <c r="CT363" s="23" t="str">
        <f t="shared" si="272"/>
        <v/>
      </c>
      <c r="CU363" s="19"/>
    </row>
    <row r="364" spans="1:99" x14ac:dyDescent="0.25">
      <c r="A364" s="13"/>
      <c r="B364" s="14"/>
      <c r="C364" s="15" t="str" cm="1">
        <f t="array" ref="C364">IF(B364="","",INDEX('Exercise list'!$C$5:$C$102,B364))</f>
        <v/>
      </c>
      <c r="D364" s="12" t="str">
        <f t="shared" si="274"/>
        <v/>
      </c>
      <c r="E364" s="107" t="str">
        <f t="shared" si="297"/>
        <v/>
      </c>
      <c r="F364" s="63" t="str" cm="1">
        <f t="array" ref="F364">IF(B364="","",0.1+IFERROR(INDEX($F$6:$F363,SUMPRODUCT(MAX(ROW($C$6:$C363)*($C364=$C$6:$C363))-ROW($A$5)))*0.9^($A364-INDEX($A$6:A363,SUMPRODUCT(MAX(ROW($C$6:$C363)*($C364=$C$6:$C363))-ROW($A$5)))),0))</f>
        <v/>
      </c>
      <c r="G364" s="64" t="e">
        <f>INDEX('Exercise list'!$Y$5:$Y$102,MATCH(C364,'Exercise list'!$C$5:$C$102,0))</f>
        <v>#N/A</v>
      </c>
      <c r="H364" s="115">
        <f t="shared" si="275"/>
        <v>0</v>
      </c>
      <c r="I364" s="42">
        <f t="shared" si="276"/>
        <v>5</v>
      </c>
      <c r="J364" s="6" t="str" cm="1">
        <f t="array" ref="J364">IF(B364="","",INDEX('Exercise list'!$D$5:$D$102,B364))</f>
        <v/>
      </c>
      <c r="K364" s="12"/>
      <c r="L364" s="74" t="str" cm="1">
        <f t="array" ref="L364">IF(K364="","",INDEX('Exercise list'!$C$5:$C$102,K364))</f>
        <v/>
      </c>
      <c r="M364" s="6"/>
      <c r="N364" s="75" t="str" cm="1">
        <f t="array" ref="N364">IF(M364="","",INDEX('Exercise list'!$C$5:$C$102,M364))</f>
        <v/>
      </c>
      <c r="P364">
        <f>IFERROR(INDEX('Exercise list'!$E$5:$X$102,MATCH($C364,'Exercise list'!$C$5:$C$102,0),MATCH(P$5,'Exercise list'!$E$4:$X$4,0)),0)</f>
        <v>0</v>
      </c>
      <c r="Q364">
        <f>IFERROR(INDEX('Exercise list'!$E$5:$X$102,MATCH($C364,'Exercise list'!$C$5:$C$102,0),MATCH(Q$5,'Exercise list'!$E$4:$X$4,0)),0)</f>
        <v>0</v>
      </c>
      <c r="R364">
        <f>IFERROR(INDEX('Exercise list'!$E$5:$X$102,MATCH($C364,'Exercise list'!$C$5:$C$102,0),MATCH(R$5,'Exercise list'!$E$4:$X$4,0)),0)</f>
        <v>0</v>
      </c>
      <c r="S364">
        <f>IFERROR(INDEX('Exercise list'!$E$5:$X$102,MATCH($C364,'Exercise list'!$C$5:$C$102,0),MATCH(S$5,'Exercise list'!$E$4:$X$4,0)),0)</f>
        <v>0</v>
      </c>
      <c r="T364">
        <f>IFERROR(INDEX('Exercise list'!$E$5:$X$102,MATCH($C364,'Exercise list'!$C$5:$C$102,0),MATCH(T$5,'Exercise list'!$E$4:$X$4,0)),0)</f>
        <v>0</v>
      </c>
      <c r="U364">
        <f>IFERROR(INDEX('Exercise list'!$E$5:$X$102,MATCH($C364,'Exercise list'!$C$5:$C$102,0),MATCH(U$5,'Exercise list'!$E$4:$X$4,0)),0)</f>
        <v>0</v>
      </c>
      <c r="V364">
        <f>IFERROR(INDEX('Exercise list'!$E$5:$X$102,MATCH($C364,'Exercise list'!$C$5:$C$102,0),MATCH(V$5,'Exercise list'!$E$4:$X$4,0)),0)</f>
        <v>0</v>
      </c>
      <c r="W364">
        <f>IFERROR(INDEX('Exercise list'!$E$5:$X$102,MATCH($C364,'Exercise list'!$C$5:$C$102,0),MATCH(W$5,'Exercise list'!$E$4:$X$4,0)),0)</f>
        <v>0</v>
      </c>
      <c r="X364">
        <f>IFERROR(INDEX('Exercise list'!$E$5:$X$102,MATCH($C364,'Exercise list'!$C$5:$C$102,0),MATCH(X$5,'Exercise list'!$E$4:$X$4,0)),0)</f>
        <v>0</v>
      </c>
      <c r="Y364">
        <f>IFERROR(INDEX('Exercise list'!$E$5:$X$102,MATCH($C364,'Exercise list'!$C$5:$C$102,0),MATCH(Y$5,'Exercise list'!$E$4:$X$4,0)),0)</f>
        <v>0</v>
      </c>
      <c r="Z364">
        <f>IFERROR(INDEX('Exercise list'!$E$5:$X$102,MATCH($C364,'Exercise list'!$C$5:$C$102,0),MATCH(Z$5,'Exercise list'!$E$4:$X$4,0)),0)</f>
        <v>0</v>
      </c>
      <c r="AA364">
        <f>IFERROR(INDEX('Exercise list'!$E$5:$X$102,MATCH($C364,'Exercise list'!$C$5:$C$102,0),MATCH(AA$5,'Exercise list'!$E$4:$X$4,0)),0)</f>
        <v>0</v>
      </c>
      <c r="AB364">
        <f>IFERROR(INDEX('Exercise list'!$E$5:$X$102,MATCH($C364,'Exercise list'!$C$5:$C$102,0),MATCH(AB$5,'Exercise list'!$E$4:$X$4,0)),0)</f>
        <v>0</v>
      </c>
      <c r="AC364">
        <f>IFERROR(INDEX('Exercise list'!$E$5:$X$102,MATCH($C364,'Exercise list'!$C$5:$C$102,0),MATCH(AC$5,'Exercise list'!$E$4:$X$4,0)),0)</f>
        <v>0</v>
      </c>
      <c r="AD364">
        <f>IFERROR(INDEX('Exercise list'!$E$5:$X$102,MATCH($C364,'Exercise list'!$C$5:$C$102,0),MATCH(AD$5,'Exercise list'!$E$4:$X$4,0)),0)</f>
        <v>0</v>
      </c>
      <c r="AE364">
        <f>IFERROR(INDEX('Exercise list'!$E$5:$X$102,MATCH($C364,'Exercise list'!$C$5:$C$102,0),MATCH(AE$5,'Exercise list'!$E$4:$X$4,0)),0)</f>
        <v>0</v>
      </c>
      <c r="AF364">
        <f>IFERROR(INDEX('Exercise list'!$E$5:$X$102,MATCH($C364,'Exercise list'!$C$5:$C$102,0),MATCH(AF$5,'Exercise list'!$E$4:$X$4,0)),0)</f>
        <v>0</v>
      </c>
      <c r="AG364">
        <f>IFERROR(INDEX('Exercise list'!$E$5:$X$102,MATCH($C364,'Exercise list'!$C$5:$C$102,0),MATCH(AG$5,'Exercise list'!$E$4:$X$4,0)),0)</f>
        <v>0</v>
      </c>
      <c r="AH364">
        <f>IFERROR(INDEX('Exercise list'!$E$5:$X$102,MATCH($C364,'Exercise list'!$C$5:$C$102,0),MATCH(AH$5,'Exercise list'!$E$4:$X$4,0)),0)</f>
        <v>0</v>
      </c>
      <c r="AI364">
        <f>IFERROR(INDEX('Exercise list'!$E$5:$X$102,MATCH($C364,'Exercise list'!$C$5:$C$102,0),MATCH(AI$5,'Exercise list'!$E$4:$X$4,0)),0)</f>
        <v>0</v>
      </c>
      <c r="AK364">
        <f>IF(OR($J364=1,COUNTIFS($A$5:$A363,"&gt;="&amp;$A364-1,$A$5:$A363,"&lt;="&amp;$A364,$B$5:$B363,$B364)&gt;0,MIN(1-'Exercise list'!E$2,IF($A364=$A363,AK363,1))-P364&lt;0),-1,MIN(1,IF($A364=$A363,AK363,1)-P364+$D$2))</f>
        <v>1</v>
      </c>
      <c r="AL364">
        <f>IF(OR($J364=1,COUNTIFS($A$5:$A363,"&gt;="&amp;$A364-1,$A$5:$A363,"&lt;="&amp;$A364,$B$5:$B363,$B364)&gt;0,MIN(1-'Exercise list'!F$2,IF($A364=$A363,AL363,1))-Q364&lt;0),-1,MIN(1,IF($A364=$A363,AL363,1)-Q364+$D$2))</f>
        <v>1</v>
      </c>
      <c r="AM364">
        <f>IF(OR($J364=1,COUNTIFS($A$5:$A363,"&gt;="&amp;$A364-1,$A$5:$A363,"&lt;="&amp;$A364,$B$5:$B363,$B364)&gt;0,MIN(1-'Exercise list'!G$2,IF($A364=$A363,AM363,1))-R364&lt;0),-1,MIN(1,IF($A364=$A363,AM363,1)-R364+$D$2))</f>
        <v>1</v>
      </c>
      <c r="AN364">
        <f>IF(OR($J364=1,COUNTIFS($A$5:$A363,"&gt;="&amp;$A364-1,$A$5:$A363,"&lt;="&amp;$A364,$B$5:$B363,$B364)&gt;0,MIN(1-'Exercise list'!H$2,IF($A364=$A363,AN363,1))-S364&lt;0),-1,MIN(1,IF($A364=$A363,AN363,1)-S364+$D$2))</f>
        <v>1</v>
      </c>
      <c r="AO364">
        <f>IF(OR($J364=1,COUNTIFS($A$5:$A363,"&gt;="&amp;$A364-1,$A$5:$A363,"&lt;="&amp;$A364,$B$5:$B363,$B364)&gt;0,MIN(1-'Exercise list'!I$2,IF($A364=$A363,AO363,1))-T364&lt;0),-1,MIN(1,IF($A364=$A363,AO363,1)-T364+$D$2))</f>
        <v>1</v>
      </c>
      <c r="AP364">
        <f>IF(OR($J364=1,COUNTIFS($A$5:$A363,"&gt;="&amp;$A364-1,$A$5:$A363,"&lt;="&amp;$A364,$B$5:$B363,$B364)&gt;0,MIN(1-'Exercise list'!J$2,IF($A364=$A363,AP363,1))-U364&lt;0),-1,MIN(1,IF($A364=$A363,AP363,1)-U364+$D$2))</f>
        <v>1</v>
      </c>
      <c r="AQ364">
        <f>IF(OR($J364=1,COUNTIFS($A$5:$A363,"&gt;="&amp;$A364-1,$A$5:$A363,"&lt;="&amp;$A364,$B$5:$B363,$B364)&gt;0,MIN(1-'Exercise list'!K$2,IF($A364=$A363,AQ363,1))-V364&lt;0),-1,MIN(1,IF($A364=$A363,AQ363,1)-V364+$D$2))</f>
        <v>1</v>
      </c>
      <c r="AR364">
        <f>IF(OR($J364=1,COUNTIFS($A$5:$A363,"&gt;="&amp;$A364-1,$A$5:$A363,"&lt;="&amp;$A364,$B$5:$B363,$B364)&gt;0,MIN(1-'Exercise list'!L$2,IF($A364=$A363,AR363,1))-W364&lt;0),-1,MIN(1,IF($A364=$A363,AR363,1)-W364+$D$2))</f>
        <v>1</v>
      </c>
      <c r="AS364">
        <f>IF(OR($J364=1,COUNTIFS($A$5:$A363,"&gt;="&amp;$A364-1,$A$5:$A363,"&lt;="&amp;$A364,$B$5:$B363,$B364)&gt;0,MIN(1-'Exercise list'!M$2,IF($A364=$A363,AS363,1))-X364&lt;0),-1,MIN(1,IF($A364=$A363,AS363,1)-X364+$D$2))</f>
        <v>1</v>
      </c>
      <c r="AT364">
        <f>IF(OR($J364=1,COUNTIFS($A$5:$A363,"&gt;="&amp;$A364-1,$A$5:$A363,"&lt;="&amp;$A364,$B$5:$B363,$B364)&gt;0,MIN(1-'Exercise list'!N$2,IF($A364=$A363,AT363,1))-Y364&lt;0),-1,MIN(1,IF($A364=$A363,AT363,1)-Y364+$D$2))</f>
        <v>1</v>
      </c>
      <c r="AU364">
        <f>IF(OR($J364=1,COUNTIFS($A$5:$A363,"&gt;="&amp;$A364-1,$A$5:$A363,"&lt;="&amp;$A364,$B$5:$B363,$B364)&gt;0,MIN(1-'Exercise list'!O$2,IF($A364=$A363,AU363,1))-Z364&lt;0),-1,MIN(1,IF($A364=$A363,AU363,1)-Z364+$D$2))</f>
        <v>1</v>
      </c>
      <c r="AV364">
        <f>IF(OR($J364=1,COUNTIFS($A$5:$A363,"&gt;="&amp;$A364-1,$A$5:$A363,"&lt;="&amp;$A364,$B$5:$B363,$B364)&gt;0,MIN(1-'Exercise list'!P$2,IF($A364=$A363,AV363,1))-AA364&lt;0),-1,MIN(1,IF($A364=$A363,AV363,1)-AA364+$D$2))</f>
        <v>1</v>
      </c>
      <c r="AW364">
        <f>IF(OR($J364=1,COUNTIFS($A$5:$A363,"&gt;="&amp;$A364-1,$A$5:$A363,"&lt;="&amp;$A364,$B$5:$B363,$B364)&gt;0,MIN(1-'Exercise list'!Q$2,IF($A364=$A363,AW363,1))-AB364&lt;0),-1,MIN(1,IF($A364=$A363,AW363,1)-AB364+$D$2))</f>
        <v>1</v>
      </c>
      <c r="AX364">
        <f>IF(OR($J364=1,COUNTIFS($A$5:$A363,"&gt;="&amp;$A364-1,$A$5:$A363,"&lt;="&amp;$A364,$B$5:$B363,$B364)&gt;0,MIN(1-'Exercise list'!R$2,IF($A364=$A363,AX363,1))-AC364&lt;0),-1,MIN(1,IF($A364=$A363,AX363,1)-AC364+$D$2))</f>
        <v>1</v>
      </c>
      <c r="AY364">
        <f>IF(OR($J364=1,COUNTIFS($A$5:$A363,"&gt;="&amp;$A364-1,$A$5:$A363,"&lt;="&amp;$A364,$B$5:$B363,$B364)&gt;0,MIN(1-'Exercise list'!S$2,IF($A364=$A363,AY363,1))-AD364&lt;0),-1,MIN(1,IF($A364=$A363,AY363,1)-AD364+$D$2))</f>
        <v>1</v>
      </c>
      <c r="AZ364">
        <f>IF(OR($J364=1,COUNTIFS($A$5:$A363,"&gt;="&amp;$A364-1,$A$5:$A363,"&lt;="&amp;$A364,$B$5:$B363,$B364)&gt;0,MIN(1-'Exercise list'!T$2,IF($A364=$A363,AZ363,1))-AE364&lt;0),-1,MIN(1,IF($A364=$A363,AZ363,1)-AE364+$D$2))</f>
        <v>1</v>
      </c>
      <c r="BA364">
        <f>IF(OR($J364=1,COUNTIFS($A$5:$A363,"&gt;="&amp;$A364-1,$A$5:$A363,"&lt;="&amp;$A364,$B$5:$B363,$B364)&gt;0,MIN(1-'Exercise list'!U$2,IF($A364=$A363,BA363,1))-AF364&lt;0),-1,MIN(1,IF($A364=$A363,BA363,1)-AF364+$D$2))</f>
        <v>1</v>
      </c>
      <c r="BB364">
        <f>IF(OR($J364=1,COUNTIFS($A$5:$A363,"&gt;="&amp;$A364-1,$A$5:$A363,"&lt;="&amp;$A364,$B$5:$B363,$B364)&gt;0,MIN(1-'Exercise list'!V$2,IF($A364=$A363,BB363,1))-AG364&lt;0),-1,MIN(1,IF($A364=$A363,BB363,1)-AG364+$D$2))</f>
        <v>1</v>
      </c>
      <c r="BC364">
        <f>IF(OR($J364=1,COUNTIFS($A$5:$A363,"&gt;="&amp;$A364-1,$A$5:$A363,"&lt;="&amp;$A364,$B$5:$B363,$B364)&gt;0,MIN(1-'Exercise list'!W$2,IF($A364=$A363,BC363,1))-AH364&lt;0),-1,MIN(1,IF($A364=$A363,BC363,1)-AH364+$D$2))</f>
        <v>1</v>
      </c>
      <c r="BD364">
        <f>IF(OR($J364=1,COUNTIFS($A$5:$A363,"&gt;="&amp;$A364-1,$A$5:$A363,"&lt;="&amp;$A364,$B$5:$B363,$B364)&gt;0,MIN(1-'Exercise list'!X$2,IF($A364=$A363,BD363,1))-AI364&lt;0),-1,MIN(1,IF($A364=$A363,BD363,1)-AI364+$D$2))</f>
        <v>1</v>
      </c>
      <c r="BF364" s="16">
        <f t="shared" si="277"/>
        <v>0.19596031081758858</v>
      </c>
      <c r="BG364" s="16">
        <f t="shared" si="278"/>
        <v>0.21844636935459236</v>
      </c>
      <c r="BH364" s="16">
        <f t="shared" si="279"/>
        <v>0.14609696635987124</v>
      </c>
      <c r="BI364" s="16">
        <f t="shared" si="280"/>
        <v>0.13198015366034541</v>
      </c>
      <c r="BJ364" s="16">
        <f t="shared" si="281"/>
        <v>8.3367914198418713E-2</v>
      </c>
      <c r="BK364" s="16">
        <f t="shared" si="282"/>
        <v>0.10640640223148412</v>
      </c>
      <c r="BL364" s="16">
        <f t="shared" si="283"/>
        <v>0.21963504743569431</v>
      </c>
      <c r="BM364" s="16">
        <f t="shared" si="284"/>
        <v>3.8988008374820568E-3</v>
      </c>
      <c r="BN364" s="16">
        <f t="shared" si="285"/>
        <v>0.14537706087090876</v>
      </c>
      <c r="BO364" s="16">
        <f t="shared" si="286"/>
        <v>0.29209790661993401</v>
      </c>
      <c r="BP364" s="16">
        <f t="shared" si="287"/>
        <v>0.31584545163401867</v>
      </c>
      <c r="BQ364" s="16">
        <f t="shared" si="288"/>
        <v>0.1000007994126096</v>
      </c>
      <c r="BR364" s="16">
        <f t="shared" si="289"/>
        <v>0.13164487759885393</v>
      </c>
      <c r="BS364" s="16">
        <f t="shared" si="290"/>
        <v>2.9803550189863123E-2</v>
      </c>
      <c r="BT364" s="16">
        <f t="shared" si="291"/>
        <v>0.13492040904978705</v>
      </c>
      <c r="BU364" s="16">
        <f t="shared" si="292"/>
        <v>0.11703687414398131</v>
      </c>
      <c r="BV364" s="16">
        <f t="shared" si="293"/>
        <v>0.14633353213781661</v>
      </c>
      <c r="BW364" s="16">
        <f t="shared" si="294"/>
        <v>7.5588015111767173E-2</v>
      </c>
      <c r="BX364" s="16">
        <f t="shared" si="295"/>
        <v>8.0345659937185704E-2</v>
      </c>
      <c r="BY364" s="16">
        <f t="shared" si="296"/>
        <v>5.9014643151272549E-2</v>
      </c>
      <c r="CA364" s="16" t="str">
        <f t="shared" si="273"/>
        <v/>
      </c>
      <c r="CB364" s="16" t="str">
        <f t="shared" si="254"/>
        <v/>
      </c>
      <c r="CC364" s="16" t="str">
        <f t="shared" si="255"/>
        <v/>
      </c>
      <c r="CD364" s="16" t="str">
        <f t="shared" si="256"/>
        <v/>
      </c>
      <c r="CE364" s="16" t="str">
        <f t="shared" si="257"/>
        <v/>
      </c>
      <c r="CF364" s="16" t="str">
        <f t="shared" si="258"/>
        <v/>
      </c>
      <c r="CG364" s="16" t="str">
        <f t="shared" si="259"/>
        <v/>
      </c>
      <c r="CH364" s="16" t="str">
        <f t="shared" si="260"/>
        <v/>
      </c>
      <c r="CI364" s="16" t="str">
        <f t="shared" si="261"/>
        <v/>
      </c>
      <c r="CJ364" s="16" t="str">
        <f t="shared" si="262"/>
        <v/>
      </c>
      <c r="CK364" s="16" t="str">
        <f t="shared" si="263"/>
        <v/>
      </c>
      <c r="CL364" s="16" t="str">
        <f t="shared" si="264"/>
        <v/>
      </c>
      <c r="CM364" s="16" t="str">
        <f t="shared" si="265"/>
        <v/>
      </c>
      <c r="CN364" s="16" t="str">
        <f t="shared" si="266"/>
        <v/>
      </c>
      <c r="CO364" s="16" t="str">
        <f t="shared" si="267"/>
        <v/>
      </c>
      <c r="CP364" s="16" t="str">
        <f t="shared" si="268"/>
        <v/>
      </c>
      <c r="CQ364" s="16" t="str">
        <f t="shared" si="269"/>
        <v/>
      </c>
      <c r="CR364" s="16" t="str">
        <f t="shared" si="270"/>
        <v/>
      </c>
      <c r="CS364" s="16" t="str">
        <f t="shared" si="271"/>
        <v/>
      </c>
      <c r="CT364" s="16" t="str">
        <f t="shared" si="272"/>
        <v/>
      </c>
    </row>
    <row r="365" spans="1:99" x14ac:dyDescent="0.25">
      <c r="A365" s="13"/>
      <c r="B365" s="14"/>
      <c r="C365" s="15" t="str" cm="1">
        <f t="array" ref="C365">IF(B365="","",INDEX('Exercise list'!$C$5:$C$102,B365))</f>
        <v/>
      </c>
      <c r="D365" s="12" t="str">
        <f t="shared" si="274"/>
        <v/>
      </c>
      <c r="E365" s="107" t="str">
        <f t="shared" si="297"/>
        <v/>
      </c>
      <c r="F365" s="63" t="str" cm="1">
        <f t="array" ref="F365">IF(B365="","",0.1+IFERROR(INDEX($F$6:$F364,SUMPRODUCT(MAX(ROW($C$6:$C364)*($C365=$C$6:$C364))-ROW($A$5)))*0.9^($A365-INDEX($A$6:A364,SUMPRODUCT(MAX(ROW($C$6:$C364)*($C365=$C$6:$C364))-ROW($A$5)))),0))</f>
        <v/>
      </c>
      <c r="G365" s="64" t="e">
        <f>INDEX('Exercise list'!$Y$5:$Y$102,MATCH(C365,'Exercise list'!$C$5:$C$102,0))</f>
        <v>#N/A</v>
      </c>
      <c r="H365" s="115">
        <f t="shared" si="275"/>
        <v>0</v>
      </c>
      <c r="I365" s="6">
        <f t="shared" si="276"/>
        <v>5</v>
      </c>
      <c r="J365" s="6" t="str" cm="1">
        <f t="array" ref="J365">IF(B365="","",INDEX('Exercise list'!$D$5:$D$102,B365))</f>
        <v/>
      </c>
      <c r="K365" s="12"/>
      <c r="L365" s="74" t="str" cm="1">
        <f t="array" ref="L365">IF(K365="","",INDEX('Exercise list'!$C$5:$C$102,K365))</f>
        <v/>
      </c>
      <c r="M365" s="6"/>
      <c r="N365" s="75" t="str" cm="1">
        <f t="array" ref="N365">IF(M365="","",INDEX('Exercise list'!$C$5:$C$102,M365))</f>
        <v/>
      </c>
      <c r="P365">
        <f>IFERROR(INDEX('Exercise list'!$E$5:$X$102,MATCH($C365,'Exercise list'!$C$5:$C$102,0),MATCH(P$5,'Exercise list'!$E$4:$X$4,0)),0)</f>
        <v>0</v>
      </c>
      <c r="Q365">
        <f>IFERROR(INDEX('Exercise list'!$E$5:$X$102,MATCH($C365,'Exercise list'!$C$5:$C$102,0),MATCH(Q$5,'Exercise list'!$E$4:$X$4,0)),0)</f>
        <v>0</v>
      </c>
      <c r="R365">
        <f>IFERROR(INDEX('Exercise list'!$E$5:$X$102,MATCH($C365,'Exercise list'!$C$5:$C$102,0),MATCH(R$5,'Exercise list'!$E$4:$X$4,0)),0)</f>
        <v>0</v>
      </c>
      <c r="S365">
        <f>IFERROR(INDEX('Exercise list'!$E$5:$X$102,MATCH($C365,'Exercise list'!$C$5:$C$102,0),MATCH(S$5,'Exercise list'!$E$4:$X$4,0)),0)</f>
        <v>0</v>
      </c>
      <c r="T365">
        <f>IFERROR(INDEX('Exercise list'!$E$5:$X$102,MATCH($C365,'Exercise list'!$C$5:$C$102,0),MATCH(T$5,'Exercise list'!$E$4:$X$4,0)),0)</f>
        <v>0</v>
      </c>
      <c r="U365">
        <f>IFERROR(INDEX('Exercise list'!$E$5:$X$102,MATCH($C365,'Exercise list'!$C$5:$C$102,0),MATCH(U$5,'Exercise list'!$E$4:$X$4,0)),0)</f>
        <v>0</v>
      </c>
      <c r="V365">
        <f>IFERROR(INDEX('Exercise list'!$E$5:$X$102,MATCH($C365,'Exercise list'!$C$5:$C$102,0),MATCH(V$5,'Exercise list'!$E$4:$X$4,0)),0)</f>
        <v>0</v>
      </c>
      <c r="W365">
        <f>IFERROR(INDEX('Exercise list'!$E$5:$X$102,MATCH($C365,'Exercise list'!$C$5:$C$102,0),MATCH(W$5,'Exercise list'!$E$4:$X$4,0)),0)</f>
        <v>0</v>
      </c>
      <c r="X365">
        <f>IFERROR(INDEX('Exercise list'!$E$5:$X$102,MATCH($C365,'Exercise list'!$C$5:$C$102,0),MATCH(X$5,'Exercise list'!$E$4:$X$4,0)),0)</f>
        <v>0</v>
      </c>
      <c r="Y365">
        <f>IFERROR(INDEX('Exercise list'!$E$5:$X$102,MATCH($C365,'Exercise list'!$C$5:$C$102,0),MATCH(Y$5,'Exercise list'!$E$4:$X$4,0)),0)</f>
        <v>0</v>
      </c>
      <c r="Z365">
        <f>IFERROR(INDEX('Exercise list'!$E$5:$X$102,MATCH($C365,'Exercise list'!$C$5:$C$102,0),MATCH(Z$5,'Exercise list'!$E$4:$X$4,0)),0)</f>
        <v>0</v>
      </c>
      <c r="AA365">
        <f>IFERROR(INDEX('Exercise list'!$E$5:$X$102,MATCH($C365,'Exercise list'!$C$5:$C$102,0),MATCH(AA$5,'Exercise list'!$E$4:$X$4,0)),0)</f>
        <v>0</v>
      </c>
      <c r="AB365">
        <f>IFERROR(INDEX('Exercise list'!$E$5:$X$102,MATCH($C365,'Exercise list'!$C$5:$C$102,0),MATCH(AB$5,'Exercise list'!$E$4:$X$4,0)),0)</f>
        <v>0</v>
      </c>
      <c r="AC365">
        <f>IFERROR(INDEX('Exercise list'!$E$5:$X$102,MATCH($C365,'Exercise list'!$C$5:$C$102,0),MATCH(AC$5,'Exercise list'!$E$4:$X$4,0)),0)</f>
        <v>0</v>
      </c>
      <c r="AD365">
        <f>IFERROR(INDEX('Exercise list'!$E$5:$X$102,MATCH($C365,'Exercise list'!$C$5:$C$102,0),MATCH(AD$5,'Exercise list'!$E$4:$X$4,0)),0)</f>
        <v>0</v>
      </c>
      <c r="AE365">
        <f>IFERROR(INDEX('Exercise list'!$E$5:$X$102,MATCH($C365,'Exercise list'!$C$5:$C$102,0),MATCH(AE$5,'Exercise list'!$E$4:$X$4,0)),0)</f>
        <v>0</v>
      </c>
      <c r="AF365">
        <f>IFERROR(INDEX('Exercise list'!$E$5:$X$102,MATCH($C365,'Exercise list'!$C$5:$C$102,0),MATCH(AF$5,'Exercise list'!$E$4:$X$4,0)),0)</f>
        <v>0</v>
      </c>
      <c r="AG365">
        <f>IFERROR(INDEX('Exercise list'!$E$5:$X$102,MATCH($C365,'Exercise list'!$C$5:$C$102,0),MATCH(AG$5,'Exercise list'!$E$4:$X$4,0)),0)</f>
        <v>0</v>
      </c>
      <c r="AH365">
        <f>IFERROR(INDEX('Exercise list'!$E$5:$X$102,MATCH($C365,'Exercise list'!$C$5:$C$102,0),MATCH(AH$5,'Exercise list'!$E$4:$X$4,0)),0)</f>
        <v>0</v>
      </c>
      <c r="AI365">
        <f>IFERROR(INDEX('Exercise list'!$E$5:$X$102,MATCH($C365,'Exercise list'!$C$5:$C$102,0),MATCH(AI$5,'Exercise list'!$E$4:$X$4,0)),0)</f>
        <v>0</v>
      </c>
      <c r="AK365">
        <f>IF(OR($J365=1,COUNTIFS($A$5:$A364,"&gt;="&amp;$A365-1,$A$5:$A364,"&lt;="&amp;$A365,$B$5:$B364,$B365)&gt;0,MIN(1-'Exercise list'!E$2,IF($A365=$A364,AK364,1))-P365&lt;0),-1,MIN(1,IF($A365=$A364,AK364,1)-P365+$D$2))</f>
        <v>1</v>
      </c>
      <c r="AL365">
        <f>IF(OR($J365=1,COUNTIFS($A$5:$A364,"&gt;="&amp;$A365-1,$A$5:$A364,"&lt;="&amp;$A365,$B$5:$B364,$B365)&gt;0,MIN(1-'Exercise list'!F$2,IF($A365=$A364,AL364,1))-Q365&lt;0),-1,MIN(1,IF($A365=$A364,AL364,1)-Q365+$D$2))</f>
        <v>1</v>
      </c>
      <c r="AM365">
        <f>IF(OR($J365=1,COUNTIFS($A$5:$A364,"&gt;="&amp;$A365-1,$A$5:$A364,"&lt;="&amp;$A365,$B$5:$B364,$B365)&gt;0,MIN(1-'Exercise list'!G$2,IF($A365=$A364,AM364,1))-R365&lt;0),-1,MIN(1,IF($A365=$A364,AM364,1)-R365+$D$2))</f>
        <v>1</v>
      </c>
      <c r="AN365">
        <f>IF(OR($J365=1,COUNTIFS($A$5:$A364,"&gt;="&amp;$A365-1,$A$5:$A364,"&lt;="&amp;$A365,$B$5:$B364,$B365)&gt;0,MIN(1-'Exercise list'!H$2,IF($A365=$A364,AN364,1))-S365&lt;0),-1,MIN(1,IF($A365=$A364,AN364,1)-S365+$D$2))</f>
        <v>1</v>
      </c>
      <c r="AO365">
        <f>IF(OR($J365=1,COUNTIFS($A$5:$A364,"&gt;="&amp;$A365-1,$A$5:$A364,"&lt;="&amp;$A365,$B$5:$B364,$B365)&gt;0,MIN(1-'Exercise list'!I$2,IF($A365=$A364,AO364,1))-T365&lt;0),-1,MIN(1,IF($A365=$A364,AO364,1)-T365+$D$2))</f>
        <v>1</v>
      </c>
      <c r="AP365">
        <f>IF(OR($J365=1,COUNTIFS($A$5:$A364,"&gt;="&amp;$A365-1,$A$5:$A364,"&lt;="&amp;$A365,$B$5:$B364,$B365)&gt;0,MIN(1-'Exercise list'!J$2,IF($A365=$A364,AP364,1))-U365&lt;0),-1,MIN(1,IF($A365=$A364,AP364,1)-U365+$D$2))</f>
        <v>1</v>
      </c>
      <c r="AQ365">
        <f>IF(OR($J365=1,COUNTIFS($A$5:$A364,"&gt;="&amp;$A365-1,$A$5:$A364,"&lt;="&amp;$A365,$B$5:$B364,$B365)&gt;0,MIN(1-'Exercise list'!K$2,IF($A365=$A364,AQ364,1))-V365&lt;0),-1,MIN(1,IF($A365=$A364,AQ364,1)-V365+$D$2))</f>
        <v>1</v>
      </c>
      <c r="AR365">
        <f>IF(OR($J365=1,COUNTIFS($A$5:$A364,"&gt;="&amp;$A365-1,$A$5:$A364,"&lt;="&amp;$A365,$B$5:$B364,$B365)&gt;0,MIN(1-'Exercise list'!L$2,IF($A365=$A364,AR364,1))-W365&lt;0),-1,MIN(1,IF($A365=$A364,AR364,1)-W365+$D$2))</f>
        <v>1</v>
      </c>
      <c r="AS365">
        <f>IF(OR($J365=1,COUNTIFS($A$5:$A364,"&gt;="&amp;$A365-1,$A$5:$A364,"&lt;="&amp;$A365,$B$5:$B364,$B365)&gt;0,MIN(1-'Exercise list'!M$2,IF($A365=$A364,AS364,1))-X365&lt;0),-1,MIN(1,IF($A365=$A364,AS364,1)-X365+$D$2))</f>
        <v>1</v>
      </c>
      <c r="AT365">
        <f>IF(OR($J365=1,COUNTIFS($A$5:$A364,"&gt;="&amp;$A365-1,$A$5:$A364,"&lt;="&amp;$A365,$B$5:$B364,$B365)&gt;0,MIN(1-'Exercise list'!N$2,IF($A365=$A364,AT364,1))-Y365&lt;0),-1,MIN(1,IF($A365=$A364,AT364,1)-Y365+$D$2))</f>
        <v>1</v>
      </c>
      <c r="AU365">
        <f>IF(OR($J365=1,COUNTIFS($A$5:$A364,"&gt;="&amp;$A365-1,$A$5:$A364,"&lt;="&amp;$A365,$B$5:$B364,$B365)&gt;0,MIN(1-'Exercise list'!O$2,IF($A365=$A364,AU364,1))-Z365&lt;0),-1,MIN(1,IF($A365=$A364,AU364,1)-Z365+$D$2))</f>
        <v>1</v>
      </c>
      <c r="AV365">
        <f>IF(OR($J365=1,COUNTIFS($A$5:$A364,"&gt;="&amp;$A365-1,$A$5:$A364,"&lt;="&amp;$A365,$B$5:$B364,$B365)&gt;0,MIN(1-'Exercise list'!P$2,IF($A365=$A364,AV364,1))-AA365&lt;0),-1,MIN(1,IF($A365=$A364,AV364,1)-AA365+$D$2))</f>
        <v>1</v>
      </c>
      <c r="AW365">
        <f>IF(OR($J365=1,COUNTIFS($A$5:$A364,"&gt;="&amp;$A365-1,$A$5:$A364,"&lt;="&amp;$A365,$B$5:$B364,$B365)&gt;0,MIN(1-'Exercise list'!Q$2,IF($A365=$A364,AW364,1))-AB365&lt;0),-1,MIN(1,IF($A365=$A364,AW364,1)-AB365+$D$2))</f>
        <v>1</v>
      </c>
      <c r="AX365">
        <f>IF(OR($J365=1,COUNTIFS($A$5:$A364,"&gt;="&amp;$A365-1,$A$5:$A364,"&lt;="&amp;$A365,$B$5:$B364,$B365)&gt;0,MIN(1-'Exercise list'!R$2,IF($A365=$A364,AX364,1))-AC365&lt;0),-1,MIN(1,IF($A365=$A364,AX364,1)-AC365+$D$2))</f>
        <v>1</v>
      </c>
      <c r="AY365">
        <f>IF(OR($J365=1,COUNTIFS($A$5:$A364,"&gt;="&amp;$A365-1,$A$5:$A364,"&lt;="&amp;$A365,$B$5:$B364,$B365)&gt;0,MIN(1-'Exercise list'!S$2,IF($A365=$A364,AY364,1))-AD365&lt;0),-1,MIN(1,IF($A365=$A364,AY364,1)-AD365+$D$2))</f>
        <v>1</v>
      </c>
      <c r="AZ365">
        <f>IF(OR($J365=1,COUNTIFS($A$5:$A364,"&gt;="&amp;$A365-1,$A$5:$A364,"&lt;="&amp;$A365,$B$5:$B364,$B365)&gt;0,MIN(1-'Exercise list'!T$2,IF($A365=$A364,AZ364,1))-AE365&lt;0),-1,MIN(1,IF($A365=$A364,AZ364,1)-AE365+$D$2))</f>
        <v>1</v>
      </c>
      <c r="BA365">
        <f>IF(OR($J365=1,COUNTIFS($A$5:$A364,"&gt;="&amp;$A365-1,$A$5:$A364,"&lt;="&amp;$A365,$B$5:$B364,$B365)&gt;0,MIN(1-'Exercise list'!U$2,IF($A365=$A364,BA364,1))-AF365&lt;0),-1,MIN(1,IF($A365=$A364,BA364,1)-AF365+$D$2))</f>
        <v>1</v>
      </c>
      <c r="BB365">
        <f>IF(OR($J365=1,COUNTIFS($A$5:$A364,"&gt;="&amp;$A365-1,$A$5:$A364,"&lt;="&amp;$A365,$B$5:$B364,$B365)&gt;0,MIN(1-'Exercise list'!V$2,IF($A365=$A364,BB364,1))-AG365&lt;0),-1,MIN(1,IF($A365=$A364,BB364,1)-AG365+$D$2))</f>
        <v>1</v>
      </c>
      <c r="BC365">
        <f>IF(OR($J365=1,COUNTIFS($A$5:$A364,"&gt;="&amp;$A365-1,$A$5:$A364,"&lt;="&amp;$A365,$B$5:$B364,$B365)&gt;0,MIN(1-'Exercise list'!W$2,IF($A365=$A364,BC364,1))-AH365&lt;0),-1,MIN(1,IF($A365=$A364,BC364,1)-AH365+$D$2))</f>
        <v>1</v>
      </c>
      <c r="BD365">
        <f>IF(OR($J365=1,COUNTIFS($A$5:$A364,"&gt;="&amp;$A365-1,$A$5:$A364,"&lt;="&amp;$A365,$B$5:$B364,$B365)&gt;0,MIN(1-'Exercise list'!X$2,IF($A365=$A364,BD364,1))-AI365&lt;0),-1,MIN(1,IF($A365=$A364,BD364,1)-AI365+$D$2))</f>
        <v>1</v>
      </c>
      <c r="BF365" s="16">
        <f t="shared" si="277"/>
        <v>0.19596031081758858</v>
      </c>
      <c r="BG365" s="16">
        <f t="shared" si="278"/>
        <v>0.21844636935459236</v>
      </c>
      <c r="BH365" s="16">
        <f t="shared" si="279"/>
        <v>0.14609696635987124</v>
      </c>
      <c r="BI365" s="16">
        <f t="shared" si="280"/>
        <v>0.13198015366034541</v>
      </c>
      <c r="BJ365" s="16">
        <f t="shared" si="281"/>
        <v>8.3367914198418713E-2</v>
      </c>
      <c r="BK365" s="16">
        <f t="shared" si="282"/>
        <v>0.10640640223148412</v>
      </c>
      <c r="BL365" s="16">
        <f t="shared" si="283"/>
        <v>0.21963504743569431</v>
      </c>
      <c r="BM365" s="16">
        <f t="shared" si="284"/>
        <v>3.8988008374820568E-3</v>
      </c>
      <c r="BN365" s="16">
        <f t="shared" si="285"/>
        <v>0.14537706087090876</v>
      </c>
      <c r="BO365" s="16">
        <f t="shared" si="286"/>
        <v>0.29209790661993401</v>
      </c>
      <c r="BP365" s="16">
        <f t="shared" si="287"/>
        <v>0.31584545163401867</v>
      </c>
      <c r="BQ365" s="16">
        <f t="shared" si="288"/>
        <v>0.1000007994126096</v>
      </c>
      <c r="BR365" s="16">
        <f t="shared" si="289"/>
        <v>0.13164487759885393</v>
      </c>
      <c r="BS365" s="16">
        <f t="shared" si="290"/>
        <v>2.9803550189863123E-2</v>
      </c>
      <c r="BT365" s="16">
        <f t="shared" si="291"/>
        <v>0.13492040904978705</v>
      </c>
      <c r="BU365" s="16">
        <f t="shared" si="292"/>
        <v>0.11703687414398131</v>
      </c>
      <c r="BV365" s="16">
        <f t="shared" si="293"/>
        <v>0.14633353213781661</v>
      </c>
      <c r="BW365" s="16">
        <f t="shared" si="294"/>
        <v>7.5588015111767173E-2</v>
      </c>
      <c r="BX365" s="16">
        <f t="shared" si="295"/>
        <v>8.0345659937185704E-2</v>
      </c>
      <c r="BY365" s="16">
        <f t="shared" si="296"/>
        <v>5.9014643151272549E-2</v>
      </c>
      <c r="CA365" s="16" t="str">
        <f t="shared" si="273"/>
        <v/>
      </c>
      <c r="CB365" s="16" t="str">
        <f t="shared" si="254"/>
        <v/>
      </c>
      <c r="CC365" s="16" t="str">
        <f t="shared" si="255"/>
        <v/>
      </c>
      <c r="CD365" s="16" t="str">
        <f t="shared" si="256"/>
        <v/>
      </c>
      <c r="CE365" s="16" t="str">
        <f t="shared" si="257"/>
        <v/>
      </c>
      <c r="CF365" s="16" t="str">
        <f t="shared" si="258"/>
        <v/>
      </c>
      <c r="CG365" s="16" t="str">
        <f t="shared" si="259"/>
        <v/>
      </c>
      <c r="CH365" s="16" t="str">
        <f t="shared" si="260"/>
        <v/>
      </c>
      <c r="CI365" s="16" t="str">
        <f t="shared" si="261"/>
        <v/>
      </c>
      <c r="CJ365" s="16" t="str">
        <f t="shared" si="262"/>
        <v/>
      </c>
      <c r="CK365" s="16" t="str">
        <f t="shared" si="263"/>
        <v/>
      </c>
      <c r="CL365" s="16" t="str">
        <f t="shared" si="264"/>
        <v/>
      </c>
      <c r="CM365" s="16" t="str">
        <f t="shared" si="265"/>
        <v/>
      </c>
      <c r="CN365" s="16" t="str">
        <f t="shared" si="266"/>
        <v/>
      </c>
      <c r="CO365" s="16" t="str">
        <f t="shared" si="267"/>
        <v/>
      </c>
      <c r="CP365" s="16" t="str">
        <f t="shared" si="268"/>
        <v/>
      </c>
      <c r="CQ365" s="16" t="str">
        <f t="shared" si="269"/>
        <v/>
      </c>
      <c r="CR365" s="16" t="str">
        <f t="shared" si="270"/>
        <v/>
      </c>
      <c r="CS365" s="16" t="str">
        <f t="shared" si="271"/>
        <v/>
      </c>
      <c r="CT365" s="16" t="str">
        <f t="shared" si="272"/>
        <v/>
      </c>
    </row>
    <row r="366" spans="1:99" x14ac:dyDescent="0.25">
      <c r="A366" s="13"/>
      <c r="B366" s="14"/>
      <c r="C366" s="15" t="str" cm="1">
        <f t="array" ref="C366">IF(B366="","",INDEX('Exercise list'!$C$5:$C$102,B366))</f>
        <v/>
      </c>
      <c r="D366" s="12" t="str">
        <f t="shared" si="274"/>
        <v/>
      </c>
      <c r="E366" s="107" t="str">
        <f t="shared" si="297"/>
        <v/>
      </c>
      <c r="F366" s="63" t="str" cm="1">
        <f t="array" ref="F366">IF(B366="","",0.1+IFERROR(INDEX($F$6:$F365,SUMPRODUCT(MAX(ROW($C$6:$C365)*($C366=$C$6:$C365))-ROW($A$5)))*0.9^($A366-INDEX($A$6:A365,SUMPRODUCT(MAX(ROW($C$6:$C365)*($C366=$C$6:$C365))-ROW($A$5)))),0))</f>
        <v/>
      </c>
      <c r="G366" s="64" t="e">
        <f>INDEX('Exercise list'!$Y$5:$Y$102,MATCH(C366,'Exercise list'!$C$5:$C$102,0))</f>
        <v>#N/A</v>
      </c>
      <c r="H366" s="115">
        <f t="shared" si="275"/>
        <v>0</v>
      </c>
      <c r="I366" s="6">
        <f t="shared" si="276"/>
        <v>5</v>
      </c>
      <c r="J366" s="6" t="str" cm="1">
        <f t="array" ref="J366">IF(B366="","",INDEX('Exercise list'!$D$5:$D$102,B366))</f>
        <v/>
      </c>
      <c r="K366" s="12"/>
      <c r="L366" s="74" t="str" cm="1">
        <f t="array" ref="L366">IF(K366="","",INDEX('Exercise list'!$C$5:$C$102,K366))</f>
        <v/>
      </c>
      <c r="M366" s="6"/>
      <c r="N366" s="75" t="str" cm="1">
        <f t="array" ref="N366">IF(M366="","",INDEX('Exercise list'!$C$5:$C$102,M366))</f>
        <v/>
      </c>
      <c r="P366">
        <f>IFERROR(INDEX('Exercise list'!$E$5:$X$102,MATCH($C366,'Exercise list'!$C$5:$C$102,0),MATCH(P$5,'Exercise list'!$E$4:$X$4,0)),0)</f>
        <v>0</v>
      </c>
      <c r="Q366">
        <f>IFERROR(INDEX('Exercise list'!$E$5:$X$102,MATCH($C366,'Exercise list'!$C$5:$C$102,0),MATCH(Q$5,'Exercise list'!$E$4:$X$4,0)),0)</f>
        <v>0</v>
      </c>
      <c r="R366">
        <f>IFERROR(INDEX('Exercise list'!$E$5:$X$102,MATCH($C366,'Exercise list'!$C$5:$C$102,0),MATCH(R$5,'Exercise list'!$E$4:$X$4,0)),0)</f>
        <v>0</v>
      </c>
      <c r="S366">
        <f>IFERROR(INDEX('Exercise list'!$E$5:$X$102,MATCH($C366,'Exercise list'!$C$5:$C$102,0),MATCH(S$5,'Exercise list'!$E$4:$X$4,0)),0)</f>
        <v>0</v>
      </c>
      <c r="T366">
        <f>IFERROR(INDEX('Exercise list'!$E$5:$X$102,MATCH($C366,'Exercise list'!$C$5:$C$102,0),MATCH(T$5,'Exercise list'!$E$4:$X$4,0)),0)</f>
        <v>0</v>
      </c>
      <c r="U366">
        <f>IFERROR(INDEX('Exercise list'!$E$5:$X$102,MATCH($C366,'Exercise list'!$C$5:$C$102,0),MATCH(U$5,'Exercise list'!$E$4:$X$4,0)),0)</f>
        <v>0</v>
      </c>
      <c r="V366">
        <f>IFERROR(INDEX('Exercise list'!$E$5:$X$102,MATCH($C366,'Exercise list'!$C$5:$C$102,0),MATCH(V$5,'Exercise list'!$E$4:$X$4,0)),0)</f>
        <v>0</v>
      </c>
      <c r="W366">
        <f>IFERROR(INDEX('Exercise list'!$E$5:$X$102,MATCH($C366,'Exercise list'!$C$5:$C$102,0),MATCH(W$5,'Exercise list'!$E$4:$X$4,0)),0)</f>
        <v>0</v>
      </c>
      <c r="X366">
        <f>IFERROR(INDEX('Exercise list'!$E$5:$X$102,MATCH($C366,'Exercise list'!$C$5:$C$102,0),MATCH(X$5,'Exercise list'!$E$4:$X$4,0)),0)</f>
        <v>0</v>
      </c>
      <c r="Y366">
        <f>IFERROR(INDEX('Exercise list'!$E$5:$X$102,MATCH($C366,'Exercise list'!$C$5:$C$102,0),MATCH(Y$5,'Exercise list'!$E$4:$X$4,0)),0)</f>
        <v>0</v>
      </c>
      <c r="Z366">
        <f>IFERROR(INDEX('Exercise list'!$E$5:$X$102,MATCH($C366,'Exercise list'!$C$5:$C$102,0),MATCH(Z$5,'Exercise list'!$E$4:$X$4,0)),0)</f>
        <v>0</v>
      </c>
      <c r="AA366">
        <f>IFERROR(INDEX('Exercise list'!$E$5:$X$102,MATCH($C366,'Exercise list'!$C$5:$C$102,0),MATCH(AA$5,'Exercise list'!$E$4:$X$4,0)),0)</f>
        <v>0</v>
      </c>
      <c r="AB366">
        <f>IFERROR(INDEX('Exercise list'!$E$5:$X$102,MATCH($C366,'Exercise list'!$C$5:$C$102,0),MATCH(AB$5,'Exercise list'!$E$4:$X$4,0)),0)</f>
        <v>0</v>
      </c>
      <c r="AC366">
        <f>IFERROR(INDEX('Exercise list'!$E$5:$X$102,MATCH($C366,'Exercise list'!$C$5:$C$102,0),MATCH(AC$5,'Exercise list'!$E$4:$X$4,0)),0)</f>
        <v>0</v>
      </c>
      <c r="AD366">
        <f>IFERROR(INDEX('Exercise list'!$E$5:$X$102,MATCH($C366,'Exercise list'!$C$5:$C$102,0),MATCH(AD$5,'Exercise list'!$E$4:$X$4,0)),0)</f>
        <v>0</v>
      </c>
      <c r="AE366">
        <f>IFERROR(INDEX('Exercise list'!$E$5:$X$102,MATCH($C366,'Exercise list'!$C$5:$C$102,0),MATCH(AE$5,'Exercise list'!$E$4:$X$4,0)),0)</f>
        <v>0</v>
      </c>
      <c r="AF366">
        <f>IFERROR(INDEX('Exercise list'!$E$5:$X$102,MATCH($C366,'Exercise list'!$C$5:$C$102,0),MATCH(AF$5,'Exercise list'!$E$4:$X$4,0)),0)</f>
        <v>0</v>
      </c>
      <c r="AG366">
        <f>IFERROR(INDEX('Exercise list'!$E$5:$X$102,MATCH($C366,'Exercise list'!$C$5:$C$102,0),MATCH(AG$5,'Exercise list'!$E$4:$X$4,0)),0)</f>
        <v>0</v>
      </c>
      <c r="AH366">
        <f>IFERROR(INDEX('Exercise list'!$E$5:$X$102,MATCH($C366,'Exercise list'!$C$5:$C$102,0),MATCH(AH$5,'Exercise list'!$E$4:$X$4,0)),0)</f>
        <v>0</v>
      </c>
      <c r="AI366">
        <f>IFERROR(INDEX('Exercise list'!$E$5:$X$102,MATCH($C366,'Exercise list'!$C$5:$C$102,0),MATCH(AI$5,'Exercise list'!$E$4:$X$4,0)),0)</f>
        <v>0</v>
      </c>
      <c r="AK366">
        <f>IF(OR($J366=1,COUNTIFS($A$5:$A365,"&gt;="&amp;$A366-1,$A$5:$A365,"&lt;="&amp;$A366,$B$5:$B365,$B366)&gt;0,MIN(1-'Exercise list'!E$2,IF($A366=$A365,AK365,1))-P366&lt;0),-1,MIN(1,IF($A366=$A365,AK365,1)-P366+$D$2))</f>
        <v>1</v>
      </c>
      <c r="AL366">
        <f>IF(OR($J366=1,COUNTIFS($A$5:$A365,"&gt;="&amp;$A366-1,$A$5:$A365,"&lt;="&amp;$A366,$B$5:$B365,$B366)&gt;0,MIN(1-'Exercise list'!F$2,IF($A366=$A365,AL365,1))-Q366&lt;0),-1,MIN(1,IF($A366=$A365,AL365,1)-Q366+$D$2))</f>
        <v>1</v>
      </c>
      <c r="AM366">
        <f>IF(OR($J366=1,COUNTIFS($A$5:$A365,"&gt;="&amp;$A366-1,$A$5:$A365,"&lt;="&amp;$A366,$B$5:$B365,$B366)&gt;0,MIN(1-'Exercise list'!G$2,IF($A366=$A365,AM365,1))-R366&lt;0),-1,MIN(1,IF($A366=$A365,AM365,1)-R366+$D$2))</f>
        <v>1</v>
      </c>
      <c r="AN366">
        <f>IF(OR($J366=1,COUNTIFS($A$5:$A365,"&gt;="&amp;$A366-1,$A$5:$A365,"&lt;="&amp;$A366,$B$5:$B365,$B366)&gt;0,MIN(1-'Exercise list'!H$2,IF($A366=$A365,AN365,1))-S366&lt;0),-1,MIN(1,IF($A366=$A365,AN365,1)-S366+$D$2))</f>
        <v>1</v>
      </c>
      <c r="AO366">
        <f>IF(OR($J366=1,COUNTIFS($A$5:$A365,"&gt;="&amp;$A366-1,$A$5:$A365,"&lt;="&amp;$A366,$B$5:$B365,$B366)&gt;0,MIN(1-'Exercise list'!I$2,IF($A366=$A365,AO365,1))-T366&lt;0),-1,MIN(1,IF($A366=$A365,AO365,1)-T366+$D$2))</f>
        <v>1</v>
      </c>
      <c r="AP366">
        <f>IF(OR($J366=1,COUNTIFS($A$5:$A365,"&gt;="&amp;$A366-1,$A$5:$A365,"&lt;="&amp;$A366,$B$5:$B365,$B366)&gt;0,MIN(1-'Exercise list'!J$2,IF($A366=$A365,AP365,1))-U366&lt;0),-1,MIN(1,IF($A366=$A365,AP365,1)-U366+$D$2))</f>
        <v>1</v>
      </c>
      <c r="AQ366">
        <f>IF(OR($J366=1,COUNTIFS($A$5:$A365,"&gt;="&amp;$A366-1,$A$5:$A365,"&lt;="&amp;$A366,$B$5:$B365,$B366)&gt;0,MIN(1-'Exercise list'!K$2,IF($A366=$A365,AQ365,1))-V366&lt;0),-1,MIN(1,IF($A366=$A365,AQ365,1)-V366+$D$2))</f>
        <v>1</v>
      </c>
      <c r="AR366">
        <f>IF(OR($J366=1,COUNTIFS($A$5:$A365,"&gt;="&amp;$A366-1,$A$5:$A365,"&lt;="&amp;$A366,$B$5:$B365,$B366)&gt;0,MIN(1-'Exercise list'!L$2,IF($A366=$A365,AR365,1))-W366&lt;0),-1,MIN(1,IF($A366=$A365,AR365,1)-W366+$D$2))</f>
        <v>1</v>
      </c>
      <c r="AS366">
        <f>IF(OR($J366=1,COUNTIFS($A$5:$A365,"&gt;="&amp;$A366-1,$A$5:$A365,"&lt;="&amp;$A366,$B$5:$B365,$B366)&gt;0,MIN(1-'Exercise list'!M$2,IF($A366=$A365,AS365,1))-X366&lt;0),-1,MIN(1,IF($A366=$A365,AS365,1)-X366+$D$2))</f>
        <v>1</v>
      </c>
      <c r="AT366">
        <f>IF(OR($J366=1,COUNTIFS($A$5:$A365,"&gt;="&amp;$A366-1,$A$5:$A365,"&lt;="&amp;$A366,$B$5:$B365,$B366)&gt;0,MIN(1-'Exercise list'!N$2,IF($A366=$A365,AT365,1))-Y366&lt;0),-1,MIN(1,IF($A366=$A365,AT365,1)-Y366+$D$2))</f>
        <v>1</v>
      </c>
      <c r="AU366">
        <f>IF(OR($J366=1,COUNTIFS($A$5:$A365,"&gt;="&amp;$A366-1,$A$5:$A365,"&lt;="&amp;$A366,$B$5:$B365,$B366)&gt;0,MIN(1-'Exercise list'!O$2,IF($A366=$A365,AU365,1))-Z366&lt;0),-1,MIN(1,IF($A366=$A365,AU365,1)-Z366+$D$2))</f>
        <v>1</v>
      </c>
      <c r="AV366">
        <f>IF(OR($J366=1,COUNTIFS($A$5:$A365,"&gt;="&amp;$A366-1,$A$5:$A365,"&lt;="&amp;$A366,$B$5:$B365,$B366)&gt;0,MIN(1-'Exercise list'!P$2,IF($A366=$A365,AV365,1))-AA366&lt;0),-1,MIN(1,IF($A366=$A365,AV365,1)-AA366+$D$2))</f>
        <v>1</v>
      </c>
      <c r="AW366">
        <f>IF(OR($J366=1,COUNTIFS($A$5:$A365,"&gt;="&amp;$A366-1,$A$5:$A365,"&lt;="&amp;$A366,$B$5:$B365,$B366)&gt;0,MIN(1-'Exercise list'!Q$2,IF($A366=$A365,AW365,1))-AB366&lt;0),-1,MIN(1,IF($A366=$A365,AW365,1)-AB366+$D$2))</f>
        <v>1</v>
      </c>
      <c r="AX366">
        <f>IF(OR($J366=1,COUNTIFS($A$5:$A365,"&gt;="&amp;$A366-1,$A$5:$A365,"&lt;="&amp;$A366,$B$5:$B365,$B366)&gt;0,MIN(1-'Exercise list'!R$2,IF($A366=$A365,AX365,1))-AC366&lt;0),-1,MIN(1,IF($A366=$A365,AX365,1)-AC366+$D$2))</f>
        <v>1</v>
      </c>
      <c r="AY366">
        <f>IF(OR($J366=1,COUNTIFS($A$5:$A365,"&gt;="&amp;$A366-1,$A$5:$A365,"&lt;="&amp;$A366,$B$5:$B365,$B366)&gt;0,MIN(1-'Exercise list'!S$2,IF($A366=$A365,AY365,1))-AD366&lt;0),-1,MIN(1,IF($A366=$A365,AY365,1)-AD366+$D$2))</f>
        <v>1</v>
      </c>
      <c r="AZ366">
        <f>IF(OR($J366=1,COUNTIFS($A$5:$A365,"&gt;="&amp;$A366-1,$A$5:$A365,"&lt;="&amp;$A366,$B$5:$B365,$B366)&gt;0,MIN(1-'Exercise list'!T$2,IF($A366=$A365,AZ365,1))-AE366&lt;0),-1,MIN(1,IF($A366=$A365,AZ365,1)-AE366+$D$2))</f>
        <v>1</v>
      </c>
      <c r="BA366">
        <f>IF(OR($J366=1,COUNTIFS($A$5:$A365,"&gt;="&amp;$A366-1,$A$5:$A365,"&lt;="&amp;$A366,$B$5:$B365,$B366)&gt;0,MIN(1-'Exercise list'!U$2,IF($A366=$A365,BA365,1))-AF366&lt;0),-1,MIN(1,IF($A366=$A365,BA365,1)-AF366+$D$2))</f>
        <v>1</v>
      </c>
      <c r="BB366">
        <f>IF(OR($J366=1,COUNTIFS($A$5:$A365,"&gt;="&amp;$A366-1,$A$5:$A365,"&lt;="&amp;$A366,$B$5:$B365,$B366)&gt;0,MIN(1-'Exercise list'!V$2,IF($A366=$A365,BB365,1))-AG366&lt;0),-1,MIN(1,IF($A366=$A365,BB365,1)-AG366+$D$2))</f>
        <v>1</v>
      </c>
      <c r="BC366">
        <f>IF(OR($J366=1,COUNTIFS($A$5:$A365,"&gt;="&amp;$A366-1,$A$5:$A365,"&lt;="&amp;$A366,$B$5:$B365,$B366)&gt;0,MIN(1-'Exercise list'!W$2,IF($A366=$A365,BC365,1))-AH366&lt;0),-1,MIN(1,IF($A366=$A365,BC365,1)-AH366+$D$2))</f>
        <v>1</v>
      </c>
      <c r="BD366">
        <f>IF(OR($J366=1,COUNTIFS($A$5:$A365,"&gt;="&amp;$A366-1,$A$5:$A365,"&lt;="&amp;$A366,$B$5:$B365,$B366)&gt;0,MIN(1-'Exercise list'!X$2,IF($A366=$A365,BD365,1))-AI366&lt;0),-1,MIN(1,IF($A366=$A365,BD365,1)-AI366+$D$2))</f>
        <v>1</v>
      </c>
      <c r="BF366" s="16">
        <f t="shared" si="277"/>
        <v>0.19596031081758858</v>
      </c>
      <c r="BG366" s="16">
        <f t="shared" si="278"/>
        <v>0.21844636935459236</v>
      </c>
      <c r="BH366" s="16">
        <f t="shared" si="279"/>
        <v>0.14609696635987124</v>
      </c>
      <c r="BI366" s="16">
        <f t="shared" si="280"/>
        <v>0.13198015366034541</v>
      </c>
      <c r="BJ366" s="16">
        <f t="shared" si="281"/>
        <v>8.3367914198418713E-2</v>
      </c>
      <c r="BK366" s="16">
        <f t="shared" si="282"/>
        <v>0.10640640223148412</v>
      </c>
      <c r="BL366" s="16">
        <f t="shared" si="283"/>
        <v>0.21963504743569431</v>
      </c>
      <c r="BM366" s="16">
        <f t="shared" si="284"/>
        <v>3.8988008374820568E-3</v>
      </c>
      <c r="BN366" s="16">
        <f t="shared" si="285"/>
        <v>0.14537706087090876</v>
      </c>
      <c r="BO366" s="16">
        <f t="shared" si="286"/>
        <v>0.29209790661993401</v>
      </c>
      <c r="BP366" s="16">
        <f t="shared" si="287"/>
        <v>0.31584545163401867</v>
      </c>
      <c r="BQ366" s="16">
        <f t="shared" si="288"/>
        <v>0.1000007994126096</v>
      </c>
      <c r="BR366" s="16">
        <f t="shared" si="289"/>
        <v>0.13164487759885393</v>
      </c>
      <c r="BS366" s="16">
        <f t="shared" si="290"/>
        <v>2.9803550189863123E-2</v>
      </c>
      <c r="BT366" s="16">
        <f t="shared" si="291"/>
        <v>0.13492040904978705</v>
      </c>
      <c r="BU366" s="16">
        <f t="shared" si="292"/>
        <v>0.11703687414398131</v>
      </c>
      <c r="BV366" s="16">
        <f t="shared" si="293"/>
        <v>0.14633353213781661</v>
      </c>
      <c r="BW366" s="16">
        <f t="shared" si="294"/>
        <v>7.5588015111767173E-2</v>
      </c>
      <c r="BX366" s="16">
        <f t="shared" si="295"/>
        <v>8.0345659937185704E-2</v>
      </c>
      <c r="BY366" s="16">
        <f t="shared" si="296"/>
        <v>5.9014643151272549E-2</v>
      </c>
      <c r="CA366" s="16" t="str">
        <f t="shared" si="273"/>
        <v/>
      </c>
      <c r="CB366" s="16" t="str">
        <f t="shared" si="254"/>
        <v/>
      </c>
      <c r="CC366" s="16" t="str">
        <f t="shared" si="255"/>
        <v/>
      </c>
      <c r="CD366" s="16" t="str">
        <f t="shared" si="256"/>
        <v/>
      </c>
      <c r="CE366" s="16" t="str">
        <f t="shared" si="257"/>
        <v/>
      </c>
      <c r="CF366" s="16" t="str">
        <f t="shared" si="258"/>
        <v/>
      </c>
      <c r="CG366" s="16" t="str">
        <f t="shared" si="259"/>
        <v/>
      </c>
      <c r="CH366" s="16" t="str">
        <f t="shared" si="260"/>
        <v/>
      </c>
      <c r="CI366" s="16" t="str">
        <f t="shared" si="261"/>
        <v/>
      </c>
      <c r="CJ366" s="16" t="str">
        <f t="shared" si="262"/>
        <v/>
      </c>
      <c r="CK366" s="16" t="str">
        <f t="shared" si="263"/>
        <v/>
      </c>
      <c r="CL366" s="16" t="str">
        <f t="shared" si="264"/>
        <v/>
      </c>
      <c r="CM366" s="16" t="str">
        <f t="shared" si="265"/>
        <v/>
      </c>
      <c r="CN366" s="16" t="str">
        <f t="shared" si="266"/>
        <v/>
      </c>
      <c r="CO366" s="16" t="str">
        <f t="shared" si="267"/>
        <v/>
      </c>
      <c r="CP366" s="16" t="str">
        <f t="shared" si="268"/>
        <v/>
      </c>
      <c r="CQ366" s="16" t="str">
        <f t="shared" si="269"/>
        <v/>
      </c>
      <c r="CR366" s="16" t="str">
        <f t="shared" si="270"/>
        <v/>
      </c>
      <c r="CS366" s="16" t="str">
        <f t="shared" si="271"/>
        <v/>
      </c>
      <c r="CT366" s="16" t="str">
        <f t="shared" si="272"/>
        <v/>
      </c>
    </row>
    <row r="367" spans="1:99" x14ac:dyDescent="0.25">
      <c r="A367" s="13"/>
      <c r="B367" s="14"/>
      <c r="C367" s="15" t="str" cm="1">
        <f t="array" ref="C367">IF(B367="","",INDEX('Exercise list'!$C$5:$C$102,B367))</f>
        <v/>
      </c>
      <c r="D367" s="12" t="str">
        <f t="shared" si="274"/>
        <v/>
      </c>
      <c r="E367" s="107" t="str">
        <f t="shared" si="297"/>
        <v/>
      </c>
      <c r="F367" s="63" t="str" cm="1">
        <f t="array" ref="F367">IF(B367="","",0.1+IFERROR(INDEX($F$6:$F366,SUMPRODUCT(MAX(ROW($C$6:$C366)*($C367=$C$6:$C366))-ROW($A$5)))*0.9^($A367-INDEX($A$6:A366,SUMPRODUCT(MAX(ROW($C$6:$C366)*($C367=$C$6:$C366))-ROW($A$5)))),0))</f>
        <v/>
      </c>
      <c r="G367" s="64" t="e">
        <f>INDEX('Exercise list'!$Y$5:$Y$102,MATCH(C367,'Exercise list'!$C$5:$C$102,0))</f>
        <v>#N/A</v>
      </c>
      <c r="H367" s="115">
        <f t="shared" si="275"/>
        <v>0</v>
      </c>
      <c r="I367" s="6">
        <f t="shared" si="276"/>
        <v>5</v>
      </c>
      <c r="J367" s="6" t="str" cm="1">
        <f t="array" ref="J367">IF(B367="","",INDEX('Exercise list'!$D$5:$D$102,B367))</f>
        <v/>
      </c>
      <c r="K367" s="12"/>
      <c r="L367" s="74" t="str" cm="1">
        <f t="array" ref="L367">IF(K367="","",INDEX('Exercise list'!$C$5:$C$102,K367))</f>
        <v/>
      </c>
      <c r="M367" s="6"/>
      <c r="N367" s="75" t="str" cm="1">
        <f t="array" ref="N367">IF(M367="","",INDEX('Exercise list'!$C$5:$C$102,M367))</f>
        <v/>
      </c>
      <c r="P367">
        <f>IFERROR(INDEX('Exercise list'!$E$5:$X$102,MATCH($C367,'Exercise list'!$C$5:$C$102,0),MATCH(P$5,'Exercise list'!$E$4:$X$4,0)),0)</f>
        <v>0</v>
      </c>
      <c r="Q367">
        <f>IFERROR(INDEX('Exercise list'!$E$5:$X$102,MATCH($C367,'Exercise list'!$C$5:$C$102,0),MATCH(Q$5,'Exercise list'!$E$4:$X$4,0)),0)</f>
        <v>0</v>
      </c>
      <c r="R367">
        <f>IFERROR(INDEX('Exercise list'!$E$5:$X$102,MATCH($C367,'Exercise list'!$C$5:$C$102,0),MATCH(R$5,'Exercise list'!$E$4:$X$4,0)),0)</f>
        <v>0</v>
      </c>
      <c r="S367">
        <f>IFERROR(INDEX('Exercise list'!$E$5:$X$102,MATCH($C367,'Exercise list'!$C$5:$C$102,0),MATCH(S$5,'Exercise list'!$E$4:$X$4,0)),0)</f>
        <v>0</v>
      </c>
      <c r="T367">
        <f>IFERROR(INDEX('Exercise list'!$E$5:$X$102,MATCH($C367,'Exercise list'!$C$5:$C$102,0),MATCH(T$5,'Exercise list'!$E$4:$X$4,0)),0)</f>
        <v>0</v>
      </c>
      <c r="U367">
        <f>IFERROR(INDEX('Exercise list'!$E$5:$X$102,MATCH($C367,'Exercise list'!$C$5:$C$102,0),MATCH(U$5,'Exercise list'!$E$4:$X$4,0)),0)</f>
        <v>0</v>
      </c>
      <c r="V367">
        <f>IFERROR(INDEX('Exercise list'!$E$5:$X$102,MATCH($C367,'Exercise list'!$C$5:$C$102,0),MATCH(V$5,'Exercise list'!$E$4:$X$4,0)),0)</f>
        <v>0</v>
      </c>
      <c r="W367">
        <f>IFERROR(INDEX('Exercise list'!$E$5:$X$102,MATCH($C367,'Exercise list'!$C$5:$C$102,0),MATCH(W$5,'Exercise list'!$E$4:$X$4,0)),0)</f>
        <v>0</v>
      </c>
      <c r="X367">
        <f>IFERROR(INDEX('Exercise list'!$E$5:$X$102,MATCH($C367,'Exercise list'!$C$5:$C$102,0),MATCH(X$5,'Exercise list'!$E$4:$X$4,0)),0)</f>
        <v>0</v>
      </c>
      <c r="Y367">
        <f>IFERROR(INDEX('Exercise list'!$E$5:$X$102,MATCH($C367,'Exercise list'!$C$5:$C$102,0),MATCH(Y$5,'Exercise list'!$E$4:$X$4,0)),0)</f>
        <v>0</v>
      </c>
      <c r="Z367">
        <f>IFERROR(INDEX('Exercise list'!$E$5:$X$102,MATCH($C367,'Exercise list'!$C$5:$C$102,0),MATCH(Z$5,'Exercise list'!$E$4:$X$4,0)),0)</f>
        <v>0</v>
      </c>
      <c r="AA367">
        <f>IFERROR(INDEX('Exercise list'!$E$5:$X$102,MATCH($C367,'Exercise list'!$C$5:$C$102,0),MATCH(AA$5,'Exercise list'!$E$4:$X$4,0)),0)</f>
        <v>0</v>
      </c>
      <c r="AB367">
        <f>IFERROR(INDEX('Exercise list'!$E$5:$X$102,MATCH($C367,'Exercise list'!$C$5:$C$102,0),MATCH(AB$5,'Exercise list'!$E$4:$X$4,0)),0)</f>
        <v>0</v>
      </c>
      <c r="AC367">
        <f>IFERROR(INDEX('Exercise list'!$E$5:$X$102,MATCH($C367,'Exercise list'!$C$5:$C$102,0),MATCH(AC$5,'Exercise list'!$E$4:$X$4,0)),0)</f>
        <v>0</v>
      </c>
      <c r="AD367">
        <f>IFERROR(INDEX('Exercise list'!$E$5:$X$102,MATCH($C367,'Exercise list'!$C$5:$C$102,0),MATCH(AD$5,'Exercise list'!$E$4:$X$4,0)),0)</f>
        <v>0</v>
      </c>
      <c r="AE367">
        <f>IFERROR(INDEX('Exercise list'!$E$5:$X$102,MATCH($C367,'Exercise list'!$C$5:$C$102,0),MATCH(AE$5,'Exercise list'!$E$4:$X$4,0)),0)</f>
        <v>0</v>
      </c>
      <c r="AF367">
        <f>IFERROR(INDEX('Exercise list'!$E$5:$X$102,MATCH($C367,'Exercise list'!$C$5:$C$102,0),MATCH(AF$5,'Exercise list'!$E$4:$X$4,0)),0)</f>
        <v>0</v>
      </c>
      <c r="AG367">
        <f>IFERROR(INDEX('Exercise list'!$E$5:$X$102,MATCH($C367,'Exercise list'!$C$5:$C$102,0),MATCH(AG$5,'Exercise list'!$E$4:$X$4,0)),0)</f>
        <v>0</v>
      </c>
      <c r="AH367">
        <f>IFERROR(INDEX('Exercise list'!$E$5:$X$102,MATCH($C367,'Exercise list'!$C$5:$C$102,0),MATCH(AH$5,'Exercise list'!$E$4:$X$4,0)),0)</f>
        <v>0</v>
      </c>
      <c r="AI367">
        <f>IFERROR(INDEX('Exercise list'!$E$5:$X$102,MATCH($C367,'Exercise list'!$C$5:$C$102,0),MATCH(AI$5,'Exercise list'!$E$4:$X$4,0)),0)</f>
        <v>0</v>
      </c>
      <c r="AK367">
        <f>IF(OR($J367=1,COUNTIFS($A$5:$A366,"&gt;="&amp;$A367-1,$A$5:$A366,"&lt;="&amp;$A367,$B$5:$B366,$B367)&gt;0,MIN(1-'Exercise list'!E$2,IF($A367=$A366,AK366,1))-P367&lt;0),-1,MIN(1,IF($A367=$A366,AK366,1)-P367+$D$2))</f>
        <v>1</v>
      </c>
      <c r="AL367">
        <f>IF(OR($J367=1,COUNTIFS($A$5:$A366,"&gt;="&amp;$A367-1,$A$5:$A366,"&lt;="&amp;$A367,$B$5:$B366,$B367)&gt;0,MIN(1-'Exercise list'!F$2,IF($A367=$A366,AL366,1))-Q367&lt;0),-1,MIN(1,IF($A367=$A366,AL366,1)-Q367+$D$2))</f>
        <v>1</v>
      </c>
      <c r="AM367">
        <f>IF(OR($J367=1,COUNTIFS($A$5:$A366,"&gt;="&amp;$A367-1,$A$5:$A366,"&lt;="&amp;$A367,$B$5:$B366,$B367)&gt;0,MIN(1-'Exercise list'!G$2,IF($A367=$A366,AM366,1))-R367&lt;0),-1,MIN(1,IF($A367=$A366,AM366,1)-R367+$D$2))</f>
        <v>1</v>
      </c>
      <c r="AN367">
        <f>IF(OR($J367=1,COUNTIFS($A$5:$A366,"&gt;="&amp;$A367-1,$A$5:$A366,"&lt;="&amp;$A367,$B$5:$B366,$B367)&gt;0,MIN(1-'Exercise list'!H$2,IF($A367=$A366,AN366,1))-S367&lt;0),-1,MIN(1,IF($A367=$A366,AN366,1)-S367+$D$2))</f>
        <v>1</v>
      </c>
      <c r="AO367">
        <f>IF(OR($J367=1,COUNTIFS($A$5:$A366,"&gt;="&amp;$A367-1,$A$5:$A366,"&lt;="&amp;$A367,$B$5:$B366,$B367)&gt;0,MIN(1-'Exercise list'!I$2,IF($A367=$A366,AO366,1))-T367&lt;0),-1,MIN(1,IF($A367=$A366,AO366,1)-T367+$D$2))</f>
        <v>1</v>
      </c>
      <c r="AP367">
        <f>IF(OR($J367=1,COUNTIFS($A$5:$A366,"&gt;="&amp;$A367-1,$A$5:$A366,"&lt;="&amp;$A367,$B$5:$B366,$B367)&gt;0,MIN(1-'Exercise list'!J$2,IF($A367=$A366,AP366,1))-U367&lt;0),-1,MIN(1,IF($A367=$A366,AP366,1)-U367+$D$2))</f>
        <v>1</v>
      </c>
      <c r="AQ367">
        <f>IF(OR($J367=1,COUNTIFS($A$5:$A366,"&gt;="&amp;$A367-1,$A$5:$A366,"&lt;="&amp;$A367,$B$5:$B366,$B367)&gt;0,MIN(1-'Exercise list'!K$2,IF($A367=$A366,AQ366,1))-V367&lt;0),-1,MIN(1,IF($A367=$A366,AQ366,1)-V367+$D$2))</f>
        <v>1</v>
      </c>
      <c r="AR367">
        <f>IF(OR($J367=1,COUNTIFS($A$5:$A366,"&gt;="&amp;$A367-1,$A$5:$A366,"&lt;="&amp;$A367,$B$5:$B366,$B367)&gt;0,MIN(1-'Exercise list'!L$2,IF($A367=$A366,AR366,1))-W367&lt;0),-1,MIN(1,IF($A367=$A366,AR366,1)-W367+$D$2))</f>
        <v>1</v>
      </c>
      <c r="AS367">
        <f>IF(OR($J367=1,COUNTIFS($A$5:$A366,"&gt;="&amp;$A367-1,$A$5:$A366,"&lt;="&amp;$A367,$B$5:$B366,$B367)&gt;0,MIN(1-'Exercise list'!M$2,IF($A367=$A366,AS366,1))-X367&lt;0),-1,MIN(1,IF($A367=$A366,AS366,1)-X367+$D$2))</f>
        <v>1</v>
      </c>
      <c r="AT367">
        <f>IF(OR($J367=1,COUNTIFS($A$5:$A366,"&gt;="&amp;$A367-1,$A$5:$A366,"&lt;="&amp;$A367,$B$5:$B366,$B367)&gt;0,MIN(1-'Exercise list'!N$2,IF($A367=$A366,AT366,1))-Y367&lt;0),-1,MIN(1,IF($A367=$A366,AT366,1)-Y367+$D$2))</f>
        <v>1</v>
      </c>
      <c r="AU367">
        <f>IF(OR($J367=1,COUNTIFS($A$5:$A366,"&gt;="&amp;$A367-1,$A$5:$A366,"&lt;="&amp;$A367,$B$5:$B366,$B367)&gt;0,MIN(1-'Exercise list'!O$2,IF($A367=$A366,AU366,1))-Z367&lt;0),-1,MIN(1,IF($A367=$A366,AU366,1)-Z367+$D$2))</f>
        <v>1</v>
      </c>
      <c r="AV367">
        <f>IF(OR($J367=1,COUNTIFS($A$5:$A366,"&gt;="&amp;$A367-1,$A$5:$A366,"&lt;="&amp;$A367,$B$5:$B366,$B367)&gt;0,MIN(1-'Exercise list'!P$2,IF($A367=$A366,AV366,1))-AA367&lt;0),-1,MIN(1,IF($A367=$A366,AV366,1)-AA367+$D$2))</f>
        <v>1</v>
      </c>
      <c r="AW367">
        <f>IF(OR($J367=1,COUNTIFS($A$5:$A366,"&gt;="&amp;$A367-1,$A$5:$A366,"&lt;="&amp;$A367,$B$5:$B366,$B367)&gt;0,MIN(1-'Exercise list'!Q$2,IF($A367=$A366,AW366,1))-AB367&lt;0),-1,MIN(1,IF($A367=$A366,AW366,1)-AB367+$D$2))</f>
        <v>1</v>
      </c>
      <c r="AX367">
        <f>IF(OR($J367=1,COUNTIFS($A$5:$A366,"&gt;="&amp;$A367-1,$A$5:$A366,"&lt;="&amp;$A367,$B$5:$B366,$B367)&gt;0,MIN(1-'Exercise list'!R$2,IF($A367=$A366,AX366,1))-AC367&lt;0),-1,MIN(1,IF($A367=$A366,AX366,1)-AC367+$D$2))</f>
        <v>1</v>
      </c>
      <c r="AY367">
        <f>IF(OR($J367=1,COUNTIFS($A$5:$A366,"&gt;="&amp;$A367-1,$A$5:$A366,"&lt;="&amp;$A367,$B$5:$B366,$B367)&gt;0,MIN(1-'Exercise list'!S$2,IF($A367=$A366,AY366,1))-AD367&lt;0),-1,MIN(1,IF($A367=$A366,AY366,1)-AD367+$D$2))</f>
        <v>1</v>
      </c>
      <c r="AZ367">
        <f>IF(OR($J367=1,COUNTIFS($A$5:$A366,"&gt;="&amp;$A367-1,$A$5:$A366,"&lt;="&amp;$A367,$B$5:$B366,$B367)&gt;0,MIN(1-'Exercise list'!T$2,IF($A367=$A366,AZ366,1))-AE367&lt;0),-1,MIN(1,IF($A367=$A366,AZ366,1)-AE367+$D$2))</f>
        <v>1</v>
      </c>
      <c r="BA367">
        <f>IF(OR($J367=1,COUNTIFS($A$5:$A366,"&gt;="&amp;$A367-1,$A$5:$A366,"&lt;="&amp;$A367,$B$5:$B366,$B367)&gt;0,MIN(1-'Exercise list'!U$2,IF($A367=$A366,BA366,1))-AF367&lt;0),-1,MIN(1,IF($A367=$A366,BA366,1)-AF367+$D$2))</f>
        <v>1</v>
      </c>
      <c r="BB367">
        <f>IF(OR($J367=1,COUNTIFS($A$5:$A366,"&gt;="&amp;$A367-1,$A$5:$A366,"&lt;="&amp;$A367,$B$5:$B366,$B367)&gt;0,MIN(1-'Exercise list'!V$2,IF($A367=$A366,BB366,1))-AG367&lt;0),-1,MIN(1,IF($A367=$A366,BB366,1)-AG367+$D$2))</f>
        <v>1</v>
      </c>
      <c r="BC367">
        <f>IF(OR($J367=1,COUNTIFS($A$5:$A366,"&gt;="&amp;$A367-1,$A$5:$A366,"&lt;="&amp;$A367,$B$5:$B366,$B367)&gt;0,MIN(1-'Exercise list'!W$2,IF($A367=$A366,BC366,1))-AH367&lt;0),-1,MIN(1,IF($A367=$A366,BC366,1)-AH367+$D$2))</f>
        <v>1</v>
      </c>
      <c r="BD367">
        <f>IF(OR($J367=1,COUNTIFS($A$5:$A366,"&gt;="&amp;$A367-1,$A$5:$A366,"&lt;="&amp;$A367,$B$5:$B366,$B367)&gt;0,MIN(1-'Exercise list'!X$2,IF($A367=$A366,BD366,1))-AI367&lt;0),-1,MIN(1,IF($A367=$A366,BD366,1)-AI367+$D$2))</f>
        <v>1</v>
      </c>
      <c r="BF367" s="16">
        <f t="shared" si="277"/>
        <v>0.19596031081758858</v>
      </c>
      <c r="BG367" s="16">
        <f t="shared" si="278"/>
        <v>0.21844636935459236</v>
      </c>
      <c r="BH367" s="16">
        <f t="shared" si="279"/>
        <v>0.14609696635987124</v>
      </c>
      <c r="BI367" s="16">
        <f t="shared" si="280"/>
        <v>0.13198015366034541</v>
      </c>
      <c r="BJ367" s="16">
        <f t="shared" si="281"/>
        <v>8.3367914198418713E-2</v>
      </c>
      <c r="BK367" s="16">
        <f t="shared" si="282"/>
        <v>0.10640640223148412</v>
      </c>
      <c r="BL367" s="16">
        <f t="shared" si="283"/>
        <v>0.21963504743569431</v>
      </c>
      <c r="BM367" s="16">
        <f t="shared" si="284"/>
        <v>3.8988008374820568E-3</v>
      </c>
      <c r="BN367" s="16">
        <f t="shared" si="285"/>
        <v>0.14537706087090876</v>
      </c>
      <c r="BO367" s="16">
        <f t="shared" si="286"/>
        <v>0.29209790661993401</v>
      </c>
      <c r="BP367" s="16">
        <f t="shared" si="287"/>
        <v>0.31584545163401867</v>
      </c>
      <c r="BQ367" s="16">
        <f t="shared" si="288"/>
        <v>0.1000007994126096</v>
      </c>
      <c r="BR367" s="16">
        <f t="shared" si="289"/>
        <v>0.13164487759885393</v>
      </c>
      <c r="BS367" s="16">
        <f t="shared" si="290"/>
        <v>2.9803550189863123E-2</v>
      </c>
      <c r="BT367" s="16">
        <f t="shared" si="291"/>
        <v>0.13492040904978705</v>
      </c>
      <c r="BU367" s="16">
        <f t="shared" si="292"/>
        <v>0.11703687414398131</v>
      </c>
      <c r="BV367" s="16">
        <f t="shared" si="293"/>
        <v>0.14633353213781661</v>
      </c>
      <c r="BW367" s="16">
        <f t="shared" si="294"/>
        <v>7.5588015111767173E-2</v>
      </c>
      <c r="BX367" s="16">
        <f t="shared" si="295"/>
        <v>8.0345659937185704E-2</v>
      </c>
      <c r="BY367" s="16">
        <f t="shared" si="296"/>
        <v>5.9014643151272549E-2</v>
      </c>
      <c r="CA367" s="16" t="str">
        <f t="shared" si="273"/>
        <v/>
      </c>
      <c r="CB367" s="16" t="str">
        <f t="shared" si="254"/>
        <v/>
      </c>
      <c r="CC367" s="16" t="str">
        <f t="shared" si="255"/>
        <v/>
      </c>
      <c r="CD367" s="16" t="str">
        <f t="shared" si="256"/>
        <v/>
      </c>
      <c r="CE367" s="16" t="str">
        <f t="shared" si="257"/>
        <v/>
      </c>
      <c r="CF367" s="16" t="str">
        <f t="shared" si="258"/>
        <v/>
      </c>
      <c r="CG367" s="16" t="str">
        <f t="shared" si="259"/>
        <v/>
      </c>
      <c r="CH367" s="16" t="str">
        <f t="shared" si="260"/>
        <v/>
      </c>
      <c r="CI367" s="16" t="str">
        <f t="shared" si="261"/>
        <v/>
      </c>
      <c r="CJ367" s="16" t="str">
        <f t="shared" si="262"/>
        <v/>
      </c>
      <c r="CK367" s="16" t="str">
        <f t="shared" si="263"/>
        <v/>
      </c>
      <c r="CL367" s="16" t="str">
        <f t="shared" si="264"/>
        <v/>
      </c>
      <c r="CM367" s="16" t="str">
        <f t="shared" si="265"/>
        <v/>
      </c>
      <c r="CN367" s="16" t="str">
        <f t="shared" si="266"/>
        <v/>
      </c>
      <c r="CO367" s="16" t="str">
        <f t="shared" si="267"/>
        <v/>
      </c>
      <c r="CP367" s="16" t="str">
        <f t="shared" si="268"/>
        <v/>
      </c>
      <c r="CQ367" s="16" t="str">
        <f t="shared" si="269"/>
        <v/>
      </c>
      <c r="CR367" s="16" t="str">
        <f t="shared" si="270"/>
        <v/>
      </c>
      <c r="CS367" s="16" t="str">
        <f t="shared" si="271"/>
        <v/>
      </c>
      <c r="CT367" s="16" t="str">
        <f t="shared" si="272"/>
        <v/>
      </c>
    </row>
    <row r="368" spans="1:99" x14ac:dyDescent="0.25">
      <c r="A368" s="20"/>
      <c r="B368" s="21"/>
      <c r="C368" s="22" t="str" cm="1">
        <f t="array" ref="C368">IF(B368="","",INDEX('Exercise list'!$C$5:$C$102,B368))</f>
        <v/>
      </c>
      <c r="D368" s="17" t="str">
        <f t="shared" si="274"/>
        <v/>
      </c>
      <c r="E368" s="108" t="str">
        <f t="shared" si="297"/>
        <v/>
      </c>
      <c r="F368" s="65" t="str" cm="1">
        <f t="array" ref="F368">IF(B368="","",0.1+IFERROR(INDEX($F$6:$F367,SUMPRODUCT(MAX(ROW($C$6:$C367)*($C368=$C$6:$C367))-ROW($A$5)))*0.9^($A368-INDEX($A$6:A367,SUMPRODUCT(MAX(ROW($C$6:$C367)*($C368=$C$6:$C367))-ROW($A$5)))),0))</f>
        <v/>
      </c>
      <c r="G368" s="25" t="e">
        <f>INDEX('Exercise list'!$Y$5:$Y$102,MATCH(C368,'Exercise list'!$C$5:$C$102,0))</f>
        <v>#N/A</v>
      </c>
      <c r="H368" s="116">
        <f t="shared" si="275"/>
        <v>0</v>
      </c>
      <c r="I368" s="18">
        <f t="shared" si="276"/>
        <v>5</v>
      </c>
      <c r="J368" s="18" t="str" cm="1">
        <f t="array" ref="J368">IF(B368="","",INDEX('Exercise list'!$D$5:$D$102,B368))</f>
        <v/>
      </c>
      <c r="K368" s="17"/>
      <c r="L368" s="51" t="str" cm="1">
        <f t="array" ref="L368">IF(K368="","",INDEX('Exercise list'!$C$5:$C$102,K368))</f>
        <v/>
      </c>
      <c r="M368" s="18"/>
      <c r="N368" s="76" t="str" cm="1">
        <f t="array" ref="N368">IF(M368="","",INDEX('Exercise list'!$C$5:$C$102,M368))</f>
        <v/>
      </c>
      <c r="O368" s="19"/>
      <c r="P368" s="19">
        <f>IFERROR(INDEX('Exercise list'!$E$5:$X$102,MATCH($C368,'Exercise list'!$C$5:$C$102,0),MATCH(P$5,'Exercise list'!$E$4:$X$4,0)),0)</f>
        <v>0</v>
      </c>
      <c r="Q368" s="19">
        <f>IFERROR(INDEX('Exercise list'!$E$5:$X$102,MATCH($C368,'Exercise list'!$C$5:$C$102,0),MATCH(Q$5,'Exercise list'!$E$4:$X$4,0)),0)</f>
        <v>0</v>
      </c>
      <c r="R368" s="19">
        <f>IFERROR(INDEX('Exercise list'!$E$5:$X$102,MATCH($C368,'Exercise list'!$C$5:$C$102,0),MATCH(R$5,'Exercise list'!$E$4:$X$4,0)),0)</f>
        <v>0</v>
      </c>
      <c r="S368" s="19">
        <f>IFERROR(INDEX('Exercise list'!$E$5:$X$102,MATCH($C368,'Exercise list'!$C$5:$C$102,0),MATCH(S$5,'Exercise list'!$E$4:$X$4,0)),0)</f>
        <v>0</v>
      </c>
      <c r="T368" s="19">
        <f>IFERROR(INDEX('Exercise list'!$E$5:$X$102,MATCH($C368,'Exercise list'!$C$5:$C$102,0),MATCH(T$5,'Exercise list'!$E$4:$X$4,0)),0)</f>
        <v>0</v>
      </c>
      <c r="U368" s="19">
        <f>IFERROR(INDEX('Exercise list'!$E$5:$X$102,MATCH($C368,'Exercise list'!$C$5:$C$102,0),MATCH(U$5,'Exercise list'!$E$4:$X$4,0)),0)</f>
        <v>0</v>
      </c>
      <c r="V368" s="19">
        <f>IFERROR(INDEX('Exercise list'!$E$5:$X$102,MATCH($C368,'Exercise list'!$C$5:$C$102,0),MATCH(V$5,'Exercise list'!$E$4:$X$4,0)),0)</f>
        <v>0</v>
      </c>
      <c r="W368" s="19">
        <f>IFERROR(INDEX('Exercise list'!$E$5:$X$102,MATCH($C368,'Exercise list'!$C$5:$C$102,0),MATCH(W$5,'Exercise list'!$E$4:$X$4,0)),0)</f>
        <v>0</v>
      </c>
      <c r="X368" s="19">
        <f>IFERROR(INDEX('Exercise list'!$E$5:$X$102,MATCH($C368,'Exercise list'!$C$5:$C$102,0),MATCH(X$5,'Exercise list'!$E$4:$X$4,0)),0)</f>
        <v>0</v>
      </c>
      <c r="Y368" s="19">
        <f>IFERROR(INDEX('Exercise list'!$E$5:$X$102,MATCH($C368,'Exercise list'!$C$5:$C$102,0),MATCH(Y$5,'Exercise list'!$E$4:$X$4,0)),0)</f>
        <v>0</v>
      </c>
      <c r="Z368" s="19">
        <f>IFERROR(INDEX('Exercise list'!$E$5:$X$102,MATCH($C368,'Exercise list'!$C$5:$C$102,0),MATCH(Z$5,'Exercise list'!$E$4:$X$4,0)),0)</f>
        <v>0</v>
      </c>
      <c r="AA368" s="19">
        <f>IFERROR(INDEX('Exercise list'!$E$5:$X$102,MATCH($C368,'Exercise list'!$C$5:$C$102,0),MATCH(AA$5,'Exercise list'!$E$4:$X$4,0)),0)</f>
        <v>0</v>
      </c>
      <c r="AB368" s="19">
        <f>IFERROR(INDEX('Exercise list'!$E$5:$X$102,MATCH($C368,'Exercise list'!$C$5:$C$102,0),MATCH(AB$5,'Exercise list'!$E$4:$X$4,0)),0)</f>
        <v>0</v>
      </c>
      <c r="AC368" s="19">
        <f>IFERROR(INDEX('Exercise list'!$E$5:$X$102,MATCH($C368,'Exercise list'!$C$5:$C$102,0),MATCH(AC$5,'Exercise list'!$E$4:$X$4,0)),0)</f>
        <v>0</v>
      </c>
      <c r="AD368" s="19">
        <f>IFERROR(INDEX('Exercise list'!$E$5:$X$102,MATCH($C368,'Exercise list'!$C$5:$C$102,0),MATCH(AD$5,'Exercise list'!$E$4:$X$4,0)),0)</f>
        <v>0</v>
      </c>
      <c r="AE368" s="19">
        <f>IFERROR(INDEX('Exercise list'!$E$5:$X$102,MATCH($C368,'Exercise list'!$C$5:$C$102,0),MATCH(AE$5,'Exercise list'!$E$4:$X$4,0)),0)</f>
        <v>0</v>
      </c>
      <c r="AF368" s="19">
        <f>IFERROR(INDEX('Exercise list'!$E$5:$X$102,MATCH($C368,'Exercise list'!$C$5:$C$102,0),MATCH(AF$5,'Exercise list'!$E$4:$X$4,0)),0)</f>
        <v>0</v>
      </c>
      <c r="AG368" s="19">
        <f>IFERROR(INDEX('Exercise list'!$E$5:$X$102,MATCH($C368,'Exercise list'!$C$5:$C$102,0),MATCH(AG$5,'Exercise list'!$E$4:$X$4,0)),0)</f>
        <v>0</v>
      </c>
      <c r="AH368" s="19">
        <f>IFERROR(INDEX('Exercise list'!$E$5:$X$102,MATCH($C368,'Exercise list'!$C$5:$C$102,0),MATCH(AH$5,'Exercise list'!$E$4:$X$4,0)),0)</f>
        <v>0</v>
      </c>
      <c r="AI368" s="19">
        <f>IFERROR(INDEX('Exercise list'!$E$5:$X$102,MATCH($C368,'Exercise list'!$C$5:$C$102,0),MATCH(AI$5,'Exercise list'!$E$4:$X$4,0)),0)</f>
        <v>0</v>
      </c>
      <c r="AJ368" s="19"/>
      <c r="AK368" s="19">
        <f>IF(OR($J368=1,COUNTIFS($A$5:$A367,"&gt;="&amp;$A368-1,$A$5:$A367,"&lt;="&amp;$A368,$B$5:$B367,$B368)&gt;0,MIN(1-'Exercise list'!E$2,IF($A368=$A367,AK367,1))-P368&lt;0),-1,MIN(1,IF($A368=$A367,AK367,1)-P368+$D$2))</f>
        <v>1</v>
      </c>
      <c r="AL368" s="19">
        <f>IF(OR($J368=1,COUNTIFS($A$5:$A367,"&gt;="&amp;$A368-1,$A$5:$A367,"&lt;="&amp;$A368,$B$5:$B367,$B368)&gt;0,MIN(1-'Exercise list'!F$2,IF($A368=$A367,AL367,1))-Q368&lt;0),-1,MIN(1,IF($A368=$A367,AL367,1)-Q368+$D$2))</f>
        <v>1</v>
      </c>
      <c r="AM368" s="19">
        <f>IF(OR($J368=1,COUNTIFS($A$5:$A367,"&gt;="&amp;$A368-1,$A$5:$A367,"&lt;="&amp;$A368,$B$5:$B367,$B368)&gt;0,MIN(1-'Exercise list'!G$2,IF($A368=$A367,AM367,1))-R368&lt;0),-1,MIN(1,IF($A368=$A367,AM367,1)-R368+$D$2))</f>
        <v>1</v>
      </c>
      <c r="AN368" s="19">
        <f>IF(OR($J368=1,COUNTIFS($A$5:$A367,"&gt;="&amp;$A368-1,$A$5:$A367,"&lt;="&amp;$A368,$B$5:$B367,$B368)&gt;0,MIN(1-'Exercise list'!H$2,IF($A368=$A367,AN367,1))-S368&lt;0),-1,MIN(1,IF($A368=$A367,AN367,1)-S368+$D$2))</f>
        <v>1</v>
      </c>
      <c r="AO368" s="19">
        <f>IF(OR($J368=1,COUNTIFS($A$5:$A367,"&gt;="&amp;$A368-1,$A$5:$A367,"&lt;="&amp;$A368,$B$5:$B367,$B368)&gt;0,MIN(1-'Exercise list'!I$2,IF($A368=$A367,AO367,1))-T368&lt;0),-1,MIN(1,IF($A368=$A367,AO367,1)-T368+$D$2))</f>
        <v>1</v>
      </c>
      <c r="AP368" s="19">
        <f>IF(OR($J368=1,COUNTIFS($A$5:$A367,"&gt;="&amp;$A368-1,$A$5:$A367,"&lt;="&amp;$A368,$B$5:$B367,$B368)&gt;0,MIN(1-'Exercise list'!J$2,IF($A368=$A367,AP367,1))-U368&lt;0),-1,MIN(1,IF($A368=$A367,AP367,1)-U368+$D$2))</f>
        <v>1</v>
      </c>
      <c r="AQ368" s="19">
        <f>IF(OR($J368=1,COUNTIFS($A$5:$A367,"&gt;="&amp;$A368-1,$A$5:$A367,"&lt;="&amp;$A368,$B$5:$B367,$B368)&gt;0,MIN(1-'Exercise list'!K$2,IF($A368=$A367,AQ367,1))-V368&lt;0),-1,MIN(1,IF($A368=$A367,AQ367,1)-V368+$D$2))</f>
        <v>1</v>
      </c>
      <c r="AR368" s="19">
        <f>IF(OR($J368=1,COUNTIFS($A$5:$A367,"&gt;="&amp;$A368-1,$A$5:$A367,"&lt;="&amp;$A368,$B$5:$B367,$B368)&gt;0,MIN(1-'Exercise list'!L$2,IF($A368=$A367,AR367,1))-W368&lt;0),-1,MIN(1,IF($A368=$A367,AR367,1)-W368+$D$2))</f>
        <v>1</v>
      </c>
      <c r="AS368" s="19">
        <f>IF(OR($J368=1,COUNTIFS($A$5:$A367,"&gt;="&amp;$A368-1,$A$5:$A367,"&lt;="&amp;$A368,$B$5:$B367,$B368)&gt;0,MIN(1-'Exercise list'!M$2,IF($A368=$A367,AS367,1))-X368&lt;0),-1,MIN(1,IF($A368=$A367,AS367,1)-X368+$D$2))</f>
        <v>1</v>
      </c>
      <c r="AT368" s="19">
        <f>IF(OR($J368=1,COUNTIFS($A$5:$A367,"&gt;="&amp;$A368-1,$A$5:$A367,"&lt;="&amp;$A368,$B$5:$B367,$B368)&gt;0,MIN(1-'Exercise list'!N$2,IF($A368=$A367,AT367,1))-Y368&lt;0),-1,MIN(1,IF($A368=$A367,AT367,1)-Y368+$D$2))</f>
        <v>1</v>
      </c>
      <c r="AU368" s="19">
        <f>IF(OR($J368=1,COUNTIFS($A$5:$A367,"&gt;="&amp;$A368-1,$A$5:$A367,"&lt;="&amp;$A368,$B$5:$B367,$B368)&gt;0,MIN(1-'Exercise list'!O$2,IF($A368=$A367,AU367,1))-Z368&lt;0),-1,MIN(1,IF($A368=$A367,AU367,1)-Z368+$D$2))</f>
        <v>1</v>
      </c>
      <c r="AV368" s="19">
        <f>IF(OR($J368=1,COUNTIFS($A$5:$A367,"&gt;="&amp;$A368-1,$A$5:$A367,"&lt;="&amp;$A368,$B$5:$B367,$B368)&gt;0,MIN(1-'Exercise list'!P$2,IF($A368=$A367,AV367,1))-AA368&lt;0),-1,MIN(1,IF($A368=$A367,AV367,1)-AA368+$D$2))</f>
        <v>1</v>
      </c>
      <c r="AW368" s="19">
        <f>IF(OR($J368=1,COUNTIFS($A$5:$A367,"&gt;="&amp;$A368-1,$A$5:$A367,"&lt;="&amp;$A368,$B$5:$B367,$B368)&gt;0,MIN(1-'Exercise list'!Q$2,IF($A368=$A367,AW367,1))-AB368&lt;0),-1,MIN(1,IF($A368=$A367,AW367,1)-AB368+$D$2))</f>
        <v>1</v>
      </c>
      <c r="AX368" s="19">
        <f>IF(OR($J368=1,COUNTIFS($A$5:$A367,"&gt;="&amp;$A368-1,$A$5:$A367,"&lt;="&amp;$A368,$B$5:$B367,$B368)&gt;0,MIN(1-'Exercise list'!R$2,IF($A368=$A367,AX367,1))-AC368&lt;0),-1,MIN(1,IF($A368=$A367,AX367,1)-AC368+$D$2))</f>
        <v>1</v>
      </c>
      <c r="AY368" s="19">
        <f>IF(OR($J368=1,COUNTIFS($A$5:$A367,"&gt;="&amp;$A368-1,$A$5:$A367,"&lt;="&amp;$A368,$B$5:$B367,$B368)&gt;0,MIN(1-'Exercise list'!S$2,IF($A368=$A367,AY367,1))-AD368&lt;0),-1,MIN(1,IF($A368=$A367,AY367,1)-AD368+$D$2))</f>
        <v>1</v>
      </c>
      <c r="AZ368" s="19">
        <f>IF(OR($J368=1,COUNTIFS($A$5:$A367,"&gt;="&amp;$A368-1,$A$5:$A367,"&lt;="&amp;$A368,$B$5:$B367,$B368)&gt;0,MIN(1-'Exercise list'!T$2,IF($A368=$A367,AZ367,1))-AE368&lt;0),-1,MIN(1,IF($A368=$A367,AZ367,1)-AE368+$D$2))</f>
        <v>1</v>
      </c>
      <c r="BA368" s="19">
        <f>IF(OR($J368=1,COUNTIFS($A$5:$A367,"&gt;="&amp;$A368-1,$A$5:$A367,"&lt;="&amp;$A368,$B$5:$B367,$B368)&gt;0,MIN(1-'Exercise list'!U$2,IF($A368=$A367,BA367,1))-AF368&lt;0),-1,MIN(1,IF($A368=$A367,BA367,1)-AF368+$D$2))</f>
        <v>1</v>
      </c>
      <c r="BB368" s="19">
        <f>IF(OR($J368=1,COUNTIFS($A$5:$A367,"&gt;="&amp;$A368-1,$A$5:$A367,"&lt;="&amp;$A368,$B$5:$B367,$B368)&gt;0,MIN(1-'Exercise list'!V$2,IF($A368=$A367,BB367,1))-AG368&lt;0),-1,MIN(1,IF($A368=$A367,BB367,1)-AG368+$D$2))</f>
        <v>1</v>
      </c>
      <c r="BC368" s="19">
        <f>IF(OR($J368=1,COUNTIFS($A$5:$A367,"&gt;="&amp;$A368-1,$A$5:$A367,"&lt;="&amp;$A368,$B$5:$B367,$B368)&gt;0,MIN(1-'Exercise list'!W$2,IF($A368=$A367,BC367,1))-AH368&lt;0),-1,MIN(1,IF($A368=$A367,BC367,1)-AH368+$D$2))</f>
        <v>1</v>
      </c>
      <c r="BD368" s="19">
        <f>IF(OR($J368=1,COUNTIFS($A$5:$A367,"&gt;="&amp;$A368-1,$A$5:$A367,"&lt;="&amp;$A368,$B$5:$B367,$B368)&gt;0,MIN(1-'Exercise list'!X$2,IF($A368=$A367,BD367,1))-AI368&lt;0),-1,MIN(1,IF($A368=$A367,BD367,1)-AI368+$D$2))</f>
        <v>1</v>
      </c>
      <c r="BE368" s="19"/>
      <c r="BF368" s="23">
        <f t="shared" si="277"/>
        <v>0.19596031081758858</v>
      </c>
      <c r="BG368" s="23">
        <f t="shared" si="278"/>
        <v>0.21844636935459236</v>
      </c>
      <c r="BH368" s="23">
        <f t="shared" si="279"/>
        <v>0.14609696635987124</v>
      </c>
      <c r="BI368" s="23">
        <f t="shared" si="280"/>
        <v>0.13198015366034541</v>
      </c>
      <c r="BJ368" s="23">
        <f t="shared" si="281"/>
        <v>8.3367914198418713E-2</v>
      </c>
      <c r="BK368" s="23">
        <f t="shared" si="282"/>
        <v>0.10640640223148412</v>
      </c>
      <c r="BL368" s="23">
        <f t="shared" si="283"/>
        <v>0.21963504743569431</v>
      </c>
      <c r="BM368" s="23">
        <f t="shared" si="284"/>
        <v>3.8988008374820568E-3</v>
      </c>
      <c r="BN368" s="23">
        <f t="shared" si="285"/>
        <v>0.14537706087090876</v>
      </c>
      <c r="BO368" s="23">
        <f t="shared" si="286"/>
        <v>0.29209790661993401</v>
      </c>
      <c r="BP368" s="23">
        <f t="shared" si="287"/>
        <v>0.31584545163401867</v>
      </c>
      <c r="BQ368" s="23">
        <f t="shared" si="288"/>
        <v>0.1000007994126096</v>
      </c>
      <c r="BR368" s="23">
        <f t="shared" si="289"/>
        <v>0.13164487759885393</v>
      </c>
      <c r="BS368" s="23">
        <f t="shared" si="290"/>
        <v>2.9803550189863123E-2</v>
      </c>
      <c r="BT368" s="23">
        <f t="shared" si="291"/>
        <v>0.13492040904978705</v>
      </c>
      <c r="BU368" s="23">
        <f t="shared" si="292"/>
        <v>0.11703687414398131</v>
      </c>
      <c r="BV368" s="23">
        <f t="shared" si="293"/>
        <v>0.14633353213781661</v>
      </c>
      <c r="BW368" s="23">
        <f t="shared" si="294"/>
        <v>7.5588015111767173E-2</v>
      </c>
      <c r="BX368" s="23">
        <f t="shared" si="295"/>
        <v>8.0345659937185704E-2</v>
      </c>
      <c r="BY368" s="23">
        <f t="shared" si="296"/>
        <v>5.9014643151272549E-2</v>
      </c>
      <c r="BZ368" s="19"/>
      <c r="CA368" s="23" t="str">
        <f t="shared" si="273"/>
        <v/>
      </c>
      <c r="CB368" s="23" t="str">
        <f t="shared" si="254"/>
        <v/>
      </c>
      <c r="CC368" s="23" t="str">
        <f t="shared" si="255"/>
        <v/>
      </c>
      <c r="CD368" s="23" t="str">
        <f t="shared" si="256"/>
        <v/>
      </c>
      <c r="CE368" s="23" t="str">
        <f t="shared" si="257"/>
        <v/>
      </c>
      <c r="CF368" s="23" t="str">
        <f t="shared" si="258"/>
        <v/>
      </c>
      <c r="CG368" s="23" t="str">
        <f t="shared" si="259"/>
        <v/>
      </c>
      <c r="CH368" s="23" t="str">
        <f t="shared" si="260"/>
        <v/>
      </c>
      <c r="CI368" s="23" t="str">
        <f t="shared" si="261"/>
        <v/>
      </c>
      <c r="CJ368" s="23" t="str">
        <f t="shared" si="262"/>
        <v/>
      </c>
      <c r="CK368" s="23" t="str">
        <f t="shared" si="263"/>
        <v/>
      </c>
      <c r="CL368" s="23" t="str">
        <f t="shared" si="264"/>
        <v/>
      </c>
      <c r="CM368" s="23" t="str">
        <f t="shared" si="265"/>
        <v/>
      </c>
      <c r="CN368" s="23" t="str">
        <f t="shared" si="266"/>
        <v/>
      </c>
      <c r="CO368" s="23" t="str">
        <f t="shared" si="267"/>
        <v/>
      </c>
      <c r="CP368" s="23" t="str">
        <f t="shared" si="268"/>
        <v/>
      </c>
      <c r="CQ368" s="23" t="str">
        <f t="shared" si="269"/>
        <v/>
      </c>
      <c r="CR368" s="23" t="str">
        <f t="shared" si="270"/>
        <v/>
      </c>
      <c r="CS368" s="23" t="str">
        <f t="shared" si="271"/>
        <v/>
      </c>
      <c r="CT368" s="23" t="str">
        <f t="shared" si="272"/>
        <v/>
      </c>
      <c r="CU368" s="19"/>
    </row>
    <row r="369" spans="1:99" x14ac:dyDescent="0.25">
      <c r="A369" s="13"/>
      <c r="B369" s="14"/>
      <c r="C369" s="15" t="str" cm="1">
        <f t="array" ref="C369">IF(B369="","",INDEX('Exercise list'!$C$5:$C$102,B369))</f>
        <v/>
      </c>
      <c r="D369" s="12" t="str">
        <f t="shared" si="274"/>
        <v/>
      </c>
      <c r="E369" s="107" t="str">
        <f t="shared" si="297"/>
        <v/>
      </c>
      <c r="F369" s="63" t="str" cm="1">
        <f t="array" ref="F369">IF(B369="","",0.1+IFERROR(INDEX($F$6:$F368,SUMPRODUCT(MAX(ROW($C$6:$C368)*($C369=$C$6:$C368))-ROW($A$5)))*0.9^($A369-INDEX($A$6:A368,SUMPRODUCT(MAX(ROW($C$6:$C368)*($C369=$C$6:$C368))-ROW($A$5)))),0))</f>
        <v/>
      </c>
      <c r="G369" s="64" t="e">
        <f>INDEX('Exercise list'!$Y$5:$Y$102,MATCH(C369,'Exercise list'!$C$5:$C$102,0))</f>
        <v>#N/A</v>
      </c>
      <c r="H369" s="115">
        <f t="shared" si="275"/>
        <v>0</v>
      </c>
      <c r="I369" s="42">
        <f t="shared" si="276"/>
        <v>5</v>
      </c>
      <c r="J369" s="6" t="str" cm="1">
        <f t="array" ref="J369">IF(B369="","",INDEX('Exercise list'!$D$5:$D$102,B369))</f>
        <v/>
      </c>
      <c r="K369" s="12"/>
      <c r="L369" s="74" t="str" cm="1">
        <f t="array" ref="L369">IF(K369="","",INDEX('Exercise list'!$C$5:$C$102,K369))</f>
        <v/>
      </c>
      <c r="M369" s="6"/>
      <c r="N369" s="75" t="str" cm="1">
        <f t="array" ref="N369">IF(M369="","",INDEX('Exercise list'!$C$5:$C$102,M369))</f>
        <v/>
      </c>
      <c r="P369">
        <f>IFERROR(INDEX('Exercise list'!$E$5:$X$102,MATCH($C369,'Exercise list'!$C$5:$C$102,0),MATCH(P$5,'Exercise list'!$E$4:$X$4,0)),0)</f>
        <v>0</v>
      </c>
      <c r="Q369">
        <f>IFERROR(INDEX('Exercise list'!$E$5:$X$102,MATCH($C369,'Exercise list'!$C$5:$C$102,0),MATCH(Q$5,'Exercise list'!$E$4:$X$4,0)),0)</f>
        <v>0</v>
      </c>
      <c r="R369">
        <f>IFERROR(INDEX('Exercise list'!$E$5:$X$102,MATCH($C369,'Exercise list'!$C$5:$C$102,0),MATCH(R$5,'Exercise list'!$E$4:$X$4,0)),0)</f>
        <v>0</v>
      </c>
      <c r="S369">
        <f>IFERROR(INDEX('Exercise list'!$E$5:$X$102,MATCH($C369,'Exercise list'!$C$5:$C$102,0),MATCH(S$5,'Exercise list'!$E$4:$X$4,0)),0)</f>
        <v>0</v>
      </c>
      <c r="T369">
        <f>IFERROR(INDEX('Exercise list'!$E$5:$X$102,MATCH($C369,'Exercise list'!$C$5:$C$102,0),MATCH(T$5,'Exercise list'!$E$4:$X$4,0)),0)</f>
        <v>0</v>
      </c>
      <c r="U369">
        <f>IFERROR(INDEX('Exercise list'!$E$5:$X$102,MATCH($C369,'Exercise list'!$C$5:$C$102,0),MATCH(U$5,'Exercise list'!$E$4:$X$4,0)),0)</f>
        <v>0</v>
      </c>
      <c r="V369">
        <f>IFERROR(INDEX('Exercise list'!$E$5:$X$102,MATCH($C369,'Exercise list'!$C$5:$C$102,0),MATCH(V$5,'Exercise list'!$E$4:$X$4,0)),0)</f>
        <v>0</v>
      </c>
      <c r="W369">
        <f>IFERROR(INDEX('Exercise list'!$E$5:$X$102,MATCH($C369,'Exercise list'!$C$5:$C$102,0),MATCH(W$5,'Exercise list'!$E$4:$X$4,0)),0)</f>
        <v>0</v>
      </c>
      <c r="X369">
        <f>IFERROR(INDEX('Exercise list'!$E$5:$X$102,MATCH($C369,'Exercise list'!$C$5:$C$102,0),MATCH(X$5,'Exercise list'!$E$4:$X$4,0)),0)</f>
        <v>0</v>
      </c>
      <c r="Y369">
        <f>IFERROR(INDEX('Exercise list'!$E$5:$X$102,MATCH($C369,'Exercise list'!$C$5:$C$102,0),MATCH(Y$5,'Exercise list'!$E$4:$X$4,0)),0)</f>
        <v>0</v>
      </c>
      <c r="Z369">
        <f>IFERROR(INDEX('Exercise list'!$E$5:$X$102,MATCH($C369,'Exercise list'!$C$5:$C$102,0),MATCH(Z$5,'Exercise list'!$E$4:$X$4,0)),0)</f>
        <v>0</v>
      </c>
      <c r="AA369">
        <f>IFERROR(INDEX('Exercise list'!$E$5:$X$102,MATCH($C369,'Exercise list'!$C$5:$C$102,0),MATCH(AA$5,'Exercise list'!$E$4:$X$4,0)),0)</f>
        <v>0</v>
      </c>
      <c r="AB369">
        <f>IFERROR(INDEX('Exercise list'!$E$5:$X$102,MATCH($C369,'Exercise list'!$C$5:$C$102,0),MATCH(AB$5,'Exercise list'!$E$4:$X$4,0)),0)</f>
        <v>0</v>
      </c>
      <c r="AC369">
        <f>IFERROR(INDEX('Exercise list'!$E$5:$X$102,MATCH($C369,'Exercise list'!$C$5:$C$102,0),MATCH(AC$5,'Exercise list'!$E$4:$X$4,0)),0)</f>
        <v>0</v>
      </c>
      <c r="AD369">
        <f>IFERROR(INDEX('Exercise list'!$E$5:$X$102,MATCH($C369,'Exercise list'!$C$5:$C$102,0),MATCH(AD$5,'Exercise list'!$E$4:$X$4,0)),0)</f>
        <v>0</v>
      </c>
      <c r="AE369">
        <f>IFERROR(INDEX('Exercise list'!$E$5:$X$102,MATCH($C369,'Exercise list'!$C$5:$C$102,0),MATCH(AE$5,'Exercise list'!$E$4:$X$4,0)),0)</f>
        <v>0</v>
      </c>
      <c r="AF369">
        <f>IFERROR(INDEX('Exercise list'!$E$5:$X$102,MATCH($C369,'Exercise list'!$C$5:$C$102,0),MATCH(AF$5,'Exercise list'!$E$4:$X$4,0)),0)</f>
        <v>0</v>
      </c>
      <c r="AG369">
        <f>IFERROR(INDEX('Exercise list'!$E$5:$X$102,MATCH($C369,'Exercise list'!$C$5:$C$102,0),MATCH(AG$5,'Exercise list'!$E$4:$X$4,0)),0)</f>
        <v>0</v>
      </c>
      <c r="AH369">
        <f>IFERROR(INDEX('Exercise list'!$E$5:$X$102,MATCH($C369,'Exercise list'!$C$5:$C$102,0),MATCH(AH$5,'Exercise list'!$E$4:$X$4,0)),0)</f>
        <v>0</v>
      </c>
      <c r="AI369">
        <f>IFERROR(INDEX('Exercise list'!$E$5:$X$102,MATCH($C369,'Exercise list'!$C$5:$C$102,0),MATCH(AI$5,'Exercise list'!$E$4:$X$4,0)),0)</f>
        <v>0</v>
      </c>
      <c r="AK369">
        <f>IF(OR($J369=1,COUNTIFS($A$5:$A368,"&gt;="&amp;$A369-1,$A$5:$A368,"&lt;="&amp;$A369,$B$5:$B368,$B369)&gt;0,MIN(1-'Exercise list'!E$2,IF($A369=$A368,AK368,1))-P369&lt;0),-1,MIN(1,IF($A369=$A368,AK368,1)-P369+$D$2))</f>
        <v>1</v>
      </c>
      <c r="AL369">
        <f>IF(OR($J369=1,COUNTIFS($A$5:$A368,"&gt;="&amp;$A369-1,$A$5:$A368,"&lt;="&amp;$A369,$B$5:$B368,$B369)&gt;0,MIN(1-'Exercise list'!F$2,IF($A369=$A368,AL368,1))-Q369&lt;0),-1,MIN(1,IF($A369=$A368,AL368,1)-Q369+$D$2))</f>
        <v>1</v>
      </c>
      <c r="AM369">
        <f>IF(OR($J369=1,COUNTIFS($A$5:$A368,"&gt;="&amp;$A369-1,$A$5:$A368,"&lt;="&amp;$A369,$B$5:$B368,$B369)&gt;0,MIN(1-'Exercise list'!G$2,IF($A369=$A368,AM368,1))-R369&lt;0),-1,MIN(1,IF($A369=$A368,AM368,1)-R369+$D$2))</f>
        <v>1</v>
      </c>
      <c r="AN369">
        <f>IF(OR($J369=1,COUNTIFS($A$5:$A368,"&gt;="&amp;$A369-1,$A$5:$A368,"&lt;="&amp;$A369,$B$5:$B368,$B369)&gt;0,MIN(1-'Exercise list'!H$2,IF($A369=$A368,AN368,1))-S369&lt;0),-1,MIN(1,IF($A369=$A368,AN368,1)-S369+$D$2))</f>
        <v>1</v>
      </c>
      <c r="AO369">
        <f>IF(OR($J369=1,COUNTIFS($A$5:$A368,"&gt;="&amp;$A369-1,$A$5:$A368,"&lt;="&amp;$A369,$B$5:$B368,$B369)&gt;0,MIN(1-'Exercise list'!I$2,IF($A369=$A368,AO368,1))-T369&lt;0),-1,MIN(1,IF($A369=$A368,AO368,1)-T369+$D$2))</f>
        <v>1</v>
      </c>
      <c r="AP369">
        <f>IF(OR($J369=1,COUNTIFS($A$5:$A368,"&gt;="&amp;$A369-1,$A$5:$A368,"&lt;="&amp;$A369,$B$5:$B368,$B369)&gt;0,MIN(1-'Exercise list'!J$2,IF($A369=$A368,AP368,1))-U369&lt;0),-1,MIN(1,IF($A369=$A368,AP368,1)-U369+$D$2))</f>
        <v>1</v>
      </c>
      <c r="AQ369">
        <f>IF(OR($J369=1,COUNTIFS($A$5:$A368,"&gt;="&amp;$A369-1,$A$5:$A368,"&lt;="&amp;$A369,$B$5:$B368,$B369)&gt;0,MIN(1-'Exercise list'!K$2,IF($A369=$A368,AQ368,1))-V369&lt;0),-1,MIN(1,IF($A369=$A368,AQ368,1)-V369+$D$2))</f>
        <v>1</v>
      </c>
      <c r="AR369">
        <f>IF(OR($J369=1,COUNTIFS($A$5:$A368,"&gt;="&amp;$A369-1,$A$5:$A368,"&lt;="&amp;$A369,$B$5:$B368,$B369)&gt;0,MIN(1-'Exercise list'!L$2,IF($A369=$A368,AR368,1))-W369&lt;0),-1,MIN(1,IF($A369=$A368,AR368,1)-W369+$D$2))</f>
        <v>1</v>
      </c>
      <c r="AS369">
        <f>IF(OR($J369=1,COUNTIFS($A$5:$A368,"&gt;="&amp;$A369-1,$A$5:$A368,"&lt;="&amp;$A369,$B$5:$B368,$B369)&gt;0,MIN(1-'Exercise list'!M$2,IF($A369=$A368,AS368,1))-X369&lt;0),-1,MIN(1,IF($A369=$A368,AS368,1)-X369+$D$2))</f>
        <v>1</v>
      </c>
      <c r="AT369">
        <f>IF(OR($J369=1,COUNTIFS($A$5:$A368,"&gt;="&amp;$A369-1,$A$5:$A368,"&lt;="&amp;$A369,$B$5:$B368,$B369)&gt;0,MIN(1-'Exercise list'!N$2,IF($A369=$A368,AT368,1))-Y369&lt;0),-1,MIN(1,IF($A369=$A368,AT368,1)-Y369+$D$2))</f>
        <v>1</v>
      </c>
      <c r="AU369">
        <f>IF(OR($J369=1,COUNTIFS($A$5:$A368,"&gt;="&amp;$A369-1,$A$5:$A368,"&lt;="&amp;$A369,$B$5:$B368,$B369)&gt;0,MIN(1-'Exercise list'!O$2,IF($A369=$A368,AU368,1))-Z369&lt;0),-1,MIN(1,IF($A369=$A368,AU368,1)-Z369+$D$2))</f>
        <v>1</v>
      </c>
      <c r="AV369">
        <f>IF(OR($J369=1,COUNTIFS($A$5:$A368,"&gt;="&amp;$A369-1,$A$5:$A368,"&lt;="&amp;$A369,$B$5:$B368,$B369)&gt;0,MIN(1-'Exercise list'!P$2,IF($A369=$A368,AV368,1))-AA369&lt;0),-1,MIN(1,IF($A369=$A368,AV368,1)-AA369+$D$2))</f>
        <v>1</v>
      </c>
      <c r="AW369">
        <f>IF(OR($J369=1,COUNTIFS($A$5:$A368,"&gt;="&amp;$A369-1,$A$5:$A368,"&lt;="&amp;$A369,$B$5:$B368,$B369)&gt;0,MIN(1-'Exercise list'!Q$2,IF($A369=$A368,AW368,1))-AB369&lt;0),-1,MIN(1,IF($A369=$A368,AW368,1)-AB369+$D$2))</f>
        <v>1</v>
      </c>
      <c r="AX369">
        <f>IF(OR($J369=1,COUNTIFS($A$5:$A368,"&gt;="&amp;$A369-1,$A$5:$A368,"&lt;="&amp;$A369,$B$5:$B368,$B369)&gt;0,MIN(1-'Exercise list'!R$2,IF($A369=$A368,AX368,1))-AC369&lt;0),-1,MIN(1,IF($A369=$A368,AX368,1)-AC369+$D$2))</f>
        <v>1</v>
      </c>
      <c r="AY369">
        <f>IF(OR($J369=1,COUNTIFS($A$5:$A368,"&gt;="&amp;$A369-1,$A$5:$A368,"&lt;="&amp;$A369,$B$5:$B368,$B369)&gt;0,MIN(1-'Exercise list'!S$2,IF($A369=$A368,AY368,1))-AD369&lt;0),-1,MIN(1,IF($A369=$A368,AY368,1)-AD369+$D$2))</f>
        <v>1</v>
      </c>
      <c r="AZ369">
        <f>IF(OR($J369=1,COUNTIFS($A$5:$A368,"&gt;="&amp;$A369-1,$A$5:$A368,"&lt;="&amp;$A369,$B$5:$B368,$B369)&gt;0,MIN(1-'Exercise list'!T$2,IF($A369=$A368,AZ368,1))-AE369&lt;0),-1,MIN(1,IF($A369=$A368,AZ368,1)-AE369+$D$2))</f>
        <v>1</v>
      </c>
      <c r="BA369">
        <f>IF(OR($J369=1,COUNTIFS($A$5:$A368,"&gt;="&amp;$A369-1,$A$5:$A368,"&lt;="&amp;$A369,$B$5:$B368,$B369)&gt;0,MIN(1-'Exercise list'!U$2,IF($A369=$A368,BA368,1))-AF369&lt;0),-1,MIN(1,IF($A369=$A368,BA368,1)-AF369+$D$2))</f>
        <v>1</v>
      </c>
      <c r="BB369">
        <f>IF(OR($J369=1,COUNTIFS($A$5:$A368,"&gt;="&amp;$A369-1,$A$5:$A368,"&lt;="&amp;$A369,$B$5:$B368,$B369)&gt;0,MIN(1-'Exercise list'!V$2,IF($A369=$A368,BB368,1))-AG369&lt;0),-1,MIN(1,IF($A369=$A368,BB368,1)-AG369+$D$2))</f>
        <v>1</v>
      </c>
      <c r="BC369">
        <f>IF(OR($J369=1,COUNTIFS($A$5:$A368,"&gt;="&amp;$A369-1,$A$5:$A368,"&lt;="&amp;$A369,$B$5:$B368,$B369)&gt;0,MIN(1-'Exercise list'!W$2,IF($A369=$A368,BC368,1))-AH369&lt;0),-1,MIN(1,IF($A369=$A368,BC368,1)-AH369+$D$2))</f>
        <v>1</v>
      </c>
      <c r="BD369">
        <f>IF(OR($J369=1,COUNTIFS($A$5:$A368,"&gt;="&amp;$A369-1,$A$5:$A368,"&lt;="&amp;$A369,$B$5:$B368,$B369)&gt;0,MIN(1-'Exercise list'!X$2,IF($A369=$A368,BD368,1))-AI369&lt;0),-1,MIN(1,IF($A369=$A368,BD368,1)-AI369+$D$2))</f>
        <v>1</v>
      </c>
      <c r="BF369" s="16">
        <f t="shared" si="277"/>
        <v>0.19596031081758858</v>
      </c>
      <c r="BG369" s="16">
        <f t="shared" si="278"/>
        <v>0.21844636935459236</v>
      </c>
      <c r="BH369" s="16">
        <f t="shared" si="279"/>
        <v>0.14609696635987124</v>
      </c>
      <c r="BI369" s="16">
        <f t="shared" si="280"/>
        <v>0.13198015366034541</v>
      </c>
      <c r="BJ369" s="16">
        <f t="shared" si="281"/>
        <v>8.3367914198418713E-2</v>
      </c>
      <c r="BK369" s="16">
        <f t="shared" si="282"/>
        <v>0.10640640223148412</v>
      </c>
      <c r="BL369" s="16">
        <f t="shared" si="283"/>
        <v>0.21963504743569431</v>
      </c>
      <c r="BM369" s="16">
        <f t="shared" si="284"/>
        <v>3.8988008374820568E-3</v>
      </c>
      <c r="BN369" s="16">
        <f t="shared" si="285"/>
        <v>0.14537706087090876</v>
      </c>
      <c r="BO369" s="16">
        <f t="shared" si="286"/>
        <v>0.29209790661993401</v>
      </c>
      <c r="BP369" s="16">
        <f t="shared" si="287"/>
        <v>0.31584545163401867</v>
      </c>
      <c r="BQ369" s="16">
        <f t="shared" si="288"/>
        <v>0.1000007994126096</v>
      </c>
      <c r="BR369" s="16">
        <f t="shared" si="289"/>
        <v>0.13164487759885393</v>
      </c>
      <c r="BS369" s="16">
        <f t="shared" si="290"/>
        <v>2.9803550189863123E-2</v>
      </c>
      <c r="BT369" s="16">
        <f t="shared" si="291"/>
        <v>0.13492040904978705</v>
      </c>
      <c r="BU369" s="16">
        <f t="shared" si="292"/>
        <v>0.11703687414398131</v>
      </c>
      <c r="BV369" s="16">
        <f t="shared" si="293"/>
        <v>0.14633353213781661</v>
      </c>
      <c r="BW369" s="16">
        <f t="shared" si="294"/>
        <v>7.5588015111767173E-2</v>
      </c>
      <c r="BX369" s="16">
        <f t="shared" si="295"/>
        <v>8.0345659937185704E-2</v>
      </c>
      <c r="BY369" s="16">
        <f t="shared" si="296"/>
        <v>5.9014643151272549E-2</v>
      </c>
      <c r="CA369" s="16" t="str">
        <f t="shared" si="273"/>
        <v/>
      </c>
      <c r="CB369" s="16" t="str">
        <f t="shared" si="254"/>
        <v/>
      </c>
      <c r="CC369" s="16" t="str">
        <f t="shared" si="255"/>
        <v/>
      </c>
      <c r="CD369" s="16" t="str">
        <f t="shared" si="256"/>
        <v/>
      </c>
      <c r="CE369" s="16" t="str">
        <f t="shared" si="257"/>
        <v/>
      </c>
      <c r="CF369" s="16" t="str">
        <f t="shared" si="258"/>
        <v/>
      </c>
      <c r="CG369" s="16" t="str">
        <f t="shared" si="259"/>
        <v/>
      </c>
      <c r="CH369" s="16" t="str">
        <f t="shared" si="260"/>
        <v/>
      </c>
      <c r="CI369" s="16" t="str">
        <f t="shared" si="261"/>
        <v/>
      </c>
      <c r="CJ369" s="16" t="str">
        <f t="shared" si="262"/>
        <v/>
      </c>
      <c r="CK369" s="16" t="str">
        <f t="shared" si="263"/>
        <v/>
      </c>
      <c r="CL369" s="16" t="str">
        <f t="shared" si="264"/>
        <v/>
      </c>
      <c r="CM369" s="16" t="str">
        <f t="shared" si="265"/>
        <v/>
      </c>
      <c r="CN369" s="16" t="str">
        <f t="shared" si="266"/>
        <v/>
      </c>
      <c r="CO369" s="16" t="str">
        <f t="shared" si="267"/>
        <v/>
      </c>
      <c r="CP369" s="16" t="str">
        <f t="shared" si="268"/>
        <v/>
      </c>
      <c r="CQ369" s="16" t="str">
        <f t="shared" si="269"/>
        <v/>
      </c>
      <c r="CR369" s="16" t="str">
        <f t="shared" si="270"/>
        <v/>
      </c>
      <c r="CS369" s="16" t="str">
        <f t="shared" si="271"/>
        <v/>
      </c>
      <c r="CT369" s="16" t="str">
        <f t="shared" si="272"/>
        <v/>
      </c>
    </row>
    <row r="370" spans="1:99" x14ac:dyDescent="0.25">
      <c r="A370" s="13"/>
      <c r="B370" s="14"/>
      <c r="C370" s="15" t="str" cm="1">
        <f t="array" ref="C370">IF(B370="","",INDEX('Exercise list'!$C$5:$C$102,B370))</f>
        <v/>
      </c>
      <c r="D370" s="12" t="str">
        <f t="shared" si="274"/>
        <v/>
      </c>
      <c r="E370" s="107" t="str">
        <f t="shared" si="297"/>
        <v/>
      </c>
      <c r="F370" s="63" t="str" cm="1">
        <f t="array" ref="F370">IF(B370="","",0.1+IFERROR(INDEX($F$6:$F369,SUMPRODUCT(MAX(ROW($C$6:$C369)*($C370=$C$6:$C369))-ROW($A$5)))*0.9^($A370-INDEX($A$6:A369,SUMPRODUCT(MAX(ROW($C$6:$C369)*($C370=$C$6:$C369))-ROW($A$5)))),0))</f>
        <v/>
      </c>
      <c r="G370" s="64" t="e">
        <f>INDEX('Exercise list'!$Y$5:$Y$102,MATCH(C370,'Exercise list'!$C$5:$C$102,0))</f>
        <v>#N/A</v>
      </c>
      <c r="H370" s="115">
        <f t="shared" si="275"/>
        <v>0</v>
      </c>
      <c r="I370" s="6">
        <f t="shared" si="276"/>
        <v>5</v>
      </c>
      <c r="J370" s="6" t="str" cm="1">
        <f t="array" ref="J370">IF(B370="","",INDEX('Exercise list'!$D$5:$D$102,B370))</f>
        <v/>
      </c>
      <c r="K370" s="12"/>
      <c r="L370" s="74" t="str" cm="1">
        <f t="array" ref="L370">IF(K370="","",INDEX('Exercise list'!$C$5:$C$102,K370))</f>
        <v/>
      </c>
      <c r="M370" s="6"/>
      <c r="N370" s="75" t="str" cm="1">
        <f t="array" ref="N370">IF(M370="","",INDEX('Exercise list'!$C$5:$C$102,M370))</f>
        <v/>
      </c>
      <c r="P370">
        <f>IFERROR(INDEX('Exercise list'!$E$5:$X$102,MATCH($C370,'Exercise list'!$C$5:$C$102,0),MATCH(P$5,'Exercise list'!$E$4:$X$4,0)),0)</f>
        <v>0</v>
      </c>
      <c r="Q370">
        <f>IFERROR(INDEX('Exercise list'!$E$5:$X$102,MATCH($C370,'Exercise list'!$C$5:$C$102,0),MATCH(Q$5,'Exercise list'!$E$4:$X$4,0)),0)</f>
        <v>0</v>
      </c>
      <c r="R370">
        <f>IFERROR(INDEX('Exercise list'!$E$5:$X$102,MATCH($C370,'Exercise list'!$C$5:$C$102,0),MATCH(R$5,'Exercise list'!$E$4:$X$4,0)),0)</f>
        <v>0</v>
      </c>
      <c r="S370">
        <f>IFERROR(INDEX('Exercise list'!$E$5:$X$102,MATCH($C370,'Exercise list'!$C$5:$C$102,0),MATCH(S$5,'Exercise list'!$E$4:$X$4,0)),0)</f>
        <v>0</v>
      </c>
      <c r="T370">
        <f>IFERROR(INDEX('Exercise list'!$E$5:$X$102,MATCH($C370,'Exercise list'!$C$5:$C$102,0),MATCH(T$5,'Exercise list'!$E$4:$X$4,0)),0)</f>
        <v>0</v>
      </c>
      <c r="U370">
        <f>IFERROR(INDEX('Exercise list'!$E$5:$X$102,MATCH($C370,'Exercise list'!$C$5:$C$102,0),MATCH(U$5,'Exercise list'!$E$4:$X$4,0)),0)</f>
        <v>0</v>
      </c>
      <c r="V370">
        <f>IFERROR(INDEX('Exercise list'!$E$5:$X$102,MATCH($C370,'Exercise list'!$C$5:$C$102,0),MATCH(V$5,'Exercise list'!$E$4:$X$4,0)),0)</f>
        <v>0</v>
      </c>
      <c r="W370">
        <f>IFERROR(INDEX('Exercise list'!$E$5:$X$102,MATCH($C370,'Exercise list'!$C$5:$C$102,0),MATCH(W$5,'Exercise list'!$E$4:$X$4,0)),0)</f>
        <v>0</v>
      </c>
      <c r="X370">
        <f>IFERROR(INDEX('Exercise list'!$E$5:$X$102,MATCH($C370,'Exercise list'!$C$5:$C$102,0),MATCH(X$5,'Exercise list'!$E$4:$X$4,0)),0)</f>
        <v>0</v>
      </c>
      <c r="Y370">
        <f>IFERROR(INDEX('Exercise list'!$E$5:$X$102,MATCH($C370,'Exercise list'!$C$5:$C$102,0),MATCH(Y$5,'Exercise list'!$E$4:$X$4,0)),0)</f>
        <v>0</v>
      </c>
      <c r="Z370">
        <f>IFERROR(INDEX('Exercise list'!$E$5:$X$102,MATCH($C370,'Exercise list'!$C$5:$C$102,0),MATCH(Z$5,'Exercise list'!$E$4:$X$4,0)),0)</f>
        <v>0</v>
      </c>
      <c r="AA370">
        <f>IFERROR(INDEX('Exercise list'!$E$5:$X$102,MATCH($C370,'Exercise list'!$C$5:$C$102,0),MATCH(AA$5,'Exercise list'!$E$4:$X$4,0)),0)</f>
        <v>0</v>
      </c>
      <c r="AB370">
        <f>IFERROR(INDEX('Exercise list'!$E$5:$X$102,MATCH($C370,'Exercise list'!$C$5:$C$102,0),MATCH(AB$5,'Exercise list'!$E$4:$X$4,0)),0)</f>
        <v>0</v>
      </c>
      <c r="AC370">
        <f>IFERROR(INDEX('Exercise list'!$E$5:$X$102,MATCH($C370,'Exercise list'!$C$5:$C$102,0),MATCH(AC$5,'Exercise list'!$E$4:$X$4,0)),0)</f>
        <v>0</v>
      </c>
      <c r="AD370">
        <f>IFERROR(INDEX('Exercise list'!$E$5:$X$102,MATCH($C370,'Exercise list'!$C$5:$C$102,0),MATCH(AD$5,'Exercise list'!$E$4:$X$4,0)),0)</f>
        <v>0</v>
      </c>
      <c r="AE370">
        <f>IFERROR(INDEX('Exercise list'!$E$5:$X$102,MATCH($C370,'Exercise list'!$C$5:$C$102,0),MATCH(AE$5,'Exercise list'!$E$4:$X$4,0)),0)</f>
        <v>0</v>
      </c>
      <c r="AF370">
        <f>IFERROR(INDEX('Exercise list'!$E$5:$X$102,MATCH($C370,'Exercise list'!$C$5:$C$102,0),MATCH(AF$5,'Exercise list'!$E$4:$X$4,0)),0)</f>
        <v>0</v>
      </c>
      <c r="AG370">
        <f>IFERROR(INDEX('Exercise list'!$E$5:$X$102,MATCH($C370,'Exercise list'!$C$5:$C$102,0),MATCH(AG$5,'Exercise list'!$E$4:$X$4,0)),0)</f>
        <v>0</v>
      </c>
      <c r="AH370">
        <f>IFERROR(INDEX('Exercise list'!$E$5:$X$102,MATCH($C370,'Exercise list'!$C$5:$C$102,0),MATCH(AH$5,'Exercise list'!$E$4:$X$4,0)),0)</f>
        <v>0</v>
      </c>
      <c r="AI370">
        <f>IFERROR(INDEX('Exercise list'!$E$5:$X$102,MATCH($C370,'Exercise list'!$C$5:$C$102,0),MATCH(AI$5,'Exercise list'!$E$4:$X$4,0)),0)</f>
        <v>0</v>
      </c>
      <c r="AK370">
        <f>IF(OR($J370=1,COUNTIFS($A$5:$A369,"&gt;="&amp;$A370-1,$A$5:$A369,"&lt;="&amp;$A370,$B$5:$B369,$B370)&gt;0,MIN(1-'Exercise list'!E$2,IF($A370=$A369,AK369,1))-P370&lt;0),-1,MIN(1,IF($A370=$A369,AK369,1)-P370+$D$2))</f>
        <v>1</v>
      </c>
      <c r="AL370">
        <f>IF(OR($J370=1,COUNTIFS($A$5:$A369,"&gt;="&amp;$A370-1,$A$5:$A369,"&lt;="&amp;$A370,$B$5:$B369,$B370)&gt;0,MIN(1-'Exercise list'!F$2,IF($A370=$A369,AL369,1))-Q370&lt;0),-1,MIN(1,IF($A370=$A369,AL369,1)-Q370+$D$2))</f>
        <v>1</v>
      </c>
      <c r="AM370">
        <f>IF(OR($J370=1,COUNTIFS($A$5:$A369,"&gt;="&amp;$A370-1,$A$5:$A369,"&lt;="&amp;$A370,$B$5:$B369,$B370)&gt;0,MIN(1-'Exercise list'!G$2,IF($A370=$A369,AM369,1))-R370&lt;0),-1,MIN(1,IF($A370=$A369,AM369,1)-R370+$D$2))</f>
        <v>1</v>
      </c>
      <c r="AN370">
        <f>IF(OR($J370=1,COUNTIFS($A$5:$A369,"&gt;="&amp;$A370-1,$A$5:$A369,"&lt;="&amp;$A370,$B$5:$B369,$B370)&gt;0,MIN(1-'Exercise list'!H$2,IF($A370=$A369,AN369,1))-S370&lt;0),-1,MIN(1,IF($A370=$A369,AN369,1)-S370+$D$2))</f>
        <v>1</v>
      </c>
      <c r="AO370">
        <f>IF(OR($J370=1,COUNTIFS($A$5:$A369,"&gt;="&amp;$A370-1,$A$5:$A369,"&lt;="&amp;$A370,$B$5:$B369,$B370)&gt;0,MIN(1-'Exercise list'!I$2,IF($A370=$A369,AO369,1))-T370&lt;0),-1,MIN(1,IF($A370=$A369,AO369,1)-T370+$D$2))</f>
        <v>1</v>
      </c>
      <c r="AP370">
        <f>IF(OR($J370=1,COUNTIFS($A$5:$A369,"&gt;="&amp;$A370-1,$A$5:$A369,"&lt;="&amp;$A370,$B$5:$B369,$B370)&gt;0,MIN(1-'Exercise list'!J$2,IF($A370=$A369,AP369,1))-U370&lt;0),-1,MIN(1,IF($A370=$A369,AP369,1)-U370+$D$2))</f>
        <v>1</v>
      </c>
      <c r="AQ370">
        <f>IF(OR($J370=1,COUNTIFS($A$5:$A369,"&gt;="&amp;$A370-1,$A$5:$A369,"&lt;="&amp;$A370,$B$5:$B369,$B370)&gt;0,MIN(1-'Exercise list'!K$2,IF($A370=$A369,AQ369,1))-V370&lt;0),-1,MIN(1,IF($A370=$A369,AQ369,1)-V370+$D$2))</f>
        <v>1</v>
      </c>
      <c r="AR370">
        <f>IF(OR($J370=1,COUNTIFS($A$5:$A369,"&gt;="&amp;$A370-1,$A$5:$A369,"&lt;="&amp;$A370,$B$5:$B369,$B370)&gt;0,MIN(1-'Exercise list'!L$2,IF($A370=$A369,AR369,1))-W370&lt;0),-1,MIN(1,IF($A370=$A369,AR369,1)-W370+$D$2))</f>
        <v>1</v>
      </c>
      <c r="AS370">
        <f>IF(OR($J370=1,COUNTIFS($A$5:$A369,"&gt;="&amp;$A370-1,$A$5:$A369,"&lt;="&amp;$A370,$B$5:$B369,$B370)&gt;0,MIN(1-'Exercise list'!M$2,IF($A370=$A369,AS369,1))-X370&lt;0),-1,MIN(1,IF($A370=$A369,AS369,1)-X370+$D$2))</f>
        <v>1</v>
      </c>
      <c r="AT370">
        <f>IF(OR($J370=1,COUNTIFS($A$5:$A369,"&gt;="&amp;$A370-1,$A$5:$A369,"&lt;="&amp;$A370,$B$5:$B369,$B370)&gt;0,MIN(1-'Exercise list'!N$2,IF($A370=$A369,AT369,1))-Y370&lt;0),-1,MIN(1,IF($A370=$A369,AT369,1)-Y370+$D$2))</f>
        <v>1</v>
      </c>
      <c r="AU370">
        <f>IF(OR($J370=1,COUNTIFS($A$5:$A369,"&gt;="&amp;$A370-1,$A$5:$A369,"&lt;="&amp;$A370,$B$5:$B369,$B370)&gt;0,MIN(1-'Exercise list'!O$2,IF($A370=$A369,AU369,1))-Z370&lt;0),-1,MIN(1,IF($A370=$A369,AU369,1)-Z370+$D$2))</f>
        <v>1</v>
      </c>
      <c r="AV370">
        <f>IF(OR($J370=1,COUNTIFS($A$5:$A369,"&gt;="&amp;$A370-1,$A$5:$A369,"&lt;="&amp;$A370,$B$5:$B369,$B370)&gt;0,MIN(1-'Exercise list'!P$2,IF($A370=$A369,AV369,1))-AA370&lt;0),-1,MIN(1,IF($A370=$A369,AV369,1)-AA370+$D$2))</f>
        <v>1</v>
      </c>
      <c r="AW370">
        <f>IF(OR($J370=1,COUNTIFS($A$5:$A369,"&gt;="&amp;$A370-1,$A$5:$A369,"&lt;="&amp;$A370,$B$5:$B369,$B370)&gt;0,MIN(1-'Exercise list'!Q$2,IF($A370=$A369,AW369,1))-AB370&lt;0),-1,MIN(1,IF($A370=$A369,AW369,1)-AB370+$D$2))</f>
        <v>1</v>
      </c>
      <c r="AX370">
        <f>IF(OR($J370=1,COUNTIFS($A$5:$A369,"&gt;="&amp;$A370-1,$A$5:$A369,"&lt;="&amp;$A370,$B$5:$B369,$B370)&gt;0,MIN(1-'Exercise list'!R$2,IF($A370=$A369,AX369,1))-AC370&lt;0),-1,MIN(1,IF($A370=$A369,AX369,1)-AC370+$D$2))</f>
        <v>1</v>
      </c>
      <c r="AY370">
        <f>IF(OR($J370=1,COUNTIFS($A$5:$A369,"&gt;="&amp;$A370-1,$A$5:$A369,"&lt;="&amp;$A370,$B$5:$B369,$B370)&gt;0,MIN(1-'Exercise list'!S$2,IF($A370=$A369,AY369,1))-AD370&lt;0),-1,MIN(1,IF($A370=$A369,AY369,1)-AD370+$D$2))</f>
        <v>1</v>
      </c>
      <c r="AZ370">
        <f>IF(OR($J370=1,COUNTIFS($A$5:$A369,"&gt;="&amp;$A370-1,$A$5:$A369,"&lt;="&amp;$A370,$B$5:$B369,$B370)&gt;0,MIN(1-'Exercise list'!T$2,IF($A370=$A369,AZ369,1))-AE370&lt;0),-1,MIN(1,IF($A370=$A369,AZ369,1)-AE370+$D$2))</f>
        <v>1</v>
      </c>
      <c r="BA370">
        <f>IF(OR($J370=1,COUNTIFS($A$5:$A369,"&gt;="&amp;$A370-1,$A$5:$A369,"&lt;="&amp;$A370,$B$5:$B369,$B370)&gt;0,MIN(1-'Exercise list'!U$2,IF($A370=$A369,BA369,1))-AF370&lt;0),-1,MIN(1,IF($A370=$A369,BA369,1)-AF370+$D$2))</f>
        <v>1</v>
      </c>
      <c r="BB370">
        <f>IF(OR($J370=1,COUNTIFS($A$5:$A369,"&gt;="&amp;$A370-1,$A$5:$A369,"&lt;="&amp;$A370,$B$5:$B369,$B370)&gt;0,MIN(1-'Exercise list'!V$2,IF($A370=$A369,BB369,1))-AG370&lt;0),-1,MIN(1,IF($A370=$A369,BB369,1)-AG370+$D$2))</f>
        <v>1</v>
      </c>
      <c r="BC370">
        <f>IF(OR($J370=1,COUNTIFS($A$5:$A369,"&gt;="&amp;$A370-1,$A$5:$A369,"&lt;="&amp;$A370,$B$5:$B369,$B370)&gt;0,MIN(1-'Exercise list'!W$2,IF($A370=$A369,BC369,1))-AH370&lt;0),-1,MIN(1,IF($A370=$A369,BC369,1)-AH370+$D$2))</f>
        <v>1</v>
      </c>
      <c r="BD370">
        <f>IF(OR($J370=1,COUNTIFS($A$5:$A369,"&gt;="&amp;$A370-1,$A$5:$A369,"&lt;="&amp;$A370,$B$5:$B369,$B370)&gt;0,MIN(1-'Exercise list'!X$2,IF($A370=$A369,BD369,1))-AI370&lt;0),-1,MIN(1,IF($A370=$A369,BD369,1)-AI370+$D$2))</f>
        <v>1</v>
      </c>
      <c r="BF370" s="16">
        <f t="shared" si="277"/>
        <v>0.19596031081758858</v>
      </c>
      <c r="BG370" s="16">
        <f t="shared" si="278"/>
        <v>0.21844636935459236</v>
      </c>
      <c r="BH370" s="16">
        <f t="shared" si="279"/>
        <v>0.14609696635987124</v>
      </c>
      <c r="BI370" s="16">
        <f t="shared" si="280"/>
        <v>0.13198015366034541</v>
      </c>
      <c r="BJ370" s="16">
        <f t="shared" si="281"/>
        <v>8.3367914198418713E-2</v>
      </c>
      <c r="BK370" s="16">
        <f t="shared" si="282"/>
        <v>0.10640640223148412</v>
      </c>
      <c r="BL370" s="16">
        <f t="shared" si="283"/>
        <v>0.21963504743569431</v>
      </c>
      <c r="BM370" s="16">
        <f t="shared" si="284"/>
        <v>3.8988008374820568E-3</v>
      </c>
      <c r="BN370" s="16">
        <f t="shared" si="285"/>
        <v>0.14537706087090876</v>
      </c>
      <c r="BO370" s="16">
        <f t="shared" si="286"/>
        <v>0.29209790661993401</v>
      </c>
      <c r="BP370" s="16">
        <f t="shared" si="287"/>
        <v>0.31584545163401867</v>
      </c>
      <c r="BQ370" s="16">
        <f t="shared" si="288"/>
        <v>0.1000007994126096</v>
      </c>
      <c r="BR370" s="16">
        <f t="shared" si="289"/>
        <v>0.13164487759885393</v>
      </c>
      <c r="BS370" s="16">
        <f t="shared" si="290"/>
        <v>2.9803550189863123E-2</v>
      </c>
      <c r="BT370" s="16">
        <f t="shared" si="291"/>
        <v>0.13492040904978705</v>
      </c>
      <c r="BU370" s="16">
        <f t="shared" si="292"/>
        <v>0.11703687414398131</v>
      </c>
      <c r="BV370" s="16">
        <f t="shared" si="293"/>
        <v>0.14633353213781661</v>
      </c>
      <c r="BW370" s="16">
        <f t="shared" si="294"/>
        <v>7.5588015111767173E-2</v>
      </c>
      <c r="BX370" s="16">
        <f t="shared" si="295"/>
        <v>8.0345659937185704E-2</v>
      </c>
      <c r="BY370" s="16">
        <f t="shared" si="296"/>
        <v>5.9014643151272549E-2</v>
      </c>
      <c r="CA370" s="16" t="str">
        <f t="shared" si="273"/>
        <v/>
      </c>
      <c r="CB370" s="16" t="str">
        <f t="shared" si="254"/>
        <v/>
      </c>
      <c r="CC370" s="16" t="str">
        <f t="shared" si="255"/>
        <v/>
      </c>
      <c r="CD370" s="16" t="str">
        <f t="shared" si="256"/>
        <v/>
      </c>
      <c r="CE370" s="16" t="str">
        <f t="shared" si="257"/>
        <v/>
      </c>
      <c r="CF370" s="16" t="str">
        <f t="shared" si="258"/>
        <v/>
      </c>
      <c r="CG370" s="16" t="str">
        <f t="shared" si="259"/>
        <v/>
      </c>
      <c r="CH370" s="16" t="str">
        <f t="shared" si="260"/>
        <v/>
      </c>
      <c r="CI370" s="16" t="str">
        <f t="shared" si="261"/>
        <v/>
      </c>
      <c r="CJ370" s="16" t="str">
        <f t="shared" si="262"/>
        <v/>
      </c>
      <c r="CK370" s="16" t="str">
        <f t="shared" si="263"/>
        <v/>
      </c>
      <c r="CL370" s="16" t="str">
        <f t="shared" si="264"/>
        <v/>
      </c>
      <c r="CM370" s="16" t="str">
        <f t="shared" si="265"/>
        <v/>
      </c>
      <c r="CN370" s="16" t="str">
        <f t="shared" si="266"/>
        <v/>
      </c>
      <c r="CO370" s="16" t="str">
        <f t="shared" si="267"/>
        <v/>
      </c>
      <c r="CP370" s="16" t="str">
        <f t="shared" si="268"/>
        <v/>
      </c>
      <c r="CQ370" s="16" t="str">
        <f t="shared" si="269"/>
        <v/>
      </c>
      <c r="CR370" s="16" t="str">
        <f t="shared" si="270"/>
        <v/>
      </c>
      <c r="CS370" s="16" t="str">
        <f t="shared" si="271"/>
        <v/>
      </c>
      <c r="CT370" s="16" t="str">
        <f t="shared" si="272"/>
        <v/>
      </c>
    </row>
    <row r="371" spans="1:99" x14ac:dyDescent="0.25">
      <c r="A371" s="13"/>
      <c r="B371" s="14"/>
      <c r="C371" s="15" t="str" cm="1">
        <f t="array" ref="C371">IF(B371="","",INDEX('Exercise list'!$C$5:$C$102,B371))</f>
        <v/>
      </c>
      <c r="D371" s="12" t="str">
        <f t="shared" si="274"/>
        <v/>
      </c>
      <c r="E371" s="107" t="str">
        <f t="shared" si="297"/>
        <v/>
      </c>
      <c r="F371" s="63" t="str" cm="1">
        <f t="array" ref="F371">IF(B371="","",0.1+IFERROR(INDEX($F$6:$F370,SUMPRODUCT(MAX(ROW($C$6:$C370)*($C371=$C$6:$C370))-ROW($A$5)))*0.9^($A371-INDEX($A$6:A370,SUMPRODUCT(MAX(ROW($C$6:$C370)*($C371=$C$6:$C370))-ROW($A$5)))),0))</f>
        <v/>
      </c>
      <c r="G371" s="64" t="e">
        <f>INDEX('Exercise list'!$Y$5:$Y$102,MATCH(C371,'Exercise list'!$C$5:$C$102,0))</f>
        <v>#N/A</v>
      </c>
      <c r="H371" s="115">
        <f t="shared" si="275"/>
        <v>0</v>
      </c>
      <c r="I371" s="6">
        <f t="shared" si="276"/>
        <v>5</v>
      </c>
      <c r="J371" s="6" t="str" cm="1">
        <f t="array" ref="J371">IF(B371="","",INDEX('Exercise list'!$D$5:$D$102,B371))</f>
        <v/>
      </c>
      <c r="K371" s="12"/>
      <c r="L371" s="74" t="str" cm="1">
        <f t="array" ref="L371">IF(K371="","",INDEX('Exercise list'!$C$5:$C$102,K371))</f>
        <v/>
      </c>
      <c r="M371" s="6"/>
      <c r="N371" s="75" t="str" cm="1">
        <f t="array" ref="N371">IF(M371="","",INDEX('Exercise list'!$C$5:$C$102,M371))</f>
        <v/>
      </c>
      <c r="P371">
        <f>IFERROR(INDEX('Exercise list'!$E$5:$X$102,MATCH($C371,'Exercise list'!$C$5:$C$102,0),MATCH(P$5,'Exercise list'!$E$4:$X$4,0)),0)</f>
        <v>0</v>
      </c>
      <c r="Q371">
        <f>IFERROR(INDEX('Exercise list'!$E$5:$X$102,MATCH($C371,'Exercise list'!$C$5:$C$102,0),MATCH(Q$5,'Exercise list'!$E$4:$X$4,0)),0)</f>
        <v>0</v>
      </c>
      <c r="R371">
        <f>IFERROR(INDEX('Exercise list'!$E$5:$X$102,MATCH($C371,'Exercise list'!$C$5:$C$102,0),MATCH(R$5,'Exercise list'!$E$4:$X$4,0)),0)</f>
        <v>0</v>
      </c>
      <c r="S371">
        <f>IFERROR(INDEX('Exercise list'!$E$5:$X$102,MATCH($C371,'Exercise list'!$C$5:$C$102,0),MATCH(S$5,'Exercise list'!$E$4:$X$4,0)),0)</f>
        <v>0</v>
      </c>
      <c r="T371">
        <f>IFERROR(INDEX('Exercise list'!$E$5:$X$102,MATCH($C371,'Exercise list'!$C$5:$C$102,0),MATCH(T$5,'Exercise list'!$E$4:$X$4,0)),0)</f>
        <v>0</v>
      </c>
      <c r="U371">
        <f>IFERROR(INDEX('Exercise list'!$E$5:$X$102,MATCH($C371,'Exercise list'!$C$5:$C$102,0),MATCH(U$5,'Exercise list'!$E$4:$X$4,0)),0)</f>
        <v>0</v>
      </c>
      <c r="V371">
        <f>IFERROR(INDEX('Exercise list'!$E$5:$X$102,MATCH($C371,'Exercise list'!$C$5:$C$102,0),MATCH(V$5,'Exercise list'!$E$4:$X$4,0)),0)</f>
        <v>0</v>
      </c>
      <c r="W371">
        <f>IFERROR(INDEX('Exercise list'!$E$5:$X$102,MATCH($C371,'Exercise list'!$C$5:$C$102,0),MATCH(W$5,'Exercise list'!$E$4:$X$4,0)),0)</f>
        <v>0</v>
      </c>
      <c r="X371">
        <f>IFERROR(INDEX('Exercise list'!$E$5:$X$102,MATCH($C371,'Exercise list'!$C$5:$C$102,0),MATCH(X$5,'Exercise list'!$E$4:$X$4,0)),0)</f>
        <v>0</v>
      </c>
      <c r="Y371">
        <f>IFERROR(INDEX('Exercise list'!$E$5:$X$102,MATCH($C371,'Exercise list'!$C$5:$C$102,0),MATCH(Y$5,'Exercise list'!$E$4:$X$4,0)),0)</f>
        <v>0</v>
      </c>
      <c r="Z371">
        <f>IFERROR(INDEX('Exercise list'!$E$5:$X$102,MATCH($C371,'Exercise list'!$C$5:$C$102,0),MATCH(Z$5,'Exercise list'!$E$4:$X$4,0)),0)</f>
        <v>0</v>
      </c>
      <c r="AA371">
        <f>IFERROR(INDEX('Exercise list'!$E$5:$X$102,MATCH($C371,'Exercise list'!$C$5:$C$102,0),MATCH(AA$5,'Exercise list'!$E$4:$X$4,0)),0)</f>
        <v>0</v>
      </c>
      <c r="AB371">
        <f>IFERROR(INDEX('Exercise list'!$E$5:$X$102,MATCH($C371,'Exercise list'!$C$5:$C$102,0),MATCH(AB$5,'Exercise list'!$E$4:$X$4,0)),0)</f>
        <v>0</v>
      </c>
      <c r="AC371">
        <f>IFERROR(INDEX('Exercise list'!$E$5:$X$102,MATCH($C371,'Exercise list'!$C$5:$C$102,0),MATCH(AC$5,'Exercise list'!$E$4:$X$4,0)),0)</f>
        <v>0</v>
      </c>
      <c r="AD371">
        <f>IFERROR(INDEX('Exercise list'!$E$5:$X$102,MATCH($C371,'Exercise list'!$C$5:$C$102,0),MATCH(AD$5,'Exercise list'!$E$4:$X$4,0)),0)</f>
        <v>0</v>
      </c>
      <c r="AE371">
        <f>IFERROR(INDEX('Exercise list'!$E$5:$X$102,MATCH($C371,'Exercise list'!$C$5:$C$102,0),MATCH(AE$5,'Exercise list'!$E$4:$X$4,0)),0)</f>
        <v>0</v>
      </c>
      <c r="AF371">
        <f>IFERROR(INDEX('Exercise list'!$E$5:$X$102,MATCH($C371,'Exercise list'!$C$5:$C$102,0),MATCH(AF$5,'Exercise list'!$E$4:$X$4,0)),0)</f>
        <v>0</v>
      </c>
      <c r="AG371">
        <f>IFERROR(INDEX('Exercise list'!$E$5:$X$102,MATCH($C371,'Exercise list'!$C$5:$C$102,0),MATCH(AG$5,'Exercise list'!$E$4:$X$4,0)),0)</f>
        <v>0</v>
      </c>
      <c r="AH371">
        <f>IFERROR(INDEX('Exercise list'!$E$5:$X$102,MATCH($C371,'Exercise list'!$C$5:$C$102,0),MATCH(AH$5,'Exercise list'!$E$4:$X$4,0)),0)</f>
        <v>0</v>
      </c>
      <c r="AI371">
        <f>IFERROR(INDEX('Exercise list'!$E$5:$X$102,MATCH($C371,'Exercise list'!$C$5:$C$102,0),MATCH(AI$5,'Exercise list'!$E$4:$X$4,0)),0)</f>
        <v>0</v>
      </c>
      <c r="AK371">
        <f>IF(OR($J371=1,COUNTIFS($A$5:$A370,"&gt;="&amp;$A371-1,$A$5:$A370,"&lt;="&amp;$A371,$B$5:$B370,$B371)&gt;0,MIN(1-'Exercise list'!E$2,IF($A371=$A370,AK370,1))-P371&lt;0),-1,MIN(1,IF($A371=$A370,AK370,1)-P371+$D$2))</f>
        <v>1</v>
      </c>
      <c r="AL371">
        <f>IF(OR($J371=1,COUNTIFS($A$5:$A370,"&gt;="&amp;$A371-1,$A$5:$A370,"&lt;="&amp;$A371,$B$5:$B370,$B371)&gt;0,MIN(1-'Exercise list'!F$2,IF($A371=$A370,AL370,1))-Q371&lt;0),-1,MIN(1,IF($A371=$A370,AL370,1)-Q371+$D$2))</f>
        <v>1</v>
      </c>
      <c r="AM371">
        <f>IF(OR($J371=1,COUNTIFS($A$5:$A370,"&gt;="&amp;$A371-1,$A$5:$A370,"&lt;="&amp;$A371,$B$5:$B370,$B371)&gt;0,MIN(1-'Exercise list'!G$2,IF($A371=$A370,AM370,1))-R371&lt;0),-1,MIN(1,IF($A371=$A370,AM370,1)-R371+$D$2))</f>
        <v>1</v>
      </c>
      <c r="AN371">
        <f>IF(OR($J371=1,COUNTIFS($A$5:$A370,"&gt;="&amp;$A371-1,$A$5:$A370,"&lt;="&amp;$A371,$B$5:$B370,$B371)&gt;0,MIN(1-'Exercise list'!H$2,IF($A371=$A370,AN370,1))-S371&lt;0),-1,MIN(1,IF($A371=$A370,AN370,1)-S371+$D$2))</f>
        <v>1</v>
      </c>
      <c r="AO371">
        <f>IF(OR($J371=1,COUNTIFS($A$5:$A370,"&gt;="&amp;$A371-1,$A$5:$A370,"&lt;="&amp;$A371,$B$5:$B370,$B371)&gt;0,MIN(1-'Exercise list'!I$2,IF($A371=$A370,AO370,1))-T371&lt;0),-1,MIN(1,IF($A371=$A370,AO370,1)-T371+$D$2))</f>
        <v>1</v>
      </c>
      <c r="AP371">
        <f>IF(OR($J371=1,COUNTIFS($A$5:$A370,"&gt;="&amp;$A371-1,$A$5:$A370,"&lt;="&amp;$A371,$B$5:$B370,$B371)&gt;0,MIN(1-'Exercise list'!J$2,IF($A371=$A370,AP370,1))-U371&lt;0),-1,MIN(1,IF($A371=$A370,AP370,1)-U371+$D$2))</f>
        <v>1</v>
      </c>
      <c r="AQ371">
        <f>IF(OR($J371=1,COUNTIFS($A$5:$A370,"&gt;="&amp;$A371-1,$A$5:$A370,"&lt;="&amp;$A371,$B$5:$B370,$B371)&gt;0,MIN(1-'Exercise list'!K$2,IF($A371=$A370,AQ370,1))-V371&lt;0),-1,MIN(1,IF($A371=$A370,AQ370,1)-V371+$D$2))</f>
        <v>1</v>
      </c>
      <c r="AR371">
        <f>IF(OR($J371=1,COUNTIFS($A$5:$A370,"&gt;="&amp;$A371-1,$A$5:$A370,"&lt;="&amp;$A371,$B$5:$B370,$B371)&gt;0,MIN(1-'Exercise list'!L$2,IF($A371=$A370,AR370,1))-W371&lt;0),-1,MIN(1,IF($A371=$A370,AR370,1)-W371+$D$2))</f>
        <v>1</v>
      </c>
      <c r="AS371">
        <f>IF(OR($J371=1,COUNTIFS($A$5:$A370,"&gt;="&amp;$A371-1,$A$5:$A370,"&lt;="&amp;$A371,$B$5:$B370,$B371)&gt;0,MIN(1-'Exercise list'!M$2,IF($A371=$A370,AS370,1))-X371&lt;0),-1,MIN(1,IF($A371=$A370,AS370,1)-X371+$D$2))</f>
        <v>1</v>
      </c>
      <c r="AT371">
        <f>IF(OR($J371=1,COUNTIFS($A$5:$A370,"&gt;="&amp;$A371-1,$A$5:$A370,"&lt;="&amp;$A371,$B$5:$B370,$B371)&gt;0,MIN(1-'Exercise list'!N$2,IF($A371=$A370,AT370,1))-Y371&lt;0),-1,MIN(1,IF($A371=$A370,AT370,1)-Y371+$D$2))</f>
        <v>1</v>
      </c>
      <c r="AU371">
        <f>IF(OR($J371=1,COUNTIFS($A$5:$A370,"&gt;="&amp;$A371-1,$A$5:$A370,"&lt;="&amp;$A371,$B$5:$B370,$B371)&gt;0,MIN(1-'Exercise list'!O$2,IF($A371=$A370,AU370,1))-Z371&lt;0),-1,MIN(1,IF($A371=$A370,AU370,1)-Z371+$D$2))</f>
        <v>1</v>
      </c>
      <c r="AV371">
        <f>IF(OR($J371=1,COUNTIFS($A$5:$A370,"&gt;="&amp;$A371-1,$A$5:$A370,"&lt;="&amp;$A371,$B$5:$B370,$B371)&gt;0,MIN(1-'Exercise list'!P$2,IF($A371=$A370,AV370,1))-AA371&lt;0),-1,MIN(1,IF($A371=$A370,AV370,1)-AA371+$D$2))</f>
        <v>1</v>
      </c>
      <c r="AW371">
        <f>IF(OR($J371=1,COUNTIFS($A$5:$A370,"&gt;="&amp;$A371-1,$A$5:$A370,"&lt;="&amp;$A371,$B$5:$B370,$B371)&gt;0,MIN(1-'Exercise list'!Q$2,IF($A371=$A370,AW370,1))-AB371&lt;0),-1,MIN(1,IF($A371=$A370,AW370,1)-AB371+$D$2))</f>
        <v>1</v>
      </c>
      <c r="AX371">
        <f>IF(OR($J371=1,COUNTIFS($A$5:$A370,"&gt;="&amp;$A371-1,$A$5:$A370,"&lt;="&amp;$A371,$B$5:$B370,$B371)&gt;0,MIN(1-'Exercise list'!R$2,IF($A371=$A370,AX370,1))-AC371&lt;0),-1,MIN(1,IF($A371=$A370,AX370,1)-AC371+$D$2))</f>
        <v>1</v>
      </c>
      <c r="AY371">
        <f>IF(OR($J371=1,COUNTIFS($A$5:$A370,"&gt;="&amp;$A371-1,$A$5:$A370,"&lt;="&amp;$A371,$B$5:$B370,$B371)&gt;0,MIN(1-'Exercise list'!S$2,IF($A371=$A370,AY370,1))-AD371&lt;0),-1,MIN(1,IF($A371=$A370,AY370,1)-AD371+$D$2))</f>
        <v>1</v>
      </c>
      <c r="AZ371">
        <f>IF(OR($J371=1,COUNTIFS($A$5:$A370,"&gt;="&amp;$A371-1,$A$5:$A370,"&lt;="&amp;$A371,$B$5:$B370,$B371)&gt;0,MIN(1-'Exercise list'!T$2,IF($A371=$A370,AZ370,1))-AE371&lt;0),-1,MIN(1,IF($A371=$A370,AZ370,1)-AE371+$D$2))</f>
        <v>1</v>
      </c>
      <c r="BA371">
        <f>IF(OR($J371=1,COUNTIFS($A$5:$A370,"&gt;="&amp;$A371-1,$A$5:$A370,"&lt;="&amp;$A371,$B$5:$B370,$B371)&gt;0,MIN(1-'Exercise list'!U$2,IF($A371=$A370,BA370,1))-AF371&lt;0),-1,MIN(1,IF($A371=$A370,BA370,1)-AF371+$D$2))</f>
        <v>1</v>
      </c>
      <c r="BB371">
        <f>IF(OR($J371=1,COUNTIFS($A$5:$A370,"&gt;="&amp;$A371-1,$A$5:$A370,"&lt;="&amp;$A371,$B$5:$B370,$B371)&gt;0,MIN(1-'Exercise list'!V$2,IF($A371=$A370,BB370,1))-AG371&lt;0),-1,MIN(1,IF($A371=$A370,BB370,1)-AG371+$D$2))</f>
        <v>1</v>
      </c>
      <c r="BC371">
        <f>IF(OR($J371=1,COUNTIFS($A$5:$A370,"&gt;="&amp;$A371-1,$A$5:$A370,"&lt;="&amp;$A371,$B$5:$B370,$B371)&gt;0,MIN(1-'Exercise list'!W$2,IF($A371=$A370,BC370,1))-AH371&lt;0),-1,MIN(1,IF($A371=$A370,BC370,1)-AH371+$D$2))</f>
        <v>1</v>
      </c>
      <c r="BD371">
        <f>IF(OR($J371=1,COUNTIFS($A$5:$A370,"&gt;="&amp;$A371-1,$A$5:$A370,"&lt;="&amp;$A371,$B$5:$B370,$B371)&gt;0,MIN(1-'Exercise list'!X$2,IF($A371=$A370,BD370,1))-AI371&lt;0),-1,MIN(1,IF($A371=$A370,BD370,1)-AI371+$D$2))</f>
        <v>1</v>
      </c>
      <c r="BF371" s="16">
        <f t="shared" si="277"/>
        <v>0.19596031081758858</v>
      </c>
      <c r="BG371" s="16">
        <f t="shared" si="278"/>
        <v>0.21844636935459236</v>
      </c>
      <c r="BH371" s="16">
        <f t="shared" si="279"/>
        <v>0.14609696635987124</v>
      </c>
      <c r="BI371" s="16">
        <f t="shared" si="280"/>
        <v>0.13198015366034541</v>
      </c>
      <c r="BJ371" s="16">
        <f t="shared" si="281"/>
        <v>8.3367914198418713E-2</v>
      </c>
      <c r="BK371" s="16">
        <f t="shared" si="282"/>
        <v>0.10640640223148412</v>
      </c>
      <c r="BL371" s="16">
        <f t="shared" si="283"/>
        <v>0.21963504743569431</v>
      </c>
      <c r="BM371" s="16">
        <f t="shared" si="284"/>
        <v>3.8988008374820568E-3</v>
      </c>
      <c r="BN371" s="16">
        <f t="shared" si="285"/>
        <v>0.14537706087090876</v>
      </c>
      <c r="BO371" s="16">
        <f t="shared" si="286"/>
        <v>0.29209790661993401</v>
      </c>
      <c r="BP371" s="16">
        <f t="shared" si="287"/>
        <v>0.31584545163401867</v>
      </c>
      <c r="BQ371" s="16">
        <f t="shared" si="288"/>
        <v>0.1000007994126096</v>
      </c>
      <c r="BR371" s="16">
        <f t="shared" si="289"/>
        <v>0.13164487759885393</v>
      </c>
      <c r="BS371" s="16">
        <f t="shared" si="290"/>
        <v>2.9803550189863123E-2</v>
      </c>
      <c r="BT371" s="16">
        <f t="shared" si="291"/>
        <v>0.13492040904978705</v>
      </c>
      <c r="BU371" s="16">
        <f t="shared" si="292"/>
        <v>0.11703687414398131</v>
      </c>
      <c r="BV371" s="16">
        <f t="shared" si="293"/>
        <v>0.14633353213781661</v>
      </c>
      <c r="BW371" s="16">
        <f t="shared" si="294"/>
        <v>7.5588015111767173E-2</v>
      </c>
      <c r="BX371" s="16">
        <f t="shared" si="295"/>
        <v>8.0345659937185704E-2</v>
      </c>
      <c r="BY371" s="16">
        <f t="shared" si="296"/>
        <v>5.9014643151272549E-2</v>
      </c>
      <c r="CA371" s="16" t="str">
        <f t="shared" si="273"/>
        <v/>
      </c>
      <c r="CB371" s="16" t="str">
        <f t="shared" si="254"/>
        <v/>
      </c>
      <c r="CC371" s="16" t="str">
        <f t="shared" si="255"/>
        <v/>
      </c>
      <c r="CD371" s="16" t="str">
        <f t="shared" si="256"/>
        <v/>
      </c>
      <c r="CE371" s="16" t="str">
        <f t="shared" si="257"/>
        <v/>
      </c>
      <c r="CF371" s="16" t="str">
        <f t="shared" si="258"/>
        <v/>
      </c>
      <c r="CG371" s="16" t="str">
        <f t="shared" si="259"/>
        <v/>
      </c>
      <c r="CH371" s="16" t="str">
        <f t="shared" si="260"/>
        <v/>
      </c>
      <c r="CI371" s="16" t="str">
        <f t="shared" si="261"/>
        <v/>
      </c>
      <c r="CJ371" s="16" t="str">
        <f t="shared" si="262"/>
        <v/>
      </c>
      <c r="CK371" s="16" t="str">
        <f t="shared" si="263"/>
        <v/>
      </c>
      <c r="CL371" s="16" t="str">
        <f t="shared" si="264"/>
        <v/>
      </c>
      <c r="CM371" s="16" t="str">
        <f t="shared" si="265"/>
        <v/>
      </c>
      <c r="CN371" s="16" t="str">
        <f t="shared" si="266"/>
        <v/>
      </c>
      <c r="CO371" s="16" t="str">
        <f t="shared" si="267"/>
        <v/>
      </c>
      <c r="CP371" s="16" t="str">
        <f t="shared" si="268"/>
        <v/>
      </c>
      <c r="CQ371" s="16" t="str">
        <f t="shared" si="269"/>
        <v/>
      </c>
      <c r="CR371" s="16" t="str">
        <f t="shared" si="270"/>
        <v/>
      </c>
      <c r="CS371" s="16" t="str">
        <f t="shared" si="271"/>
        <v/>
      </c>
      <c r="CT371" s="16" t="str">
        <f t="shared" si="272"/>
        <v/>
      </c>
    </row>
    <row r="372" spans="1:99" x14ac:dyDescent="0.25">
      <c r="A372" s="13"/>
      <c r="B372" s="14"/>
      <c r="C372" s="15" t="str" cm="1">
        <f t="array" ref="C372">IF(B372="","",INDEX('Exercise list'!$C$5:$C$102,B372))</f>
        <v/>
      </c>
      <c r="D372" s="12" t="str">
        <f t="shared" si="274"/>
        <v/>
      </c>
      <c r="E372" s="107" t="str">
        <f t="shared" si="297"/>
        <v/>
      </c>
      <c r="F372" s="63" t="str" cm="1">
        <f t="array" ref="F372">IF(B372="","",0.1+IFERROR(INDEX($F$6:$F371,SUMPRODUCT(MAX(ROW($C$6:$C371)*($C372=$C$6:$C371))-ROW($A$5)))*0.9^($A372-INDEX($A$6:A371,SUMPRODUCT(MAX(ROW($C$6:$C371)*($C372=$C$6:$C371))-ROW($A$5)))),0))</f>
        <v/>
      </c>
      <c r="G372" s="64" t="e">
        <f>INDEX('Exercise list'!$Y$5:$Y$102,MATCH(C372,'Exercise list'!$C$5:$C$102,0))</f>
        <v>#N/A</v>
      </c>
      <c r="H372" s="115">
        <f t="shared" si="275"/>
        <v>0</v>
      </c>
      <c r="I372" s="6">
        <f t="shared" si="276"/>
        <v>5</v>
      </c>
      <c r="J372" s="6" t="str" cm="1">
        <f t="array" ref="J372">IF(B372="","",INDEX('Exercise list'!$D$5:$D$102,B372))</f>
        <v/>
      </c>
      <c r="K372" s="12"/>
      <c r="L372" s="74" t="str" cm="1">
        <f t="array" ref="L372">IF(K372="","",INDEX('Exercise list'!$C$5:$C$102,K372))</f>
        <v/>
      </c>
      <c r="M372" s="6"/>
      <c r="N372" s="75" t="str" cm="1">
        <f t="array" ref="N372">IF(M372="","",INDEX('Exercise list'!$C$5:$C$102,M372))</f>
        <v/>
      </c>
      <c r="P372">
        <f>IFERROR(INDEX('Exercise list'!$E$5:$X$102,MATCH($C372,'Exercise list'!$C$5:$C$102,0),MATCH(P$5,'Exercise list'!$E$4:$X$4,0)),0)</f>
        <v>0</v>
      </c>
      <c r="Q372">
        <f>IFERROR(INDEX('Exercise list'!$E$5:$X$102,MATCH($C372,'Exercise list'!$C$5:$C$102,0),MATCH(Q$5,'Exercise list'!$E$4:$X$4,0)),0)</f>
        <v>0</v>
      </c>
      <c r="R372">
        <f>IFERROR(INDEX('Exercise list'!$E$5:$X$102,MATCH($C372,'Exercise list'!$C$5:$C$102,0),MATCH(R$5,'Exercise list'!$E$4:$X$4,0)),0)</f>
        <v>0</v>
      </c>
      <c r="S372">
        <f>IFERROR(INDEX('Exercise list'!$E$5:$X$102,MATCH($C372,'Exercise list'!$C$5:$C$102,0),MATCH(S$5,'Exercise list'!$E$4:$X$4,0)),0)</f>
        <v>0</v>
      </c>
      <c r="T372">
        <f>IFERROR(INDEX('Exercise list'!$E$5:$X$102,MATCH($C372,'Exercise list'!$C$5:$C$102,0),MATCH(T$5,'Exercise list'!$E$4:$X$4,0)),0)</f>
        <v>0</v>
      </c>
      <c r="U372">
        <f>IFERROR(INDEX('Exercise list'!$E$5:$X$102,MATCH($C372,'Exercise list'!$C$5:$C$102,0),MATCH(U$5,'Exercise list'!$E$4:$X$4,0)),0)</f>
        <v>0</v>
      </c>
      <c r="V372">
        <f>IFERROR(INDEX('Exercise list'!$E$5:$X$102,MATCH($C372,'Exercise list'!$C$5:$C$102,0),MATCH(V$5,'Exercise list'!$E$4:$X$4,0)),0)</f>
        <v>0</v>
      </c>
      <c r="W372">
        <f>IFERROR(INDEX('Exercise list'!$E$5:$X$102,MATCH($C372,'Exercise list'!$C$5:$C$102,0),MATCH(W$5,'Exercise list'!$E$4:$X$4,0)),0)</f>
        <v>0</v>
      </c>
      <c r="X372">
        <f>IFERROR(INDEX('Exercise list'!$E$5:$X$102,MATCH($C372,'Exercise list'!$C$5:$C$102,0),MATCH(X$5,'Exercise list'!$E$4:$X$4,0)),0)</f>
        <v>0</v>
      </c>
      <c r="Y372">
        <f>IFERROR(INDEX('Exercise list'!$E$5:$X$102,MATCH($C372,'Exercise list'!$C$5:$C$102,0),MATCH(Y$5,'Exercise list'!$E$4:$X$4,0)),0)</f>
        <v>0</v>
      </c>
      <c r="Z372">
        <f>IFERROR(INDEX('Exercise list'!$E$5:$X$102,MATCH($C372,'Exercise list'!$C$5:$C$102,0),MATCH(Z$5,'Exercise list'!$E$4:$X$4,0)),0)</f>
        <v>0</v>
      </c>
      <c r="AA372">
        <f>IFERROR(INDEX('Exercise list'!$E$5:$X$102,MATCH($C372,'Exercise list'!$C$5:$C$102,0),MATCH(AA$5,'Exercise list'!$E$4:$X$4,0)),0)</f>
        <v>0</v>
      </c>
      <c r="AB372">
        <f>IFERROR(INDEX('Exercise list'!$E$5:$X$102,MATCH($C372,'Exercise list'!$C$5:$C$102,0),MATCH(AB$5,'Exercise list'!$E$4:$X$4,0)),0)</f>
        <v>0</v>
      </c>
      <c r="AC372">
        <f>IFERROR(INDEX('Exercise list'!$E$5:$X$102,MATCH($C372,'Exercise list'!$C$5:$C$102,0),MATCH(AC$5,'Exercise list'!$E$4:$X$4,0)),0)</f>
        <v>0</v>
      </c>
      <c r="AD372">
        <f>IFERROR(INDEX('Exercise list'!$E$5:$X$102,MATCH($C372,'Exercise list'!$C$5:$C$102,0),MATCH(AD$5,'Exercise list'!$E$4:$X$4,0)),0)</f>
        <v>0</v>
      </c>
      <c r="AE372">
        <f>IFERROR(INDEX('Exercise list'!$E$5:$X$102,MATCH($C372,'Exercise list'!$C$5:$C$102,0),MATCH(AE$5,'Exercise list'!$E$4:$X$4,0)),0)</f>
        <v>0</v>
      </c>
      <c r="AF372">
        <f>IFERROR(INDEX('Exercise list'!$E$5:$X$102,MATCH($C372,'Exercise list'!$C$5:$C$102,0),MATCH(AF$5,'Exercise list'!$E$4:$X$4,0)),0)</f>
        <v>0</v>
      </c>
      <c r="AG372">
        <f>IFERROR(INDEX('Exercise list'!$E$5:$X$102,MATCH($C372,'Exercise list'!$C$5:$C$102,0),MATCH(AG$5,'Exercise list'!$E$4:$X$4,0)),0)</f>
        <v>0</v>
      </c>
      <c r="AH372">
        <f>IFERROR(INDEX('Exercise list'!$E$5:$X$102,MATCH($C372,'Exercise list'!$C$5:$C$102,0),MATCH(AH$5,'Exercise list'!$E$4:$X$4,0)),0)</f>
        <v>0</v>
      </c>
      <c r="AI372">
        <f>IFERROR(INDEX('Exercise list'!$E$5:$X$102,MATCH($C372,'Exercise list'!$C$5:$C$102,0),MATCH(AI$5,'Exercise list'!$E$4:$X$4,0)),0)</f>
        <v>0</v>
      </c>
      <c r="AK372">
        <f>IF(OR($J372=1,COUNTIFS($A$5:$A371,"&gt;="&amp;$A372-1,$A$5:$A371,"&lt;="&amp;$A372,$B$5:$B371,$B372)&gt;0,MIN(1-'Exercise list'!E$2,IF($A372=$A371,AK371,1))-P372&lt;0),-1,MIN(1,IF($A372=$A371,AK371,1)-P372+$D$2))</f>
        <v>1</v>
      </c>
      <c r="AL372">
        <f>IF(OR($J372=1,COUNTIFS($A$5:$A371,"&gt;="&amp;$A372-1,$A$5:$A371,"&lt;="&amp;$A372,$B$5:$B371,$B372)&gt;0,MIN(1-'Exercise list'!F$2,IF($A372=$A371,AL371,1))-Q372&lt;0),-1,MIN(1,IF($A372=$A371,AL371,1)-Q372+$D$2))</f>
        <v>1</v>
      </c>
      <c r="AM372">
        <f>IF(OR($J372=1,COUNTIFS($A$5:$A371,"&gt;="&amp;$A372-1,$A$5:$A371,"&lt;="&amp;$A372,$B$5:$B371,$B372)&gt;0,MIN(1-'Exercise list'!G$2,IF($A372=$A371,AM371,1))-R372&lt;0),-1,MIN(1,IF($A372=$A371,AM371,1)-R372+$D$2))</f>
        <v>1</v>
      </c>
      <c r="AN372">
        <f>IF(OR($J372=1,COUNTIFS($A$5:$A371,"&gt;="&amp;$A372-1,$A$5:$A371,"&lt;="&amp;$A372,$B$5:$B371,$B372)&gt;0,MIN(1-'Exercise list'!H$2,IF($A372=$A371,AN371,1))-S372&lt;0),-1,MIN(1,IF($A372=$A371,AN371,1)-S372+$D$2))</f>
        <v>1</v>
      </c>
      <c r="AO372">
        <f>IF(OR($J372=1,COUNTIFS($A$5:$A371,"&gt;="&amp;$A372-1,$A$5:$A371,"&lt;="&amp;$A372,$B$5:$B371,$B372)&gt;0,MIN(1-'Exercise list'!I$2,IF($A372=$A371,AO371,1))-T372&lt;0),-1,MIN(1,IF($A372=$A371,AO371,1)-T372+$D$2))</f>
        <v>1</v>
      </c>
      <c r="AP372">
        <f>IF(OR($J372=1,COUNTIFS($A$5:$A371,"&gt;="&amp;$A372-1,$A$5:$A371,"&lt;="&amp;$A372,$B$5:$B371,$B372)&gt;0,MIN(1-'Exercise list'!J$2,IF($A372=$A371,AP371,1))-U372&lt;0),-1,MIN(1,IF($A372=$A371,AP371,1)-U372+$D$2))</f>
        <v>1</v>
      </c>
      <c r="AQ372">
        <f>IF(OR($J372=1,COUNTIFS($A$5:$A371,"&gt;="&amp;$A372-1,$A$5:$A371,"&lt;="&amp;$A372,$B$5:$B371,$B372)&gt;0,MIN(1-'Exercise list'!K$2,IF($A372=$A371,AQ371,1))-V372&lt;0),-1,MIN(1,IF($A372=$A371,AQ371,1)-V372+$D$2))</f>
        <v>1</v>
      </c>
      <c r="AR372">
        <f>IF(OR($J372=1,COUNTIFS($A$5:$A371,"&gt;="&amp;$A372-1,$A$5:$A371,"&lt;="&amp;$A372,$B$5:$B371,$B372)&gt;0,MIN(1-'Exercise list'!L$2,IF($A372=$A371,AR371,1))-W372&lt;0),-1,MIN(1,IF($A372=$A371,AR371,1)-W372+$D$2))</f>
        <v>1</v>
      </c>
      <c r="AS372">
        <f>IF(OR($J372=1,COUNTIFS($A$5:$A371,"&gt;="&amp;$A372-1,$A$5:$A371,"&lt;="&amp;$A372,$B$5:$B371,$B372)&gt;0,MIN(1-'Exercise list'!M$2,IF($A372=$A371,AS371,1))-X372&lt;0),-1,MIN(1,IF($A372=$A371,AS371,1)-X372+$D$2))</f>
        <v>1</v>
      </c>
      <c r="AT372">
        <f>IF(OR($J372=1,COUNTIFS($A$5:$A371,"&gt;="&amp;$A372-1,$A$5:$A371,"&lt;="&amp;$A372,$B$5:$B371,$B372)&gt;0,MIN(1-'Exercise list'!N$2,IF($A372=$A371,AT371,1))-Y372&lt;0),-1,MIN(1,IF($A372=$A371,AT371,1)-Y372+$D$2))</f>
        <v>1</v>
      </c>
      <c r="AU372">
        <f>IF(OR($J372=1,COUNTIFS($A$5:$A371,"&gt;="&amp;$A372-1,$A$5:$A371,"&lt;="&amp;$A372,$B$5:$B371,$B372)&gt;0,MIN(1-'Exercise list'!O$2,IF($A372=$A371,AU371,1))-Z372&lt;0),-1,MIN(1,IF($A372=$A371,AU371,1)-Z372+$D$2))</f>
        <v>1</v>
      </c>
      <c r="AV372">
        <f>IF(OR($J372=1,COUNTIFS($A$5:$A371,"&gt;="&amp;$A372-1,$A$5:$A371,"&lt;="&amp;$A372,$B$5:$B371,$B372)&gt;0,MIN(1-'Exercise list'!P$2,IF($A372=$A371,AV371,1))-AA372&lt;0),-1,MIN(1,IF($A372=$A371,AV371,1)-AA372+$D$2))</f>
        <v>1</v>
      </c>
      <c r="AW372">
        <f>IF(OR($J372=1,COUNTIFS($A$5:$A371,"&gt;="&amp;$A372-1,$A$5:$A371,"&lt;="&amp;$A372,$B$5:$B371,$B372)&gt;0,MIN(1-'Exercise list'!Q$2,IF($A372=$A371,AW371,1))-AB372&lt;0),-1,MIN(1,IF($A372=$A371,AW371,1)-AB372+$D$2))</f>
        <v>1</v>
      </c>
      <c r="AX372">
        <f>IF(OR($J372=1,COUNTIFS($A$5:$A371,"&gt;="&amp;$A372-1,$A$5:$A371,"&lt;="&amp;$A372,$B$5:$B371,$B372)&gt;0,MIN(1-'Exercise list'!R$2,IF($A372=$A371,AX371,1))-AC372&lt;0),-1,MIN(1,IF($A372=$A371,AX371,1)-AC372+$D$2))</f>
        <v>1</v>
      </c>
      <c r="AY372">
        <f>IF(OR($J372=1,COUNTIFS($A$5:$A371,"&gt;="&amp;$A372-1,$A$5:$A371,"&lt;="&amp;$A372,$B$5:$B371,$B372)&gt;0,MIN(1-'Exercise list'!S$2,IF($A372=$A371,AY371,1))-AD372&lt;0),-1,MIN(1,IF($A372=$A371,AY371,1)-AD372+$D$2))</f>
        <v>1</v>
      </c>
      <c r="AZ372">
        <f>IF(OR($J372=1,COUNTIFS($A$5:$A371,"&gt;="&amp;$A372-1,$A$5:$A371,"&lt;="&amp;$A372,$B$5:$B371,$B372)&gt;0,MIN(1-'Exercise list'!T$2,IF($A372=$A371,AZ371,1))-AE372&lt;0),-1,MIN(1,IF($A372=$A371,AZ371,1)-AE372+$D$2))</f>
        <v>1</v>
      </c>
      <c r="BA372">
        <f>IF(OR($J372=1,COUNTIFS($A$5:$A371,"&gt;="&amp;$A372-1,$A$5:$A371,"&lt;="&amp;$A372,$B$5:$B371,$B372)&gt;0,MIN(1-'Exercise list'!U$2,IF($A372=$A371,BA371,1))-AF372&lt;0),-1,MIN(1,IF($A372=$A371,BA371,1)-AF372+$D$2))</f>
        <v>1</v>
      </c>
      <c r="BB372">
        <f>IF(OR($J372=1,COUNTIFS($A$5:$A371,"&gt;="&amp;$A372-1,$A$5:$A371,"&lt;="&amp;$A372,$B$5:$B371,$B372)&gt;0,MIN(1-'Exercise list'!V$2,IF($A372=$A371,BB371,1))-AG372&lt;0),-1,MIN(1,IF($A372=$A371,BB371,1)-AG372+$D$2))</f>
        <v>1</v>
      </c>
      <c r="BC372">
        <f>IF(OR($J372=1,COUNTIFS($A$5:$A371,"&gt;="&amp;$A372-1,$A$5:$A371,"&lt;="&amp;$A372,$B$5:$B371,$B372)&gt;0,MIN(1-'Exercise list'!W$2,IF($A372=$A371,BC371,1))-AH372&lt;0),-1,MIN(1,IF($A372=$A371,BC371,1)-AH372+$D$2))</f>
        <v>1</v>
      </c>
      <c r="BD372">
        <f>IF(OR($J372=1,COUNTIFS($A$5:$A371,"&gt;="&amp;$A372-1,$A$5:$A371,"&lt;="&amp;$A372,$B$5:$B371,$B372)&gt;0,MIN(1-'Exercise list'!X$2,IF($A372=$A371,BD371,1))-AI372&lt;0),-1,MIN(1,IF($A372=$A371,BD371,1)-AI372+$D$2))</f>
        <v>1</v>
      </c>
      <c r="BF372" s="16">
        <f t="shared" si="277"/>
        <v>0.19596031081758858</v>
      </c>
      <c r="BG372" s="16">
        <f t="shared" si="278"/>
        <v>0.21844636935459236</v>
      </c>
      <c r="BH372" s="16">
        <f t="shared" si="279"/>
        <v>0.14609696635987124</v>
      </c>
      <c r="BI372" s="16">
        <f t="shared" si="280"/>
        <v>0.13198015366034541</v>
      </c>
      <c r="BJ372" s="16">
        <f t="shared" si="281"/>
        <v>8.3367914198418713E-2</v>
      </c>
      <c r="BK372" s="16">
        <f t="shared" si="282"/>
        <v>0.10640640223148412</v>
      </c>
      <c r="BL372" s="16">
        <f t="shared" si="283"/>
        <v>0.21963504743569431</v>
      </c>
      <c r="BM372" s="16">
        <f t="shared" si="284"/>
        <v>3.8988008374820568E-3</v>
      </c>
      <c r="BN372" s="16">
        <f t="shared" si="285"/>
        <v>0.14537706087090876</v>
      </c>
      <c r="BO372" s="16">
        <f t="shared" si="286"/>
        <v>0.29209790661993401</v>
      </c>
      <c r="BP372" s="16">
        <f t="shared" si="287"/>
        <v>0.31584545163401867</v>
      </c>
      <c r="BQ372" s="16">
        <f t="shared" si="288"/>
        <v>0.1000007994126096</v>
      </c>
      <c r="BR372" s="16">
        <f t="shared" si="289"/>
        <v>0.13164487759885393</v>
      </c>
      <c r="BS372" s="16">
        <f t="shared" si="290"/>
        <v>2.9803550189863123E-2</v>
      </c>
      <c r="BT372" s="16">
        <f t="shared" si="291"/>
        <v>0.13492040904978705</v>
      </c>
      <c r="BU372" s="16">
        <f t="shared" si="292"/>
        <v>0.11703687414398131</v>
      </c>
      <c r="BV372" s="16">
        <f t="shared" si="293"/>
        <v>0.14633353213781661</v>
      </c>
      <c r="BW372" s="16">
        <f t="shared" si="294"/>
        <v>7.5588015111767173E-2</v>
      </c>
      <c r="BX372" s="16">
        <f t="shared" si="295"/>
        <v>8.0345659937185704E-2</v>
      </c>
      <c r="BY372" s="16">
        <f t="shared" si="296"/>
        <v>5.9014643151272549E-2</v>
      </c>
      <c r="CA372" s="16" t="str">
        <f t="shared" si="273"/>
        <v/>
      </c>
      <c r="CB372" s="16" t="str">
        <f t="shared" si="254"/>
        <v/>
      </c>
      <c r="CC372" s="16" t="str">
        <f t="shared" si="255"/>
        <v/>
      </c>
      <c r="CD372" s="16" t="str">
        <f t="shared" si="256"/>
        <v/>
      </c>
      <c r="CE372" s="16" t="str">
        <f t="shared" si="257"/>
        <v/>
      </c>
      <c r="CF372" s="16" t="str">
        <f t="shared" si="258"/>
        <v/>
      </c>
      <c r="CG372" s="16" t="str">
        <f t="shared" si="259"/>
        <v/>
      </c>
      <c r="CH372" s="16" t="str">
        <f t="shared" si="260"/>
        <v/>
      </c>
      <c r="CI372" s="16" t="str">
        <f t="shared" si="261"/>
        <v/>
      </c>
      <c r="CJ372" s="16" t="str">
        <f t="shared" si="262"/>
        <v/>
      </c>
      <c r="CK372" s="16" t="str">
        <f t="shared" si="263"/>
        <v/>
      </c>
      <c r="CL372" s="16" t="str">
        <f t="shared" si="264"/>
        <v/>
      </c>
      <c r="CM372" s="16" t="str">
        <f t="shared" si="265"/>
        <v/>
      </c>
      <c r="CN372" s="16" t="str">
        <f t="shared" si="266"/>
        <v/>
      </c>
      <c r="CO372" s="16" t="str">
        <f t="shared" si="267"/>
        <v/>
      </c>
      <c r="CP372" s="16" t="str">
        <f t="shared" si="268"/>
        <v/>
      </c>
      <c r="CQ372" s="16" t="str">
        <f t="shared" si="269"/>
        <v/>
      </c>
      <c r="CR372" s="16" t="str">
        <f t="shared" si="270"/>
        <v/>
      </c>
      <c r="CS372" s="16" t="str">
        <f t="shared" si="271"/>
        <v/>
      </c>
      <c r="CT372" s="16" t="str">
        <f t="shared" si="272"/>
        <v/>
      </c>
    </row>
    <row r="373" spans="1:99" x14ac:dyDescent="0.25">
      <c r="A373" s="20"/>
      <c r="B373" s="21"/>
      <c r="C373" s="22" t="str" cm="1">
        <f t="array" ref="C373">IF(B373="","",INDEX('Exercise list'!$C$5:$C$102,B373))</f>
        <v/>
      </c>
      <c r="D373" s="17" t="str">
        <f t="shared" si="274"/>
        <v/>
      </c>
      <c r="E373" s="108" t="str">
        <f t="shared" si="297"/>
        <v/>
      </c>
      <c r="F373" s="65" t="str" cm="1">
        <f t="array" ref="F373">IF(B373="","",0.1+IFERROR(INDEX($F$6:$F372,SUMPRODUCT(MAX(ROW($C$6:$C372)*($C373=$C$6:$C372))-ROW($A$5)))*0.9^($A373-INDEX($A$6:A372,SUMPRODUCT(MAX(ROW($C$6:$C372)*($C373=$C$6:$C372))-ROW($A$5)))),0))</f>
        <v/>
      </c>
      <c r="G373" s="25" t="e">
        <f>INDEX('Exercise list'!$Y$5:$Y$102,MATCH(C373,'Exercise list'!$C$5:$C$102,0))</f>
        <v>#N/A</v>
      </c>
      <c r="H373" s="116">
        <f t="shared" si="275"/>
        <v>0</v>
      </c>
      <c r="I373" s="18">
        <f t="shared" si="276"/>
        <v>5</v>
      </c>
      <c r="J373" s="18" t="str" cm="1">
        <f t="array" ref="J373">IF(B373="","",INDEX('Exercise list'!$D$5:$D$102,B373))</f>
        <v/>
      </c>
      <c r="K373" s="17"/>
      <c r="L373" s="51" t="str" cm="1">
        <f t="array" ref="L373">IF(K373="","",INDEX('Exercise list'!$C$5:$C$102,K373))</f>
        <v/>
      </c>
      <c r="M373" s="18"/>
      <c r="N373" s="76" t="str" cm="1">
        <f t="array" ref="N373">IF(M373="","",INDEX('Exercise list'!$C$5:$C$102,M373))</f>
        <v/>
      </c>
      <c r="O373" s="19"/>
      <c r="P373" s="19">
        <f>IFERROR(INDEX('Exercise list'!$E$5:$X$102,MATCH($C373,'Exercise list'!$C$5:$C$102,0),MATCH(P$5,'Exercise list'!$E$4:$X$4,0)),0)</f>
        <v>0</v>
      </c>
      <c r="Q373" s="19">
        <f>IFERROR(INDEX('Exercise list'!$E$5:$X$102,MATCH($C373,'Exercise list'!$C$5:$C$102,0),MATCH(Q$5,'Exercise list'!$E$4:$X$4,0)),0)</f>
        <v>0</v>
      </c>
      <c r="R373" s="19">
        <f>IFERROR(INDEX('Exercise list'!$E$5:$X$102,MATCH($C373,'Exercise list'!$C$5:$C$102,0),MATCH(R$5,'Exercise list'!$E$4:$X$4,0)),0)</f>
        <v>0</v>
      </c>
      <c r="S373" s="19">
        <f>IFERROR(INDEX('Exercise list'!$E$5:$X$102,MATCH($C373,'Exercise list'!$C$5:$C$102,0),MATCH(S$5,'Exercise list'!$E$4:$X$4,0)),0)</f>
        <v>0</v>
      </c>
      <c r="T373" s="19">
        <f>IFERROR(INDEX('Exercise list'!$E$5:$X$102,MATCH($C373,'Exercise list'!$C$5:$C$102,0),MATCH(T$5,'Exercise list'!$E$4:$X$4,0)),0)</f>
        <v>0</v>
      </c>
      <c r="U373" s="19">
        <f>IFERROR(INDEX('Exercise list'!$E$5:$X$102,MATCH($C373,'Exercise list'!$C$5:$C$102,0),MATCH(U$5,'Exercise list'!$E$4:$X$4,0)),0)</f>
        <v>0</v>
      </c>
      <c r="V373" s="19">
        <f>IFERROR(INDEX('Exercise list'!$E$5:$X$102,MATCH($C373,'Exercise list'!$C$5:$C$102,0),MATCH(V$5,'Exercise list'!$E$4:$X$4,0)),0)</f>
        <v>0</v>
      </c>
      <c r="W373" s="19">
        <f>IFERROR(INDEX('Exercise list'!$E$5:$X$102,MATCH($C373,'Exercise list'!$C$5:$C$102,0),MATCH(W$5,'Exercise list'!$E$4:$X$4,0)),0)</f>
        <v>0</v>
      </c>
      <c r="X373" s="19">
        <f>IFERROR(INDEX('Exercise list'!$E$5:$X$102,MATCH($C373,'Exercise list'!$C$5:$C$102,0),MATCH(X$5,'Exercise list'!$E$4:$X$4,0)),0)</f>
        <v>0</v>
      </c>
      <c r="Y373" s="19">
        <f>IFERROR(INDEX('Exercise list'!$E$5:$X$102,MATCH($C373,'Exercise list'!$C$5:$C$102,0),MATCH(Y$5,'Exercise list'!$E$4:$X$4,0)),0)</f>
        <v>0</v>
      </c>
      <c r="Z373" s="19">
        <f>IFERROR(INDEX('Exercise list'!$E$5:$X$102,MATCH($C373,'Exercise list'!$C$5:$C$102,0),MATCH(Z$5,'Exercise list'!$E$4:$X$4,0)),0)</f>
        <v>0</v>
      </c>
      <c r="AA373" s="19">
        <f>IFERROR(INDEX('Exercise list'!$E$5:$X$102,MATCH($C373,'Exercise list'!$C$5:$C$102,0),MATCH(AA$5,'Exercise list'!$E$4:$X$4,0)),0)</f>
        <v>0</v>
      </c>
      <c r="AB373" s="19">
        <f>IFERROR(INDEX('Exercise list'!$E$5:$X$102,MATCH($C373,'Exercise list'!$C$5:$C$102,0),MATCH(AB$5,'Exercise list'!$E$4:$X$4,0)),0)</f>
        <v>0</v>
      </c>
      <c r="AC373" s="19">
        <f>IFERROR(INDEX('Exercise list'!$E$5:$X$102,MATCH($C373,'Exercise list'!$C$5:$C$102,0),MATCH(AC$5,'Exercise list'!$E$4:$X$4,0)),0)</f>
        <v>0</v>
      </c>
      <c r="AD373" s="19">
        <f>IFERROR(INDEX('Exercise list'!$E$5:$X$102,MATCH($C373,'Exercise list'!$C$5:$C$102,0),MATCH(AD$5,'Exercise list'!$E$4:$X$4,0)),0)</f>
        <v>0</v>
      </c>
      <c r="AE373" s="19">
        <f>IFERROR(INDEX('Exercise list'!$E$5:$X$102,MATCH($C373,'Exercise list'!$C$5:$C$102,0),MATCH(AE$5,'Exercise list'!$E$4:$X$4,0)),0)</f>
        <v>0</v>
      </c>
      <c r="AF373" s="19">
        <f>IFERROR(INDEX('Exercise list'!$E$5:$X$102,MATCH($C373,'Exercise list'!$C$5:$C$102,0),MATCH(AF$5,'Exercise list'!$E$4:$X$4,0)),0)</f>
        <v>0</v>
      </c>
      <c r="AG373" s="19">
        <f>IFERROR(INDEX('Exercise list'!$E$5:$X$102,MATCH($C373,'Exercise list'!$C$5:$C$102,0),MATCH(AG$5,'Exercise list'!$E$4:$X$4,0)),0)</f>
        <v>0</v>
      </c>
      <c r="AH373" s="19">
        <f>IFERROR(INDEX('Exercise list'!$E$5:$X$102,MATCH($C373,'Exercise list'!$C$5:$C$102,0),MATCH(AH$5,'Exercise list'!$E$4:$X$4,0)),0)</f>
        <v>0</v>
      </c>
      <c r="AI373" s="19">
        <f>IFERROR(INDEX('Exercise list'!$E$5:$X$102,MATCH($C373,'Exercise list'!$C$5:$C$102,0),MATCH(AI$5,'Exercise list'!$E$4:$X$4,0)),0)</f>
        <v>0</v>
      </c>
      <c r="AJ373" s="19"/>
      <c r="AK373" s="19">
        <f>IF(OR($J373=1,COUNTIFS($A$5:$A372,"&gt;="&amp;$A373-1,$A$5:$A372,"&lt;="&amp;$A373,$B$5:$B372,$B373)&gt;0,MIN(1-'Exercise list'!E$2,IF($A373=$A372,AK372,1))-P373&lt;0),-1,MIN(1,IF($A373=$A372,AK372,1)-P373+$D$2))</f>
        <v>1</v>
      </c>
      <c r="AL373" s="19">
        <f>IF(OR($J373=1,COUNTIFS($A$5:$A372,"&gt;="&amp;$A373-1,$A$5:$A372,"&lt;="&amp;$A373,$B$5:$B372,$B373)&gt;0,MIN(1-'Exercise list'!F$2,IF($A373=$A372,AL372,1))-Q373&lt;0),-1,MIN(1,IF($A373=$A372,AL372,1)-Q373+$D$2))</f>
        <v>1</v>
      </c>
      <c r="AM373" s="19">
        <f>IF(OR($J373=1,COUNTIFS($A$5:$A372,"&gt;="&amp;$A373-1,$A$5:$A372,"&lt;="&amp;$A373,$B$5:$B372,$B373)&gt;0,MIN(1-'Exercise list'!G$2,IF($A373=$A372,AM372,1))-R373&lt;0),-1,MIN(1,IF($A373=$A372,AM372,1)-R373+$D$2))</f>
        <v>1</v>
      </c>
      <c r="AN373" s="19">
        <f>IF(OR($J373=1,COUNTIFS($A$5:$A372,"&gt;="&amp;$A373-1,$A$5:$A372,"&lt;="&amp;$A373,$B$5:$B372,$B373)&gt;0,MIN(1-'Exercise list'!H$2,IF($A373=$A372,AN372,1))-S373&lt;0),-1,MIN(1,IF($A373=$A372,AN372,1)-S373+$D$2))</f>
        <v>1</v>
      </c>
      <c r="AO373" s="19">
        <f>IF(OR($J373=1,COUNTIFS($A$5:$A372,"&gt;="&amp;$A373-1,$A$5:$A372,"&lt;="&amp;$A373,$B$5:$B372,$B373)&gt;0,MIN(1-'Exercise list'!I$2,IF($A373=$A372,AO372,1))-T373&lt;0),-1,MIN(1,IF($A373=$A372,AO372,1)-T373+$D$2))</f>
        <v>1</v>
      </c>
      <c r="AP373" s="19">
        <f>IF(OR($J373=1,COUNTIFS($A$5:$A372,"&gt;="&amp;$A373-1,$A$5:$A372,"&lt;="&amp;$A373,$B$5:$B372,$B373)&gt;0,MIN(1-'Exercise list'!J$2,IF($A373=$A372,AP372,1))-U373&lt;0),-1,MIN(1,IF($A373=$A372,AP372,1)-U373+$D$2))</f>
        <v>1</v>
      </c>
      <c r="AQ373" s="19">
        <f>IF(OR($J373=1,COUNTIFS($A$5:$A372,"&gt;="&amp;$A373-1,$A$5:$A372,"&lt;="&amp;$A373,$B$5:$B372,$B373)&gt;0,MIN(1-'Exercise list'!K$2,IF($A373=$A372,AQ372,1))-V373&lt;0),-1,MIN(1,IF($A373=$A372,AQ372,1)-V373+$D$2))</f>
        <v>1</v>
      </c>
      <c r="AR373" s="19">
        <f>IF(OR($J373=1,COUNTIFS($A$5:$A372,"&gt;="&amp;$A373-1,$A$5:$A372,"&lt;="&amp;$A373,$B$5:$B372,$B373)&gt;0,MIN(1-'Exercise list'!L$2,IF($A373=$A372,AR372,1))-W373&lt;0),-1,MIN(1,IF($A373=$A372,AR372,1)-W373+$D$2))</f>
        <v>1</v>
      </c>
      <c r="AS373" s="19">
        <f>IF(OR($J373=1,COUNTIFS($A$5:$A372,"&gt;="&amp;$A373-1,$A$5:$A372,"&lt;="&amp;$A373,$B$5:$B372,$B373)&gt;0,MIN(1-'Exercise list'!M$2,IF($A373=$A372,AS372,1))-X373&lt;0),-1,MIN(1,IF($A373=$A372,AS372,1)-X373+$D$2))</f>
        <v>1</v>
      </c>
      <c r="AT373" s="19">
        <f>IF(OR($J373=1,COUNTIFS($A$5:$A372,"&gt;="&amp;$A373-1,$A$5:$A372,"&lt;="&amp;$A373,$B$5:$B372,$B373)&gt;0,MIN(1-'Exercise list'!N$2,IF($A373=$A372,AT372,1))-Y373&lt;0),-1,MIN(1,IF($A373=$A372,AT372,1)-Y373+$D$2))</f>
        <v>1</v>
      </c>
      <c r="AU373" s="19">
        <f>IF(OR($J373=1,COUNTIFS($A$5:$A372,"&gt;="&amp;$A373-1,$A$5:$A372,"&lt;="&amp;$A373,$B$5:$B372,$B373)&gt;0,MIN(1-'Exercise list'!O$2,IF($A373=$A372,AU372,1))-Z373&lt;0),-1,MIN(1,IF($A373=$A372,AU372,1)-Z373+$D$2))</f>
        <v>1</v>
      </c>
      <c r="AV373" s="19">
        <f>IF(OR($J373=1,COUNTIFS($A$5:$A372,"&gt;="&amp;$A373-1,$A$5:$A372,"&lt;="&amp;$A373,$B$5:$B372,$B373)&gt;0,MIN(1-'Exercise list'!P$2,IF($A373=$A372,AV372,1))-AA373&lt;0),-1,MIN(1,IF($A373=$A372,AV372,1)-AA373+$D$2))</f>
        <v>1</v>
      </c>
      <c r="AW373" s="19">
        <f>IF(OR($J373=1,COUNTIFS($A$5:$A372,"&gt;="&amp;$A373-1,$A$5:$A372,"&lt;="&amp;$A373,$B$5:$B372,$B373)&gt;0,MIN(1-'Exercise list'!Q$2,IF($A373=$A372,AW372,1))-AB373&lt;0),-1,MIN(1,IF($A373=$A372,AW372,1)-AB373+$D$2))</f>
        <v>1</v>
      </c>
      <c r="AX373" s="19">
        <f>IF(OR($J373=1,COUNTIFS($A$5:$A372,"&gt;="&amp;$A373-1,$A$5:$A372,"&lt;="&amp;$A373,$B$5:$B372,$B373)&gt;0,MIN(1-'Exercise list'!R$2,IF($A373=$A372,AX372,1))-AC373&lt;0),-1,MIN(1,IF($A373=$A372,AX372,1)-AC373+$D$2))</f>
        <v>1</v>
      </c>
      <c r="AY373" s="19">
        <f>IF(OR($J373=1,COUNTIFS($A$5:$A372,"&gt;="&amp;$A373-1,$A$5:$A372,"&lt;="&amp;$A373,$B$5:$B372,$B373)&gt;0,MIN(1-'Exercise list'!S$2,IF($A373=$A372,AY372,1))-AD373&lt;0),-1,MIN(1,IF($A373=$A372,AY372,1)-AD373+$D$2))</f>
        <v>1</v>
      </c>
      <c r="AZ373" s="19">
        <f>IF(OR($J373=1,COUNTIFS($A$5:$A372,"&gt;="&amp;$A373-1,$A$5:$A372,"&lt;="&amp;$A373,$B$5:$B372,$B373)&gt;0,MIN(1-'Exercise list'!T$2,IF($A373=$A372,AZ372,1))-AE373&lt;0),-1,MIN(1,IF($A373=$A372,AZ372,1)-AE373+$D$2))</f>
        <v>1</v>
      </c>
      <c r="BA373" s="19">
        <f>IF(OR($J373=1,COUNTIFS($A$5:$A372,"&gt;="&amp;$A373-1,$A$5:$A372,"&lt;="&amp;$A373,$B$5:$B372,$B373)&gt;0,MIN(1-'Exercise list'!U$2,IF($A373=$A372,BA372,1))-AF373&lt;0),-1,MIN(1,IF($A373=$A372,BA372,1)-AF373+$D$2))</f>
        <v>1</v>
      </c>
      <c r="BB373" s="19">
        <f>IF(OR($J373=1,COUNTIFS($A$5:$A372,"&gt;="&amp;$A373-1,$A$5:$A372,"&lt;="&amp;$A373,$B$5:$B372,$B373)&gt;0,MIN(1-'Exercise list'!V$2,IF($A373=$A372,BB372,1))-AG373&lt;0),-1,MIN(1,IF($A373=$A372,BB372,1)-AG373+$D$2))</f>
        <v>1</v>
      </c>
      <c r="BC373" s="19">
        <f>IF(OR($J373=1,COUNTIFS($A$5:$A372,"&gt;="&amp;$A373-1,$A$5:$A372,"&lt;="&amp;$A373,$B$5:$B372,$B373)&gt;0,MIN(1-'Exercise list'!W$2,IF($A373=$A372,BC372,1))-AH373&lt;0),-1,MIN(1,IF($A373=$A372,BC372,1)-AH373+$D$2))</f>
        <v>1</v>
      </c>
      <c r="BD373" s="19">
        <f>IF(OR($J373=1,COUNTIFS($A$5:$A372,"&gt;="&amp;$A373-1,$A$5:$A372,"&lt;="&amp;$A373,$B$5:$B372,$B373)&gt;0,MIN(1-'Exercise list'!X$2,IF($A373=$A372,BD372,1))-AI373&lt;0),-1,MIN(1,IF($A373=$A372,BD372,1)-AI373+$D$2))</f>
        <v>1</v>
      </c>
      <c r="BE373" s="19"/>
      <c r="BF373" s="23">
        <f t="shared" si="277"/>
        <v>0.19596031081758858</v>
      </c>
      <c r="BG373" s="23">
        <f t="shared" si="278"/>
        <v>0.21844636935459236</v>
      </c>
      <c r="BH373" s="23">
        <f t="shared" si="279"/>
        <v>0.14609696635987124</v>
      </c>
      <c r="BI373" s="23">
        <f t="shared" si="280"/>
        <v>0.13198015366034541</v>
      </c>
      <c r="BJ373" s="23">
        <f t="shared" si="281"/>
        <v>8.3367914198418713E-2</v>
      </c>
      <c r="BK373" s="23">
        <f t="shared" si="282"/>
        <v>0.10640640223148412</v>
      </c>
      <c r="BL373" s="23">
        <f t="shared" si="283"/>
        <v>0.21963504743569431</v>
      </c>
      <c r="BM373" s="23">
        <f t="shared" si="284"/>
        <v>3.8988008374820568E-3</v>
      </c>
      <c r="BN373" s="23">
        <f t="shared" si="285"/>
        <v>0.14537706087090876</v>
      </c>
      <c r="BO373" s="23">
        <f t="shared" si="286"/>
        <v>0.29209790661993401</v>
      </c>
      <c r="BP373" s="23">
        <f t="shared" si="287"/>
        <v>0.31584545163401867</v>
      </c>
      <c r="BQ373" s="23">
        <f t="shared" si="288"/>
        <v>0.1000007994126096</v>
      </c>
      <c r="BR373" s="23">
        <f t="shared" si="289"/>
        <v>0.13164487759885393</v>
      </c>
      <c r="BS373" s="23">
        <f t="shared" si="290"/>
        <v>2.9803550189863123E-2</v>
      </c>
      <c r="BT373" s="23">
        <f t="shared" si="291"/>
        <v>0.13492040904978705</v>
      </c>
      <c r="BU373" s="23">
        <f t="shared" si="292"/>
        <v>0.11703687414398131</v>
      </c>
      <c r="BV373" s="23">
        <f t="shared" si="293"/>
        <v>0.14633353213781661</v>
      </c>
      <c r="BW373" s="23">
        <f t="shared" si="294"/>
        <v>7.5588015111767173E-2</v>
      </c>
      <c r="BX373" s="23">
        <f t="shared" si="295"/>
        <v>8.0345659937185704E-2</v>
      </c>
      <c r="BY373" s="23">
        <f t="shared" si="296"/>
        <v>5.9014643151272549E-2</v>
      </c>
      <c r="BZ373" s="19"/>
      <c r="CA373" s="23" t="str">
        <f t="shared" si="273"/>
        <v/>
      </c>
      <c r="CB373" s="23" t="str">
        <f t="shared" si="254"/>
        <v/>
      </c>
      <c r="CC373" s="23" t="str">
        <f t="shared" si="255"/>
        <v/>
      </c>
      <c r="CD373" s="23" t="str">
        <f t="shared" si="256"/>
        <v/>
      </c>
      <c r="CE373" s="23" t="str">
        <f t="shared" si="257"/>
        <v/>
      </c>
      <c r="CF373" s="23" t="str">
        <f t="shared" si="258"/>
        <v/>
      </c>
      <c r="CG373" s="23" t="str">
        <f t="shared" si="259"/>
        <v/>
      </c>
      <c r="CH373" s="23" t="str">
        <f t="shared" si="260"/>
        <v/>
      </c>
      <c r="CI373" s="23" t="str">
        <f t="shared" si="261"/>
        <v/>
      </c>
      <c r="CJ373" s="23" t="str">
        <f t="shared" si="262"/>
        <v/>
      </c>
      <c r="CK373" s="23" t="str">
        <f t="shared" si="263"/>
        <v/>
      </c>
      <c r="CL373" s="23" t="str">
        <f t="shared" si="264"/>
        <v/>
      </c>
      <c r="CM373" s="23" t="str">
        <f t="shared" si="265"/>
        <v/>
      </c>
      <c r="CN373" s="23" t="str">
        <f t="shared" si="266"/>
        <v/>
      </c>
      <c r="CO373" s="23" t="str">
        <f t="shared" si="267"/>
        <v/>
      </c>
      <c r="CP373" s="23" t="str">
        <f t="shared" si="268"/>
        <v/>
      </c>
      <c r="CQ373" s="23" t="str">
        <f t="shared" si="269"/>
        <v/>
      </c>
      <c r="CR373" s="23" t="str">
        <f t="shared" si="270"/>
        <v/>
      </c>
      <c r="CS373" s="23" t="str">
        <f t="shared" si="271"/>
        <v/>
      </c>
      <c r="CT373" s="23" t="str">
        <f t="shared" si="272"/>
        <v/>
      </c>
      <c r="CU373" s="19"/>
    </row>
    <row r="374" spans="1:99" x14ac:dyDescent="0.25">
      <c r="A374" s="13"/>
      <c r="B374" s="14"/>
      <c r="C374" s="15" t="str" cm="1">
        <f t="array" ref="C374">IF(B374="","",INDEX('Exercise list'!$C$5:$C$102,B374))</f>
        <v/>
      </c>
      <c r="D374" s="12" t="str">
        <f t="shared" si="274"/>
        <v/>
      </c>
      <c r="E374" s="107" t="str">
        <f t="shared" si="297"/>
        <v/>
      </c>
      <c r="F374" s="63" t="str" cm="1">
        <f t="array" ref="F374">IF(B374="","",0.1+IFERROR(INDEX($F$6:$F373,SUMPRODUCT(MAX(ROW($C$6:$C373)*($C374=$C$6:$C373))-ROW($A$5)))*0.9^($A374-INDEX($A$6:A373,SUMPRODUCT(MAX(ROW($C$6:$C373)*($C374=$C$6:$C373))-ROW($A$5)))),0))</f>
        <v/>
      </c>
      <c r="G374" s="64" t="e">
        <f>INDEX('Exercise list'!$Y$5:$Y$102,MATCH(C374,'Exercise list'!$C$5:$C$102,0))</f>
        <v>#N/A</v>
      </c>
      <c r="H374" s="115">
        <f t="shared" si="275"/>
        <v>0</v>
      </c>
      <c r="I374" s="42">
        <f t="shared" si="276"/>
        <v>5</v>
      </c>
      <c r="J374" s="6" t="str" cm="1">
        <f t="array" ref="J374">IF(B374="","",INDEX('Exercise list'!$D$5:$D$102,B374))</f>
        <v/>
      </c>
      <c r="K374" s="12"/>
      <c r="L374" s="74" t="str" cm="1">
        <f t="array" ref="L374">IF(K374="","",INDEX('Exercise list'!$C$5:$C$102,K374))</f>
        <v/>
      </c>
      <c r="M374" s="6"/>
      <c r="N374" s="75" t="str" cm="1">
        <f t="array" ref="N374">IF(M374="","",INDEX('Exercise list'!$C$5:$C$102,M374))</f>
        <v/>
      </c>
      <c r="P374">
        <f>IFERROR(INDEX('Exercise list'!$E$5:$X$102,MATCH($C374,'Exercise list'!$C$5:$C$102,0),MATCH(P$5,'Exercise list'!$E$4:$X$4,0)),0)</f>
        <v>0</v>
      </c>
      <c r="Q374">
        <f>IFERROR(INDEX('Exercise list'!$E$5:$X$102,MATCH($C374,'Exercise list'!$C$5:$C$102,0),MATCH(Q$5,'Exercise list'!$E$4:$X$4,0)),0)</f>
        <v>0</v>
      </c>
      <c r="R374">
        <f>IFERROR(INDEX('Exercise list'!$E$5:$X$102,MATCH($C374,'Exercise list'!$C$5:$C$102,0),MATCH(R$5,'Exercise list'!$E$4:$X$4,0)),0)</f>
        <v>0</v>
      </c>
      <c r="S374">
        <f>IFERROR(INDEX('Exercise list'!$E$5:$X$102,MATCH($C374,'Exercise list'!$C$5:$C$102,0),MATCH(S$5,'Exercise list'!$E$4:$X$4,0)),0)</f>
        <v>0</v>
      </c>
      <c r="T374">
        <f>IFERROR(INDEX('Exercise list'!$E$5:$X$102,MATCH($C374,'Exercise list'!$C$5:$C$102,0),MATCH(T$5,'Exercise list'!$E$4:$X$4,0)),0)</f>
        <v>0</v>
      </c>
      <c r="U374">
        <f>IFERROR(INDEX('Exercise list'!$E$5:$X$102,MATCH($C374,'Exercise list'!$C$5:$C$102,0),MATCH(U$5,'Exercise list'!$E$4:$X$4,0)),0)</f>
        <v>0</v>
      </c>
      <c r="V374">
        <f>IFERROR(INDEX('Exercise list'!$E$5:$X$102,MATCH($C374,'Exercise list'!$C$5:$C$102,0),MATCH(V$5,'Exercise list'!$E$4:$X$4,0)),0)</f>
        <v>0</v>
      </c>
      <c r="W374">
        <f>IFERROR(INDEX('Exercise list'!$E$5:$X$102,MATCH($C374,'Exercise list'!$C$5:$C$102,0),MATCH(W$5,'Exercise list'!$E$4:$X$4,0)),0)</f>
        <v>0</v>
      </c>
      <c r="X374">
        <f>IFERROR(INDEX('Exercise list'!$E$5:$X$102,MATCH($C374,'Exercise list'!$C$5:$C$102,0),MATCH(X$5,'Exercise list'!$E$4:$X$4,0)),0)</f>
        <v>0</v>
      </c>
      <c r="Y374">
        <f>IFERROR(INDEX('Exercise list'!$E$5:$X$102,MATCH($C374,'Exercise list'!$C$5:$C$102,0),MATCH(Y$5,'Exercise list'!$E$4:$X$4,0)),0)</f>
        <v>0</v>
      </c>
      <c r="Z374">
        <f>IFERROR(INDEX('Exercise list'!$E$5:$X$102,MATCH($C374,'Exercise list'!$C$5:$C$102,0),MATCH(Z$5,'Exercise list'!$E$4:$X$4,0)),0)</f>
        <v>0</v>
      </c>
      <c r="AA374">
        <f>IFERROR(INDEX('Exercise list'!$E$5:$X$102,MATCH($C374,'Exercise list'!$C$5:$C$102,0),MATCH(AA$5,'Exercise list'!$E$4:$X$4,0)),0)</f>
        <v>0</v>
      </c>
      <c r="AB374">
        <f>IFERROR(INDEX('Exercise list'!$E$5:$X$102,MATCH($C374,'Exercise list'!$C$5:$C$102,0),MATCH(AB$5,'Exercise list'!$E$4:$X$4,0)),0)</f>
        <v>0</v>
      </c>
      <c r="AC374">
        <f>IFERROR(INDEX('Exercise list'!$E$5:$X$102,MATCH($C374,'Exercise list'!$C$5:$C$102,0),MATCH(AC$5,'Exercise list'!$E$4:$X$4,0)),0)</f>
        <v>0</v>
      </c>
      <c r="AD374">
        <f>IFERROR(INDEX('Exercise list'!$E$5:$X$102,MATCH($C374,'Exercise list'!$C$5:$C$102,0),MATCH(AD$5,'Exercise list'!$E$4:$X$4,0)),0)</f>
        <v>0</v>
      </c>
      <c r="AE374">
        <f>IFERROR(INDEX('Exercise list'!$E$5:$X$102,MATCH($C374,'Exercise list'!$C$5:$C$102,0),MATCH(AE$5,'Exercise list'!$E$4:$X$4,0)),0)</f>
        <v>0</v>
      </c>
      <c r="AF374">
        <f>IFERROR(INDEX('Exercise list'!$E$5:$X$102,MATCH($C374,'Exercise list'!$C$5:$C$102,0),MATCH(AF$5,'Exercise list'!$E$4:$X$4,0)),0)</f>
        <v>0</v>
      </c>
      <c r="AG374">
        <f>IFERROR(INDEX('Exercise list'!$E$5:$X$102,MATCH($C374,'Exercise list'!$C$5:$C$102,0),MATCH(AG$5,'Exercise list'!$E$4:$X$4,0)),0)</f>
        <v>0</v>
      </c>
      <c r="AH374">
        <f>IFERROR(INDEX('Exercise list'!$E$5:$X$102,MATCH($C374,'Exercise list'!$C$5:$C$102,0),MATCH(AH$5,'Exercise list'!$E$4:$X$4,0)),0)</f>
        <v>0</v>
      </c>
      <c r="AI374">
        <f>IFERROR(INDEX('Exercise list'!$E$5:$X$102,MATCH($C374,'Exercise list'!$C$5:$C$102,0),MATCH(AI$5,'Exercise list'!$E$4:$X$4,0)),0)</f>
        <v>0</v>
      </c>
      <c r="AK374">
        <f>IF(OR($J374=1,COUNTIFS($A$5:$A373,"&gt;="&amp;$A374-1,$A$5:$A373,"&lt;="&amp;$A374,$B$5:$B373,$B374)&gt;0,MIN(1-'Exercise list'!E$2,IF($A374=$A373,AK373,1))-P374&lt;0),-1,MIN(1,IF($A374=$A373,AK373,1)-P374+$D$2))</f>
        <v>1</v>
      </c>
      <c r="AL374">
        <f>IF(OR($J374=1,COUNTIFS($A$5:$A373,"&gt;="&amp;$A374-1,$A$5:$A373,"&lt;="&amp;$A374,$B$5:$B373,$B374)&gt;0,MIN(1-'Exercise list'!F$2,IF($A374=$A373,AL373,1))-Q374&lt;0),-1,MIN(1,IF($A374=$A373,AL373,1)-Q374+$D$2))</f>
        <v>1</v>
      </c>
      <c r="AM374">
        <f>IF(OR($J374=1,COUNTIFS($A$5:$A373,"&gt;="&amp;$A374-1,$A$5:$A373,"&lt;="&amp;$A374,$B$5:$B373,$B374)&gt;0,MIN(1-'Exercise list'!G$2,IF($A374=$A373,AM373,1))-R374&lt;0),-1,MIN(1,IF($A374=$A373,AM373,1)-R374+$D$2))</f>
        <v>1</v>
      </c>
      <c r="AN374">
        <f>IF(OR($J374=1,COUNTIFS($A$5:$A373,"&gt;="&amp;$A374-1,$A$5:$A373,"&lt;="&amp;$A374,$B$5:$B373,$B374)&gt;0,MIN(1-'Exercise list'!H$2,IF($A374=$A373,AN373,1))-S374&lt;0),-1,MIN(1,IF($A374=$A373,AN373,1)-S374+$D$2))</f>
        <v>1</v>
      </c>
      <c r="AO374">
        <f>IF(OR($J374=1,COUNTIFS($A$5:$A373,"&gt;="&amp;$A374-1,$A$5:$A373,"&lt;="&amp;$A374,$B$5:$B373,$B374)&gt;0,MIN(1-'Exercise list'!I$2,IF($A374=$A373,AO373,1))-T374&lt;0),-1,MIN(1,IF($A374=$A373,AO373,1)-T374+$D$2))</f>
        <v>1</v>
      </c>
      <c r="AP374">
        <f>IF(OR($J374=1,COUNTIFS($A$5:$A373,"&gt;="&amp;$A374-1,$A$5:$A373,"&lt;="&amp;$A374,$B$5:$B373,$B374)&gt;0,MIN(1-'Exercise list'!J$2,IF($A374=$A373,AP373,1))-U374&lt;0),-1,MIN(1,IF($A374=$A373,AP373,1)-U374+$D$2))</f>
        <v>1</v>
      </c>
      <c r="AQ374">
        <f>IF(OR($J374=1,COUNTIFS($A$5:$A373,"&gt;="&amp;$A374-1,$A$5:$A373,"&lt;="&amp;$A374,$B$5:$B373,$B374)&gt;0,MIN(1-'Exercise list'!K$2,IF($A374=$A373,AQ373,1))-V374&lt;0),-1,MIN(1,IF($A374=$A373,AQ373,1)-V374+$D$2))</f>
        <v>1</v>
      </c>
      <c r="AR374">
        <f>IF(OR($J374=1,COUNTIFS($A$5:$A373,"&gt;="&amp;$A374-1,$A$5:$A373,"&lt;="&amp;$A374,$B$5:$B373,$B374)&gt;0,MIN(1-'Exercise list'!L$2,IF($A374=$A373,AR373,1))-W374&lt;0),-1,MIN(1,IF($A374=$A373,AR373,1)-W374+$D$2))</f>
        <v>1</v>
      </c>
      <c r="AS374">
        <f>IF(OR($J374=1,COUNTIFS($A$5:$A373,"&gt;="&amp;$A374-1,$A$5:$A373,"&lt;="&amp;$A374,$B$5:$B373,$B374)&gt;0,MIN(1-'Exercise list'!M$2,IF($A374=$A373,AS373,1))-X374&lt;0),-1,MIN(1,IF($A374=$A373,AS373,1)-X374+$D$2))</f>
        <v>1</v>
      </c>
      <c r="AT374">
        <f>IF(OR($J374=1,COUNTIFS($A$5:$A373,"&gt;="&amp;$A374-1,$A$5:$A373,"&lt;="&amp;$A374,$B$5:$B373,$B374)&gt;0,MIN(1-'Exercise list'!N$2,IF($A374=$A373,AT373,1))-Y374&lt;0),-1,MIN(1,IF($A374=$A373,AT373,1)-Y374+$D$2))</f>
        <v>1</v>
      </c>
      <c r="AU374">
        <f>IF(OR($J374=1,COUNTIFS($A$5:$A373,"&gt;="&amp;$A374-1,$A$5:$A373,"&lt;="&amp;$A374,$B$5:$B373,$B374)&gt;0,MIN(1-'Exercise list'!O$2,IF($A374=$A373,AU373,1))-Z374&lt;0),-1,MIN(1,IF($A374=$A373,AU373,1)-Z374+$D$2))</f>
        <v>1</v>
      </c>
      <c r="AV374">
        <f>IF(OR($J374=1,COUNTIFS($A$5:$A373,"&gt;="&amp;$A374-1,$A$5:$A373,"&lt;="&amp;$A374,$B$5:$B373,$B374)&gt;0,MIN(1-'Exercise list'!P$2,IF($A374=$A373,AV373,1))-AA374&lt;0),-1,MIN(1,IF($A374=$A373,AV373,1)-AA374+$D$2))</f>
        <v>1</v>
      </c>
      <c r="AW374">
        <f>IF(OR($J374=1,COUNTIFS($A$5:$A373,"&gt;="&amp;$A374-1,$A$5:$A373,"&lt;="&amp;$A374,$B$5:$B373,$B374)&gt;0,MIN(1-'Exercise list'!Q$2,IF($A374=$A373,AW373,1))-AB374&lt;0),-1,MIN(1,IF($A374=$A373,AW373,1)-AB374+$D$2))</f>
        <v>1</v>
      </c>
      <c r="AX374">
        <f>IF(OR($J374=1,COUNTIFS($A$5:$A373,"&gt;="&amp;$A374-1,$A$5:$A373,"&lt;="&amp;$A374,$B$5:$B373,$B374)&gt;0,MIN(1-'Exercise list'!R$2,IF($A374=$A373,AX373,1))-AC374&lt;0),-1,MIN(1,IF($A374=$A373,AX373,1)-AC374+$D$2))</f>
        <v>1</v>
      </c>
      <c r="AY374">
        <f>IF(OR($J374=1,COUNTIFS($A$5:$A373,"&gt;="&amp;$A374-1,$A$5:$A373,"&lt;="&amp;$A374,$B$5:$B373,$B374)&gt;0,MIN(1-'Exercise list'!S$2,IF($A374=$A373,AY373,1))-AD374&lt;0),-1,MIN(1,IF($A374=$A373,AY373,1)-AD374+$D$2))</f>
        <v>1</v>
      </c>
      <c r="AZ374">
        <f>IF(OR($J374=1,COUNTIFS($A$5:$A373,"&gt;="&amp;$A374-1,$A$5:$A373,"&lt;="&amp;$A374,$B$5:$B373,$B374)&gt;0,MIN(1-'Exercise list'!T$2,IF($A374=$A373,AZ373,1))-AE374&lt;0),-1,MIN(1,IF($A374=$A373,AZ373,1)-AE374+$D$2))</f>
        <v>1</v>
      </c>
      <c r="BA374">
        <f>IF(OR($J374=1,COUNTIFS($A$5:$A373,"&gt;="&amp;$A374-1,$A$5:$A373,"&lt;="&amp;$A374,$B$5:$B373,$B374)&gt;0,MIN(1-'Exercise list'!U$2,IF($A374=$A373,BA373,1))-AF374&lt;0),-1,MIN(1,IF($A374=$A373,BA373,1)-AF374+$D$2))</f>
        <v>1</v>
      </c>
      <c r="BB374">
        <f>IF(OR($J374=1,COUNTIFS($A$5:$A373,"&gt;="&amp;$A374-1,$A$5:$A373,"&lt;="&amp;$A374,$B$5:$B373,$B374)&gt;0,MIN(1-'Exercise list'!V$2,IF($A374=$A373,BB373,1))-AG374&lt;0),-1,MIN(1,IF($A374=$A373,BB373,1)-AG374+$D$2))</f>
        <v>1</v>
      </c>
      <c r="BC374">
        <f>IF(OR($J374=1,COUNTIFS($A$5:$A373,"&gt;="&amp;$A374-1,$A$5:$A373,"&lt;="&amp;$A374,$B$5:$B373,$B374)&gt;0,MIN(1-'Exercise list'!W$2,IF($A374=$A373,BC373,1))-AH374&lt;0),-1,MIN(1,IF($A374=$A373,BC373,1)-AH374+$D$2))</f>
        <v>1</v>
      </c>
      <c r="BD374">
        <f>IF(OR($J374=1,COUNTIFS($A$5:$A373,"&gt;="&amp;$A374-1,$A$5:$A373,"&lt;="&amp;$A374,$B$5:$B373,$B374)&gt;0,MIN(1-'Exercise list'!X$2,IF($A374=$A373,BD373,1))-AI374&lt;0),-1,MIN(1,IF($A374=$A373,BD373,1)-AI374+$D$2))</f>
        <v>1</v>
      </c>
      <c r="BF374" s="16">
        <f t="shared" si="277"/>
        <v>0.19596031081758858</v>
      </c>
      <c r="BG374" s="16">
        <f t="shared" si="278"/>
        <v>0.21844636935459236</v>
      </c>
      <c r="BH374" s="16">
        <f t="shared" si="279"/>
        <v>0.14609696635987124</v>
      </c>
      <c r="BI374" s="16">
        <f t="shared" si="280"/>
        <v>0.13198015366034541</v>
      </c>
      <c r="BJ374" s="16">
        <f t="shared" si="281"/>
        <v>8.3367914198418713E-2</v>
      </c>
      <c r="BK374" s="16">
        <f t="shared" si="282"/>
        <v>0.10640640223148412</v>
      </c>
      <c r="BL374" s="16">
        <f t="shared" si="283"/>
        <v>0.21963504743569431</v>
      </c>
      <c r="BM374" s="16">
        <f t="shared" si="284"/>
        <v>3.8988008374820568E-3</v>
      </c>
      <c r="BN374" s="16">
        <f t="shared" si="285"/>
        <v>0.14537706087090876</v>
      </c>
      <c r="BO374" s="16">
        <f t="shared" si="286"/>
        <v>0.29209790661993401</v>
      </c>
      <c r="BP374" s="16">
        <f t="shared" si="287"/>
        <v>0.31584545163401867</v>
      </c>
      <c r="BQ374" s="16">
        <f t="shared" si="288"/>
        <v>0.1000007994126096</v>
      </c>
      <c r="BR374" s="16">
        <f t="shared" si="289"/>
        <v>0.13164487759885393</v>
      </c>
      <c r="BS374" s="16">
        <f t="shared" si="290"/>
        <v>2.9803550189863123E-2</v>
      </c>
      <c r="BT374" s="16">
        <f t="shared" si="291"/>
        <v>0.13492040904978705</v>
      </c>
      <c r="BU374" s="16">
        <f t="shared" si="292"/>
        <v>0.11703687414398131</v>
      </c>
      <c r="BV374" s="16">
        <f t="shared" si="293"/>
        <v>0.14633353213781661</v>
      </c>
      <c r="BW374" s="16">
        <f t="shared" si="294"/>
        <v>7.5588015111767173E-2</v>
      </c>
      <c r="BX374" s="16">
        <f t="shared" si="295"/>
        <v>8.0345659937185704E-2</v>
      </c>
      <c r="BY374" s="16">
        <f t="shared" si="296"/>
        <v>5.9014643151272549E-2</v>
      </c>
      <c r="CA374" s="16" t="str">
        <f t="shared" si="273"/>
        <v/>
      </c>
      <c r="CB374" s="16" t="str">
        <f t="shared" si="254"/>
        <v/>
      </c>
      <c r="CC374" s="16" t="str">
        <f t="shared" si="255"/>
        <v/>
      </c>
      <c r="CD374" s="16" t="str">
        <f t="shared" si="256"/>
        <v/>
      </c>
      <c r="CE374" s="16" t="str">
        <f t="shared" si="257"/>
        <v/>
      </c>
      <c r="CF374" s="16" t="str">
        <f t="shared" si="258"/>
        <v/>
      </c>
      <c r="CG374" s="16" t="str">
        <f t="shared" si="259"/>
        <v/>
      </c>
      <c r="CH374" s="16" t="str">
        <f t="shared" si="260"/>
        <v/>
      </c>
      <c r="CI374" s="16" t="str">
        <f t="shared" si="261"/>
        <v/>
      </c>
      <c r="CJ374" s="16" t="str">
        <f t="shared" si="262"/>
        <v/>
      </c>
      <c r="CK374" s="16" t="str">
        <f t="shared" si="263"/>
        <v/>
      </c>
      <c r="CL374" s="16" t="str">
        <f t="shared" si="264"/>
        <v/>
      </c>
      <c r="CM374" s="16" t="str">
        <f t="shared" si="265"/>
        <v/>
      </c>
      <c r="CN374" s="16" t="str">
        <f t="shared" si="266"/>
        <v/>
      </c>
      <c r="CO374" s="16" t="str">
        <f t="shared" si="267"/>
        <v/>
      </c>
      <c r="CP374" s="16" t="str">
        <f t="shared" si="268"/>
        <v/>
      </c>
      <c r="CQ374" s="16" t="str">
        <f t="shared" si="269"/>
        <v/>
      </c>
      <c r="CR374" s="16" t="str">
        <f t="shared" si="270"/>
        <v/>
      </c>
      <c r="CS374" s="16" t="str">
        <f t="shared" si="271"/>
        <v/>
      </c>
      <c r="CT374" s="16" t="str">
        <f t="shared" si="272"/>
        <v/>
      </c>
    </row>
    <row r="375" spans="1:99" x14ac:dyDescent="0.25">
      <c r="A375" s="13"/>
      <c r="B375" s="14"/>
      <c r="C375" s="15" t="str" cm="1">
        <f t="array" ref="C375">IF(B375="","",INDEX('Exercise list'!$C$5:$C$102,B375))</f>
        <v/>
      </c>
      <c r="D375" s="12" t="str">
        <f t="shared" si="274"/>
        <v/>
      </c>
      <c r="E375" s="107" t="str">
        <f t="shared" si="297"/>
        <v/>
      </c>
      <c r="F375" s="63" t="str" cm="1">
        <f t="array" ref="F375">IF(B375="","",0.1+IFERROR(INDEX($F$6:$F374,SUMPRODUCT(MAX(ROW($C$6:$C374)*($C375=$C$6:$C374))-ROW($A$5)))*0.9^($A375-INDEX($A$6:A374,SUMPRODUCT(MAX(ROW($C$6:$C374)*($C375=$C$6:$C374))-ROW($A$5)))),0))</f>
        <v/>
      </c>
      <c r="G375" s="64" t="e">
        <f>INDEX('Exercise list'!$Y$5:$Y$102,MATCH(C375,'Exercise list'!$C$5:$C$102,0))</f>
        <v>#N/A</v>
      </c>
      <c r="H375" s="115">
        <f t="shared" si="275"/>
        <v>0</v>
      </c>
      <c r="I375" s="6">
        <f t="shared" si="276"/>
        <v>5</v>
      </c>
      <c r="J375" s="6" t="str" cm="1">
        <f t="array" ref="J375">IF(B375="","",INDEX('Exercise list'!$D$5:$D$102,B375))</f>
        <v/>
      </c>
      <c r="K375" s="12"/>
      <c r="L375" s="74" t="str" cm="1">
        <f t="array" ref="L375">IF(K375="","",INDEX('Exercise list'!$C$5:$C$102,K375))</f>
        <v/>
      </c>
      <c r="M375" s="6"/>
      <c r="N375" s="75" t="str" cm="1">
        <f t="array" ref="N375">IF(M375="","",INDEX('Exercise list'!$C$5:$C$102,M375))</f>
        <v/>
      </c>
      <c r="P375">
        <f>IFERROR(INDEX('Exercise list'!$E$5:$X$102,MATCH($C375,'Exercise list'!$C$5:$C$102,0),MATCH(P$5,'Exercise list'!$E$4:$X$4,0)),0)</f>
        <v>0</v>
      </c>
      <c r="Q375">
        <f>IFERROR(INDEX('Exercise list'!$E$5:$X$102,MATCH($C375,'Exercise list'!$C$5:$C$102,0),MATCH(Q$5,'Exercise list'!$E$4:$X$4,0)),0)</f>
        <v>0</v>
      </c>
      <c r="R375">
        <f>IFERROR(INDEX('Exercise list'!$E$5:$X$102,MATCH($C375,'Exercise list'!$C$5:$C$102,0),MATCH(R$5,'Exercise list'!$E$4:$X$4,0)),0)</f>
        <v>0</v>
      </c>
      <c r="S375">
        <f>IFERROR(INDEX('Exercise list'!$E$5:$X$102,MATCH($C375,'Exercise list'!$C$5:$C$102,0),MATCH(S$5,'Exercise list'!$E$4:$X$4,0)),0)</f>
        <v>0</v>
      </c>
      <c r="T375">
        <f>IFERROR(INDEX('Exercise list'!$E$5:$X$102,MATCH($C375,'Exercise list'!$C$5:$C$102,0),MATCH(T$5,'Exercise list'!$E$4:$X$4,0)),0)</f>
        <v>0</v>
      </c>
      <c r="U375">
        <f>IFERROR(INDEX('Exercise list'!$E$5:$X$102,MATCH($C375,'Exercise list'!$C$5:$C$102,0),MATCH(U$5,'Exercise list'!$E$4:$X$4,0)),0)</f>
        <v>0</v>
      </c>
      <c r="V375">
        <f>IFERROR(INDEX('Exercise list'!$E$5:$X$102,MATCH($C375,'Exercise list'!$C$5:$C$102,0),MATCH(V$5,'Exercise list'!$E$4:$X$4,0)),0)</f>
        <v>0</v>
      </c>
      <c r="W375">
        <f>IFERROR(INDEX('Exercise list'!$E$5:$X$102,MATCH($C375,'Exercise list'!$C$5:$C$102,0),MATCH(W$5,'Exercise list'!$E$4:$X$4,0)),0)</f>
        <v>0</v>
      </c>
      <c r="X375">
        <f>IFERROR(INDEX('Exercise list'!$E$5:$X$102,MATCH($C375,'Exercise list'!$C$5:$C$102,0),MATCH(X$5,'Exercise list'!$E$4:$X$4,0)),0)</f>
        <v>0</v>
      </c>
      <c r="Y375">
        <f>IFERROR(INDEX('Exercise list'!$E$5:$X$102,MATCH($C375,'Exercise list'!$C$5:$C$102,0),MATCH(Y$5,'Exercise list'!$E$4:$X$4,0)),0)</f>
        <v>0</v>
      </c>
      <c r="Z375">
        <f>IFERROR(INDEX('Exercise list'!$E$5:$X$102,MATCH($C375,'Exercise list'!$C$5:$C$102,0),MATCH(Z$5,'Exercise list'!$E$4:$X$4,0)),0)</f>
        <v>0</v>
      </c>
      <c r="AA375">
        <f>IFERROR(INDEX('Exercise list'!$E$5:$X$102,MATCH($C375,'Exercise list'!$C$5:$C$102,0),MATCH(AA$5,'Exercise list'!$E$4:$X$4,0)),0)</f>
        <v>0</v>
      </c>
      <c r="AB375">
        <f>IFERROR(INDEX('Exercise list'!$E$5:$X$102,MATCH($C375,'Exercise list'!$C$5:$C$102,0),MATCH(AB$5,'Exercise list'!$E$4:$X$4,0)),0)</f>
        <v>0</v>
      </c>
      <c r="AC375">
        <f>IFERROR(INDEX('Exercise list'!$E$5:$X$102,MATCH($C375,'Exercise list'!$C$5:$C$102,0),MATCH(AC$5,'Exercise list'!$E$4:$X$4,0)),0)</f>
        <v>0</v>
      </c>
      <c r="AD375">
        <f>IFERROR(INDEX('Exercise list'!$E$5:$X$102,MATCH($C375,'Exercise list'!$C$5:$C$102,0),MATCH(AD$5,'Exercise list'!$E$4:$X$4,0)),0)</f>
        <v>0</v>
      </c>
      <c r="AE375">
        <f>IFERROR(INDEX('Exercise list'!$E$5:$X$102,MATCH($C375,'Exercise list'!$C$5:$C$102,0),MATCH(AE$5,'Exercise list'!$E$4:$X$4,0)),0)</f>
        <v>0</v>
      </c>
      <c r="AF375">
        <f>IFERROR(INDEX('Exercise list'!$E$5:$X$102,MATCH($C375,'Exercise list'!$C$5:$C$102,0),MATCH(AF$5,'Exercise list'!$E$4:$X$4,0)),0)</f>
        <v>0</v>
      </c>
      <c r="AG375">
        <f>IFERROR(INDEX('Exercise list'!$E$5:$X$102,MATCH($C375,'Exercise list'!$C$5:$C$102,0),MATCH(AG$5,'Exercise list'!$E$4:$X$4,0)),0)</f>
        <v>0</v>
      </c>
      <c r="AH375">
        <f>IFERROR(INDEX('Exercise list'!$E$5:$X$102,MATCH($C375,'Exercise list'!$C$5:$C$102,0),MATCH(AH$5,'Exercise list'!$E$4:$X$4,0)),0)</f>
        <v>0</v>
      </c>
      <c r="AI375">
        <f>IFERROR(INDEX('Exercise list'!$E$5:$X$102,MATCH($C375,'Exercise list'!$C$5:$C$102,0),MATCH(AI$5,'Exercise list'!$E$4:$X$4,0)),0)</f>
        <v>0</v>
      </c>
      <c r="AK375">
        <f>IF(OR($J375=1,COUNTIFS($A$5:$A374,"&gt;="&amp;$A375-1,$A$5:$A374,"&lt;="&amp;$A375,$B$5:$B374,$B375)&gt;0,MIN(1-'Exercise list'!E$2,IF($A375=$A374,AK374,1))-P375&lt;0),-1,MIN(1,IF($A375=$A374,AK374,1)-P375+$D$2))</f>
        <v>1</v>
      </c>
      <c r="AL375">
        <f>IF(OR($J375=1,COUNTIFS($A$5:$A374,"&gt;="&amp;$A375-1,$A$5:$A374,"&lt;="&amp;$A375,$B$5:$B374,$B375)&gt;0,MIN(1-'Exercise list'!F$2,IF($A375=$A374,AL374,1))-Q375&lt;0),-1,MIN(1,IF($A375=$A374,AL374,1)-Q375+$D$2))</f>
        <v>1</v>
      </c>
      <c r="AM375">
        <f>IF(OR($J375=1,COUNTIFS($A$5:$A374,"&gt;="&amp;$A375-1,$A$5:$A374,"&lt;="&amp;$A375,$B$5:$B374,$B375)&gt;0,MIN(1-'Exercise list'!G$2,IF($A375=$A374,AM374,1))-R375&lt;0),-1,MIN(1,IF($A375=$A374,AM374,1)-R375+$D$2))</f>
        <v>1</v>
      </c>
      <c r="AN375">
        <f>IF(OR($J375=1,COUNTIFS($A$5:$A374,"&gt;="&amp;$A375-1,$A$5:$A374,"&lt;="&amp;$A375,$B$5:$B374,$B375)&gt;0,MIN(1-'Exercise list'!H$2,IF($A375=$A374,AN374,1))-S375&lt;0),-1,MIN(1,IF($A375=$A374,AN374,1)-S375+$D$2))</f>
        <v>1</v>
      </c>
      <c r="AO375">
        <f>IF(OR($J375=1,COUNTIFS($A$5:$A374,"&gt;="&amp;$A375-1,$A$5:$A374,"&lt;="&amp;$A375,$B$5:$B374,$B375)&gt;0,MIN(1-'Exercise list'!I$2,IF($A375=$A374,AO374,1))-T375&lt;0),-1,MIN(1,IF($A375=$A374,AO374,1)-T375+$D$2))</f>
        <v>1</v>
      </c>
      <c r="AP375">
        <f>IF(OR($J375=1,COUNTIFS($A$5:$A374,"&gt;="&amp;$A375-1,$A$5:$A374,"&lt;="&amp;$A375,$B$5:$B374,$B375)&gt;0,MIN(1-'Exercise list'!J$2,IF($A375=$A374,AP374,1))-U375&lt;0),-1,MIN(1,IF($A375=$A374,AP374,1)-U375+$D$2))</f>
        <v>1</v>
      </c>
      <c r="AQ375">
        <f>IF(OR($J375=1,COUNTIFS($A$5:$A374,"&gt;="&amp;$A375-1,$A$5:$A374,"&lt;="&amp;$A375,$B$5:$B374,$B375)&gt;0,MIN(1-'Exercise list'!K$2,IF($A375=$A374,AQ374,1))-V375&lt;0),-1,MIN(1,IF($A375=$A374,AQ374,1)-V375+$D$2))</f>
        <v>1</v>
      </c>
      <c r="AR375">
        <f>IF(OR($J375=1,COUNTIFS($A$5:$A374,"&gt;="&amp;$A375-1,$A$5:$A374,"&lt;="&amp;$A375,$B$5:$B374,$B375)&gt;0,MIN(1-'Exercise list'!L$2,IF($A375=$A374,AR374,1))-W375&lt;0),-1,MIN(1,IF($A375=$A374,AR374,1)-W375+$D$2))</f>
        <v>1</v>
      </c>
      <c r="AS375">
        <f>IF(OR($J375=1,COUNTIFS($A$5:$A374,"&gt;="&amp;$A375-1,$A$5:$A374,"&lt;="&amp;$A375,$B$5:$B374,$B375)&gt;0,MIN(1-'Exercise list'!M$2,IF($A375=$A374,AS374,1))-X375&lt;0),-1,MIN(1,IF($A375=$A374,AS374,1)-X375+$D$2))</f>
        <v>1</v>
      </c>
      <c r="AT375">
        <f>IF(OR($J375=1,COUNTIFS($A$5:$A374,"&gt;="&amp;$A375-1,$A$5:$A374,"&lt;="&amp;$A375,$B$5:$B374,$B375)&gt;0,MIN(1-'Exercise list'!N$2,IF($A375=$A374,AT374,1))-Y375&lt;0),-1,MIN(1,IF($A375=$A374,AT374,1)-Y375+$D$2))</f>
        <v>1</v>
      </c>
      <c r="AU375">
        <f>IF(OR($J375=1,COUNTIFS($A$5:$A374,"&gt;="&amp;$A375-1,$A$5:$A374,"&lt;="&amp;$A375,$B$5:$B374,$B375)&gt;0,MIN(1-'Exercise list'!O$2,IF($A375=$A374,AU374,1))-Z375&lt;0),-1,MIN(1,IF($A375=$A374,AU374,1)-Z375+$D$2))</f>
        <v>1</v>
      </c>
      <c r="AV375">
        <f>IF(OR($J375=1,COUNTIFS($A$5:$A374,"&gt;="&amp;$A375-1,$A$5:$A374,"&lt;="&amp;$A375,$B$5:$B374,$B375)&gt;0,MIN(1-'Exercise list'!P$2,IF($A375=$A374,AV374,1))-AA375&lt;0),-1,MIN(1,IF($A375=$A374,AV374,1)-AA375+$D$2))</f>
        <v>1</v>
      </c>
      <c r="AW375">
        <f>IF(OR($J375=1,COUNTIFS($A$5:$A374,"&gt;="&amp;$A375-1,$A$5:$A374,"&lt;="&amp;$A375,$B$5:$B374,$B375)&gt;0,MIN(1-'Exercise list'!Q$2,IF($A375=$A374,AW374,1))-AB375&lt;0),-1,MIN(1,IF($A375=$A374,AW374,1)-AB375+$D$2))</f>
        <v>1</v>
      </c>
      <c r="AX375">
        <f>IF(OR($J375=1,COUNTIFS($A$5:$A374,"&gt;="&amp;$A375-1,$A$5:$A374,"&lt;="&amp;$A375,$B$5:$B374,$B375)&gt;0,MIN(1-'Exercise list'!R$2,IF($A375=$A374,AX374,1))-AC375&lt;0),-1,MIN(1,IF($A375=$A374,AX374,1)-AC375+$D$2))</f>
        <v>1</v>
      </c>
      <c r="AY375">
        <f>IF(OR($J375=1,COUNTIFS($A$5:$A374,"&gt;="&amp;$A375-1,$A$5:$A374,"&lt;="&amp;$A375,$B$5:$B374,$B375)&gt;0,MIN(1-'Exercise list'!S$2,IF($A375=$A374,AY374,1))-AD375&lt;0),-1,MIN(1,IF($A375=$A374,AY374,1)-AD375+$D$2))</f>
        <v>1</v>
      </c>
      <c r="AZ375">
        <f>IF(OR($J375=1,COUNTIFS($A$5:$A374,"&gt;="&amp;$A375-1,$A$5:$A374,"&lt;="&amp;$A375,$B$5:$B374,$B375)&gt;0,MIN(1-'Exercise list'!T$2,IF($A375=$A374,AZ374,1))-AE375&lt;0),-1,MIN(1,IF($A375=$A374,AZ374,1)-AE375+$D$2))</f>
        <v>1</v>
      </c>
      <c r="BA375">
        <f>IF(OR($J375=1,COUNTIFS($A$5:$A374,"&gt;="&amp;$A375-1,$A$5:$A374,"&lt;="&amp;$A375,$B$5:$B374,$B375)&gt;0,MIN(1-'Exercise list'!U$2,IF($A375=$A374,BA374,1))-AF375&lt;0),-1,MIN(1,IF($A375=$A374,BA374,1)-AF375+$D$2))</f>
        <v>1</v>
      </c>
      <c r="BB375">
        <f>IF(OR($J375=1,COUNTIFS($A$5:$A374,"&gt;="&amp;$A375-1,$A$5:$A374,"&lt;="&amp;$A375,$B$5:$B374,$B375)&gt;0,MIN(1-'Exercise list'!V$2,IF($A375=$A374,BB374,1))-AG375&lt;0),-1,MIN(1,IF($A375=$A374,BB374,1)-AG375+$D$2))</f>
        <v>1</v>
      </c>
      <c r="BC375">
        <f>IF(OR($J375=1,COUNTIFS($A$5:$A374,"&gt;="&amp;$A375-1,$A$5:$A374,"&lt;="&amp;$A375,$B$5:$B374,$B375)&gt;0,MIN(1-'Exercise list'!W$2,IF($A375=$A374,BC374,1))-AH375&lt;0),-1,MIN(1,IF($A375=$A374,BC374,1)-AH375+$D$2))</f>
        <v>1</v>
      </c>
      <c r="BD375">
        <f>IF(OR($J375=1,COUNTIFS($A$5:$A374,"&gt;="&amp;$A375-1,$A$5:$A374,"&lt;="&amp;$A375,$B$5:$B374,$B375)&gt;0,MIN(1-'Exercise list'!X$2,IF($A375=$A374,BD374,1))-AI375&lt;0),-1,MIN(1,IF($A375=$A374,BD374,1)-AI375+$D$2))</f>
        <v>1</v>
      </c>
      <c r="BF375" s="16">
        <f t="shared" si="277"/>
        <v>0.19596031081758858</v>
      </c>
      <c r="BG375" s="16">
        <f t="shared" si="278"/>
        <v>0.21844636935459236</v>
      </c>
      <c r="BH375" s="16">
        <f t="shared" si="279"/>
        <v>0.14609696635987124</v>
      </c>
      <c r="BI375" s="16">
        <f t="shared" si="280"/>
        <v>0.13198015366034541</v>
      </c>
      <c r="BJ375" s="16">
        <f t="shared" si="281"/>
        <v>8.3367914198418713E-2</v>
      </c>
      <c r="BK375" s="16">
        <f t="shared" si="282"/>
        <v>0.10640640223148412</v>
      </c>
      <c r="BL375" s="16">
        <f t="shared" si="283"/>
        <v>0.21963504743569431</v>
      </c>
      <c r="BM375" s="16">
        <f t="shared" si="284"/>
        <v>3.8988008374820568E-3</v>
      </c>
      <c r="BN375" s="16">
        <f t="shared" si="285"/>
        <v>0.14537706087090876</v>
      </c>
      <c r="BO375" s="16">
        <f t="shared" si="286"/>
        <v>0.29209790661993401</v>
      </c>
      <c r="BP375" s="16">
        <f t="shared" si="287"/>
        <v>0.31584545163401867</v>
      </c>
      <c r="BQ375" s="16">
        <f t="shared" si="288"/>
        <v>0.1000007994126096</v>
      </c>
      <c r="BR375" s="16">
        <f t="shared" si="289"/>
        <v>0.13164487759885393</v>
      </c>
      <c r="BS375" s="16">
        <f t="shared" si="290"/>
        <v>2.9803550189863123E-2</v>
      </c>
      <c r="BT375" s="16">
        <f t="shared" si="291"/>
        <v>0.13492040904978705</v>
      </c>
      <c r="BU375" s="16">
        <f t="shared" si="292"/>
        <v>0.11703687414398131</v>
      </c>
      <c r="BV375" s="16">
        <f t="shared" si="293"/>
        <v>0.14633353213781661</v>
      </c>
      <c r="BW375" s="16">
        <f t="shared" si="294"/>
        <v>7.5588015111767173E-2</v>
      </c>
      <c r="BX375" s="16">
        <f t="shared" si="295"/>
        <v>8.0345659937185704E-2</v>
      </c>
      <c r="BY375" s="16">
        <f t="shared" si="296"/>
        <v>5.9014643151272549E-2</v>
      </c>
      <c r="CA375" s="16" t="str">
        <f t="shared" si="273"/>
        <v/>
      </c>
      <c r="CB375" s="16" t="str">
        <f t="shared" si="254"/>
        <v/>
      </c>
      <c r="CC375" s="16" t="str">
        <f t="shared" si="255"/>
        <v/>
      </c>
      <c r="CD375" s="16" t="str">
        <f t="shared" si="256"/>
        <v/>
      </c>
      <c r="CE375" s="16" t="str">
        <f t="shared" si="257"/>
        <v/>
      </c>
      <c r="CF375" s="16" t="str">
        <f t="shared" si="258"/>
        <v/>
      </c>
      <c r="CG375" s="16" t="str">
        <f t="shared" si="259"/>
        <v/>
      </c>
      <c r="CH375" s="16" t="str">
        <f t="shared" si="260"/>
        <v/>
      </c>
      <c r="CI375" s="16" t="str">
        <f t="shared" si="261"/>
        <v/>
      </c>
      <c r="CJ375" s="16" t="str">
        <f t="shared" si="262"/>
        <v/>
      </c>
      <c r="CK375" s="16" t="str">
        <f t="shared" si="263"/>
        <v/>
      </c>
      <c r="CL375" s="16" t="str">
        <f t="shared" si="264"/>
        <v/>
      </c>
      <c r="CM375" s="16" t="str">
        <f t="shared" si="265"/>
        <v/>
      </c>
      <c r="CN375" s="16" t="str">
        <f t="shared" si="266"/>
        <v/>
      </c>
      <c r="CO375" s="16" t="str">
        <f t="shared" si="267"/>
        <v/>
      </c>
      <c r="CP375" s="16" t="str">
        <f t="shared" si="268"/>
        <v/>
      </c>
      <c r="CQ375" s="16" t="str">
        <f t="shared" si="269"/>
        <v/>
      </c>
      <c r="CR375" s="16" t="str">
        <f t="shared" si="270"/>
        <v/>
      </c>
      <c r="CS375" s="16" t="str">
        <f t="shared" si="271"/>
        <v/>
      </c>
      <c r="CT375" s="16" t="str">
        <f t="shared" si="272"/>
        <v/>
      </c>
    </row>
    <row r="376" spans="1:99" x14ac:dyDescent="0.25">
      <c r="A376" s="13"/>
      <c r="B376" s="14"/>
      <c r="C376" s="15" t="str" cm="1">
        <f t="array" ref="C376">IF(B376="","",INDEX('Exercise list'!$C$5:$C$102,B376))</f>
        <v/>
      </c>
      <c r="D376" s="12" t="str">
        <f t="shared" si="274"/>
        <v/>
      </c>
      <c r="E376" s="107" t="str">
        <f t="shared" si="297"/>
        <v/>
      </c>
      <c r="F376" s="63" t="str" cm="1">
        <f t="array" ref="F376">IF(B376="","",0.1+IFERROR(INDEX($F$6:$F375,SUMPRODUCT(MAX(ROW($C$6:$C375)*($C376=$C$6:$C375))-ROW($A$5)))*0.9^($A376-INDEX($A$6:A375,SUMPRODUCT(MAX(ROW($C$6:$C375)*($C376=$C$6:$C375))-ROW($A$5)))),0))</f>
        <v/>
      </c>
      <c r="G376" s="64" t="e">
        <f>INDEX('Exercise list'!$Y$5:$Y$102,MATCH(C376,'Exercise list'!$C$5:$C$102,0))</f>
        <v>#N/A</v>
      </c>
      <c r="H376" s="115">
        <f t="shared" si="275"/>
        <v>0</v>
      </c>
      <c r="I376" s="6">
        <f t="shared" si="276"/>
        <v>5</v>
      </c>
      <c r="J376" s="6" t="str" cm="1">
        <f t="array" ref="J376">IF(B376="","",INDEX('Exercise list'!$D$5:$D$102,B376))</f>
        <v/>
      </c>
      <c r="K376" s="12"/>
      <c r="L376" s="74" t="str" cm="1">
        <f t="array" ref="L376">IF(K376="","",INDEX('Exercise list'!$C$5:$C$102,K376))</f>
        <v/>
      </c>
      <c r="M376" s="6"/>
      <c r="N376" s="75" t="str" cm="1">
        <f t="array" ref="N376">IF(M376="","",INDEX('Exercise list'!$C$5:$C$102,M376))</f>
        <v/>
      </c>
      <c r="P376">
        <f>IFERROR(INDEX('Exercise list'!$E$5:$X$102,MATCH($C376,'Exercise list'!$C$5:$C$102,0),MATCH(P$5,'Exercise list'!$E$4:$X$4,0)),0)</f>
        <v>0</v>
      </c>
      <c r="Q376">
        <f>IFERROR(INDEX('Exercise list'!$E$5:$X$102,MATCH($C376,'Exercise list'!$C$5:$C$102,0),MATCH(Q$5,'Exercise list'!$E$4:$X$4,0)),0)</f>
        <v>0</v>
      </c>
      <c r="R376">
        <f>IFERROR(INDEX('Exercise list'!$E$5:$X$102,MATCH($C376,'Exercise list'!$C$5:$C$102,0),MATCH(R$5,'Exercise list'!$E$4:$X$4,0)),0)</f>
        <v>0</v>
      </c>
      <c r="S376">
        <f>IFERROR(INDEX('Exercise list'!$E$5:$X$102,MATCH($C376,'Exercise list'!$C$5:$C$102,0),MATCH(S$5,'Exercise list'!$E$4:$X$4,0)),0)</f>
        <v>0</v>
      </c>
      <c r="T376">
        <f>IFERROR(INDEX('Exercise list'!$E$5:$X$102,MATCH($C376,'Exercise list'!$C$5:$C$102,0),MATCH(T$5,'Exercise list'!$E$4:$X$4,0)),0)</f>
        <v>0</v>
      </c>
      <c r="U376">
        <f>IFERROR(INDEX('Exercise list'!$E$5:$X$102,MATCH($C376,'Exercise list'!$C$5:$C$102,0),MATCH(U$5,'Exercise list'!$E$4:$X$4,0)),0)</f>
        <v>0</v>
      </c>
      <c r="V376">
        <f>IFERROR(INDEX('Exercise list'!$E$5:$X$102,MATCH($C376,'Exercise list'!$C$5:$C$102,0),MATCH(V$5,'Exercise list'!$E$4:$X$4,0)),0)</f>
        <v>0</v>
      </c>
      <c r="W376">
        <f>IFERROR(INDEX('Exercise list'!$E$5:$X$102,MATCH($C376,'Exercise list'!$C$5:$C$102,0),MATCH(W$5,'Exercise list'!$E$4:$X$4,0)),0)</f>
        <v>0</v>
      </c>
      <c r="X376">
        <f>IFERROR(INDEX('Exercise list'!$E$5:$X$102,MATCH($C376,'Exercise list'!$C$5:$C$102,0),MATCH(X$5,'Exercise list'!$E$4:$X$4,0)),0)</f>
        <v>0</v>
      </c>
      <c r="Y376">
        <f>IFERROR(INDEX('Exercise list'!$E$5:$X$102,MATCH($C376,'Exercise list'!$C$5:$C$102,0),MATCH(Y$5,'Exercise list'!$E$4:$X$4,0)),0)</f>
        <v>0</v>
      </c>
      <c r="Z376">
        <f>IFERROR(INDEX('Exercise list'!$E$5:$X$102,MATCH($C376,'Exercise list'!$C$5:$C$102,0),MATCH(Z$5,'Exercise list'!$E$4:$X$4,0)),0)</f>
        <v>0</v>
      </c>
      <c r="AA376">
        <f>IFERROR(INDEX('Exercise list'!$E$5:$X$102,MATCH($C376,'Exercise list'!$C$5:$C$102,0),MATCH(AA$5,'Exercise list'!$E$4:$X$4,0)),0)</f>
        <v>0</v>
      </c>
      <c r="AB376">
        <f>IFERROR(INDEX('Exercise list'!$E$5:$X$102,MATCH($C376,'Exercise list'!$C$5:$C$102,0),MATCH(AB$5,'Exercise list'!$E$4:$X$4,0)),0)</f>
        <v>0</v>
      </c>
      <c r="AC376">
        <f>IFERROR(INDEX('Exercise list'!$E$5:$X$102,MATCH($C376,'Exercise list'!$C$5:$C$102,0),MATCH(AC$5,'Exercise list'!$E$4:$X$4,0)),0)</f>
        <v>0</v>
      </c>
      <c r="AD376">
        <f>IFERROR(INDEX('Exercise list'!$E$5:$X$102,MATCH($C376,'Exercise list'!$C$5:$C$102,0),MATCH(AD$5,'Exercise list'!$E$4:$X$4,0)),0)</f>
        <v>0</v>
      </c>
      <c r="AE376">
        <f>IFERROR(INDEX('Exercise list'!$E$5:$X$102,MATCH($C376,'Exercise list'!$C$5:$C$102,0),MATCH(AE$5,'Exercise list'!$E$4:$X$4,0)),0)</f>
        <v>0</v>
      </c>
      <c r="AF376">
        <f>IFERROR(INDEX('Exercise list'!$E$5:$X$102,MATCH($C376,'Exercise list'!$C$5:$C$102,0),MATCH(AF$5,'Exercise list'!$E$4:$X$4,0)),0)</f>
        <v>0</v>
      </c>
      <c r="AG376">
        <f>IFERROR(INDEX('Exercise list'!$E$5:$X$102,MATCH($C376,'Exercise list'!$C$5:$C$102,0),MATCH(AG$5,'Exercise list'!$E$4:$X$4,0)),0)</f>
        <v>0</v>
      </c>
      <c r="AH376">
        <f>IFERROR(INDEX('Exercise list'!$E$5:$X$102,MATCH($C376,'Exercise list'!$C$5:$C$102,0),MATCH(AH$5,'Exercise list'!$E$4:$X$4,0)),0)</f>
        <v>0</v>
      </c>
      <c r="AI376">
        <f>IFERROR(INDEX('Exercise list'!$E$5:$X$102,MATCH($C376,'Exercise list'!$C$5:$C$102,0),MATCH(AI$5,'Exercise list'!$E$4:$X$4,0)),0)</f>
        <v>0</v>
      </c>
      <c r="AK376">
        <f>IF(OR($J376=1,COUNTIFS($A$5:$A375,"&gt;="&amp;$A376-1,$A$5:$A375,"&lt;="&amp;$A376,$B$5:$B375,$B376)&gt;0,MIN(1-'Exercise list'!E$2,IF($A376=$A375,AK375,1))-P376&lt;0),-1,MIN(1,IF($A376=$A375,AK375,1)-P376+$D$2))</f>
        <v>1</v>
      </c>
      <c r="AL376">
        <f>IF(OR($J376=1,COUNTIFS($A$5:$A375,"&gt;="&amp;$A376-1,$A$5:$A375,"&lt;="&amp;$A376,$B$5:$B375,$B376)&gt;0,MIN(1-'Exercise list'!F$2,IF($A376=$A375,AL375,1))-Q376&lt;0),-1,MIN(1,IF($A376=$A375,AL375,1)-Q376+$D$2))</f>
        <v>1</v>
      </c>
      <c r="AM376">
        <f>IF(OR($J376=1,COUNTIFS($A$5:$A375,"&gt;="&amp;$A376-1,$A$5:$A375,"&lt;="&amp;$A376,$B$5:$B375,$B376)&gt;0,MIN(1-'Exercise list'!G$2,IF($A376=$A375,AM375,1))-R376&lt;0),-1,MIN(1,IF($A376=$A375,AM375,1)-R376+$D$2))</f>
        <v>1</v>
      </c>
      <c r="AN376">
        <f>IF(OR($J376=1,COUNTIFS($A$5:$A375,"&gt;="&amp;$A376-1,$A$5:$A375,"&lt;="&amp;$A376,$B$5:$B375,$B376)&gt;0,MIN(1-'Exercise list'!H$2,IF($A376=$A375,AN375,1))-S376&lt;0),-1,MIN(1,IF($A376=$A375,AN375,1)-S376+$D$2))</f>
        <v>1</v>
      </c>
      <c r="AO376">
        <f>IF(OR($J376=1,COUNTIFS($A$5:$A375,"&gt;="&amp;$A376-1,$A$5:$A375,"&lt;="&amp;$A376,$B$5:$B375,$B376)&gt;0,MIN(1-'Exercise list'!I$2,IF($A376=$A375,AO375,1))-T376&lt;0),-1,MIN(1,IF($A376=$A375,AO375,1)-T376+$D$2))</f>
        <v>1</v>
      </c>
      <c r="AP376">
        <f>IF(OR($J376=1,COUNTIFS($A$5:$A375,"&gt;="&amp;$A376-1,$A$5:$A375,"&lt;="&amp;$A376,$B$5:$B375,$B376)&gt;0,MIN(1-'Exercise list'!J$2,IF($A376=$A375,AP375,1))-U376&lt;0),-1,MIN(1,IF($A376=$A375,AP375,1)-U376+$D$2))</f>
        <v>1</v>
      </c>
      <c r="AQ376">
        <f>IF(OR($J376=1,COUNTIFS($A$5:$A375,"&gt;="&amp;$A376-1,$A$5:$A375,"&lt;="&amp;$A376,$B$5:$B375,$B376)&gt;0,MIN(1-'Exercise list'!K$2,IF($A376=$A375,AQ375,1))-V376&lt;0),-1,MIN(1,IF($A376=$A375,AQ375,1)-V376+$D$2))</f>
        <v>1</v>
      </c>
      <c r="AR376">
        <f>IF(OR($J376=1,COUNTIFS($A$5:$A375,"&gt;="&amp;$A376-1,$A$5:$A375,"&lt;="&amp;$A376,$B$5:$B375,$B376)&gt;0,MIN(1-'Exercise list'!L$2,IF($A376=$A375,AR375,1))-W376&lt;0),-1,MIN(1,IF($A376=$A375,AR375,1)-W376+$D$2))</f>
        <v>1</v>
      </c>
      <c r="AS376">
        <f>IF(OR($J376=1,COUNTIFS($A$5:$A375,"&gt;="&amp;$A376-1,$A$5:$A375,"&lt;="&amp;$A376,$B$5:$B375,$B376)&gt;0,MIN(1-'Exercise list'!M$2,IF($A376=$A375,AS375,1))-X376&lt;0),-1,MIN(1,IF($A376=$A375,AS375,1)-X376+$D$2))</f>
        <v>1</v>
      </c>
      <c r="AT376">
        <f>IF(OR($J376=1,COUNTIFS($A$5:$A375,"&gt;="&amp;$A376-1,$A$5:$A375,"&lt;="&amp;$A376,$B$5:$B375,$B376)&gt;0,MIN(1-'Exercise list'!N$2,IF($A376=$A375,AT375,1))-Y376&lt;0),-1,MIN(1,IF($A376=$A375,AT375,1)-Y376+$D$2))</f>
        <v>1</v>
      </c>
      <c r="AU376">
        <f>IF(OR($J376=1,COUNTIFS($A$5:$A375,"&gt;="&amp;$A376-1,$A$5:$A375,"&lt;="&amp;$A376,$B$5:$B375,$B376)&gt;0,MIN(1-'Exercise list'!O$2,IF($A376=$A375,AU375,1))-Z376&lt;0),-1,MIN(1,IF($A376=$A375,AU375,1)-Z376+$D$2))</f>
        <v>1</v>
      </c>
      <c r="AV376">
        <f>IF(OR($J376=1,COUNTIFS($A$5:$A375,"&gt;="&amp;$A376-1,$A$5:$A375,"&lt;="&amp;$A376,$B$5:$B375,$B376)&gt;0,MIN(1-'Exercise list'!P$2,IF($A376=$A375,AV375,1))-AA376&lt;0),-1,MIN(1,IF($A376=$A375,AV375,1)-AA376+$D$2))</f>
        <v>1</v>
      </c>
      <c r="AW376">
        <f>IF(OR($J376=1,COUNTIFS($A$5:$A375,"&gt;="&amp;$A376-1,$A$5:$A375,"&lt;="&amp;$A376,$B$5:$B375,$B376)&gt;0,MIN(1-'Exercise list'!Q$2,IF($A376=$A375,AW375,1))-AB376&lt;0),-1,MIN(1,IF($A376=$A375,AW375,1)-AB376+$D$2))</f>
        <v>1</v>
      </c>
      <c r="AX376">
        <f>IF(OR($J376=1,COUNTIFS($A$5:$A375,"&gt;="&amp;$A376-1,$A$5:$A375,"&lt;="&amp;$A376,$B$5:$B375,$B376)&gt;0,MIN(1-'Exercise list'!R$2,IF($A376=$A375,AX375,1))-AC376&lt;0),-1,MIN(1,IF($A376=$A375,AX375,1)-AC376+$D$2))</f>
        <v>1</v>
      </c>
      <c r="AY376">
        <f>IF(OR($J376=1,COUNTIFS($A$5:$A375,"&gt;="&amp;$A376-1,$A$5:$A375,"&lt;="&amp;$A376,$B$5:$B375,$B376)&gt;0,MIN(1-'Exercise list'!S$2,IF($A376=$A375,AY375,1))-AD376&lt;0),-1,MIN(1,IF($A376=$A375,AY375,1)-AD376+$D$2))</f>
        <v>1</v>
      </c>
      <c r="AZ376">
        <f>IF(OR($J376=1,COUNTIFS($A$5:$A375,"&gt;="&amp;$A376-1,$A$5:$A375,"&lt;="&amp;$A376,$B$5:$B375,$B376)&gt;0,MIN(1-'Exercise list'!T$2,IF($A376=$A375,AZ375,1))-AE376&lt;0),-1,MIN(1,IF($A376=$A375,AZ375,1)-AE376+$D$2))</f>
        <v>1</v>
      </c>
      <c r="BA376">
        <f>IF(OR($J376=1,COUNTIFS($A$5:$A375,"&gt;="&amp;$A376-1,$A$5:$A375,"&lt;="&amp;$A376,$B$5:$B375,$B376)&gt;0,MIN(1-'Exercise list'!U$2,IF($A376=$A375,BA375,1))-AF376&lt;0),-1,MIN(1,IF($A376=$A375,BA375,1)-AF376+$D$2))</f>
        <v>1</v>
      </c>
      <c r="BB376">
        <f>IF(OR($J376=1,COUNTIFS($A$5:$A375,"&gt;="&amp;$A376-1,$A$5:$A375,"&lt;="&amp;$A376,$B$5:$B375,$B376)&gt;0,MIN(1-'Exercise list'!V$2,IF($A376=$A375,BB375,1))-AG376&lt;0),-1,MIN(1,IF($A376=$A375,BB375,1)-AG376+$D$2))</f>
        <v>1</v>
      </c>
      <c r="BC376">
        <f>IF(OR($J376=1,COUNTIFS($A$5:$A375,"&gt;="&amp;$A376-1,$A$5:$A375,"&lt;="&amp;$A376,$B$5:$B375,$B376)&gt;0,MIN(1-'Exercise list'!W$2,IF($A376=$A375,BC375,1))-AH376&lt;0),-1,MIN(1,IF($A376=$A375,BC375,1)-AH376+$D$2))</f>
        <v>1</v>
      </c>
      <c r="BD376">
        <f>IF(OR($J376=1,COUNTIFS($A$5:$A375,"&gt;="&amp;$A376-1,$A$5:$A375,"&lt;="&amp;$A376,$B$5:$B375,$B376)&gt;0,MIN(1-'Exercise list'!X$2,IF($A376=$A375,BD375,1))-AI376&lt;0),-1,MIN(1,IF($A376=$A375,BD375,1)-AI376+$D$2))</f>
        <v>1</v>
      </c>
      <c r="BF376" s="16">
        <f t="shared" si="277"/>
        <v>0.19596031081758858</v>
      </c>
      <c r="BG376" s="16">
        <f t="shared" si="278"/>
        <v>0.21844636935459236</v>
      </c>
      <c r="BH376" s="16">
        <f t="shared" si="279"/>
        <v>0.14609696635987124</v>
      </c>
      <c r="BI376" s="16">
        <f t="shared" si="280"/>
        <v>0.13198015366034541</v>
      </c>
      <c r="BJ376" s="16">
        <f t="shared" si="281"/>
        <v>8.3367914198418713E-2</v>
      </c>
      <c r="BK376" s="16">
        <f t="shared" si="282"/>
        <v>0.10640640223148412</v>
      </c>
      <c r="BL376" s="16">
        <f t="shared" si="283"/>
        <v>0.21963504743569431</v>
      </c>
      <c r="BM376" s="16">
        <f t="shared" si="284"/>
        <v>3.8988008374820568E-3</v>
      </c>
      <c r="BN376" s="16">
        <f t="shared" si="285"/>
        <v>0.14537706087090876</v>
      </c>
      <c r="BO376" s="16">
        <f t="shared" si="286"/>
        <v>0.29209790661993401</v>
      </c>
      <c r="BP376" s="16">
        <f t="shared" si="287"/>
        <v>0.31584545163401867</v>
      </c>
      <c r="BQ376" s="16">
        <f t="shared" si="288"/>
        <v>0.1000007994126096</v>
      </c>
      <c r="BR376" s="16">
        <f t="shared" si="289"/>
        <v>0.13164487759885393</v>
      </c>
      <c r="BS376" s="16">
        <f t="shared" si="290"/>
        <v>2.9803550189863123E-2</v>
      </c>
      <c r="BT376" s="16">
        <f t="shared" si="291"/>
        <v>0.13492040904978705</v>
      </c>
      <c r="BU376" s="16">
        <f t="shared" si="292"/>
        <v>0.11703687414398131</v>
      </c>
      <c r="BV376" s="16">
        <f t="shared" si="293"/>
        <v>0.14633353213781661</v>
      </c>
      <c r="BW376" s="16">
        <f t="shared" si="294"/>
        <v>7.5588015111767173E-2</v>
      </c>
      <c r="BX376" s="16">
        <f t="shared" si="295"/>
        <v>8.0345659937185704E-2</v>
      </c>
      <c r="BY376" s="16">
        <f t="shared" si="296"/>
        <v>5.9014643151272549E-2</v>
      </c>
      <c r="CA376" s="16" t="str">
        <f t="shared" si="273"/>
        <v/>
      </c>
      <c r="CB376" s="16" t="str">
        <f t="shared" si="254"/>
        <v/>
      </c>
      <c r="CC376" s="16" t="str">
        <f t="shared" si="255"/>
        <v/>
      </c>
      <c r="CD376" s="16" t="str">
        <f t="shared" si="256"/>
        <v/>
      </c>
      <c r="CE376" s="16" t="str">
        <f t="shared" si="257"/>
        <v/>
      </c>
      <c r="CF376" s="16" t="str">
        <f t="shared" si="258"/>
        <v/>
      </c>
      <c r="CG376" s="16" t="str">
        <f t="shared" si="259"/>
        <v/>
      </c>
      <c r="CH376" s="16" t="str">
        <f t="shared" si="260"/>
        <v/>
      </c>
      <c r="CI376" s="16" t="str">
        <f t="shared" si="261"/>
        <v/>
      </c>
      <c r="CJ376" s="16" t="str">
        <f t="shared" si="262"/>
        <v/>
      </c>
      <c r="CK376" s="16" t="str">
        <f t="shared" si="263"/>
        <v/>
      </c>
      <c r="CL376" s="16" t="str">
        <f t="shared" si="264"/>
        <v/>
      </c>
      <c r="CM376" s="16" t="str">
        <f t="shared" si="265"/>
        <v/>
      </c>
      <c r="CN376" s="16" t="str">
        <f t="shared" si="266"/>
        <v/>
      </c>
      <c r="CO376" s="16" t="str">
        <f t="shared" si="267"/>
        <v/>
      </c>
      <c r="CP376" s="16" t="str">
        <f t="shared" si="268"/>
        <v/>
      </c>
      <c r="CQ376" s="16" t="str">
        <f t="shared" si="269"/>
        <v/>
      </c>
      <c r="CR376" s="16" t="str">
        <f t="shared" si="270"/>
        <v/>
      </c>
      <c r="CS376" s="16" t="str">
        <f t="shared" si="271"/>
        <v/>
      </c>
      <c r="CT376" s="16" t="str">
        <f t="shared" si="272"/>
        <v/>
      </c>
    </row>
    <row r="377" spans="1:99" x14ac:dyDescent="0.25">
      <c r="A377" s="13"/>
      <c r="B377" s="14"/>
      <c r="C377" s="15" t="str" cm="1">
        <f t="array" ref="C377">IF(B377="","",INDEX('Exercise list'!$C$5:$C$102,B377))</f>
        <v/>
      </c>
      <c r="D377" s="12" t="str">
        <f t="shared" si="274"/>
        <v/>
      </c>
      <c r="E377" s="107" t="str">
        <f t="shared" si="297"/>
        <v/>
      </c>
      <c r="F377" s="63" t="str" cm="1">
        <f t="array" ref="F377">IF(B377="","",0.1+IFERROR(INDEX($F$6:$F376,SUMPRODUCT(MAX(ROW($C$6:$C376)*($C377=$C$6:$C376))-ROW($A$5)))*0.9^($A377-INDEX($A$6:A376,SUMPRODUCT(MAX(ROW($C$6:$C376)*($C377=$C$6:$C376))-ROW($A$5)))),0))</f>
        <v/>
      </c>
      <c r="G377" s="64" t="e">
        <f>INDEX('Exercise list'!$Y$5:$Y$102,MATCH(C377,'Exercise list'!$C$5:$C$102,0))</f>
        <v>#N/A</v>
      </c>
      <c r="H377" s="115">
        <f t="shared" si="275"/>
        <v>0</v>
      </c>
      <c r="I377" s="6">
        <f t="shared" si="276"/>
        <v>5</v>
      </c>
      <c r="J377" s="6" t="str" cm="1">
        <f t="array" ref="J377">IF(B377="","",INDEX('Exercise list'!$D$5:$D$102,B377))</f>
        <v/>
      </c>
      <c r="K377" s="12"/>
      <c r="L377" s="74" t="str" cm="1">
        <f t="array" ref="L377">IF(K377="","",INDEX('Exercise list'!$C$5:$C$102,K377))</f>
        <v/>
      </c>
      <c r="M377" s="6"/>
      <c r="N377" s="75" t="str" cm="1">
        <f t="array" ref="N377">IF(M377="","",INDEX('Exercise list'!$C$5:$C$102,M377))</f>
        <v/>
      </c>
      <c r="P377">
        <f>IFERROR(INDEX('Exercise list'!$E$5:$X$102,MATCH($C377,'Exercise list'!$C$5:$C$102,0),MATCH(P$5,'Exercise list'!$E$4:$X$4,0)),0)</f>
        <v>0</v>
      </c>
      <c r="Q377">
        <f>IFERROR(INDEX('Exercise list'!$E$5:$X$102,MATCH($C377,'Exercise list'!$C$5:$C$102,0),MATCH(Q$5,'Exercise list'!$E$4:$X$4,0)),0)</f>
        <v>0</v>
      </c>
      <c r="R377">
        <f>IFERROR(INDEX('Exercise list'!$E$5:$X$102,MATCH($C377,'Exercise list'!$C$5:$C$102,0),MATCH(R$5,'Exercise list'!$E$4:$X$4,0)),0)</f>
        <v>0</v>
      </c>
      <c r="S377">
        <f>IFERROR(INDEX('Exercise list'!$E$5:$X$102,MATCH($C377,'Exercise list'!$C$5:$C$102,0),MATCH(S$5,'Exercise list'!$E$4:$X$4,0)),0)</f>
        <v>0</v>
      </c>
      <c r="T377">
        <f>IFERROR(INDEX('Exercise list'!$E$5:$X$102,MATCH($C377,'Exercise list'!$C$5:$C$102,0),MATCH(T$5,'Exercise list'!$E$4:$X$4,0)),0)</f>
        <v>0</v>
      </c>
      <c r="U377">
        <f>IFERROR(INDEX('Exercise list'!$E$5:$X$102,MATCH($C377,'Exercise list'!$C$5:$C$102,0),MATCH(U$5,'Exercise list'!$E$4:$X$4,0)),0)</f>
        <v>0</v>
      </c>
      <c r="V377">
        <f>IFERROR(INDEX('Exercise list'!$E$5:$X$102,MATCH($C377,'Exercise list'!$C$5:$C$102,0),MATCH(V$5,'Exercise list'!$E$4:$X$4,0)),0)</f>
        <v>0</v>
      </c>
      <c r="W377">
        <f>IFERROR(INDEX('Exercise list'!$E$5:$X$102,MATCH($C377,'Exercise list'!$C$5:$C$102,0),MATCH(W$5,'Exercise list'!$E$4:$X$4,0)),0)</f>
        <v>0</v>
      </c>
      <c r="X377">
        <f>IFERROR(INDEX('Exercise list'!$E$5:$X$102,MATCH($C377,'Exercise list'!$C$5:$C$102,0),MATCH(X$5,'Exercise list'!$E$4:$X$4,0)),0)</f>
        <v>0</v>
      </c>
      <c r="Y377">
        <f>IFERROR(INDEX('Exercise list'!$E$5:$X$102,MATCH($C377,'Exercise list'!$C$5:$C$102,0),MATCH(Y$5,'Exercise list'!$E$4:$X$4,0)),0)</f>
        <v>0</v>
      </c>
      <c r="Z377">
        <f>IFERROR(INDEX('Exercise list'!$E$5:$X$102,MATCH($C377,'Exercise list'!$C$5:$C$102,0),MATCH(Z$5,'Exercise list'!$E$4:$X$4,0)),0)</f>
        <v>0</v>
      </c>
      <c r="AA377">
        <f>IFERROR(INDEX('Exercise list'!$E$5:$X$102,MATCH($C377,'Exercise list'!$C$5:$C$102,0),MATCH(AA$5,'Exercise list'!$E$4:$X$4,0)),0)</f>
        <v>0</v>
      </c>
      <c r="AB377">
        <f>IFERROR(INDEX('Exercise list'!$E$5:$X$102,MATCH($C377,'Exercise list'!$C$5:$C$102,0),MATCH(AB$5,'Exercise list'!$E$4:$X$4,0)),0)</f>
        <v>0</v>
      </c>
      <c r="AC377">
        <f>IFERROR(INDEX('Exercise list'!$E$5:$X$102,MATCH($C377,'Exercise list'!$C$5:$C$102,0),MATCH(AC$5,'Exercise list'!$E$4:$X$4,0)),0)</f>
        <v>0</v>
      </c>
      <c r="AD377">
        <f>IFERROR(INDEX('Exercise list'!$E$5:$X$102,MATCH($C377,'Exercise list'!$C$5:$C$102,0),MATCH(AD$5,'Exercise list'!$E$4:$X$4,0)),0)</f>
        <v>0</v>
      </c>
      <c r="AE377">
        <f>IFERROR(INDEX('Exercise list'!$E$5:$X$102,MATCH($C377,'Exercise list'!$C$5:$C$102,0),MATCH(AE$5,'Exercise list'!$E$4:$X$4,0)),0)</f>
        <v>0</v>
      </c>
      <c r="AF377">
        <f>IFERROR(INDEX('Exercise list'!$E$5:$X$102,MATCH($C377,'Exercise list'!$C$5:$C$102,0),MATCH(AF$5,'Exercise list'!$E$4:$X$4,0)),0)</f>
        <v>0</v>
      </c>
      <c r="AG377">
        <f>IFERROR(INDEX('Exercise list'!$E$5:$X$102,MATCH($C377,'Exercise list'!$C$5:$C$102,0),MATCH(AG$5,'Exercise list'!$E$4:$X$4,0)),0)</f>
        <v>0</v>
      </c>
      <c r="AH377">
        <f>IFERROR(INDEX('Exercise list'!$E$5:$X$102,MATCH($C377,'Exercise list'!$C$5:$C$102,0),MATCH(AH$5,'Exercise list'!$E$4:$X$4,0)),0)</f>
        <v>0</v>
      </c>
      <c r="AI377">
        <f>IFERROR(INDEX('Exercise list'!$E$5:$X$102,MATCH($C377,'Exercise list'!$C$5:$C$102,0),MATCH(AI$5,'Exercise list'!$E$4:$X$4,0)),0)</f>
        <v>0</v>
      </c>
      <c r="AK377">
        <f>IF(OR($J377=1,COUNTIFS($A$5:$A376,"&gt;="&amp;$A377-1,$A$5:$A376,"&lt;="&amp;$A377,$B$5:$B376,$B377)&gt;0,MIN(1-'Exercise list'!E$2,IF($A377=$A376,AK376,1))-P377&lt;0),-1,MIN(1,IF($A377=$A376,AK376,1)-P377+$D$2))</f>
        <v>1</v>
      </c>
      <c r="AL377">
        <f>IF(OR($J377=1,COUNTIFS($A$5:$A376,"&gt;="&amp;$A377-1,$A$5:$A376,"&lt;="&amp;$A377,$B$5:$B376,$B377)&gt;0,MIN(1-'Exercise list'!F$2,IF($A377=$A376,AL376,1))-Q377&lt;0),-1,MIN(1,IF($A377=$A376,AL376,1)-Q377+$D$2))</f>
        <v>1</v>
      </c>
      <c r="AM377">
        <f>IF(OR($J377=1,COUNTIFS($A$5:$A376,"&gt;="&amp;$A377-1,$A$5:$A376,"&lt;="&amp;$A377,$B$5:$B376,$B377)&gt;0,MIN(1-'Exercise list'!G$2,IF($A377=$A376,AM376,1))-R377&lt;0),-1,MIN(1,IF($A377=$A376,AM376,1)-R377+$D$2))</f>
        <v>1</v>
      </c>
      <c r="AN377">
        <f>IF(OR($J377=1,COUNTIFS($A$5:$A376,"&gt;="&amp;$A377-1,$A$5:$A376,"&lt;="&amp;$A377,$B$5:$B376,$B377)&gt;0,MIN(1-'Exercise list'!H$2,IF($A377=$A376,AN376,1))-S377&lt;0),-1,MIN(1,IF($A377=$A376,AN376,1)-S377+$D$2))</f>
        <v>1</v>
      </c>
      <c r="AO377">
        <f>IF(OR($J377=1,COUNTIFS($A$5:$A376,"&gt;="&amp;$A377-1,$A$5:$A376,"&lt;="&amp;$A377,$B$5:$B376,$B377)&gt;0,MIN(1-'Exercise list'!I$2,IF($A377=$A376,AO376,1))-T377&lt;0),-1,MIN(1,IF($A377=$A376,AO376,1)-T377+$D$2))</f>
        <v>1</v>
      </c>
      <c r="AP377">
        <f>IF(OR($J377=1,COUNTIFS($A$5:$A376,"&gt;="&amp;$A377-1,$A$5:$A376,"&lt;="&amp;$A377,$B$5:$B376,$B377)&gt;0,MIN(1-'Exercise list'!J$2,IF($A377=$A376,AP376,1))-U377&lt;0),-1,MIN(1,IF($A377=$A376,AP376,1)-U377+$D$2))</f>
        <v>1</v>
      </c>
      <c r="AQ377">
        <f>IF(OR($J377=1,COUNTIFS($A$5:$A376,"&gt;="&amp;$A377-1,$A$5:$A376,"&lt;="&amp;$A377,$B$5:$B376,$B377)&gt;0,MIN(1-'Exercise list'!K$2,IF($A377=$A376,AQ376,1))-V377&lt;0),-1,MIN(1,IF($A377=$A376,AQ376,1)-V377+$D$2))</f>
        <v>1</v>
      </c>
      <c r="AR377">
        <f>IF(OR($J377=1,COUNTIFS($A$5:$A376,"&gt;="&amp;$A377-1,$A$5:$A376,"&lt;="&amp;$A377,$B$5:$B376,$B377)&gt;0,MIN(1-'Exercise list'!L$2,IF($A377=$A376,AR376,1))-W377&lt;0),-1,MIN(1,IF($A377=$A376,AR376,1)-W377+$D$2))</f>
        <v>1</v>
      </c>
      <c r="AS377">
        <f>IF(OR($J377=1,COUNTIFS($A$5:$A376,"&gt;="&amp;$A377-1,$A$5:$A376,"&lt;="&amp;$A377,$B$5:$B376,$B377)&gt;0,MIN(1-'Exercise list'!M$2,IF($A377=$A376,AS376,1))-X377&lt;0),-1,MIN(1,IF($A377=$A376,AS376,1)-X377+$D$2))</f>
        <v>1</v>
      </c>
      <c r="AT377">
        <f>IF(OR($J377=1,COUNTIFS($A$5:$A376,"&gt;="&amp;$A377-1,$A$5:$A376,"&lt;="&amp;$A377,$B$5:$B376,$B377)&gt;0,MIN(1-'Exercise list'!N$2,IF($A377=$A376,AT376,1))-Y377&lt;0),-1,MIN(1,IF($A377=$A376,AT376,1)-Y377+$D$2))</f>
        <v>1</v>
      </c>
      <c r="AU377">
        <f>IF(OR($J377=1,COUNTIFS($A$5:$A376,"&gt;="&amp;$A377-1,$A$5:$A376,"&lt;="&amp;$A377,$B$5:$B376,$B377)&gt;0,MIN(1-'Exercise list'!O$2,IF($A377=$A376,AU376,1))-Z377&lt;0),-1,MIN(1,IF($A377=$A376,AU376,1)-Z377+$D$2))</f>
        <v>1</v>
      </c>
      <c r="AV377">
        <f>IF(OR($J377=1,COUNTIFS($A$5:$A376,"&gt;="&amp;$A377-1,$A$5:$A376,"&lt;="&amp;$A377,$B$5:$B376,$B377)&gt;0,MIN(1-'Exercise list'!P$2,IF($A377=$A376,AV376,1))-AA377&lt;0),-1,MIN(1,IF($A377=$A376,AV376,1)-AA377+$D$2))</f>
        <v>1</v>
      </c>
      <c r="AW377">
        <f>IF(OR($J377=1,COUNTIFS($A$5:$A376,"&gt;="&amp;$A377-1,$A$5:$A376,"&lt;="&amp;$A377,$B$5:$B376,$B377)&gt;0,MIN(1-'Exercise list'!Q$2,IF($A377=$A376,AW376,1))-AB377&lt;0),-1,MIN(1,IF($A377=$A376,AW376,1)-AB377+$D$2))</f>
        <v>1</v>
      </c>
      <c r="AX377">
        <f>IF(OR($J377=1,COUNTIFS($A$5:$A376,"&gt;="&amp;$A377-1,$A$5:$A376,"&lt;="&amp;$A377,$B$5:$B376,$B377)&gt;0,MIN(1-'Exercise list'!R$2,IF($A377=$A376,AX376,1))-AC377&lt;0),-1,MIN(1,IF($A377=$A376,AX376,1)-AC377+$D$2))</f>
        <v>1</v>
      </c>
      <c r="AY377">
        <f>IF(OR($J377=1,COUNTIFS($A$5:$A376,"&gt;="&amp;$A377-1,$A$5:$A376,"&lt;="&amp;$A377,$B$5:$B376,$B377)&gt;0,MIN(1-'Exercise list'!S$2,IF($A377=$A376,AY376,1))-AD377&lt;0),-1,MIN(1,IF($A377=$A376,AY376,1)-AD377+$D$2))</f>
        <v>1</v>
      </c>
      <c r="AZ377">
        <f>IF(OR($J377=1,COUNTIFS($A$5:$A376,"&gt;="&amp;$A377-1,$A$5:$A376,"&lt;="&amp;$A377,$B$5:$B376,$B377)&gt;0,MIN(1-'Exercise list'!T$2,IF($A377=$A376,AZ376,1))-AE377&lt;0),-1,MIN(1,IF($A377=$A376,AZ376,1)-AE377+$D$2))</f>
        <v>1</v>
      </c>
      <c r="BA377">
        <f>IF(OR($J377=1,COUNTIFS($A$5:$A376,"&gt;="&amp;$A377-1,$A$5:$A376,"&lt;="&amp;$A377,$B$5:$B376,$B377)&gt;0,MIN(1-'Exercise list'!U$2,IF($A377=$A376,BA376,1))-AF377&lt;0),-1,MIN(1,IF($A377=$A376,BA376,1)-AF377+$D$2))</f>
        <v>1</v>
      </c>
      <c r="BB377">
        <f>IF(OR($J377=1,COUNTIFS($A$5:$A376,"&gt;="&amp;$A377-1,$A$5:$A376,"&lt;="&amp;$A377,$B$5:$B376,$B377)&gt;0,MIN(1-'Exercise list'!V$2,IF($A377=$A376,BB376,1))-AG377&lt;0),-1,MIN(1,IF($A377=$A376,BB376,1)-AG377+$D$2))</f>
        <v>1</v>
      </c>
      <c r="BC377">
        <f>IF(OR($J377=1,COUNTIFS($A$5:$A376,"&gt;="&amp;$A377-1,$A$5:$A376,"&lt;="&amp;$A377,$B$5:$B376,$B377)&gt;0,MIN(1-'Exercise list'!W$2,IF($A377=$A376,BC376,1))-AH377&lt;0),-1,MIN(1,IF($A377=$A376,BC376,1)-AH377+$D$2))</f>
        <v>1</v>
      </c>
      <c r="BD377">
        <f>IF(OR($J377=1,COUNTIFS($A$5:$A376,"&gt;="&amp;$A377-1,$A$5:$A376,"&lt;="&amp;$A377,$B$5:$B376,$B377)&gt;0,MIN(1-'Exercise list'!X$2,IF($A377=$A376,BD376,1))-AI377&lt;0),-1,MIN(1,IF($A377=$A376,BD376,1)-AI377+$D$2))</f>
        <v>1</v>
      </c>
      <c r="BF377" s="16">
        <f t="shared" si="277"/>
        <v>0.19596031081758858</v>
      </c>
      <c r="BG377" s="16">
        <f t="shared" si="278"/>
        <v>0.21844636935459236</v>
      </c>
      <c r="BH377" s="16">
        <f t="shared" si="279"/>
        <v>0.14609696635987124</v>
      </c>
      <c r="BI377" s="16">
        <f t="shared" si="280"/>
        <v>0.13198015366034541</v>
      </c>
      <c r="BJ377" s="16">
        <f t="shared" si="281"/>
        <v>8.3367914198418713E-2</v>
      </c>
      <c r="BK377" s="16">
        <f t="shared" si="282"/>
        <v>0.10640640223148412</v>
      </c>
      <c r="BL377" s="16">
        <f t="shared" si="283"/>
        <v>0.21963504743569431</v>
      </c>
      <c r="BM377" s="16">
        <f t="shared" si="284"/>
        <v>3.8988008374820568E-3</v>
      </c>
      <c r="BN377" s="16">
        <f t="shared" si="285"/>
        <v>0.14537706087090876</v>
      </c>
      <c r="BO377" s="16">
        <f t="shared" si="286"/>
        <v>0.29209790661993401</v>
      </c>
      <c r="BP377" s="16">
        <f t="shared" si="287"/>
        <v>0.31584545163401867</v>
      </c>
      <c r="BQ377" s="16">
        <f t="shared" si="288"/>
        <v>0.1000007994126096</v>
      </c>
      <c r="BR377" s="16">
        <f t="shared" si="289"/>
        <v>0.13164487759885393</v>
      </c>
      <c r="BS377" s="16">
        <f t="shared" si="290"/>
        <v>2.9803550189863123E-2</v>
      </c>
      <c r="BT377" s="16">
        <f t="shared" si="291"/>
        <v>0.13492040904978705</v>
      </c>
      <c r="BU377" s="16">
        <f t="shared" si="292"/>
        <v>0.11703687414398131</v>
      </c>
      <c r="BV377" s="16">
        <f t="shared" si="293"/>
        <v>0.14633353213781661</v>
      </c>
      <c r="BW377" s="16">
        <f t="shared" si="294"/>
        <v>7.5588015111767173E-2</v>
      </c>
      <c r="BX377" s="16">
        <f t="shared" si="295"/>
        <v>8.0345659937185704E-2</v>
      </c>
      <c r="BY377" s="16">
        <f t="shared" si="296"/>
        <v>5.9014643151272549E-2</v>
      </c>
      <c r="CA377" s="16" t="str">
        <f t="shared" si="273"/>
        <v/>
      </c>
      <c r="CB377" s="16" t="str">
        <f t="shared" si="254"/>
        <v/>
      </c>
      <c r="CC377" s="16" t="str">
        <f t="shared" si="255"/>
        <v/>
      </c>
      <c r="CD377" s="16" t="str">
        <f t="shared" si="256"/>
        <v/>
      </c>
      <c r="CE377" s="16" t="str">
        <f t="shared" si="257"/>
        <v/>
      </c>
      <c r="CF377" s="16" t="str">
        <f t="shared" si="258"/>
        <v/>
      </c>
      <c r="CG377" s="16" t="str">
        <f t="shared" si="259"/>
        <v/>
      </c>
      <c r="CH377" s="16" t="str">
        <f t="shared" si="260"/>
        <v/>
      </c>
      <c r="CI377" s="16" t="str">
        <f t="shared" si="261"/>
        <v/>
      </c>
      <c r="CJ377" s="16" t="str">
        <f t="shared" si="262"/>
        <v/>
      </c>
      <c r="CK377" s="16" t="str">
        <f t="shared" si="263"/>
        <v/>
      </c>
      <c r="CL377" s="16" t="str">
        <f t="shared" si="264"/>
        <v/>
      </c>
      <c r="CM377" s="16" t="str">
        <f t="shared" si="265"/>
        <v/>
      </c>
      <c r="CN377" s="16" t="str">
        <f t="shared" si="266"/>
        <v/>
      </c>
      <c r="CO377" s="16" t="str">
        <f t="shared" si="267"/>
        <v/>
      </c>
      <c r="CP377" s="16" t="str">
        <f t="shared" si="268"/>
        <v/>
      </c>
      <c r="CQ377" s="16" t="str">
        <f t="shared" si="269"/>
        <v/>
      </c>
      <c r="CR377" s="16" t="str">
        <f t="shared" si="270"/>
        <v/>
      </c>
      <c r="CS377" s="16" t="str">
        <f t="shared" si="271"/>
        <v/>
      </c>
      <c r="CT377" s="16" t="str">
        <f t="shared" si="272"/>
        <v/>
      </c>
    </row>
    <row r="378" spans="1:99" x14ac:dyDescent="0.25">
      <c r="A378" s="20"/>
      <c r="B378" s="21"/>
      <c r="C378" s="22" t="str" cm="1">
        <f t="array" ref="C378">IF(B378="","",INDEX('Exercise list'!$C$5:$C$102,B378))</f>
        <v/>
      </c>
      <c r="D378" s="17" t="str">
        <f t="shared" si="274"/>
        <v/>
      </c>
      <c r="E378" s="108" t="str">
        <f t="shared" si="297"/>
        <v/>
      </c>
      <c r="F378" s="65" t="str" cm="1">
        <f t="array" ref="F378">IF(B378="","",0.1+IFERROR(INDEX($F$6:$F377,SUMPRODUCT(MAX(ROW($C$6:$C377)*($C378=$C$6:$C377))-ROW($A$5)))*0.9^($A378-INDEX($A$6:A377,SUMPRODUCT(MAX(ROW($C$6:$C377)*($C378=$C$6:$C377))-ROW($A$5)))),0))</f>
        <v/>
      </c>
      <c r="G378" s="25" t="e">
        <f>INDEX('Exercise list'!$Y$5:$Y$102,MATCH(C378,'Exercise list'!$C$5:$C$102,0))</f>
        <v>#N/A</v>
      </c>
      <c r="H378" s="116">
        <f t="shared" si="275"/>
        <v>0</v>
      </c>
      <c r="I378" s="18">
        <f t="shared" si="276"/>
        <v>5</v>
      </c>
      <c r="J378" s="18" t="str" cm="1">
        <f t="array" ref="J378">IF(B378="","",INDEX('Exercise list'!$D$5:$D$102,B378))</f>
        <v/>
      </c>
      <c r="K378" s="17"/>
      <c r="L378" s="51" t="str" cm="1">
        <f t="array" ref="L378">IF(K378="","",INDEX('Exercise list'!$C$5:$C$102,K378))</f>
        <v/>
      </c>
      <c r="M378" s="18"/>
      <c r="N378" s="76" t="str" cm="1">
        <f t="array" ref="N378">IF(M378="","",INDEX('Exercise list'!$C$5:$C$102,M378))</f>
        <v/>
      </c>
      <c r="O378" s="19"/>
      <c r="P378" s="19">
        <f>IFERROR(INDEX('Exercise list'!$E$5:$X$102,MATCH($C378,'Exercise list'!$C$5:$C$102,0),MATCH(P$5,'Exercise list'!$E$4:$X$4,0)),0)</f>
        <v>0</v>
      </c>
      <c r="Q378" s="19">
        <f>IFERROR(INDEX('Exercise list'!$E$5:$X$102,MATCH($C378,'Exercise list'!$C$5:$C$102,0),MATCH(Q$5,'Exercise list'!$E$4:$X$4,0)),0)</f>
        <v>0</v>
      </c>
      <c r="R378" s="19">
        <f>IFERROR(INDEX('Exercise list'!$E$5:$X$102,MATCH($C378,'Exercise list'!$C$5:$C$102,0),MATCH(R$5,'Exercise list'!$E$4:$X$4,0)),0)</f>
        <v>0</v>
      </c>
      <c r="S378" s="19">
        <f>IFERROR(INDEX('Exercise list'!$E$5:$X$102,MATCH($C378,'Exercise list'!$C$5:$C$102,0),MATCH(S$5,'Exercise list'!$E$4:$X$4,0)),0)</f>
        <v>0</v>
      </c>
      <c r="T378" s="19">
        <f>IFERROR(INDEX('Exercise list'!$E$5:$X$102,MATCH($C378,'Exercise list'!$C$5:$C$102,0),MATCH(T$5,'Exercise list'!$E$4:$X$4,0)),0)</f>
        <v>0</v>
      </c>
      <c r="U378" s="19">
        <f>IFERROR(INDEX('Exercise list'!$E$5:$X$102,MATCH($C378,'Exercise list'!$C$5:$C$102,0),MATCH(U$5,'Exercise list'!$E$4:$X$4,0)),0)</f>
        <v>0</v>
      </c>
      <c r="V378" s="19">
        <f>IFERROR(INDEX('Exercise list'!$E$5:$X$102,MATCH($C378,'Exercise list'!$C$5:$C$102,0),MATCH(V$5,'Exercise list'!$E$4:$X$4,0)),0)</f>
        <v>0</v>
      </c>
      <c r="W378" s="19">
        <f>IFERROR(INDEX('Exercise list'!$E$5:$X$102,MATCH($C378,'Exercise list'!$C$5:$C$102,0),MATCH(W$5,'Exercise list'!$E$4:$X$4,0)),0)</f>
        <v>0</v>
      </c>
      <c r="X378" s="19">
        <f>IFERROR(INDEX('Exercise list'!$E$5:$X$102,MATCH($C378,'Exercise list'!$C$5:$C$102,0),MATCH(X$5,'Exercise list'!$E$4:$X$4,0)),0)</f>
        <v>0</v>
      </c>
      <c r="Y378" s="19">
        <f>IFERROR(INDEX('Exercise list'!$E$5:$X$102,MATCH($C378,'Exercise list'!$C$5:$C$102,0),MATCH(Y$5,'Exercise list'!$E$4:$X$4,0)),0)</f>
        <v>0</v>
      </c>
      <c r="Z378" s="19">
        <f>IFERROR(INDEX('Exercise list'!$E$5:$X$102,MATCH($C378,'Exercise list'!$C$5:$C$102,0),MATCH(Z$5,'Exercise list'!$E$4:$X$4,0)),0)</f>
        <v>0</v>
      </c>
      <c r="AA378" s="19">
        <f>IFERROR(INDEX('Exercise list'!$E$5:$X$102,MATCH($C378,'Exercise list'!$C$5:$C$102,0),MATCH(AA$5,'Exercise list'!$E$4:$X$4,0)),0)</f>
        <v>0</v>
      </c>
      <c r="AB378" s="19">
        <f>IFERROR(INDEX('Exercise list'!$E$5:$X$102,MATCH($C378,'Exercise list'!$C$5:$C$102,0),MATCH(AB$5,'Exercise list'!$E$4:$X$4,0)),0)</f>
        <v>0</v>
      </c>
      <c r="AC378" s="19">
        <f>IFERROR(INDEX('Exercise list'!$E$5:$X$102,MATCH($C378,'Exercise list'!$C$5:$C$102,0),MATCH(AC$5,'Exercise list'!$E$4:$X$4,0)),0)</f>
        <v>0</v>
      </c>
      <c r="AD378" s="19">
        <f>IFERROR(INDEX('Exercise list'!$E$5:$X$102,MATCH($C378,'Exercise list'!$C$5:$C$102,0),MATCH(AD$5,'Exercise list'!$E$4:$X$4,0)),0)</f>
        <v>0</v>
      </c>
      <c r="AE378" s="19">
        <f>IFERROR(INDEX('Exercise list'!$E$5:$X$102,MATCH($C378,'Exercise list'!$C$5:$C$102,0),MATCH(AE$5,'Exercise list'!$E$4:$X$4,0)),0)</f>
        <v>0</v>
      </c>
      <c r="AF378" s="19">
        <f>IFERROR(INDEX('Exercise list'!$E$5:$X$102,MATCH($C378,'Exercise list'!$C$5:$C$102,0),MATCH(AF$5,'Exercise list'!$E$4:$X$4,0)),0)</f>
        <v>0</v>
      </c>
      <c r="AG378" s="19">
        <f>IFERROR(INDEX('Exercise list'!$E$5:$X$102,MATCH($C378,'Exercise list'!$C$5:$C$102,0),MATCH(AG$5,'Exercise list'!$E$4:$X$4,0)),0)</f>
        <v>0</v>
      </c>
      <c r="AH378" s="19">
        <f>IFERROR(INDEX('Exercise list'!$E$5:$X$102,MATCH($C378,'Exercise list'!$C$5:$C$102,0),MATCH(AH$5,'Exercise list'!$E$4:$X$4,0)),0)</f>
        <v>0</v>
      </c>
      <c r="AI378" s="19">
        <f>IFERROR(INDEX('Exercise list'!$E$5:$X$102,MATCH($C378,'Exercise list'!$C$5:$C$102,0),MATCH(AI$5,'Exercise list'!$E$4:$X$4,0)),0)</f>
        <v>0</v>
      </c>
      <c r="AJ378" s="19"/>
      <c r="AK378" s="19">
        <f>IF(OR($J378=1,COUNTIFS($A$5:$A377,"&gt;="&amp;$A378-1,$A$5:$A377,"&lt;="&amp;$A378,$B$5:$B377,$B378)&gt;0,MIN(1-'Exercise list'!E$2,IF($A378=$A377,AK377,1))-P378&lt;0),-1,MIN(1,IF($A378=$A377,AK377,1)-P378+$D$2))</f>
        <v>1</v>
      </c>
      <c r="AL378" s="19">
        <f>IF(OR($J378=1,COUNTIFS($A$5:$A377,"&gt;="&amp;$A378-1,$A$5:$A377,"&lt;="&amp;$A378,$B$5:$B377,$B378)&gt;0,MIN(1-'Exercise list'!F$2,IF($A378=$A377,AL377,1))-Q378&lt;0),-1,MIN(1,IF($A378=$A377,AL377,1)-Q378+$D$2))</f>
        <v>1</v>
      </c>
      <c r="AM378" s="19">
        <f>IF(OR($J378=1,COUNTIFS($A$5:$A377,"&gt;="&amp;$A378-1,$A$5:$A377,"&lt;="&amp;$A378,$B$5:$B377,$B378)&gt;0,MIN(1-'Exercise list'!G$2,IF($A378=$A377,AM377,1))-R378&lt;0),-1,MIN(1,IF($A378=$A377,AM377,1)-R378+$D$2))</f>
        <v>1</v>
      </c>
      <c r="AN378" s="19">
        <f>IF(OR($J378=1,COUNTIFS($A$5:$A377,"&gt;="&amp;$A378-1,$A$5:$A377,"&lt;="&amp;$A378,$B$5:$B377,$B378)&gt;0,MIN(1-'Exercise list'!H$2,IF($A378=$A377,AN377,1))-S378&lt;0),-1,MIN(1,IF($A378=$A377,AN377,1)-S378+$D$2))</f>
        <v>1</v>
      </c>
      <c r="AO378" s="19">
        <f>IF(OR($J378=1,COUNTIFS($A$5:$A377,"&gt;="&amp;$A378-1,$A$5:$A377,"&lt;="&amp;$A378,$B$5:$B377,$B378)&gt;0,MIN(1-'Exercise list'!I$2,IF($A378=$A377,AO377,1))-T378&lt;0),-1,MIN(1,IF($A378=$A377,AO377,1)-T378+$D$2))</f>
        <v>1</v>
      </c>
      <c r="AP378" s="19">
        <f>IF(OR($J378=1,COUNTIFS($A$5:$A377,"&gt;="&amp;$A378-1,$A$5:$A377,"&lt;="&amp;$A378,$B$5:$B377,$B378)&gt;0,MIN(1-'Exercise list'!J$2,IF($A378=$A377,AP377,1))-U378&lt;0),-1,MIN(1,IF($A378=$A377,AP377,1)-U378+$D$2))</f>
        <v>1</v>
      </c>
      <c r="AQ378" s="19">
        <f>IF(OR($J378=1,COUNTIFS($A$5:$A377,"&gt;="&amp;$A378-1,$A$5:$A377,"&lt;="&amp;$A378,$B$5:$B377,$B378)&gt;0,MIN(1-'Exercise list'!K$2,IF($A378=$A377,AQ377,1))-V378&lt;0),-1,MIN(1,IF($A378=$A377,AQ377,1)-V378+$D$2))</f>
        <v>1</v>
      </c>
      <c r="AR378" s="19">
        <f>IF(OR($J378=1,COUNTIFS($A$5:$A377,"&gt;="&amp;$A378-1,$A$5:$A377,"&lt;="&amp;$A378,$B$5:$B377,$B378)&gt;0,MIN(1-'Exercise list'!L$2,IF($A378=$A377,AR377,1))-W378&lt;0),-1,MIN(1,IF($A378=$A377,AR377,1)-W378+$D$2))</f>
        <v>1</v>
      </c>
      <c r="AS378" s="19">
        <f>IF(OR($J378=1,COUNTIFS($A$5:$A377,"&gt;="&amp;$A378-1,$A$5:$A377,"&lt;="&amp;$A378,$B$5:$B377,$B378)&gt;0,MIN(1-'Exercise list'!M$2,IF($A378=$A377,AS377,1))-X378&lt;0),-1,MIN(1,IF($A378=$A377,AS377,1)-X378+$D$2))</f>
        <v>1</v>
      </c>
      <c r="AT378" s="19">
        <f>IF(OR($J378=1,COUNTIFS($A$5:$A377,"&gt;="&amp;$A378-1,$A$5:$A377,"&lt;="&amp;$A378,$B$5:$B377,$B378)&gt;0,MIN(1-'Exercise list'!N$2,IF($A378=$A377,AT377,1))-Y378&lt;0),-1,MIN(1,IF($A378=$A377,AT377,1)-Y378+$D$2))</f>
        <v>1</v>
      </c>
      <c r="AU378" s="19">
        <f>IF(OR($J378=1,COUNTIFS($A$5:$A377,"&gt;="&amp;$A378-1,$A$5:$A377,"&lt;="&amp;$A378,$B$5:$B377,$B378)&gt;0,MIN(1-'Exercise list'!O$2,IF($A378=$A377,AU377,1))-Z378&lt;0),-1,MIN(1,IF($A378=$A377,AU377,1)-Z378+$D$2))</f>
        <v>1</v>
      </c>
      <c r="AV378" s="19">
        <f>IF(OR($J378=1,COUNTIFS($A$5:$A377,"&gt;="&amp;$A378-1,$A$5:$A377,"&lt;="&amp;$A378,$B$5:$B377,$B378)&gt;0,MIN(1-'Exercise list'!P$2,IF($A378=$A377,AV377,1))-AA378&lt;0),-1,MIN(1,IF($A378=$A377,AV377,1)-AA378+$D$2))</f>
        <v>1</v>
      </c>
      <c r="AW378" s="19">
        <f>IF(OR($J378=1,COUNTIFS($A$5:$A377,"&gt;="&amp;$A378-1,$A$5:$A377,"&lt;="&amp;$A378,$B$5:$B377,$B378)&gt;0,MIN(1-'Exercise list'!Q$2,IF($A378=$A377,AW377,1))-AB378&lt;0),-1,MIN(1,IF($A378=$A377,AW377,1)-AB378+$D$2))</f>
        <v>1</v>
      </c>
      <c r="AX378" s="19">
        <f>IF(OR($J378=1,COUNTIFS($A$5:$A377,"&gt;="&amp;$A378-1,$A$5:$A377,"&lt;="&amp;$A378,$B$5:$B377,$B378)&gt;0,MIN(1-'Exercise list'!R$2,IF($A378=$A377,AX377,1))-AC378&lt;0),-1,MIN(1,IF($A378=$A377,AX377,1)-AC378+$D$2))</f>
        <v>1</v>
      </c>
      <c r="AY378" s="19">
        <f>IF(OR($J378=1,COUNTIFS($A$5:$A377,"&gt;="&amp;$A378-1,$A$5:$A377,"&lt;="&amp;$A378,$B$5:$B377,$B378)&gt;0,MIN(1-'Exercise list'!S$2,IF($A378=$A377,AY377,1))-AD378&lt;0),-1,MIN(1,IF($A378=$A377,AY377,1)-AD378+$D$2))</f>
        <v>1</v>
      </c>
      <c r="AZ378" s="19">
        <f>IF(OR($J378=1,COUNTIFS($A$5:$A377,"&gt;="&amp;$A378-1,$A$5:$A377,"&lt;="&amp;$A378,$B$5:$B377,$B378)&gt;0,MIN(1-'Exercise list'!T$2,IF($A378=$A377,AZ377,1))-AE378&lt;0),-1,MIN(1,IF($A378=$A377,AZ377,1)-AE378+$D$2))</f>
        <v>1</v>
      </c>
      <c r="BA378" s="19">
        <f>IF(OR($J378=1,COUNTIFS($A$5:$A377,"&gt;="&amp;$A378-1,$A$5:$A377,"&lt;="&amp;$A378,$B$5:$B377,$B378)&gt;0,MIN(1-'Exercise list'!U$2,IF($A378=$A377,BA377,1))-AF378&lt;0),-1,MIN(1,IF($A378=$A377,BA377,1)-AF378+$D$2))</f>
        <v>1</v>
      </c>
      <c r="BB378" s="19">
        <f>IF(OR($J378=1,COUNTIFS($A$5:$A377,"&gt;="&amp;$A378-1,$A$5:$A377,"&lt;="&amp;$A378,$B$5:$B377,$B378)&gt;0,MIN(1-'Exercise list'!V$2,IF($A378=$A377,BB377,1))-AG378&lt;0),-1,MIN(1,IF($A378=$A377,BB377,1)-AG378+$D$2))</f>
        <v>1</v>
      </c>
      <c r="BC378" s="19">
        <f>IF(OR($J378=1,COUNTIFS($A$5:$A377,"&gt;="&amp;$A378-1,$A$5:$A377,"&lt;="&amp;$A378,$B$5:$B377,$B378)&gt;0,MIN(1-'Exercise list'!W$2,IF($A378=$A377,BC377,1))-AH378&lt;0),-1,MIN(1,IF($A378=$A377,BC377,1)-AH378+$D$2))</f>
        <v>1</v>
      </c>
      <c r="BD378" s="19">
        <f>IF(OR($J378=1,COUNTIFS($A$5:$A377,"&gt;="&amp;$A378-1,$A$5:$A377,"&lt;="&amp;$A378,$B$5:$B377,$B378)&gt;0,MIN(1-'Exercise list'!X$2,IF($A378=$A377,BD377,1))-AI378&lt;0),-1,MIN(1,IF($A378=$A377,BD377,1)-AI378+$D$2))</f>
        <v>1</v>
      </c>
      <c r="BE378" s="19"/>
      <c r="BF378" s="23">
        <f t="shared" si="277"/>
        <v>0.19596031081758858</v>
      </c>
      <c r="BG378" s="23">
        <f t="shared" si="278"/>
        <v>0.21844636935459236</v>
      </c>
      <c r="BH378" s="23">
        <f t="shared" si="279"/>
        <v>0.14609696635987124</v>
      </c>
      <c r="BI378" s="23">
        <f t="shared" si="280"/>
        <v>0.13198015366034541</v>
      </c>
      <c r="BJ378" s="23">
        <f t="shared" si="281"/>
        <v>8.3367914198418713E-2</v>
      </c>
      <c r="BK378" s="23">
        <f t="shared" si="282"/>
        <v>0.10640640223148412</v>
      </c>
      <c r="BL378" s="23">
        <f t="shared" si="283"/>
        <v>0.21963504743569431</v>
      </c>
      <c r="BM378" s="23">
        <f t="shared" si="284"/>
        <v>3.8988008374820568E-3</v>
      </c>
      <c r="BN378" s="23">
        <f t="shared" si="285"/>
        <v>0.14537706087090876</v>
      </c>
      <c r="BO378" s="23">
        <f t="shared" si="286"/>
        <v>0.29209790661993401</v>
      </c>
      <c r="BP378" s="23">
        <f t="shared" si="287"/>
        <v>0.31584545163401867</v>
      </c>
      <c r="BQ378" s="23">
        <f t="shared" si="288"/>
        <v>0.1000007994126096</v>
      </c>
      <c r="BR378" s="23">
        <f t="shared" si="289"/>
        <v>0.13164487759885393</v>
      </c>
      <c r="BS378" s="23">
        <f t="shared" si="290"/>
        <v>2.9803550189863123E-2</v>
      </c>
      <c r="BT378" s="23">
        <f t="shared" si="291"/>
        <v>0.13492040904978705</v>
      </c>
      <c r="BU378" s="23">
        <f t="shared" si="292"/>
        <v>0.11703687414398131</v>
      </c>
      <c r="BV378" s="23">
        <f t="shared" si="293"/>
        <v>0.14633353213781661</v>
      </c>
      <c r="BW378" s="23">
        <f t="shared" si="294"/>
        <v>7.5588015111767173E-2</v>
      </c>
      <c r="BX378" s="23">
        <f t="shared" si="295"/>
        <v>8.0345659937185704E-2</v>
      </c>
      <c r="BY378" s="23">
        <f t="shared" si="296"/>
        <v>5.9014643151272549E-2</v>
      </c>
      <c r="BZ378" s="19"/>
      <c r="CA378" s="23" t="str">
        <f t="shared" si="273"/>
        <v/>
      </c>
      <c r="CB378" s="23" t="str">
        <f t="shared" si="254"/>
        <v/>
      </c>
      <c r="CC378" s="23" t="str">
        <f t="shared" si="255"/>
        <v/>
      </c>
      <c r="CD378" s="23" t="str">
        <f t="shared" si="256"/>
        <v/>
      </c>
      <c r="CE378" s="23" t="str">
        <f t="shared" si="257"/>
        <v/>
      </c>
      <c r="CF378" s="23" t="str">
        <f t="shared" si="258"/>
        <v/>
      </c>
      <c r="CG378" s="23" t="str">
        <f t="shared" si="259"/>
        <v/>
      </c>
      <c r="CH378" s="23" t="str">
        <f t="shared" si="260"/>
        <v/>
      </c>
      <c r="CI378" s="23" t="str">
        <f t="shared" si="261"/>
        <v/>
      </c>
      <c r="CJ378" s="23" t="str">
        <f t="shared" si="262"/>
        <v/>
      </c>
      <c r="CK378" s="23" t="str">
        <f t="shared" si="263"/>
        <v/>
      </c>
      <c r="CL378" s="23" t="str">
        <f t="shared" si="264"/>
        <v/>
      </c>
      <c r="CM378" s="23" t="str">
        <f t="shared" si="265"/>
        <v/>
      </c>
      <c r="CN378" s="23" t="str">
        <f t="shared" si="266"/>
        <v/>
      </c>
      <c r="CO378" s="23" t="str">
        <f t="shared" si="267"/>
        <v/>
      </c>
      <c r="CP378" s="23" t="str">
        <f t="shared" si="268"/>
        <v/>
      </c>
      <c r="CQ378" s="23" t="str">
        <f t="shared" si="269"/>
        <v/>
      </c>
      <c r="CR378" s="23" t="str">
        <f t="shared" si="270"/>
        <v/>
      </c>
      <c r="CS378" s="23" t="str">
        <f t="shared" si="271"/>
        <v/>
      </c>
      <c r="CT378" s="23" t="str">
        <f t="shared" si="272"/>
        <v/>
      </c>
      <c r="CU378" s="19"/>
    </row>
    <row r="379" spans="1:99" x14ac:dyDescent="0.25">
      <c r="A379" s="13"/>
      <c r="B379" s="14"/>
      <c r="C379" s="15" t="str" cm="1">
        <f t="array" ref="C379">IF(B379="","",INDEX('Exercise list'!$C$5:$C$102,B379))</f>
        <v/>
      </c>
      <c r="D379" s="12" t="str">
        <f t="shared" si="274"/>
        <v/>
      </c>
      <c r="E379" s="107" t="str">
        <f t="shared" si="297"/>
        <v/>
      </c>
      <c r="F379" s="63" t="str" cm="1">
        <f t="array" ref="F379">IF(B379="","",0.1+IFERROR(INDEX($F$6:$F378,SUMPRODUCT(MAX(ROW($C$6:$C378)*($C379=$C$6:$C378))-ROW($A$5)))*0.9^($A379-INDEX($A$6:A378,SUMPRODUCT(MAX(ROW($C$6:$C378)*($C379=$C$6:$C378))-ROW($A$5)))),0))</f>
        <v/>
      </c>
      <c r="G379" s="64" t="e">
        <f>INDEX('Exercise list'!$Y$5:$Y$102,MATCH(C379,'Exercise list'!$C$5:$C$102,0))</f>
        <v>#N/A</v>
      </c>
      <c r="H379" s="115">
        <f t="shared" si="275"/>
        <v>0</v>
      </c>
      <c r="I379" s="42">
        <f t="shared" si="276"/>
        <v>5</v>
      </c>
      <c r="J379" s="6" t="str" cm="1">
        <f t="array" ref="J379">IF(B379="","",INDEX('Exercise list'!$D$5:$D$102,B379))</f>
        <v/>
      </c>
      <c r="K379" s="12"/>
      <c r="L379" s="74" t="str" cm="1">
        <f t="array" ref="L379">IF(K379="","",INDEX('Exercise list'!$C$5:$C$102,K379))</f>
        <v/>
      </c>
      <c r="M379" s="6"/>
      <c r="N379" s="75" t="str" cm="1">
        <f t="array" ref="N379">IF(M379="","",INDEX('Exercise list'!$C$5:$C$102,M379))</f>
        <v/>
      </c>
      <c r="P379">
        <f>IFERROR(INDEX('Exercise list'!$E$5:$X$102,MATCH($C379,'Exercise list'!$C$5:$C$102,0),MATCH(P$5,'Exercise list'!$E$4:$X$4,0)),0)</f>
        <v>0</v>
      </c>
      <c r="Q379">
        <f>IFERROR(INDEX('Exercise list'!$E$5:$X$102,MATCH($C379,'Exercise list'!$C$5:$C$102,0),MATCH(Q$5,'Exercise list'!$E$4:$X$4,0)),0)</f>
        <v>0</v>
      </c>
      <c r="R379">
        <f>IFERROR(INDEX('Exercise list'!$E$5:$X$102,MATCH($C379,'Exercise list'!$C$5:$C$102,0),MATCH(R$5,'Exercise list'!$E$4:$X$4,0)),0)</f>
        <v>0</v>
      </c>
      <c r="S379">
        <f>IFERROR(INDEX('Exercise list'!$E$5:$X$102,MATCH($C379,'Exercise list'!$C$5:$C$102,0),MATCH(S$5,'Exercise list'!$E$4:$X$4,0)),0)</f>
        <v>0</v>
      </c>
      <c r="T379">
        <f>IFERROR(INDEX('Exercise list'!$E$5:$X$102,MATCH($C379,'Exercise list'!$C$5:$C$102,0),MATCH(T$5,'Exercise list'!$E$4:$X$4,0)),0)</f>
        <v>0</v>
      </c>
      <c r="U379">
        <f>IFERROR(INDEX('Exercise list'!$E$5:$X$102,MATCH($C379,'Exercise list'!$C$5:$C$102,0),MATCH(U$5,'Exercise list'!$E$4:$X$4,0)),0)</f>
        <v>0</v>
      </c>
      <c r="V379">
        <f>IFERROR(INDEX('Exercise list'!$E$5:$X$102,MATCH($C379,'Exercise list'!$C$5:$C$102,0),MATCH(V$5,'Exercise list'!$E$4:$X$4,0)),0)</f>
        <v>0</v>
      </c>
      <c r="W379">
        <f>IFERROR(INDEX('Exercise list'!$E$5:$X$102,MATCH($C379,'Exercise list'!$C$5:$C$102,0),MATCH(W$5,'Exercise list'!$E$4:$X$4,0)),0)</f>
        <v>0</v>
      </c>
      <c r="X379">
        <f>IFERROR(INDEX('Exercise list'!$E$5:$X$102,MATCH($C379,'Exercise list'!$C$5:$C$102,0),MATCH(X$5,'Exercise list'!$E$4:$X$4,0)),0)</f>
        <v>0</v>
      </c>
      <c r="Y379">
        <f>IFERROR(INDEX('Exercise list'!$E$5:$X$102,MATCH($C379,'Exercise list'!$C$5:$C$102,0),MATCH(Y$5,'Exercise list'!$E$4:$X$4,0)),0)</f>
        <v>0</v>
      </c>
      <c r="Z379">
        <f>IFERROR(INDEX('Exercise list'!$E$5:$X$102,MATCH($C379,'Exercise list'!$C$5:$C$102,0),MATCH(Z$5,'Exercise list'!$E$4:$X$4,0)),0)</f>
        <v>0</v>
      </c>
      <c r="AA379">
        <f>IFERROR(INDEX('Exercise list'!$E$5:$X$102,MATCH($C379,'Exercise list'!$C$5:$C$102,0),MATCH(AA$5,'Exercise list'!$E$4:$X$4,0)),0)</f>
        <v>0</v>
      </c>
      <c r="AB379">
        <f>IFERROR(INDEX('Exercise list'!$E$5:$X$102,MATCH($C379,'Exercise list'!$C$5:$C$102,0),MATCH(AB$5,'Exercise list'!$E$4:$X$4,0)),0)</f>
        <v>0</v>
      </c>
      <c r="AC379">
        <f>IFERROR(INDEX('Exercise list'!$E$5:$X$102,MATCH($C379,'Exercise list'!$C$5:$C$102,0),MATCH(AC$5,'Exercise list'!$E$4:$X$4,0)),0)</f>
        <v>0</v>
      </c>
      <c r="AD379">
        <f>IFERROR(INDEX('Exercise list'!$E$5:$X$102,MATCH($C379,'Exercise list'!$C$5:$C$102,0),MATCH(AD$5,'Exercise list'!$E$4:$X$4,0)),0)</f>
        <v>0</v>
      </c>
      <c r="AE379">
        <f>IFERROR(INDEX('Exercise list'!$E$5:$X$102,MATCH($C379,'Exercise list'!$C$5:$C$102,0),MATCH(AE$5,'Exercise list'!$E$4:$X$4,0)),0)</f>
        <v>0</v>
      </c>
      <c r="AF379">
        <f>IFERROR(INDEX('Exercise list'!$E$5:$X$102,MATCH($C379,'Exercise list'!$C$5:$C$102,0),MATCH(AF$5,'Exercise list'!$E$4:$X$4,0)),0)</f>
        <v>0</v>
      </c>
      <c r="AG379">
        <f>IFERROR(INDEX('Exercise list'!$E$5:$X$102,MATCH($C379,'Exercise list'!$C$5:$C$102,0),MATCH(AG$5,'Exercise list'!$E$4:$X$4,0)),0)</f>
        <v>0</v>
      </c>
      <c r="AH379">
        <f>IFERROR(INDEX('Exercise list'!$E$5:$X$102,MATCH($C379,'Exercise list'!$C$5:$C$102,0),MATCH(AH$5,'Exercise list'!$E$4:$X$4,0)),0)</f>
        <v>0</v>
      </c>
      <c r="AI379">
        <f>IFERROR(INDEX('Exercise list'!$E$5:$X$102,MATCH($C379,'Exercise list'!$C$5:$C$102,0),MATCH(AI$5,'Exercise list'!$E$4:$X$4,0)),0)</f>
        <v>0</v>
      </c>
      <c r="AK379">
        <f>IF(OR($J379=1,COUNTIFS($A$5:$A378,"&gt;="&amp;$A379-1,$A$5:$A378,"&lt;="&amp;$A379,$B$5:$B378,$B379)&gt;0,MIN(1-'Exercise list'!E$2,IF($A379=$A378,AK378,1))-P379&lt;0),-1,MIN(1,IF($A379=$A378,AK378,1)-P379+$D$2))</f>
        <v>1</v>
      </c>
      <c r="AL379">
        <f>IF(OR($J379=1,COUNTIFS($A$5:$A378,"&gt;="&amp;$A379-1,$A$5:$A378,"&lt;="&amp;$A379,$B$5:$B378,$B379)&gt;0,MIN(1-'Exercise list'!F$2,IF($A379=$A378,AL378,1))-Q379&lt;0),-1,MIN(1,IF($A379=$A378,AL378,1)-Q379+$D$2))</f>
        <v>1</v>
      </c>
      <c r="AM379">
        <f>IF(OR($J379=1,COUNTIFS($A$5:$A378,"&gt;="&amp;$A379-1,$A$5:$A378,"&lt;="&amp;$A379,$B$5:$B378,$B379)&gt;0,MIN(1-'Exercise list'!G$2,IF($A379=$A378,AM378,1))-R379&lt;0),-1,MIN(1,IF($A379=$A378,AM378,1)-R379+$D$2))</f>
        <v>1</v>
      </c>
      <c r="AN379">
        <f>IF(OR($J379=1,COUNTIFS($A$5:$A378,"&gt;="&amp;$A379-1,$A$5:$A378,"&lt;="&amp;$A379,$B$5:$B378,$B379)&gt;0,MIN(1-'Exercise list'!H$2,IF($A379=$A378,AN378,1))-S379&lt;0),-1,MIN(1,IF($A379=$A378,AN378,1)-S379+$D$2))</f>
        <v>1</v>
      </c>
      <c r="AO379">
        <f>IF(OR($J379=1,COUNTIFS($A$5:$A378,"&gt;="&amp;$A379-1,$A$5:$A378,"&lt;="&amp;$A379,$B$5:$B378,$B379)&gt;0,MIN(1-'Exercise list'!I$2,IF($A379=$A378,AO378,1))-T379&lt;0),-1,MIN(1,IF($A379=$A378,AO378,1)-T379+$D$2))</f>
        <v>1</v>
      </c>
      <c r="AP379">
        <f>IF(OR($J379=1,COUNTIFS($A$5:$A378,"&gt;="&amp;$A379-1,$A$5:$A378,"&lt;="&amp;$A379,$B$5:$B378,$B379)&gt;0,MIN(1-'Exercise list'!J$2,IF($A379=$A378,AP378,1))-U379&lt;0),-1,MIN(1,IF($A379=$A378,AP378,1)-U379+$D$2))</f>
        <v>1</v>
      </c>
      <c r="AQ379">
        <f>IF(OR($J379=1,COUNTIFS($A$5:$A378,"&gt;="&amp;$A379-1,$A$5:$A378,"&lt;="&amp;$A379,$B$5:$B378,$B379)&gt;0,MIN(1-'Exercise list'!K$2,IF($A379=$A378,AQ378,1))-V379&lt;0),-1,MIN(1,IF($A379=$A378,AQ378,1)-V379+$D$2))</f>
        <v>1</v>
      </c>
      <c r="AR379">
        <f>IF(OR($J379=1,COUNTIFS($A$5:$A378,"&gt;="&amp;$A379-1,$A$5:$A378,"&lt;="&amp;$A379,$B$5:$B378,$B379)&gt;0,MIN(1-'Exercise list'!L$2,IF($A379=$A378,AR378,1))-W379&lt;0),-1,MIN(1,IF($A379=$A378,AR378,1)-W379+$D$2))</f>
        <v>1</v>
      </c>
      <c r="AS379">
        <f>IF(OR($J379=1,COUNTIFS($A$5:$A378,"&gt;="&amp;$A379-1,$A$5:$A378,"&lt;="&amp;$A379,$B$5:$B378,$B379)&gt;0,MIN(1-'Exercise list'!M$2,IF($A379=$A378,AS378,1))-X379&lt;0),-1,MIN(1,IF($A379=$A378,AS378,1)-X379+$D$2))</f>
        <v>1</v>
      </c>
      <c r="AT379">
        <f>IF(OR($J379=1,COUNTIFS($A$5:$A378,"&gt;="&amp;$A379-1,$A$5:$A378,"&lt;="&amp;$A379,$B$5:$B378,$B379)&gt;0,MIN(1-'Exercise list'!N$2,IF($A379=$A378,AT378,1))-Y379&lt;0),-1,MIN(1,IF($A379=$A378,AT378,1)-Y379+$D$2))</f>
        <v>1</v>
      </c>
      <c r="AU379">
        <f>IF(OR($J379=1,COUNTIFS($A$5:$A378,"&gt;="&amp;$A379-1,$A$5:$A378,"&lt;="&amp;$A379,$B$5:$B378,$B379)&gt;0,MIN(1-'Exercise list'!O$2,IF($A379=$A378,AU378,1))-Z379&lt;0),-1,MIN(1,IF($A379=$A378,AU378,1)-Z379+$D$2))</f>
        <v>1</v>
      </c>
      <c r="AV379">
        <f>IF(OR($J379=1,COUNTIFS($A$5:$A378,"&gt;="&amp;$A379-1,$A$5:$A378,"&lt;="&amp;$A379,$B$5:$B378,$B379)&gt;0,MIN(1-'Exercise list'!P$2,IF($A379=$A378,AV378,1))-AA379&lt;0),-1,MIN(1,IF($A379=$A378,AV378,1)-AA379+$D$2))</f>
        <v>1</v>
      </c>
      <c r="AW379">
        <f>IF(OR($J379=1,COUNTIFS($A$5:$A378,"&gt;="&amp;$A379-1,$A$5:$A378,"&lt;="&amp;$A379,$B$5:$B378,$B379)&gt;0,MIN(1-'Exercise list'!Q$2,IF($A379=$A378,AW378,1))-AB379&lt;0),-1,MIN(1,IF($A379=$A378,AW378,1)-AB379+$D$2))</f>
        <v>1</v>
      </c>
      <c r="AX379">
        <f>IF(OR($J379=1,COUNTIFS($A$5:$A378,"&gt;="&amp;$A379-1,$A$5:$A378,"&lt;="&amp;$A379,$B$5:$B378,$B379)&gt;0,MIN(1-'Exercise list'!R$2,IF($A379=$A378,AX378,1))-AC379&lt;0),-1,MIN(1,IF($A379=$A378,AX378,1)-AC379+$D$2))</f>
        <v>1</v>
      </c>
      <c r="AY379">
        <f>IF(OR($J379=1,COUNTIFS($A$5:$A378,"&gt;="&amp;$A379-1,$A$5:$A378,"&lt;="&amp;$A379,$B$5:$B378,$B379)&gt;0,MIN(1-'Exercise list'!S$2,IF($A379=$A378,AY378,1))-AD379&lt;0),-1,MIN(1,IF($A379=$A378,AY378,1)-AD379+$D$2))</f>
        <v>1</v>
      </c>
      <c r="AZ379">
        <f>IF(OR($J379=1,COUNTIFS($A$5:$A378,"&gt;="&amp;$A379-1,$A$5:$A378,"&lt;="&amp;$A379,$B$5:$B378,$B379)&gt;0,MIN(1-'Exercise list'!T$2,IF($A379=$A378,AZ378,1))-AE379&lt;0),-1,MIN(1,IF($A379=$A378,AZ378,1)-AE379+$D$2))</f>
        <v>1</v>
      </c>
      <c r="BA379">
        <f>IF(OR($J379=1,COUNTIFS($A$5:$A378,"&gt;="&amp;$A379-1,$A$5:$A378,"&lt;="&amp;$A379,$B$5:$B378,$B379)&gt;0,MIN(1-'Exercise list'!U$2,IF($A379=$A378,BA378,1))-AF379&lt;0),-1,MIN(1,IF($A379=$A378,BA378,1)-AF379+$D$2))</f>
        <v>1</v>
      </c>
      <c r="BB379">
        <f>IF(OR($J379=1,COUNTIFS($A$5:$A378,"&gt;="&amp;$A379-1,$A$5:$A378,"&lt;="&amp;$A379,$B$5:$B378,$B379)&gt;0,MIN(1-'Exercise list'!V$2,IF($A379=$A378,BB378,1))-AG379&lt;0),-1,MIN(1,IF($A379=$A378,BB378,1)-AG379+$D$2))</f>
        <v>1</v>
      </c>
      <c r="BC379">
        <f>IF(OR($J379=1,COUNTIFS($A$5:$A378,"&gt;="&amp;$A379-1,$A$5:$A378,"&lt;="&amp;$A379,$B$5:$B378,$B379)&gt;0,MIN(1-'Exercise list'!W$2,IF($A379=$A378,BC378,1))-AH379&lt;0),-1,MIN(1,IF($A379=$A378,BC378,1)-AH379+$D$2))</f>
        <v>1</v>
      </c>
      <c r="BD379">
        <f>IF(OR($J379=1,COUNTIFS($A$5:$A378,"&gt;="&amp;$A379-1,$A$5:$A378,"&lt;="&amp;$A379,$B$5:$B378,$B379)&gt;0,MIN(1-'Exercise list'!X$2,IF($A379=$A378,BD378,1))-AI379&lt;0),-1,MIN(1,IF($A379=$A378,BD378,1)-AI379+$D$2))</f>
        <v>1</v>
      </c>
      <c r="BF379" s="16">
        <f t="shared" si="277"/>
        <v>0.19596031081758858</v>
      </c>
      <c r="BG379" s="16">
        <f t="shared" si="278"/>
        <v>0.21844636935459236</v>
      </c>
      <c r="BH379" s="16">
        <f t="shared" si="279"/>
        <v>0.14609696635987124</v>
      </c>
      <c r="BI379" s="16">
        <f t="shared" si="280"/>
        <v>0.13198015366034541</v>
      </c>
      <c r="BJ379" s="16">
        <f t="shared" si="281"/>
        <v>8.3367914198418713E-2</v>
      </c>
      <c r="BK379" s="16">
        <f t="shared" si="282"/>
        <v>0.10640640223148412</v>
      </c>
      <c r="BL379" s="16">
        <f t="shared" si="283"/>
        <v>0.21963504743569431</v>
      </c>
      <c r="BM379" s="16">
        <f t="shared" si="284"/>
        <v>3.8988008374820568E-3</v>
      </c>
      <c r="BN379" s="16">
        <f t="shared" si="285"/>
        <v>0.14537706087090876</v>
      </c>
      <c r="BO379" s="16">
        <f t="shared" si="286"/>
        <v>0.29209790661993401</v>
      </c>
      <c r="BP379" s="16">
        <f t="shared" si="287"/>
        <v>0.31584545163401867</v>
      </c>
      <c r="BQ379" s="16">
        <f t="shared" si="288"/>
        <v>0.1000007994126096</v>
      </c>
      <c r="BR379" s="16">
        <f t="shared" si="289"/>
        <v>0.13164487759885393</v>
      </c>
      <c r="BS379" s="16">
        <f t="shared" si="290"/>
        <v>2.9803550189863123E-2</v>
      </c>
      <c r="BT379" s="16">
        <f t="shared" si="291"/>
        <v>0.13492040904978705</v>
      </c>
      <c r="BU379" s="16">
        <f t="shared" si="292"/>
        <v>0.11703687414398131</v>
      </c>
      <c r="BV379" s="16">
        <f t="shared" si="293"/>
        <v>0.14633353213781661</v>
      </c>
      <c r="BW379" s="16">
        <f t="shared" si="294"/>
        <v>7.5588015111767173E-2</v>
      </c>
      <c r="BX379" s="16">
        <f t="shared" si="295"/>
        <v>8.0345659937185704E-2</v>
      </c>
      <c r="BY379" s="16">
        <f t="shared" si="296"/>
        <v>5.9014643151272549E-2</v>
      </c>
      <c r="CA379" s="16" t="str">
        <f t="shared" si="273"/>
        <v/>
      </c>
      <c r="CB379" s="16" t="str">
        <f t="shared" si="254"/>
        <v/>
      </c>
      <c r="CC379" s="16" t="str">
        <f t="shared" si="255"/>
        <v/>
      </c>
      <c r="CD379" s="16" t="str">
        <f t="shared" si="256"/>
        <v/>
      </c>
      <c r="CE379" s="16" t="str">
        <f t="shared" si="257"/>
        <v/>
      </c>
      <c r="CF379" s="16" t="str">
        <f t="shared" si="258"/>
        <v/>
      </c>
      <c r="CG379" s="16" t="str">
        <f t="shared" si="259"/>
        <v/>
      </c>
      <c r="CH379" s="16" t="str">
        <f t="shared" si="260"/>
        <v/>
      </c>
      <c r="CI379" s="16" t="str">
        <f t="shared" si="261"/>
        <v/>
      </c>
      <c r="CJ379" s="16" t="str">
        <f t="shared" si="262"/>
        <v/>
      </c>
      <c r="CK379" s="16" t="str">
        <f t="shared" si="263"/>
        <v/>
      </c>
      <c r="CL379" s="16" t="str">
        <f t="shared" si="264"/>
        <v/>
      </c>
      <c r="CM379" s="16" t="str">
        <f t="shared" si="265"/>
        <v/>
      </c>
      <c r="CN379" s="16" t="str">
        <f t="shared" si="266"/>
        <v/>
      </c>
      <c r="CO379" s="16" t="str">
        <f t="shared" si="267"/>
        <v/>
      </c>
      <c r="CP379" s="16" t="str">
        <f t="shared" si="268"/>
        <v/>
      </c>
      <c r="CQ379" s="16" t="str">
        <f t="shared" si="269"/>
        <v/>
      </c>
      <c r="CR379" s="16" t="str">
        <f t="shared" si="270"/>
        <v/>
      </c>
      <c r="CS379" s="16" t="str">
        <f t="shared" si="271"/>
        <v/>
      </c>
      <c r="CT379" s="16" t="str">
        <f t="shared" si="272"/>
        <v/>
      </c>
    </row>
    <row r="380" spans="1:99" x14ac:dyDescent="0.25">
      <c r="A380" s="13"/>
      <c r="B380" s="14"/>
      <c r="C380" s="15" t="str" cm="1">
        <f t="array" ref="C380">IF(B380="","",INDEX('Exercise list'!$C$5:$C$102,B380))</f>
        <v/>
      </c>
      <c r="D380" s="12" t="str">
        <f t="shared" si="274"/>
        <v/>
      </c>
      <c r="E380" s="107" t="str">
        <f t="shared" si="297"/>
        <v/>
      </c>
      <c r="F380" s="63" t="str" cm="1">
        <f t="array" ref="F380">IF(B380="","",0.1+IFERROR(INDEX($F$6:$F379,SUMPRODUCT(MAX(ROW($C$6:$C379)*($C380=$C$6:$C379))-ROW($A$5)))*0.9^($A380-INDEX($A$6:A379,SUMPRODUCT(MAX(ROW($C$6:$C379)*($C380=$C$6:$C379))-ROW($A$5)))),0))</f>
        <v/>
      </c>
      <c r="G380" s="64" t="e">
        <f>INDEX('Exercise list'!$Y$5:$Y$102,MATCH(C380,'Exercise list'!$C$5:$C$102,0))</f>
        <v>#N/A</v>
      </c>
      <c r="H380" s="115">
        <f t="shared" si="275"/>
        <v>0</v>
      </c>
      <c r="I380" s="6">
        <f t="shared" si="276"/>
        <v>5</v>
      </c>
      <c r="J380" s="6" t="str" cm="1">
        <f t="array" ref="J380">IF(B380="","",INDEX('Exercise list'!$D$5:$D$102,B380))</f>
        <v/>
      </c>
      <c r="K380" s="12"/>
      <c r="L380" s="74" t="str" cm="1">
        <f t="array" ref="L380">IF(K380="","",INDEX('Exercise list'!$C$5:$C$102,K380))</f>
        <v/>
      </c>
      <c r="M380" s="6"/>
      <c r="N380" s="75" t="str" cm="1">
        <f t="array" ref="N380">IF(M380="","",INDEX('Exercise list'!$C$5:$C$102,M380))</f>
        <v/>
      </c>
      <c r="P380">
        <f>IFERROR(INDEX('Exercise list'!$E$5:$X$102,MATCH($C380,'Exercise list'!$C$5:$C$102,0),MATCH(P$5,'Exercise list'!$E$4:$X$4,0)),0)</f>
        <v>0</v>
      </c>
      <c r="Q380">
        <f>IFERROR(INDEX('Exercise list'!$E$5:$X$102,MATCH($C380,'Exercise list'!$C$5:$C$102,0),MATCH(Q$5,'Exercise list'!$E$4:$X$4,0)),0)</f>
        <v>0</v>
      </c>
      <c r="R380">
        <f>IFERROR(INDEX('Exercise list'!$E$5:$X$102,MATCH($C380,'Exercise list'!$C$5:$C$102,0),MATCH(R$5,'Exercise list'!$E$4:$X$4,0)),0)</f>
        <v>0</v>
      </c>
      <c r="S380">
        <f>IFERROR(INDEX('Exercise list'!$E$5:$X$102,MATCH($C380,'Exercise list'!$C$5:$C$102,0),MATCH(S$5,'Exercise list'!$E$4:$X$4,0)),0)</f>
        <v>0</v>
      </c>
      <c r="T380">
        <f>IFERROR(INDEX('Exercise list'!$E$5:$X$102,MATCH($C380,'Exercise list'!$C$5:$C$102,0),MATCH(T$5,'Exercise list'!$E$4:$X$4,0)),0)</f>
        <v>0</v>
      </c>
      <c r="U380">
        <f>IFERROR(INDEX('Exercise list'!$E$5:$X$102,MATCH($C380,'Exercise list'!$C$5:$C$102,0),MATCH(U$5,'Exercise list'!$E$4:$X$4,0)),0)</f>
        <v>0</v>
      </c>
      <c r="V380">
        <f>IFERROR(INDEX('Exercise list'!$E$5:$X$102,MATCH($C380,'Exercise list'!$C$5:$C$102,0),MATCH(V$5,'Exercise list'!$E$4:$X$4,0)),0)</f>
        <v>0</v>
      </c>
      <c r="W380">
        <f>IFERROR(INDEX('Exercise list'!$E$5:$X$102,MATCH($C380,'Exercise list'!$C$5:$C$102,0),MATCH(W$5,'Exercise list'!$E$4:$X$4,0)),0)</f>
        <v>0</v>
      </c>
      <c r="X380">
        <f>IFERROR(INDEX('Exercise list'!$E$5:$X$102,MATCH($C380,'Exercise list'!$C$5:$C$102,0),MATCH(X$5,'Exercise list'!$E$4:$X$4,0)),0)</f>
        <v>0</v>
      </c>
      <c r="Y380">
        <f>IFERROR(INDEX('Exercise list'!$E$5:$X$102,MATCH($C380,'Exercise list'!$C$5:$C$102,0),MATCH(Y$5,'Exercise list'!$E$4:$X$4,0)),0)</f>
        <v>0</v>
      </c>
      <c r="Z380">
        <f>IFERROR(INDEX('Exercise list'!$E$5:$X$102,MATCH($C380,'Exercise list'!$C$5:$C$102,0),MATCH(Z$5,'Exercise list'!$E$4:$X$4,0)),0)</f>
        <v>0</v>
      </c>
      <c r="AA380">
        <f>IFERROR(INDEX('Exercise list'!$E$5:$X$102,MATCH($C380,'Exercise list'!$C$5:$C$102,0),MATCH(AA$5,'Exercise list'!$E$4:$X$4,0)),0)</f>
        <v>0</v>
      </c>
      <c r="AB380">
        <f>IFERROR(INDEX('Exercise list'!$E$5:$X$102,MATCH($C380,'Exercise list'!$C$5:$C$102,0),MATCH(AB$5,'Exercise list'!$E$4:$X$4,0)),0)</f>
        <v>0</v>
      </c>
      <c r="AC380">
        <f>IFERROR(INDEX('Exercise list'!$E$5:$X$102,MATCH($C380,'Exercise list'!$C$5:$C$102,0),MATCH(AC$5,'Exercise list'!$E$4:$X$4,0)),0)</f>
        <v>0</v>
      </c>
      <c r="AD380">
        <f>IFERROR(INDEX('Exercise list'!$E$5:$X$102,MATCH($C380,'Exercise list'!$C$5:$C$102,0),MATCH(AD$5,'Exercise list'!$E$4:$X$4,0)),0)</f>
        <v>0</v>
      </c>
      <c r="AE380">
        <f>IFERROR(INDEX('Exercise list'!$E$5:$X$102,MATCH($C380,'Exercise list'!$C$5:$C$102,0),MATCH(AE$5,'Exercise list'!$E$4:$X$4,0)),0)</f>
        <v>0</v>
      </c>
      <c r="AF380">
        <f>IFERROR(INDEX('Exercise list'!$E$5:$X$102,MATCH($C380,'Exercise list'!$C$5:$C$102,0),MATCH(AF$5,'Exercise list'!$E$4:$X$4,0)),0)</f>
        <v>0</v>
      </c>
      <c r="AG380">
        <f>IFERROR(INDEX('Exercise list'!$E$5:$X$102,MATCH($C380,'Exercise list'!$C$5:$C$102,0),MATCH(AG$5,'Exercise list'!$E$4:$X$4,0)),0)</f>
        <v>0</v>
      </c>
      <c r="AH380">
        <f>IFERROR(INDEX('Exercise list'!$E$5:$X$102,MATCH($C380,'Exercise list'!$C$5:$C$102,0),MATCH(AH$5,'Exercise list'!$E$4:$X$4,0)),0)</f>
        <v>0</v>
      </c>
      <c r="AI380">
        <f>IFERROR(INDEX('Exercise list'!$E$5:$X$102,MATCH($C380,'Exercise list'!$C$5:$C$102,0),MATCH(AI$5,'Exercise list'!$E$4:$X$4,0)),0)</f>
        <v>0</v>
      </c>
      <c r="AK380">
        <f>IF(OR($J380=1,COUNTIFS($A$5:$A379,"&gt;="&amp;$A380-1,$A$5:$A379,"&lt;="&amp;$A380,$B$5:$B379,$B380)&gt;0,MIN(1-'Exercise list'!E$2,IF($A380=$A379,AK379,1))-P380&lt;0),-1,MIN(1,IF($A380=$A379,AK379,1)-P380+$D$2))</f>
        <v>1</v>
      </c>
      <c r="AL380">
        <f>IF(OR($J380=1,COUNTIFS($A$5:$A379,"&gt;="&amp;$A380-1,$A$5:$A379,"&lt;="&amp;$A380,$B$5:$B379,$B380)&gt;0,MIN(1-'Exercise list'!F$2,IF($A380=$A379,AL379,1))-Q380&lt;0),-1,MIN(1,IF($A380=$A379,AL379,1)-Q380+$D$2))</f>
        <v>1</v>
      </c>
      <c r="AM380">
        <f>IF(OR($J380=1,COUNTIFS($A$5:$A379,"&gt;="&amp;$A380-1,$A$5:$A379,"&lt;="&amp;$A380,$B$5:$B379,$B380)&gt;0,MIN(1-'Exercise list'!G$2,IF($A380=$A379,AM379,1))-R380&lt;0),-1,MIN(1,IF($A380=$A379,AM379,1)-R380+$D$2))</f>
        <v>1</v>
      </c>
      <c r="AN380">
        <f>IF(OR($J380=1,COUNTIFS($A$5:$A379,"&gt;="&amp;$A380-1,$A$5:$A379,"&lt;="&amp;$A380,$B$5:$B379,$B380)&gt;0,MIN(1-'Exercise list'!H$2,IF($A380=$A379,AN379,1))-S380&lt;0),-1,MIN(1,IF($A380=$A379,AN379,1)-S380+$D$2))</f>
        <v>1</v>
      </c>
      <c r="AO380">
        <f>IF(OR($J380=1,COUNTIFS($A$5:$A379,"&gt;="&amp;$A380-1,$A$5:$A379,"&lt;="&amp;$A380,$B$5:$B379,$B380)&gt;0,MIN(1-'Exercise list'!I$2,IF($A380=$A379,AO379,1))-T380&lt;0),-1,MIN(1,IF($A380=$A379,AO379,1)-T380+$D$2))</f>
        <v>1</v>
      </c>
      <c r="AP380">
        <f>IF(OR($J380=1,COUNTIFS($A$5:$A379,"&gt;="&amp;$A380-1,$A$5:$A379,"&lt;="&amp;$A380,$B$5:$B379,$B380)&gt;0,MIN(1-'Exercise list'!J$2,IF($A380=$A379,AP379,1))-U380&lt;0),-1,MIN(1,IF($A380=$A379,AP379,1)-U380+$D$2))</f>
        <v>1</v>
      </c>
      <c r="AQ380">
        <f>IF(OR($J380=1,COUNTIFS($A$5:$A379,"&gt;="&amp;$A380-1,$A$5:$A379,"&lt;="&amp;$A380,$B$5:$B379,$B380)&gt;0,MIN(1-'Exercise list'!K$2,IF($A380=$A379,AQ379,1))-V380&lt;0),-1,MIN(1,IF($A380=$A379,AQ379,1)-V380+$D$2))</f>
        <v>1</v>
      </c>
      <c r="AR380">
        <f>IF(OR($J380=1,COUNTIFS($A$5:$A379,"&gt;="&amp;$A380-1,$A$5:$A379,"&lt;="&amp;$A380,$B$5:$B379,$B380)&gt;0,MIN(1-'Exercise list'!L$2,IF($A380=$A379,AR379,1))-W380&lt;0),-1,MIN(1,IF($A380=$A379,AR379,1)-W380+$D$2))</f>
        <v>1</v>
      </c>
      <c r="AS380">
        <f>IF(OR($J380=1,COUNTIFS($A$5:$A379,"&gt;="&amp;$A380-1,$A$5:$A379,"&lt;="&amp;$A380,$B$5:$B379,$B380)&gt;0,MIN(1-'Exercise list'!M$2,IF($A380=$A379,AS379,1))-X380&lt;0),-1,MIN(1,IF($A380=$A379,AS379,1)-X380+$D$2))</f>
        <v>1</v>
      </c>
      <c r="AT380">
        <f>IF(OR($J380=1,COUNTIFS($A$5:$A379,"&gt;="&amp;$A380-1,$A$5:$A379,"&lt;="&amp;$A380,$B$5:$B379,$B380)&gt;0,MIN(1-'Exercise list'!N$2,IF($A380=$A379,AT379,1))-Y380&lt;0),-1,MIN(1,IF($A380=$A379,AT379,1)-Y380+$D$2))</f>
        <v>1</v>
      </c>
      <c r="AU380">
        <f>IF(OR($J380=1,COUNTIFS($A$5:$A379,"&gt;="&amp;$A380-1,$A$5:$A379,"&lt;="&amp;$A380,$B$5:$B379,$B380)&gt;0,MIN(1-'Exercise list'!O$2,IF($A380=$A379,AU379,1))-Z380&lt;0),-1,MIN(1,IF($A380=$A379,AU379,1)-Z380+$D$2))</f>
        <v>1</v>
      </c>
      <c r="AV380">
        <f>IF(OR($J380=1,COUNTIFS($A$5:$A379,"&gt;="&amp;$A380-1,$A$5:$A379,"&lt;="&amp;$A380,$B$5:$B379,$B380)&gt;0,MIN(1-'Exercise list'!P$2,IF($A380=$A379,AV379,1))-AA380&lt;0),-1,MIN(1,IF($A380=$A379,AV379,1)-AA380+$D$2))</f>
        <v>1</v>
      </c>
      <c r="AW380">
        <f>IF(OR($J380=1,COUNTIFS($A$5:$A379,"&gt;="&amp;$A380-1,$A$5:$A379,"&lt;="&amp;$A380,$B$5:$B379,$B380)&gt;0,MIN(1-'Exercise list'!Q$2,IF($A380=$A379,AW379,1))-AB380&lt;0),-1,MIN(1,IF($A380=$A379,AW379,1)-AB380+$D$2))</f>
        <v>1</v>
      </c>
      <c r="AX380">
        <f>IF(OR($J380=1,COUNTIFS($A$5:$A379,"&gt;="&amp;$A380-1,$A$5:$A379,"&lt;="&amp;$A380,$B$5:$B379,$B380)&gt;0,MIN(1-'Exercise list'!R$2,IF($A380=$A379,AX379,1))-AC380&lt;0),-1,MIN(1,IF($A380=$A379,AX379,1)-AC380+$D$2))</f>
        <v>1</v>
      </c>
      <c r="AY380">
        <f>IF(OR($J380=1,COUNTIFS($A$5:$A379,"&gt;="&amp;$A380-1,$A$5:$A379,"&lt;="&amp;$A380,$B$5:$B379,$B380)&gt;0,MIN(1-'Exercise list'!S$2,IF($A380=$A379,AY379,1))-AD380&lt;0),-1,MIN(1,IF($A380=$A379,AY379,1)-AD380+$D$2))</f>
        <v>1</v>
      </c>
      <c r="AZ380">
        <f>IF(OR($J380=1,COUNTIFS($A$5:$A379,"&gt;="&amp;$A380-1,$A$5:$A379,"&lt;="&amp;$A380,$B$5:$B379,$B380)&gt;0,MIN(1-'Exercise list'!T$2,IF($A380=$A379,AZ379,1))-AE380&lt;0),-1,MIN(1,IF($A380=$A379,AZ379,1)-AE380+$D$2))</f>
        <v>1</v>
      </c>
      <c r="BA380">
        <f>IF(OR($J380=1,COUNTIFS($A$5:$A379,"&gt;="&amp;$A380-1,$A$5:$A379,"&lt;="&amp;$A380,$B$5:$B379,$B380)&gt;0,MIN(1-'Exercise list'!U$2,IF($A380=$A379,BA379,1))-AF380&lt;0),-1,MIN(1,IF($A380=$A379,BA379,1)-AF380+$D$2))</f>
        <v>1</v>
      </c>
      <c r="BB380">
        <f>IF(OR($J380=1,COUNTIFS($A$5:$A379,"&gt;="&amp;$A380-1,$A$5:$A379,"&lt;="&amp;$A380,$B$5:$B379,$B380)&gt;0,MIN(1-'Exercise list'!V$2,IF($A380=$A379,BB379,1))-AG380&lt;0),-1,MIN(1,IF($A380=$A379,BB379,1)-AG380+$D$2))</f>
        <v>1</v>
      </c>
      <c r="BC380">
        <f>IF(OR($J380=1,COUNTIFS($A$5:$A379,"&gt;="&amp;$A380-1,$A$5:$A379,"&lt;="&amp;$A380,$B$5:$B379,$B380)&gt;0,MIN(1-'Exercise list'!W$2,IF($A380=$A379,BC379,1))-AH380&lt;0),-1,MIN(1,IF($A380=$A379,BC379,1)-AH380+$D$2))</f>
        <v>1</v>
      </c>
      <c r="BD380">
        <f>IF(OR($J380=1,COUNTIFS($A$5:$A379,"&gt;="&amp;$A380-1,$A$5:$A379,"&lt;="&amp;$A380,$B$5:$B379,$B380)&gt;0,MIN(1-'Exercise list'!X$2,IF($A380=$A379,BD379,1))-AI380&lt;0),-1,MIN(1,IF($A380=$A379,BD379,1)-AI380+$D$2))</f>
        <v>1</v>
      </c>
      <c r="BF380" s="16">
        <f t="shared" si="277"/>
        <v>0.19596031081758858</v>
      </c>
      <c r="BG380" s="16">
        <f t="shared" si="278"/>
        <v>0.21844636935459236</v>
      </c>
      <c r="BH380" s="16">
        <f t="shared" si="279"/>
        <v>0.14609696635987124</v>
      </c>
      <c r="BI380" s="16">
        <f t="shared" si="280"/>
        <v>0.13198015366034541</v>
      </c>
      <c r="BJ380" s="16">
        <f t="shared" si="281"/>
        <v>8.3367914198418713E-2</v>
      </c>
      <c r="BK380" s="16">
        <f t="shared" si="282"/>
        <v>0.10640640223148412</v>
      </c>
      <c r="BL380" s="16">
        <f t="shared" si="283"/>
        <v>0.21963504743569431</v>
      </c>
      <c r="BM380" s="16">
        <f t="shared" si="284"/>
        <v>3.8988008374820568E-3</v>
      </c>
      <c r="BN380" s="16">
        <f t="shared" si="285"/>
        <v>0.14537706087090876</v>
      </c>
      <c r="BO380" s="16">
        <f t="shared" si="286"/>
        <v>0.29209790661993401</v>
      </c>
      <c r="BP380" s="16">
        <f t="shared" si="287"/>
        <v>0.31584545163401867</v>
      </c>
      <c r="BQ380" s="16">
        <f t="shared" si="288"/>
        <v>0.1000007994126096</v>
      </c>
      <c r="BR380" s="16">
        <f t="shared" si="289"/>
        <v>0.13164487759885393</v>
      </c>
      <c r="BS380" s="16">
        <f t="shared" si="290"/>
        <v>2.9803550189863123E-2</v>
      </c>
      <c r="BT380" s="16">
        <f t="shared" si="291"/>
        <v>0.13492040904978705</v>
      </c>
      <c r="BU380" s="16">
        <f t="shared" si="292"/>
        <v>0.11703687414398131</v>
      </c>
      <c r="BV380" s="16">
        <f t="shared" si="293"/>
        <v>0.14633353213781661</v>
      </c>
      <c r="BW380" s="16">
        <f t="shared" si="294"/>
        <v>7.5588015111767173E-2</v>
      </c>
      <c r="BX380" s="16">
        <f t="shared" si="295"/>
        <v>8.0345659937185704E-2</v>
      </c>
      <c r="BY380" s="16">
        <f t="shared" si="296"/>
        <v>5.9014643151272549E-2</v>
      </c>
      <c r="CA380" s="16" t="str">
        <f t="shared" si="273"/>
        <v/>
      </c>
      <c r="CB380" s="16" t="str">
        <f t="shared" si="254"/>
        <v/>
      </c>
      <c r="CC380" s="16" t="str">
        <f t="shared" si="255"/>
        <v/>
      </c>
      <c r="CD380" s="16" t="str">
        <f t="shared" si="256"/>
        <v/>
      </c>
      <c r="CE380" s="16" t="str">
        <f t="shared" si="257"/>
        <v/>
      </c>
      <c r="CF380" s="16" t="str">
        <f t="shared" si="258"/>
        <v/>
      </c>
      <c r="CG380" s="16" t="str">
        <f t="shared" si="259"/>
        <v/>
      </c>
      <c r="CH380" s="16" t="str">
        <f t="shared" si="260"/>
        <v/>
      </c>
      <c r="CI380" s="16" t="str">
        <f t="shared" si="261"/>
        <v/>
      </c>
      <c r="CJ380" s="16" t="str">
        <f t="shared" si="262"/>
        <v/>
      </c>
      <c r="CK380" s="16" t="str">
        <f t="shared" si="263"/>
        <v/>
      </c>
      <c r="CL380" s="16" t="str">
        <f t="shared" si="264"/>
        <v/>
      </c>
      <c r="CM380" s="16" t="str">
        <f t="shared" si="265"/>
        <v/>
      </c>
      <c r="CN380" s="16" t="str">
        <f t="shared" si="266"/>
        <v/>
      </c>
      <c r="CO380" s="16" t="str">
        <f t="shared" si="267"/>
        <v/>
      </c>
      <c r="CP380" s="16" t="str">
        <f t="shared" si="268"/>
        <v/>
      </c>
      <c r="CQ380" s="16" t="str">
        <f t="shared" si="269"/>
        <v/>
      </c>
      <c r="CR380" s="16" t="str">
        <f t="shared" si="270"/>
        <v/>
      </c>
      <c r="CS380" s="16" t="str">
        <f t="shared" si="271"/>
        <v/>
      </c>
      <c r="CT380" s="16" t="str">
        <f t="shared" si="272"/>
        <v/>
      </c>
    </row>
    <row r="381" spans="1:99" x14ac:dyDescent="0.25">
      <c r="A381" s="13"/>
      <c r="B381" s="14"/>
      <c r="C381" s="15" t="str" cm="1">
        <f t="array" ref="C381">IF(B381="","",INDEX('Exercise list'!$C$5:$C$102,B381))</f>
        <v/>
      </c>
      <c r="D381" s="12" t="str">
        <f t="shared" si="274"/>
        <v/>
      </c>
      <c r="E381" s="107" t="str">
        <f t="shared" si="297"/>
        <v/>
      </c>
      <c r="F381" s="63" t="str" cm="1">
        <f t="array" ref="F381">IF(B381="","",0.1+IFERROR(INDEX($F$6:$F380,SUMPRODUCT(MAX(ROW($C$6:$C380)*($C381=$C$6:$C380))-ROW($A$5)))*0.9^($A381-INDEX($A$6:A380,SUMPRODUCT(MAX(ROW($C$6:$C380)*($C381=$C$6:$C380))-ROW($A$5)))),0))</f>
        <v/>
      </c>
      <c r="G381" s="64" t="e">
        <f>INDEX('Exercise list'!$Y$5:$Y$102,MATCH(C381,'Exercise list'!$C$5:$C$102,0))</f>
        <v>#N/A</v>
      </c>
      <c r="H381" s="115">
        <f t="shared" si="275"/>
        <v>0</v>
      </c>
      <c r="I381" s="6">
        <f t="shared" si="276"/>
        <v>5</v>
      </c>
      <c r="J381" s="6" t="str" cm="1">
        <f t="array" ref="J381">IF(B381="","",INDEX('Exercise list'!$D$5:$D$102,B381))</f>
        <v/>
      </c>
      <c r="K381" s="12"/>
      <c r="L381" s="74" t="str" cm="1">
        <f t="array" ref="L381">IF(K381="","",INDEX('Exercise list'!$C$5:$C$102,K381))</f>
        <v/>
      </c>
      <c r="M381" s="6"/>
      <c r="N381" s="75" t="str" cm="1">
        <f t="array" ref="N381">IF(M381="","",INDEX('Exercise list'!$C$5:$C$102,M381))</f>
        <v/>
      </c>
      <c r="P381">
        <f>IFERROR(INDEX('Exercise list'!$E$5:$X$102,MATCH($C381,'Exercise list'!$C$5:$C$102,0),MATCH(P$5,'Exercise list'!$E$4:$X$4,0)),0)</f>
        <v>0</v>
      </c>
      <c r="Q381">
        <f>IFERROR(INDEX('Exercise list'!$E$5:$X$102,MATCH($C381,'Exercise list'!$C$5:$C$102,0),MATCH(Q$5,'Exercise list'!$E$4:$X$4,0)),0)</f>
        <v>0</v>
      </c>
      <c r="R381">
        <f>IFERROR(INDEX('Exercise list'!$E$5:$X$102,MATCH($C381,'Exercise list'!$C$5:$C$102,0),MATCH(R$5,'Exercise list'!$E$4:$X$4,0)),0)</f>
        <v>0</v>
      </c>
      <c r="S381">
        <f>IFERROR(INDEX('Exercise list'!$E$5:$X$102,MATCH($C381,'Exercise list'!$C$5:$C$102,0),MATCH(S$5,'Exercise list'!$E$4:$X$4,0)),0)</f>
        <v>0</v>
      </c>
      <c r="T381">
        <f>IFERROR(INDEX('Exercise list'!$E$5:$X$102,MATCH($C381,'Exercise list'!$C$5:$C$102,0),MATCH(T$5,'Exercise list'!$E$4:$X$4,0)),0)</f>
        <v>0</v>
      </c>
      <c r="U381">
        <f>IFERROR(INDEX('Exercise list'!$E$5:$X$102,MATCH($C381,'Exercise list'!$C$5:$C$102,0),MATCH(U$5,'Exercise list'!$E$4:$X$4,0)),0)</f>
        <v>0</v>
      </c>
      <c r="V381">
        <f>IFERROR(INDEX('Exercise list'!$E$5:$X$102,MATCH($C381,'Exercise list'!$C$5:$C$102,0),MATCH(V$5,'Exercise list'!$E$4:$X$4,0)),0)</f>
        <v>0</v>
      </c>
      <c r="W381">
        <f>IFERROR(INDEX('Exercise list'!$E$5:$X$102,MATCH($C381,'Exercise list'!$C$5:$C$102,0),MATCH(W$5,'Exercise list'!$E$4:$X$4,0)),0)</f>
        <v>0</v>
      </c>
      <c r="X381">
        <f>IFERROR(INDEX('Exercise list'!$E$5:$X$102,MATCH($C381,'Exercise list'!$C$5:$C$102,0),MATCH(X$5,'Exercise list'!$E$4:$X$4,0)),0)</f>
        <v>0</v>
      </c>
      <c r="Y381">
        <f>IFERROR(INDEX('Exercise list'!$E$5:$X$102,MATCH($C381,'Exercise list'!$C$5:$C$102,0),MATCH(Y$5,'Exercise list'!$E$4:$X$4,0)),0)</f>
        <v>0</v>
      </c>
      <c r="Z381">
        <f>IFERROR(INDEX('Exercise list'!$E$5:$X$102,MATCH($C381,'Exercise list'!$C$5:$C$102,0),MATCH(Z$5,'Exercise list'!$E$4:$X$4,0)),0)</f>
        <v>0</v>
      </c>
      <c r="AA381">
        <f>IFERROR(INDEX('Exercise list'!$E$5:$X$102,MATCH($C381,'Exercise list'!$C$5:$C$102,0),MATCH(AA$5,'Exercise list'!$E$4:$X$4,0)),0)</f>
        <v>0</v>
      </c>
      <c r="AB381">
        <f>IFERROR(INDEX('Exercise list'!$E$5:$X$102,MATCH($C381,'Exercise list'!$C$5:$C$102,0),MATCH(AB$5,'Exercise list'!$E$4:$X$4,0)),0)</f>
        <v>0</v>
      </c>
      <c r="AC381">
        <f>IFERROR(INDEX('Exercise list'!$E$5:$X$102,MATCH($C381,'Exercise list'!$C$5:$C$102,0),MATCH(AC$5,'Exercise list'!$E$4:$X$4,0)),0)</f>
        <v>0</v>
      </c>
      <c r="AD381">
        <f>IFERROR(INDEX('Exercise list'!$E$5:$X$102,MATCH($C381,'Exercise list'!$C$5:$C$102,0),MATCH(AD$5,'Exercise list'!$E$4:$X$4,0)),0)</f>
        <v>0</v>
      </c>
      <c r="AE381">
        <f>IFERROR(INDEX('Exercise list'!$E$5:$X$102,MATCH($C381,'Exercise list'!$C$5:$C$102,0),MATCH(AE$5,'Exercise list'!$E$4:$X$4,0)),0)</f>
        <v>0</v>
      </c>
      <c r="AF381">
        <f>IFERROR(INDEX('Exercise list'!$E$5:$X$102,MATCH($C381,'Exercise list'!$C$5:$C$102,0),MATCH(AF$5,'Exercise list'!$E$4:$X$4,0)),0)</f>
        <v>0</v>
      </c>
      <c r="AG381">
        <f>IFERROR(INDEX('Exercise list'!$E$5:$X$102,MATCH($C381,'Exercise list'!$C$5:$C$102,0),MATCH(AG$5,'Exercise list'!$E$4:$X$4,0)),0)</f>
        <v>0</v>
      </c>
      <c r="AH381">
        <f>IFERROR(INDEX('Exercise list'!$E$5:$X$102,MATCH($C381,'Exercise list'!$C$5:$C$102,0),MATCH(AH$5,'Exercise list'!$E$4:$X$4,0)),0)</f>
        <v>0</v>
      </c>
      <c r="AI381">
        <f>IFERROR(INDEX('Exercise list'!$E$5:$X$102,MATCH($C381,'Exercise list'!$C$5:$C$102,0),MATCH(AI$5,'Exercise list'!$E$4:$X$4,0)),0)</f>
        <v>0</v>
      </c>
      <c r="AK381">
        <f>IF(OR($J381=1,COUNTIFS($A$5:$A380,"&gt;="&amp;$A381-1,$A$5:$A380,"&lt;="&amp;$A381,$B$5:$B380,$B381)&gt;0,MIN(1-'Exercise list'!E$2,IF($A381=$A380,AK380,1))-P381&lt;0),-1,MIN(1,IF($A381=$A380,AK380,1)-P381+$D$2))</f>
        <v>1</v>
      </c>
      <c r="AL381">
        <f>IF(OR($J381=1,COUNTIFS($A$5:$A380,"&gt;="&amp;$A381-1,$A$5:$A380,"&lt;="&amp;$A381,$B$5:$B380,$B381)&gt;0,MIN(1-'Exercise list'!F$2,IF($A381=$A380,AL380,1))-Q381&lt;0),-1,MIN(1,IF($A381=$A380,AL380,1)-Q381+$D$2))</f>
        <v>1</v>
      </c>
      <c r="AM381">
        <f>IF(OR($J381=1,COUNTIFS($A$5:$A380,"&gt;="&amp;$A381-1,$A$5:$A380,"&lt;="&amp;$A381,$B$5:$B380,$B381)&gt;0,MIN(1-'Exercise list'!G$2,IF($A381=$A380,AM380,1))-R381&lt;0),-1,MIN(1,IF($A381=$A380,AM380,1)-R381+$D$2))</f>
        <v>1</v>
      </c>
      <c r="AN381">
        <f>IF(OR($J381=1,COUNTIFS($A$5:$A380,"&gt;="&amp;$A381-1,$A$5:$A380,"&lt;="&amp;$A381,$B$5:$B380,$B381)&gt;0,MIN(1-'Exercise list'!H$2,IF($A381=$A380,AN380,1))-S381&lt;0),-1,MIN(1,IF($A381=$A380,AN380,1)-S381+$D$2))</f>
        <v>1</v>
      </c>
      <c r="AO381">
        <f>IF(OR($J381=1,COUNTIFS($A$5:$A380,"&gt;="&amp;$A381-1,$A$5:$A380,"&lt;="&amp;$A381,$B$5:$B380,$B381)&gt;0,MIN(1-'Exercise list'!I$2,IF($A381=$A380,AO380,1))-T381&lt;0),-1,MIN(1,IF($A381=$A380,AO380,1)-T381+$D$2))</f>
        <v>1</v>
      </c>
      <c r="AP381">
        <f>IF(OR($J381=1,COUNTIFS($A$5:$A380,"&gt;="&amp;$A381-1,$A$5:$A380,"&lt;="&amp;$A381,$B$5:$B380,$B381)&gt;0,MIN(1-'Exercise list'!J$2,IF($A381=$A380,AP380,1))-U381&lt;0),-1,MIN(1,IF($A381=$A380,AP380,1)-U381+$D$2))</f>
        <v>1</v>
      </c>
      <c r="AQ381">
        <f>IF(OR($J381=1,COUNTIFS($A$5:$A380,"&gt;="&amp;$A381-1,$A$5:$A380,"&lt;="&amp;$A381,$B$5:$B380,$B381)&gt;0,MIN(1-'Exercise list'!K$2,IF($A381=$A380,AQ380,1))-V381&lt;0),-1,MIN(1,IF($A381=$A380,AQ380,1)-V381+$D$2))</f>
        <v>1</v>
      </c>
      <c r="AR381">
        <f>IF(OR($J381=1,COUNTIFS($A$5:$A380,"&gt;="&amp;$A381-1,$A$5:$A380,"&lt;="&amp;$A381,$B$5:$B380,$B381)&gt;0,MIN(1-'Exercise list'!L$2,IF($A381=$A380,AR380,1))-W381&lt;0),-1,MIN(1,IF($A381=$A380,AR380,1)-W381+$D$2))</f>
        <v>1</v>
      </c>
      <c r="AS381">
        <f>IF(OR($J381=1,COUNTIFS($A$5:$A380,"&gt;="&amp;$A381-1,$A$5:$A380,"&lt;="&amp;$A381,$B$5:$B380,$B381)&gt;0,MIN(1-'Exercise list'!M$2,IF($A381=$A380,AS380,1))-X381&lt;0),-1,MIN(1,IF($A381=$A380,AS380,1)-X381+$D$2))</f>
        <v>1</v>
      </c>
      <c r="AT381">
        <f>IF(OR($J381=1,COUNTIFS($A$5:$A380,"&gt;="&amp;$A381-1,$A$5:$A380,"&lt;="&amp;$A381,$B$5:$B380,$B381)&gt;0,MIN(1-'Exercise list'!N$2,IF($A381=$A380,AT380,1))-Y381&lt;0),-1,MIN(1,IF($A381=$A380,AT380,1)-Y381+$D$2))</f>
        <v>1</v>
      </c>
      <c r="AU381">
        <f>IF(OR($J381=1,COUNTIFS($A$5:$A380,"&gt;="&amp;$A381-1,$A$5:$A380,"&lt;="&amp;$A381,$B$5:$B380,$B381)&gt;0,MIN(1-'Exercise list'!O$2,IF($A381=$A380,AU380,1))-Z381&lt;0),-1,MIN(1,IF($A381=$A380,AU380,1)-Z381+$D$2))</f>
        <v>1</v>
      </c>
      <c r="AV381">
        <f>IF(OR($J381=1,COUNTIFS($A$5:$A380,"&gt;="&amp;$A381-1,$A$5:$A380,"&lt;="&amp;$A381,$B$5:$B380,$B381)&gt;0,MIN(1-'Exercise list'!P$2,IF($A381=$A380,AV380,1))-AA381&lt;0),-1,MIN(1,IF($A381=$A380,AV380,1)-AA381+$D$2))</f>
        <v>1</v>
      </c>
      <c r="AW381">
        <f>IF(OR($J381=1,COUNTIFS($A$5:$A380,"&gt;="&amp;$A381-1,$A$5:$A380,"&lt;="&amp;$A381,$B$5:$B380,$B381)&gt;0,MIN(1-'Exercise list'!Q$2,IF($A381=$A380,AW380,1))-AB381&lt;0),-1,MIN(1,IF($A381=$A380,AW380,1)-AB381+$D$2))</f>
        <v>1</v>
      </c>
      <c r="AX381">
        <f>IF(OR($J381=1,COUNTIFS($A$5:$A380,"&gt;="&amp;$A381-1,$A$5:$A380,"&lt;="&amp;$A381,$B$5:$B380,$B381)&gt;0,MIN(1-'Exercise list'!R$2,IF($A381=$A380,AX380,1))-AC381&lt;0),-1,MIN(1,IF($A381=$A380,AX380,1)-AC381+$D$2))</f>
        <v>1</v>
      </c>
      <c r="AY381">
        <f>IF(OR($J381=1,COUNTIFS($A$5:$A380,"&gt;="&amp;$A381-1,$A$5:$A380,"&lt;="&amp;$A381,$B$5:$B380,$B381)&gt;0,MIN(1-'Exercise list'!S$2,IF($A381=$A380,AY380,1))-AD381&lt;0),-1,MIN(1,IF($A381=$A380,AY380,1)-AD381+$D$2))</f>
        <v>1</v>
      </c>
      <c r="AZ381">
        <f>IF(OR($J381=1,COUNTIFS($A$5:$A380,"&gt;="&amp;$A381-1,$A$5:$A380,"&lt;="&amp;$A381,$B$5:$B380,$B381)&gt;0,MIN(1-'Exercise list'!T$2,IF($A381=$A380,AZ380,1))-AE381&lt;0),-1,MIN(1,IF($A381=$A380,AZ380,1)-AE381+$D$2))</f>
        <v>1</v>
      </c>
      <c r="BA381">
        <f>IF(OR($J381=1,COUNTIFS($A$5:$A380,"&gt;="&amp;$A381-1,$A$5:$A380,"&lt;="&amp;$A381,$B$5:$B380,$B381)&gt;0,MIN(1-'Exercise list'!U$2,IF($A381=$A380,BA380,1))-AF381&lt;0),-1,MIN(1,IF($A381=$A380,BA380,1)-AF381+$D$2))</f>
        <v>1</v>
      </c>
      <c r="BB381">
        <f>IF(OR($J381=1,COUNTIFS($A$5:$A380,"&gt;="&amp;$A381-1,$A$5:$A380,"&lt;="&amp;$A381,$B$5:$B380,$B381)&gt;0,MIN(1-'Exercise list'!V$2,IF($A381=$A380,BB380,1))-AG381&lt;0),-1,MIN(1,IF($A381=$A380,BB380,1)-AG381+$D$2))</f>
        <v>1</v>
      </c>
      <c r="BC381">
        <f>IF(OR($J381=1,COUNTIFS($A$5:$A380,"&gt;="&amp;$A381-1,$A$5:$A380,"&lt;="&amp;$A381,$B$5:$B380,$B381)&gt;0,MIN(1-'Exercise list'!W$2,IF($A381=$A380,BC380,1))-AH381&lt;0),-1,MIN(1,IF($A381=$A380,BC380,1)-AH381+$D$2))</f>
        <v>1</v>
      </c>
      <c r="BD381">
        <f>IF(OR($J381=1,COUNTIFS($A$5:$A380,"&gt;="&amp;$A381-1,$A$5:$A380,"&lt;="&amp;$A381,$B$5:$B380,$B381)&gt;0,MIN(1-'Exercise list'!X$2,IF($A381=$A380,BD380,1))-AI381&lt;0),-1,MIN(1,IF($A381=$A380,BD380,1)-AI381+$D$2))</f>
        <v>1</v>
      </c>
      <c r="BF381" s="16">
        <f t="shared" si="277"/>
        <v>0.19596031081758858</v>
      </c>
      <c r="BG381" s="16">
        <f t="shared" si="278"/>
        <v>0.21844636935459236</v>
      </c>
      <c r="BH381" s="16">
        <f t="shared" si="279"/>
        <v>0.14609696635987124</v>
      </c>
      <c r="BI381" s="16">
        <f t="shared" si="280"/>
        <v>0.13198015366034541</v>
      </c>
      <c r="BJ381" s="16">
        <f t="shared" si="281"/>
        <v>8.3367914198418713E-2</v>
      </c>
      <c r="BK381" s="16">
        <f t="shared" si="282"/>
        <v>0.10640640223148412</v>
      </c>
      <c r="BL381" s="16">
        <f t="shared" si="283"/>
        <v>0.21963504743569431</v>
      </c>
      <c r="BM381" s="16">
        <f t="shared" si="284"/>
        <v>3.8988008374820568E-3</v>
      </c>
      <c r="BN381" s="16">
        <f t="shared" si="285"/>
        <v>0.14537706087090876</v>
      </c>
      <c r="BO381" s="16">
        <f t="shared" si="286"/>
        <v>0.29209790661993401</v>
      </c>
      <c r="BP381" s="16">
        <f t="shared" si="287"/>
        <v>0.31584545163401867</v>
      </c>
      <c r="BQ381" s="16">
        <f t="shared" si="288"/>
        <v>0.1000007994126096</v>
      </c>
      <c r="BR381" s="16">
        <f t="shared" si="289"/>
        <v>0.13164487759885393</v>
      </c>
      <c r="BS381" s="16">
        <f t="shared" si="290"/>
        <v>2.9803550189863123E-2</v>
      </c>
      <c r="BT381" s="16">
        <f t="shared" si="291"/>
        <v>0.13492040904978705</v>
      </c>
      <c r="BU381" s="16">
        <f t="shared" si="292"/>
        <v>0.11703687414398131</v>
      </c>
      <c r="BV381" s="16">
        <f t="shared" si="293"/>
        <v>0.14633353213781661</v>
      </c>
      <c r="BW381" s="16">
        <f t="shared" si="294"/>
        <v>7.5588015111767173E-2</v>
      </c>
      <c r="BX381" s="16">
        <f t="shared" si="295"/>
        <v>8.0345659937185704E-2</v>
      </c>
      <c r="BY381" s="16">
        <f t="shared" si="296"/>
        <v>5.9014643151272549E-2</v>
      </c>
      <c r="CA381" s="16" t="str">
        <f t="shared" si="273"/>
        <v/>
      </c>
      <c r="CB381" s="16" t="str">
        <f t="shared" si="254"/>
        <v/>
      </c>
      <c r="CC381" s="16" t="str">
        <f t="shared" si="255"/>
        <v/>
      </c>
      <c r="CD381" s="16" t="str">
        <f t="shared" si="256"/>
        <v/>
      </c>
      <c r="CE381" s="16" t="str">
        <f t="shared" si="257"/>
        <v/>
      </c>
      <c r="CF381" s="16" t="str">
        <f t="shared" si="258"/>
        <v/>
      </c>
      <c r="CG381" s="16" t="str">
        <f t="shared" si="259"/>
        <v/>
      </c>
      <c r="CH381" s="16" t="str">
        <f t="shared" si="260"/>
        <v/>
      </c>
      <c r="CI381" s="16" t="str">
        <f t="shared" si="261"/>
        <v/>
      </c>
      <c r="CJ381" s="16" t="str">
        <f t="shared" si="262"/>
        <v/>
      </c>
      <c r="CK381" s="16" t="str">
        <f t="shared" si="263"/>
        <v/>
      </c>
      <c r="CL381" s="16" t="str">
        <f t="shared" si="264"/>
        <v/>
      </c>
      <c r="CM381" s="16" t="str">
        <f t="shared" si="265"/>
        <v/>
      </c>
      <c r="CN381" s="16" t="str">
        <f t="shared" si="266"/>
        <v/>
      </c>
      <c r="CO381" s="16" t="str">
        <f t="shared" si="267"/>
        <v/>
      </c>
      <c r="CP381" s="16" t="str">
        <f t="shared" si="268"/>
        <v/>
      </c>
      <c r="CQ381" s="16" t="str">
        <f t="shared" si="269"/>
        <v/>
      </c>
      <c r="CR381" s="16" t="str">
        <f t="shared" si="270"/>
        <v/>
      </c>
      <c r="CS381" s="16" t="str">
        <f t="shared" si="271"/>
        <v/>
      </c>
      <c r="CT381" s="16" t="str">
        <f t="shared" si="272"/>
        <v/>
      </c>
    </row>
    <row r="382" spans="1:99" x14ac:dyDescent="0.25">
      <c r="A382" s="13"/>
      <c r="B382" s="14"/>
      <c r="C382" s="15" t="str" cm="1">
        <f t="array" ref="C382">IF(B382="","",INDEX('Exercise list'!$C$5:$C$102,B382))</f>
        <v/>
      </c>
      <c r="D382" s="12" t="str">
        <f t="shared" si="274"/>
        <v/>
      </c>
      <c r="E382" s="107" t="str">
        <f t="shared" si="297"/>
        <v/>
      </c>
      <c r="F382" s="63" t="str" cm="1">
        <f t="array" ref="F382">IF(B382="","",0.1+IFERROR(INDEX($F$6:$F381,SUMPRODUCT(MAX(ROW($C$6:$C381)*($C382=$C$6:$C381))-ROW($A$5)))*0.9^($A382-INDEX($A$6:A381,SUMPRODUCT(MAX(ROW($C$6:$C381)*($C382=$C$6:$C381))-ROW($A$5)))),0))</f>
        <v/>
      </c>
      <c r="G382" s="64" t="e">
        <f>INDEX('Exercise list'!$Y$5:$Y$102,MATCH(C382,'Exercise list'!$C$5:$C$102,0))</f>
        <v>#N/A</v>
      </c>
      <c r="H382" s="115">
        <f t="shared" si="275"/>
        <v>0</v>
      </c>
      <c r="I382" s="6">
        <f t="shared" si="276"/>
        <v>5</v>
      </c>
      <c r="J382" s="6" t="str" cm="1">
        <f t="array" ref="J382">IF(B382="","",INDEX('Exercise list'!$D$5:$D$102,B382))</f>
        <v/>
      </c>
      <c r="K382" s="12"/>
      <c r="L382" s="74" t="str" cm="1">
        <f t="array" ref="L382">IF(K382="","",INDEX('Exercise list'!$C$5:$C$102,K382))</f>
        <v/>
      </c>
      <c r="M382" s="6"/>
      <c r="N382" s="75" t="str" cm="1">
        <f t="array" ref="N382">IF(M382="","",INDEX('Exercise list'!$C$5:$C$102,M382))</f>
        <v/>
      </c>
      <c r="P382">
        <f>IFERROR(INDEX('Exercise list'!$E$5:$X$102,MATCH($C382,'Exercise list'!$C$5:$C$102,0),MATCH(P$5,'Exercise list'!$E$4:$X$4,0)),0)</f>
        <v>0</v>
      </c>
      <c r="Q382">
        <f>IFERROR(INDEX('Exercise list'!$E$5:$X$102,MATCH($C382,'Exercise list'!$C$5:$C$102,0),MATCH(Q$5,'Exercise list'!$E$4:$X$4,0)),0)</f>
        <v>0</v>
      </c>
      <c r="R382">
        <f>IFERROR(INDEX('Exercise list'!$E$5:$X$102,MATCH($C382,'Exercise list'!$C$5:$C$102,0),MATCH(R$5,'Exercise list'!$E$4:$X$4,0)),0)</f>
        <v>0</v>
      </c>
      <c r="S382">
        <f>IFERROR(INDEX('Exercise list'!$E$5:$X$102,MATCH($C382,'Exercise list'!$C$5:$C$102,0),MATCH(S$5,'Exercise list'!$E$4:$X$4,0)),0)</f>
        <v>0</v>
      </c>
      <c r="T382">
        <f>IFERROR(INDEX('Exercise list'!$E$5:$X$102,MATCH($C382,'Exercise list'!$C$5:$C$102,0),MATCH(T$5,'Exercise list'!$E$4:$X$4,0)),0)</f>
        <v>0</v>
      </c>
      <c r="U382">
        <f>IFERROR(INDEX('Exercise list'!$E$5:$X$102,MATCH($C382,'Exercise list'!$C$5:$C$102,0),MATCH(U$5,'Exercise list'!$E$4:$X$4,0)),0)</f>
        <v>0</v>
      </c>
      <c r="V382">
        <f>IFERROR(INDEX('Exercise list'!$E$5:$X$102,MATCH($C382,'Exercise list'!$C$5:$C$102,0),MATCH(V$5,'Exercise list'!$E$4:$X$4,0)),0)</f>
        <v>0</v>
      </c>
      <c r="W382">
        <f>IFERROR(INDEX('Exercise list'!$E$5:$X$102,MATCH($C382,'Exercise list'!$C$5:$C$102,0),MATCH(W$5,'Exercise list'!$E$4:$X$4,0)),0)</f>
        <v>0</v>
      </c>
      <c r="X382">
        <f>IFERROR(INDEX('Exercise list'!$E$5:$X$102,MATCH($C382,'Exercise list'!$C$5:$C$102,0),MATCH(X$5,'Exercise list'!$E$4:$X$4,0)),0)</f>
        <v>0</v>
      </c>
      <c r="Y382">
        <f>IFERROR(INDEX('Exercise list'!$E$5:$X$102,MATCH($C382,'Exercise list'!$C$5:$C$102,0),MATCH(Y$5,'Exercise list'!$E$4:$X$4,0)),0)</f>
        <v>0</v>
      </c>
      <c r="Z382">
        <f>IFERROR(INDEX('Exercise list'!$E$5:$X$102,MATCH($C382,'Exercise list'!$C$5:$C$102,0),MATCH(Z$5,'Exercise list'!$E$4:$X$4,0)),0)</f>
        <v>0</v>
      </c>
      <c r="AA382">
        <f>IFERROR(INDEX('Exercise list'!$E$5:$X$102,MATCH($C382,'Exercise list'!$C$5:$C$102,0),MATCH(AA$5,'Exercise list'!$E$4:$X$4,0)),0)</f>
        <v>0</v>
      </c>
      <c r="AB382">
        <f>IFERROR(INDEX('Exercise list'!$E$5:$X$102,MATCH($C382,'Exercise list'!$C$5:$C$102,0),MATCH(AB$5,'Exercise list'!$E$4:$X$4,0)),0)</f>
        <v>0</v>
      </c>
      <c r="AC382">
        <f>IFERROR(INDEX('Exercise list'!$E$5:$X$102,MATCH($C382,'Exercise list'!$C$5:$C$102,0),MATCH(AC$5,'Exercise list'!$E$4:$X$4,0)),0)</f>
        <v>0</v>
      </c>
      <c r="AD382">
        <f>IFERROR(INDEX('Exercise list'!$E$5:$X$102,MATCH($C382,'Exercise list'!$C$5:$C$102,0),MATCH(AD$5,'Exercise list'!$E$4:$X$4,0)),0)</f>
        <v>0</v>
      </c>
      <c r="AE382">
        <f>IFERROR(INDEX('Exercise list'!$E$5:$X$102,MATCH($C382,'Exercise list'!$C$5:$C$102,0),MATCH(AE$5,'Exercise list'!$E$4:$X$4,0)),0)</f>
        <v>0</v>
      </c>
      <c r="AF382">
        <f>IFERROR(INDEX('Exercise list'!$E$5:$X$102,MATCH($C382,'Exercise list'!$C$5:$C$102,0),MATCH(AF$5,'Exercise list'!$E$4:$X$4,0)),0)</f>
        <v>0</v>
      </c>
      <c r="AG382">
        <f>IFERROR(INDEX('Exercise list'!$E$5:$X$102,MATCH($C382,'Exercise list'!$C$5:$C$102,0),MATCH(AG$5,'Exercise list'!$E$4:$X$4,0)),0)</f>
        <v>0</v>
      </c>
      <c r="AH382">
        <f>IFERROR(INDEX('Exercise list'!$E$5:$X$102,MATCH($C382,'Exercise list'!$C$5:$C$102,0),MATCH(AH$5,'Exercise list'!$E$4:$X$4,0)),0)</f>
        <v>0</v>
      </c>
      <c r="AI382">
        <f>IFERROR(INDEX('Exercise list'!$E$5:$X$102,MATCH($C382,'Exercise list'!$C$5:$C$102,0),MATCH(AI$5,'Exercise list'!$E$4:$X$4,0)),0)</f>
        <v>0</v>
      </c>
      <c r="AK382">
        <f>IF(OR($J382=1,COUNTIFS($A$5:$A381,"&gt;="&amp;$A382-1,$A$5:$A381,"&lt;="&amp;$A382,$B$5:$B381,$B382)&gt;0,MIN(1-'Exercise list'!E$2,IF($A382=$A381,AK381,1))-P382&lt;0),-1,MIN(1,IF($A382=$A381,AK381,1)-P382+$D$2))</f>
        <v>1</v>
      </c>
      <c r="AL382">
        <f>IF(OR($J382=1,COUNTIFS($A$5:$A381,"&gt;="&amp;$A382-1,$A$5:$A381,"&lt;="&amp;$A382,$B$5:$B381,$B382)&gt;0,MIN(1-'Exercise list'!F$2,IF($A382=$A381,AL381,1))-Q382&lt;0),-1,MIN(1,IF($A382=$A381,AL381,1)-Q382+$D$2))</f>
        <v>1</v>
      </c>
      <c r="AM382">
        <f>IF(OR($J382=1,COUNTIFS($A$5:$A381,"&gt;="&amp;$A382-1,$A$5:$A381,"&lt;="&amp;$A382,$B$5:$B381,$B382)&gt;0,MIN(1-'Exercise list'!G$2,IF($A382=$A381,AM381,1))-R382&lt;0),-1,MIN(1,IF($A382=$A381,AM381,1)-R382+$D$2))</f>
        <v>1</v>
      </c>
      <c r="AN382">
        <f>IF(OR($J382=1,COUNTIFS($A$5:$A381,"&gt;="&amp;$A382-1,$A$5:$A381,"&lt;="&amp;$A382,$B$5:$B381,$B382)&gt;0,MIN(1-'Exercise list'!H$2,IF($A382=$A381,AN381,1))-S382&lt;0),-1,MIN(1,IF($A382=$A381,AN381,1)-S382+$D$2))</f>
        <v>1</v>
      </c>
      <c r="AO382">
        <f>IF(OR($J382=1,COUNTIFS($A$5:$A381,"&gt;="&amp;$A382-1,$A$5:$A381,"&lt;="&amp;$A382,$B$5:$B381,$B382)&gt;0,MIN(1-'Exercise list'!I$2,IF($A382=$A381,AO381,1))-T382&lt;0),-1,MIN(1,IF($A382=$A381,AO381,1)-T382+$D$2))</f>
        <v>1</v>
      </c>
      <c r="AP382">
        <f>IF(OR($J382=1,COUNTIFS($A$5:$A381,"&gt;="&amp;$A382-1,$A$5:$A381,"&lt;="&amp;$A382,$B$5:$B381,$B382)&gt;0,MIN(1-'Exercise list'!J$2,IF($A382=$A381,AP381,1))-U382&lt;0),-1,MIN(1,IF($A382=$A381,AP381,1)-U382+$D$2))</f>
        <v>1</v>
      </c>
      <c r="AQ382">
        <f>IF(OR($J382=1,COUNTIFS($A$5:$A381,"&gt;="&amp;$A382-1,$A$5:$A381,"&lt;="&amp;$A382,$B$5:$B381,$B382)&gt;0,MIN(1-'Exercise list'!K$2,IF($A382=$A381,AQ381,1))-V382&lt;0),-1,MIN(1,IF($A382=$A381,AQ381,1)-V382+$D$2))</f>
        <v>1</v>
      </c>
      <c r="AR382">
        <f>IF(OR($J382=1,COUNTIFS($A$5:$A381,"&gt;="&amp;$A382-1,$A$5:$A381,"&lt;="&amp;$A382,$B$5:$B381,$B382)&gt;0,MIN(1-'Exercise list'!L$2,IF($A382=$A381,AR381,1))-W382&lt;0),-1,MIN(1,IF($A382=$A381,AR381,1)-W382+$D$2))</f>
        <v>1</v>
      </c>
      <c r="AS382">
        <f>IF(OR($J382=1,COUNTIFS($A$5:$A381,"&gt;="&amp;$A382-1,$A$5:$A381,"&lt;="&amp;$A382,$B$5:$B381,$B382)&gt;0,MIN(1-'Exercise list'!M$2,IF($A382=$A381,AS381,1))-X382&lt;0),-1,MIN(1,IF($A382=$A381,AS381,1)-X382+$D$2))</f>
        <v>1</v>
      </c>
      <c r="AT382">
        <f>IF(OR($J382=1,COUNTIFS($A$5:$A381,"&gt;="&amp;$A382-1,$A$5:$A381,"&lt;="&amp;$A382,$B$5:$B381,$B382)&gt;0,MIN(1-'Exercise list'!N$2,IF($A382=$A381,AT381,1))-Y382&lt;0),-1,MIN(1,IF($A382=$A381,AT381,1)-Y382+$D$2))</f>
        <v>1</v>
      </c>
      <c r="AU382">
        <f>IF(OR($J382=1,COUNTIFS($A$5:$A381,"&gt;="&amp;$A382-1,$A$5:$A381,"&lt;="&amp;$A382,$B$5:$B381,$B382)&gt;0,MIN(1-'Exercise list'!O$2,IF($A382=$A381,AU381,1))-Z382&lt;0),-1,MIN(1,IF($A382=$A381,AU381,1)-Z382+$D$2))</f>
        <v>1</v>
      </c>
      <c r="AV382">
        <f>IF(OR($J382=1,COUNTIFS($A$5:$A381,"&gt;="&amp;$A382-1,$A$5:$A381,"&lt;="&amp;$A382,$B$5:$B381,$B382)&gt;0,MIN(1-'Exercise list'!P$2,IF($A382=$A381,AV381,1))-AA382&lt;0),-1,MIN(1,IF($A382=$A381,AV381,1)-AA382+$D$2))</f>
        <v>1</v>
      </c>
      <c r="AW382">
        <f>IF(OR($J382=1,COUNTIFS($A$5:$A381,"&gt;="&amp;$A382-1,$A$5:$A381,"&lt;="&amp;$A382,$B$5:$B381,$B382)&gt;0,MIN(1-'Exercise list'!Q$2,IF($A382=$A381,AW381,1))-AB382&lt;0),-1,MIN(1,IF($A382=$A381,AW381,1)-AB382+$D$2))</f>
        <v>1</v>
      </c>
      <c r="AX382">
        <f>IF(OR($J382=1,COUNTIFS($A$5:$A381,"&gt;="&amp;$A382-1,$A$5:$A381,"&lt;="&amp;$A382,$B$5:$B381,$B382)&gt;0,MIN(1-'Exercise list'!R$2,IF($A382=$A381,AX381,1))-AC382&lt;0),-1,MIN(1,IF($A382=$A381,AX381,1)-AC382+$D$2))</f>
        <v>1</v>
      </c>
      <c r="AY382">
        <f>IF(OR($J382=1,COUNTIFS($A$5:$A381,"&gt;="&amp;$A382-1,$A$5:$A381,"&lt;="&amp;$A382,$B$5:$B381,$B382)&gt;0,MIN(1-'Exercise list'!S$2,IF($A382=$A381,AY381,1))-AD382&lt;0),-1,MIN(1,IF($A382=$A381,AY381,1)-AD382+$D$2))</f>
        <v>1</v>
      </c>
      <c r="AZ382">
        <f>IF(OR($J382=1,COUNTIFS($A$5:$A381,"&gt;="&amp;$A382-1,$A$5:$A381,"&lt;="&amp;$A382,$B$5:$B381,$B382)&gt;0,MIN(1-'Exercise list'!T$2,IF($A382=$A381,AZ381,1))-AE382&lt;0),-1,MIN(1,IF($A382=$A381,AZ381,1)-AE382+$D$2))</f>
        <v>1</v>
      </c>
      <c r="BA382">
        <f>IF(OR($J382=1,COUNTIFS($A$5:$A381,"&gt;="&amp;$A382-1,$A$5:$A381,"&lt;="&amp;$A382,$B$5:$B381,$B382)&gt;0,MIN(1-'Exercise list'!U$2,IF($A382=$A381,BA381,1))-AF382&lt;0),-1,MIN(1,IF($A382=$A381,BA381,1)-AF382+$D$2))</f>
        <v>1</v>
      </c>
      <c r="BB382">
        <f>IF(OR($J382=1,COUNTIFS($A$5:$A381,"&gt;="&amp;$A382-1,$A$5:$A381,"&lt;="&amp;$A382,$B$5:$B381,$B382)&gt;0,MIN(1-'Exercise list'!V$2,IF($A382=$A381,BB381,1))-AG382&lt;0),-1,MIN(1,IF($A382=$A381,BB381,1)-AG382+$D$2))</f>
        <v>1</v>
      </c>
      <c r="BC382">
        <f>IF(OR($J382=1,COUNTIFS($A$5:$A381,"&gt;="&amp;$A382-1,$A$5:$A381,"&lt;="&amp;$A382,$B$5:$B381,$B382)&gt;0,MIN(1-'Exercise list'!W$2,IF($A382=$A381,BC381,1))-AH382&lt;0),-1,MIN(1,IF($A382=$A381,BC381,1)-AH382+$D$2))</f>
        <v>1</v>
      </c>
      <c r="BD382">
        <f>IF(OR($J382=1,COUNTIFS($A$5:$A381,"&gt;="&amp;$A382-1,$A$5:$A381,"&lt;="&amp;$A382,$B$5:$B381,$B382)&gt;0,MIN(1-'Exercise list'!X$2,IF($A382=$A381,BD381,1))-AI382&lt;0),-1,MIN(1,IF($A382=$A381,BD381,1)-AI382+$D$2))</f>
        <v>1</v>
      </c>
      <c r="BF382" s="16">
        <f t="shared" si="277"/>
        <v>0.19596031081758858</v>
      </c>
      <c r="BG382" s="16">
        <f t="shared" si="278"/>
        <v>0.21844636935459236</v>
      </c>
      <c r="BH382" s="16">
        <f t="shared" si="279"/>
        <v>0.14609696635987124</v>
      </c>
      <c r="BI382" s="16">
        <f t="shared" si="280"/>
        <v>0.13198015366034541</v>
      </c>
      <c r="BJ382" s="16">
        <f t="shared" si="281"/>
        <v>8.3367914198418713E-2</v>
      </c>
      <c r="BK382" s="16">
        <f t="shared" si="282"/>
        <v>0.10640640223148412</v>
      </c>
      <c r="BL382" s="16">
        <f t="shared" si="283"/>
        <v>0.21963504743569431</v>
      </c>
      <c r="BM382" s="16">
        <f t="shared" si="284"/>
        <v>3.8988008374820568E-3</v>
      </c>
      <c r="BN382" s="16">
        <f t="shared" si="285"/>
        <v>0.14537706087090876</v>
      </c>
      <c r="BO382" s="16">
        <f t="shared" si="286"/>
        <v>0.29209790661993401</v>
      </c>
      <c r="BP382" s="16">
        <f t="shared" si="287"/>
        <v>0.31584545163401867</v>
      </c>
      <c r="BQ382" s="16">
        <f t="shared" si="288"/>
        <v>0.1000007994126096</v>
      </c>
      <c r="BR382" s="16">
        <f t="shared" si="289"/>
        <v>0.13164487759885393</v>
      </c>
      <c r="BS382" s="16">
        <f t="shared" si="290"/>
        <v>2.9803550189863123E-2</v>
      </c>
      <c r="BT382" s="16">
        <f t="shared" si="291"/>
        <v>0.13492040904978705</v>
      </c>
      <c r="BU382" s="16">
        <f t="shared" si="292"/>
        <v>0.11703687414398131</v>
      </c>
      <c r="BV382" s="16">
        <f t="shared" si="293"/>
        <v>0.14633353213781661</v>
      </c>
      <c r="BW382" s="16">
        <f t="shared" si="294"/>
        <v>7.5588015111767173E-2</v>
      </c>
      <c r="BX382" s="16">
        <f t="shared" si="295"/>
        <v>8.0345659937185704E-2</v>
      </c>
      <c r="BY382" s="16">
        <f t="shared" si="296"/>
        <v>5.9014643151272549E-2</v>
      </c>
      <c r="CA382" s="16" t="str">
        <f t="shared" si="273"/>
        <v/>
      </c>
      <c r="CB382" s="16" t="str">
        <f t="shared" si="254"/>
        <v/>
      </c>
      <c r="CC382" s="16" t="str">
        <f t="shared" si="255"/>
        <v/>
      </c>
      <c r="CD382" s="16" t="str">
        <f t="shared" si="256"/>
        <v/>
      </c>
      <c r="CE382" s="16" t="str">
        <f t="shared" si="257"/>
        <v/>
      </c>
      <c r="CF382" s="16" t="str">
        <f t="shared" si="258"/>
        <v/>
      </c>
      <c r="CG382" s="16" t="str">
        <f t="shared" si="259"/>
        <v/>
      </c>
      <c r="CH382" s="16" t="str">
        <f t="shared" si="260"/>
        <v/>
      </c>
      <c r="CI382" s="16" t="str">
        <f t="shared" si="261"/>
        <v/>
      </c>
      <c r="CJ382" s="16" t="str">
        <f t="shared" si="262"/>
        <v/>
      </c>
      <c r="CK382" s="16" t="str">
        <f t="shared" si="263"/>
        <v/>
      </c>
      <c r="CL382" s="16" t="str">
        <f t="shared" si="264"/>
        <v/>
      </c>
      <c r="CM382" s="16" t="str">
        <f t="shared" si="265"/>
        <v/>
      </c>
      <c r="CN382" s="16" t="str">
        <f t="shared" si="266"/>
        <v/>
      </c>
      <c r="CO382" s="16" t="str">
        <f t="shared" si="267"/>
        <v/>
      </c>
      <c r="CP382" s="16" t="str">
        <f t="shared" si="268"/>
        <v/>
      </c>
      <c r="CQ382" s="16" t="str">
        <f t="shared" si="269"/>
        <v/>
      </c>
      <c r="CR382" s="16" t="str">
        <f t="shared" si="270"/>
        <v/>
      </c>
      <c r="CS382" s="16" t="str">
        <f t="shared" si="271"/>
        <v/>
      </c>
      <c r="CT382" s="16" t="str">
        <f t="shared" si="272"/>
        <v/>
      </c>
    </row>
    <row r="383" spans="1:99" x14ac:dyDescent="0.25">
      <c r="A383" s="20"/>
      <c r="B383" s="21"/>
      <c r="C383" s="22" t="str" cm="1">
        <f t="array" ref="C383">IF(B383="","",INDEX('Exercise list'!$C$5:$C$102,B383))</f>
        <v/>
      </c>
      <c r="D383" s="17" t="str">
        <f t="shared" si="274"/>
        <v/>
      </c>
      <c r="E383" s="108" t="str">
        <f t="shared" si="297"/>
        <v/>
      </c>
      <c r="F383" s="65" t="str" cm="1">
        <f t="array" ref="F383">IF(B383="","",0.1+IFERROR(INDEX($F$6:$F382,SUMPRODUCT(MAX(ROW($C$6:$C382)*($C383=$C$6:$C382))-ROW($A$5)))*0.9^($A383-INDEX($A$6:A382,SUMPRODUCT(MAX(ROW($C$6:$C382)*($C383=$C$6:$C382))-ROW($A$5)))),0))</f>
        <v/>
      </c>
      <c r="G383" s="25" t="e">
        <f>INDEX('Exercise list'!$Y$5:$Y$102,MATCH(C383,'Exercise list'!$C$5:$C$102,0))</f>
        <v>#N/A</v>
      </c>
      <c r="H383" s="116">
        <f t="shared" si="275"/>
        <v>0</v>
      </c>
      <c r="I383" s="18">
        <f t="shared" si="276"/>
        <v>5</v>
      </c>
      <c r="J383" s="18" t="str" cm="1">
        <f t="array" ref="J383">IF(B383="","",INDEX('Exercise list'!$D$5:$D$102,B383))</f>
        <v/>
      </c>
      <c r="K383" s="17"/>
      <c r="L383" s="51" t="str" cm="1">
        <f t="array" ref="L383">IF(K383="","",INDEX('Exercise list'!$C$5:$C$102,K383))</f>
        <v/>
      </c>
      <c r="M383" s="18"/>
      <c r="N383" s="76" t="str" cm="1">
        <f t="array" ref="N383">IF(M383="","",INDEX('Exercise list'!$C$5:$C$102,M383))</f>
        <v/>
      </c>
      <c r="O383" s="19"/>
      <c r="P383" s="19">
        <f>IFERROR(INDEX('Exercise list'!$E$5:$X$102,MATCH($C383,'Exercise list'!$C$5:$C$102,0),MATCH(P$5,'Exercise list'!$E$4:$X$4,0)),0)</f>
        <v>0</v>
      </c>
      <c r="Q383" s="19">
        <f>IFERROR(INDEX('Exercise list'!$E$5:$X$102,MATCH($C383,'Exercise list'!$C$5:$C$102,0),MATCH(Q$5,'Exercise list'!$E$4:$X$4,0)),0)</f>
        <v>0</v>
      </c>
      <c r="R383" s="19">
        <f>IFERROR(INDEX('Exercise list'!$E$5:$X$102,MATCH($C383,'Exercise list'!$C$5:$C$102,0),MATCH(R$5,'Exercise list'!$E$4:$X$4,0)),0)</f>
        <v>0</v>
      </c>
      <c r="S383" s="19">
        <f>IFERROR(INDEX('Exercise list'!$E$5:$X$102,MATCH($C383,'Exercise list'!$C$5:$C$102,0),MATCH(S$5,'Exercise list'!$E$4:$X$4,0)),0)</f>
        <v>0</v>
      </c>
      <c r="T383" s="19">
        <f>IFERROR(INDEX('Exercise list'!$E$5:$X$102,MATCH($C383,'Exercise list'!$C$5:$C$102,0),MATCH(T$5,'Exercise list'!$E$4:$X$4,0)),0)</f>
        <v>0</v>
      </c>
      <c r="U383" s="19">
        <f>IFERROR(INDEX('Exercise list'!$E$5:$X$102,MATCH($C383,'Exercise list'!$C$5:$C$102,0),MATCH(U$5,'Exercise list'!$E$4:$X$4,0)),0)</f>
        <v>0</v>
      </c>
      <c r="V383" s="19">
        <f>IFERROR(INDEX('Exercise list'!$E$5:$X$102,MATCH($C383,'Exercise list'!$C$5:$C$102,0),MATCH(V$5,'Exercise list'!$E$4:$X$4,0)),0)</f>
        <v>0</v>
      </c>
      <c r="W383" s="19">
        <f>IFERROR(INDEX('Exercise list'!$E$5:$X$102,MATCH($C383,'Exercise list'!$C$5:$C$102,0),MATCH(W$5,'Exercise list'!$E$4:$X$4,0)),0)</f>
        <v>0</v>
      </c>
      <c r="X383" s="19">
        <f>IFERROR(INDEX('Exercise list'!$E$5:$X$102,MATCH($C383,'Exercise list'!$C$5:$C$102,0),MATCH(X$5,'Exercise list'!$E$4:$X$4,0)),0)</f>
        <v>0</v>
      </c>
      <c r="Y383" s="19">
        <f>IFERROR(INDEX('Exercise list'!$E$5:$X$102,MATCH($C383,'Exercise list'!$C$5:$C$102,0),MATCH(Y$5,'Exercise list'!$E$4:$X$4,0)),0)</f>
        <v>0</v>
      </c>
      <c r="Z383" s="19">
        <f>IFERROR(INDEX('Exercise list'!$E$5:$X$102,MATCH($C383,'Exercise list'!$C$5:$C$102,0),MATCH(Z$5,'Exercise list'!$E$4:$X$4,0)),0)</f>
        <v>0</v>
      </c>
      <c r="AA383" s="19">
        <f>IFERROR(INDEX('Exercise list'!$E$5:$X$102,MATCH($C383,'Exercise list'!$C$5:$C$102,0),MATCH(AA$5,'Exercise list'!$E$4:$X$4,0)),0)</f>
        <v>0</v>
      </c>
      <c r="AB383" s="19">
        <f>IFERROR(INDEX('Exercise list'!$E$5:$X$102,MATCH($C383,'Exercise list'!$C$5:$C$102,0),MATCH(AB$5,'Exercise list'!$E$4:$X$4,0)),0)</f>
        <v>0</v>
      </c>
      <c r="AC383" s="19">
        <f>IFERROR(INDEX('Exercise list'!$E$5:$X$102,MATCH($C383,'Exercise list'!$C$5:$C$102,0),MATCH(AC$5,'Exercise list'!$E$4:$X$4,0)),0)</f>
        <v>0</v>
      </c>
      <c r="AD383" s="19">
        <f>IFERROR(INDEX('Exercise list'!$E$5:$X$102,MATCH($C383,'Exercise list'!$C$5:$C$102,0),MATCH(AD$5,'Exercise list'!$E$4:$X$4,0)),0)</f>
        <v>0</v>
      </c>
      <c r="AE383" s="19">
        <f>IFERROR(INDEX('Exercise list'!$E$5:$X$102,MATCH($C383,'Exercise list'!$C$5:$C$102,0),MATCH(AE$5,'Exercise list'!$E$4:$X$4,0)),0)</f>
        <v>0</v>
      </c>
      <c r="AF383" s="19">
        <f>IFERROR(INDEX('Exercise list'!$E$5:$X$102,MATCH($C383,'Exercise list'!$C$5:$C$102,0),MATCH(AF$5,'Exercise list'!$E$4:$X$4,0)),0)</f>
        <v>0</v>
      </c>
      <c r="AG383" s="19">
        <f>IFERROR(INDEX('Exercise list'!$E$5:$X$102,MATCH($C383,'Exercise list'!$C$5:$C$102,0),MATCH(AG$5,'Exercise list'!$E$4:$X$4,0)),0)</f>
        <v>0</v>
      </c>
      <c r="AH383" s="19">
        <f>IFERROR(INDEX('Exercise list'!$E$5:$X$102,MATCH($C383,'Exercise list'!$C$5:$C$102,0),MATCH(AH$5,'Exercise list'!$E$4:$X$4,0)),0)</f>
        <v>0</v>
      </c>
      <c r="AI383" s="19">
        <f>IFERROR(INDEX('Exercise list'!$E$5:$X$102,MATCH($C383,'Exercise list'!$C$5:$C$102,0),MATCH(AI$5,'Exercise list'!$E$4:$X$4,0)),0)</f>
        <v>0</v>
      </c>
      <c r="AJ383" s="19"/>
      <c r="AK383" s="19">
        <f>IF(OR($J383=1,COUNTIFS($A$5:$A382,"&gt;="&amp;$A383-1,$A$5:$A382,"&lt;="&amp;$A383,$B$5:$B382,$B383)&gt;0,MIN(1-'Exercise list'!E$2,IF($A383=$A382,AK382,1))-P383&lt;0),-1,MIN(1,IF($A383=$A382,AK382,1)-P383+$D$2))</f>
        <v>1</v>
      </c>
      <c r="AL383" s="19">
        <f>IF(OR($J383=1,COUNTIFS($A$5:$A382,"&gt;="&amp;$A383-1,$A$5:$A382,"&lt;="&amp;$A383,$B$5:$B382,$B383)&gt;0,MIN(1-'Exercise list'!F$2,IF($A383=$A382,AL382,1))-Q383&lt;0),-1,MIN(1,IF($A383=$A382,AL382,1)-Q383+$D$2))</f>
        <v>1</v>
      </c>
      <c r="AM383" s="19">
        <f>IF(OR($J383=1,COUNTIFS($A$5:$A382,"&gt;="&amp;$A383-1,$A$5:$A382,"&lt;="&amp;$A383,$B$5:$B382,$B383)&gt;0,MIN(1-'Exercise list'!G$2,IF($A383=$A382,AM382,1))-R383&lt;0),-1,MIN(1,IF($A383=$A382,AM382,1)-R383+$D$2))</f>
        <v>1</v>
      </c>
      <c r="AN383" s="19">
        <f>IF(OR($J383=1,COUNTIFS($A$5:$A382,"&gt;="&amp;$A383-1,$A$5:$A382,"&lt;="&amp;$A383,$B$5:$B382,$B383)&gt;0,MIN(1-'Exercise list'!H$2,IF($A383=$A382,AN382,1))-S383&lt;0),-1,MIN(1,IF($A383=$A382,AN382,1)-S383+$D$2))</f>
        <v>1</v>
      </c>
      <c r="AO383" s="19">
        <f>IF(OR($J383=1,COUNTIFS($A$5:$A382,"&gt;="&amp;$A383-1,$A$5:$A382,"&lt;="&amp;$A383,$B$5:$B382,$B383)&gt;0,MIN(1-'Exercise list'!I$2,IF($A383=$A382,AO382,1))-T383&lt;0),-1,MIN(1,IF($A383=$A382,AO382,1)-T383+$D$2))</f>
        <v>1</v>
      </c>
      <c r="AP383" s="19">
        <f>IF(OR($J383=1,COUNTIFS($A$5:$A382,"&gt;="&amp;$A383-1,$A$5:$A382,"&lt;="&amp;$A383,$B$5:$B382,$B383)&gt;0,MIN(1-'Exercise list'!J$2,IF($A383=$A382,AP382,1))-U383&lt;0),-1,MIN(1,IF($A383=$A382,AP382,1)-U383+$D$2))</f>
        <v>1</v>
      </c>
      <c r="AQ383" s="19">
        <f>IF(OR($J383=1,COUNTIFS($A$5:$A382,"&gt;="&amp;$A383-1,$A$5:$A382,"&lt;="&amp;$A383,$B$5:$B382,$B383)&gt;0,MIN(1-'Exercise list'!K$2,IF($A383=$A382,AQ382,1))-V383&lt;0),-1,MIN(1,IF($A383=$A382,AQ382,1)-V383+$D$2))</f>
        <v>1</v>
      </c>
      <c r="AR383" s="19">
        <f>IF(OR($J383=1,COUNTIFS($A$5:$A382,"&gt;="&amp;$A383-1,$A$5:$A382,"&lt;="&amp;$A383,$B$5:$B382,$B383)&gt;0,MIN(1-'Exercise list'!L$2,IF($A383=$A382,AR382,1))-W383&lt;0),-1,MIN(1,IF($A383=$A382,AR382,1)-W383+$D$2))</f>
        <v>1</v>
      </c>
      <c r="AS383" s="19">
        <f>IF(OR($J383=1,COUNTIFS($A$5:$A382,"&gt;="&amp;$A383-1,$A$5:$A382,"&lt;="&amp;$A383,$B$5:$B382,$B383)&gt;0,MIN(1-'Exercise list'!M$2,IF($A383=$A382,AS382,1))-X383&lt;0),-1,MIN(1,IF($A383=$A382,AS382,1)-X383+$D$2))</f>
        <v>1</v>
      </c>
      <c r="AT383" s="19">
        <f>IF(OR($J383=1,COUNTIFS($A$5:$A382,"&gt;="&amp;$A383-1,$A$5:$A382,"&lt;="&amp;$A383,$B$5:$B382,$B383)&gt;0,MIN(1-'Exercise list'!N$2,IF($A383=$A382,AT382,1))-Y383&lt;0),-1,MIN(1,IF($A383=$A382,AT382,1)-Y383+$D$2))</f>
        <v>1</v>
      </c>
      <c r="AU383" s="19">
        <f>IF(OR($J383=1,COUNTIFS($A$5:$A382,"&gt;="&amp;$A383-1,$A$5:$A382,"&lt;="&amp;$A383,$B$5:$B382,$B383)&gt;0,MIN(1-'Exercise list'!O$2,IF($A383=$A382,AU382,1))-Z383&lt;0),-1,MIN(1,IF($A383=$A382,AU382,1)-Z383+$D$2))</f>
        <v>1</v>
      </c>
      <c r="AV383" s="19">
        <f>IF(OR($J383=1,COUNTIFS($A$5:$A382,"&gt;="&amp;$A383-1,$A$5:$A382,"&lt;="&amp;$A383,$B$5:$B382,$B383)&gt;0,MIN(1-'Exercise list'!P$2,IF($A383=$A382,AV382,1))-AA383&lt;0),-1,MIN(1,IF($A383=$A382,AV382,1)-AA383+$D$2))</f>
        <v>1</v>
      </c>
      <c r="AW383" s="19">
        <f>IF(OR($J383=1,COUNTIFS($A$5:$A382,"&gt;="&amp;$A383-1,$A$5:$A382,"&lt;="&amp;$A383,$B$5:$B382,$B383)&gt;0,MIN(1-'Exercise list'!Q$2,IF($A383=$A382,AW382,1))-AB383&lt;0),-1,MIN(1,IF($A383=$A382,AW382,1)-AB383+$D$2))</f>
        <v>1</v>
      </c>
      <c r="AX383" s="19">
        <f>IF(OR($J383=1,COUNTIFS($A$5:$A382,"&gt;="&amp;$A383-1,$A$5:$A382,"&lt;="&amp;$A383,$B$5:$B382,$B383)&gt;0,MIN(1-'Exercise list'!R$2,IF($A383=$A382,AX382,1))-AC383&lt;0),-1,MIN(1,IF($A383=$A382,AX382,1)-AC383+$D$2))</f>
        <v>1</v>
      </c>
      <c r="AY383" s="19">
        <f>IF(OR($J383=1,COUNTIFS($A$5:$A382,"&gt;="&amp;$A383-1,$A$5:$A382,"&lt;="&amp;$A383,$B$5:$B382,$B383)&gt;0,MIN(1-'Exercise list'!S$2,IF($A383=$A382,AY382,1))-AD383&lt;0),-1,MIN(1,IF($A383=$A382,AY382,1)-AD383+$D$2))</f>
        <v>1</v>
      </c>
      <c r="AZ383" s="19">
        <f>IF(OR($J383=1,COUNTIFS($A$5:$A382,"&gt;="&amp;$A383-1,$A$5:$A382,"&lt;="&amp;$A383,$B$5:$B382,$B383)&gt;0,MIN(1-'Exercise list'!T$2,IF($A383=$A382,AZ382,1))-AE383&lt;0),-1,MIN(1,IF($A383=$A382,AZ382,1)-AE383+$D$2))</f>
        <v>1</v>
      </c>
      <c r="BA383" s="19">
        <f>IF(OR($J383=1,COUNTIFS($A$5:$A382,"&gt;="&amp;$A383-1,$A$5:$A382,"&lt;="&amp;$A383,$B$5:$B382,$B383)&gt;0,MIN(1-'Exercise list'!U$2,IF($A383=$A382,BA382,1))-AF383&lt;0),-1,MIN(1,IF($A383=$A382,BA382,1)-AF383+$D$2))</f>
        <v>1</v>
      </c>
      <c r="BB383" s="19">
        <f>IF(OR($J383=1,COUNTIFS($A$5:$A382,"&gt;="&amp;$A383-1,$A$5:$A382,"&lt;="&amp;$A383,$B$5:$B382,$B383)&gt;0,MIN(1-'Exercise list'!V$2,IF($A383=$A382,BB382,1))-AG383&lt;0),-1,MIN(1,IF($A383=$A382,BB382,1)-AG383+$D$2))</f>
        <v>1</v>
      </c>
      <c r="BC383" s="19">
        <f>IF(OR($J383=1,COUNTIFS($A$5:$A382,"&gt;="&amp;$A383-1,$A$5:$A382,"&lt;="&amp;$A383,$B$5:$B382,$B383)&gt;0,MIN(1-'Exercise list'!W$2,IF($A383=$A382,BC382,1))-AH383&lt;0),-1,MIN(1,IF($A383=$A382,BC382,1)-AH383+$D$2))</f>
        <v>1</v>
      </c>
      <c r="BD383" s="19">
        <f>IF(OR($J383=1,COUNTIFS($A$5:$A382,"&gt;="&amp;$A383-1,$A$5:$A382,"&lt;="&amp;$A383,$B$5:$B382,$B383)&gt;0,MIN(1-'Exercise list'!X$2,IF($A383=$A382,BD382,1))-AI383&lt;0),-1,MIN(1,IF($A383=$A382,BD382,1)-AI383+$D$2))</f>
        <v>1</v>
      </c>
      <c r="BE383" s="19"/>
      <c r="BF383" s="23">
        <f t="shared" si="277"/>
        <v>0.19596031081758858</v>
      </c>
      <c r="BG383" s="23">
        <f t="shared" si="278"/>
        <v>0.21844636935459236</v>
      </c>
      <c r="BH383" s="23">
        <f t="shared" si="279"/>
        <v>0.14609696635987124</v>
      </c>
      <c r="BI383" s="23">
        <f t="shared" si="280"/>
        <v>0.13198015366034541</v>
      </c>
      <c r="BJ383" s="23">
        <f t="shared" si="281"/>
        <v>8.3367914198418713E-2</v>
      </c>
      <c r="BK383" s="23">
        <f t="shared" si="282"/>
        <v>0.10640640223148412</v>
      </c>
      <c r="BL383" s="23">
        <f t="shared" si="283"/>
        <v>0.21963504743569431</v>
      </c>
      <c r="BM383" s="23">
        <f t="shared" si="284"/>
        <v>3.8988008374820568E-3</v>
      </c>
      <c r="BN383" s="23">
        <f t="shared" si="285"/>
        <v>0.14537706087090876</v>
      </c>
      <c r="BO383" s="23">
        <f t="shared" si="286"/>
        <v>0.29209790661993401</v>
      </c>
      <c r="BP383" s="23">
        <f t="shared" si="287"/>
        <v>0.31584545163401867</v>
      </c>
      <c r="BQ383" s="23">
        <f t="shared" si="288"/>
        <v>0.1000007994126096</v>
      </c>
      <c r="BR383" s="23">
        <f t="shared" si="289"/>
        <v>0.13164487759885393</v>
      </c>
      <c r="BS383" s="23">
        <f t="shared" si="290"/>
        <v>2.9803550189863123E-2</v>
      </c>
      <c r="BT383" s="23">
        <f t="shared" si="291"/>
        <v>0.13492040904978705</v>
      </c>
      <c r="BU383" s="23">
        <f t="shared" si="292"/>
        <v>0.11703687414398131</v>
      </c>
      <c r="BV383" s="23">
        <f t="shared" si="293"/>
        <v>0.14633353213781661</v>
      </c>
      <c r="BW383" s="23">
        <f t="shared" si="294"/>
        <v>7.5588015111767173E-2</v>
      </c>
      <c r="BX383" s="23">
        <f t="shared" si="295"/>
        <v>8.0345659937185704E-2</v>
      </c>
      <c r="BY383" s="23">
        <f t="shared" si="296"/>
        <v>5.9014643151272549E-2</v>
      </c>
      <c r="BZ383" s="19"/>
      <c r="CA383" s="23" t="str">
        <f t="shared" si="273"/>
        <v/>
      </c>
      <c r="CB383" s="23" t="str">
        <f t="shared" si="254"/>
        <v/>
      </c>
      <c r="CC383" s="23" t="str">
        <f t="shared" si="255"/>
        <v/>
      </c>
      <c r="CD383" s="23" t="str">
        <f t="shared" si="256"/>
        <v/>
      </c>
      <c r="CE383" s="23" t="str">
        <f t="shared" si="257"/>
        <v/>
      </c>
      <c r="CF383" s="23" t="str">
        <f t="shared" si="258"/>
        <v/>
      </c>
      <c r="CG383" s="23" t="str">
        <f t="shared" si="259"/>
        <v/>
      </c>
      <c r="CH383" s="23" t="str">
        <f t="shared" si="260"/>
        <v/>
      </c>
      <c r="CI383" s="23" t="str">
        <f t="shared" si="261"/>
        <v/>
      </c>
      <c r="CJ383" s="23" t="str">
        <f t="shared" si="262"/>
        <v/>
      </c>
      <c r="CK383" s="23" t="str">
        <f t="shared" si="263"/>
        <v/>
      </c>
      <c r="CL383" s="23" t="str">
        <f t="shared" si="264"/>
        <v/>
      </c>
      <c r="CM383" s="23" t="str">
        <f t="shared" si="265"/>
        <v/>
      </c>
      <c r="CN383" s="23" t="str">
        <f t="shared" si="266"/>
        <v/>
      </c>
      <c r="CO383" s="23" t="str">
        <f t="shared" si="267"/>
        <v/>
      </c>
      <c r="CP383" s="23" t="str">
        <f t="shared" si="268"/>
        <v/>
      </c>
      <c r="CQ383" s="23" t="str">
        <f t="shared" si="269"/>
        <v/>
      </c>
      <c r="CR383" s="23" t="str">
        <f t="shared" si="270"/>
        <v/>
      </c>
      <c r="CS383" s="23" t="str">
        <f t="shared" si="271"/>
        <v/>
      </c>
      <c r="CT383" s="23" t="str">
        <f t="shared" si="272"/>
        <v/>
      </c>
      <c r="CU383" s="19"/>
    </row>
    <row r="384" spans="1:99" x14ac:dyDescent="0.25">
      <c r="A384" s="13"/>
      <c r="B384" s="14"/>
      <c r="C384" s="15" t="str" cm="1">
        <f t="array" ref="C384">IF(B384="","",INDEX('Exercise list'!$C$5:$C$102,B384))</f>
        <v/>
      </c>
      <c r="D384" s="12" t="str">
        <f t="shared" si="274"/>
        <v/>
      </c>
      <c r="E384" s="107" t="str">
        <f t="shared" si="297"/>
        <v/>
      </c>
      <c r="F384" s="63" t="str" cm="1">
        <f t="array" ref="F384">IF(B384="","",0.1+IFERROR(INDEX($F$6:$F383,SUMPRODUCT(MAX(ROW($C$6:$C383)*($C384=$C$6:$C383))-ROW($A$5)))*0.9^($A384-INDEX($A$6:A383,SUMPRODUCT(MAX(ROW($C$6:$C383)*($C384=$C$6:$C383))-ROW($A$5)))),0))</f>
        <v/>
      </c>
      <c r="G384" s="64" t="e">
        <f>INDEX('Exercise list'!$Y$5:$Y$102,MATCH(C384,'Exercise list'!$C$5:$C$102,0))</f>
        <v>#N/A</v>
      </c>
      <c r="H384" s="115">
        <f t="shared" si="275"/>
        <v>0</v>
      </c>
      <c r="I384" s="42">
        <f t="shared" si="276"/>
        <v>5</v>
      </c>
      <c r="J384" s="6" t="str" cm="1">
        <f t="array" ref="J384">IF(B384="","",INDEX('Exercise list'!$D$5:$D$102,B384))</f>
        <v/>
      </c>
      <c r="K384" s="12"/>
      <c r="L384" s="74" t="str" cm="1">
        <f t="array" ref="L384">IF(K384="","",INDEX('Exercise list'!$C$5:$C$102,K384))</f>
        <v/>
      </c>
      <c r="M384" s="6"/>
      <c r="N384" s="75" t="str" cm="1">
        <f t="array" ref="N384">IF(M384="","",INDEX('Exercise list'!$C$5:$C$102,M384))</f>
        <v/>
      </c>
      <c r="P384">
        <f>IFERROR(INDEX('Exercise list'!$E$5:$X$102,MATCH($C384,'Exercise list'!$C$5:$C$102,0),MATCH(P$5,'Exercise list'!$E$4:$X$4,0)),0)</f>
        <v>0</v>
      </c>
      <c r="Q384">
        <f>IFERROR(INDEX('Exercise list'!$E$5:$X$102,MATCH($C384,'Exercise list'!$C$5:$C$102,0),MATCH(Q$5,'Exercise list'!$E$4:$X$4,0)),0)</f>
        <v>0</v>
      </c>
      <c r="R384">
        <f>IFERROR(INDEX('Exercise list'!$E$5:$X$102,MATCH($C384,'Exercise list'!$C$5:$C$102,0),MATCH(R$5,'Exercise list'!$E$4:$X$4,0)),0)</f>
        <v>0</v>
      </c>
      <c r="S384">
        <f>IFERROR(INDEX('Exercise list'!$E$5:$X$102,MATCH($C384,'Exercise list'!$C$5:$C$102,0),MATCH(S$5,'Exercise list'!$E$4:$X$4,0)),0)</f>
        <v>0</v>
      </c>
      <c r="T384">
        <f>IFERROR(INDEX('Exercise list'!$E$5:$X$102,MATCH($C384,'Exercise list'!$C$5:$C$102,0),MATCH(T$5,'Exercise list'!$E$4:$X$4,0)),0)</f>
        <v>0</v>
      </c>
      <c r="U384">
        <f>IFERROR(INDEX('Exercise list'!$E$5:$X$102,MATCH($C384,'Exercise list'!$C$5:$C$102,0),MATCH(U$5,'Exercise list'!$E$4:$X$4,0)),0)</f>
        <v>0</v>
      </c>
      <c r="V384">
        <f>IFERROR(INDEX('Exercise list'!$E$5:$X$102,MATCH($C384,'Exercise list'!$C$5:$C$102,0),MATCH(V$5,'Exercise list'!$E$4:$X$4,0)),0)</f>
        <v>0</v>
      </c>
      <c r="W384">
        <f>IFERROR(INDEX('Exercise list'!$E$5:$X$102,MATCH($C384,'Exercise list'!$C$5:$C$102,0),MATCH(W$5,'Exercise list'!$E$4:$X$4,0)),0)</f>
        <v>0</v>
      </c>
      <c r="X384">
        <f>IFERROR(INDEX('Exercise list'!$E$5:$X$102,MATCH($C384,'Exercise list'!$C$5:$C$102,0),MATCH(X$5,'Exercise list'!$E$4:$X$4,0)),0)</f>
        <v>0</v>
      </c>
      <c r="Y384">
        <f>IFERROR(INDEX('Exercise list'!$E$5:$X$102,MATCH($C384,'Exercise list'!$C$5:$C$102,0),MATCH(Y$5,'Exercise list'!$E$4:$X$4,0)),0)</f>
        <v>0</v>
      </c>
      <c r="Z384">
        <f>IFERROR(INDEX('Exercise list'!$E$5:$X$102,MATCH($C384,'Exercise list'!$C$5:$C$102,0),MATCH(Z$5,'Exercise list'!$E$4:$X$4,0)),0)</f>
        <v>0</v>
      </c>
      <c r="AA384">
        <f>IFERROR(INDEX('Exercise list'!$E$5:$X$102,MATCH($C384,'Exercise list'!$C$5:$C$102,0),MATCH(AA$5,'Exercise list'!$E$4:$X$4,0)),0)</f>
        <v>0</v>
      </c>
      <c r="AB384">
        <f>IFERROR(INDEX('Exercise list'!$E$5:$X$102,MATCH($C384,'Exercise list'!$C$5:$C$102,0),MATCH(AB$5,'Exercise list'!$E$4:$X$4,0)),0)</f>
        <v>0</v>
      </c>
      <c r="AC384">
        <f>IFERROR(INDEX('Exercise list'!$E$5:$X$102,MATCH($C384,'Exercise list'!$C$5:$C$102,0),MATCH(AC$5,'Exercise list'!$E$4:$X$4,0)),0)</f>
        <v>0</v>
      </c>
      <c r="AD384">
        <f>IFERROR(INDEX('Exercise list'!$E$5:$X$102,MATCH($C384,'Exercise list'!$C$5:$C$102,0),MATCH(AD$5,'Exercise list'!$E$4:$X$4,0)),0)</f>
        <v>0</v>
      </c>
      <c r="AE384">
        <f>IFERROR(INDEX('Exercise list'!$E$5:$X$102,MATCH($C384,'Exercise list'!$C$5:$C$102,0),MATCH(AE$5,'Exercise list'!$E$4:$X$4,0)),0)</f>
        <v>0</v>
      </c>
      <c r="AF384">
        <f>IFERROR(INDEX('Exercise list'!$E$5:$X$102,MATCH($C384,'Exercise list'!$C$5:$C$102,0),MATCH(AF$5,'Exercise list'!$E$4:$X$4,0)),0)</f>
        <v>0</v>
      </c>
      <c r="AG384">
        <f>IFERROR(INDEX('Exercise list'!$E$5:$X$102,MATCH($C384,'Exercise list'!$C$5:$C$102,0),MATCH(AG$5,'Exercise list'!$E$4:$X$4,0)),0)</f>
        <v>0</v>
      </c>
      <c r="AH384">
        <f>IFERROR(INDEX('Exercise list'!$E$5:$X$102,MATCH($C384,'Exercise list'!$C$5:$C$102,0),MATCH(AH$5,'Exercise list'!$E$4:$X$4,0)),0)</f>
        <v>0</v>
      </c>
      <c r="AI384">
        <f>IFERROR(INDEX('Exercise list'!$E$5:$X$102,MATCH($C384,'Exercise list'!$C$5:$C$102,0),MATCH(AI$5,'Exercise list'!$E$4:$X$4,0)),0)</f>
        <v>0</v>
      </c>
      <c r="AK384">
        <f>IF(OR($J384=1,COUNTIFS($A$5:$A383,"&gt;="&amp;$A384-1,$A$5:$A383,"&lt;="&amp;$A384,$B$5:$B383,$B384)&gt;0,MIN(1-'Exercise list'!E$2,IF($A384=$A383,AK383,1))-P384&lt;0),-1,MIN(1,IF($A384=$A383,AK383,1)-P384+$D$2))</f>
        <v>1</v>
      </c>
      <c r="AL384">
        <f>IF(OR($J384=1,COUNTIFS($A$5:$A383,"&gt;="&amp;$A384-1,$A$5:$A383,"&lt;="&amp;$A384,$B$5:$B383,$B384)&gt;0,MIN(1-'Exercise list'!F$2,IF($A384=$A383,AL383,1))-Q384&lt;0),-1,MIN(1,IF($A384=$A383,AL383,1)-Q384+$D$2))</f>
        <v>1</v>
      </c>
      <c r="AM384">
        <f>IF(OR($J384=1,COUNTIFS($A$5:$A383,"&gt;="&amp;$A384-1,$A$5:$A383,"&lt;="&amp;$A384,$B$5:$B383,$B384)&gt;0,MIN(1-'Exercise list'!G$2,IF($A384=$A383,AM383,1))-R384&lt;0),-1,MIN(1,IF($A384=$A383,AM383,1)-R384+$D$2))</f>
        <v>1</v>
      </c>
      <c r="AN384">
        <f>IF(OR($J384=1,COUNTIFS($A$5:$A383,"&gt;="&amp;$A384-1,$A$5:$A383,"&lt;="&amp;$A384,$B$5:$B383,$B384)&gt;0,MIN(1-'Exercise list'!H$2,IF($A384=$A383,AN383,1))-S384&lt;0),-1,MIN(1,IF($A384=$A383,AN383,1)-S384+$D$2))</f>
        <v>1</v>
      </c>
      <c r="AO384">
        <f>IF(OR($J384=1,COUNTIFS($A$5:$A383,"&gt;="&amp;$A384-1,$A$5:$A383,"&lt;="&amp;$A384,$B$5:$B383,$B384)&gt;0,MIN(1-'Exercise list'!I$2,IF($A384=$A383,AO383,1))-T384&lt;0),-1,MIN(1,IF($A384=$A383,AO383,1)-T384+$D$2))</f>
        <v>1</v>
      </c>
      <c r="AP384">
        <f>IF(OR($J384=1,COUNTIFS($A$5:$A383,"&gt;="&amp;$A384-1,$A$5:$A383,"&lt;="&amp;$A384,$B$5:$B383,$B384)&gt;0,MIN(1-'Exercise list'!J$2,IF($A384=$A383,AP383,1))-U384&lt;0),-1,MIN(1,IF($A384=$A383,AP383,1)-U384+$D$2))</f>
        <v>1</v>
      </c>
      <c r="AQ384">
        <f>IF(OR($J384=1,COUNTIFS($A$5:$A383,"&gt;="&amp;$A384-1,$A$5:$A383,"&lt;="&amp;$A384,$B$5:$B383,$B384)&gt;0,MIN(1-'Exercise list'!K$2,IF($A384=$A383,AQ383,1))-V384&lt;0),-1,MIN(1,IF($A384=$A383,AQ383,1)-V384+$D$2))</f>
        <v>1</v>
      </c>
      <c r="AR384">
        <f>IF(OR($J384=1,COUNTIFS($A$5:$A383,"&gt;="&amp;$A384-1,$A$5:$A383,"&lt;="&amp;$A384,$B$5:$B383,$B384)&gt;0,MIN(1-'Exercise list'!L$2,IF($A384=$A383,AR383,1))-W384&lt;0),-1,MIN(1,IF($A384=$A383,AR383,1)-W384+$D$2))</f>
        <v>1</v>
      </c>
      <c r="AS384">
        <f>IF(OR($J384=1,COUNTIFS($A$5:$A383,"&gt;="&amp;$A384-1,$A$5:$A383,"&lt;="&amp;$A384,$B$5:$B383,$B384)&gt;0,MIN(1-'Exercise list'!M$2,IF($A384=$A383,AS383,1))-X384&lt;0),-1,MIN(1,IF($A384=$A383,AS383,1)-X384+$D$2))</f>
        <v>1</v>
      </c>
      <c r="AT384">
        <f>IF(OR($J384=1,COUNTIFS($A$5:$A383,"&gt;="&amp;$A384-1,$A$5:$A383,"&lt;="&amp;$A384,$B$5:$B383,$B384)&gt;0,MIN(1-'Exercise list'!N$2,IF($A384=$A383,AT383,1))-Y384&lt;0),-1,MIN(1,IF($A384=$A383,AT383,1)-Y384+$D$2))</f>
        <v>1</v>
      </c>
      <c r="AU384">
        <f>IF(OR($J384=1,COUNTIFS($A$5:$A383,"&gt;="&amp;$A384-1,$A$5:$A383,"&lt;="&amp;$A384,$B$5:$B383,$B384)&gt;0,MIN(1-'Exercise list'!O$2,IF($A384=$A383,AU383,1))-Z384&lt;0),-1,MIN(1,IF($A384=$A383,AU383,1)-Z384+$D$2))</f>
        <v>1</v>
      </c>
      <c r="AV384">
        <f>IF(OR($J384=1,COUNTIFS($A$5:$A383,"&gt;="&amp;$A384-1,$A$5:$A383,"&lt;="&amp;$A384,$B$5:$B383,$B384)&gt;0,MIN(1-'Exercise list'!P$2,IF($A384=$A383,AV383,1))-AA384&lt;0),-1,MIN(1,IF($A384=$A383,AV383,1)-AA384+$D$2))</f>
        <v>1</v>
      </c>
      <c r="AW384">
        <f>IF(OR($J384=1,COUNTIFS($A$5:$A383,"&gt;="&amp;$A384-1,$A$5:$A383,"&lt;="&amp;$A384,$B$5:$B383,$B384)&gt;0,MIN(1-'Exercise list'!Q$2,IF($A384=$A383,AW383,1))-AB384&lt;0),-1,MIN(1,IF($A384=$A383,AW383,1)-AB384+$D$2))</f>
        <v>1</v>
      </c>
      <c r="AX384">
        <f>IF(OR($J384=1,COUNTIFS($A$5:$A383,"&gt;="&amp;$A384-1,$A$5:$A383,"&lt;="&amp;$A384,$B$5:$B383,$B384)&gt;0,MIN(1-'Exercise list'!R$2,IF($A384=$A383,AX383,1))-AC384&lt;0),-1,MIN(1,IF($A384=$A383,AX383,1)-AC384+$D$2))</f>
        <v>1</v>
      </c>
      <c r="AY384">
        <f>IF(OR($J384=1,COUNTIFS($A$5:$A383,"&gt;="&amp;$A384-1,$A$5:$A383,"&lt;="&amp;$A384,$B$5:$B383,$B384)&gt;0,MIN(1-'Exercise list'!S$2,IF($A384=$A383,AY383,1))-AD384&lt;0),-1,MIN(1,IF($A384=$A383,AY383,1)-AD384+$D$2))</f>
        <v>1</v>
      </c>
      <c r="AZ384">
        <f>IF(OR($J384=1,COUNTIFS($A$5:$A383,"&gt;="&amp;$A384-1,$A$5:$A383,"&lt;="&amp;$A384,$B$5:$B383,$B384)&gt;0,MIN(1-'Exercise list'!T$2,IF($A384=$A383,AZ383,1))-AE384&lt;0),-1,MIN(1,IF($A384=$A383,AZ383,1)-AE384+$D$2))</f>
        <v>1</v>
      </c>
      <c r="BA384">
        <f>IF(OR($J384=1,COUNTIFS($A$5:$A383,"&gt;="&amp;$A384-1,$A$5:$A383,"&lt;="&amp;$A384,$B$5:$B383,$B384)&gt;0,MIN(1-'Exercise list'!U$2,IF($A384=$A383,BA383,1))-AF384&lt;0),-1,MIN(1,IF($A384=$A383,BA383,1)-AF384+$D$2))</f>
        <v>1</v>
      </c>
      <c r="BB384">
        <f>IF(OR($J384=1,COUNTIFS($A$5:$A383,"&gt;="&amp;$A384-1,$A$5:$A383,"&lt;="&amp;$A384,$B$5:$B383,$B384)&gt;0,MIN(1-'Exercise list'!V$2,IF($A384=$A383,BB383,1))-AG384&lt;0),-1,MIN(1,IF($A384=$A383,BB383,1)-AG384+$D$2))</f>
        <v>1</v>
      </c>
      <c r="BC384">
        <f>IF(OR($J384=1,COUNTIFS($A$5:$A383,"&gt;="&amp;$A384-1,$A$5:$A383,"&lt;="&amp;$A384,$B$5:$B383,$B384)&gt;0,MIN(1-'Exercise list'!W$2,IF($A384=$A383,BC383,1))-AH384&lt;0),-1,MIN(1,IF($A384=$A383,BC383,1)-AH384+$D$2))</f>
        <v>1</v>
      </c>
      <c r="BD384">
        <f>IF(OR($J384=1,COUNTIFS($A$5:$A383,"&gt;="&amp;$A384-1,$A$5:$A383,"&lt;="&amp;$A384,$B$5:$B383,$B384)&gt;0,MIN(1-'Exercise list'!X$2,IF($A384=$A383,BD383,1))-AI384&lt;0),-1,MIN(1,IF($A384=$A383,BD383,1)-AI384+$D$2))</f>
        <v>1</v>
      </c>
      <c r="BF384" s="16">
        <f t="shared" si="277"/>
        <v>0.19596031081758858</v>
      </c>
      <c r="BG384" s="16">
        <f t="shared" si="278"/>
        <v>0.21844636935459236</v>
      </c>
      <c r="BH384" s="16">
        <f t="shared" si="279"/>
        <v>0.14609696635987124</v>
      </c>
      <c r="BI384" s="16">
        <f t="shared" si="280"/>
        <v>0.13198015366034541</v>
      </c>
      <c r="BJ384" s="16">
        <f t="shared" si="281"/>
        <v>8.3367914198418713E-2</v>
      </c>
      <c r="BK384" s="16">
        <f t="shared" si="282"/>
        <v>0.10640640223148412</v>
      </c>
      <c r="BL384" s="16">
        <f t="shared" si="283"/>
        <v>0.21963504743569431</v>
      </c>
      <c r="BM384" s="16">
        <f t="shared" si="284"/>
        <v>3.8988008374820568E-3</v>
      </c>
      <c r="BN384" s="16">
        <f t="shared" si="285"/>
        <v>0.14537706087090876</v>
      </c>
      <c r="BO384" s="16">
        <f t="shared" si="286"/>
        <v>0.29209790661993401</v>
      </c>
      <c r="BP384" s="16">
        <f t="shared" si="287"/>
        <v>0.31584545163401867</v>
      </c>
      <c r="BQ384" s="16">
        <f t="shared" si="288"/>
        <v>0.1000007994126096</v>
      </c>
      <c r="BR384" s="16">
        <f t="shared" si="289"/>
        <v>0.13164487759885393</v>
      </c>
      <c r="BS384" s="16">
        <f t="shared" si="290"/>
        <v>2.9803550189863123E-2</v>
      </c>
      <c r="BT384" s="16">
        <f t="shared" si="291"/>
        <v>0.13492040904978705</v>
      </c>
      <c r="BU384" s="16">
        <f t="shared" si="292"/>
        <v>0.11703687414398131</v>
      </c>
      <c r="BV384" s="16">
        <f t="shared" si="293"/>
        <v>0.14633353213781661</v>
      </c>
      <c r="BW384" s="16">
        <f t="shared" si="294"/>
        <v>7.5588015111767173E-2</v>
      </c>
      <c r="BX384" s="16">
        <f t="shared" si="295"/>
        <v>8.0345659937185704E-2</v>
      </c>
      <c r="BY384" s="16">
        <f t="shared" si="296"/>
        <v>5.9014643151272549E-2</v>
      </c>
      <c r="CA384" s="16" t="str">
        <f t="shared" si="273"/>
        <v/>
      </c>
      <c r="CB384" s="16" t="str">
        <f t="shared" si="254"/>
        <v/>
      </c>
      <c r="CC384" s="16" t="str">
        <f t="shared" si="255"/>
        <v/>
      </c>
      <c r="CD384" s="16" t="str">
        <f t="shared" si="256"/>
        <v/>
      </c>
      <c r="CE384" s="16" t="str">
        <f t="shared" si="257"/>
        <v/>
      </c>
      <c r="CF384" s="16" t="str">
        <f t="shared" si="258"/>
        <v/>
      </c>
      <c r="CG384" s="16" t="str">
        <f t="shared" si="259"/>
        <v/>
      </c>
      <c r="CH384" s="16" t="str">
        <f t="shared" si="260"/>
        <v/>
      </c>
      <c r="CI384" s="16" t="str">
        <f t="shared" si="261"/>
        <v/>
      </c>
      <c r="CJ384" s="16" t="str">
        <f t="shared" si="262"/>
        <v/>
      </c>
      <c r="CK384" s="16" t="str">
        <f t="shared" si="263"/>
        <v/>
      </c>
      <c r="CL384" s="16" t="str">
        <f t="shared" si="264"/>
        <v/>
      </c>
      <c r="CM384" s="16" t="str">
        <f t="shared" si="265"/>
        <v/>
      </c>
      <c r="CN384" s="16" t="str">
        <f t="shared" si="266"/>
        <v/>
      </c>
      <c r="CO384" s="16" t="str">
        <f t="shared" si="267"/>
        <v/>
      </c>
      <c r="CP384" s="16" t="str">
        <f t="shared" si="268"/>
        <v/>
      </c>
      <c r="CQ384" s="16" t="str">
        <f t="shared" si="269"/>
        <v/>
      </c>
      <c r="CR384" s="16" t="str">
        <f t="shared" si="270"/>
        <v/>
      </c>
      <c r="CS384" s="16" t="str">
        <f t="shared" si="271"/>
        <v/>
      </c>
      <c r="CT384" s="16" t="str">
        <f t="shared" si="272"/>
        <v/>
      </c>
    </row>
    <row r="385" spans="1:99" x14ac:dyDescent="0.25">
      <c r="A385" s="13"/>
      <c r="B385" s="14"/>
      <c r="C385" s="15" t="str" cm="1">
        <f t="array" ref="C385">IF(B385="","",INDEX('Exercise list'!$C$5:$C$102,B385))</f>
        <v/>
      </c>
      <c r="D385" s="12" t="str">
        <f t="shared" si="274"/>
        <v/>
      </c>
      <c r="E385" s="107" t="str">
        <f t="shared" si="297"/>
        <v/>
      </c>
      <c r="F385" s="63" t="str" cm="1">
        <f t="array" ref="F385">IF(B385="","",0.1+IFERROR(INDEX($F$6:$F384,SUMPRODUCT(MAX(ROW($C$6:$C384)*($C385=$C$6:$C384))-ROW($A$5)))*0.9^($A385-INDEX($A$6:A384,SUMPRODUCT(MAX(ROW($C$6:$C384)*($C385=$C$6:$C384))-ROW($A$5)))),0))</f>
        <v/>
      </c>
      <c r="G385" s="64" t="e">
        <f>INDEX('Exercise list'!$Y$5:$Y$102,MATCH(C385,'Exercise list'!$C$5:$C$102,0))</f>
        <v>#N/A</v>
      </c>
      <c r="H385" s="115">
        <f t="shared" si="275"/>
        <v>0</v>
      </c>
      <c r="I385" s="6">
        <f t="shared" si="276"/>
        <v>5</v>
      </c>
      <c r="J385" s="6" t="str" cm="1">
        <f t="array" ref="J385">IF(B385="","",INDEX('Exercise list'!$D$5:$D$102,B385))</f>
        <v/>
      </c>
      <c r="K385" s="12"/>
      <c r="L385" s="74" t="str" cm="1">
        <f t="array" ref="L385">IF(K385="","",INDEX('Exercise list'!$C$5:$C$102,K385))</f>
        <v/>
      </c>
      <c r="M385" s="6"/>
      <c r="N385" s="75" t="str" cm="1">
        <f t="array" ref="N385">IF(M385="","",INDEX('Exercise list'!$C$5:$C$102,M385))</f>
        <v/>
      </c>
      <c r="P385">
        <f>IFERROR(INDEX('Exercise list'!$E$5:$X$102,MATCH($C385,'Exercise list'!$C$5:$C$102,0),MATCH(P$5,'Exercise list'!$E$4:$X$4,0)),0)</f>
        <v>0</v>
      </c>
      <c r="Q385">
        <f>IFERROR(INDEX('Exercise list'!$E$5:$X$102,MATCH($C385,'Exercise list'!$C$5:$C$102,0),MATCH(Q$5,'Exercise list'!$E$4:$X$4,0)),0)</f>
        <v>0</v>
      </c>
      <c r="R385">
        <f>IFERROR(INDEX('Exercise list'!$E$5:$X$102,MATCH($C385,'Exercise list'!$C$5:$C$102,0),MATCH(R$5,'Exercise list'!$E$4:$X$4,0)),0)</f>
        <v>0</v>
      </c>
      <c r="S385">
        <f>IFERROR(INDEX('Exercise list'!$E$5:$X$102,MATCH($C385,'Exercise list'!$C$5:$C$102,0),MATCH(S$5,'Exercise list'!$E$4:$X$4,0)),0)</f>
        <v>0</v>
      </c>
      <c r="T385">
        <f>IFERROR(INDEX('Exercise list'!$E$5:$X$102,MATCH($C385,'Exercise list'!$C$5:$C$102,0),MATCH(T$5,'Exercise list'!$E$4:$X$4,0)),0)</f>
        <v>0</v>
      </c>
      <c r="U385">
        <f>IFERROR(INDEX('Exercise list'!$E$5:$X$102,MATCH($C385,'Exercise list'!$C$5:$C$102,0),MATCH(U$5,'Exercise list'!$E$4:$X$4,0)),0)</f>
        <v>0</v>
      </c>
      <c r="V385">
        <f>IFERROR(INDEX('Exercise list'!$E$5:$X$102,MATCH($C385,'Exercise list'!$C$5:$C$102,0),MATCH(V$5,'Exercise list'!$E$4:$X$4,0)),0)</f>
        <v>0</v>
      </c>
      <c r="W385">
        <f>IFERROR(INDEX('Exercise list'!$E$5:$X$102,MATCH($C385,'Exercise list'!$C$5:$C$102,0),MATCH(W$5,'Exercise list'!$E$4:$X$4,0)),0)</f>
        <v>0</v>
      </c>
      <c r="X385">
        <f>IFERROR(INDEX('Exercise list'!$E$5:$X$102,MATCH($C385,'Exercise list'!$C$5:$C$102,0),MATCH(X$5,'Exercise list'!$E$4:$X$4,0)),0)</f>
        <v>0</v>
      </c>
      <c r="Y385">
        <f>IFERROR(INDEX('Exercise list'!$E$5:$X$102,MATCH($C385,'Exercise list'!$C$5:$C$102,0),MATCH(Y$5,'Exercise list'!$E$4:$X$4,0)),0)</f>
        <v>0</v>
      </c>
      <c r="Z385">
        <f>IFERROR(INDEX('Exercise list'!$E$5:$X$102,MATCH($C385,'Exercise list'!$C$5:$C$102,0),MATCH(Z$5,'Exercise list'!$E$4:$X$4,0)),0)</f>
        <v>0</v>
      </c>
      <c r="AA385">
        <f>IFERROR(INDEX('Exercise list'!$E$5:$X$102,MATCH($C385,'Exercise list'!$C$5:$C$102,0),MATCH(AA$5,'Exercise list'!$E$4:$X$4,0)),0)</f>
        <v>0</v>
      </c>
      <c r="AB385">
        <f>IFERROR(INDEX('Exercise list'!$E$5:$X$102,MATCH($C385,'Exercise list'!$C$5:$C$102,0),MATCH(AB$5,'Exercise list'!$E$4:$X$4,0)),0)</f>
        <v>0</v>
      </c>
      <c r="AC385">
        <f>IFERROR(INDEX('Exercise list'!$E$5:$X$102,MATCH($C385,'Exercise list'!$C$5:$C$102,0),MATCH(AC$5,'Exercise list'!$E$4:$X$4,0)),0)</f>
        <v>0</v>
      </c>
      <c r="AD385">
        <f>IFERROR(INDEX('Exercise list'!$E$5:$X$102,MATCH($C385,'Exercise list'!$C$5:$C$102,0),MATCH(AD$5,'Exercise list'!$E$4:$X$4,0)),0)</f>
        <v>0</v>
      </c>
      <c r="AE385">
        <f>IFERROR(INDEX('Exercise list'!$E$5:$X$102,MATCH($C385,'Exercise list'!$C$5:$C$102,0),MATCH(AE$5,'Exercise list'!$E$4:$X$4,0)),0)</f>
        <v>0</v>
      </c>
      <c r="AF385">
        <f>IFERROR(INDEX('Exercise list'!$E$5:$X$102,MATCH($C385,'Exercise list'!$C$5:$C$102,0),MATCH(AF$5,'Exercise list'!$E$4:$X$4,0)),0)</f>
        <v>0</v>
      </c>
      <c r="AG385">
        <f>IFERROR(INDEX('Exercise list'!$E$5:$X$102,MATCH($C385,'Exercise list'!$C$5:$C$102,0),MATCH(AG$5,'Exercise list'!$E$4:$X$4,0)),0)</f>
        <v>0</v>
      </c>
      <c r="AH385">
        <f>IFERROR(INDEX('Exercise list'!$E$5:$X$102,MATCH($C385,'Exercise list'!$C$5:$C$102,0),MATCH(AH$5,'Exercise list'!$E$4:$X$4,0)),0)</f>
        <v>0</v>
      </c>
      <c r="AI385">
        <f>IFERROR(INDEX('Exercise list'!$E$5:$X$102,MATCH($C385,'Exercise list'!$C$5:$C$102,0),MATCH(AI$5,'Exercise list'!$E$4:$X$4,0)),0)</f>
        <v>0</v>
      </c>
      <c r="AK385">
        <f>IF(OR($J385=1,COUNTIFS($A$5:$A384,"&gt;="&amp;$A385-1,$A$5:$A384,"&lt;="&amp;$A385,$B$5:$B384,$B385)&gt;0,MIN(1-'Exercise list'!E$2,IF($A385=$A384,AK384,1))-P385&lt;0),-1,MIN(1,IF($A385=$A384,AK384,1)-P385+$D$2))</f>
        <v>1</v>
      </c>
      <c r="AL385">
        <f>IF(OR($J385=1,COUNTIFS($A$5:$A384,"&gt;="&amp;$A385-1,$A$5:$A384,"&lt;="&amp;$A385,$B$5:$B384,$B385)&gt;0,MIN(1-'Exercise list'!F$2,IF($A385=$A384,AL384,1))-Q385&lt;0),-1,MIN(1,IF($A385=$A384,AL384,1)-Q385+$D$2))</f>
        <v>1</v>
      </c>
      <c r="AM385">
        <f>IF(OR($J385=1,COUNTIFS($A$5:$A384,"&gt;="&amp;$A385-1,$A$5:$A384,"&lt;="&amp;$A385,$B$5:$B384,$B385)&gt;0,MIN(1-'Exercise list'!G$2,IF($A385=$A384,AM384,1))-R385&lt;0),-1,MIN(1,IF($A385=$A384,AM384,1)-R385+$D$2))</f>
        <v>1</v>
      </c>
      <c r="AN385">
        <f>IF(OR($J385=1,COUNTIFS($A$5:$A384,"&gt;="&amp;$A385-1,$A$5:$A384,"&lt;="&amp;$A385,$B$5:$B384,$B385)&gt;0,MIN(1-'Exercise list'!H$2,IF($A385=$A384,AN384,1))-S385&lt;0),-1,MIN(1,IF($A385=$A384,AN384,1)-S385+$D$2))</f>
        <v>1</v>
      </c>
      <c r="AO385">
        <f>IF(OR($J385=1,COUNTIFS($A$5:$A384,"&gt;="&amp;$A385-1,$A$5:$A384,"&lt;="&amp;$A385,$B$5:$B384,$B385)&gt;0,MIN(1-'Exercise list'!I$2,IF($A385=$A384,AO384,1))-T385&lt;0),-1,MIN(1,IF($A385=$A384,AO384,1)-T385+$D$2))</f>
        <v>1</v>
      </c>
      <c r="AP385">
        <f>IF(OR($J385=1,COUNTIFS($A$5:$A384,"&gt;="&amp;$A385-1,$A$5:$A384,"&lt;="&amp;$A385,$B$5:$B384,$B385)&gt;0,MIN(1-'Exercise list'!J$2,IF($A385=$A384,AP384,1))-U385&lt;0),-1,MIN(1,IF($A385=$A384,AP384,1)-U385+$D$2))</f>
        <v>1</v>
      </c>
      <c r="AQ385">
        <f>IF(OR($J385=1,COUNTIFS($A$5:$A384,"&gt;="&amp;$A385-1,$A$5:$A384,"&lt;="&amp;$A385,$B$5:$B384,$B385)&gt;0,MIN(1-'Exercise list'!K$2,IF($A385=$A384,AQ384,1))-V385&lt;0),-1,MIN(1,IF($A385=$A384,AQ384,1)-V385+$D$2))</f>
        <v>1</v>
      </c>
      <c r="AR385">
        <f>IF(OR($J385=1,COUNTIFS($A$5:$A384,"&gt;="&amp;$A385-1,$A$5:$A384,"&lt;="&amp;$A385,$B$5:$B384,$B385)&gt;0,MIN(1-'Exercise list'!L$2,IF($A385=$A384,AR384,1))-W385&lt;0),-1,MIN(1,IF($A385=$A384,AR384,1)-W385+$D$2))</f>
        <v>1</v>
      </c>
      <c r="AS385">
        <f>IF(OR($J385=1,COUNTIFS($A$5:$A384,"&gt;="&amp;$A385-1,$A$5:$A384,"&lt;="&amp;$A385,$B$5:$B384,$B385)&gt;0,MIN(1-'Exercise list'!M$2,IF($A385=$A384,AS384,1))-X385&lt;0),-1,MIN(1,IF($A385=$A384,AS384,1)-X385+$D$2))</f>
        <v>1</v>
      </c>
      <c r="AT385">
        <f>IF(OR($J385=1,COUNTIFS($A$5:$A384,"&gt;="&amp;$A385-1,$A$5:$A384,"&lt;="&amp;$A385,$B$5:$B384,$B385)&gt;0,MIN(1-'Exercise list'!N$2,IF($A385=$A384,AT384,1))-Y385&lt;0),-1,MIN(1,IF($A385=$A384,AT384,1)-Y385+$D$2))</f>
        <v>1</v>
      </c>
      <c r="AU385">
        <f>IF(OR($J385=1,COUNTIFS($A$5:$A384,"&gt;="&amp;$A385-1,$A$5:$A384,"&lt;="&amp;$A385,$B$5:$B384,$B385)&gt;0,MIN(1-'Exercise list'!O$2,IF($A385=$A384,AU384,1))-Z385&lt;0),-1,MIN(1,IF($A385=$A384,AU384,1)-Z385+$D$2))</f>
        <v>1</v>
      </c>
      <c r="AV385">
        <f>IF(OR($J385=1,COUNTIFS($A$5:$A384,"&gt;="&amp;$A385-1,$A$5:$A384,"&lt;="&amp;$A385,$B$5:$B384,$B385)&gt;0,MIN(1-'Exercise list'!P$2,IF($A385=$A384,AV384,1))-AA385&lt;0),-1,MIN(1,IF($A385=$A384,AV384,1)-AA385+$D$2))</f>
        <v>1</v>
      </c>
      <c r="AW385">
        <f>IF(OR($J385=1,COUNTIFS($A$5:$A384,"&gt;="&amp;$A385-1,$A$5:$A384,"&lt;="&amp;$A385,$B$5:$B384,$B385)&gt;0,MIN(1-'Exercise list'!Q$2,IF($A385=$A384,AW384,1))-AB385&lt;0),-1,MIN(1,IF($A385=$A384,AW384,1)-AB385+$D$2))</f>
        <v>1</v>
      </c>
      <c r="AX385">
        <f>IF(OR($J385=1,COUNTIFS($A$5:$A384,"&gt;="&amp;$A385-1,$A$5:$A384,"&lt;="&amp;$A385,$B$5:$B384,$B385)&gt;0,MIN(1-'Exercise list'!R$2,IF($A385=$A384,AX384,1))-AC385&lt;0),-1,MIN(1,IF($A385=$A384,AX384,1)-AC385+$D$2))</f>
        <v>1</v>
      </c>
      <c r="AY385">
        <f>IF(OR($J385=1,COUNTIFS($A$5:$A384,"&gt;="&amp;$A385-1,$A$5:$A384,"&lt;="&amp;$A385,$B$5:$B384,$B385)&gt;0,MIN(1-'Exercise list'!S$2,IF($A385=$A384,AY384,1))-AD385&lt;0),-1,MIN(1,IF($A385=$A384,AY384,1)-AD385+$D$2))</f>
        <v>1</v>
      </c>
      <c r="AZ385">
        <f>IF(OR($J385=1,COUNTIFS($A$5:$A384,"&gt;="&amp;$A385-1,$A$5:$A384,"&lt;="&amp;$A385,$B$5:$B384,$B385)&gt;0,MIN(1-'Exercise list'!T$2,IF($A385=$A384,AZ384,1))-AE385&lt;0),-1,MIN(1,IF($A385=$A384,AZ384,1)-AE385+$D$2))</f>
        <v>1</v>
      </c>
      <c r="BA385">
        <f>IF(OR($J385=1,COUNTIFS($A$5:$A384,"&gt;="&amp;$A385-1,$A$5:$A384,"&lt;="&amp;$A385,$B$5:$B384,$B385)&gt;0,MIN(1-'Exercise list'!U$2,IF($A385=$A384,BA384,1))-AF385&lt;0),-1,MIN(1,IF($A385=$A384,BA384,1)-AF385+$D$2))</f>
        <v>1</v>
      </c>
      <c r="BB385">
        <f>IF(OR($J385=1,COUNTIFS($A$5:$A384,"&gt;="&amp;$A385-1,$A$5:$A384,"&lt;="&amp;$A385,$B$5:$B384,$B385)&gt;0,MIN(1-'Exercise list'!V$2,IF($A385=$A384,BB384,1))-AG385&lt;0),-1,MIN(1,IF($A385=$A384,BB384,1)-AG385+$D$2))</f>
        <v>1</v>
      </c>
      <c r="BC385">
        <f>IF(OR($J385=1,COUNTIFS($A$5:$A384,"&gt;="&amp;$A385-1,$A$5:$A384,"&lt;="&amp;$A385,$B$5:$B384,$B385)&gt;0,MIN(1-'Exercise list'!W$2,IF($A385=$A384,BC384,1))-AH385&lt;0),-1,MIN(1,IF($A385=$A384,BC384,1)-AH385+$D$2))</f>
        <v>1</v>
      </c>
      <c r="BD385">
        <f>IF(OR($J385=1,COUNTIFS($A$5:$A384,"&gt;="&amp;$A385-1,$A$5:$A384,"&lt;="&amp;$A385,$B$5:$B384,$B385)&gt;0,MIN(1-'Exercise list'!X$2,IF($A385=$A384,BD384,1))-AI385&lt;0),-1,MIN(1,IF($A385=$A384,BD384,1)-AI385+$D$2))</f>
        <v>1</v>
      </c>
      <c r="BF385" s="16">
        <f t="shared" si="277"/>
        <v>0.19596031081758858</v>
      </c>
      <c r="BG385" s="16">
        <f t="shared" si="278"/>
        <v>0.21844636935459236</v>
      </c>
      <c r="BH385" s="16">
        <f t="shared" si="279"/>
        <v>0.14609696635987124</v>
      </c>
      <c r="BI385" s="16">
        <f t="shared" si="280"/>
        <v>0.13198015366034541</v>
      </c>
      <c r="BJ385" s="16">
        <f t="shared" si="281"/>
        <v>8.3367914198418713E-2</v>
      </c>
      <c r="BK385" s="16">
        <f t="shared" si="282"/>
        <v>0.10640640223148412</v>
      </c>
      <c r="BL385" s="16">
        <f t="shared" si="283"/>
        <v>0.21963504743569431</v>
      </c>
      <c r="BM385" s="16">
        <f t="shared" si="284"/>
        <v>3.8988008374820568E-3</v>
      </c>
      <c r="BN385" s="16">
        <f t="shared" si="285"/>
        <v>0.14537706087090876</v>
      </c>
      <c r="BO385" s="16">
        <f t="shared" si="286"/>
        <v>0.29209790661993401</v>
      </c>
      <c r="BP385" s="16">
        <f t="shared" si="287"/>
        <v>0.31584545163401867</v>
      </c>
      <c r="BQ385" s="16">
        <f t="shared" si="288"/>
        <v>0.1000007994126096</v>
      </c>
      <c r="BR385" s="16">
        <f t="shared" si="289"/>
        <v>0.13164487759885393</v>
      </c>
      <c r="BS385" s="16">
        <f t="shared" si="290"/>
        <v>2.9803550189863123E-2</v>
      </c>
      <c r="BT385" s="16">
        <f t="shared" si="291"/>
        <v>0.13492040904978705</v>
      </c>
      <c r="BU385" s="16">
        <f t="shared" si="292"/>
        <v>0.11703687414398131</v>
      </c>
      <c r="BV385" s="16">
        <f t="shared" si="293"/>
        <v>0.14633353213781661</v>
      </c>
      <c r="BW385" s="16">
        <f t="shared" si="294"/>
        <v>7.5588015111767173E-2</v>
      </c>
      <c r="BX385" s="16">
        <f t="shared" si="295"/>
        <v>8.0345659937185704E-2</v>
      </c>
      <c r="BY385" s="16">
        <f t="shared" si="296"/>
        <v>5.9014643151272549E-2</v>
      </c>
      <c r="CA385" s="16" t="str">
        <f t="shared" si="273"/>
        <v/>
      </c>
      <c r="CB385" s="16" t="str">
        <f t="shared" si="254"/>
        <v/>
      </c>
      <c r="CC385" s="16" t="str">
        <f t="shared" si="255"/>
        <v/>
      </c>
      <c r="CD385" s="16" t="str">
        <f t="shared" si="256"/>
        <v/>
      </c>
      <c r="CE385" s="16" t="str">
        <f t="shared" si="257"/>
        <v/>
      </c>
      <c r="CF385" s="16" t="str">
        <f t="shared" si="258"/>
        <v/>
      </c>
      <c r="CG385" s="16" t="str">
        <f t="shared" si="259"/>
        <v/>
      </c>
      <c r="CH385" s="16" t="str">
        <f t="shared" si="260"/>
        <v/>
      </c>
      <c r="CI385" s="16" t="str">
        <f t="shared" si="261"/>
        <v/>
      </c>
      <c r="CJ385" s="16" t="str">
        <f t="shared" si="262"/>
        <v/>
      </c>
      <c r="CK385" s="16" t="str">
        <f t="shared" si="263"/>
        <v/>
      </c>
      <c r="CL385" s="16" t="str">
        <f t="shared" si="264"/>
        <v/>
      </c>
      <c r="CM385" s="16" t="str">
        <f t="shared" si="265"/>
        <v/>
      </c>
      <c r="CN385" s="16" t="str">
        <f t="shared" si="266"/>
        <v/>
      </c>
      <c r="CO385" s="16" t="str">
        <f t="shared" si="267"/>
        <v/>
      </c>
      <c r="CP385" s="16" t="str">
        <f t="shared" si="268"/>
        <v/>
      </c>
      <c r="CQ385" s="16" t="str">
        <f t="shared" si="269"/>
        <v/>
      </c>
      <c r="CR385" s="16" t="str">
        <f t="shared" si="270"/>
        <v/>
      </c>
      <c r="CS385" s="16" t="str">
        <f t="shared" si="271"/>
        <v/>
      </c>
      <c r="CT385" s="16" t="str">
        <f t="shared" si="272"/>
        <v/>
      </c>
    </row>
    <row r="386" spans="1:99" x14ac:dyDescent="0.25">
      <c r="A386" s="13"/>
      <c r="B386" s="14"/>
      <c r="C386" s="15" t="str" cm="1">
        <f t="array" ref="C386">IF(B386="","",INDEX('Exercise list'!$C$5:$C$102,B386))</f>
        <v/>
      </c>
      <c r="D386" s="12" t="str">
        <f t="shared" si="274"/>
        <v/>
      </c>
      <c r="E386" s="107" t="str">
        <f t="shared" si="297"/>
        <v/>
      </c>
      <c r="F386" s="63" t="str" cm="1">
        <f t="array" ref="F386">IF(B386="","",0.1+IFERROR(INDEX($F$6:$F385,SUMPRODUCT(MAX(ROW($C$6:$C385)*($C386=$C$6:$C385))-ROW($A$5)))*0.9^($A386-INDEX($A$6:A385,SUMPRODUCT(MAX(ROW($C$6:$C385)*($C386=$C$6:$C385))-ROW($A$5)))),0))</f>
        <v/>
      </c>
      <c r="G386" s="64" t="e">
        <f>INDEX('Exercise list'!$Y$5:$Y$102,MATCH(C386,'Exercise list'!$C$5:$C$102,0))</f>
        <v>#N/A</v>
      </c>
      <c r="H386" s="115">
        <f t="shared" si="275"/>
        <v>0</v>
      </c>
      <c r="I386" s="6">
        <f t="shared" si="276"/>
        <v>5</v>
      </c>
      <c r="J386" s="6" t="str" cm="1">
        <f t="array" ref="J386">IF(B386="","",INDEX('Exercise list'!$D$5:$D$102,B386))</f>
        <v/>
      </c>
      <c r="K386" s="12"/>
      <c r="L386" s="74" t="str" cm="1">
        <f t="array" ref="L386">IF(K386="","",INDEX('Exercise list'!$C$5:$C$102,K386))</f>
        <v/>
      </c>
      <c r="M386" s="6"/>
      <c r="N386" s="75" t="str" cm="1">
        <f t="array" ref="N386">IF(M386="","",INDEX('Exercise list'!$C$5:$C$102,M386))</f>
        <v/>
      </c>
      <c r="P386">
        <f>IFERROR(INDEX('Exercise list'!$E$5:$X$102,MATCH($C386,'Exercise list'!$C$5:$C$102,0),MATCH(P$5,'Exercise list'!$E$4:$X$4,0)),0)</f>
        <v>0</v>
      </c>
      <c r="Q386">
        <f>IFERROR(INDEX('Exercise list'!$E$5:$X$102,MATCH($C386,'Exercise list'!$C$5:$C$102,0),MATCH(Q$5,'Exercise list'!$E$4:$X$4,0)),0)</f>
        <v>0</v>
      </c>
      <c r="R386">
        <f>IFERROR(INDEX('Exercise list'!$E$5:$X$102,MATCH($C386,'Exercise list'!$C$5:$C$102,0),MATCH(R$5,'Exercise list'!$E$4:$X$4,0)),0)</f>
        <v>0</v>
      </c>
      <c r="S386">
        <f>IFERROR(INDEX('Exercise list'!$E$5:$X$102,MATCH($C386,'Exercise list'!$C$5:$C$102,0),MATCH(S$5,'Exercise list'!$E$4:$X$4,0)),0)</f>
        <v>0</v>
      </c>
      <c r="T386">
        <f>IFERROR(INDEX('Exercise list'!$E$5:$X$102,MATCH($C386,'Exercise list'!$C$5:$C$102,0),MATCH(T$5,'Exercise list'!$E$4:$X$4,0)),0)</f>
        <v>0</v>
      </c>
      <c r="U386">
        <f>IFERROR(INDEX('Exercise list'!$E$5:$X$102,MATCH($C386,'Exercise list'!$C$5:$C$102,0),MATCH(U$5,'Exercise list'!$E$4:$X$4,0)),0)</f>
        <v>0</v>
      </c>
      <c r="V386">
        <f>IFERROR(INDEX('Exercise list'!$E$5:$X$102,MATCH($C386,'Exercise list'!$C$5:$C$102,0),MATCH(V$5,'Exercise list'!$E$4:$X$4,0)),0)</f>
        <v>0</v>
      </c>
      <c r="W386">
        <f>IFERROR(INDEX('Exercise list'!$E$5:$X$102,MATCH($C386,'Exercise list'!$C$5:$C$102,0),MATCH(W$5,'Exercise list'!$E$4:$X$4,0)),0)</f>
        <v>0</v>
      </c>
      <c r="X386">
        <f>IFERROR(INDEX('Exercise list'!$E$5:$X$102,MATCH($C386,'Exercise list'!$C$5:$C$102,0),MATCH(X$5,'Exercise list'!$E$4:$X$4,0)),0)</f>
        <v>0</v>
      </c>
      <c r="Y386">
        <f>IFERROR(INDEX('Exercise list'!$E$5:$X$102,MATCH($C386,'Exercise list'!$C$5:$C$102,0),MATCH(Y$5,'Exercise list'!$E$4:$X$4,0)),0)</f>
        <v>0</v>
      </c>
      <c r="Z386">
        <f>IFERROR(INDEX('Exercise list'!$E$5:$X$102,MATCH($C386,'Exercise list'!$C$5:$C$102,0),MATCH(Z$5,'Exercise list'!$E$4:$X$4,0)),0)</f>
        <v>0</v>
      </c>
      <c r="AA386">
        <f>IFERROR(INDEX('Exercise list'!$E$5:$X$102,MATCH($C386,'Exercise list'!$C$5:$C$102,0),MATCH(AA$5,'Exercise list'!$E$4:$X$4,0)),0)</f>
        <v>0</v>
      </c>
      <c r="AB386">
        <f>IFERROR(INDEX('Exercise list'!$E$5:$X$102,MATCH($C386,'Exercise list'!$C$5:$C$102,0),MATCH(AB$5,'Exercise list'!$E$4:$X$4,0)),0)</f>
        <v>0</v>
      </c>
      <c r="AC386">
        <f>IFERROR(INDEX('Exercise list'!$E$5:$X$102,MATCH($C386,'Exercise list'!$C$5:$C$102,0),MATCH(AC$5,'Exercise list'!$E$4:$X$4,0)),0)</f>
        <v>0</v>
      </c>
      <c r="AD386">
        <f>IFERROR(INDEX('Exercise list'!$E$5:$X$102,MATCH($C386,'Exercise list'!$C$5:$C$102,0),MATCH(AD$5,'Exercise list'!$E$4:$X$4,0)),0)</f>
        <v>0</v>
      </c>
      <c r="AE386">
        <f>IFERROR(INDEX('Exercise list'!$E$5:$X$102,MATCH($C386,'Exercise list'!$C$5:$C$102,0),MATCH(AE$5,'Exercise list'!$E$4:$X$4,0)),0)</f>
        <v>0</v>
      </c>
      <c r="AF386">
        <f>IFERROR(INDEX('Exercise list'!$E$5:$X$102,MATCH($C386,'Exercise list'!$C$5:$C$102,0),MATCH(AF$5,'Exercise list'!$E$4:$X$4,0)),0)</f>
        <v>0</v>
      </c>
      <c r="AG386">
        <f>IFERROR(INDEX('Exercise list'!$E$5:$X$102,MATCH($C386,'Exercise list'!$C$5:$C$102,0),MATCH(AG$5,'Exercise list'!$E$4:$X$4,0)),0)</f>
        <v>0</v>
      </c>
      <c r="AH386">
        <f>IFERROR(INDEX('Exercise list'!$E$5:$X$102,MATCH($C386,'Exercise list'!$C$5:$C$102,0),MATCH(AH$5,'Exercise list'!$E$4:$X$4,0)),0)</f>
        <v>0</v>
      </c>
      <c r="AI386">
        <f>IFERROR(INDEX('Exercise list'!$E$5:$X$102,MATCH($C386,'Exercise list'!$C$5:$C$102,0),MATCH(AI$5,'Exercise list'!$E$4:$X$4,0)),0)</f>
        <v>0</v>
      </c>
      <c r="AK386">
        <f>IF(OR($J386=1,COUNTIFS($A$5:$A385,"&gt;="&amp;$A386-1,$A$5:$A385,"&lt;="&amp;$A386,$B$5:$B385,$B386)&gt;0,MIN(1-'Exercise list'!E$2,IF($A386=$A385,AK385,1))-P386&lt;0),-1,MIN(1,IF($A386=$A385,AK385,1)-P386+$D$2))</f>
        <v>1</v>
      </c>
      <c r="AL386">
        <f>IF(OR($J386=1,COUNTIFS($A$5:$A385,"&gt;="&amp;$A386-1,$A$5:$A385,"&lt;="&amp;$A386,$B$5:$B385,$B386)&gt;0,MIN(1-'Exercise list'!F$2,IF($A386=$A385,AL385,1))-Q386&lt;0),-1,MIN(1,IF($A386=$A385,AL385,1)-Q386+$D$2))</f>
        <v>1</v>
      </c>
      <c r="AM386">
        <f>IF(OR($J386=1,COUNTIFS($A$5:$A385,"&gt;="&amp;$A386-1,$A$5:$A385,"&lt;="&amp;$A386,$B$5:$B385,$B386)&gt;0,MIN(1-'Exercise list'!G$2,IF($A386=$A385,AM385,1))-R386&lt;0),-1,MIN(1,IF($A386=$A385,AM385,1)-R386+$D$2))</f>
        <v>1</v>
      </c>
      <c r="AN386">
        <f>IF(OR($J386=1,COUNTIFS($A$5:$A385,"&gt;="&amp;$A386-1,$A$5:$A385,"&lt;="&amp;$A386,$B$5:$B385,$B386)&gt;0,MIN(1-'Exercise list'!H$2,IF($A386=$A385,AN385,1))-S386&lt;0),-1,MIN(1,IF($A386=$A385,AN385,1)-S386+$D$2))</f>
        <v>1</v>
      </c>
      <c r="AO386">
        <f>IF(OR($J386=1,COUNTIFS($A$5:$A385,"&gt;="&amp;$A386-1,$A$5:$A385,"&lt;="&amp;$A386,$B$5:$B385,$B386)&gt;0,MIN(1-'Exercise list'!I$2,IF($A386=$A385,AO385,1))-T386&lt;0),-1,MIN(1,IF($A386=$A385,AO385,1)-T386+$D$2))</f>
        <v>1</v>
      </c>
      <c r="AP386">
        <f>IF(OR($J386=1,COUNTIFS($A$5:$A385,"&gt;="&amp;$A386-1,$A$5:$A385,"&lt;="&amp;$A386,$B$5:$B385,$B386)&gt;0,MIN(1-'Exercise list'!J$2,IF($A386=$A385,AP385,1))-U386&lt;0),-1,MIN(1,IF($A386=$A385,AP385,1)-U386+$D$2))</f>
        <v>1</v>
      </c>
      <c r="AQ386">
        <f>IF(OR($J386=1,COUNTIFS($A$5:$A385,"&gt;="&amp;$A386-1,$A$5:$A385,"&lt;="&amp;$A386,$B$5:$B385,$B386)&gt;0,MIN(1-'Exercise list'!K$2,IF($A386=$A385,AQ385,1))-V386&lt;0),-1,MIN(1,IF($A386=$A385,AQ385,1)-V386+$D$2))</f>
        <v>1</v>
      </c>
      <c r="AR386">
        <f>IF(OR($J386=1,COUNTIFS($A$5:$A385,"&gt;="&amp;$A386-1,$A$5:$A385,"&lt;="&amp;$A386,$B$5:$B385,$B386)&gt;0,MIN(1-'Exercise list'!L$2,IF($A386=$A385,AR385,1))-W386&lt;0),-1,MIN(1,IF($A386=$A385,AR385,1)-W386+$D$2))</f>
        <v>1</v>
      </c>
      <c r="AS386">
        <f>IF(OR($J386=1,COUNTIFS($A$5:$A385,"&gt;="&amp;$A386-1,$A$5:$A385,"&lt;="&amp;$A386,$B$5:$B385,$B386)&gt;0,MIN(1-'Exercise list'!M$2,IF($A386=$A385,AS385,1))-X386&lt;0),-1,MIN(1,IF($A386=$A385,AS385,1)-X386+$D$2))</f>
        <v>1</v>
      </c>
      <c r="AT386">
        <f>IF(OR($J386=1,COUNTIFS($A$5:$A385,"&gt;="&amp;$A386-1,$A$5:$A385,"&lt;="&amp;$A386,$B$5:$B385,$B386)&gt;0,MIN(1-'Exercise list'!N$2,IF($A386=$A385,AT385,1))-Y386&lt;0),-1,MIN(1,IF($A386=$A385,AT385,1)-Y386+$D$2))</f>
        <v>1</v>
      </c>
      <c r="AU386">
        <f>IF(OR($J386=1,COUNTIFS($A$5:$A385,"&gt;="&amp;$A386-1,$A$5:$A385,"&lt;="&amp;$A386,$B$5:$B385,$B386)&gt;0,MIN(1-'Exercise list'!O$2,IF($A386=$A385,AU385,1))-Z386&lt;0),-1,MIN(1,IF($A386=$A385,AU385,1)-Z386+$D$2))</f>
        <v>1</v>
      </c>
      <c r="AV386">
        <f>IF(OR($J386=1,COUNTIFS($A$5:$A385,"&gt;="&amp;$A386-1,$A$5:$A385,"&lt;="&amp;$A386,$B$5:$B385,$B386)&gt;0,MIN(1-'Exercise list'!P$2,IF($A386=$A385,AV385,1))-AA386&lt;0),-1,MIN(1,IF($A386=$A385,AV385,1)-AA386+$D$2))</f>
        <v>1</v>
      </c>
      <c r="AW386">
        <f>IF(OR($J386=1,COUNTIFS($A$5:$A385,"&gt;="&amp;$A386-1,$A$5:$A385,"&lt;="&amp;$A386,$B$5:$B385,$B386)&gt;0,MIN(1-'Exercise list'!Q$2,IF($A386=$A385,AW385,1))-AB386&lt;0),-1,MIN(1,IF($A386=$A385,AW385,1)-AB386+$D$2))</f>
        <v>1</v>
      </c>
      <c r="AX386">
        <f>IF(OR($J386=1,COUNTIFS($A$5:$A385,"&gt;="&amp;$A386-1,$A$5:$A385,"&lt;="&amp;$A386,$B$5:$B385,$B386)&gt;0,MIN(1-'Exercise list'!R$2,IF($A386=$A385,AX385,1))-AC386&lt;0),-1,MIN(1,IF($A386=$A385,AX385,1)-AC386+$D$2))</f>
        <v>1</v>
      </c>
      <c r="AY386">
        <f>IF(OR($J386=1,COUNTIFS($A$5:$A385,"&gt;="&amp;$A386-1,$A$5:$A385,"&lt;="&amp;$A386,$B$5:$B385,$B386)&gt;0,MIN(1-'Exercise list'!S$2,IF($A386=$A385,AY385,1))-AD386&lt;0),-1,MIN(1,IF($A386=$A385,AY385,1)-AD386+$D$2))</f>
        <v>1</v>
      </c>
      <c r="AZ386">
        <f>IF(OR($J386=1,COUNTIFS($A$5:$A385,"&gt;="&amp;$A386-1,$A$5:$A385,"&lt;="&amp;$A386,$B$5:$B385,$B386)&gt;0,MIN(1-'Exercise list'!T$2,IF($A386=$A385,AZ385,1))-AE386&lt;0),-1,MIN(1,IF($A386=$A385,AZ385,1)-AE386+$D$2))</f>
        <v>1</v>
      </c>
      <c r="BA386">
        <f>IF(OR($J386=1,COUNTIFS($A$5:$A385,"&gt;="&amp;$A386-1,$A$5:$A385,"&lt;="&amp;$A386,$B$5:$B385,$B386)&gt;0,MIN(1-'Exercise list'!U$2,IF($A386=$A385,BA385,1))-AF386&lt;0),-1,MIN(1,IF($A386=$A385,BA385,1)-AF386+$D$2))</f>
        <v>1</v>
      </c>
      <c r="BB386">
        <f>IF(OR($J386=1,COUNTIFS($A$5:$A385,"&gt;="&amp;$A386-1,$A$5:$A385,"&lt;="&amp;$A386,$B$5:$B385,$B386)&gt;0,MIN(1-'Exercise list'!V$2,IF($A386=$A385,BB385,1))-AG386&lt;0),-1,MIN(1,IF($A386=$A385,BB385,1)-AG386+$D$2))</f>
        <v>1</v>
      </c>
      <c r="BC386">
        <f>IF(OR($J386=1,COUNTIFS($A$5:$A385,"&gt;="&amp;$A386-1,$A$5:$A385,"&lt;="&amp;$A386,$B$5:$B385,$B386)&gt;0,MIN(1-'Exercise list'!W$2,IF($A386=$A385,BC385,1))-AH386&lt;0),-1,MIN(1,IF($A386=$A385,BC385,1)-AH386+$D$2))</f>
        <v>1</v>
      </c>
      <c r="BD386">
        <f>IF(OR($J386=1,COUNTIFS($A$5:$A385,"&gt;="&amp;$A386-1,$A$5:$A385,"&lt;="&amp;$A386,$B$5:$B385,$B386)&gt;0,MIN(1-'Exercise list'!X$2,IF($A386=$A385,BD385,1))-AI386&lt;0),-1,MIN(1,IF($A386=$A385,BD385,1)-AI386+$D$2))</f>
        <v>1</v>
      </c>
      <c r="BF386" s="16">
        <f t="shared" si="277"/>
        <v>0.19596031081758858</v>
      </c>
      <c r="BG386" s="16">
        <f t="shared" si="278"/>
        <v>0.21844636935459236</v>
      </c>
      <c r="BH386" s="16">
        <f t="shared" si="279"/>
        <v>0.14609696635987124</v>
      </c>
      <c r="BI386" s="16">
        <f t="shared" si="280"/>
        <v>0.13198015366034541</v>
      </c>
      <c r="BJ386" s="16">
        <f t="shared" si="281"/>
        <v>8.3367914198418713E-2</v>
      </c>
      <c r="BK386" s="16">
        <f t="shared" si="282"/>
        <v>0.10640640223148412</v>
      </c>
      <c r="BL386" s="16">
        <f t="shared" si="283"/>
        <v>0.21963504743569431</v>
      </c>
      <c r="BM386" s="16">
        <f t="shared" si="284"/>
        <v>3.8988008374820568E-3</v>
      </c>
      <c r="BN386" s="16">
        <f t="shared" si="285"/>
        <v>0.14537706087090876</v>
      </c>
      <c r="BO386" s="16">
        <f t="shared" si="286"/>
        <v>0.29209790661993401</v>
      </c>
      <c r="BP386" s="16">
        <f t="shared" si="287"/>
        <v>0.31584545163401867</v>
      </c>
      <c r="BQ386" s="16">
        <f t="shared" si="288"/>
        <v>0.1000007994126096</v>
      </c>
      <c r="BR386" s="16">
        <f t="shared" si="289"/>
        <v>0.13164487759885393</v>
      </c>
      <c r="BS386" s="16">
        <f t="shared" si="290"/>
        <v>2.9803550189863123E-2</v>
      </c>
      <c r="BT386" s="16">
        <f t="shared" si="291"/>
        <v>0.13492040904978705</v>
      </c>
      <c r="BU386" s="16">
        <f t="shared" si="292"/>
        <v>0.11703687414398131</v>
      </c>
      <c r="BV386" s="16">
        <f t="shared" si="293"/>
        <v>0.14633353213781661</v>
      </c>
      <c r="BW386" s="16">
        <f t="shared" si="294"/>
        <v>7.5588015111767173E-2</v>
      </c>
      <c r="BX386" s="16">
        <f t="shared" si="295"/>
        <v>8.0345659937185704E-2</v>
      </c>
      <c r="BY386" s="16">
        <f t="shared" si="296"/>
        <v>5.9014643151272549E-2</v>
      </c>
      <c r="CA386" s="16" t="str">
        <f t="shared" si="273"/>
        <v/>
      </c>
      <c r="CB386" s="16" t="str">
        <f t="shared" si="254"/>
        <v/>
      </c>
      <c r="CC386" s="16" t="str">
        <f t="shared" si="255"/>
        <v/>
      </c>
      <c r="CD386" s="16" t="str">
        <f t="shared" si="256"/>
        <v/>
      </c>
      <c r="CE386" s="16" t="str">
        <f t="shared" si="257"/>
        <v/>
      </c>
      <c r="CF386" s="16" t="str">
        <f t="shared" si="258"/>
        <v/>
      </c>
      <c r="CG386" s="16" t="str">
        <f t="shared" si="259"/>
        <v/>
      </c>
      <c r="CH386" s="16" t="str">
        <f t="shared" si="260"/>
        <v/>
      </c>
      <c r="CI386" s="16" t="str">
        <f t="shared" si="261"/>
        <v/>
      </c>
      <c r="CJ386" s="16" t="str">
        <f t="shared" si="262"/>
        <v/>
      </c>
      <c r="CK386" s="16" t="str">
        <f t="shared" si="263"/>
        <v/>
      </c>
      <c r="CL386" s="16" t="str">
        <f t="shared" si="264"/>
        <v/>
      </c>
      <c r="CM386" s="16" t="str">
        <f t="shared" si="265"/>
        <v/>
      </c>
      <c r="CN386" s="16" t="str">
        <f t="shared" si="266"/>
        <v/>
      </c>
      <c r="CO386" s="16" t="str">
        <f t="shared" si="267"/>
        <v/>
      </c>
      <c r="CP386" s="16" t="str">
        <f t="shared" si="268"/>
        <v/>
      </c>
      <c r="CQ386" s="16" t="str">
        <f t="shared" si="269"/>
        <v/>
      </c>
      <c r="CR386" s="16" t="str">
        <f t="shared" si="270"/>
        <v/>
      </c>
      <c r="CS386" s="16" t="str">
        <f t="shared" si="271"/>
        <v/>
      </c>
      <c r="CT386" s="16" t="str">
        <f t="shared" si="272"/>
        <v/>
      </c>
    </row>
    <row r="387" spans="1:99" x14ac:dyDescent="0.25">
      <c r="A387" s="13"/>
      <c r="B387" s="14"/>
      <c r="C387" s="15" t="str" cm="1">
        <f t="array" ref="C387">IF(B387="","",INDEX('Exercise list'!$C$5:$C$102,B387))</f>
        <v/>
      </c>
      <c r="D387" s="12" t="str">
        <f t="shared" si="274"/>
        <v/>
      </c>
      <c r="E387" s="107" t="str">
        <f t="shared" si="297"/>
        <v/>
      </c>
      <c r="F387" s="63" t="str" cm="1">
        <f t="array" ref="F387">IF(B387="","",0.1+IFERROR(INDEX($F$6:$F386,SUMPRODUCT(MAX(ROW($C$6:$C386)*($C387=$C$6:$C386))-ROW($A$5)))*0.9^($A387-INDEX($A$6:A386,SUMPRODUCT(MAX(ROW($C$6:$C386)*($C387=$C$6:$C386))-ROW($A$5)))),0))</f>
        <v/>
      </c>
      <c r="G387" s="64" t="e">
        <f>INDEX('Exercise list'!$Y$5:$Y$102,MATCH(C387,'Exercise list'!$C$5:$C$102,0))</f>
        <v>#N/A</v>
      </c>
      <c r="H387" s="115">
        <f t="shared" si="275"/>
        <v>0</v>
      </c>
      <c r="I387" s="6">
        <f t="shared" si="276"/>
        <v>5</v>
      </c>
      <c r="J387" s="6" t="str" cm="1">
        <f t="array" ref="J387">IF(B387="","",INDEX('Exercise list'!$D$5:$D$102,B387))</f>
        <v/>
      </c>
      <c r="K387" s="12"/>
      <c r="L387" s="74" t="str" cm="1">
        <f t="array" ref="L387">IF(K387="","",INDEX('Exercise list'!$C$5:$C$102,K387))</f>
        <v/>
      </c>
      <c r="M387" s="6"/>
      <c r="N387" s="75" t="str" cm="1">
        <f t="array" ref="N387">IF(M387="","",INDEX('Exercise list'!$C$5:$C$102,M387))</f>
        <v/>
      </c>
      <c r="P387">
        <f>IFERROR(INDEX('Exercise list'!$E$5:$X$102,MATCH($C387,'Exercise list'!$C$5:$C$102,0),MATCH(P$5,'Exercise list'!$E$4:$X$4,0)),0)</f>
        <v>0</v>
      </c>
      <c r="Q387">
        <f>IFERROR(INDEX('Exercise list'!$E$5:$X$102,MATCH($C387,'Exercise list'!$C$5:$C$102,0),MATCH(Q$5,'Exercise list'!$E$4:$X$4,0)),0)</f>
        <v>0</v>
      </c>
      <c r="R387">
        <f>IFERROR(INDEX('Exercise list'!$E$5:$X$102,MATCH($C387,'Exercise list'!$C$5:$C$102,0),MATCH(R$5,'Exercise list'!$E$4:$X$4,0)),0)</f>
        <v>0</v>
      </c>
      <c r="S387">
        <f>IFERROR(INDEX('Exercise list'!$E$5:$X$102,MATCH($C387,'Exercise list'!$C$5:$C$102,0),MATCH(S$5,'Exercise list'!$E$4:$X$4,0)),0)</f>
        <v>0</v>
      </c>
      <c r="T387">
        <f>IFERROR(INDEX('Exercise list'!$E$5:$X$102,MATCH($C387,'Exercise list'!$C$5:$C$102,0),MATCH(T$5,'Exercise list'!$E$4:$X$4,0)),0)</f>
        <v>0</v>
      </c>
      <c r="U387">
        <f>IFERROR(INDEX('Exercise list'!$E$5:$X$102,MATCH($C387,'Exercise list'!$C$5:$C$102,0),MATCH(U$5,'Exercise list'!$E$4:$X$4,0)),0)</f>
        <v>0</v>
      </c>
      <c r="V387">
        <f>IFERROR(INDEX('Exercise list'!$E$5:$X$102,MATCH($C387,'Exercise list'!$C$5:$C$102,0),MATCH(V$5,'Exercise list'!$E$4:$X$4,0)),0)</f>
        <v>0</v>
      </c>
      <c r="W387">
        <f>IFERROR(INDEX('Exercise list'!$E$5:$X$102,MATCH($C387,'Exercise list'!$C$5:$C$102,0),MATCH(W$5,'Exercise list'!$E$4:$X$4,0)),0)</f>
        <v>0</v>
      </c>
      <c r="X387">
        <f>IFERROR(INDEX('Exercise list'!$E$5:$X$102,MATCH($C387,'Exercise list'!$C$5:$C$102,0),MATCH(X$5,'Exercise list'!$E$4:$X$4,0)),0)</f>
        <v>0</v>
      </c>
      <c r="Y387">
        <f>IFERROR(INDEX('Exercise list'!$E$5:$X$102,MATCH($C387,'Exercise list'!$C$5:$C$102,0),MATCH(Y$5,'Exercise list'!$E$4:$X$4,0)),0)</f>
        <v>0</v>
      </c>
      <c r="Z387">
        <f>IFERROR(INDEX('Exercise list'!$E$5:$X$102,MATCH($C387,'Exercise list'!$C$5:$C$102,0),MATCH(Z$5,'Exercise list'!$E$4:$X$4,0)),0)</f>
        <v>0</v>
      </c>
      <c r="AA387">
        <f>IFERROR(INDEX('Exercise list'!$E$5:$X$102,MATCH($C387,'Exercise list'!$C$5:$C$102,0),MATCH(AA$5,'Exercise list'!$E$4:$X$4,0)),0)</f>
        <v>0</v>
      </c>
      <c r="AB387">
        <f>IFERROR(INDEX('Exercise list'!$E$5:$X$102,MATCH($C387,'Exercise list'!$C$5:$C$102,0),MATCH(AB$5,'Exercise list'!$E$4:$X$4,0)),0)</f>
        <v>0</v>
      </c>
      <c r="AC387">
        <f>IFERROR(INDEX('Exercise list'!$E$5:$X$102,MATCH($C387,'Exercise list'!$C$5:$C$102,0),MATCH(AC$5,'Exercise list'!$E$4:$X$4,0)),0)</f>
        <v>0</v>
      </c>
      <c r="AD387">
        <f>IFERROR(INDEX('Exercise list'!$E$5:$X$102,MATCH($C387,'Exercise list'!$C$5:$C$102,0),MATCH(AD$5,'Exercise list'!$E$4:$X$4,0)),0)</f>
        <v>0</v>
      </c>
      <c r="AE387">
        <f>IFERROR(INDEX('Exercise list'!$E$5:$X$102,MATCH($C387,'Exercise list'!$C$5:$C$102,0),MATCH(AE$5,'Exercise list'!$E$4:$X$4,0)),0)</f>
        <v>0</v>
      </c>
      <c r="AF387">
        <f>IFERROR(INDEX('Exercise list'!$E$5:$X$102,MATCH($C387,'Exercise list'!$C$5:$C$102,0),MATCH(AF$5,'Exercise list'!$E$4:$X$4,0)),0)</f>
        <v>0</v>
      </c>
      <c r="AG387">
        <f>IFERROR(INDEX('Exercise list'!$E$5:$X$102,MATCH($C387,'Exercise list'!$C$5:$C$102,0),MATCH(AG$5,'Exercise list'!$E$4:$X$4,0)),0)</f>
        <v>0</v>
      </c>
      <c r="AH387">
        <f>IFERROR(INDEX('Exercise list'!$E$5:$X$102,MATCH($C387,'Exercise list'!$C$5:$C$102,0),MATCH(AH$5,'Exercise list'!$E$4:$X$4,0)),0)</f>
        <v>0</v>
      </c>
      <c r="AI387">
        <f>IFERROR(INDEX('Exercise list'!$E$5:$X$102,MATCH($C387,'Exercise list'!$C$5:$C$102,0),MATCH(AI$5,'Exercise list'!$E$4:$X$4,0)),0)</f>
        <v>0</v>
      </c>
      <c r="AK387">
        <f>IF(OR($J387=1,COUNTIFS($A$5:$A386,"&gt;="&amp;$A387-1,$A$5:$A386,"&lt;="&amp;$A387,$B$5:$B386,$B387)&gt;0,MIN(1-'Exercise list'!E$2,IF($A387=$A386,AK386,1))-P387&lt;0),-1,MIN(1,IF($A387=$A386,AK386,1)-P387+$D$2))</f>
        <v>1</v>
      </c>
      <c r="AL387">
        <f>IF(OR($J387=1,COUNTIFS($A$5:$A386,"&gt;="&amp;$A387-1,$A$5:$A386,"&lt;="&amp;$A387,$B$5:$B386,$B387)&gt;0,MIN(1-'Exercise list'!F$2,IF($A387=$A386,AL386,1))-Q387&lt;0),-1,MIN(1,IF($A387=$A386,AL386,1)-Q387+$D$2))</f>
        <v>1</v>
      </c>
      <c r="AM387">
        <f>IF(OR($J387=1,COUNTIFS($A$5:$A386,"&gt;="&amp;$A387-1,$A$5:$A386,"&lt;="&amp;$A387,$B$5:$B386,$B387)&gt;0,MIN(1-'Exercise list'!G$2,IF($A387=$A386,AM386,1))-R387&lt;0),-1,MIN(1,IF($A387=$A386,AM386,1)-R387+$D$2))</f>
        <v>1</v>
      </c>
      <c r="AN387">
        <f>IF(OR($J387=1,COUNTIFS($A$5:$A386,"&gt;="&amp;$A387-1,$A$5:$A386,"&lt;="&amp;$A387,$B$5:$B386,$B387)&gt;0,MIN(1-'Exercise list'!H$2,IF($A387=$A386,AN386,1))-S387&lt;0),-1,MIN(1,IF($A387=$A386,AN386,1)-S387+$D$2))</f>
        <v>1</v>
      </c>
      <c r="AO387">
        <f>IF(OR($J387=1,COUNTIFS($A$5:$A386,"&gt;="&amp;$A387-1,$A$5:$A386,"&lt;="&amp;$A387,$B$5:$B386,$B387)&gt;0,MIN(1-'Exercise list'!I$2,IF($A387=$A386,AO386,1))-T387&lt;0),-1,MIN(1,IF($A387=$A386,AO386,1)-T387+$D$2))</f>
        <v>1</v>
      </c>
      <c r="AP387">
        <f>IF(OR($J387=1,COUNTIFS($A$5:$A386,"&gt;="&amp;$A387-1,$A$5:$A386,"&lt;="&amp;$A387,$B$5:$B386,$B387)&gt;0,MIN(1-'Exercise list'!J$2,IF($A387=$A386,AP386,1))-U387&lt;0),-1,MIN(1,IF($A387=$A386,AP386,1)-U387+$D$2))</f>
        <v>1</v>
      </c>
      <c r="AQ387">
        <f>IF(OR($J387=1,COUNTIFS($A$5:$A386,"&gt;="&amp;$A387-1,$A$5:$A386,"&lt;="&amp;$A387,$B$5:$B386,$B387)&gt;0,MIN(1-'Exercise list'!K$2,IF($A387=$A386,AQ386,1))-V387&lt;0),-1,MIN(1,IF($A387=$A386,AQ386,1)-V387+$D$2))</f>
        <v>1</v>
      </c>
      <c r="AR387">
        <f>IF(OR($J387=1,COUNTIFS($A$5:$A386,"&gt;="&amp;$A387-1,$A$5:$A386,"&lt;="&amp;$A387,$B$5:$B386,$B387)&gt;0,MIN(1-'Exercise list'!L$2,IF($A387=$A386,AR386,1))-W387&lt;0),-1,MIN(1,IF($A387=$A386,AR386,1)-W387+$D$2))</f>
        <v>1</v>
      </c>
      <c r="AS387">
        <f>IF(OR($J387=1,COUNTIFS($A$5:$A386,"&gt;="&amp;$A387-1,$A$5:$A386,"&lt;="&amp;$A387,$B$5:$B386,$B387)&gt;0,MIN(1-'Exercise list'!M$2,IF($A387=$A386,AS386,1))-X387&lt;0),-1,MIN(1,IF($A387=$A386,AS386,1)-X387+$D$2))</f>
        <v>1</v>
      </c>
      <c r="AT387">
        <f>IF(OR($J387=1,COUNTIFS($A$5:$A386,"&gt;="&amp;$A387-1,$A$5:$A386,"&lt;="&amp;$A387,$B$5:$B386,$B387)&gt;0,MIN(1-'Exercise list'!N$2,IF($A387=$A386,AT386,1))-Y387&lt;0),-1,MIN(1,IF($A387=$A386,AT386,1)-Y387+$D$2))</f>
        <v>1</v>
      </c>
      <c r="AU387">
        <f>IF(OR($J387=1,COUNTIFS($A$5:$A386,"&gt;="&amp;$A387-1,$A$5:$A386,"&lt;="&amp;$A387,$B$5:$B386,$B387)&gt;0,MIN(1-'Exercise list'!O$2,IF($A387=$A386,AU386,1))-Z387&lt;0),-1,MIN(1,IF($A387=$A386,AU386,1)-Z387+$D$2))</f>
        <v>1</v>
      </c>
      <c r="AV387">
        <f>IF(OR($J387=1,COUNTIFS($A$5:$A386,"&gt;="&amp;$A387-1,$A$5:$A386,"&lt;="&amp;$A387,$B$5:$B386,$B387)&gt;0,MIN(1-'Exercise list'!P$2,IF($A387=$A386,AV386,1))-AA387&lt;0),-1,MIN(1,IF($A387=$A386,AV386,1)-AA387+$D$2))</f>
        <v>1</v>
      </c>
      <c r="AW387">
        <f>IF(OR($J387=1,COUNTIFS($A$5:$A386,"&gt;="&amp;$A387-1,$A$5:$A386,"&lt;="&amp;$A387,$B$5:$B386,$B387)&gt;0,MIN(1-'Exercise list'!Q$2,IF($A387=$A386,AW386,1))-AB387&lt;0),-1,MIN(1,IF($A387=$A386,AW386,1)-AB387+$D$2))</f>
        <v>1</v>
      </c>
      <c r="AX387">
        <f>IF(OR($J387=1,COUNTIFS($A$5:$A386,"&gt;="&amp;$A387-1,$A$5:$A386,"&lt;="&amp;$A387,$B$5:$B386,$B387)&gt;0,MIN(1-'Exercise list'!R$2,IF($A387=$A386,AX386,1))-AC387&lt;0),-1,MIN(1,IF($A387=$A386,AX386,1)-AC387+$D$2))</f>
        <v>1</v>
      </c>
      <c r="AY387">
        <f>IF(OR($J387=1,COUNTIFS($A$5:$A386,"&gt;="&amp;$A387-1,$A$5:$A386,"&lt;="&amp;$A387,$B$5:$B386,$B387)&gt;0,MIN(1-'Exercise list'!S$2,IF($A387=$A386,AY386,1))-AD387&lt;0),-1,MIN(1,IF($A387=$A386,AY386,1)-AD387+$D$2))</f>
        <v>1</v>
      </c>
      <c r="AZ387">
        <f>IF(OR($J387=1,COUNTIFS($A$5:$A386,"&gt;="&amp;$A387-1,$A$5:$A386,"&lt;="&amp;$A387,$B$5:$B386,$B387)&gt;0,MIN(1-'Exercise list'!T$2,IF($A387=$A386,AZ386,1))-AE387&lt;0),-1,MIN(1,IF($A387=$A386,AZ386,1)-AE387+$D$2))</f>
        <v>1</v>
      </c>
      <c r="BA387">
        <f>IF(OR($J387=1,COUNTIFS($A$5:$A386,"&gt;="&amp;$A387-1,$A$5:$A386,"&lt;="&amp;$A387,$B$5:$B386,$B387)&gt;0,MIN(1-'Exercise list'!U$2,IF($A387=$A386,BA386,1))-AF387&lt;0),-1,MIN(1,IF($A387=$A386,BA386,1)-AF387+$D$2))</f>
        <v>1</v>
      </c>
      <c r="BB387">
        <f>IF(OR($J387=1,COUNTIFS($A$5:$A386,"&gt;="&amp;$A387-1,$A$5:$A386,"&lt;="&amp;$A387,$B$5:$B386,$B387)&gt;0,MIN(1-'Exercise list'!V$2,IF($A387=$A386,BB386,1))-AG387&lt;0),-1,MIN(1,IF($A387=$A386,BB386,1)-AG387+$D$2))</f>
        <v>1</v>
      </c>
      <c r="BC387">
        <f>IF(OR($J387=1,COUNTIFS($A$5:$A386,"&gt;="&amp;$A387-1,$A$5:$A386,"&lt;="&amp;$A387,$B$5:$B386,$B387)&gt;0,MIN(1-'Exercise list'!W$2,IF($A387=$A386,BC386,1))-AH387&lt;0),-1,MIN(1,IF($A387=$A386,BC386,1)-AH387+$D$2))</f>
        <v>1</v>
      </c>
      <c r="BD387">
        <f>IF(OR($J387=1,COUNTIFS($A$5:$A386,"&gt;="&amp;$A387-1,$A$5:$A386,"&lt;="&amp;$A387,$B$5:$B386,$B387)&gt;0,MIN(1-'Exercise list'!X$2,IF($A387=$A386,BD386,1))-AI387&lt;0),-1,MIN(1,IF($A387=$A386,BD386,1)-AI387+$D$2))</f>
        <v>1</v>
      </c>
      <c r="BF387" s="16">
        <f t="shared" si="277"/>
        <v>0.19596031081758858</v>
      </c>
      <c r="BG387" s="16">
        <f t="shared" si="278"/>
        <v>0.21844636935459236</v>
      </c>
      <c r="BH387" s="16">
        <f t="shared" si="279"/>
        <v>0.14609696635987124</v>
      </c>
      <c r="BI387" s="16">
        <f t="shared" si="280"/>
        <v>0.13198015366034541</v>
      </c>
      <c r="BJ387" s="16">
        <f t="shared" si="281"/>
        <v>8.3367914198418713E-2</v>
      </c>
      <c r="BK387" s="16">
        <f t="shared" si="282"/>
        <v>0.10640640223148412</v>
      </c>
      <c r="BL387" s="16">
        <f t="shared" si="283"/>
        <v>0.21963504743569431</v>
      </c>
      <c r="BM387" s="16">
        <f t="shared" si="284"/>
        <v>3.8988008374820568E-3</v>
      </c>
      <c r="BN387" s="16">
        <f t="shared" si="285"/>
        <v>0.14537706087090876</v>
      </c>
      <c r="BO387" s="16">
        <f t="shared" si="286"/>
        <v>0.29209790661993401</v>
      </c>
      <c r="BP387" s="16">
        <f t="shared" si="287"/>
        <v>0.31584545163401867</v>
      </c>
      <c r="BQ387" s="16">
        <f t="shared" si="288"/>
        <v>0.1000007994126096</v>
      </c>
      <c r="BR387" s="16">
        <f t="shared" si="289"/>
        <v>0.13164487759885393</v>
      </c>
      <c r="BS387" s="16">
        <f t="shared" si="290"/>
        <v>2.9803550189863123E-2</v>
      </c>
      <c r="BT387" s="16">
        <f t="shared" si="291"/>
        <v>0.13492040904978705</v>
      </c>
      <c r="BU387" s="16">
        <f t="shared" si="292"/>
        <v>0.11703687414398131</v>
      </c>
      <c r="BV387" s="16">
        <f t="shared" si="293"/>
        <v>0.14633353213781661</v>
      </c>
      <c r="BW387" s="16">
        <f t="shared" si="294"/>
        <v>7.5588015111767173E-2</v>
      </c>
      <c r="BX387" s="16">
        <f t="shared" si="295"/>
        <v>8.0345659937185704E-2</v>
      </c>
      <c r="BY387" s="16">
        <f t="shared" si="296"/>
        <v>5.9014643151272549E-2</v>
      </c>
      <c r="CA387" s="16" t="str">
        <f t="shared" si="273"/>
        <v/>
      </c>
      <c r="CB387" s="16" t="str">
        <f t="shared" si="254"/>
        <v/>
      </c>
      <c r="CC387" s="16" t="str">
        <f t="shared" si="255"/>
        <v/>
      </c>
      <c r="CD387" s="16" t="str">
        <f t="shared" si="256"/>
        <v/>
      </c>
      <c r="CE387" s="16" t="str">
        <f t="shared" si="257"/>
        <v/>
      </c>
      <c r="CF387" s="16" t="str">
        <f t="shared" si="258"/>
        <v/>
      </c>
      <c r="CG387" s="16" t="str">
        <f t="shared" si="259"/>
        <v/>
      </c>
      <c r="CH387" s="16" t="str">
        <f t="shared" si="260"/>
        <v/>
      </c>
      <c r="CI387" s="16" t="str">
        <f t="shared" si="261"/>
        <v/>
      </c>
      <c r="CJ387" s="16" t="str">
        <f t="shared" si="262"/>
        <v/>
      </c>
      <c r="CK387" s="16" t="str">
        <f t="shared" si="263"/>
        <v/>
      </c>
      <c r="CL387" s="16" t="str">
        <f t="shared" si="264"/>
        <v/>
      </c>
      <c r="CM387" s="16" t="str">
        <f t="shared" si="265"/>
        <v/>
      </c>
      <c r="CN387" s="16" t="str">
        <f t="shared" si="266"/>
        <v/>
      </c>
      <c r="CO387" s="16" t="str">
        <f t="shared" si="267"/>
        <v/>
      </c>
      <c r="CP387" s="16" t="str">
        <f t="shared" si="268"/>
        <v/>
      </c>
      <c r="CQ387" s="16" t="str">
        <f t="shared" si="269"/>
        <v/>
      </c>
      <c r="CR387" s="16" t="str">
        <f t="shared" si="270"/>
        <v/>
      </c>
      <c r="CS387" s="16" t="str">
        <f t="shared" si="271"/>
        <v/>
      </c>
      <c r="CT387" s="16" t="str">
        <f t="shared" si="272"/>
        <v/>
      </c>
    </row>
    <row r="388" spans="1:99" x14ac:dyDescent="0.25">
      <c r="A388" s="20"/>
      <c r="B388" s="21"/>
      <c r="C388" s="22" t="str" cm="1">
        <f t="array" ref="C388">IF(B388="","",INDEX('Exercise list'!$C$5:$C$102,B388))</f>
        <v/>
      </c>
      <c r="D388" s="17" t="str">
        <f t="shared" si="274"/>
        <v/>
      </c>
      <c r="E388" s="108" t="str">
        <f t="shared" si="297"/>
        <v/>
      </c>
      <c r="F388" s="65" t="str" cm="1">
        <f t="array" ref="F388">IF(B388="","",0.1+IFERROR(INDEX($F$6:$F387,SUMPRODUCT(MAX(ROW($C$6:$C387)*($C388=$C$6:$C387))-ROW($A$5)))*0.9^($A388-INDEX($A$6:A387,SUMPRODUCT(MAX(ROW($C$6:$C387)*($C388=$C$6:$C387))-ROW($A$5)))),0))</f>
        <v/>
      </c>
      <c r="G388" s="25" t="e">
        <f>INDEX('Exercise list'!$Y$5:$Y$102,MATCH(C388,'Exercise list'!$C$5:$C$102,0))</f>
        <v>#N/A</v>
      </c>
      <c r="H388" s="116">
        <f t="shared" si="275"/>
        <v>0</v>
      </c>
      <c r="I388" s="18">
        <f t="shared" si="276"/>
        <v>5</v>
      </c>
      <c r="J388" s="18" t="str" cm="1">
        <f t="array" ref="J388">IF(B388="","",INDEX('Exercise list'!$D$5:$D$102,B388))</f>
        <v/>
      </c>
      <c r="K388" s="17"/>
      <c r="L388" s="51" t="str" cm="1">
        <f t="array" ref="L388">IF(K388="","",INDEX('Exercise list'!$C$5:$C$102,K388))</f>
        <v/>
      </c>
      <c r="M388" s="18"/>
      <c r="N388" s="76" t="str" cm="1">
        <f t="array" ref="N388">IF(M388="","",INDEX('Exercise list'!$C$5:$C$102,M388))</f>
        <v/>
      </c>
      <c r="O388" s="19"/>
      <c r="P388" s="19">
        <f>IFERROR(INDEX('Exercise list'!$E$5:$X$102,MATCH($C388,'Exercise list'!$C$5:$C$102,0),MATCH(P$5,'Exercise list'!$E$4:$X$4,0)),0)</f>
        <v>0</v>
      </c>
      <c r="Q388" s="19">
        <f>IFERROR(INDEX('Exercise list'!$E$5:$X$102,MATCH($C388,'Exercise list'!$C$5:$C$102,0),MATCH(Q$5,'Exercise list'!$E$4:$X$4,0)),0)</f>
        <v>0</v>
      </c>
      <c r="R388" s="19">
        <f>IFERROR(INDEX('Exercise list'!$E$5:$X$102,MATCH($C388,'Exercise list'!$C$5:$C$102,0),MATCH(R$5,'Exercise list'!$E$4:$X$4,0)),0)</f>
        <v>0</v>
      </c>
      <c r="S388" s="19">
        <f>IFERROR(INDEX('Exercise list'!$E$5:$X$102,MATCH($C388,'Exercise list'!$C$5:$C$102,0),MATCH(S$5,'Exercise list'!$E$4:$X$4,0)),0)</f>
        <v>0</v>
      </c>
      <c r="T388" s="19">
        <f>IFERROR(INDEX('Exercise list'!$E$5:$X$102,MATCH($C388,'Exercise list'!$C$5:$C$102,0),MATCH(T$5,'Exercise list'!$E$4:$X$4,0)),0)</f>
        <v>0</v>
      </c>
      <c r="U388" s="19">
        <f>IFERROR(INDEX('Exercise list'!$E$5:$X$102,MATCH($C388,'Exercise list'!$C$5:$C$102,0),MATCH(U$5,'Exercise list'!$E$4:$X$4,0)),0)</f>
        <v>0</v>
      </c>
      <c r="V388" s="19">
        <f>IFERROR(INDEX('Exercise list'!$E$5:$X$102,MATCH($C388,'Exercise list'!$C$5:$C$102,0),MATCH(V$5,'Exercise list'!$E$4:$X$4,0)),0)</f>
        <v>0</v>
      </c>
      <c r="W388" s="19">
        <f>IFERROR(INDEX('Exercise list'!$E$5:$X$102,MATCH($C388,'Exercise list'!$C$5:$C$102,0),MATCH(W$5,'Exercise list'!$E$4:$X$4,0)),0)</f>
        <v>0</v>
      </c>
      <c r="X388" s="19">
        <f>IFERROR(INDEX('Exercise list'!$E$5:$X$102,MATCH($C388,'Exercise list'!$C$5:$C$102,0),MATCH(X$5,'Exercise list'!$E$4:$X$4,0)),0)</f>
        <v>0</v>
      </c>
      <c r="Y388" s="19">
        <f>IFERROR(INDEX('Exercise list'!$E$5:$X$102,MATCH($C388,'Exercise list'!$C$5:$C$102,0),MATCH(Y$5,'Exercise list'!$E$4:$X$4,0)),0)</f>
        <v>0</v>
      </c>
      <c r="Z388" s="19">
        <f>IFERROR(INDEX('Exercise list'!$E$5:$X$102,MATCH($C388,'Exercise list'!$C$5:$C$102,0),MATCH(Z$5,'Exercise list'!$E$4:$X$4,0)),0)</f>
        <v>0</v>
      </c>
      <c r="AA388" s="19">
        <f>IFERROR(INDEX('Exercise list'!$E$5:$X$102,MATCH($C388,'Exercise list'!$C$5:$C$102,0),MATCH(AA$5,'Exercise list'!$E$4:$X$4,0)),0)</f>
        <v>0</v>
      </c>
      <c r="AB388" s="19">
        <f>IFERROR(INDEX('Exercise list'!$E$5:$X$102,MATCH($C388,'Exercise list'!$C$5:$C$102,0),MATCH(AB$5,'Exercise list'!$E$4:$X$4,0)),0)</f>
        <v>0</v>
      </c>
      <c r="AC388" s="19">
        <f>IFERROR(INDEX('Exercise list'!$E$5:$X$102,MATCH($C388,'Exercise list'!$C$5:$C$102,0),MATCH(AC$5,'Exercise list'!$E$4:$X$4,0)),0)</f>
        <v>0</v>
      </c>
      <c r="AD388" s="19">
        <f>IFERROR(INDEX('Exercise list'!$E$5:$X$102,MATCH($C388,'Exercise list'!$C$5:$C$102,0),MATCH(AD$5,'Exercise list'!$E$4:$X$4,0)),0)</f>
        <v>0</v>
      </c>
      <c r="AE388" s="19">
        <f>IFERROR(INDEX('Exercise list'!$E$5:$X$102,MATCH($C388,'Exercise list'!$C$5:$C$102,0),MATCH(AE$5,'Exercise list'!$E$4:$X$4,0)),0)</f>
        <v>0</v>
      </c>
      <c r="AF388" s="19">
        <f>IFERROR(INDEX('Exercise list'!$E$5:$X$102,MATCH($C388,'Exercise list'!$C$5:$C$102,0),MATCH(AF$5,'Exercise list'!$E$4:$X$4,0)),0)</f>
        <v>0</v>
      </c>
      <c r="AG388" s="19">
        <f>IFERROR(INDEX('Exercise list'!$E$5:$X$102,MATCH($C388,'Exercise list'!$C$5:$C$102,0),MATCH(AG$5,'Exercise list'!$E$4:$X$4,0)),0)</f>
        <v>0</v>
      </c>
      <c r="AH388" s="19">
        <f>IFERROR(INDEX('Exercise list'!$E$5:$X$102,MATCH($C388,'Exercise list'!$C$5:$C$102,0),MATCH(AH$5,'Exercise list'!$E$4:$X$4,0)),0)</f>
        <v>0</v>
      </c>
      <c r="AI388" s="19">
        <f>IFERROR(INDEX('Exercise list'!$E$5:$X$102,MATCH($C388,'Exercise list'!$C$5:$C$102,0),MATCH(AI$5,'Exercise list'!$E$4:$X$4,0)),0)</f>
        <v>0</v>
      </c>
      <c r="AJ388" s="19"/>
      <c r="AK388" s="19">
        <f>IF(OR($J388=1,COUNTIFS($A$5:$A387,"&gt;="&amp;$A388-1,$A$5:$A387,"&lt;="&amp;$A388,$B$5:$B387,$B388)&gt;0,MIN(1-'Exercise list'!E$2,IF($A388=$A387,AK387,1))-P388&lt;0),-1,MIN(1,IF($A388=$A387,AK387,1)-P388+$D$2))</f>
        <v>1</v>
      </c>
      <c r="AL388" s="19">
        <f>IF(OR($J388=1,COUNTIFS($A$5:$A387,"&gt;="&amp;$A388-1,$A$5:$A387,"&lt;="&amp;$A388,$B$5:$B387,$B388)&gt;0,MIN(1-'Exercise list'!F$2,IF($A388=$A387,AL387,1))-Q388&lt;0),-1,MIN(1,IF($A388=$A387,AL387,1)-Q388+$D$2))</f>
        <v>1</v>
      </c>
      <c r="AM388" s="19">
        <f>IF(OR($J388=1,COUNTIFS($A$5:$A387,"&gt;="&amp;$A388-1,$A$5:$A387,"&lt;="&amp;$A388,$B$5:$B387,$B388)&gt;0,MIN(1-'Exercise list'!G$2,IF($A388=$A387,AM387,1))-R388&lt;0),-1,MIN(1,IF($A388=$A387,AM387,1)-R388+$D$2))</f>
        <v>1</v>
      </c>
      <c r="AN388" s="19">
        <f>IF(OR($J388=1,COUNTIFS($A$5:$A387,"&gt;="&amp;$A388-1,$A$5:$A387,"&lt;="&amp;$A388,$B$5:$B387,$B388)&gt;0,MIN(1-'Exercise list'!H$2,IF($A388=$A387,AN387,1))-S388&lt;0),-1,MIN(1,IF($A388=$A387,AN387,1)-S388+$D$2))</f>
        <v>1</v>
      </c>
      <c r="AO388" s="19">
        <f>IF(OR($J388=1,COUNTIFS($A$5:$A387,"&gt;="&amp;$A388-1,$A$5:$A387,"&lt;="&amp;$A388,$B$5:$B387,$B388)&gt;0,MIN(1-'Exercise list'!I$2,IF($A388=$A387,AO387,1))-T388&lt;0),-1,MIN(1,IF($A388=$A387,AO387,1)-T388+$D$2))</f>
        <v>1</v>
      </c>
      <c r="AP388" s="19">
        <f>IF(OR($J388=1,COUNTIFS($A$5:$A387,"&gt;="&amp;$A388-1,$A$5:$A387,"&lt;="&amp;$A388,$B$5:$B387,$B388)&gt;0,MIN(1-'Exercise list'!J$2,IF($A388=$A387,AP387,1))-U388&lt;0),-1,MIN(1,IF($A388=$A387,AP387,1)-U388+$D$2))</f>
        <v>1</v>
      </c>
      <c r="AQ388" s="19">
        <f>IF(OR($J388=1,COUNTIFS($A$5:$A387,"&gt;="&amp;$A388-1,$A$5:$A387,"&lt;="&amp;$A388,$B$5:$B387,$B388)&gt;0,MIN(1-'Exercise list'!K$2,IF($A388=$A387,AQ387,1))-V388&lt;0),-1,MIN(1,IF($A388=$A387,AQ387,1)-V388+$D$2))</f>
        <v>1</v>
      </c>
      <c r="AR388" s="19">
        <f>IF(OR($J388=1,COUNTIFS($A$5:$A387,"&gt;="&amp;$A388-1,$A$5:$A387,"&lt;="&amp;$A388,$B$5:$B387,$B388)&gt;0,MIN(1-'Exercise list'!L$2,IF($A388=$A387,AR387,1))-W388&lt;0),-1,MIN(1,IF($A388=$A387,AR387,1)-W388+$D$2))</f>
        <v>1</v>
      </c>
      <c r="AS388" s="19">
        <f>IF(OR($J388=1,COUNTIFS($A$5:$A387,"&gt;="&amp;$A388-1,$A$5:$A387,"&lt;="&amp;$A388,$B$5:$B387,$B388)&gt;0,MIN(1-'Exercise list'!M$2,IF($A388=$A387,AS387,1))-X388&lt;0),-1,MIN(1,IF($A388=$A387,AS387,1)-X388+$D$2))</f>
        <v>1</v>
      </c>
      <c r="AT388" s="19">
        <f>IF(OR($J388=1,COUNTIFS($A$5:$A387,"&gt;="&amp;$A388-1,$A$5:$A387,"&lt;="&amp;$A388,$B$5:$B387,$B388)&gt;0,MIN(1-'Exercise list'!N$2,IF($A388=$A387,AT387,1))-Y388&lt;0),-1,MIN(1,IF($A388=$A387,AT387,1)-Y388+$D$2))</f>
        <v>1</v>
      </c>
      <c r="AU388" s="19">
        <f>IF(OR($J388=1,COUNTIFS($A$5:$A387,"&gt;="&amp;$A388-1,$A$5:$A387,"&lt;="&amp;$A388,$B$5:$B387,$B388)&gt;0,MIN(1-'Exercise list'!O$2,IF($A388=$A387,AU387,1))-Z388&lt;0),-1,MIN(1,IF($A388=$A387,AU387,1)-Z388+$D$2))</f>
        <v>1</v>
      </c>
      <c r="AV388" s="19">
        <f>IF(OR($J388=1,COUNTIFS($A$5:$A387,"&gt;="&amp;$A388-1,$A$5:$A387,"&lt;="&amp;$A388,$B$5:$B387,$B388)&gt;0,MIN(1-'Exercise list'!P$2,IF($A388=$A387,AV387,1))-AA388&lt;0),-1,MIN(1,IF($A388=$A387,AV387,1)-AA388+$D$2))</f>
        <v>1</v>
      </c>
      <c r="AW388" s="19">
        <f>IF(OR($J388=1,COUNTIFS($A$5:$A387,"&gt;="&amp;$A388-1,$A$5:$A387,"&lt;="&amp;$A388,$B$5:$B387,$B388)&gt;0,MIN(1-'Exercise list'!Q$2,IF($A388=$A387,AW387,1))-AB388&lt;0),-1,MIN(1,IF($A388=$A387,AW387,1)-AB388+$D$2))</f>
        <v>1</v>
      </c>
      <c r="AX388" s="19">
        <f>IF(OR($J388=1,COUNTIFS($A$5:$A387,"&gt;="&amp;$A388-1,$A$5:$A387,"&lt;="&amp;$A388,$B$5:$B387,$B388)&gt;0,MIN(1-'Exercise list'!R$2,IF($A388=$A387,AX387,1))-AC388&lt;0),-1,MIN(1,IF($A388=$A387,AX387,1)-AC388+$D$2))</f>
        <v>1</v>
      </c>
      <c r="AY388" s="19">
        <f>IF(OR($J388=1,COUNTIFS($A$5:$A387,"&gt;="&amp;$A388-1,$A$5:$A387,"&lt;="&amp;$A388,$B$5:$B387,$B388)&gt;0,MIN(1-'Exercise list'!S$2,IF($A388=$A387,AY387,1))-AD388&lt;0),-1,MIN(1,IF($A388=$A387,AY387,1)-AD388+$D$2))</f>
        <v>1</v>
      </c>
      <c r="AZ388" s="19">
        <f>IF(OR($J388=1,COUNTIFS($A$5:$A387,"&gt;="&amp;$A388-1,$A$5:$A387,"&lt;="&amp;$A388,$B$5:$B387,$B388)&gt;0,MIN(1-'Exercise list'!T$2,IF($A388=$A387,AZ387,1))-AE388&lt;0),-1,MIN(1,IF($A388=$A387,AZ387,1)-AE388+$D$2))</f>
        <v>1</v>
      </c>
      <c r="BA388" s="19">
        <f>IF(OR($J388=1,COUNTIFS($A$5:$A387,"&gt;="&amp;$A388-1,$A$5:$A387,"&lt;="&amp;$A388,$B$5:$B387,$B388)&gt;0,MIN(1-'Exercise list'!U$2,IF($A388=$A387,BA387,1))-AF388&lt;0),-1,MIN(1,IF($A388=$A387,BA387,1)-AF388+$D$2))</f>
        <v>1</v>
      </c>
      <c r="BB388" s="19">
        <f>IF(OR($J388=1,COUNTIFS($A$5:$A387,"&gt;="&amp;$A388-1,$A$5:$A387,"&lt;="&amp;$A388,$B$5:$B387,$B388)&gt;0,MIN(1-'Exercise list'!V$2,IF($A388=$A387,BB387,1))-AG388&lt;0),-1,MIN(1,IF($A388=$A387,BB387,1)-AG388+$D$2))</f>
        <v>1</v>
      </c>
      <c r="BC388" s="19">
        <f>IF(OR($J388=1,COUNTIFS($A$5:$A387,"&gt;="&amp;$A388-1,$A$5:$A387,"&lt;="&amp;$A388,$B$5:$B387,$B388)&gt;0,MIN(1-'Exercise list'!W$2,IF($A388=$A387,BC387,1))-AH388&lt;0),-1,MIN(1,IF($A388=$A387,BC387,1)-AH388+$D$2))</f>
        <v>1</v>
      </c>
      <c r="BD388" s="19">
        <f>IF(OR($J388=1,COUNTIFS($A$5:$A387,"&gt;="&amp;$A388-1,$A$5:$A387,"&lt;="&amp;$A388,$B$5:$B387,$B388)&gt;0,MIN(1-'Exercise list'!X$2,IF($A388=$A387,BD387,1))-AI388&lt;0),-1,MIN(1,IF($A388=$A387,BD387,1)-AI388+$D$2))</f>
        <v>1</v>
      </c>
      <c r="BE388" s="19"/>
      <c r="BF388" s="23">
        <f t="shared" si="277"/>
        <v>0.19596031081758858</v>
      </c>
      <c r="BG388" s="23">
        <f t="shared" si="278"/>
        <v>0.21844636935459236</v>
      </c>
      <c r="BH388" s="23">
        <f t="shared" si="279"/>
        <v>0.14609696635987124</v>
      </c>
      <c r="BI388" s="23">
        <f t="shared" si="280"/>
        <v>0.13198015366034541</v>
      </c>
      <c r="BJ388" s="23">
        <f t="shared" si="281"/>
        <v>8.3367914198418713E-2</v>
      </c>
      <c r="BK388" s="23">
        <f t="shared" si="282"/>
        <v>0.10640640223148412</v>
      </c>
      <c r="BL388" s="23">
        <f t="shared" si="283"/>
        <v>0.21963504743569431</v>
      </c>
      <c r="BM388" s="23">
        <f t="shared" si="284"/>
        <v>3.8988008374820568E-3</v>
      </c>
      <c r="BN388" s="23">
        <f t="shared" si="285"/>
        <v>0.14537706087090876</v>
      </c>
      <c r="BO388" s="23">
        <f t="shared" si="286"/>
        <v>0.29209790661993401</v>
      </c>
      <c r="BP388" s="23">
        <f t="shared" si="287"/>
        <v>0.31584545163401867</v>
      </c>
      <c r="BQ388" s="23">
        <f t="shared" si="288"/>
        <v>0.1000007994126096</v>
      </c>
      <c r="BR388" s="23">
        <f t="shared" si="289"/>
        <v>0.13164487759885393</v>
      </c>
      <c r="BS388" s="23">
        <f t="shared" si="290"/>
        <v>2.9803550189863123E-2</v>
      </c>
      <c r="BT388" s="23">
        <f t="shared" si="291"/>
        <v>0.13492040904978705</v>
      </c>
      <c r="BU388" s="23">
        <f t="shared" si="292"/>
        <v>0.11703687414398131</v>
      </c>
      <c r="BV388" s="23">
        <f t="shared" si="293"/>
        <v>0.14633353213781661</v>
      </c>
      <c r="BW388" s="23">
        <f t="shared" si="294"/>
        <v>7.5588015111767173E-2</v>
      </c>
      <c r="BX388" s="23">
        <f t="shared" si="295"/>
        <v>8.0345659937185704E-2</v>
      </c>
      <c r="BY388" s="23">
        <f t="shared" si="296"/>
        <v>5.9014643151272549E-2</v>
      </c>
      <c r="BZ388" s="19"/>
      <c r="CA388" s="23" t="str">
        <f t="shared" si="273"/>
        <v/>
      </c>
      <c r="CB388" s="23" t="str">
        <f t="shared" si="254"/>
        <v/>
      </c>
      <c r="CC388" s="23" t="str">
        <f t="shared" si="255"/>
        <v/>
      </c>
      <c r="CD388" s="23" t="str">
        <f t="shared" si="256"/>
        <v/>
      </c>
      <c r="CE388" s="23" t="str">
        <f t="shared" si="257"/>
        <v/>
      </c>
      <c r="CF388" s="23" t="str">
        <f t="shared" si="258"/>
        <v/>
      </c>
      <c r="CG388" s="23" t="str">
        <f t="shared" si="259"/>
        <v/>
      </c>
      <c r="CH388" s="23" t="str">
        <f t="shared" si="260"/>
        <v/>
      </c>
      <c r="CI388" s="23" t="str">
        <f t="shared" si="261"/>
        <v/>
      </c>
      <c r="CJ388" s="23" t="str">
        <f t="shared" si="262"/>
        <v/>
      </c>
      <c r="CK388" s="23" t="str">
        <f t="shared" si="263"/>
        <v/>
      </c>
      <c r="CL388" s="23" t="str">
        <f t="shared" si="264"/>
        <v/>
      </c>
      <c r="CM388" s="23" t="str">
        <f t="shared" si="265"/>
        <v/>
      </c>
      <c r="CN388" s="23" t="str">
        <f t="shared" si="266"/>
        <v/>
      </c>
      <c r="CO388" s="23" t="str">
        <f t="shared" si="267"/>
        <v/>
      </c>
      <c r="CP388" s="23" t="str">
        <f t="shared" si="268"/>
        <v/>
      </c>
      <c r="CQ388" s="23" t="str">
        <f t="shared" si="269"/>
        <v/>
      </c>
      <c r="CR388" s="23" t="str">
        <f t="shared" si="270"/>
        <v/>
      </c>
      <c r="CS388" s="23" t="str">
        <f t="shared" si="271"/>
        <v/>
      </c>
      <c r="CT388" s="23" t="str">
        <f t="shared" si="272"/>
        <v/>
      </c>
      <c r="CU388" s="19"/>
    </row>
    <row r="389" spans="1:99" x14ac:dyDescent="0.25">
      <c r="A389" s="13"/>
      <c r="B389" s="14"/>
      <c r="C389" s="15" t="str" cm="1">
        <f t="array" ref="C389">IF(B389="","",INDEX('Exercise list'!$C$5:$C$102,B389))</f>
        <v/>
      </c>
      <c r="D389" s="12" t="str">
        <f t="shared" si="274"/>
        <v/>
      </c>
      <c r="E389" s="107" t="str">
        <f t="shared" si="297"/>
        <v/>
      </c>
      <c r="F389" s="63" t="str" cm="1">
        <f t="array" ref="F389">IF(B389="","",0.1+IFERROR(INDEX($F$6:$F388,SUMPRODUCT(MAX(ROW($C$6:$C388)*($C389=$C$6:$C388))-ROW($A$5)))*0.9^($A389-INDEX($A$6:A388,SUMPRODUCT(MAX(ROW($C$6:$C388)*($C389=$C$6:$C388))-ROW($A$5)))),0))</f>
        <v/>
      </c>
      <c r="G389" s="64" t="e">
        <f>INDEX('Exercise list'!$Y$5:$Y$102,MATCH(C389,'Exercise list'!$C$5:$C$102,0))</f>
        <v>#N/A</v>
      </c>
      <c r="H389" s="115">
        <f t="shared" si="275"/>
        <v>0</v>
      </c>
      <c r="I389" s="42">
        <f t="shared" si="276"/>
        <v>5</v>
      </c>
      <c r="J389" s="6" t="str" cm="1">
        <f t="array" ref="J389">IF(B389="","",INDEX('Exercise list'!$D$5:$D$102,B389))</f>
        <v/>
      </c>
      <c r="K389" s="12"/>
      <c r="L389" s="74" t="str" cm="1">
        <f t="array" ref="L389">IF(K389="","",INDEX('Exercise list'!$C$5:$C$102,K389))</f>
        <v/>
      </c>
      <c r="M389" s="6"/>
      <c r="N389" s="75" t="str" cm="1">
        <f t="array" ref="N389">IF(M389="","",INDEX('Exercise list'!$C$5:$C$102,M389))</f>
        <v/>
      </c>
      <c r="P389">
        <f>IFERROR(INDEX('Exercise list'!$E$5:$X$102,MATCH($C389,'Exercise list'!$C$5:$C$102,0),MATCH(P$5,'Exercise list'!$E$4:$X$4,0)),0)</f>
        <v>0</v>
      </c>
      <c r="Q389">
        <f>IFERROR(INDEX('Exercise list'!$E$5:$X$102,MATCH($C389,'Exercise list'!$C$5:$C$102,0),MATCH(Q$5,'Exercise list'!$E$4:$X$4,0)),0)</f>
        <v>0</v>
      </c>
      <c r="R389">
        <f>IFERROR(INDEX('Exercise list'!$E$5:$X$102,MATCH($C389,'Exercise list'!$C$5:$C$102,0),MATCH(R$5,'Exercise list'!$E$4:$X$4,0)),0)</f>
        <v>0</v>
      </c>
      <c r="S389">
        <f>IFERROR(INDEX('Exercise list'!$E$5:$X$102,MATCH($C389,'Exercise list'!$C$5:$C$102,0),MATCH(S$5,'Exercise list'!$E$4:$X$4,0)),0)</f>
        <v>0</v>
      </c>
      <c r="T389">
        <f>IFERROR(INDEX('Exercise list'!$E$5:$X$102,MATCH($C389,'Exercise list'!$C$5:$C$102,0),MATCH(T$5,'Exercise list'!$E$4:$X$4,0)),0)</f>
        <v>0</v>
      </c>
      <c r="U389">
        <f>IFERROR(INDEX('Exercise list'!$E$5:$X$102,MATCH($C389,'Exercise list'!$C$5:$C$102,0),MATCH(U$5,'Exercise list'!$E$4:$X$4,0)),0)</f>
        <v>0</v>
      </c>
      <c r="V389">
        <f>IFERROR(INDEX('Exercise list'!$E$5:$X$102,MATCH($C389,'Exercise list'!$C$5:$C$102,0),MATCH(V$5,'Exercise list'!$E$4:$X$4,0)),0)</f>
        <v>0</v>
      </c>
      <c r="W389">
        <f>IFERROR(INDEX('Exercise list'!$E$5:$X$102,MATCH($C389,'Exercise list'!$C$5:$C$102,0),MATCH(W$5,'Exercise list'!$E$4:$X$4,0)),0)</f>
        <v>0</v>
      </c>
      <c r="X389">
        <f>IFERROR(INDEX('Exercise list'!$E$5:$X$102,MATCH($C389,'Exercise list'!$C$5:$C$102,0),MATCH(X$5,'Exercise list'!$E$4:$X$4,0)),0)</f>
        <v>0</v>
      </c>
      <c r="Y389">
        <f>IFERROR(INDEX('Exercise list'!$E$5:$X$102,MATCH($C389,'Exercise list'!$C$5:$C$102,0),MATCH(Y$5,'Exercise list'!$E$4:$X$4,0)),0)</f>
        <v>0</v>
      </c>
      <c r="Z389">
        <f>IFERROR(INDEX('Exercise list'!$E$5:$X$102,MATCH($C389,'Exercise list'!$C$5:$C$102,0),MATCH(Z$5,'Exercise list'!$E$4:$X$4,0)),0)</f>
        <v>0</v>
      </c>
      <c r="AA389">
        <f>IFERROR(INDEX('Exercise list'!$E$5:$X$102,MATCH($C389,'Exercise list'!$C$5:$C$102,0),MATCH(AA$5,'Exercise list'!$E$4:$X$4,0)),0)</f>
        <v>0</v>
      </c>
      <c r="AB389">
        <f>IFERROR(INDEX('Exercise list'!$E$5:$X$102,MATCH($C389,'Exercise list'!$C$5:$C$102,0),MATCH(AB$5,'Exercise list'!$E$4:$X$4,0)),0)</f>
        <v>0</v>
      </c>
      <c r="AC389">
        <f>IFERROR(INDEX('Exercise list'!$E$5:$X$102,MATCH($C389,'Exercise list'!$C$5:$C$102,0),MATCH(AC$5,'Exercise list'!$E$4:$X$4,0)),0)</f>
        <v>0</v>
      </c>
      <c r="AD389">
        <f>IFERROR(INDEX('Exercise list'!$E$5:$X$102,MATCH($C389,'Exercise list'!$C$5:$C$102,0),MATCH(AD$5,'Exercise list'!$E$4:$X$4,0)),0)</f>
        <v>0</v>
      </c>
      <c r="AE389">
        <f>IFERROR(INDEX('Exercise list'!$E$5:$X$102,MATCH($C389,'Exercise list'!$C$5:$C$102,0),MATCH(AE$5,'Exercise list'!$E$4:$X$4,0)),0)</f>
        <v>0</v>
      </c>
      <c r="AF389">
        <f>IFERROR(INDEX('Exercise list'!$E$5:$X$102,MATCH($C389,'Exercise list'!$C$5:$C$102,0),MATCH(AF$5,'Exercise list'!$E$4:$X$4,0)),0)</f>
        <v>0</v>
      </c>
      <c r="AG389">
        <f>IFERROR(INDEX('Exercise list'!$E$5:$X$102,MATCH($C389,'Exercise list'!$C$5:$C$102,0),MATCH(AG$5,'Exercise list'!$E$4:$X$4,0)),0)</f>
        <v>0</v>
      </c>
      <c r="AH389">
        <f>IFERROR(INDEX('Exercise list'!$E$5:$X$102,MATCH($C389,'Exercise list'!$C$5:$C$102,0),MATCH(AH$5,'Exercise list'!$E$4:$X$4,0)),0)</f>
        <v>0</v>
      </c>
      <c r="AI389">
        <f>IFERROR(INDEX('Exercise list'!$E$5:$X$102,MATCH($C389,'Exercise list'!$C$5:$C$102,0),MATCH(AI$5,'Exercise list'!$E$4:$X$4,0)),0)</f>
        <v>0</v>
      </c>
      <c r="AK389">
        <f>IF(OR($J389=1,COUNTIFS($A$5:$A388,"&gt;="&amp;$A389-1,$A$5:$A388,"&lt;="&amp;$A389,$B$5:$B388,$B389)&gt;0,MIN(1-'Exercise list'!E$2,IF($A389=$A388,AK388,1))-P389&lt;0),-1,MIN(1,IF($A389=$A388,AK388,1)-P389+$D$2))</f>
        <v>1</v>
      </c>
      <c r="AL389">
        <f>IF(OR($J389=1,COUNTIFS($A$5:$A388,"&gt;="&amp;$A389-1,$A$5:$A388,"&lt;="&amp;$A389,$B$5:$B388,$B389)&gt;0,MIN(1-'Exercise list'!F$2,IF($A389=$A388,AL388,1))-Q389&lt;0),-1,MIN(1,IF($A389=$A388,AL388,1)-Q389+$D$2))</f>
        <v>1</v>
      </c>
      <c r="AM389">
        <f>IF(OR($J389=1,COUNTIFS($A$5:$A388,"&gt;="&amp;$A389-1,$A$5:$A388,"&lt;="&amp;$A389,$B$5:$B388,$B389)&gt;0,MIN(1-'Exercise list'!G$2,IF($A389=$A388,AM388,1))-R389&lt;0),-1,MIN(1,IF($A389=$A388,AM388,1)-R389+$D$2))</f>
        <v>1</v>
      </c>
      <c r="AN389">
        <f>IF(OR($J389=1,COUNTIFS($A$5:$A388,"&gt;="&amp;$A389-1,$A$5:$A388,"&lt;="&amp;$A389,$B$5:$B388,$B389)&gt;0,MIN(1-'Exercise list'!H$2,IF($A389=$A388,AN388,1))-S389&lt;0),-1,MIN(1,IF($A389=$A388,AN388,1)-S389+$D$2))</f>
        <v>1</v>
      </c>
      <c r="AO389">
        <f>IF(OR($J389=1,COUNTIFS($A$5:$A388,"&gt;="&amp;$A389-1,$A$5:$A388,"&lt;="&amp;$A389,$B$5:$B388,$B389)&gt;0,MIN(1-'Exercise list'!I$2,IF($A389=$A388,AO388,1))-T389&lt;0),-1,MIN(1,IF($A389=$A388,AO388,1)-T389+$D$2))</f>
        <v>1</v>
      </c>
      <c r="AP389">
        <f>IF(OR($J389=1,COUNTIFS($A$5:$A388,"&gt;="&amp;$A389-1,$A$5:$A388,"&lt;="&amp;$A389,$B$5:$B388,$B389)&gt;0,MIN(1-'Exercise list'!J$2,IF($A389=$A388,AP388,1))-U389&lt;0),-1,MIN(1,IF($A389=$A388,AP388,1)-U389+$D$2))</f>
        <v>1</v>
      </c>
      <c r="AQ389">
        <f>IF(OR($J389=1,COUNTIFS($A$5:$A388,"&gt;="&amp;$A389-1,$A$5:$A388,"&lt;="&amp;$A389,$B$5:$B388,$B389)&gt;0,MIN(1-'Exercise list'!K$2,IF($A389=$A388,AQ388,1))-V389&lt;0),-1,MIN(1,IF($A389=$A388,AQ388,1)-V389+$D$2))</f>
        <v>1</v>
      </c>
      <c r="AR389">
        <f>IF(OR($J389=1,COUNTIFS($A$5:$A388,"&gt;="&amp;$A389-1,$A$5:$A388,"&lt;="&amp;$A389,$B$5:$B388,$B389)&gt;0,MIN(1-'Exercise list'!L$2,IF($A389=$A388,AR388,1))-W389&lt;0),-1,MIN(1,IF($A389=$A388,AR388,1)-W389+$D$2))</f>
        <v>1</v>
      </c>
      <c r="AS389">
        <f>IF(OR($J389=1,COUNTIFS($A$5:$A388,"&gt;="&amp;$A389-1,$A$5:$A388,"&lt;="&amp;$A389,$B$5:$B388,$B389)&gt;0,MIN(1-'Exercise list'!M$2,IF($A389=$A388,AS388,1))-X389&lt;0),-1,MIN(1,IF($A389=$A388,AS388,1)-X389+$D$2))</f>
        <v>1</v>
      </c>
      <c r="AT389">
        <f>IF(OR($J389=1,COUNTIFS($A$5:$A388,"&gt;="&amp;$A389-1,$A$5:$A388,"&lt;="&amp;$A389,$B$5:$B388,$B389)&gt;0,MIN(1-'Exercise list'!N$2,IF($A389=$A388,AT388,1))-Y389&lt;0),-1,MIN(1,IF($A389=$A388,AT388,1)-Y389+$D$2))</f>
        <v>1</v>
      </c>
      <c r="AU389">
        <f>IF(OR($J389=1,COUNTIFS($A$5:$A388,"&gt;="&amp;$A389-1,$A$5:$A388,"&lt;="&amp;$A389,$B$5:$B388,$B389)&gt;0,MIN(1-'Exercise list'!O$2,IF($A389=$A388,AU388,1))-Z389&lt;0),-1,MIN(1,IF($A389=$A388,AU388,1)-Z389+$D$2))</f>
        <v>1</v>
      </c>
      <c r="AV389">
        <f>IF(OR($J389=1,COUNTIFS($A$5:$A388,"&gt;="&amp;$A389-1,$A$5:$A388,"&lt;="&amp;$A389,$B$5:$B388,$B389)&gt;0,MIN(1-'Exercise list'!P$2,IF($A389=$A388,AV388,1))-AA389&lt;0),-1,MIN(1,IF($A389=$A388,AV388,1)-AA389+$D$2))</f>
        <v>1</v>
      </c>
      <c r="AW389">
        <f>IF(OR($J389=1,COUNTIFS($A$5:$A388,"&gt;="&amp;$A389-1,$A$5:$A388,"&lt;="&amp;$A389,$B$5:$B388,$B389)&gt;0,MIN(1-'Exercise list'!Q$2,IF($A389=$A388,AW388,1))-AB389&lt;0),-1,MIN(1,IF($A389=$A388,AW388,1)-AB389+$D$2))</f>
        <v>1</v>
      </c>
      <c r="AX389">
        <f>IF(OR($J389=1,COUNTIFS($A$5:$A388,"&gt;="&amp;$A389-1,$A$5:$A388,"&lt;="&amp;$A389,$B$5:$B388,$B389)&gt;0,MIN(1-'Exercise list'!R$2,IF($A389=$A388,AX388,1))-AC389&lt;0),-1,MIN(1,IF($A389=$A388,AX388,1)-AC389+$D$2))</f>
        <v>1</v>
      </c>
      <c r="AY389">
        <f>IF(OR($J389=1,COUNTIFS($A$5:$A388,"&gt;="&amp;$A389-1,$A$5:$A388,"&lt;="&amp;$A389,$B$5:$B388,$B389)&gt;0,MIN(1-'Exercise list'!S$2,IF($A389=$A388,AY388,1))-AD389&lt;0),-1,MIN(1,IF($A389=$A388,AY388,1)-AD389+$D$2))</f>
        <v>1</v>
      </c>
      <c r="AZ389">
        <f>IF(OR($J389=1,COUNTIFS($A$5:$A388,"&gt;="&amp;$A389-1,$A$5:$A388,"&lt;="&amp;$A389,$B$5:$B388,$B389)&gt;0,MIN(1-'Exercise list'!T$2,IF($A389=$A388,AZ388,1))-AE389&lt;0),-1,MIN(1,IF($A389=$A388,AZ388,1)-AE389+$D$2))</f>
        <v>1</v>
      </c>
      <c r="BA389">
        <f>IF(OR($J389=1,COUNTIFS($A$5:$A388,"&gt;="&amp;$A389-1,$A$5:$A388,"&lt;="&amp;$A389,$B$5:$B388,$B389)&gt;0,MIN(1-'Exercise list'!U$2,IF($A389=$A388,BA388,1))-AF389&lt;0),-1,MIN(1,IF($A389=$A388,BA388,1)-AF389+$D$2))</f>
        <v>1</v>
      </c>
      <c r="BB389">
        <f>IF(OR($J389=1,COUNTIFS($A$5:$A388,"&gt;="&amp;$A389-1,$A$5:$A388,"&lt;="&amp;$A389,$B$5:$B388,$B389)&gt;0,MIN(1-'Exercise list'!V$2,IF($A389=$A388,BB388,1))-AG389&lt;0),-1,MIN(1,IF($A389=$A388,BB388,1)-AG389+$D$2))</f>
        <v>1</v>
      </c>
      <c r="BC389">
        <f>IF(OR($J389=1,COUNTIFS($A$5:$A388,"&gt;="&amp;$A389-1,$A$5:$A388,"&lt;="&amp;$A389,$B$5:$B388,$B389)&gt;0,MIN(1-'Exercise list'!W$2,IF($A389=$A388,BC388,1))-AH389&lt;0),-1,MIN(1,IF($A389=$A388,BC388,1)-AH389+$D$2))</f>
        <v>1</v>
      </c>
      <c r="BD389">
        <f>IF(OR($J389=1,COUNTIFS($A$5:$A388,"&gt;="&amp;$A389-1,$A$5:$A388,"&lt;="&amp;$A389,$B$5:$B388,$B389)&gt;0,MIN(1-'Exercise list'!X$2,IF($A389=$A388,BD388,1))-AI389&lt;0),-1,MIN(1,IF($A389=$A388,BD388,1)-AI389+$D$2))</f>
        <v>1</v>
      </c>
      <c r="BF389" s="16">
        <f t="shared" si="277"/>
        <v>0.19596031081758858</v>
      </c>
      <c r="BG389" s="16">
        <f t="shared" si="278"/>
        <v>0.21844636935459236</v>
      </c>
      <c r="BH389" s="16">
        <f t="shared" si="279"/>
        <v>0.14609696635987124</v>
      </c>
      <c r="BI389" s="16">
        <f t="shared" si="280"/>
        <v>0.13198015366034541</v>
      </c>
      <c r="BJ389" s="16">
        <f t="shared" si="281"/>
        <v>8.3367914198418713E-2</v>
      </c>
      <c r="BK389" s="16">
        <f t="shared" si="282"/>
        <v>0.10640640223148412</v>
      </c>
      <c r="BL389" s="16">
        <f t="shared" si="283"/>
        <v>0.21963504743569431</v>
      </c>
      <c r="BM389" s="16">
        <f t="shared" si="284"/>
        <v>3.8988008374820568E-3</v>
      </c>
      <c r="BN389" s="16">
        <f t="shared" si="285"/>
        <v>0.14537706087090876</v>
      </c>
      <c r="BO389" s="16">
        <f t="shared" si="286"/>
        <v>0.29209790661993401</v>
      </c>
      <c r="BP389" s="16">
        <f t="shared" si="287"/>
        <v>0.31584545163401867</v>
      </c>
      <c r="BQ389" s="16">
        <f t="shared" si="288"/>
        <v>0.1000007994126096</v>
      </c>
      <c r="BR389" s="16">
        <f t="shared" si="289"/>
        <v>0.13164487759885393</v>
      </c>
      <c r="BS389" s="16">
        <f t="shared" si="290"/>
        <v>2.9803550189863123E-2</v>
      </c>
      <c r="BT389" s="16">
        <f t="shared" si="291"/>
        <v>0.13492040904978705</v>
      </c>
      <c r="BU389" s="16">
        <f t="shared" si="292"/>
        <v>0.11703687414398131</v>
      </c>
      <c r="BV389" s="16">
        <f t="shared" si="293"/>
        <v>0.14633353213781661</v>
      </c>
      <c r="BW389" s="16">
        <f t="shared" si="294"/>
        <v>7.5588015111767173E-2</v>
      </c>
      <c r="BX389" s="16">
        <f t="shared" si="295"/>
        <v>8.0345659937185704E-2</v>
      </c>
      <c r="BY389" s="16">
        <f t="shared" si="296"/>
        <v>5.9014643151272549E-2</v>
      </c>
      <c r="CA389" s="16" t="str">
        <f t="shared" si="273"/>
        <v/>
      </c>
      <c r="CB389" s="16" t="str">
        <f t="shared" si="254"/>
        <v/>
      </c>
      <c r="CC389" s="16" t="str">
        <f t="shared" si="255"/>
        <v/>
      </c>
      <c r="CD389" s="16" t="str">
        <f t="shared" si="256"/>
        <v/>
      </c>
      <c r="CE389" s="16" t="str">
        <f t="shared" si="257"/>
        <v/>
      </c>
      <c r="CF389" s="16" t="str">
        <f t="shared" si="258"/>
        <v/>
      </c>
      <c r="CG389" s="16" t="str">
        <f t="shared" si="259"/>
        <v/>
      </c>
      <c r="CH389" s="16" t="str">
        <f t="shared" si="260"/>
        <v/>
      </c>
      <c r="CI389" s="16" t="str">
        <f t="shared" si="261"/>
        <v/>
      </c>
      <c r="CJ389" s="16" t="str">
        <f t="shared" si="262"/>
        <v/>
      </c>
      <c r="CK389" s="16" t="str">
        <f t="shared" si="263"/>
        <v/>
      </c>
      <c r="CL389" s="16" t="str">
        <f t="shared" si="264"/>
        <v/>
      </c>
      <c r="CM389" s="16" t="str">
        <f t="shared" si="265"/>
        <v/>
      </c>
      <c r="CN389" s="16" t="str">
        <f t="shared" si="266"/>
        <v/>
      </c>
      <c r="CO389" s="16" t="str">
        <f t="shared" si="267"/>
        <v/>
      </c>
      <c r="CP389" s="16" t="str">
        <f t="shared" si="268"/>
        <v/>
      </c>
      <c r="CQ389" s="16" t="str">
        <f t="shared" si="269"/>
        <v/>
      </c>
      <c r="CR389" s="16" t="str">
        <f t="shared" si="270"/>
        <v/>
      </c>
      <c r="CS389" s="16" t="str">
        <f t="shared" si="271"/>
        <v/>
      </c>
      <c r="CT389" s="16" t="str">
        <f t="shared" si="272"/>
        <v/>
      </c>
    </row>
    <row r="390" spans="1:99" x14ac:dyDescent="0.25">
      <c r="A390" s="13"/>
      <c r="B390" s="14"/>
      <c r="C390" s="15" t="str" cm="1">
        <f t="array" ref="C390">IF(B390="","",INDEX('Exercise list'!$C$5:$C$102,B390))</f>
        <v/>
      </c>
      <c r="D390" s="12" t="str">
        <f t="shared" si="274"/>
        <v/>
      </c>
      <c r="E390" s="107" t="str">
        <f t="shared" si="297"/>
        <v/>
      </c>
      <c r="F390" s="63" t="str" cm="1">
        <f t="array" ref="F390">IF(B390="","",0.1+IFERROR(INDEX($F$6:$F389,SUMPRODUCT(MAX(ROW($C$6:$C389)*($C390=$C$6:$C389))-ROW($A$5)))*0.9^($A390-INDEX($A$6:A389,SUMPRODUCT(MAX(ROW($C$6:$C389)*($C390=$C$6:$C389))-ROW($A$5)))),0))</f>
        <v/>
      </c>
      <c r="G390" s="64" t="e">
        <f>INDEX('Exercise list'!$Y$5:$Y$102,MATCH(C390,'Exercise list'!$C$5:$C$102,0))</f>
        <v>#N/A</v>
      </c>
      <c r="H390" s="115">
        <f t="shared" si="275"/>
        <v>0</v>
      </c>
      <c r="I390" s="6">
        <f t="shared" si="276"/>
        <v>5</v>
      </c>
      <c r="J390" s="6" t="str" cm="1">
        <f t="array" ref="J390">IF(B390="","",INDEX('Exercise list'!$D$5:$D$102,B390))</f>
        <v/>
      </c>
      <c r="K390" s="12"/>
      <c r="L390" s="74" t="str" cm="1">
        <f t="array" ref="L390">IF(K390="","",INDEX('Exercise list'!$C$5:$C$102,K390))</f>
        <v/>
      </c>
      <c r="M390" s="6"/>
      <c r="N390" s="75" t="str" cm="1">
        <f t="array" ref="N390">IF(M390="","",INDEX('Exercise list'!$C$5:$C$102,M390))</f>
        <v/>
      </c>
      <c r="P390">
        <f>IFERROR(INDEX('Exercise list'!$E$5:$X$102,MATCH($C390,'Exercise list'!$C$5:$C$102,0),MATCH(P$5,'Exercise list'!$E$4:$X$4,0)),0)</f>
        <v>0</v>
      </c>
      <c r="Q390">
        <f>IFERROR(INDEX('Exercise list'!$E$5:$X$102,MATCH($C390,'Exercise list'!$C$5:$C$102,0),MATCH(Q$5,'Exercise list'!$E$4:$X$4,0)),0)</f>
        <v>0</v>
      </c>
      <c r="R390">
        <f>IFERROR(INDEX('Exercise list'!$E$5:$X$102,MATCH($C390,'Exercise list'!$C$5:$C$102,0),MATCH(R$5,'Exercise list'!$E$4:$X$4,0)),0)</f>
        <v>0</v>
      </c>
      <c r="S390">
        <f>IFERROR(INDEX('Exercise list'!$E$5:$X$102,MATCH($C390,'Exercise list'!$C$5:$C$102,0),MATCH(S$5,'Exercise list'!$E$4:$X$4,0)),0)</f>
        <v>0</v>
      </c>
      <c r="T390">
        <f>IFERROR(INDEX('Exercise list'!$E$5:$X$102,MATCH($C390,'Exercise list'!$C$5:$C$102,0),MATCH(T$5,'Exercise list'!$E$4:$X$4,0)),0)</f>
        <v>0</v>
      </c>
      <c r="U390">
        <f>IFERROR(INDEX('Exercise list'!$E$5:$X$102,MATCH($C390,'Exercise list'!$C$5:$C$102,0),MATCH(U$5,'Exercise list'!$E$4:$X$4,0)),0)</f>
        <v>0</v>
      </c>
      <c r="V390">
        <f>IFERROR(INDEX('Exercise list'!$E$5:$X$102,MATCH($C390,'Exercise list'!$C$5:$C$102,0),MATCH(V$5,'Exercise list'!$E$4:$X$4,0)),0)</f>
        <v>0</v>
      </c>
      <c r="W390">
        <f>IFERROR(INDEX('Exercise list'!$E$5:$X$102,MATCH($C390,'Exercise list'!$C$5:$C$102,0),MATCH(W$5,'Exercise list'!$E$4:$X$4,0)),0)</f>
        <v>0</v>
      </c>
      <c r="X390">
        <f>IFERROR(INDEX('Exercise list'!$E$5:$X$102,MATCH($C390,'Exercise list'!$C$5:$C$102,0),MATCH(X$5,'Exercise list'!$E$4:$X$4,0)),0)</f>
        <v>0</v>
      </c>
      <c r="Y390">
        <f>IFERROR(INDEX('Exercise list'!$E$5:$X$102,MATCH($C390,'Exercise list'!$C$5:$C$102,0),MATCH(Y$5,'Exercise list'!$E$4:$X$4,0)),0)</f>
        <v>0</v>
      </c>
      <c r="Z390">
        <f>IFERROR(INDEX('Exercise list'!$E$5:$X$102,MATCH($C390,'Exercise list'!$C$5:$C$102,0),MATCH(Z$5,'Exercise list'!$E$4:$X$4,0)),0)</f>
        <v>0</v>
      </c>
      <c r="AA390">
        <f>IFERROR(INDEX('Exercise list'!$E$5:$X$102,MATCH($C390,'Exercise list'!$C$5:$C$102,0),MATCH(AA$5,'Exercise list'!$E$4:$X$4,0)),0)</f>
        <v>0</v>
      </c>
      <c r="AB390">
        <f>IFERROR(INDEX('Exercise list'!$E$5:$X$102,MATCH($C390,'Exercise list'!$C$5:$C$102,0),MATCH(AB$5,'Exercise list'!$E$4:$X$4,0)),0)</f>
        <v>0</v>
      </c>
      <c r="AC390">
        <f>IFERROR(INDEX('Exercise list'!$E$5:$X$102,MATCH($C390,'Exercise list'!$C$5:$C$102,0),MATCH(AC$5,'Exercise list'!$E$4:$X$4,0)),0)</f>
        <v>0</v>
      </c>
      <c r="AD390">
        <f>IFERROR(INDEX('Exercise list'!$E$5:$X$102,MATCH($C390,'Exercise list'!$C$5:$C$102,0),MATCH(AD$5,'Exercise list'!$E$4:$X$4,0)),0)</f>
        <v>0</v>
      </c>
      <c r="AE390">
        <f>IFERROR(INDEX('Exercise list'!$E$5:$X$102,MATCH($C390,'Exercise list'!$C$5:$C$102,0),MATCH(AE$5,'Exercise list'!$E$4:$X$4,0)),0)</f>
        <v>0</v>
      </c>
      <c r="AF390">
        <f>IFERROR(INDEX('Exercise list'!$E$5:$X$102,MATCH($C390,'Exercise list'!$C$5:$C$102,0),MATCH(AF$5,'Exercise list'!$E$4:$X$4,0)),0)</f>
        <v>0</v>
      </c>
      <c r="AG390">
        <f>IFERROR(INDEX('Exercise list'!$E$5:$X$102,MATCH($C390,'Exercise list'!$C$5:$C$102,0),MATCH(AG$5,'Exercise list'!$E$4:$X$4,0)),0)</f>
        <v>0</v>
      </c>
      <c r="AH390">
        <f>IFERROR(INDEX('Exercise list'!$E$5:$X$102,MATCH($C390,'Exercise list'!$C$5:$C$102,0),MATCH(AH$5,'Exercise list'!$E$4:$X$4,0)),0)</f>
        <v>0</v>
      </c>
      <c r="AI390">
        <f>IFERROR(INDEX('Exercise list'!$E$5:$X$102,MATCH($C390,'Exercise list'!$C$5:$C$102,0),MATCH(AI$5,'Exercise list'!$E$4:$X$4,0)),0)</f>
        <v>0</v>
      </c>
      <c r="AK390">
        <f>IF(OR($J390=1,COUNTIFS($A$5:$A389,"&gt;="&amp;$A390-1,$A$5:$A389,"&lt;="&amp;$A390,$B$5:$B389,$B390)&gt;0,MIN(1-'Exercise list'!E$2,IF($A390=$A389,AK389,1))-P390&lt;0),-1,MIN(1,IF($A390=$A389,AK389,1)-P390+$D$2))</f>
        <v>1</v>
      </c>
      <c r="AL390">
        <f>IF(OR($J390=1,COUNTIFS($A$5:$A389,"&gt;="&amp;$A390-1,$A$5:$A389,"&lt;="&amp;$A390,$B$5:$B389,$B390)&gt;0,MIN(1-'Exercise list'!F$2,IF($A390=$A389,AL389,1))-Q390&lt;0),-1,MIN(1,IF($A390=$A389,AL389,1)-Q390+$D$2))</f>
        <v>1</v>
      </c>
      <c r="AM390">
        <f>IF(OR($J390=1,COUNTIFS($A$5:$A389,"&gt;="&amp;$A390-1,$A$5:$A389,"&lt;="&amp;$A390,$B$5:$B389,$B390)&gt;0,MIN(1-'Exercise list'!G$2,IF($A390=$A389,AM389,1))-R390&lt;0),-1,MIN(1,IF($A390=$A389,AM389,1)-R390+$D$2))</f>
        <v>1</v>
      </c>
      <c r="AN390">
        <f>IF(OR($J390=1,COUNTIFS($A$5:$A389,"&gt;="&amp;$A390-1,$A$5:$A389,"&lt;="&amp;$A390,$B$5:$B389,$B390)&gt;0,MIN(1-'Exercise list'!H$2,IF($A390=$A389,AN389,1))-S390&lt;0),-1,MIN(1,IF($A390=$A389,AN389,1)-S390+$D$2))</f>
        <v>1</v>
      </c>
      <c r="AO390">
        <f>IF(OR($J390=1,COUNTIFS($A$5:$A389,"&gt;="&amp;$A390-1,$A$5:$A389,"&lt;="&amp;$A390,$B$5:$B389,$B390)&gt;0,MIN(1-'Exercise list'!I$2,IF($A390=$A389,AO389,1))-T390&lt;0),-1,MIN(1,IF($A390=$A389,AO389,1)-T390+$D$2))</f>
        <v>1</v>
      </c>
      <c r="AP390">
        <f>IF(OR($J390=1,COUNTIFS($A$5:$A389,"&gt;="&amp;$A390-1,$A$5:$A389,"&lt;="&amp;$A390,$B$5:$B389,$B390)&gt;0,MIN(1-'Exercise list'!J$2,IF($A390=$A389,AP389,1))-U390&lt;0),-1,MIN(1,IF($A390=$A389,AP389,1)-U390+$D$2))</f>
        <v>1</v>
      </c>
      <c r="AQ390">
        <f>IF(OR($J390=1,COUNTIFS($A$5:$A389,"&gt;="&amp;$A390-1,$A$5:$A389,"&lt;="&amp;$A390,$B$5:$B389,$B390)&gt;0,MIN(1-'Exercise list'!K$2,IF($A390=$A389,AQ389,1))-V390&lt;0),-1,MIN(1,IF($A390=$A389,AQ389,1)-V390+$D$2))</f>
        <v>1</v>
      </c>
      <c r="AR390">
        <f>IF(OR($J390=1,COUNTIFS($A$5:$A389,"&gt;="&amp;$A390-1,$A$5:$A389,"&lt;="&amp;$A390,$B$5:$B389,$B390)&gt;0,MIN(1-'Exercise list'!L$2,IF($A390=$A389,AR389,1))-W390&lt;0),-1,MIN(1,IF($A390=$A389,AR389,1)-W390+$D$2))</f>
        <v>1</v>
      </c>
      <c r="AS390">
        <f>IF(OR($J390=1,COUNTIFS($A$5:$A389,"&gt;="&amp;$A390-1,$A$5:$A389,"&lt;="&amp;$A390,$B$5:$B389,$B390)&gt;0,MIN(1-'Exercise list'!M$2,IF($A390=$A389,AS389,1))-X390&lt;0),-1,MIN(1,IF($A390=$A389,AS389,1)-X390+$D$2))</f>
        <v>1</v>
      </c>
      <c r="AT390">
        <f>IF(OR($J390=1,COUNTIFS($A$5:$A389,"&gt;="&amp;$A390-1,$A$5:$A389,"&lt;="&amp;$A390,$B$5:$B389,$B390)&gt;0,MIN(1-'Exercise list'!N$2,IF($A390=$A389,AT389,1))-Y390&lt;0),-1,MIN(1,IF($A390=$A389,AT389,1)-Y390+$D$2))</f>
        <v>1</v>
      </c>
      <c r="AU390">
        <f>IF(OR($J390=1,COUNTIFS($A$5:$A389,"&gt;="&amp;$A390-1,$A$5:$A389,"&lt;="&amp;$A390,$B$5:$B389,$B390)&gt;0,MIN(1-'Exercise list'!O$2,IF($A390=$A389,AU389,1))-Z390&lt;0),-1,MIN(1,IF($A390=$A389,AU389,1)-Z390+$D$2))</f>
        <v>1</v>
      </c>
      <c r="AV390">
        <f>IF(OR($J390=1,COUNTIFS($A$5:$A389,"&gt;="&amp;$A390-1,$A$5:$A389,"&lt;="&amp;$A390,$B$5:$B389,$B390)&gt;0,MIN(1-'Exercise list'!P$2,IF($A390=$A389,AV389,1))-AA390&lt;0),-1,MIN(1,IF($A390=$A389,AV389,1)-AA390+$D$2))</f>
        <v>1</v>
      </c>
      <c r="AW390">
        <f>IF(OR($J390=1,COUNTIFS($A$5:$A389,"&gt;="&amp;$A390-1,$A$5:$A389,"&lt;="&amp;$A390,$B$5:$B389,$B390)&gt;0,MIN(1-'Exercise list'!Q$2,IF($A390=$A389,AW389,1))-AB390&lt;0),-1,MIN(1,IF($A390=$A389,AW389,1)-AB390+$D$2))</f>
        <v>1</v>
      </c>
      <c r="AX390">
        <f>IF(OR($J390=1,COUNTIFS($A$5:$A389,"&gt;="&amp;$A390-1,$A$5:$A389,"&lt;="&amp;$A390,$B$5:$B389,$B390)&gt;0,MIN(1-'Exercise list'!R$2,IF($A390=$A389,AX389,1))-AC390&lt;0),-1,MIN(1,IF($A390=$A389,AX389,1)-AC390+$D$2))</f>
        <v>1</v>
      </c>
      <c r="AY390">
        <f>IF(OR($J390=1,COUNTIFS($A$5:$A389,"&gt;="&amp;$A390-1,$A$5:$A389,"&lt;="&amp;$A390,$B$5:$B389,$B390)&gt;0,MIN(1-'Exercise list'!S$2,IF($A390=$A389,AY389,1))-AD390&lt;0),-1,MIN(1,IF($A390=$A389,AY389,1)-AD390+$D$2))</f>
        <v>1</v>
      </c>
      <c r="AZ390">
        <f>IF(OR($J390=1,COUNTIFS($A$5:$A389,"&gt;="&amp;$A390-1,$A$5:$A389,"&lt;="&amp;$A390,$B$5:$B389,$B390)&gt;0,MIN(1-'Exercise list'!T$2,IF($A390=$A389,AZ389,1))-AE390&lt;0),-1,MIN(1,IF($A390=$A389,AZ389,1)-AE390+$D$2))</f>
        <v>1</v>
      </c>
      <c r="BA390">
        <f>IF(OR($J390=1,COUNTIFS($A$5:$A389,"&gt;="&amp;$A390-1,$A$5:$A389,"&lt;="&amp;$A390,$B$5:$B389,$B390)&gt;0,MIN(1-'Exercise list'!U$2,IF($A390=$A389,BA389,1))-AF390&lt;0),-1,MIN(1,IF($A390=$A389,BA389,1)-AF390+$D$2))</f>
        <v>1</v>
      </c>
      <c r="BB390">
        <f>IF(OR($J390=1,COUNTIFS($A$5:$A389,"&gt;="&amp;$A390-1,$A$5:$A389,"&lt;="&amp;$A390,$B$5:$B389,$B390)&gt;0,MIN(1-'Exercise list'!V$2,IF($A390=$A389,BB389,1))-AG390&lt;0),-1,MIN(1,IF($A390=$A389,BB389,1)-AG390+$D$2))</f>
        <v>1</v>
      </c>
      <c r="BC390">
        <f>IF(OR($J390=1,COUNTIFS($A$5:$A389,"&gt;="&amp;$A390-1,$A$5:$A389,"&lt;="&amp;$A390,$B$5:$B389,$B390)&gt;0,MIN(1-'Exercise list'!W$2,IF($A390=$A389,BC389,1))-AH390&lt;0),-1,MIN(1,IF($A390=$A389,BC389,1)-AH390+$D$2))</f>
        <v>1</v>
      </c>
      <c r="BD390">
        <f>IF(OR($J390=1,COUNTIFS($A$5:$A389,"&gt;="&amp;$A390-1,$A$5:$A389,"&lt;="&amp;$A390,$B$5:$B389,$B390)&gt;0,MIN(1-'Exercise list'!X$2,IF($A390=$A389,BD389,1))-AI390&lt;0),-1,MIN(1,IF($A390=$A389,BD389,1)-AI390+$D$2))</f>
        <v>1</v>
      </c>
      <c r="BF390" s="16">
        <f t="shared" si="277"/>
        <v>0.19596031081758858</v>
      </c>
      <c r="BG390" s="16">
        <f t="shared" si="278"/>
        <v>0.21844636935459236</v>
      </c>
      <c r="BH390" s="16">
        <f t="shared" si="279"/>
        <v>0.14609696635987124</v>
      </c>
      <c r="BI390" s="16">
        <f t="shared" si="280"/>
        <v>0.13198015366034541</v>
      </c>
      <c r="BJ390" s="16">
        <f t="shared" si="281"/>
        <v>8.3367914198418713E-2</v>
      </c>
      <c r="BK390" s="16">
        <f t="shared" si="282"/>
        <v>0.10640640223148412</v>
      </c>
      <c r="BL390" s="16">
        <f t="shared" si="283"/>
        <v>0.21963504743569431</v>
      </c>
      <c r="BM390" s="16">
        <f t="shared" si="284"/>
        <v>3.8988008374820568E-3</v>
      </c>
      <c r="BN390" s="16">
        <f t="shared" si="285"/>
        <v>0.14537706087090876</v>
      </c>
      <c r="BO390" s="16">
        <f t="shared" si="286"/>
        <v>0.29209790661993401</v>
      </c>
      <c r="BP390" s="16">
        <f t="shared" si="287"/>
        <v>0.31584545163401867</v>
      </c>
      <c r="BQ390" s="16">
        <f t="shared" si="288"/>
        <v>0.1000007994126096</v>
      </c>
      <c r="BR390" s="16">
        <f t="shared" si="289"/>
        <v>0.13164487759885393</v>
      </c>
      <c r="BS390" s="16">
        <f t="shared" si="290"/>
        <v>2.9803550189863123E-2</v>
      </c>
      <c r="BT390" s="16">
        <f t="shared" si="291"/>
        <v>0.13492040904978705</v>
      </c>
      <c r="BU390" s="16">
        <f t="shared" si="292"/>
        <v>0.11703687414398131</v>
      </c>
      <c r="BV390" s="16">
        <f t="shared" si="293"/>
        <v>0.14633353213781661</v>
      </c>
      <c r="BW390" s="16">
        <f t="shared" si="294"/>
        <v>7.5588015111767173E-2</v>
      </c>
      <c r="BX390" s="16">
        <f t="shared" si="295"/>
        <v>8.0345659937185704E-2</v>
      </c>
      <c r="BY390" s="16">
        <f t="shared" si="296"/>
        <v>5.9014643151272549E-2</v>
      </c>
      <c r="CA390" s="16" t="str">
        <f t="shared" si="273"/>
        <v/>
      </c>
      <c r="CB390" s="16" t="str">
        <f t="shared" ref="CB390:CB453" si="298">IF($A390="","",MAX(0,CB$2/SUM($CA$2:$CT$2)*SUM($BF390:$BY390)-BG390))</f>
        <v/>
      </c>
      <c r="CC390" s="16" t="str">
        <f t="shared" ref="CC390:CC453" si="299">IF($A390="","",MAX(0,CC$2/SUM($CA$2:$CT$2)*SUM($BF390:$BY390)-BH390))</f>
        <v/>
      </c>
      <c r="CD390" s="16" t="str">
        <f t="shared" ref="CD390:CD453" si="300">IF($A390="","",MAX(0,CD$2/SUM($CA$2:$CT$2)*SUM($BF390:$BY390)-BI390))</f>
        <v/>
      </c>
      <c r="CE390" s="16" t="str">
        <f t="shared" ref="CE390:CE453" si="301">IF($A390="","",MAX(0,CE$2/SUM($CA$2:$CT$2)*SUM($BF390:$BY390)-BJ390))</f>
        <v/>
      </c>
      <c r="CF390" s="16" t="str">
        <f t="shared" ref="CF390:CF453" si="302">IF($A390="","",MAX(0,CF$2/SUM($CA$2:$CT$2)*SUM($BF390:$BY390)-BK390))</f>
        <v/>
      </c>
      <c r="CG390" s="16" t="str">
        <f t="shared" ref="CG390:CG453" si="303">IF($A390="","",MAX(0,CG$2/SUM($CA$2:$CT$2)*SUM($BF390:$BY390)-BL390))</f>
        <v/>
      </c>
      <c r="CH390" s="16" t="str">
        <f t="shared" ref="CH390:CH453" si="304">IF($A390="","",MAX(0,CH$2/SUM($CA$2:$CT$2)*SUM($BF390:$BY390)-BM390))</f>
        <v/>
      </c>
      <c r="CI390" s="16" t="str">
        <f t="shared" ref="CI390:CI453" si="305">IF($A390="","",MAX(0,CI$2/SUM($CA$2:$CT$2)*SUM($BF390:$BY390)-BN390))</f>
        <v/>
      </c>
      <c r="CJ390" s="16" t="str">
        <f t="shared" ref="CJ390:CJ453" si="306">IF($A390="","",MAX(0,CJ$2/SUM($CA$2:$CT$2)*SUM($BF390:$BY390)-BO390))</f>
        <v/>
      </c>
      <c r="CK390" s="16" t="str">
        <f t="shared" ref="CK390:CK453" si="307">IF($A390="","",MAX(0,CK$2/SUM($CA$2:$CT$2)*SUM($BF390:$BY390)-BP390))</f>
        <v/>
      </c>
      <c r="CL390" s="16" t="str">
        <f t="shared" ref="CL390:CL453" si="308">IF($A390="","",MAX(0,CL$2/SUM($CA$2:$CT$2)*SUM($BF390:$BY390)-BQ390))</f>
        <v/>
      </c>
      <c r="CM390" s="16" t="str">
        <f t="shared" ref="CM390:CM453" si="309">IF($A390="","",MAX(0,CM$2/SUM($CA$2:$CT$2)*SUM($BF390:$BY390)-BR390))</f>
        <v/>
      </c>
      <c r="CN390" s="16" t="str">
        <f t="shared" ref="CN390:CN453" si="310">IF($A390="","",MAX(0,CN$2/SUM($CA$2:$CT$2)*SUM($BF390:$BY390)-BS390))</f>
        <v/>
      </c>
      <c r="CO390" s="16" t="str">
        <f t="shared" ref="CO390:CO453" si="311">IF($A390="","",MAX(0,CO$2/SUM($CA$2:$CT$2)*SUM($BF390:$BY390)-BT390))</f>
        <v/>
      </c>
      <c r="CP390" s="16" t="str">
        <f t="shared" ref="CP390:CP453" si="312">IF($A390="","",MAX(0,CP$2/SUM($CA$2:$CT$2)*SUM($BF390:$BY390)-BU390))</f>
        <v/>
      </c>
      <c r="CQ390" s="16" t="str">
        <f t="shared" ref="CQ390:CQ453" si="313">IF($A390="","",MAX(0,CQ$2/SUM($CA$2:$CT$2)*SUM($BF390:$BY390)-BV390))</f>
        <v/>
      </c>
      <c r="CR390" s="16" t="str">
        <f t="shared" ref="CR390:CR453" si="314">IF($A390="","",MAX(0,CR$2/SUM($CA$2:$CT$2)*SUM($BF390:$BY390)-BW390))</f>
        <v/>
      </c>
      <c r="CS390" s="16" t="str">
        <f t="shared" ref="CS390:CS453" si="315">IF($A390="","",MAX(0,CS$2/SUM($CA$2:$CT$2)*SUM($BF390:$BY390)-BX390))</f>
        <v/>
      </c>
      <c r="CT390" s="16" t="str">
        <f t="shared" ref="CT390:CT453" si="316">IF($A390="","",MAX(0,CT$2/SUM($CA$2:$CT$2)*SUM($BF390:$BY390)-BY390))</f>
        <v/>
      </c>
    </row>
    <row r="391" spans="1:99" x14ac:dyDescent="0.25">
      <c r="A391" s="13"/>
      <c r="B391" s="14"/>
      <c r="C391" s="15" t="str" cm="1">
        <f t="array" ref="C391">IF(B391="","",INDEX('Exercise list'!$C$5:$C$102,B391))</f>
        <v/>
      </c>
      <c r="D391" s="12" t="str">
        <f t="shared" si="274"/>
        <v/>
      </c>
      <c r="E391" s="107" t="str">
        <f t="shared" si="297"/>
        <v/>
      </c>
      <c r="F391" s="63" t="str" cm="1">
        <f t="array" ref="F391">IF(B391="","",0.1+IFERROR(INDEX($F$6:$F390,SUMPRODUCT(MAX(ROW($C$6:$C390)*($C391=$C$6:$C390))-ROW($A$5)))*0.9^($A391-INDEX($A$6:A390,SUMPRODUCT(MAX(ROW($C$6:$C390)*($C391=$C$6:$C390))-ROW($A$5)))),0))</f>
        <v/>
      </c>
      <c r="G391" s="64" t="e">
        <f>INDEX('Exercise list'!$Y$5:$Y$102,MATCH(C391,'Exercise list'!$C$5:$C$102,0))</f>
        <v>#N/A</v>
      </c>
      <c r="H391" s="115">
        <f t="shared" si="275"/>
        <v>0</v>
      </c>
      <c r="I391" s="6">
        <f t="shared" si="276"/>
        <v>5</v>
      </c>
      <c r="J391" s="6" t="str" cm="1">
        <f t="array" ref="J391">IF(B391="","",INDEX('Exercise list'!$D$5:$D$102,B391))</f>
        <v/>
      </c>
      <c r="K391" s="12"/>
      <c r="L391" s="74" t="str" cm="1">
        <f t="array" ref="L391">IF(K391="","",INDEX('Exercise list'!$C$5:$C$102,K391))</f>
        <v/>
      </c>
      <c r="M391" s="6"/>
      <c r="N391" s="75" t="str" cm="1">
        <f t="array" ref="N391">IF(M391="","",INDEX('Exercise list'!$C$5:$C$102,M391))</f>
        <v/>
      </c>
      <c r="P391">
        <f>IFERROR(INDEX('Exercise list'!$E$5:$X$102,MATCH($C391,'Exercise list'!$C$5:$C$102,0),MATCH(P$5,'Exercise list'!$E$4:$X$4,0)),0)</f>
        <v>0</v>
      </c>
      <c r="Q391">
        <f>IFERROR(INDEX('Exercise list'!$E$5:$X$102,MATCH($C391,'Exercise list'!$C$5:$C$102,0),MATCH(Q$5,'Exercise list'!$E$4:$X$4,0)),0)</f>
        <v>0</v>
      </c>
      <c r="R391">
        <f>IFERROR(INDEX('Exercise list'!$E$5:$X$102,MATCH($C391,'Exercise list'!$C$5:$C$102,0),MATCH(R$5,'Exercise list'!$E$4:$X$4,0)),0)</f>
        <v>0</v>
      </c>
      <c r="S391">
        <f>IFERROR(INDEX('Exercise list'!$E$5:$X$102,MATCH($C391,'Exercise list'!$C$5:$C$102,0),MATCH(S$5,'Exercise list'!$E$4:$X$4,0)),0)</f>
        <v>0</v>
      </c>
      <c r="T391">
        <f>IFERROR(INDEX('Exercise list'!$E$5:$X$102,MATCH($C391,'Exercise list'!$C$5:$C$102,0),MATCH(T$5,'Exercise list'!$E$4:$X$4,0)),0)</f>
        <v>0</v>
      </c>
      <c r="U391">
        <f>IFERROR(INDEX('Exercise list'!$E$5:$X$102,MATCH($C391,'Exercise list'!$C$5:$C$102,0),MATCH(U$5,'Exercise list'!$E$4:$X$4,0)),0)</f>
        <v>0</v>
      </c>
      <c r="V391">
        <f>IFERROR(INDEX('Exercise list'!$E$5:$X$102,MATCH($C391,'Exercise list'!$C$5:$C$102,0),MATCH(V$5,'Exercise list'!$E$4:$X$4,0)),0)</f>
        <v>0</v>
      </c>
      <c r="W391">
        <f>IFERROR(INDEX('Exercise list'!$E$5:$X$102,MATCH($C391,'Exercise list'!$C$5:$C$102,0),MATCH(W$5,'Exercise list'!$E$4:$X$4,0)),0)</f>
        <v>0</v>
      </c>
      <c r="X391">
        <f>IFERROR(INDEX('Exercise list'!$E$5:$X$102,MATCH($C391,'Exercise list'!$C$5:$C$102,0),MATCH(X$5,'Exercise list'!$E$4:$X$4,0)),0)</f>
        <v>0</v>
      </c>
      <c r="Y391">
        <f>IFERROR(INDEX('Exercise list'!$E$5:$X$102,MATCH($C391,'Exercise list'!$C$5:$C$102,0),MATCH(Y$5,'Exercise list'!$E$4:$X$4,0)),0)</f>
        <v>0</v>
      </c>
      <c r="Z391">
        <f>IFERROR(INDEX('Exercise list'!$E$5:$X$102,MATCH($C391,'Exercise list'!$C$5:$C$102,0),MATCH(Z$5,'Exercise list'!$E$4:$X$4,0)),0)</f>
        <v>0</v>
      </c>
      <c r="AA391">
        <f>IFERROR(INDEX('Exercise list'!$E$5:$X$102,MATCH($C391,'Exercise list'!$C$5:$C$102,0),MATCH(AA$5,'Exercise list'!$E$4:$X$4,0)),0)</f>
        <v>0</v>
      </c>
      <c r="AB391">
        <f>IFERROR(INDEX('Exercise list'!$E$5:$X$102,MATCH($C391,'Exercise list'!$C$5:$C$102,0),MATCH(AB$5,'Exercise list'!$E$4:$X$4,0)),0)</f>
        <v>0</v>
      </c>
      <c r="AC391">
        <f>IFERROR(INDEX('Exercise list'!$E$5:$X$102,MATCH($C391,'Exercise list'!$C$5:$C$102,0),MATCH(AC$5,'Exercise list'!$E$4:$X$4,0)),0)</f>
        <v>0</v>
      </c>
      <c r="AD391">
        <f>IFERROR(INDEX('Exercise list'!$E$5:$X$102,MATCH($C391,'Exercise list'!$C$5:$C$102,0),MATCH(AD$5,'Exercise list'!$E$4:$X$4,0)),0)</f>
        <v>0</v>
      </c>
      <c r="AE391">
        <f>IFERROR(INDEX('Exercise list'!$E$5:$X$102,MATCH($C391,'Exercise list'!$C$5:$C$102,0),MATCH(AE$5,'Exercise list'!$E$4:$X$4,0)),0)</f>
        <v>0</v>
      </c>
      <c r="AF391">
        <f>IFERROR(INDEX('Exercise list'!$E$5:$X$102,MATCH($C391,'Exercise list'!$C$5:$C$102,0),MATCH(AF$5,'Exercise list'!$E$4:$X$4,0)),0)</f>
        <v>0</v>
      </c>
      <c r="AG391">
        <f>IFERROR(INDEX('Exercise list'!$E$5:$X$102,MATCH($C391,'Exercise list'!$C$5:$C$102,0),MATCH(AG$5,'Exercise list'!$E$4:$X$4,0)),0)</f>
        <v>0</v>
      </c>
      <c r="AH391">
        <f>IFERROR(INDEX('Exercise list'!$E$5:$X$102,MATCH($C391,'Exercise list'!$C$5:$C$102,0),MATCH(AH$5,'Exercise list'!$E$4:$X$4,0)),0)</f>
        <v>0</v>
      </c>
      <c r="AI391">
        <f>IFERROR(INDEX('Exercise list'!$E$5:$X$102,MATCH($C391,'Exercise list'!$C$5:$C$102,0),MATCH(AI$5,'Exercise list'!$E$4:$X$4,0)),0)</f>
        <v>0</v>
      </c>
      <c r="AK391">
        <f>IF(OR($J391=1,COUNTIFS($A$5:$A390,"&gt;="&amp;$A391-1,$A$5:$A390,"&lt;="&amp;$A391,$B$5:$B390,$B391)&gt;0,MIN(1-'Exercise list'!E$2,IF($A391=$A390,AK390,1))-P391&lt;0),-1,MIN(1,IF($A391=$A390,AK390,1)-P391+$D$2))</f>
        <v>1</v>
      </c>
      <c r="AL391">
        <f>IF(OR($J391=1,COUNTIFS($A$5:$A390,"&gt;="&amp;$A391-1,$A$5:$A390,"&lt;="&amp;$A391,$B$5:$B390,$B391)&gt;0,MIN(1-'Exercise list'!F$2,IF($A391=$A390,AL390,1))-Q391&lt;0),-1,MIN(1,IF($A391=$A390,AL390,1)-Q391+$D$2))</f>
        <v>1</v>
      </c>
      <c r="AM391">
        <f>IF(OR($J391=1,COUNTIFS($A$5:$A390,"&gt;="&amp;$A391-1,$A$5:$A390,"&lt;="&amp;$A391,$B$5:$B390,$B391)&gt;0,MIN(1-'Exercise list'!G$2,IF($A391=$A390,AM390,1))-R391&lt;0),-1,MIN(1,IF($A391=$A390,AM390,1)-R391+$D$2))</f>
        <v>1</v>
      </c>
      <c r="AN391">
        <f>IF(OR($J391=1,COUNTIFS($A$5:$A390,"&gt;="&amp;$A391-1,$A$5:$A390,"&lt;="&amp;$A391,$B$5:$B390,$B391)&gt;0,MIN(1-'Exercise list'!H$2,IF($A391=$A390,AN390,1))-S391&lt;0),-1,MIN(1,IF($A391=$A390,AN390,1)-S391+$D$2))</f>
        <v>1</v>
      </c>
      <c r="AO391">
        <f>IF(OR($J391=1,COUNTIFS($A$5:$A390,"&gt;="&amp;$A391-1,$A$5:$A390,"&lt;="&amp;$A391,$B$5:$B390,$B391)&gt;0,MIN(1-'Exercise list'!I$2,IF($A391=$A390,AO390,1))-T391&lt;0),-1,MIN(1,IF($A391=$A390,AO390,1)-T391+$D$2))</f>
        <v>1</v>
      </c>
      <c r="AP391">
        <f>IF(OR($J391=1,COUNTIFS($A$5:$A390,"&gt;="&amp;$A391-1,$A$5:$A390,"&lt;="&amp;$A391,$B$5:$B390,$B391)&gt;0,MIN(1-'Exercise list'!J$2,IF($A391=$A390,AP390,1))-U391&lt;0),-1,MIN(1,IF($A391=$A390,AP390,1)-U391+$D$2))</f>
        <v>1</v>
      </c>
      <c r="AQ391">
        <f>IF(OR($J391=1,COUNTIFS($A$5:$A390,"&gt;="&amp;$A391-1,$A$5:$A390,"&lt;="&amp;$A391,$B$5:$B390,$B391)&gt;0,MIN(1-'Exercise list'!K$2,IF($A391=$A390,AQ390,1))-V391&lt;0),-1,MIN(1,IF($A391=$A390,AQ390,1)-V391+$D$2))</f>
        <v>1</v>
      </c>
      <c r="AR391">
        <f>IF(OR($J391=1,COUNTIFS($A$5:$A390,"&gt;="&amp;$A391-1,$A$5:$A390,"&lt;="&amp;$A391,$B$5:$B390,$B391)&gt;0,MIN(1-'Exercise list'!L$2,IF($A391=$A390,AR390,1))-W391&lt;0),-1,MIN(1,IF($A391=$A390,AR390,1)-W391+$D$2))</f>
        <v>1</v>
      </c>
      <c r="AS391">
        <f>IF(OR($J391=1,COUNTIFS($A$5:$A390,"&gt;="&amp;$A391-1,$A$5:$A390,"&lt;="&amp;$A391,$B$5:$B390,$B391)&gt;0,MIN(1-'Exercise list'!M$2,IF($A391=$A390,AS390,1))-X391&lt;0),-1,MIN(1,IF($A391=$A390,AS390,1)-X391+$D$2))</f>
        <v>1</v>
      </c>
      <c r="AT391">
        <f>IF(OR($J391=1,COUNTIFS($A$5:$A390,"&gt;="&amp;$A391-1,$A$5:$A390,"&lt;="&amp;$A391,$B$5:$B390,$B391)&gt;0,MIN(1-'Exercise list'!N$2,IF($A391=$A390,AT390,1))-Y391&lt;0),-1,MIN(1,IF($A391=$A390,AT390,1)-Y391+$D$2))</f>
        <v>1</v>
      </c>
      <c r="AU391">
        <f>IF(OR($J391=1,COUNTIFS($A$5:$A390,"&gt;="&amp;$A391-1,$A$5:$A390,"&lt;="&amp;$A391,$B$5:$B390,$B391)&gt;0,MIN(1-'Exercise list'!O$2,IF($A391=$A390,AU390,1))-Z391&lt;0),-1,MIN(1,IF($A391=$A390,AU390,1)-Z391+$D$2))</f>
        <v>1</v>
      </c>
      <c r="AV391">
        <f>IF(OR($J391=1,COUNTIFS($A$5:$A390,"&gt;="&amp;$A391-1,$A$5:$A390,"&lt;="&amp;$A391,$B$5:$B390,$B391)&gt;0,MIN(1-'Exercise list'!P$2,IF($A391=$A390,AV390,1))-AA391&lt;0),-1,MIN(1,IF($A391=$A390,AV390,1)-AA391+$D$2))</f>
        <v>1</v>
      </c>
      <c r="AW391">
        <f>IF(OR($J391=1,COUNTIFS($A$5:$A390,"&gt;="&amp;$A391-1,$A$5:$A390,"&lt;="&amp;$A391,$B$5:$B390,$B391)&gt;0,MIN(1-'Exercise list'!Q$2,IF($A391=$A390,AW390,1))-AB391&lt;0),-1,MIN(1,IF($A391=$A390,AW390,1)-AB391+$D$2))</f>
        <v>1</v>
      </c>
      <c r="AX391">
        <f>IF(OR($J391=1,COUNTIFS($A$5:$A390,"&gt;="&amp;$A391-1,$A$5:$A390,"&lt;="&amp;$A391,$B$5:$B390,$B391)&gt;0,MIN(1-'Exercise list'!R$2,IF($A391=$A390,AX390,1))-AC391&lt;0),-1,MIN(1,IF($A391=$A390,AX390,1)-AC391+$D$2))</f>
        <v>1</v>
      </c>
      <c r="AY391">
        <f>IF(OR($J391=1,COUNTIFS($A$5:$A390,"&gt;="&amp;$A391-1,$A$5:$A390,"&lt;="&amp;$A391,$B$5:$B390,$B391)&gt;0,MIN(1-'Exercise list'!S$2,IF($A391=$A390,AY390,1))-AD391&lt;0),-1,MIN(1,IF($A391=$A390,AY390,1)-AD391+$D$2))</f>
        <v>1</v>
      </c>
      <c r="AZ391">
        <f>IF(OR($J391=1,COUNTIFS($A$5:$A390,"&gt;="&amp;$A391-1,$A$5:$A390,"&lt;="&amp;$A391,$B$5:$B390,$B391)&gt;0,MIN(1-'Exercise list'!T$2,IF($A391=$A390,AZ390,1))-AE391&lt;0),-1,MIN(1,IF($A391=$A390,AZ390,1)-AE391+$D$2))</f>
        <v>1</v>
      </c>
      <c r="BA391">
        <f>IF(OR($J391=1,COUNTIFS($A$5:$A390,"&gt;="&amp;$A391-1,$A$5:$A390,"&lt;="&amp;$A391,$B$5:$B390,$B391)&gt;0,MIN(1-'Exercise list'!U$2,IF($A391=$A390,BA390,1))-AF391&lt;0),-1,MIN(1,IF($A391=$A390,BA390,1)-AF391+$D$2))</f>
        <v>1</v>
      </c>
      <c r="BB391">
        <f>IF(OR($J391=1,COUNTIFS($A$5:$A390,"&gt;="&amp;$A391-1,$A$5:$A390,"&lt;="&amp;$A391,$B$5:$B390,$B391)&gt;0,MIN(1-'Exercise list'!V$2,IF($A391=$A390,BB390,1))-AG391&lt;0),-1,MIN(1,IF($A391=$A390,BB390,1)-AG391+$D$2))</f>
        <v>1</v>
      </c>
      <c r="BC391">
        <f>IF(OR($J391=1,COUNTIFS($A$5:$A390,"&gt;="&amp;$A391-1,$A$5:$A390,"&lt;="&amp;$A391,$B$5:$B390,$B391)&gt;0,MIN(1-'Exercise list'!W$2,IF($A391=$A390,BC390,1))-AH391&lt;0),-1,MIN(1,IF($A391=$A390,BC390,1)-AH391+$D$2))</f>
        <v>1</v>
      </c>
      <c r="BD391">
        <f>IF(OR($J391=1,COUNTIFS($A$5:$A390,"&gt;="&amp;$A391-1,$A$5:$A390,"&lt;="&amp;$A391,$B$5:$B390,$B391)&gt;0,MIN(1-'Exercise list'!X$2,IF($A391=$A390,BD390,1))-AI391&lt;0),-1,MIN(1,IF($A391=$A390,BD390,1)-AI391+$D$2))</f>
        <v>1</v>
      </c>
      <c r="BF391" s="16">
        <f t="shared" si="277"/>
        <v>0.19596031081758858</v>
      </c>
      <c r="BG391" s="16">
        <f t="shared" si="278"/>
        <v>0.21844636935459236</v>
      </c>
      <c r="BH391" s="16">
        <f t="shared" si="279"/>
        <v>0.14609696635987124</v>
      </c>
      <c r="BI391" s="16">
        <f t="shared" si="280"/>
        <v>0.13198015366034541</v>
      </c>
      <c r="BJ391" s="16">
        <f t="shared" si="281"/>
        <v>8.3367914198418713E-2</v>
      </c>
      <c r="BK391" s="16">
        <f t="shared" si="282"/>
        <v>0.10640640223148412</v>
      </c>
      <c r="BL391" s="16">
        <f t="shared" si="283"/>
        <v>0.21963504743569431</v>
      </c>
      <c r="BM391" s="16">
        <f t="shared" si="284"/>
        <v>3.8988008374820568E-3</v>
      </c>
      <c r="BN391" s="16">
        <f t="shared" si="285"/>
        <v>0.14537706087090876</v>
      </c>
      <c r="BO391" s="16">
        <f t="shared" si="286"/>
        <v>0.29209790661993401</v>
      </c>
      <c r="BP391" s="16">
        <f t="shared" si="287"/>
        <v>0.31584545163401867</v>
      </c>
      <c r="BQ391" s="16">
        <f t="shared" si="288"/>
        <v>0.1000007994126096</v>
      </c>
      <c r="BR391" s="16">
        <f t="shared" si="289"/>
        <v>0.13164487759885393</v>
      </c>
      <c r="BS391" s="16">
        <f t="shared" si="290"/>
        <v>2.9803550189863123E-2</v>
      </c>
      <c r="BT391" s="16">
        <f t="shared" si="291"/>
        <v>0.13492040904978705</v>
      </c>
      <c r="BU391" s="16">
        <f t="shared" si="292"/>
        <v>0.11703687414398131</v>
      </c>
      <c r="BV391" s="16">
        <f t="shared" si="293"/>
        <v>0.14633353213781661</v>
      </c>
      <c r="BW391" s="16">
        <f t="shared" si="294"/>
        <v>7.5588015111767173E-2</v>
      </c>
      <c r="BX391" s="16">
        <f t="shared" si="295"/>
        <v>8.0345659937185704E-2</v>
      </c>
      <c r="BY391" s="16">
        <f t="shared" si="296"/>
        <v>5.9014643151272549E-2</v>
      </c>
      <c r="CA391" s="16" t="str">
        <f t="shared" si="273"/>
        <v/>
      </c>
      <c r="CB391" s="16" t="str">
        <f t="shared" si="298"/>
        <v/>
      </c>
      <c r="CC391" s="16" t="str">
        <f t="shared" si="299"/>
        <v/>
      </c>
      <c r="CD391" s="16" t="str">
        <f t="shared" si="300"/>
        <v/>
      </c>
      <c r="CE391" s="16" t="str">
        <f t="shared" si="301"/>
        <v/>
      </c>
      <c r="CF391" s="16" t="str">
        <f t="shared" si="302"/>
        <v/>
      </c>
      <c r="CG391" s="16" t="str">
        <f t="shared" si="303"/>
        <v/>
      </c>
      <c r="CH391" s="16" t="str">
        <f t="shared" si="304"/>
        <v/>
      </c>
      <c r="CI391" s="16" t="str">
        <f t="shared" si="305"/>
        <v/>
      </c>
      <c r="CJ391" s="16" t="str">
        <f t="shared" si="306"/>
        <v/>
      </c>
      <c r="CK391" s="16" t="str">
        <f t="shared" si="307"/>
        <v/>
      </c>
      <c r="CL391" s="16" t="str">
        <f t="shared" si="308"/>
        <v/>
      </c>
      <c r="CM391" s="16" t="str">
        <f t="shared" si="309"/>
        <v/>
      </c>
      <c r="CN391" s="16" t="str">
        <f t="shared" si="310"/>
        <v/>
      </c>
      <c r="CO391" s="16" t="str">
        <f t="shared" si="311"/>
        <v/>
      </c>
      <c r="CP391" s="16" t="str">
        <f t="shared" si="312"/>
        <v/>
      </c>
      <c r="CQ391" s="16" t="str">
        <f t="shared" si="313"/>
        <v/>
      </c>
      <c r="CR391" s="16" t="str">
        <f t="shared" si="314"/>
        <v/>
      </c>
      <c r="CS391" s="16" t="str">
        <f t="shared" si="315"/>
        <v/>
      </c>
      <c r="CT391" s="16" t="str">
        <f t="shared" si="316"/>
        <v/>
      </c>
    </row>
    <row r="392" spans="1:99" x14ac:dyDescent="0.25">
      <c r="A392" s="13"/>
      <c r="B392" s="14"/>
      <c r="C392" s="15" t="str" cm="1">
        <f t="array" ref="C392">IF(B392="","",INDEX('Exercise list'!$C$5:$C$102,B392))</f>
        <v/>
      </c>
      <c r="D392" s="12" t="str">
        <f t="shared" si="274"/>
        <v/>
      </c>
      <c r="E392" s="107" t="str">
        <f t="shared" si="297"/>
        <v/>
      </c>
      <c r="F392" s="63" t="str" cm="1">
        <f t="array" ref="F392">IF(B392="","",0.1+IFERROR(INDEX($F$6:$F391,SUMPRODUCT(MAX(ROW($C$6:$C391)*($C392=$C$6:$C391))-ROW($A$5)))*0.9^($A392-INDEX($A$6:A391,SUMPRODUCT(MAX(ROW($C$6:$C391)*($C392=$C$6:$C391))-ROW($A$5)))),0))</f>
        <v/>
      </c>
      <c r="G392" s="64" t="e">
        <f>INDEX('Exercise list'!$Y$5:$Y$102,MATCH(C392,'Exercise list'!$C$5:$C$102,0))</f>
        <v>#N/A</v>
      </c>
      <c r="H392" s="115">
        <f t="shared" si="275"/>
        <v>0</v>
      </c>
      <c r="I392" s="6">
        <f t="shared" si="276"/>
        <v>5</v>
      </c>
      <c r="J392" s="6" t="str" cm="1">
        <f t="array" ref="J392">IF(B392="","",INDEX('Exercise list'!$D$5:$D$102,B392))</f>
        <v/>
      </c>
      <c r="K392" s="12"/>
      <c r="L392" s="74" t="str" cm="1">
        <f t="array" ref="L392">IF(K392="","",INDEX('Exercise list'!$C$5:$C$102,K392))</f>
        <v/>
      </c>
      <c r="M392" s="6"/>
      <c r="N392" s="75" t="str" cm="1">
        <f t="array" ref="N392">IF(M392="","",INDEX('Exercise list'!$C$5:$C$102,M392))</f>
        <v/>
      </c>
      <c r="P392">
        <f>IFERROR(INDEX('Exercise list'!$E$5:$X$102,MATCH($C392,'Exercise list'!$C$5:$C$102,0),MATCH(P$5,'Exercise list'!$E$4:$X$4,0)),0)</f>
        <v>0</v>
      </c>
      <c r="Q392">
        <f>IFERROR(INDEX('Exercise list'!$E$5:$X$102,MATCH($C392,'Exercise list'!$C$5:$C$102,0),MATCH(Q$5,'Exercise list'!$E$4:$X$4,0)),0)</f>
        <v>0</v>
      </c>
      <c r="R392">
        <f>IFERROR(INDEX('Exercise list'!$E$5:$X$102,MATCH($C392,'Exercise list'!$C$5:$C$102,0),MATCH(R$5,'Exercise list'!$E$4:$X$4,0)),0)</f>
        <v>0</v>
      </c>
      <c r="S392">
        <f>IFERROR(INDEX('Exercise list'!$E$5:$X$102,MATCH($C392,'Exercise list'!$C$5:$C$102,0),MATCH(S$5,'Exercise list'!$E$4:$X$4,0)),0)</f>
        <v>0</v>
      </c>
      <c r="T392">
        <f>IFERROR(INDEX('Exercise list'!$E$5:$X$102,MATCH($C392,'Exercise list'!$C$5:$C$102,0),MATCH(T$5,'Exercise list'!$E$4:$X$4,0)),0)</f>
        <v>0</v>
      </c>
      <c r="U392">
        <f>IFERROR(INDEX('Exercise list'!$E$5:$X$102,MATCH($C392,'Exercise list'!$C$5:$C$102,0),MATCH(U$5,'Exercise list'!$E$4:$X$4,0)),0)</f>
        <v>0</v>
      </c>
      <c r="V392">
        <f>IFERROR(INDEX('Exercise list'!$E$5:$X$102,MATCH($C392,'Exercise list'!$C$5:$C$102,0),MATCH(V$5,'Exercise list'!$E$4:$X$4,0)),0)</f>
        <v>0</v>
      </c>
      <c r="W392">
        <f>IFERROR(INDEX('Exercise list'!$E$5:$X$102,MATCH($C392,'Exercise list'!$C$5:$C$102,0),MATCH(W$5,'Exercise list'!$E$4:$X$4,0)),0)</f>
        <v>0</v>
      </c>
      <c r="X392">
        <f>IFERROR(INDEX('Exercise list'!$E$5:$X$102,MATCH($C392,'Exercise list'!$C$5:$C$102,0),MATCH(X$5,'Exercise list'!$E$4:$X$4,0)),0)</f>
        <v>0</v>
      </c>
      <c r="Y392">
        <f>IFERROR(INDEX('Exercise list'!$E$5:$X$102,MATCH($C392,'Exercise list'!$C$5:$C$102,0),MATCH(Y$5,'Exercise list'!$E$4:$X$4,0)),0)</f>
        <v>0</v>
      </c>
      <c r="Z392">
        <f>IFERROR(INDEX('Exercise list'!$E$5:$X$102,MATCH($C392,'Exercise list'!$C$5:$C$102,0),MATCH(Z$5,'Exercise list'!$E$4:$X$4,0)),0)</f>
        <v>0</v>
      </c>
      <c r="AA392">
        <f>IFERROR(INDEX('Exercise list'!$E$5:$X$102,MATCH($C392,'Exercise list'!$C$5:$C$102,0),MATCH(AA$5,'Exercise list'!$E$4:$X$4,0)),0)</f>
        <v>0</v>
      </c>
      <c r="AB392">
        <f>IFERROR(INDEX('Exercise list'!$E$5:$X$102,MATCH($C392,'Exercise list'!$C$5:$C$102,0),MATCH(AB$5,'Exercise list'!$E$4:$X$4,0)),0)</f>
        <v>0</v>
      </c>
      <c r="AC392">
        <f>IFERROR(INDEX('Exercise list'!$E$5:$X$102,MATCH($C392,'Exercise list'!$C$5:$C$102,0),MATCH(AC$5,'Exercise list'!$E$4:$X$4,0)),0)</f>
        <v>0</v>
      </c>
      <c r="AD392">
        <f>IFERROR(INDEX('Exercise list'!$E$5:$X$102,MATCH($C392,'Exercise list'!$C$5:$C$102,0),MATCH(AD$5,'Exercise list'!$E$4:$X$4,0)),0)</f>
        <v>0</v>
      </c>
      <c r="AE392">
        <f>IFERROR(INDEX('Exercise list'!$E$5:$X$102,MATCH($C392,'Exercise list'!$C$5:$C$102,0),MATCH(AE$5,'Exercise list'!$E$4:$X$4,0)),0)</f>
        <v>0</v>
      </c>
      <c r="AF392">
        <f>IFERROR(INDEX('Exercise list'!$E$5:$X$102,MATCH($C392,'Exercise list'!$C$5:$C$102,0),MATCH(AF$5,'Exercise list'!$E$4:$X$4,0)),0)</f>
        <v>0</v>
      </c>
      <c r="AG392">
        <f>IFERROR(INDEX('Exercise list'!$E$5:$X$102,MATCH($C392,'Exercise list'!$C$5:$C$102,0),MATCH(AG$5,'Exercise list'!$E$4:$X$4,0)),0)</f>
        <v>0</v>
      </c>
      <c r="AH392">
        <f>IFERROR(INDEX('Exercise list'!$E$5:$X$102,MATCH($C392,'Exercise list'!$C$5:$C$102,0),MATCH(AH$5,'Exercise list'!$E$4:$X$4,0)),0)</f>
        <v>0</v>
      </c>
      <c r="AI392">
        <f>IFERROR(INDEX('Exercise list'!$E$5:$X$102,MATCH($C392,'Exercise list'!$C$5:$C$102,0),MATCH(AI$5,'Exercise list'!$E$4:$X$4,0)),0)</f>
        <v>0</v>
      </c>
      <c r="AK392">
        <f>IF(OR($J392=1,COUNTIFS($A$5:$A391,"&gt;="&amp;$A392-1,$A$5:$A391,"&lt;="&amp;$A392,$B$5:$B391,$B392)&gt;0,MIN(1-'Exercise list'!E$2,IF($A392=$A391,AK391,1))-P392&lt;0),-1,MIN(1,IF($A392=$A391,AK391,1)-P392+$D$2))</f>
        <v>1</v>
      </c>
      <c r="AL392">
        <f>IF(OR($J392=1,COUNTIFS($A$5:$A391,"&gt;="&amp;$A392-1,$A$5:$A391,"&lt;="&amp;$A392,$B$5:$B391,$B392)&gt;0,MIN(1-'Exercise list'!F$2,IF($A392=$A391,AL391,1))-Q392&lt;0),-1,MIN(1,IF($A392=$A391,AL391,1)-Q392+$D$2))</f>
        <v>1</v>
      </c>
      <c r="AM392">
        <f>IF(OR($J392=1,COUNTIFS($A$5:$A391,"&gt;="&amp;$A392-1,$A$5:$A391,"&lt;="&amp;$A392,$B$5:$B391,$B392)&gt;0,MIN(1-'Exercise list'!G$2,IF($A392=$A391,AM391,1))-R392&lt;0),-1,MIN(1,IF($A392=$A391,AM391,1)-R392+$D$2))</f>
        <v>1</v>
      </c>
      <c r="AN392">
        <f>IF(OR($J392=1,COUNTIFS($A$5:$A391,"&gt;="&amp;$A392-1,$A$5:$A391,"&lt;="&amp;$A392,$B$5:$B391,$B392)&gt;0,MIN(1-'Exercise list'!H$2,IF($A392=$A391,AN391,1))-S392&lt;0),-1,MIN(1,IF($A392=$A391,AN391,1)-S392+$D$2))</f>
        <v>1</v>
      </c>
      <c r="AO392">
        <f>IF(OR($J392=1,COUNTIFS($A$5:$A391,"&gt;="&amp;$A392-1,$A$5:$A391,"&lt;="&amp;$A392,$B$5:$B391,$B392)&gt;0,MIN(1-'Exercise list'!I$2,IF($A392=$A391,AO391,1))-T392&lt;0),-1,MIN(1,IF($A392=$A391,AO391,1)-T392+$D$2))</f>
        <v>1</v>
      </c>
      <c r="AP392">
        <f>IF(OR($J392=1,COUNTIFS($A$5:$A391,"&gt;="&amp;$A392-1,$A$5:$A391,"&lt;="&amp;$A392,$B$5:$B391,$B392)&gt;0,MIN(1-'Exercise list'!J$2,IF($A392=$A391,AP391,1))-U392&lt;0),-1,MIN(1,IF($A392=$A391,AP391,1)-U392+$D$2))</f>
        <v>1</v>
      </c>
      <c r="AQ392">
        <f>IF(OR($J392=1,COUNTIFS($A$5:$A391,"&gt;="&amp;$A392-1,$A$5:$A391,"&lt;="&amp;$A392,$B$5:$B391,$B392)&gt;0,MIN(1-'Exercise list'!K$2,IF($A392=$A391,AQ391,1))-V392&lt;0),-1,MIN(1,IF($A392=$A391,AQ391,1)-V392+$D$2))</f>
        <v>1</v>
      </c>
      <c r="AR392">
        <f>IF(OR($J392=1,COUNTIFS($A$5:$A391,"&gt;="&amp;$A392-1,$A$5:$A391,"&lt;="&amp;$A392,$B$5:$B391,$B392)&gt;0,MIN(1-'Exercise list'!L$2,IF($A392=$A391,AR391,1))-W392&lt;0),-1,MIN(1,IF($A392=$A391,AR391,1)-W392+$D$2))</f>
        <v>1</v>
      </c>
      <c r="AS392">
        <f>IF(OR($J392=1,COUNTIFS($A$5:$A391,"&gt;="&amp;$A392-1,$A$5:$A391,"&lt;="&amp;$A392,$B$5:$B391,$B392)&gt;0,MIN(1-'Exercise list'!M$2,IF($A392=$A391,AS391,1))-X392&lt;0),-1,MIN(1,IF($A392=$A391,AS391,1)-X392+$D$2))</f>
        <v>1</v>
      </c>
      <c r="AT392">
        <f>IF(OR($J392=1,COUNTIFS($A$5:$A391,"&gt;="&amp;$A392-1,$A$5:$A391,"&lt;="&amp;$A392,$B$5:$B391,$B392)&gt;0,MIN(1-'Exercise list'!N$2,IF($A392=$A391,AT391,1))-Y392&lt;0),-1,MIN(1,IF($A392=$A391,AT391,1)-Y392+$D$2))</f>
        <v>1</v>
      </c>
      <c r="AU392">
        <f>IF(OR($J392=1,COUNTIFS($A$5:$A391,"&gt;="&amp;$A392-1,$A$5:$A391,"&lt;="&amp;$A392,$B$5:$B391,$B392)&gt;0,MIN(1-'Exercise list'!O$2,IF($A392=$A391,AU391,1))-Z392&lt;0),-1,MIN(1,IF($A392=$A391,AU391,1)-Z392+$D$2))</f>
        <v>1</v>
      </c>
      <c r="AV392">
        <f>IF(OR($J392=1,COUNTIFS($A$5:$A391,"&gt;="&amp;$A392-1,$A$5:$A391,"&lt;="&amp;$A392,$B$5:$B391,$B392)&gt;0,MIN(1-'Exercise list'!P$2,IF($A392=$A391,AV391,1))-AA392&lt;0),-1,MIN(1,IF($A392=$A391,AV391,1)-AA392+$D$2))</f>
        <v>1</v>
      </c>
      <c r="AW392">
        <f>IF(OR($J392=1,COUNTIFS($A$5:$A391,"&gt;="&amp;$A392-1,$A$5:$A391,"&lt;="&amp;$A392,$B$5:$B391,$B392)&gt;0,MIN(1-'Exercise list'!Q$2,IF($A392=$A391,AW391,1))-AB392&lt;0),-1,MIN(1,IF($A392=$A391,AW391,1)-AB392+$D$2))</f>
        <v>1</v>
      </c>
      <c r="AX392">
        <f>IF(OR($J392=1,COUNTIFS($A$5:$A391,"&gt;="&amp;$A392-1,$A$5:$A391,"&lt;="&amp;$A392,$B$5:$B391,$B392)&gt;0,MIN(1-'Exercise list'!R$2,IF($A392=$A391,AX391,1))-AC392&lt;0),-1,MIN(1,IF($A392=$A391,AX391,1)-AC392+$D$2))</f>
        <v>1</v>
      </c>
      <c r="AY392">
        <f>IF(OR($J392=1,COUNTIFS($A$5:$A391,"&gt;="&amp;$A392-1,$A$5:$A391,"&lt;="&amp;$A392,$B$5:$B391,$B392)&gt;0,MIN(1-'Exercise list'!S$2,IF($A392=$A391,AY391,1))-AD392&lt;0),-1,MIN(1,IF($A392=$A391,AY391,1)-AD392+$D$2))</f>
        <v>1</v>
      </c>
      <c r="AZ392">
        <f>IF(OR($J392=1,COUNTIFS($A$5:$A391,"&gt;="&amp;$A392-1,$A$5:$A391,"&lt;="&amp;$A392,$B$5:$B391,$B392)&gt;0,MIN(1-'Exercise list'!T$2,IF($A392=$A391,AZ391,1))-AE392&lt;0),-1,MIN(1,IF($A392=$A391,AZ391,1)-AE392+$D$2))</f>
        <v>1</v>
      </c>
      <c r="BA392">
        <f>IF(OR($J392=1,COUNTIFS($A$5:$A391,"&gt;="&amp;$A392-1,$A$5:$A391,"&lt;="&amp;$A392,$B$5:$B391,$B392)&gt;0,MIN(1-'Exercise list'!U$2,IF($A392=$A391,BA391,1))-AF392&lt;0),-1,MIN(1,IF($A392=$A391,BA391,1)-AF392+$D$2))</f>
        <v>1</v>
      </c>
      <c r="BB392">
        <f>IF(OR($J392=1,COUNTIFS($A$5:$A391,"&gt;="&amp;$A392-1,$A$5:$A391,"&lt;="&amp;$A392,$B$5:$B391,$B392)&gt;0,MIN(1-'Exercise list'!V$2,IF($A392=$A391,BB391,1))-AG392&lt;0),-1,MIN(1,IF($A392=$A391,BB391,1)-AG392+$D$2))</f>
        <v>1</v>
      </c>
      <c r="BC392">
        <f>IF(OR($J392=1,COUNTIFS($A$5:$A391,"&gt;="&amp;$A392-1,$A$5:$A391,"&lt;="&amp;$A392,$B$5:$B391,$B392)&gt;0,MIN(1-'Exercise list'!W$2,IF($A392=$A391,BC391,1))-AH392&lt;0),-1,MIN(1,IF($A392=$A391,BC391,1)-AH392+$D$2))</f>
        <v>1</v>
      </c>
      <c r="BD392">
        <f>IF(OR($J392=1,COUNTIFS($A$5:$A391,"&gt;="&amp;$A392-1,$A$5:$A391,"&lt;="&amp;$A392,$B$5:$B391,$B392)&gt;0,MIN(1-'Exercise list'!X$2,IF($A392=$A391,BD391,1))-AI392&lt;0),-1,MIN(1,IF($A392=$A391,BD391,1)-AI392+$D$2))</f>
        <v>1</v>
      </c>
      <c r="BF392" s="16">
        <f t="shared" si="277"/>
        <v>0.19596031081758858</v>
      </c>
      <c r="BG392" s="16">
        <f t="shared" si="278"/>
        <v>0.21844636935459236</v>
      </c>
      <c r="BH392" s="16">
        <f t="shared" si="279"/>
        <v>0.14609696635987124</v>
      </c>
      <c r="BI392" s="16">
        <f t="shared" si="280"/>
        <v>0.13198015366034541</v>
      </c>
      <c r="BJ392" s="16">
        <f t="shared" si="281"/>
        <v>8.3367914198418713E-2</v>
      </c>
      <c r="BK392" s="16">
        <f t="shared" si="282"/>
        <v>0.10640640223148412</v>
      </c>
      <c r="BL392" s="16">
        <f t="shared" si="283"/>
        <v>0.21963504743569431</v>
      </c>
      <c r="BM392" s="16">
        <f t="shared" si="284"/>
        <v>3.8988008374820568E-3</v>
      </c>
      <c r="BN392" s="16">
        <f t="shared" si="285"/>
        <v>0.14537706087090876</v>
      </c>
      <c r="BO392" s="16">
        <f t="shared" si="286"/>
        <v>0.29209790661993401</v>
      </c>
      <c r="BP392" s="16">
        <f t="shared" si="287"/>
        <v>0.31584545163401867</v>
      </c>
      <c r="BQ392" s="16">
        <f t="shared" si="288"/>
        <v>0.1000007994126096</v>
      </c>
      <c r="BR392" s="16">
        <f t="shared" si="289"/>
        <v>0.13164487759885393</v>
      </c>
      <c r="BS392" s="16">
        <f t="shared" si="290"/>
        <v>2.9803550189863123E-2</v>
      </c>
      <c r="BT392" s="16">
        <f t="shared" si="291"/>
        <v>0.13492040904978705</v>
      </c>
      <c r="BU392" s="16">
        <f t="shared" si="292"/>
        <v>0.11703687414398131</v>
      </c>
      <c r="BV392" s="16">
        <f t="shared" si="293"/>
        <v>0.14633353213781661</v>
      </c>
      <c r="BW392" s="16">
        <f t="shared" si="294"/>
        <v>7.5588015111767173E-2</v>
      </c>
      <c r="BX392" s="16">
        <f t="shared" si="295"/>
        <v>8.0345659937185704E-2</v>
      </c>
      <c r="BY392" s="16">
        <f t="shared" si="296"/>
        <v>5.9014643151272549E-2</v>
      </c>
      <c r="CA392" s="16" t="str">
        <f t="shared" si="273"/>
        <v/>
      </c>
      <c r="CB392" s="16" t="str">
        <f t="shared" si="298"/>
        <v/>
      </c>
      <c r="CC392" s="16" t="str">
        <f t="shared" si="299"/>
        <v/>
      </c>
      <c r="CD392" s="16" t="str">
        <f t="shared" si="300"/>
        <v/>
      </c>
      <c r="CE392" s="16" t="str">
        <f t="shared" si="301"/>
        <v/>
      </c>
      <c r="CF392" s="16" t="str">
        <f t="shared" si="302"/>
        <v/>
      </c>
      <c r="CG392" s="16" t="str">
        <f t="shared" si="303"/>
        <v/>
      </c>
      <c r="CH392" s="16" t="str">
        <f t="shared" si="304"/>
        <v/>
      </c>
      <c r="CI392" s="16" t="str">
        <f t="shared" si="305"/>
        <v/>
      </c>
      <c r="CJ392" s="16" t="str">
        <f t="shared" si="306"/>
        <v/>
      </c>
      <c r="CK392" s="16" t="str">
        <f t="shared" si="307"/>
        <v/>
      </c>
      <c r="CL392" s="16" t="str">
        <f t="shared" si="308"/>
        <v/>
      </c>
      <c r="CM392" s="16" t="str">
        <f t="shared" si="309"/>
        <v/>
      </c>
      <c r="CN392" s="16" t="str">
        <f t="shared" si="310"/>
        <v/>
      </c>
      <c r="CO392" s="16" t="str">
        <f t="shared" si="311"/>
        <v/>
      </c>
      <c r="CP392" s="16" t="str">
        <f t="shared" si="312"/>
        <v/>
      </c>
      <c r="CQ392" s="16" t="str">
        <f t="shared" si="313"/>
        <v/>
      </c>
      <c r="CR392" s="16" t="str">
        <f t="shared" si="314"/>
        <v/>
      </c>
      <c r="CS392" s="16" t="str">
        <f t="shared" si="315"/>
        <v/>
      </c>
      <c r="CT392" s="16" t="str">
        <f t="shared" si="316"/>
        <v/>
      </c>
    </row>
    <row r="393" spans="1:99" x14ac:dyDescent="0.25">
      <c r="A393" s="20"/>
      <c r="B393" s="21"/>
      <c r="C393" s="22" t="str" cm="1">
        <f t="array" ref="C393">IF(B393="","",INDEX('Exercise list'!$C$5:$C$102,B393))</f>
        <v/>
      </c>
      <c r="D393" s="17" t="str">
        <f t="shared" si="274"/>
        <v/>
      </c>
      <c r="E393" s="108" t="str">
        <f t="shared" si="297"/>
        <v/>
      </c>
      <c r="F393" s="65" t="str" cm="1">
        <f t="array" ref="F393">IF(B393="","",0.1+IFERROR(INDEX($F$6:$F392,SUMPRODUCT(MAX(ROW($C$6:$C392)*($C393=$C$6:$C392))-ROW($A$5)))*0.9^($A393-INDEX($A$6:A392,SUMPRODUCT(MAX(ROW($C$6:$C392)*($C393=$C$6:$C392))-ROW($A$5)))),0))</f>
        <v/>
      </c>
      <c r="G393" s="25" t="e">
        <f>INDEX('Exercise list'!$Y$5:$Y$102,MATCH(C393,'Exercise list'!$C$5:$C$102,0))</f>
        <v>#N/A</v>
      </c>
      <c r="H393" s="116">
        <f t="shared" si="275"/>
        <v>0</v>
      </c>
      <c r="I393" s="18">
        <f t="shared" si="276"/>
        <v>5</v>
      </c>
      <c r="J393" s="18" t="str" cm="1">
        <f t="array" ref="J393">IF(B393="","",INDEX('Exercise list'!$D$5:$D$102,B393))</f>
        <v/>
      </c>
      <c r="K393" s="17"/>
      <c r="L393" s="51" t="str" cm="1">
        <f t="array" ref="L393">IF(K393="","",INDEX('Exercise list'!$C$5:$C$102,K393))</f>
        <v/>
      </c>
      <c r="M393" s="18"/>
      <c r="N393" s="76" t="str" cm="1">
        <f t="array" ref="N393">IF(M393="","",INDEX('Exercise list'!$C$5:$C$102,M393))</f>
        <v/>
      </c>
      <c r="O393" s="19"/>
      <c r="P393" s="19">
        <f>IFERROR(INDEX('Exercise list'!$E$5:$X$102,MATCH($C393,'Exercise list'!$C$5:$C$102,0),MATCH(P$5,'Exercise list'!$E$4:$X$4,0)),0)</f>
        <v>0</v>
      </c>
      <c r="Q393" s="19">
        <f>IFERROR(INDEX('Exercise list'!$E$5:$X$102,MATCH($C393,'Exercise list'!$C$5:$C$102,0),MATCH(Q$5,'Exercise list'!$E$4:$X$4,0)),0)</f>
        <v>0</v>
      </c>
      <c r="R393" s="19">
        <f>IFERROR(INDEX('Exercise list'!$E$5:$X$102,MATCH($C393,'Exercise list'!$C$5:$C$102,0),MATCH(R$5,'Exercise list'!$E$4:$X$4,0)),0)</f>
        <v>0</v>
      </c>
      <c r="S393" s="19">
        <f>IFERROR(INDEX('Exercise list'!$E$5:$X$102,MATCH($C393,'Exercise list'!$C$5:$C$102,0),MATCH(S$5,'Exercise list'!$E$4:$X$4,0)),0)</f>
        <v>0</v>
      </c>
      <c r="T393" s="19">
        <f>IFERROR(INDEX('Exercise list'!$E$5:$X$102,MATCH($C393,'Exercise list'!$C$5:$C$102,0),MATCH(T$5,'Exercise list'!$E$4:$X$4,0)),0)</f>
        <v>0</v>
      </c>
      <c r="U393" s="19">
        <f>IFERROR(INDEX('Exercise list'!$E$5:$X$102,MATCH($C393,'Exercise list'!$C$5:$C$102,0),MATCH(U$5,'Exercise list'!$E$4:$X$4,0)),0)</f>
        <v>0</v>
      </c>
      <c r="V393" s="19">
        <f>IFERROR(INDEX('Exercise list'!$E$5:$X$102,MATCH($C393,'Exercise list'!$C$5:$C$102,0),MATCH(V$5,'Exercise list'!$E$4:$X$4,0)),0)</f>
        <v>0</v>
      </c>
      <c r="W393" s="19">
        <f>IFERROR(INDEX('Exercise list'!$E$5:$X$102,MATCH($C393,'Exercise list'!$C$5:$C$102,0),MATCH(W$5,'Exercise list'!$E$4:$X$4,0)),0)</f>
        <v>0</v>
      </c>
      <c r="X393" s="19">
        <f>IFERROR(INDEX('Exercise list'!$E$5:$X$102,MATCH($C393,'Exercise list'!$C$5:$C$102,0),MATCH(X$5,'Exercise list'!$E$4:$X$4,0)),0)</f>
        <v>0</v>
      </c>
      <c r="Y393" s="19">
        <f>IFERROR(INDEX('Exercise list'!$E$5:$X$102,MATCH($C393,'Exercise list'!$C$5:$C$102,0),MATCH(Y$5,'Exercise list'!$E$4:$X$4,0)),0)</f>
        <v>0</v>
      </c>
      <c r="Z393" s="19">
        <f>IFERROR(INDEX('Exercise list'!$E$5:$X$102,MATCH($C393,'Exercise list'!$C$5:$C$102,0),MATCH(Z$5,'Exercise list'!$E$4:$X$4,0)),0)</f>
        <v>0</v>
      </c>
      <c r="AA393" s="19">
        <f>IFERROR(INDEX('Exercise list'!$E$5:$X$102,MATCH($C393,'Exercise list'!$C$5:$C$102,0),MATCH(AA$5,'Exercise list'!$E$4:$X$4,0)),0)</f>
        <v>0</v>
      </c>
      <c r="AB393" s="19">
        <f>IFERROR(INDEX('Exercise list'!$E$5:$X$102,MATCH($C393,'Exercise list'!$C$5:$C$102,0),MATCH(AB$5,'Exercise list'!$E$4:$X$4,0)),0)</f>
        <v>0</v>
      </c>
      <c r="AC393" s="19">
        <f>IFERROR(INDEX('Exercise list'!$E$5:$X$102,MATCH($C393,'Exercise list'!$C$5:$C$102,0),MATCH(AC$5,'Exercise list'!$E$4:$X$4,0)),0)</f>
        <v>0</v>
      </c>
      <c r="AD393" s="19">
        <f>IFERROR(INDEX('Exercise list'!$E$5:$X$102,MATCH($C393,'Exercise list'!$C$5:$C$102,0),MATCH(AD$5,'Exercise list'!$E$4:$X$4,0)),0)</f>
        <v>0</v>
      </c>
      <c r="AE393" s="19">
        <f>IFERROR(INDEX('Exercise list'!$E$5:$X$102,MATCH($C393,'Exercise list'!$C$5:$C$102,0),MATCH(AE$5,'Exercise list'!$E$4:$X$4,0)),0)</f>
        <v>0</v>
      </c>
      <c r="AF393" s="19">
        <f>IFERROR(INDEX('Exercise list'!$E$5:$X$102,MATCH($C393,'Exercise list'!$C$5:$C$102,0),MATCH(AF$5,'Exercise list'!$E$4:$X$4,0)),0)</f>
        <v>0</v>
      </c>
      <c r="AG393" s="19">
        <f>IFERROR(INDEX('Exercise list'!$E$5:$X$102,MATCH($C393,'Exercise list'!$C$5:$C$102,0),MATCH(AG$5,'Exercise list'!$E$4:$X$4,0)),0)</f>
        <v>0</v>
      </c>
      <c r="AH393" s="19">
        <f>IFERROR(INDEX('Exercise list'!$E$5:$X$102,MATCH($C393,'Exercise list'!$C$5:$C$102,0),MATCH(AH$5,'Exercise list'!$E$4:$X$4,0)),0)</f>
        <v>0</v>
      </c>
      <c r="AI393" s="19">
        <f>IFERROR(INDEX('Exercise list'!$E$5:$X$102,MATCH($C393,'Exercise list'!$C$5:$C$102,0),MATCH(AI$5,'Exercise list'!$E$4:$X$4,0)),0)</f>
        <v>0</v>
      </c>
      <c r="AJ393" s="19"/>
      <c r="AK393" s="19">
        <f>IF(OR($J393=1,COUNTIFS($A$5:$A392,"&gt;="&amp;$A393-1,$A$5:$A392,"&lt;="&amp;$A393,$B$5:$B392,$B393)&gt;0,MIN(1-'Exercise list'!E$2,IF($A393=$A392,AK392,1))-P393&lt;0),-1,MIN(1,IF($A393=$A392,AK392,1)-P393+$D$2))</f>
        <v>1</v>
      </c>
      <c r="AL393" s="19">
        <f>IF(OR($J393=1,COUNTIFS($A$5:$A392,"&gt;="&amp;$A393-1,$A$5:$A392,"&lt;="&amp;$A393,$B$5:$B392,$B393)&gt;0,MIN(1-'Exercise list'!F$2,IF($A393=$A392,AL392,1))-Q393&lt;0),-1,MIN(1,IF($A393=$A392,AL392,1)-Q393+$D$2))</f>
        <v>1</v>
      </c>
      <c r="AM393" s="19">
        <f>IF(OR($J393=1,COUNTIFS($A$5:$A392,"&gt;="&amp;$A393-1,$A$5:$A392,"&lt;="&amp;$A393,$B$5:$B392,$B393)&gt;0,MIN(1-'Exercise list'!G$2,IF($A393=$A392,AM392,1))-R393&lt;0),-1,MIN(1,IF($A393=$A392,AM392,1)-R393+$D$2))</f>
        <v>1</v>
      </c>
      <c r="AN393" s="19">
        <f>IF(OR($J393=1,COUNTIFS($A$5:$A392,"&gt;="&amp;$A393-1,$A$5:$A392,"&lt;="&amp;$A393,$B$5:$B392,$B393)&gt;0,MIN(1-'Exercise list'!H$2,IF($A393=$A392,AN392,1))-S393&lt;0),-1,MIN(1,IF($A393=$A392,AN392,1)-S393+$D$2))</f>
        <v>1</v>
      </c>
      <c r="AO393" s="19">
        <f>IF(OR($J393=1,COUNTIFS($A$5:$A392,"&gt;="&amp;$A393-1,$A$5:$A392,"&lt;="&amp;$A393,$B$5:$B392,$B393)&gt;0,MIN(1-'Exercise list'!I$2,IF($A393=$A392,AO392,1))-T393&lt;0),-1,MIN(1,IF($A393=$A392,AO392,1)-T393+$D$2))</f>
        <v>1</v>
      </c>
      <c r="AP393" s="19">
        <f>IF(OR($J393=1,COUNTIFS($A$5:$A392,"&gt;="&amp;$A393-1,$A$5:$A392,"&lt;="&amp;$A393,$B$5:$B392,$B393)&gt;0,MIN(1-'Exercise list'!J$2,IF($A393=$A392,AP392,1))-U393&lt;0),-1,MIN(1,IF($A393=$A392,AP392,1)-U393+$D$2))</f>
        <v>1</v>
      </c>
      <c r="AQ393" s="19">
        <f>IF(OR($J393=1,COUNTIFS($A$5:$A392,"&gt;="&amp;$A393-1,$A$5:$A392,"&lt;="&amp;$A393,$B$5:$B392,$B393)&gt;0,MIN(1-'Exercise list'!K$2,IF($A393=$A392,AQ392,1))-V393&lt;0),-1,MIN(1,IF($A393=$A392,AQ392,1)-V393+$D$2))</f>
        <v>1</v>
      </c>
      <c r="AR393" s="19">
        <f>IF(OR($J393=1,COUNTIFS($A$5:$A392,"&gt;="&amp;$A393-1,$A$5:$A392,"&lt;="&amp;$A393,$B$5:$B392,$B393)&gt;0,MIN(1-'Exercise list'!L$2,IF($A393=$A392,AR392,1))-W393&lt;0),-1,MIN(1,IF($A393=$A392,AR392,1)-W393+$D$2))</f>
        <v>1</v>
      </c>
      <c r="AS393" s="19">
        <f>IF(OR($J393=1,COUNTIFS($A$5:$A392,"&gt;="&amp;$A393-1,$A$5:$A392,"&lt;="&amp;$A393,$B$5:$B392,$B393)&gt;0,MIN(1-'Exercise list'!M$2,IF($A393=$A392,AS392,1))-X393&lt;0),-1,MIN(1,IF($A393=$A392,AS392,1)-X393+$D$2))</f>
        <v>1</v>
      </c>
      <c r="AT393" s="19">
        <f>IF(OR($J393=1,COUNTIFS($A$5:$A392,"&gt;="&amp;$A393-1,$A$5:$A392,"&lt;="&amp;$A393,$B$5:$B392,$B393)&gt;0,MIN(1-'Exercise list'!N$2,IF($A393=$A392,AT392,1))-Y393&lt;0),-1,MIN(1,IF($A393=$A392,AT392,1)-Y393+$D$2))</f>
        <v>1</v>
      </c>
      <c r="AU393" s="19">
        <f>IF(OR($J393=1,COUNTIFS($A$5:$A392,"&gt;="&amp;$A393-1,$A$5:$A392,"&lt;="&amp;$A393,$B$5:$B392,$B393)&gt;0,MIN(1-'Exercise list'!O$2,IF($A393=$A392,AU392,1))-Z393&lt;0),-1,MIN(1,IF($A393=$A392,AU392,1)-Z393+$D$2))</f>
        <v>1</v>
      </c>
      <c r="AV393" s="19">
        <f>IF(OR($J393=1,COUNTIFS($A$5:$A392,"&gt;="&amp;$A393-1,$A$5:$A392,"&lt;="&amp;$A393,$B$5:$B392,$B393)&gt;0,MIN(1-'Exercise list'!P$2,IF($A393=$A392,AV392,1))-AA393&lt;0),-1,MIN(1,IF($A393=$A392,AV392,1)-AA393+$D$2))</f>
        <v>1</v>
      </c>
      <c r="AW393" s="19">
        <f>IF(OR($J393=1,COUNTIFS($A$5:$A392,"&gt;="&amp;$A393-1,$A$5:$A392,"&lt;="&amp;$A393,$B$5:$B392,$B393)&gt;0,MIN(1-'Exercise list'!Q$2,IF($A393=$A392,AW392,1))-AB393&lt;0),-1,MIN(1,IF($A393=$A392,AW392,1)-AB393+$D$2))</f>
        <v>1</v>
      </c>
      <c r="AX393" s="19">
        <f>IF(OR($J393=1,COUNTIFS($A$5:$A392,"&gt;="&amp;$A393-1,$A$5:$A392,"&lt;="&amp;$A393,$B$5:$B392,$B393)&gt;0,MIN(1-'Exercise list'!R$2,IF($A393=$A392,AX392,1))-AC393&lt;0),-1,MIN(1,IF($A393=$A392,AX392,1)-AC393+$D$2))</f>
        <v>1</v>
      </c>
      <c r="AY393" s="19">
        <f>IF(OR($J393=1,COUNTIFS($A$5:$A392,"&gt;="&amp;$A393-1,$A$5:$A392,"&lt;="&amp;$A393,$B$5:$B392,$B393)&gt;0,MIN(1-'Exercise list'!S$2,IF($A393=$A392,AY392,1))-AD393&lt;0),-1,MIN(1,IF($A393=$A392,AY392,1)-AD393+$D$2))</f>
        <v>1</v>
      </c>
      <c r="AZ393" s="19">
        <f>IF(OR($J393=1,COUNTIFS($A$5:$A392,"&gt;="&amp;$A393-1,$A$5:$A392,"&lt;="&amp;$A393,$B$5:$B392,$B393)&gt;0,MIN(1-'Exercise list'!T$2,IF($A393=$A392,AZ392,1))-AE393&lt;0),-1,MIN(1,IF($A393=$A392,AZ392,1)-AE393+$D$2))</f>
        <v>1</v>
      </c>
      <c r="BA393" s="19">
        <f>IF(OR($J393=1,COUNTIFS($A$5:$A392,"&gt;="&amp;$A393-1,$A$5:$A392,"&lt;="&amp;$A393,$B$5:$B392,$B393)&gt;0,MIN(1-'Exercise list'!U$2,IF($A393=$A392,BA392,1))-AF393&lt;0),-1,MIN(1,IF($A393=$A392,BA392,1)-AF393+$D$2))</f>
        <v>1</v>
      </c>
      <c r="BB393" s="19">
        <f>IF(OR($J393=1,COUNTIFS($A$5:$A392,"&gt;="&amp;$A393-1,$A$5:$A392,"&lt;="&amp;$A393,$B$5:$B392,$B393)&gt;0,MIN(1-'Exercise list'!V$2,IF($A393=$A392,BB392,1))-AG393&lt;0),-1,MIN(1,IF($A393=$A392,BB392,1)-AG393+$D$2))</f>
        <v>1</v>
      </c>
      <c r="BC393" s="19">
        <f>IF(OR($J393=1,COUNTIFS($A$5:$A392,"&gt;="&amp;$A393-1,$A$5:$A392,"&lt;="&amp;$A393,$B$5:$B392,$B393)&gt;0,MIN(1-'Exercise list'!W$2,IF($A393=$A392,BC392,1))-AH393&lt;0),-1,MIN(1,IF($A393=$A392,BC392,1)-AH393+$D$2))</f>
        <v>1</v>
      </c>
      <c r="BD393" s="19">
        <f>IF(OR($J393=1,COUNTIFS($A$5:$A392,"&gt;="&amp;$A393-1,$A$5:$A392,"&lt;="&amp;$A393,$B$5:$B392,$B393)&gt;0,MIN(1-'Exercise list'!X$2,IF($A393=$A392,BD392,1))-AI393&lt;0),-1,MIN(1,IF($A393=$A392,BD392,1)-AI393+$D$2))</f>
        <v>1</v>
      </c>
      <c r="BE393" s="19"/>
      <c r="BF393" s="23">
        <f t="shared" si="277"/>
        <v>0.19596031081758858</v>
      </c>
      <c r="BG393" s="23">
        <f t="shared" si="278"/>
        <v>0.21844636935459236</v>
      </c>
      <c r="BH393" s="23">
        <f t="shared" si="279"/>
        <v>0.14609696635987124</v>
      </c>
      <c r="BI393" s="23">
        <f t="shared" si="280"/>
        <v>0.13198015366034541</v>
      </c>
      <c r="BJ393" s="23">
        <f t="shared" si="281"/>
        <v>8.3367914198418713E-2</v>
      </c>
      <c r="BK393" s="23">
        <f t="shared" si="282"/>
        <v>0.10640640223148412</v>
      </c>
      <c r="BL393" s="23">
        <f t="shared" si="283"/>
        <v>0.21963504743569431</v>
      </c>
      <c r="BM393" s="23">
        <f t="shared" si="284"/>
        <v>3.8988008374820568E-3</v>
      </c>
      <c r="BN393" s="23">
        <f t="shared" si="285"/>
        <v>0.14537706087090876</v>
      </c>
      <c r="BO393" s="23">
        <f t="shared" si="286"/>
        <v>0.29209790661993401</v>
      </c>
      <c r="BP393" s="23">
        <f t="shared" si="287"/>
        <v>0.31584545163401867</v>
      </c>
      <c r="BQ393" s="23">
        <f t="shared" si="288"/>
        <v>0.1000007994126096</v>
      </c>
      <c r="BR393" s="23">
        <f t="shared" si="289"/>
        <v>0.13164487759885393</v>
      </c>
      <c r="BS393" s="23">
        <f t="shared" si="290"/>
        <v>2.9803550189863123E-2</v>
      </c>
      <c r="BT393" s="23">
        <f t="shared" si="291"/>
        <v>0.13492040904978705</v>
      </c>
      <c r="BU393" s="23">
        <f t="shared" si="292"/>
        <v>0.11703687414398131</v>
      </c>
      <c r="BV393" s="23">
        <f t="shared" si="293"/>
        <v>0.14633353213781661</v>
      </c>
      <c r="BW393" s="23">
        <f t="shared" si="294"/>
        <v>7.5588015111767173E-2</v>
      </c>
      <c r="BX393" s="23">
        <f t="shared" si="295"/>
        <v>8.0345659937185704E-2</v>
      </c>
      <c r="BY393" s="23">
        <f t="shared" si="296"/>
        <v>5.9014643151272549E-2</v>
      </c>
      <c r="BZ393" s="19"/>
      <c r="CA393" s="23" t="str">
        <f t="shared" si="273"/>
        <v/>
      </c>
      <c r="CB393" s="23" t="str">
        <f t="shared" si="298"/>
        <v/>
      </c>
      <c r="CC393" s="23" t="str">
        <f t="shared" si="299"/>
        <v/>
      </c>
      <c r="CD393" s="23" t="str">
        <f t="shared" si="300"/>
        <v/>
      </c>
      <c r="CE393" s="23" t="str">
        <f t="shared" si="301"/>
        <v/>
      </c>
      <c r="CF393" s="23" t="str">
        <f t="shared" si="302"/>
        <v/>
      </c>
      <c r="CG393" s="23" t="str">
        <f t="shared" si="303"/>
        <v/>
      </c>
      <c r="CH393" s="23" t="str">
        <f t="shared" si="304"/>
        <v/>
      </c>
      <c r="CI393" s="23" t="str">
        <f t="shared" si="305"/>
        <v/>
      </c>
      <c r="CJ393" s="23" t="str">
        <f t="shared" si="306"/>
        <v/>
      </c>
      <c r="CK393" s="23" t="str">
        <f t="shared" si="307"/>
        <v/>
      </c>
      <c r="CL393" s="23" t="str">
        <f t="shared" si="308"/>
        <v/>
      </c>
      <c r="CM393" s="23" t="str">
        <f t="shared" si="309"/>
        <v/>
      </c>
      <c r="CN393" s="23" t="str">
        <f t="shared" si="310"/>
        <v/>
      </c>
      <c r="CO393" s="23" t="str">
        <f t="shared" si="311"/>
        <v/>
      </c>
      <c r="CP393" s="23" t="str">
        <f t="shared" si="312"/>
        <v/>
      </c>
      <c r="CQ393" s="23" t="str">
        <f t="shared" si="313"/>
        <v/>
      </c>
      <c r="CR393" s="23" t="str">
        <f t="shared" si="314"/>
        <v/>
      </c>
      <c r="CS393" s="23" t="str">
        <f t="shared" si="315"/>
        <v/>
      </c>
      <c r="CT393" s="23" t="str">
        <f t="shared" si="316"/>
        <v/>
      </c>
      <c r="CU393" s="19"/>
    </row>
    <row r="394" spans="1:99" x14ac:dyDescent="0.25">
      <c r="A394" s="13"/>
      <c r="B394" s="14"/>
      <c r="C394" s="15" t="str" cm="1">
        <f t="array" ref="C394">IF(B394="","",INDEX('Exercise list'!$C$5:$C$102,B394))</f>
        <v/>
      </c>
      <c r="D394" s="12" t="str">
        <f t="shared" si="274"/>
        <v/>
      </c>
      <c r="E394" s="107" t="str">
        <f t="shared" si="297"/>
        <v/>
      </c>
      <c r="F394" s="63" t="str" cm="1">
        <f t="array" ref="F394">IF(B394="","",0.1+IFERROR(INDEX($F$6:$F393,SUMPRODUCT(MAX(ROW($C$6:$C393)*($C394=$C$6:$C393))-ROW($A$5)))*0.9^($A394-INDEX($A$6:A393,SUMPRODUCT(MAX(ROW($C$6:$C393)*($C394=$C$6:$C393))-ROW($A$5)))),0))</f>
        <v/>
      </c>
      <c r="G394" s="64" t="e">
        <f>INDEX('Exercise list'!$Y$5:$Y$102,MATCH(C394,'Exercise list'!$C$5:$C$102,0))</f>
        <v>#N/A</v>
      </c>
      <c r="H394" s="115">
        <f t="shared" si="275"/>
        <v>0</v>
      </c>
      <c r="I394" s="42">
        <f t="shared" si="276"/>
        <v>5</v>
      </c>
      <c r="J394" s="6" t="str" cm="1">
        <f t="array" ref="J394">IF(B394="","",INDEX('Exercise list'!$D$5:$D$102,B394))</f>
        <v/>
      </c>
      <c r="K394" s="12"/>
      <c r="L394" s="74" t="str" cm="1">
        <f t="array" ref="L394">IF(K394="","",INDEX('Exercise list'!$C$5:$C$102,K394))</f>
        <v/>
      </c>
      <c r="M394" s="6"/>
      <c r="N394" s="75" t="str" cm="1">
        <f t="array" ref="N394">IF(M394="","",INDEX('Exercise list'!$C$5:$C$102,M394))</f>
        <v/>
      </c>
      <c r="P394">
        <f>IFERROR(INDEX('Exercise list'!$E$5:$X$102,MATCH($C394,'Exercise list'!$C$5:$C$102,0),MATCH(P$5,'Exercise list'!$E$4:$X$4,0)),0)</f>
        <v>0</v>
      </c>
      <c r="Q394">
        <f>IFERROR(INDEX('Exercise list'!$E$5:$X$102,MATCH($C394,'Exercise list'!$C$5:$C$102,0),MATCH(Q$5,'Exercise list'!$E$4:$X$4,0)),0)</f>
        <v>0</v>
      </c>
      <c r="R394">
        <f>IFERROR(INDEX('Exercise list'!$E$5:$X$102,MATCH($C394,'Exercise list'!$C$5:$C$102,0),MATCH(R$5,'Exercise list'!$E$4:$X$4,0)),0)</f>
        <v>0</v>
      </c>
      <c r="S394">
        <f>IFERROR(INDEX('Exercise list'!$E$5:$X$102,MATCH($C394,'Exercise list'!$C$5:$C$102,0),MATCH(S$5,'Exercise list'!$E$4:$X$4,0)),0)</f>
        <v>0</v>
      </c>
      <c r="T394">
        <f>IFERROR(INDEX('Exercise list'!$E$5:$X$102,MATCH($C394,'Exercise list'!$C$5:$C$102,0),MATCH(T$5,'Exercise list'!$E$4:$X$4,0)),0)</f>
        <v>0</v>
      </c>
      <c r="U394">
        <f>IFERROR(INDEX('Exercise list'!$E$5:$X$102,MATCH($C394,'Exercise list'!$C$5:$C$102,0),MATCH(U$5,'Exercise list'!$E$4:$X$4,0)),0)</f>
        <v>0</v>
      </c>
      <c r="V394">
        <f>IFERROR(INDEX('Exercise list'!$E$5:$X$102,MATCH($C394,'Exercise list'!$C$5:$C$102,0),MATCH(V$5,'Exercise list'!$E$4:$X$4,0)),0)</f>
        <v>0</v>
      </c>
      <c r="W394">
        <f>IFERROR(INDEX('Exercise list'!$E$5:$X$102,MATCH($C394,'Exercise list'!$C$5:$C$102,0),MATCH(W$5,'Exercise list'!$E$4:$X$4,0)),0)</f>
        <v>0</v>
      </c>
      <c r="X394">
        <f>IFERROR(INDEX('Exercise list'!$E$5:$X$102,MATCH($C394,'Exercise list'!$C$5:$C$102,0),MATCH(X$5,'Exercise list'!$E$4:$X$4,0)),0)</f>
        <v>0</v>
      </c>
      <c r="Y394">
        <f>IFERROR(INDEX('Exercise list'!$E$5:$X$102,MATCH($C394,'Exercise list'!$C$5:$C$102,0),MATCH(Y$5,'Exercise list'!$E$4:$X$4,0)),0)</f>
        <v>0</v>
      </c>
      <c r="Z394">
        <f>IFERROR(INDEX('Exercise list'!$E$5:$X$102,MATCH($C394,'Exercise list'!$C$5:$C$102,0),MATCH(Z$5,'Exercise list'!$E$4:$X$4,0)),0)</f>
        <v>0</v>
      </c>
      <c r="AA394">
        <f>IFERROR(INDEX('Exercise list'!$E$5:$X$102,MATCH($C394,'Exercise list'!$C$5:$C$102,0),MATCH(AA$5,'Exercise list'!$E$4:$X$4,0)),0)</f>
        <v>0</v>
      </c>
      <c r="AB394">
        <f>IFERROR(INDEX('Exercise list'!$E$5:$X$102,MATCH($C394,'Exercise list'!$C$5:$C$102,0),MATCH(AB$5,'Exercise list'!$E$4:$X$4,0)),0)</f>
        <v>0</v>
      </c>
      <c r="AC394">
        <f>IFERROR(INDEX('Exercise list'!$E$5:$X$102,MATCH($C394,'Exercise list'!$C$5:$C$102,0),MATCH(AC$5,'Exercise list'!$E$4:$X$4,0)),0)</f>
        <v>0</v>
      </c>
      <c r="AD394">
        <f>IFERROR(INDEX('Exercise list'!$E$5:$X$102,MATCH($C394,'Exercise list'!$C$5:$C$102,0),MATCH(AD$5,'Exercise list'!$E$4:$X$4,0)),0)</f>
        <v>0</v>
      </c>
      <c r="AE394">
        <f>IFERROR(INDEX('Exercise list'!$E$5:$X$102,MATCH($C394,'Exercise list'!$C$5:$C$102,0),MATCH(AE$5,'Exercise list'!$E$4:$X$4,0)),0)</f>
        <v>0</v>
      </c>
      <c r="AF394">
        <f>IFERROR(INDEX('Exercise list'!$E$5:$X$102,MATCH($C394,'Exercise list'!$C$5:$C$102,0),MATCH(AF$5,'Exercise list'!$E$4:$X$4,0)),0)</f>
        <v>0</v>
      </c>
      <c r="AG394">
        <f>IFERROR(INDEX('Exercise list'!$E$5:$X$102,MATCH($C394,'Exercise list'!$C$5:$C$102,0),MATCH(AG$5,'Exercise list'!$E$4:$X$4,0)),0)</f>
        <v>0</v>
      </c>
      <c r="AH394">
        <f>IFERROR(INDEX('Exercise list'!$E$5:$X$102,MATCH($C394,'Exercise list'!$C$5:$C$102,0),MATCH(AH$5,'Exercise list'!$E$4:$X$4,0)),0)</f>
        <v>0</v>
      </c>
      <c r="AI394">
        <f>IFERROR(INDEX('Exercise list'!$E$5:$X$102,MATCH($C394,'Exercise list'!$C$5:$C$102,0),MATCH(AI$5,'Exercise list'!$E$4:$X$4,0)),0)</f>
        <v>0</v>
      </c>
      <c r="AK394">
        <f>IF(OR($J394=1,COUNTIFS($A$5:$A393,"&gt;="&amp;$A394-1,$A$5:$A393,"&lt;="&amp;$A394,$B$5:$B393,$B394)&gt;0,MIN(1-'Exercise list'!E$2,IF($A394=$A393,AK393,1))-P394&lt;0),-1,MIN(1,IF($A394=$A393,AK393,1)-P394+$D$2))</f>
        <v>1</v>
      </c>
      <c r="AL394">
        <f>IF(OR($J394=1,COUNTIFS($A$5:$A393,"&gt;="&amp;$A394-1,$A$5:$A393,"&lt;="&amp;$A394,$B$5:$B393,$B394)&gt;0,MIN(1-'Exercise list'!F$2,IF($A394=$A393,AL393,1))-Q394&lt;0),-1,MIN(1,IF($A394=$A393,AL393,1)-Q394+$D$2))</f>
        <v>1</v>
      </c>
      <c r="AM394">
        <f>IF(OR($J394=1,COUNTIFS($A$5:$A393,"&gt;="&amp;$A394-1,$A$5:$A393,"&lt;="&amp;$A394,$B$5:$B393,$B394)&gt;0,MIN(1-'Exercise list'!G$2,IF($A394=$A393,AM393,1))-R394&lt;0),-1,MIN(1,IF($A394=$A393,AM393,1)-R394+$D$2))</f>
        <v>1</v>
      </c>
      <c r="AN394">
        <f>IF(OR($J394=1,COUNTIFS($A$5:$A393,"&gt;="&amp;$A394-1,$A$5:$A393,"&lt;="&amp;$A394,$B$5:$B393,$B394)&gt;0,MIN(1-'Exercise list'!H$2,IF($A394=$A393,AN393,1))-S394&lt;0),-1,MIN(1,IF($A394=$A393,AN393,1)-S394+$D$2))</f>
        <v>1</v>
      </c>
      <c r="AO394">
        <f>IF(OR($J394=1,COUNTIFS($A$5:$A393,"&gt;="&amp;$A394-1,$A$5:$A393,"&lt;="&amp;$A394,$B$5:$B393,$B394)&gt;0,MIN(1-'Exercise list'!I$2,IF($A394=$A393,AO393,1))-T394&lt;0),-1,MIN(1,IF($A394=$A393,AO393,1)-T394+$D$2))</f>
        <v>1</v>
      </c>
      <c r="AP394">
        <f>IF(OR($J394=1,COUNTIFS($A$5:$A393,"&gt;="&amp;$A394-1,$A$5:$A393,"&lt;="&amp;$A394,$B$5:$B393,$B394)&gt;0,MIN(1-'Exercise list'!J$2,IF($A394=$A393,AP393,1))-U394&lt;0),-1,MIN(1,IF($A394=$A393,AP393,1)-U394+$D$2))</f>
        <v>1</v>
      </c>
      <c r="AQ394">
        <f>IF(OR($J394=1,COUNTIFS($A$5:$A393,"&gt;="&amp;$A394-1,$A$5:$A393,"&lt;="&amp;$A394,$B$5:$B393,$B394)&gt;0,MIN(1-'Exercise list'!K$2,IF($A394=$A393,AQ393,1))-V394&lt;0),-1,MIN(1,IF($A394=$A393,AQ393,1)-V394+$D$2))</f>
        <v>1</v>
      </c>
      <c r="AR394">
        <f>IF(OR($J394=1,COUNTIFS($A$5:$A393,"&gt;="&amp;$A394-1,$A$5:$A393,"&lt;="&amp;$A394,$B$5:$B393,$B394)&gt;0,MIN(1-'Exercise list'!L$2,IF($A394=$A393,AR393,1))-W394&lt;0),-1,MIN(1,IF($A394=$A393,AR393,1)-W394+$D$2))</f>
        <v>1</v>
      </c>
      <c r="AS394">
        <f>IF(OR($J394=1,COUNTIFS($A$5:$A393,"&gt;="&amp;$A394-1,$A$5:$A393,"&lt;="&amp;$A394,$B$5:$B393,$B394)&gt;0,MIN(1-'Exercise list'!M$2,IF($A394=$A393,AS393,1))-X394&lt;0),-1,MIN(1,IF($A394=$A393,AS393,1)-X394+$D$2))</f>
        <v>1</v>
      </c>
      <c r="AT394">
        <f>IF(OR($J394=1,COUNTIFS($A$5:$A393,"&gt;="&amp;$A394-1,$A$5:$A393,"&lt;="&amp;$A394,$B$5:$B393,$B394)&gt;0,MIN(1-'Exercise list'!N$2,IF($A394=$A393,AT393,1))-Y394&lt;0),-1,MIN(1,IF($A394=$A393,AT393,1)-Y394+$D$2))</f>
        <v>1</v>
      </c>
      <c r="AU394">
        <f>IF(OR($J394=1,COUNTIFS($A$5:$A393,"&gt;="&amp;$A394-1,$A$5:$A393,"&lt;="&amp;$A394,$B$5:$B393,$B394)&gt;0,MIN(1-'Exercise list'!O$2,IF($A394=$A393,AU393,1))-Z394&lt;0),-1,MIN(1,IF($A394=$A393,AU393,1)-Z394+$D$2))</f>
        <v>1</v>
      </c>
      <c r="AV394">
        <f>IF(OR($J394=1,COUNTIFS($A$5:$A393,"&gt;="&amp;$A394-1,$A$5:$A393,"&lt;="&amp;$A394,$B$5:$B393,$B394)&gt;0,MIN(1-'Exercise list'!P$2,IF($A394=$A393,AV393,1))-AA394&lt;0),-1,MIN(1,IF($A394=$A393,AV393,1)-AA394+$D$2))</f>
        <v>1</v>
      </c>
      <c r="AW394">
        <f>IF(OR($J394=1,COUNTIFS($A$5:$A393,"&gt;="&amp;$A394-1,$A$5:$A393,"&lt;="&amp;$A394,$B$5:$B393,$B394)&gt;0,MIN(1-'Exercise list'!Q$2,IF($A394=$A393,AW393,1))-AB394&lt;0),-1,MIN(1,IF($A394=$A393,AW393,1)-AB394+$D$2))</f>
        <v>1</v>
      </c>
      <c r="AX394">
        <f>IF(OR($J394=1,COUNTIFS($A$5:$A393,"&gt;="&amp;$A394-1,$A$5:$A393,"&lt;="&amp;$A394,$B$5:$B393,$B394)&gt;0,MIN(1-'Exercise list'!R$2,IF($A394=$A393,AX393,1))-AC394&lt;0),-1,MIN(1,IF($A394=$A393,AX393,1)-AC394+$D$2))</f>
        <v>1</v>
      </c>
      <c r="AY394">
        <f>IF(OR($J394=1,COUNTIFS($A$5:$A393,"&gt;="&amp;$A394-1,$A$5:$A393,"&lt;="&amp;$A394,$B$5:$B393,$B394)&gt;0,MIN(1-'Exercise list'!S$2,IF($A394=$A393,AY393,1))-AD394&lt;0),-1,MIN(1,IF($A394=$A393,AY393,1)-AD394+$D$2))</f>
        <v>1</v>
      </c>
      <c r="AZ394">
        <f>IF(OR($J394=1,COUNTIFS($A$5:$A393,"&gt;="&amp;$A394-1,$A$5:$A393,"&lt;="&amp;$A394,$B$5:$B393,$B394)&gt;0,MIN(1-'Exercise list'!T$2,IF($A394=$A393,AZ393,1))-AE394&lt;0),-1,MIN(1,IF($A394=$A393,AZ393,1)-AE394+$D$2))</f>
        <v>1</v>
      </c>
      <c r="BA394">
        <f>IF(OR($J394=1,COUNTIFS($A$5:$A393,"&gt;="&amp;$A394-1,$A$5:$A393,"&lt;="&amp;$A394,$B$5:$B393,$B394)&gt;0,MIN(1-'Exercise list'!U$2,IF($A394=$A393,BA393,1))-AF394&lt;0),-1,MIN(1,IF($A394=$A393,BA393,1)-AF394+$D$2))</f>
        <v>1</v>
      </c>
      <c r="BB394">
        <f>IF(OR($J394=1,COUNTIFS($A$5:$A393,"&gt;="&amp;$A394-1,$A$5:$A393,"&lt;="&amp;$A394,$B$5:$B393,$B394)&gt;0,MIN(1-'Exercise list'!V$2,IF($A394=$A393,BB393,1))-AG394&lt;0),-1,MIN(1,IF($A394=$A393,BB393,1)-AG394+$D$2))</f>
        <v>1</v>
      </c>
      <c r="BC394">
        <f>IF(OR($J394=1,COUNTIFS($A$5:$A393,"&gt;="&amp;$A394-1,$A$5:$A393,"&lt;="&amp;$A394,$B$5:$B393,$B394)&gt;0,MIN(1-'Exercise list'!W$2,IF($A394=$A393,BC393,1))-AH394&lt;0),-1,MIN(1,IF($A394=$A393,BC393,1)-AH394+$D$2))</f>
        <v>1</v>
      </c>
      <c r="BD394">
        <f>IF(OR($J394=1,COUNTIFS($A$5:$A393,"&gt;="&amp;$A394-1,$A$5:$A393,"&lt;="&amp;$A394,$B$5:$B393,$B394)&gt;0,MIN(1-'Exercise list'!X$2,IF($A394=$A393,BD393,1))-AI394&lt;0),-1,MIN(1,IF($A394=$A393,BD393,1)-AI394+$D$2))</f>
        <v>1</v>
      </c>
      <c r="BF394" s="16">
        <f t="shared" si="277"/>
        <v>0.19596031081758858</v>
      </c>
      <c r="BG394" s="16">
        <f t="shared" si="278"/>
        <v>0.21844636935459236</v>
      </c>
      <c r="BH394" s="16">
        <f t="shared" si="279"/>
        <v>0.14609696635987124</v>
      </c>
      <c r="BI394" s="16">
        <f t="shared" si="280"/>
        <v>0.13198015366034541</v>
      </c>
      <c r="BJ394" s="16">
        <f t="shared" si="281"/>
        <v>8.3367914198418713E-2</v>
      </c>
      <c r="BK394" s="16">
        <f t="shared" si="282"/>
        <v>0.10640640223148412</v>
      </c>
      <c r="BL394" s="16">
        <f t="shared" si="283"/>
        <v>0.21963504743569431</v>
      </c>
      <c r="BM394" s="16">
        <f t="shared" si="284"/>
        <v>3.8988008374820568E-3</v>
      </c>
      <c r="BN394" s="16">
        <f t="shared" si="285"/>
        <v>0.14537706087090876</v>
      </c>
      <c r="BO394" s="16">
        <f t="shared" si="286"/>
        <v>0.29209790661993401</v>
      </c>
      <c r="BP394" s="16">
        <f t="shared" si="287"/>
        <v>0.31584545163401867</v>
      </c>
      <c r="BQ394" s="16">
        <f t="shared" si="288"/>
        <v>0.1000007994126096</v>
      </c>
      <c r="BR394" s="16">
        <f t="shared" si="289"/>
        <v>0.13164487759885393</v>
      </c>
      <c r="BS394" s="16">
        <f t="shared" si="290"/>
        <v>2.9803550189863123E-2</v>
      </c>
      <c r="BT394" s="16">
        <f t="shared" si="291"/>
        <v>0.13492040904978705</v>
      </c>
      <c r="BU394" s="16">
        <f t="shared" si="292"/>
        <v>0.11703687414398131</v>
      </c>
      <c r="BV394" s="16">
        <f t="shared" si="293"/>
        <v>0.14633353213781661</v>
      </c>
      <c r="BW394" s="16">
        <f t="shared" si="294"/>
        <v>7.5588015111767173E-2</v>
      </c>
      <c r="BX394" s="16">
        <f t="shared" si="295"/>
        <v>8.0345659937185704E-2</v>
      </c>
      <c r="BY394" s="16">
        <f t="shared" si="296"/>
        <v>5.9014643151272549E-2</v>
      </c>
      <c r="CA394" s="16" t="str">
        <f t="shared" si="273"/>
        <v/>
      </c>
      <c r="CB394" s="16" t="str">
        <f t="shared" si="298"/>
        <v/>
      </c>
      <c r="CC394" s="16" t="str">
        <f t="shared" si="299"/>
        <v/>
      </c>
      <c r="CD394" s="16" t="str">
        <f t="shared" si="300"/>
        <v/>
      </c>
      <c r="CE394" s="16" t="str">
        <f t="shared" si="301"/>
        <v/>
      </c>
      <c r="CF394" s="16" t="str">
        <f t="shared" si="302"/>
        <v/>
      </c>
      <c r="CG394" s="16" t="str">
        <f t="shared" si="303"/>
        <v/>
      </c>
      <c r="CH394" s="16" t="str">
        <f t="shared" si="304"/>
        <v/>
      </c>
      <c r="CI394" s="16" t="str">
        <f t="shared" si="305"/>
        <v/>
      </c>
      <c r="CJ394" s="16" t="str">
        <f t="shared" si="306"/>
        <v/>
      </c>
      <c r="CK394" s="16" t="str">
        <f t="shared" si="307"/>
        <v/>
      </c>
      <c r="CL394" s="16" t="str">
        <f t="shared" si="308"/>
        <v/>
      </c>
      <c r="CM394" s="16" t="str">
        <f t="shared" si="309"/>
        <v/>
      </c>
      <c r="CN394" s="16" t="str">
        <f t="shared" si="310"/>
        <v/>
      </c>
      <c r="CO394" s="16" t="str">
        <f t="shared" si="311"/>
        <v/>
      </c>
      <c r="CP394" s="16" t="str">
        <f t="shared" si="312"/>
        <v/>
      </c>
      <c r="CQ394" s="16" t="str">
        <f t="shared" si="313"/>
        <v/>
      </c>
      <c r="CR394" s="16" t="str">
        <f t="shared" si="314"/>
        <v/>
      </c>
      <c r="CS394" s="16" t="str">
        <f t="shared" si="315"/>
        <v/>
      </c>
      <c r="CT394" s="16" t="str">
        <f t="shared" si="316"/>
        <v/>
      </c>
    </row>
    <row r="395" spans="1:99" x14ac:dyDescent="0.25">
      <c r="A395" s="13"/>
      <c r="B395" s="14"/>
      <c r="C395" s="15" t="str" cm="1">
        <f t="array" ref="C395">IF(B395="","",INDEX('Exercise list'!$C$5:$C$102,B395))</f>
        <v/>
      </c>
      <c r="D395" s="12" t="str">
        <f t="shared" si="274"/>
        <v/>
      </c>
      <c r="E395" s="107" t="str">
        <f t="shared" si="297"/>
        <v/>
      </c>
      <c r="F395" s="63" t="str" cm="1">
        <f t="array" ref="F395">IF(B395="","",0.1+IFERROR(INDEX($F$6:$F394,SUMPRODUCT(MAX(ROW($C$6:$C394)*($C395=$C$6:$C394))-ROW($A$5)))*0.9^($A395-INDEX($A$6:A394,SUMPRODUCT(MAX(ROW($C$6:$C394)*($C395=$C$6:$C394))-ROW($A$5)))),0))</f>
        <v/>
      </c>
      <c r="G395" s="64" t="e">
        <f>INDEX('Exercise list'!$Y$5:$Y$102,MATCH(C395,'Exercise list'!$C$5:$C$102,0))</f>
        <v>#N/A</v>
      </c>
      <c r="H395" s="115">
        <f t="shared" si="275"/>
        <v>0</v>
      </c>
      <c r="I395" s="6">
        <f t="shared" si="276"/>
        <v>5</v>
      </c>
      <c r="J395" s="6" t="str" cm="1">
        <f t="array" ref="J395">IF(B395="","",INDEX('Exercise list'!$D$5:$D$102,B395))</f>
        <v/>
      </c>
      <c r="K395" s="12"/>
      <c r="L395" s="74" t="str" cm="1">
        <f t="array" ref="L395">IF(K395="","",INDEX('Exercise list'!$C$5:$C$102,K395))</f>
        <v/>
      </c>
      <c r="M395" s="6"/>
      <c r="N395" s="75" t="str" cm="1">
        <f t="array" ref="N395">IF(M395="","",INDEX('Exercise list'!$C$5:$C$102,M395))</f>
        <v/>
      </c>
      <c r="P395">
        <f>IFERROR(INDEX('Exercise list'!$E$5:$X$102,MATCH($C395,'Exercise list'!$C$5:$C$102,0),MATCH(P$5,'Exercise list'!$E$4:$X$4,0)),0)</f>
        <v>0</v>
      </c>
      <c r="Q395">
        <f>IFERROR(INDEX('Exercise list'!$E$5:$X$102,MATCH($C395,'Exercise list'!$C$5:$C$102,0),MATCH(Q$5,'Exercise list'!$E$4:$X$4,0)),0)</f>
        <v>0</v>
      </c>
      <c r="R395">
        <f>IFERROR(INDEX('Exercise list'!$E$5:$X$102,MATCH($C395,'Exercise list'!$C$5:$C$102,0),MATCH(R$5,'Exercise list'!$E$4:$X$4,0)),0)</f>
        <v>0</v>
      </c>
      <c r="S395">
        <f>IFERROR(INDEX('Exercise list'!$E$5:$X$102,MATCH($C395,'Exercise list'!$C$5:$C$102,0),MATCH(S$5,'Exercise list'!$E$4:$X$4,0)),0)</f>
        <v>0</v>
      </c>
      <c r="T395">
        <f>IFERROR(INDEX('Exercise list'!$E$5:$X$102,MATCH($C395,'Exercise list'!$C$5:$C$102,0),MATCH(T$5,'Exercise list'!$E$4:$X$4,0)),0)</f>
        <v>0</v>
      </c>
      <c r="U395">
        <f>IFERROR(INDEX('Exercise list'!$E$5:$X$102,MATCH($C395,'Exercise list'!$C$5:$C$102,0),MATCH(U$5,'Exercise list'!$E$4:$X$4,0)),0)</f>
        <v>0</v>
      </c>
      <c r="V395">
        <f>IFERROR(INDEX('Exercise list'!$E$5:$X$102,MATCH($C395,'Exercise list'!$C$5:$C$102,0),MATCH(V$5,'Exercise list'!$E$4:$X$4,0)),0)</f>
        <v>0</v>
      </c>
      <c r="W395">
        <f>IFERROR(INDEX('Exercise list'!$E$5:$X$102,MATCH($C395,'Exercise list'!$C$5:$C$102,0),MATCH(W$5,'Exercise list'!$E$4:$X$4,0)),0)</f>
        <v>0</v>
      </c>
      <c r="X395">
        <f>IFERROR(INDEX('Exercise list'!$E$5:$X$102,MATCH($C395,'Exercise list'!$C$5:$C$102,0),MATCH(X$5,'Exercise list'!$E$4:$X$4,0)),0)</f>
        <v>0</v>
      </c>
      <c r="Y395">
        <f>IFERROR(INDEX('Exercise list'!$E$5:$X$102,MATCH($C395,'Exercise list'!$C$5:$C$102,0),MATCH(Y$5,'Exercise list'!$E$4:$X$4,0)),0)</f>
        <v>0</v>
      </c>
      <c r="Z395">
        <f>IFERROR(INDEX('Exercise list'!$E$5:$X$102,MATCH($C395,'Exercise list'!$C$5:$C$102,0),MATCH(Z$5,'Exercise list'!$E$4:$X$4,0)),0)</f>
        <v>0</v>
      </c>
      <c r="AA395">
        <f>IFERROR(INDEX('Exercise list'!$E$5:$X$102,MATCH($C395,'Exercise list'!$C$5:$C$102,0),MATCH(AA$5,'Exercise list'!$E$4:$X$4,0)),0)</f>
        <v>0</v>
      </c>
      <c r="AB395">
        <f>IFERROR(INDEX('Exercise list'!$E$5:$X$102,MATCH($C395,'Exercise list'!$C$5:$C$102,0),MATCH(AB$5,'Exercise list'!$E$4:$X$4,0)),0)</f>
        <v>0</v>
      </c>
      <c r="AC395">
        <f>IFERROR(INDEX('Exercise list'!$E$5:$X$102,MATCH($C395,'Exercise list'!$C$5:$C$102,0),MATCH(AC$5,'Exercise list'!$E$4:$X$4,0)),0)</f>
        <v>0</v>
      </c>
      <c r="AD395">
        <f>IFERROR(INDEX('Exercise list'!$E$5:$X$102,MATCH($C395,'Exercise list'!$C$5:$C$102,0),MATCH(AD$5,'Exercise list'!$E$4:$X$4,0)),0)</f>
        <v>0</v>
      </c>
      <c r="AE395">
        <f>IFERROR(INDEX('Exercise list'!$E$5:$X$102,MATCH($C395,'Exercise list'!$C$5:$C$102,0),MATCH(AE$5,'Exercise list'!$E$4:$X$4,0)),0)</f>
        <v>0</v>
      </c>
      <c r="AF395">
        <f>IFERROR(INDEX('Exercise list'!$E$5:$X$102,MATCH($C395,'Exercise list'!$C$5:$C$102,0),MATCH(AF$5,'Exercise list'!$E$4:$X$4,0)),0)</f>
        <v>0</v>
      </c>
      <c r="AG395">
        <f>IFERROR(INDEX('Exercise list'!$E$5:$X$102,MATCH($C395,'Exercise list'!$C$5:$C$102,0),MATCH(AG$5,'Exercise list'!$E$4:$X$4,0)),0)</f>
        <v>0</v>
      </c>
      <c r="AH395">
        <f>IFERROR(INDEX('Exercise list'!$E$5:$X$102,MATCH($C395,'Exercise list'!$C$5:$C$102,0),MATCH(AH$5,'Exercise list'!$E$4:$X$4,0)),0)</f>
        <v>0</v>
      </c>
      <c r="AI395">
        <f>IFERROR(INDEX('Exercise list'!$E$5:$X$102,MATCH($C395,'Exercise list'!$C$5:$C$102,0),MATCH(AI$5,'Exercise list'!$E$4:$X$4,0)),0)</f>
        <v>0</v>
      </c>
      <c r="AK395">
        <f>IF(OR($J395=1,COUNTIFS($A$5:$A394,"&gt;="&amp;$A395-1,$A$5:$A394,"&lt;="&amp;$A395,$B$5:$B394,$B395)&gt;0,MIN(1-'Exercise list'!E$2,IF($A395=$A394,AK394,1))-P395&lt;0),-1,MIN(1,IF($A395=$A394,AK394,1)-P395+$D$2))</f>
        <v>1</v>
      </c>
      <c r="AL395">
        <f>IF(OR($J395=1,COUNTIFS($A$5:$A394,"&gt;="&amp;$A395-1,$A$5:$A394,"&lt;="&amp;$A395,$B$5:$B394,$B395)&gt;0,MIN(1-'Exercise list'!F$2,IF($A395=$A394,AL394,1))-Q395&lt;0),-1,MIN(1,IF($A395=$A394,AL394,1)-Q395+$D$2))</f>
        <v>1</v>
      </c>
      <c r="AM395">
        <f>IF(OR($J395=1,COUNTIFS($A$5:$A394,"&gt;="&amp;$A395-1,$A$5:$A394,"&lt;="&amp;$A395,$B$5:$B394,$B395)&gt;0,MIN(1-'Exercise list'!G$2,IF($A395=$A394,AM394,1))-R395&lt;0),-1,MIN(1,IF($A395=$A394,AM394,1)-R395+$D$2))</f>
        <v>1</v>
      </c>
      <c r="AN395">
        <f>IF(OR($J395=1,COUNTIFS($A$5:$A394,"&gt;="&amp;$A395-1,$A$5:$A394,"&lt;="&amp;$A395,$B$5:$B394,$B395)&gt;0,MIN(1-'Exercise list'!H$2,IF($A395=$A394,AN394,1))-S395&lt;0),-1,MIN(1,IF($A395=$A394,AN394,1)-S395+$D$2))</f>
        <v>1</v>
      </c>
      <c r="AO395">
        <f>IF(OR($J395=1,COUNTIFS($A$5:$A394,"&gt;="&amp;$A395-1,$A$5:$A394,"&lt;="&amp;$A395,$B$5:$B394,$B395)&gt;0,MIN(1-'Exercise list'!I$2,IF($A395=$A394,AO394,1))-T395&lt;0),-1,MIN(1,IF($A395=$A394,AO394,1)-T395+$D$2))</f>
        <v>1</v>
      </c>
      <c r="AP395">
        <f>IF(OR($J395=1,COUNTIFS($A$5:$A394,"&gt;="&amp;$A395-1,$A$5:$A394,"&lt;="&amp;$A395,$B$5:$B394,$B395)&gt;0,MIN(1-'Exercise list'!J$2,IF($A395=$A394,AP394,1))-U395&lt;0),-1,MIN(1,IF($A395=$A394,AP394,1)-U395+$D$2))</f>
        <v>1</v>
      </c>
      <c r="AQ395">
        <f>IF(OR($J395=1,COUNTIFS($A$5:$A394,"&gt;="&amp;$A395-1,$A$5:$A394,"&lt;="&amp;$A395,$B$5:$B394,$B395)&gt;0,MIN(1-'Exercise list'!K$2,IF($A395=$A394,AQ394,1))-V395&lt;0),-1,MIN(1,IF($A395=$A394,AQ394,1)-V395+$D$2))</f>
        <v>1</v>
      </c>
      <c r="AR395">
        <f>IF(OR($J395=1,COUNTIFS($A$5:$A394,"&gt;="&amp;$A395-1,$A$5:$A394,"&lt;="&amp;$A395,$B$5:$B394,$B395)&gt;0,MIN(1-'Exercise list'!L$2,IF($A395=$A394,AR394,1))-W395&lt;0),-1,MIN(1,IF($A395=$A394,AR394,1)-W395+$D$2))</f>
        <v>1</v>
      </c>
      <c r="AS395">
        <f>IF(OR($J395=1,COUNTIFS($A$5:$A394,"&gt;="&amp;$A395-1,$A$5:$A394,"&lt;="&amp;$A395,$B$5:$B394,$B395)&gt;0,MIN(1-'Exercise list'!M$2,IF($A395=$A394,AS394,1))-X395&lt;0),-1,MIN(1,IF($A395=$A394,AS394,1)-X395+$D$2))</f>
        <v>1</v>
      </c>
      <c r="AT395">
        <f>IF(OR($J395=1,COUNTIFS($A$5:$A394,"&gt;="&amp;$A395-1,$A$5:$A394,"&lt;="&amp;$A395,$B$5:$B394,$B395)&gt;0,MIN(1-'Exercise list'!N$2,IF($A395=$A394,AT394,1))-Y395&lt;0),-1,MIN(1,IF($A395=$A394,AT394,1)-Y395+$D$2))</f>
        <v>1</v>
      </c>
      <c r="AU395">
        <f>IF(OR($J395=1,COUNTIFS($A$5:$A394,"&gt;="&amp;$A395-1,$A$5:$A394,"&lt;="&amp;$A395,$B$5:$B394,$B395)&gt;0,MIN(1-'Exercise list'!O$2,IF($A395=$A394,AU394,1))-Z395&lt;0),-1,MIN(1,IF($A395=$A394,AU394,1)-Z395+$D$2))</f>
        <v>1</v>
      </c>
      <c r="AV395">
        <f>IF(OR($J395=1,COUNTIFS($A$5:$A394,"&gt;="&amp;$A395-1,$A$5:$A394,"&lt;="&amp;$A395,$B$5:$B394,$B395)&gt;0,MIN(1-'Exercise list'!P$2,IF($A395=$A394,AV394,1))-AA395&lt;0),-1,MIN(1,IF($A395=$A394,AV394,1)-AA395+$D$2))</f>
        <v>1</v>
      </c>
      <c r="AW395">
        <f>IF(OR($J395=1,COUNTIFS($A$5:$A394,"&gt;="&amp;$A395-1,$A$5:$A394,"&lt;="&amp;$A395,$B$5:$B394,$B395)&gt;0,MIN(1-'Exercise list'!Q$2,IF($A395=$A394,AW394,1))-AB395&lt;0),-1,MIN(1,IF($A395=$A394,AW394,1)-AB395+$D$2))</f>
        <v>1</v>
      </c>
      <c r="AX395">
        <f>IF(OR($J395=1,COUNTIFS($A$5:$A394,"&gt;="&amp;$A395-1,$A$5:$A394,"&lt;="&amp;$A395,$B$5:$B394,$B395)&gt;0,MIN(1-'Exercise list'!R$2,IF($A395=$A394,AX394,1))-AC395&lt;0),-1,MIN(1,IF($A395=$A394,AX394,1)-AC395+$D$2))</f>
        <v>1</v>
      </c>
      <c r="AY395">
        <f>IF(OR($J395=1,COUNTIFS($A$5:$A394,"&gt;="&amp;$A395-1,$A$5:$A394,"&lt;="&amp;$A395,$B$5:$B394,$B395)&gt;0,MIN(1-'Exercise list'!S$2,IF($A395=$A394,AY394,1))-AD395&lt;0),-1,MIN(1,IF($A395=$A394,AY394,1)-AD395+$D$2))</f>
        <v>1</v>
      </c>
      <c r="AZ395">
        <f>IF(OR($J395=1,COUNTIFS($A$5:$A394,"&gt;="&amp;$A395-1,$A$5:$A394,"&lt;="&amp;$A395,$B$5:$B394,$B395)&gt;0,MIN(1-'Exercise list'!T$2,IF($A395=$A394,AZ394,1))-AE395&lt;0),-1,MIN(1,IF($A395=$A394,AZ394,1)-AE395+$D$2))</f>
        <v>1</v>
      </c>
      <c r="BA395">
        <f>IF(OR($J395=1,COUNTIFS($A$5:$A394,"&gt;="&amp;$A395-1,$A$5:$A394,"&lt;="&amp;$A395,$B$5:$B394,$B395)&gt;0,MIN(1-'Exercise list'!U$2,IF($A395=$A394,BA394,1))-AF395&lt;0),-1,MIN(1,IF($A395=$A394,BA394,1)-AF395+$D$2))</f>
        <v>1</v>
      </c>
      <c r="BB395">
        <f>IF(OR($J395=1,COUNTIFS($A$5:$A394,"&gt;="&amp;$A395-1,$A$5:$A394,"&lt;="&amp;$A395,$B$5:$B394,$B395)&gt;0,MIN(1-'Exercise list'!V$2,IF($A395=$A394,BB394,1))-AG395&lt;0),-1,MIN(1,IF($A395=$A394,BB394,1)-AG395+$D$2))</f>
        <v>1</v>
      </c>
      <c r="BC395">
        <f>IF(OR($J395=1,COUNTIFS($A$5:$A394,"&gt;="&amp;$A395-1,$A$5:$A394,"&lt;="&amp;$A395,$B$5:$B394,$B395)&gt;0,MIN(1-'Exercise list'!W$2,IF($A395=$A394,BC394,1))-AH395&lt;0),-1,MIN(1,IF($A395=$A394,BC394,1)-AH395+$D$2))</f>
        <v>1</v>
      </c>
      <c r="BD395">
        <f>IF(OR($J395=1,COUNTIFS($A$5:$A394,"&gt;="&amp;$A395-1,$A$5:$A394,"&lt;="&amp;$A395,$B$5:$B394,$B395)&gt;0,MIN(1-'Exercise list'!X$2,IF($A395=$A394,BD394,1))-AI395&lt;0),-1,MIN(1,IF($A395=$A394,BD394,1)-AI395+$D$2))</f>
        <v>1</v>
      </c>
      <c r="BF395" s="16">
        <f t="shared" si="277"/>
        <v>0.19596031081758858</v>
      </c>
      <c r="BG395" s="16">
        <f t="shared" si="278"/>
        <v>0.21844636935459236</v>
      </c>
      <c r="BH395" s="16">
        <f t="shared" si="279"/>
        <v>0.14609696635987124</v>
      </c>
      <c r="BI395" s="16">
        <f t="shared" si="280"/>
        <v>0.13198015366034541</v>
      </c>
      <c r="BJ395" s="16">
        <f t="shared" si="281"/>
        <v>8.3367914198418713E-2</v>
      </c>
      <c r="BK395" s="16">
        <f t="shared" si="282"/>
        <v>0.10640640223148412</v>
      </c>
      <c r="BL395" s="16">
        <f t="shared" si="283"/>
        <v>0.21963504743569431</v>
      </c>
      <c r="BM395" s="16">
        <f t="shared" si="284"/>
        <v>3.8988008374820568E-3</v>
      </c>
      <c r="BN395" s="16">
        <f t="shared" si="285"/>
        <v>0.14537706087090876</v>
      </c>
      <c r="BO395" s="16">
        <f t="shared" si="286"/>
        <v>0.29209790661993401</v>
      </c>
      <c r="BP395" s="16">
        <f t="shared" si="287"/>
        <v>0.31584545163401867</v>
      </c>
      <c r="BQ395" s="16">
        <f t="shared" si="288"/>
        <v>0.1000007994126096</v>
      </c>
      <c r="BR395" s="16">
        <f t="shared" si="289"/>
        <v>0.13164487759885393</v>
      </c>
      <c r="BS395" s="16">
        <f t="shared" si="290"/>
        <v>2.9803550189863123E-2</v>
      </c>
      <c r="BT395" s="16">
        <f t="shared" si="291"/>
        <v>0.13492040904978705</v>
      </c>
      <c r="BU395" s="16">
        <f t="shared" si="292"/>
        <v>0.11703687414398131</v>
      </c>
      <c r="BV395" s="16">
        <f t="shared" si="293"/>
        <v>0.14633353213781661</v>
      </c>
      <c r="BW395" s="16">
        <f t="shared" si="294"/>
        <v>7.5588015111767173E-2</v>
      </c>
      <c r="BX395" s="16">
        <f t="shared" si="295"/>
        <v>8.0345659937185704E-2</v>
      </c>
      <c r="BY395" s="16">
        <f t="shared" si="296"/>
        <v>5.9014643151272549E-2</v>
      </c>
      <c r="CA395" s="16" t="str">
        <f t="shared" ref="CA395:CA453" si="317">IF($A395="","",MAX(0,CA$2/SUM($CA$2:$CT$2)*SUM($BF395:$BY395)-BF395))</f>
        <v/>
      </c>
      <c r="CB395" s="16" t="str">
        <f t="shared" si="298"/>
        <v/>
      </c>
      <c r="CC395" s="16" t="str">
        <f t="shared" si="299"/>
        <v/>
      </c>
      <c r="CD395" s="16" t="str">
        <f t="shared" si="300"/>
        <v/>
      </c>
      <c r="CE395" s="16" t="str">
        <f t="shared" si="301"/>
        <v/>
      </c>
      <c r="CF395" s="16" t="str">
        <f t="shared" si="302"/>
        <v/>
      </c>
      <c r="CG395" s="16" t="str">
        <f t="shared" si="303"/>
        <v/>
      </c>
      <c r="CH395" s="16" t="str">
        <f t="shared" si="304"/>
        <v/>
      </c>
      <c r="CI395" s="16" t="str">
        <f t="shared" si="305"/>
        <v/>
      </c>
      <c r="CJ395" s="16" t="str">
        <f t="shared" si="306"/>
        <v/>
      </c>
      <c r="CK395" s="16" t="str">
        <f t="shared" si="307"/>
        <v/>
      </c>
      <c r="CL395" s="16" t="str">
        <f t="shared" si="308"/>
        <v/>
      </c>
      <c r="CM395" s="16" t="str">
        <f t="shared" si="309"/>
        <v/>
      </c>
      <c r="CN395" s="16" t="str">
        <f t="shared" si="310"/>
        <v/>
      </c>
      <c r="CO395" s="16" t="str">
        <f t="shared" si="311"/>
        <v/>
      </c>
      <c r="CP395" s="16" t="str">
        <f t="shared" si="312"/>
        <v/>
      </c>
      <c r="CQ395" s="16" t="str">
        <f t="shared" si="313"/>
        <v/>
      </c>
      <c r="CR395" s="16" t="str">
        <f t="shared" si="314"/>
        <v/>
      </c>
      <c r="CS395" s="16" t="str">
        <f t="shared" si="315"/>
        <v/>
      </c>
      <c r="CT395" s="16" t="str">
        <f t="shared" si="316"/>
        <v/>
      </c>
    </row>
    <row r="396" spans="1:99" x14ac:dyDescent="0.25">
      <c r="A396" s="13"/>
      <c r="B396" s="14"/>
      <c r="C396" s="15" t="str" cm="1">
        <f t="array" ref="C396">IF(B396="","",INDEX('Exercise list'!$C$5:$C$102,B396))</f>
        <v/>
      </c>
      <c r="D396" s="12" t="str">
        <f t="shared" si="274"/>
        <v/>
      </c>
      <c r="E396" s="107" t="str">
        <f t="shared" si="297"/>
        <v/>
      </c>
      <c r="F396" s="63" t="str" cm="1">
        <f t="array" ref="F396">IF(B396="","",0.1+IFERROR(INDEX($F$6:$F395,SUMPRODUCT(MAX(ROW($C$6:$C395)*($C396=$C$6:$C395))-ROW($A$5)))*0.9^($A396-INDEX($A$6:A395,SUMPRODUCT(MAX(ROW($C$6:$C395)*($C396=$C$6:$C395))-ROW($A$5)))),0))</f>
        <v/>
      </c>
      <c r="G396" s="64" t="e">
        <f>INDEX('Exercise list'!$Y$5:$Y$102,MATCH(C396,'Exercise list'!$C$5:$C$102,0))</f>
        <v>#N/A</v>
      </c>
      <c r="H396" s="115">
        <f t="shared" si="275"/>
        <v>0</v>
      </c>
      <c r="I396" s="6">
        <f t="shared" si="276"/>
        <v>5</v>
      </c>
      <c r="J396" s="6" t="str" cm="1">
        <f t="array" ref="J396">IF(B396="","",INDEX('Exercise list'!$D$5:$D$102,B396))</f>
        <v/>
      </c>
      <c r="K396" s="12"/>
      <c r="L396" s="74" t="str" cm="1">
        <f t="array" ref="L396">IF(K396="","",INDEX('Exercise list'!$C$5:$C$102,K396))</f>
        <v/>
      </c>
      <c r="M396" s="6"/>
      <c r="N396" s="75" t="str" cm="1">
        <f t="array" ref="N396">IF(M396="","",INDEX('Exercise list'!$C$5:$C$102,M396))</f>
        <v/>
      </c>
      <c r="P396">
        <f>IFERROR(INDEX('Exercise list'!$E$5:$X$102,MATCH($C396,'Exercise list'!$C$5:$C$102,0),MATCH(P$5,'Exercise list'!$E$4:$X$4,0)),0)</f>
        <v>0</v>
      </c>
      <c r="Q396">
        <f>IFERROR(INDEX('Exercise list'!$E$5:$X$102,MATCH($C396,'Exercise list'!$C$5:$C$102,0),MATCH(Q$5,'Exercise list'!$E$4:$X$4,0)),0)</f>
        <v>0</v>
      </c>
      <c r="R396">
        <f>IFERROR(INDEX('Exercise list'!$E$5:$X$102,MATCH($C396,'Exercise list'!$C$5:$C$102,0),MATCH(R$5,'Exercise list'!$E$4:$X$4,0)),0)</f>
        <v>0</v>
      </c>
      <c r="S396">
        <f>IFERROR(INDEX('Exercise list'!$E$5:$X$102,MATCH($C396,'Exercise list'!$C$5:$C$102,0),MATCH(S$5,'Exercise list'!$E$4:$X$4,0)),0)</f>
        <v>0</v>
      </c>
      <c r="T396">
        <f>IFERROR(INDEX('Exercise list'!$E$5:$X$102,MATCH($C396,'Exercise list'!$C$5:$C$102,0),MATCH(T$5,'Exercise list'!$E$4:$X$4,0)),0)</f>
        <v>0</v>
      </c>
      <c r="U396">
        <f>IFERROR(INDEX('Exercise list'!$E$5:$X$102,MATCH($C396,'Exercise list'!$C$5:$C$102,0),MATCH(U$5,'Exercise list'!$E$4:$X$4,0)),0)</f>
        <v>0</v>
      </c>
      <c r="V396">
        <f>IFERROR(INDEX('Exercise list'!$E$5:$X$102,MATCH($C396,'Exercise list'!$C$5:$C$102,0),MATCH(V$5,'Exercise list'!$E$4:$X$4,0)),0)</f>
        <v>0</v>
      </c>
      <c r="W396">
        <f>IFERROR(INDEX('Exercise list'!$E$5:$X$102,MATCH($C396,'Exercise list'!$C$5:$C$102,0),MATCH(W$5,'Exercise list'!$E$4:$X$4,0)),0)</f>
        <v>0</v>
      </c>
      <c r="X396">
        <f>IFERROR(INDEX('Exercise list'!$E$5:$X$102,MATCH($C396,'Exercise list'!$C$5:$C$102,0),MATCH(X$5,'Exercise list'!$E$4:$X$4,0)),0)</f>
        <v>0</v>
      </c>
      <c r="Y396">
        <f>IFERROR(INDEX('Exercise list'!$E$5:$X$102,MATCH($C396,'Exercise list'!$C$5:$C$102,0),MATCH(Y$5,'Exercise list'!$E$4:$X$4,0)),0)</f>
        <v>0</v>
      </c>
      <c r="Z396">
        <f>IFERROR(INDEX('Exercise list'!$E$5:$X$102,MATCH($C396,'Exercise list'!$C$5:$C$102,0),MATCH(Z$5,'Exercise list'!$E$4:$X$4,0)),0)</f>
        <v>0</v>
      </c>
      <c r="AA396">
        <f>IFERROR(INDEX('Exercise list'!$E$5:$X$102,MATCH($C396,'Exercise list'!$C$5:$C$102,0),MATCH(AA$5,'Exercise list'!$E$4:$X$4,0)),0)</f>
        <v>0</v>
      </c>
      <c r="AB396">
        <f>IFERROR(INDEX('Exercise list'!$E$5:$X$102,MATCH($C396,'Exercise list'!$C$5:$C$102,0),MATCH(AB$5,'Exercise list'!$E$4:$X$4,0)),0)</f>
        <v>0</v>
      </c>
      <c r="AC396">
        <f>IFERROR(INDEX('Exercise list'!$E$5:$X$102,MATCH($C396,'Exercise list'!$C$5:$C$102,0),MATCH(AC$5,'Exercise list'!$E$4:$X$4,0)),0)</f>
        <v>0</v>
      </c>
      <c r="AD396">
        <f>IFERROR(INDEX('Exercise list'!$E$5:$X$102,MATCH($C396,'Exercise list'!$C$5:$C$102,0),MATCH(AD$5,'Exercise list'!$E$4:$X$4,0)),0)</f>
        <v>0</v>
      </c>
      <c r="AE396">
        <f>IFERROR(INDEX('Exercise list'!$E$5:$X$102,MATCH($C396,'Exercise list'!$C$5:$C$102,0),MATCH(AE$5,'Exercise list'!$E$4:$X$4,0)),0)</f>
        <v>0</v>
      </c>
      <c r="AF396">
        <f>IFERROR(INDEX('Exercise list'!$E$5:$X$102,MATCH($C396,'Exercise list'!$C$5:$C$102,0),MATCH(AF$5,'Exercise list'!$E$4:$X$4,0)),0)</f>
        <v>0</v>
      </c>
      <c r="AG396">
        <f>IFERROR(INDEX('Exercise list'!$E$5:$X$102,MATCH($C396,'Exercise list'!$C$5:$C$102,0),MATCH(AG$5,'Exercise list'!$E$4:$X$4,0)),0)</f>
        <v>0</v>
      </c>
      <c r="AH396">
        <f>IFERROR(INDEX('Exercise list'!$E$5:$X$102,MATCH($C396,'Exercise list'!$C$5:$C$102,0),MATCH(AH$5,'Exercise list'!$E$4:$X$4,0)),0)</f>
        <v>0</v>
      </c>
      <c r="AI396">
        <f>IFERROR(INDEX('Exercise list'!$E$5:$X$102,MATCH($C396,'Exercise list'!$C$5:$C$102,0),MATCH(AI$5,'Exercise list'!$E$4:$X$4,0)),0)</f>
        <v>0</v>
      </c>
      <c r="AK396">
        <f>IF(OR($J396=1,COUNTIFS($A$5:$A395,"&gt;="&amp;$A396-1,$A$5:$A395,"&lt;="&amp;$A396,$B$5:$B395,$B396)&gt;0,MIN(1-'Exercise list'!E$2,IF($A396=$A395,AK395,1))-P396&lt;0),-1,MIN(1,IF($A396=$A395,AK395,1)-P396+$D$2))</f>
        <v>1</v>
      </c>
      <c r="AL396">
        <f>IF(OR($J396=1,COUNTIFS($A$5:$A395,"&gt;="&amp;$A396-1,$A$5:$A395,"&lt;="&amp;$A396,$B$5:$B395,$B396)&gt;0,MIN(1-'Exercise list'!F$2,IF($A396=$A395,AL395,1))-Q396&lt;0),-1,MIN(1,IF($A396=$A395,AL395,1)-Q396+$D$2))</f>
        <v>1</v>
      </c>
      <c r="AM396">
        <f>IF(OR($J396=1,COUNTIFS($A$5:$A395,"&gt;="&amp;$A396-1,$A$5:$A395,"&lt;="&amp;$A396,$B$5:$B395,$B396)&gt;0,MIN(1-'Exercise list'!G$2,IF($A396=$A395,AM395,1))-R396&lt;0),-1,MIN(1,IF($A396=$A395,AM395,1)-R396+$D$2))</f>
        <v>1</v>
      </c>
      <c r="AN396">
        <f>IF(OR($J396=1,COUNTIFS($A$5:$A395,"&gt;="&amp;$A396-1,$A$5:$A395,"&lt;="&amp;$A396,$B$5:$B395,$B396)&gt;0,MIN(1-'Exercise list'!H$2,IF($A396=$A395,AN395,1))-S396&lt;0),-1,MIN(1,IF($A396=$A395,AN395,1)-S396+$D$2))</f>
        <v>1</v>
      </c>
      <c r="AO396">
        <f>IF(OR($J396=1,COUNTIFS($A$5:$A395,"&gt;="&amp;$A396-1,$A$5:$A395,"&lt;="&amp;$A396,$B$5:$B395,$B396)&gt;0,MIN(1-'Exercise list'!I$2,IF($A396=$A395,AO395,1))-T396&lt;0),-1,MIN(1,IF($A396=$A395,AO395,1)-T396+$D$2))</f>
        <v>1</v>
      </c>
      <c r="AP396">
        <f>IF(OR($J396=1,COUNTIFS($A$5:$A395,"&gt;="&amp;$A396-1,$A$5:$A395,"&lt;="&amp;$A396,$B$5:$B395,$B396)&gt;0,MIN(1-'Exercise list'!J$2,IF($A396=$A395,AP395,1))-U396&lt;0),-1,MIN(1,IF($A396=$A395,AP395,1)-U396+$D$2))</f>
        <v>1</v>
      </c>
      <c r="AQ396">
        <f>IF(OR($J396=1,COUNTIFS($A$5:$A395,"&gt;="&amp;$A396-1,$A$5:$A395,"&lt;="&amp;$A396,$B$5:$B395,$B396)&gt;0,MIN(1-'Exercise list'!K$2,IF($A396=$A395,AQ395,1))-V396&lt;0),-1,MIN(1,IF($A396=$A395,AQ395,1)-V396+$D$2))</f>
        <v>1</v>
      </c>
      <c r="AR396">
        <f>IF(OR($J396=1,COUNTIFS($A$5:$A395,"&gt;="&amp;$A396-1,$A$5:$A395,"&lt;="&amp;$A396,$B$5:$B395,$B396)&gt;0,MIN(1-'Exercise list'!L$2,IF($A396=$A395,AR395,1))-W396&lt;0),-1,MIN(1,IF($A396=$A395,AR395,1)-W396+$D$2))</f>
        <v>1</v>
      </c>
      <c r="AS396">
        <f>IF(OR($J396=1,COUNTIFS($A$5:$A395,"&gt;="&amp;$A396-1,$A$5:$A395,"&lt;="&amp;$A396,$B$5:$B395,$B396)&gt;0,MIN(1-'Exercise list'!M$2,IF($A396=$A395,AS395,1))-X396&lt;0),-1,MIN(1,IF($A396=$A395,AS395,1)-X396+$D$2))</f>
        <v>1</v>
      </c>
      <c r="AT396">
        <f>IF(OR($J396=1,COUNTIFS($A$5:$A395,"&gt;="&amp;$A396-1,$A$5:$A395,"&lt;="&amp;$A396,$B$5:$B395,$B396)&gt;0,MIN(1-'Exercise list'!N$2,IF($A396=$A395,AT395,1))-Y396&lt;0),-1,MIN(1,IF($A396=$A395,AT395,1)-Y396+$D$2))</f>
        <v>1</v>
      </c>
      <c r="AU396">
        <f>IF(OR($J396=1,COUNTIFS($A$5:$A395,"&gt;="&amp;$A396-1,$A$5:$A395,"&lt;="&amp;$A396,$B$5:$B395,$B396)&gt;0,MIN(1-'Exercise list'!O$2,IF($A396=$A395,AU395,1))-Z396&lt;0),-1,MIN(1,IF($A396=$A395,AU395,1)-Z396+$D$2))</f>
        <v>1</v>
      </c>
      <c r="AV396">
        <f>IF(OR($J396=1,COUNTIFS($A$5:$A395,"&gt;="&amp;$A396-1,$A$5:$A395,"&lt;="&amp;$A396,$B$5:$B395,$B396)&gt;0,MIN(1-'Exercise list'!P$2,IF($A396=$A395,AV395,1))-AA396&lt;0),-1,MIN(1,IF($A396=$A395,AV395,1)-AA396+$D$2))</f>
        <v>1</v>
      </c>
      <c r="AW396">
        <f>IF(OR($J396=1,COUNTIFS($A$5:$A395,"&gt;="&amp;$A396-1,$A$5:$A395,"&lt;="&amp;$A396,$B$5:$B395,$B396)&gt;0,MIN(1-'Exercise list'!Q$2,IF($A396=$A395,AW395,1))-AB396&lt;0),-1,MIN(1,IF($A396=$A395,AW395,1)-AB396+$D$2))</f>
        <v>1</v>
      </c>
      <c r="AX396">
        <f>IF(OR($J396=1,COUNTIFS($A$5:$A395,"&gt;="&amp;$A396-1,$A$5:$A395,"&lt;="&amp;$A396,$B$5:$B395,$B396)&gt;0,MIN(1-'Exercise list'!R$2,IF($A396=$A395,AX395,1))-AC396&lt;0),-1,MIN(1,IF($A396=$A395,AX395,1)-AC396+$D$2))</f>
        <v>1</v>
      </c>
      <c r="AY396">
        <f>IF(OR($J396=1,COUNTIFS($A$5:$A395,"&gt;="&amp;$A396-1,$A$5:$A395,"&lt;="&amp;$A396,$B$5:$B395,$B396)&gt;0,MIN(1-'Exercise list'!S$2,IF($A396=$A395,AY395,1))-AD396&lt;0),-1,MIN(1,IF($A396=$A395,AY395,1)-AD396+$D$2))</f>
        <v>1</v>
      </c>
      <c r="AZ396">
        <f>IF(OR($J396=1,COUNTIFS($A$5:$A395,"&gt;="&amp;$A396-1,$A$5:$A395,"&lt;="&amp;$A396,$B$5:$B395,$B396)&gt;0,MIN(1-'Exercise list'!T$2,IF($A396=$A395,AZ395,1))-AE396&lt;0),-1,MIN(1,IF($A396=$A395,AZ395,1)-AE396+$D$2))</f>
        <v>1</v>
      </c>
      <c r="BA396">
        <f>IF(OR($J396=1,COUNTIFS($A$5:$A395,"&gt;="&amp;$A396-1,$A$5:$A395,"&lt;="&amp;$A396,$B$5:$B395,$B396)&gt;0,MIN(1-'Exercise list'!U$2,IF($A396=$A395,BA395,1))-AF396&lt;0),-1,MIN(1,IF($A396=$A395,BA395,1)-AF396+$D$2))</f>
        <v>1</v>
      </c>
      <c r="BB396">
        <f>IF(OR($J396=1,COUNTIFS($A$5:$A395,"&gt;="&amp;$A396-1,$A$5:$A395,"&lt;="&amp;$A396,$B$5:$B395,$B396)&gt;0,MIN(1-'Exercise list'!V$2,IF($A396=$A395,BB395,1))-AG396&lt;0),-1,MIN(1,IF($A396=$A395,BB395,1)-AG396+$D$2))</f>
        <v>1</v>
      </c>
      <c r="BC396">
        <f>IF(OR($J396=1,COUNTIFS($A$5:$A395,"&gt;="&amp;$A396-1,$A$5:$A395,"&lt;="&amp;$A396,$B$5:$B395,$B396)&gt;0,MIN(1-'Exercise list'!W$2,IF($A396=$A395,BC395,1))-AH396&lt;0),-1,MIN(1,IF($A396=$A395,BC395,1)-AH396+$D$2))</f>
        <v>1</v>
      </c>
      <c r="BD396">
        <f>IF(OR($J396=1,COUNTIFS($A$5:$A395,"&gt;="&amp;$A396-1,$A$5:$A395,"&lt;="&amp;$A396,$B$5:$B395,$B396)&gt;0,MIN(1-'Exercise list'!X$2,IF($A396=$A395,BD395,1))-AI396&lt;0),-1,MIN(1,IF($A396=$A395,BD395,1)-AI396+$D$2))</f>
        <v>1</v>
      </c>
      <c r="BF396" s="16">
        <f t="shared" si="277"/>
        <v>0.19596031081758858</v>
      </c>
      <c r="BG396" s="16">
        <f t="shared" si="278"/>
        <v>0.21844636935459236</v>
      </c>
      <c r="BH396" s="16">
        <f t="shared" si="279"/>
        <v>0.14609696635987124</v>
      </c>
      <c r="BI396" s="16">
        <f t="shared" si="280"/>
        <v>0.13198015366034541</v>
      </c>
      <c r="BJ396" s="16">
        <f t="shared" si="281"/>
        <v>8.3367914198418713E-2</v>
      </c>
      <c r="BK396" s="16">
        <f t="shared" si="282"/>
        <v>0.10640640223148412</v>
      </c>
      <c r="BL396" s="16">
        <f t="shared" si="283"/>
        <v>0.21963504743569431</v>
      </c>
      <c r="BM396" s="16">
        <f t="shared" si="284"/>
        <v>3.8988008374820568E-3</v>
      </c>
      <c r="BN396" s="16">
        <f t="shared" si="285"/>
        <v>0.14537706087090876</v>
      </c>
      <c r="BO396" s="16">
        <f t="shared" si="286"/>
        <v>0.29209790661993401</v>
      </c>
      <c r="BP396" s="16">
        <f t="shared" si="287"/>
        <v>0.31584545163401867</v>
      </c>
      <c r="BQ396" s="16">
        <f t="shared" si="288"/>
        <v>0.1000007994126096</v>
      </c>
      <c r="BR396" s="16">
        <f t="shared" si="289"/>
        <v>0.13164487759885393</v>
      </c>
      <c r="BS396" s="16">
        <f t="shared" si="290"/>
        <v>2.9803550189863123E-2</v>
      </c>
      <c r="BT396" s="16">
        <f t="shared" si="291"/>
        <v>0.13492040904978705</v>
      </c>
      <c r="BU396" s="16">
        <f t="shared" si="292"/>
        <v>0.11703687414398131</v>
      </c>
      <c r="BV396" s="16">
        <f t="shared" si="293"/>
        <v>0.14633353213781661</v>
      </c>
      <c r="BW396" s="16">
        <f t="shared" si="294"/>
        <v>7.5588015111767173E-2</v>
      </c>
      <c r="BX396" s="16">
        <f t="shared" si="295"/>
        <v>8.0345659937185704E-2</v>
      </c>
      <c r="BY396" s="16">
        <f t="shared" si="296"/>
        <v>5.9014643151272549E-2</v>
      </c>
      <c r="CA396" s="16" t="str">
        <f t="shared" si="317"/>
        <v/>
      </c>
      <c r="CB396" s="16" t="str">
        <f t="shared" si="298"/>
        <v/>
      </c>
      <c r="CC396" s="16" t="str">
        <f t="shared" si="299"/>
        <v/>
      </c>
      <c r="CD396" s="16" t="str">
        <f t="shared" si="300"/>
        <v/>
      </c>
      <c r="CE396" s="16" t="str">
        <f t="shared" si="301"/>
        <v/>
      </c>
      <c r="CF396" s="16" t="str">
        <f t="shared" si="302"/>
        <v/>
      </c>
      <c r="CG396" s="16" t="str">
        <f t="shared" si="303"/>
        <v/>
      </c>
      <c r="CH396" s="16" t="str">
        <f t="shared" si="304"/>
        <v/>
      </c>
      <c r="CI396" s="16" t="str">
        <f t="shared" si="305"/>
        <v/>
      </c>
      <c r="CJ396" s="16" t="str">
        <f t="shared" si="306"/>
        <v/>
      </c>
      <c r="CK396" s="16" t="str">
        <f t="shared" si="307"/>
        <v/>
      </c>
      <c r="CL396" s="16" t="str">
        <f t="shared" si="308"/>
        <v/>
      </c>
      <c r="CM396" s="16" t="str">
        <f t="shared" si="309"/>
        <v/>
      </c>
      <c r="CN396" s="16" t="str">
        <f t="shared" si="310"/>
        <v/>
      </c>
      <c r="CO396" s="16" t="str">
        <f t="shared" si="311"/>
        <v/>
      </c>
      <c r="CP396" s="16" t="str">
        <f t="shared" si="312"/>
        <v/>
      </c>
      <c r="CQ396" s="16" t="str">
        <f t="shared" si="313"/>
        <v/>
      </c>
      <c r="CR396" s="16" t="str">
        <f t="shared" si="314"/>
        <v/>
      </c>
      <c r="CS396" s="16" t="str">
        <f t="shared" si="315"/>
        <v/>
      </c>
      <c r="CT396" s="16" t="str">
        <f t="shared" si="316"/>
        <v/>
      </c>
    </row>
    <row r="397" spans="1:99" x14ac:dyDescent="0.25">
      <c r="A397" s="13"/>
      <c r="B397" s="14"/>
      <c r="C397" s="15" t="str" cm="1">
        <f t="array" ref="C397">IF(B397="","",INDEX('Exercise list'!$C$5:$C$102,B397))</f>
        <v/>
      </c>
      <c r="D397" s="12" t="str">
        <f t="shared" si="274"/>
        <v/>
      </c>
      <c r="E397" s="107" t="str">
        <f t="shared" si="297"/>
        <v/>
      </c>
      <c r="F397" s="63" t="str" cm="1">
        <f t="array" ref="F397">IF(B397="","",0.1+IFERROR(INDEX($F$6:$F396,SUMPRODUCT(MAX(ROW($C$6:$C396)*($C397=$C$6:$C396))-ROW($A$5)))*0.9^($A397-INDEX($A$6:A396,SUMPRODUCT(MAX(ROW($C$6:$C396)*($C397=$C$6:$C396))-ROW($A$5)))),0))</f>
        <v/>
      </c>
      <c r="G397" s="64" t="e">
        <f>INDEX('Exercise list'!$Y$5:$Y$102,MATCH(C397,'Exercise list'!$C$5:$C$102,0))</f>
        <v>#N/A</v>
      </c>
      <c r="H397" s="115">
        <f t="shared" si="275"/>
        <v>0</v>
      </c>
      <c r="I397" s="6">
        <f t="shared" si="276"/>
        <v>5</v>
      </c>
      <c r="J397" s="6" t="str" cm="1">
        <f t="array" ref="J397">IF(B397="","",INDEX('Exercise list'!$D$5:$D$102,B397))</f>
        <v/>
      </c>
      <c r="K397" s="12"/>
      <c r="L397" s="74" t="str" cm="1">
        <f t="array" ref="L397">IF(K397="","",INDEX('Exercise list'!$C$5:$C$102,K397))</f>
        <v/>
      </c>
      <c r="M397" s="6"/>
      <c r="N397" s="75" t="str" cm="1">
        <f t="array" ref="N397">IF(M397="","",INDEX('Exercise list'!$C$5:$C$102,M397))</f>
        <v/>
      </c>
      <c r="P397">
        <f>IFERROR(INDEX('Exercise list'!$E$5:$X$102,MATCH($C397,'Exercise list'!$C$5:$C$102,0),MATCH(P$5,'Exercise list'!$E$4:$X$4,0)),0)</f>
        <v>0</v>
      </c>
      <c r="Q397">
        <f>IFERROR(INDEX('Exercise list'!$E$5:$X$102,MATCH($C397,'Exercise list'!$C$5:$C$102,0),MATCH(Q$5,'Exercise list'!$E$4:$X$4,0)),0)</f>
        <v>0</v>
      </c>
      <c r="R397">
        <f>IFERROR(INDEX('Exercise list'!$E$5:$X$102,MATCH($C397,'Exercise list'!$C$5:$C$102,0),MATCH(R$5,'Exercise list'!$E$4:$X$4,0)),0)</f>
        <v>0</v>
      </c>
      <c r="S397">
        <f>IFERROR(INDEX('Exercise list'!$E$5:$X$102,MATCH($C397,'Exercise list'!$C$5:$C$102,0),MATCH(S$5,'Exercise list'!$E$4:$X$4,0)),0)</f>
        <v>0</v>
      </c>
      <c r="T397">
        <f>IFERROR(INDEX('Exercise list'!$E$5:$X$102,MATCH($C397,'Exercise list'!$C$5:$C$102,0),MATCH(T$5,'Exercise list'!$E$4:$X$4,0)),0)</f>
        <v>0</v>
      </c>
      <c r="U397">
        <f>IFERROR(INDEX('Exercise list'!$E$5:$X$102,MATCH($C397,'Exercise list'!$C$5:$C$102,0),MATCH(U$5,'Exercise list'!$E$4:$X$4,0)),0)</f>
        <v>0</v>
      </c>
      <c r="V397">
        <f>IFERROR(INDEX('Exercise list'!$E$5:$X$102,MATCH($C397,'Exercise list'!$C$5:$C$102,0),MATCH(V$5,'Exercise list'!$E$4:$X$4,0)),0)</f>
        <v>0</v>
      </c>
      <c r="W397">
        <f>IFERROR(INDEX('Exercise list'!$E$5:$X$102,MATCH($C397,'Exercise list'!$C$5:$C$102,0),MATCH(W$5,'Exercise list'!$E$4:$X$4,0)),0)</f>
        <v>0</v>
      </c>
      <c r="X397">
        <f>IFERROR(INDEX('Exercise list'!$E$5:$X$102,MATCH($C397,'Exercise list'!$C$5:$C$102,0),MATCH(X$5,'Exercise list'!$E$4:$X$4,0)),0)</f>
        <v>0</v>
      </c>
      <c r="Y397">
        <f>IFERROR(INDEX('Exercise list'!$E$5:$X$102,MATCH($C397,'Exercise list'!$C$5:$C$102,0),MATCH(Y$5,'Exercise list'!$E$4:$X$4,0)),0)</f>
        <v>0</v>
      </c>
      <c r="Z397">
        <f>IFERROR(INDEX('Exercise list'!$E$5:$X$102,MATCH($C397,'Exercise list'!$C$5:$C$102,0),MATCH(Z$5,'Exercise list'!$E$4:$X$4,0)),0)</f>
        <v>0</v>
      </c>
      <c r="AA397">
        <f>IFERROR(INDEX('Exercise list'!$E$5:$X$102,MATCH($C397,'Exercise list'!$C$5:$C$102,0),MATCH(AA$5,'Exercise list'!$E$4:$X$4,0)),0)</f>
        <v>0</v>
      </c>
      <c r="AB397">
        <f>IFERROR(INDEX('Exercise list'!$E$5:$X$102,MATCH($C397,'Exercise list'!$C$5:$C$102,0),MATCH(AB$5,'Exercise list'!$E$4:$X$4,0)),0)</f>
        <v>0</v>
      </c>
      <c r="AC397">
        <f>IFERROR(INDEX('Exercise list'!$E$5:$X$102,MATCH($C397,'Exercise list'!$C$5:$C$102,0),MATCH(AC$5,'Exercise list'!$E$4:$X$4,0)),0)</f>
        <v>0</v>
      </c>
      <c r="AD397">
        <f>IFERROR(INDEX('Exercise list'!$E$5:$X$102,MATCH($C397,'Exercise list'!$C$5:$C$102,0),MATCH(AD$5,'Exercise list'!$E$4:$X$4,0)),0)</f>
        <v>0</v>
      </c>
      <c r="AE397">
        <f>IFERROR(INDEX('Exercise list'!$E$5:$X$102,MATCH($C397,'Exercise list'!$C$5:$C$102,0),MATCH(AE$5,'Exercise list'!$E$4:$X$4,0)),0)</f>
        <v>0</v>
      </c>
      <c r="AF397">
        <f>IFERROR(INDEX('Exercise list'!$E$5:$X$102,MATCH($C397,'Exercise list'!$C$5:$C$102,0),MATCH(AF$5,'Exercise list'!$E$4:$X$4,0)),0)</f>
        <v>0</v>
      </c>
      <c r="AG397">
        <f>IFERROR(INDEX('Exercise list'!$E$5:$X$102,MATCH($C397,'Exercise list'!$C$5:$C$102,0),MATCH(AG$5,'Exercise list'!$E$4:$X$4,0)),0)</f>
        <v>0</v>
      </c>
      <c r="AH397">
        <f>IFERROR(INDEX('Exercise list'!$E$5:$X$102,MATCH($C397,'Exercise list'!$C$5:$C$102,0),MATCH(AH$5,'Exercise list'!$E$4:$X$4,0)),0)</f>
        <v>0</v>
      </c>
      <c r="AI397">
        <f>IFERROR(INDEX('Exercise list'!$E$5:$X$102,MATCH($C397,'Exercise list'!$C$5:$C$102,0),MATCH(AI$5,'Exercise list'!$E$4:$X$4,0)),0)</f>
        <v>0</v>
      </c>
      <c r="AK397">
        <f>IF(OR($J397=1,COUNTIFS($A$5:$A396,"&gt;="&amp;$A397-1,$A$5:$A396,"&lt;="&amp;$A397,$B$5:$B396,$B397)&gt;0,MIN(1-'Exercise list'!E$2,IF($A397=$A396,AK396,1))-P397&lt;0),-1,MIN(1,IF($A397=$A396,AK396,1)-P397+$D$2))</f>
        <v>1</v>
      </c>
      <c r="AL397">
        <f>IF(OR($J397=1,COUNTIFS($A$5:$A396,"&gt;="&amp;$A397-1,$A$5:$A396,"&lt;="&amp;$A397,$B$5:$B396,$B397)&gt;0,MIN(1-'Exercise list'!F$2,IF($A397=$A396,AL396,1))-Q397&lt;0),-1,MIN(1,IF($A397=$A396,AL396,1)-Q397+$D$2))</f>
        <v>1</v>
      </c>
      <c r="AM397">
        <f>IF(OR($J397=1,COUNTIFS($A$5:$A396,"&gt;="&amp;$A397-1,$A$5:$A396,"&lt;="&amp;$A397,$B$5:$B396,$B397)&gt;0,MIN(1-'Exercise list'!G$2,IF($A397=$A396,AM396,1))-R397&lt;0),-1,MIN(1,IF($A397=$A396,AM396,1)-R397+$D$2))</f>
        <v>1</v>
      </c>
      <c r="AN397">
        <f>IF(OR($J397=1,COUNTIFS($A$5:$A396,"&gt;="&amp;$A397-1,$A$5:$A396,"&lt;="&amp;$A397,$B$5:$B396,$B397)&gt;0,MIN(1-'Exercise list'!H$2,IF($A397=$A396,AN396,1))-S397&lt;0),-1,MIN(1,IF($A397=$A396,AN396,1)-S397+$D$2))</f>
        <v>1</v>
      </c>
      <c r="AO397">
        <f>IF(OR($J397=1,COUNTIFS($A$5:$A396,"&gt;="&amp;$A397-1,$A$5:$A396,"&lt;="&amp;$A397,$B$5:$B396,$B397)&gt;0,MIN(1-'Exercise list'!I$2,IF($A397=$A396,AO396,1))-T397&lt;0),-1,MIN(1,IF($A397=$A396,AO396,1)-T397+$D$2))</f>
        <v>1</v>
      </c>
      <c r="AP397">
        <f>IF(OR($J397=1,COUNTIFS($A$5:$A396,"&gt;="&amp;$A397-1,$A$5:$A396,"&lt;="&amp;$A397,$B$5:$B396,$B397)&gt;0,MIN(1-'Exercise list'!J$2,IF($A397=$A396,AP396,1))-U397&lt;0),-1,MIN(1,IF($A397=$A396,AP396,1)-U397+$D$2))</f>
        <v>1</v>
      </c>
      <c r="AQ397">
        <f>IF(OR($J397=1,COUNTIFS($A$5:$A396,"&gt;="&amp;$A397-1,$A$5:$A396,"&lt;="&amp;$A397,$B$5:$B396,$B397)&gt;0,MIN(1-'Exercise list'!K$2,IF($A397=$A396,AQ396,1))-V397&lt;0),-1,MIN(1,IF($A397=$A396,AQ396,1)-V397+$D$2))</f>
        <v>1</v>
      </c>
      <c r="AR397">
        <f>IF(OR($J397=1,COUNTIFS($A$5:$A396,"&gt;="&amp;$A397-1,$A$5:$A396,"&lt;="&amp;$A397,$B$5:$B396,$B397)&gt;0,MIN(1-'Exercise list'!L$2,IF($A397=$A396,AR396,1))-W397&lt;0),-1,MIN(1,IF($A397=$A396,AR396,1)-W397+$D$2))</f>
        <v>1</v>
      </c>
      <c r="AS397">
        <f>IF(OR($J397=1,COUNTIFS($A$5:$A396,"&gt;="&amp;$A397-1,$A$5:$A396,"&lt;="&amp;$A397,$B$5:$B396,$B397)&gt;0,MIN(1-'Exercise list'!M$2,IF($A397=$A396,AS396,1))-X397&lt;0),-1,MIN(1,IF($A397=$A396,AS396,1)-X397+$D$2))</f>
        <v>1</v>
      </c>
      <c r="AT397">
        <f>IF(OR($J397=1,COUNTIFS($A$5:$A396,"&gt;="&amp;$A397-1,$A$5:$A396,"&lt;="&amp;$A397,$B$5:$B396,$B397)&gt;0,MIN(1-'Exercise list'!N$2,IF($A397=$A396,AT396,1))-Y397&lt;0),-1,MIN(1,IF($A397=$A396,AT396,1)-Y397+$D$2))</f>
        <v>1</v>
      </c>
      <c r="AU397">
        <f>IF(OR($J397=1,COUNTIFS($A$5:$A396,"&gt;="&amp;$A397-1,$A$5:$A396,"&lt;="&amp;$A397,$B$5:$B396,$B397)&gt;0,MIN(1-'Exercise list'!O$2,IF($A397=$A396,AU396,1))-Z397&lt;0),-1,MIN(1,IF($A397=$A396,AU396,1)-Z397+$D$2))</f>
        <v>1</v>
      </c>
      <c r="AV397">
        <f>IF(OR($J397=1,COUNTIFS($A$5:$A396,"&gt;="&amp;$A397-1,$A$5:$A396,"&lt;="&amp;$A397,$B$5:$B396,$B397)&gt;0,MIN(1-'Exercise list'!P$2,IF($A397=$A396,AV396,1))-AA397&lt;0),-1,MIN(1,IF($A397=$A396,AV396,1)-AA397+$D$2))</f>
        <v>1</v>
      </c>
      <c r="AW397">
        <f>IF(OR($J397=1,COUNTIFS($A$5:$A396,"&gt;="&amp;$A397-1,$A$5:$A396,"&lt;="&amp;$A397,$B$5:$B396,$B397)&gt;0,MIN(1-'Exercise list'!Q$2,IF($A397=$A396,AW396,1))-AB397&lt;0),-1,MIN(1,IF($A397=$A396,AW396,1)-AB397+$D$2))</f>
        <v>1</v>
      </c>
      <c r="AX397">
        <f>IF(OR($J397=1,COUNTIFS($A$5:$A396,"&gt;="&amp;$A397-1,$A$5:$A396,"&lt;="&amp;$A397,$B$5:$B396,$B397)&gt;0,MIN(1-'Exercise list'!R$2,IF($A397=$A396,AX396,1))-AC397&lt;0),-1,MIN(1,IF($A397=$A396,AX396,1)-AC397+$D$2))</f>
        <v>1</v>
      </c>
      <c r="AY397">
        <f>IF(OR($J397=1,COUNTIFS($A$5:$A396,"&gt;="&amp;$A397-1,$A$5:$A396,"&lt;="&amp;$A397,$B$5:$B396,$B397)&gt;0,MIN(1-'Exercise list'!S$2,IF($A397=$A396,AY396,1))-AD397&lt;0),-1,MIN(1,IF($A397=$A396,AY396,1)-AD397+$D$2))</f>
        <v>1</v>
      </c>
      <c r="AZ397">
        <f>IF(OR($J397=1,COUNTIFS($A$5:$A396,"&gt;="&amp;$A397-1,$A$5:$A396,"&lt;="&amp;$A397,$B$5:$B396,$B397)&gt;0,MIN(1-'Exercise list'!T$2,IF($A397=$A396,AZ396,1))-AE397&lt;0),-1,MIN(1,IF($A397=$A396,AZ396,1)-AE397+$D$2))</f>
        <v>1</v>
      </c>
      <c r="BA397">
        <f>IF(OR($J397=1,COUNTIFS($A$5:$A396,"&gt;="&amp;$A397-1,$A$5:$A396,"&lt;="&amp;$A397,$B$5:$B396,$B397)&gt;0,MIN(1-'Exercise list'!U$2,IF($A397=$A396,BA396,1))-AF397&lt;0),-1,MIN(1,IF($A397=$A396,BA396,1)-AF397+$D$2))</f>
        <v>1</v>
      </c>
      <c r="BB397">
        <f>IF(OR($J397=1,COUNTIFS($A$5:$A396,"&gt;="&amp;$A397-1,$A$5:$A396,"&lt;="&amp;$A397,$B$5:$B396,$B397)&gt;0,MIN(1-'Exercise list'!V$2,IF($A397=$A396,BB396,1))-AG397&lt;0),-1,MIN(1,IF($A397=$A396,BB396,1)-AG397+$D$2))</f>
        <v>1</v>
      </c>
      <c r="BC397">
        <f>IF(OR($J397=1,COUNTIFS($A$5:$A396,"&gt;="&amp;$A397-1,$A$5:$A396,"&lt;="&amp;$A397,$B$5:$B396,$B397)&gt;0,MIN(1-'Exercise list'!W$2,IF($A397=$A396,BC396,1))-AH397&lt;0),-1,MIN(1,IF($A397=$A396,BC396,1)-AH397+$D$2))</f>
        <v>1</v>
      </c>
      <c r="BD397">
        <f>IF(OR($J397=1,COUNTIFS($A$5:$A396,"&gt;="&amp;$A397-1,$A$5:$A396,"&lt;="&amp;$A397,$B$5:$B396,$B397)&gt;0,MIN(1-'Exercise list'!X$2,IF($A397=$A396,BD396,1))-AI397&lt;0),-1,MIN(1,IF($A397=$A396,BD396,1)-AI397+$D$2))</f>
        <v>1</v>
      </c>
      <c r="BF397" s="16">
        <f t="shared" si="277"/>
        <v>0.19596031081758858</v>
      </c>
      <c r="BG397" s="16">
        <f t="shared" si="278"/>
        <v>0.21844636935459236</v>
      </c>
      <c r="BH397" s="16">
        <f t="shared" si="279"/>
        <v>0.14609696635987124</v>
      </c>
      <c r="BI397" s="16">
        <f t="shared" si="280"/>
        <v>0.13198015366034541</v>
      </c>
      <c r="BJ397" s="16">
        <f t="shared" si="281"/>
        <v>8.3367914198418713E-2</v>
      </c>
      <c r="BK397" s="16">
        <f t="shared" si="282"/>
        <v>0.10640640223148412</v>
      </c>
      <c r="BL397" s="16">
        <f t="shared" si="283"/>
        <v>0.21963504743569431</v>
      </c>
      <c r="BM397" s="16">
        <f t="shared" si="284"/>
        <v>3.8988008374820568E-3</v>
      </c>
      <c r="BN397" s="16">
        <f t="shared" si="285"/>
        <v>0.14537706087090876</v>
      </c>
      <c r="BO397" s="16">
        <f t="shared" si="286"/>
        <v>0.29209790661993401</v>
      </c>
      <c r="BP397" s="16">
        <f t="shared" si="287"/>
        <v>0.31584545163401867</v>
      </c>
      <c r="BQ397" s="16">
        <f t="shared" si="288"/>
        <v>0.1000007994126096</v>
      </c>
      <c r="BR397" s="16">
        <f t="shared" si="289"/>
        <v>0.13164487759885393</v>
      </c>
      <c r="BS397" s="16">
        <f t="shared" si="290"/>
        <v>2.9803550189863123E-2</v>
      </c>
      <c r="BT397" s="16">
        <f t="shared" si="291"/>
        <v>0.13492040904978705</v>
      </c>
      <c r="BU397" s="16">
        <f t="shared" si="292"/>
        <v>0.11703687414398131</v>
      </c>
      <c r="BV397" s="16">
        <f t="shared" si="293"/>
        <v>0.14633353213781661</v>
      </c>
      <c r="BW397" s="16">
        <f t="shared" si="294"/>
        <v>7.5588015111767173E-2</v>
      </c>
      <c r="BX397" s="16">
        <f t="shared" si="295"/>
        <v>8.0345659937185704E-2</v>
      </c>
      <c r="BY397" s="16">
        <f t="shared" si="296"/>
        <v>5.9014643151272549E-2</v>
      </c>
      <c r="CA397" s="16" t="str">
        <f t="shared" si="317"/>
        <v/>
      </c>
      <c r="CB397" s="16" t="str">
        <f t="shared" si="298"/>
        <v/>
      </c>
      <c r="CC397" s="16" t="str">
        <f t="shared" si="299"/>
        <v/>
      </c>
      <c r="CD397" s="16" t="str">
        <f t="shared" si="300"/>
        <v/>
      </c>
      <c r="CE397" s="16" t="str">
        <f t="shared" si="301"/>
        <v/>
      </c>
      <c r="CF397" s="16" t="str">
        <f t="shared" si="302"/>
        <v/>
      </c>
      <c r="CG397" s="16" t="str">
        <f t="shared" si="303"/>
        <v/>
      </c>
      <c r="CH397" s="16" t="str">
        <f t="shared" si="304"/>
        <v/>
      </c>
      <c r="CI397" s="16" t="str">
        <f t="shared" si="305"/>
        <v/>
      </c>
      <c r="CJ397" s="16" t="str">
        <f t="shared" si="306"/>
        <v/>
      </c>
      <c r="CK397" s="16" t="str">
        <f t="shared" si="307"/>
        <v/>
      </c>
      <c r="CL397" s="16" t="str">
        <f t="shared" si="308"/>
        <v/>
      </c>
      <c r="CM397" s="16" t="str">
        <f t="shared" si="309"/>
        <v/>
      </c>
      <c r="CN397" s="16" t="str">
        <f t="shared" si="310"/>
        <v/>
      </c>
      <c r="CO397" s="16" t="str">
        <f t="shared" si="311"/>
        <v/>
      </c>
      <c r="CP397" s="16" t="str">
        <f t="shared" si="312"/>
        <v/>
      </c>
      <c r="CQ397" s="16" t="str">
        <f t="shared" si="313"/>
        <v/>
      </c>
      <c r="CR397" s="16" t="str">
        <f t="shared" si="314"/>
        <v/>
      </c>
      <c r="CS397" s="16" t="str">
        <f t="shared" si="315"/>
        <v/>
      </c>
      <c r="CT397" s="16" t="str">
        <f t="shared" si="316"/>
        <v/>
      </c>
    </row>
    <row r="398" spans="1:99" x14ac:dyDescent="0.25">
      <c r="A398" s="20"/>
      <c r="B398" s="21"/>
      <c r="C398" s="22" t="str" cm="1">
        <f t="array" ref="C398">IF(B398="","",INDEX('Exercise list'!$C$5:$C$102,B398))</f>
        <v/>
      </c>
      <c r="D398" s="17" t="str">
        <f t="shared" si="274"/>
        <v/>
      </c>
      <c r="E398" s="108" t="str">
        <f t="shared" si="297"/>
        <v/>
      </c>
      <c r="F398" s="65" t="str" cm="1">
        <f t="array" ref="F398">IF(B398="","",0.1+IFERROR(INDEX($F$6:$F397,SUMPRODUCT(MAX(ROW($C$6:$C397)*($C398=$C$6:$C397))-ROW($A$5)))*0.9^($A398-INDEX($A$6:A397,SUMPRODUCT(MAX(ROW($C$6:$C397)*($C398=$C$6:$C397))-ROW($A$5)))),0))</f>
        <v/>
      </c>
      <c r="G398" s="25" t="e">
        <f>INDEX('Exercise list'!$Y$5:$Y$102,MATCH(C398,'Exercise list'!$C$5:$C$102,0))</f>
        <v>#N/A</v>
      </c>
      <c r="H398" s="116">
        <f t="shared" si="275"/>
        <v>0</v>
      </c>
      <c r="I398" s="18">
        <f t="shared" si="276"/>
        <v>5</v>
      </c>
      <c r="J398" s="18" t="str" cm="1">
        <f t="array" ref="J398">IF(B398="","",INDEX('Exercise list'!$D$5:$D$102,B398))</f>
        <v/>
      </c>
      <c r="K398" s="17"/>
      <c r="L398" s="51" t="str" cm="1">
        <f t="array" ref="L398">IF(K398="","",INDEX('Exercise list'!$C$5:$C$102,K398))</f>
        <v/>
      </c>
      <c r="M398" s="18"/>
      <c r="N398" s="76" t="str" cm="1">
        <f t="array" ref="N398">IF(M398="","",INDEX('Exercise list'!$C$5:$C$102,M398))</f>
        <v/>
      </c>
      <c r="O398" s="19"/>
      <c r="P398" s="19">
        <f>IFERROR(INDEX('Exercise list'!$E$5:$X$102,MATCH($C398,'Exercise list'!$C$5:$C$102,0),MATCH(P$5,'Exercise list'!$E$4:$X$4,0)),0)</f>
        <v>0</v>
      </c>
      <c r="Q398" s="19">
        <f>IFERROR(INDEX('Exercise list'!$E$5:$X$102,MATCH($C398,'Exercise list'!$C$5:$C$102,0),MATCH(Q$5,'Exercise list'!$E$4:$X$4,0)),0)</f>
        <v>0</v>
      </c>
      <c r="R398" s="19">
        <f>IFERROR(INDEX('Exercise list'!$E$5:$X$102,MATCH($C398,'Exercise list'!$C$5:$C$102,0),MATCH(R$5,'Exercise list'!$E$4:$X$4,0)),0)</f>
        <v>0</v>
      </c>
      <c r="S398" s="19">
        <f>IFERROR(INDEX('Exercise list'!$E$5:$X$102,MATCH($C398,'Exercise list'!$C$5:$C$102,0),MATCH(S$5,'Exercise list'!$E$4:$X$4,0)),0)</f>
        <v>0</v>
      </c>
      <c r="T398" s="19">
        <f>IFERROR(INDEX('Exercise list'!$E$5:$X$102,MATCH($C398,'Exercise list'!$C$5:$C$102,0),MATCH(T$5,'Exercise list'!$E$4:$X$4,0)),0)</f>
        <v>0</v>
      </c>
      <c r="U398" s="19">
        <f>IFERROR(INDEX('Exercise list'!$E$5:$X$102,MATCH($C398,'Exercise list'!$C$5:$C$102,0),MATCH(U$5,'Exercise list'!$E$4:$X$4,0)),0)</f>
        <v>0</v>
      </c>
      <c r="V398" s="19">
        <f>IFERROR(INDEX('Exercise list'!$E$5:$X$102,MATCH($C398,'Exercise list'!$C$5:$C$102,0),MATCH(V$5,'Exercise list'!$E$4:$X$4,0)),0)</f>
        <v>0</v>
      </c>
      <c r="W398" s="19">
        <f>IFERROR(INDEX('Exercise list'!$E$5:$X$102,MATCH($C398,'Exercise list'!$C$5:$C$102,0),MATCH(W$5,'Exercise list'!$E$4:$X$4,0)),0)</f>
        <v>0</v>
      </c>
      <c r="X398" s="19">
        <f>IFERROR(INDEX('Exercise list'!$E$5:$X$102,MATCH($C398,'Exercise list'!$C$5:$C$102,0),MATCH(X$5,'Exercise list'!$E$4:$X$4,0)),0)</f>
        <v>0</v>
      </c>
      <c r="Y398" s="19">
        <f>IFERROR(INDEX('Exercise list'!$E$5:$X$102,MATCH($C398,'Exercise list'!$C$5:$C$102,0),MATCH(Y$5,'Exercise list'!$E$4:$X$4,0)),0)</f>
        <v>0</v>
      </c>
      <c r="Z398" s="19">
        <f>IFERROR(INDEX('Exercise list'!$E$5:$X$102,MATCH($C398,'Exercise list'!$C$5:$C$102,0),MATCH(Z$5,'Exercise list'!$E$4:$X$4,0)),0)</f>
        <v>0</v>
      </c>
      <c r="AA398" s="19">
        <f>IFERROR(INDEX('Exercise list'!$E$5:$X$102,MATCH($C398,'Exercise list'!$C$5:$C$102,0),MATCH(AA$5,'Exercise list'!$E$4:$X$4,0)),0)</f>
        <v>0</v>
      </c>
      <c r="AB398" s="19">
        <f>IFERROR(INDEX('Exercise list'!$E$5:$X$102,MATCH($C398,'Exercise list'!$C$5:$C$102,0),MATCH(AB$5,'Exercise list'!$E$4:$X$4,0)),0)</f>
        <v>0</v>
      </c>
      <c r="AC398" s="19">
        <f>IFERROR(INDEX('Exercise list'!$E$5:$X$102,MATCH($C398,'Exercise list'!$C$5:$C$102,0),MATCH(AC$5,'Exercise list'!$E$4:$X$4,0)),0)</f>
        <v>0</v>
      </c>
      <c r="AD398" s="19">
        <f>IFERROR(INDEX('Exercise list'!$E$5:$X$102,MATCH($C398,'Exercise list'!$C$5:$C$102,0),MATCH(AD$5,'Exercise list'!$E$4:$X$4,0)),0)</f>
        <v>0</v>
      </c>
      <c r="AE398" s="19">
        <f>IFERROR(INDEX('Exercise list'!$E$5:$X$102,MATCH($C398,'Exercise list'!$C$5:$C$102,0),MATCH(AE$5,'Exercise list'!$E$4:$X$4,0)),0)</f>
        <v>0</v>
      </c>
      <c r="AF398" s="19">
        <f>IFERROR(INDEX('Exercise list'!$E$5:$X$102,MATCH($C398,'Exercise list'!$C$5:$C$102,0),MATCH(AF$5,'Exercise list'!$E$4:$X$4,0)),0)</f>
        <v>0</v>
      </c>
      <c r="AG398" s="19">
        <f>IFERROR(INDEX('Exercise list'!$E$5:$X$102,MATCH($C398,'Exercise list'!$C$5:$C$102,0),MATCH(AG$5,'Exercise list'!$E$4:$X$4,0)),0)</f>
        <v>0</v>
      </c>
      <c r="AH398" s="19">
        <f>IFERROR(INDEX('Exercise list'!$E$5:$X$102,MATCH($C398,'Exercise list'!$C$5:$C$102,0),MATCH(AH$5,'Exercise list'!$E$4:$X$4,0)),0)</f>
        <v>0</v>
      </c>
      <c r="AI398" s="19">
        <f>IFERROR(INDEX('Exercise list'!$E$5:$X$102,MATCH($C398,'Exercise list'!$C$5:$C$102,0),MATCH(AI$5,'Exercise list'!$E$4:$X$4,0)),0)</f>
        <v>0</v>
      </c>
      <c r="AJ398" s="19"/>
      <c r="AK398" s="19">
        <f>IF(OR($J398=1,COUNTIFS($A$5:$A397,"&gt;="&amp;$A398-1,$A$5:$A397,"&lt;="&amp;$A398,$B$5:$B397,$B398)&gt;0,MIN(1-'Exercise list'!E$2,IF($A398=$A397,AK397,1))-P398&lt;0),-1,MIN(1,IF($A398=$A397,AK397,1)-P398+$D$2))</f>
        <v>1</v>
      </c>
      <c r="AL398" s="19">
        <f>IF(OR($J398=1,COUNTIFS($A$5:$A397,"&gt;="&amp;$A398-1,$A$5:$A397,"&lt;="&amp;$A398,$B$5:$B397,$B398)&gt;0,MIN(1-'Exercise list'!F$2,IF($A398=$A397,AL397,1))-Q398&lt;0),-1,MIN(1,IF($A398=$A397,AL397,1)-Q398+$D$2))</f>
        <v>1</v>
      </c>
      <c r="AM398" s="19">
        <f>IF(OR($J398=1,COUNTIFS($A$5:$A397,"&gt;="&amp;$A398-1,$A$5:$A397,"&lt;="&amp;$A398,$B$5:$B397,$B398)&gt;0,MIN(1-'Exercise list'!G$2,IF($A398=$A397,AM397,1))-R398&lt;0),-1,MIN(1,IF($A398=$A397,AM397,1)-R398+$D$2))</f>
        <v>1</v>
      </c>
      <c r="AN398" s="19">
        <f>IF(OR($J398=1,COUNTIFS($A$5:$A397,"&gt;="&amp;$A398-1,$A$5:$A397,"&lt;="&amp;$A398,$B$5:$B397,$B398)&gt;0,MIN(1-'Exercise list'!H$2,IF($A398=$A397,AN397,1))-S398&lt;0),-1,MIN(1,IF($A398=$A397,AN397,1)-S398+$D$2))</f>
        <v>1</v>
      </c>
      <c r="AO398" s="19">
        <f>IF(OR($J398=1,COUNTIFS($A$5:$A397,"&gt;="&amp;$A398-1,$A$5:$A397,"&lt;="&amp;$A398,$B$5:$B397,$B398)&gt;0,MIN(1-'Exercise list'!I$2,IF($A398=$A397,AO397,1))-T398&lt;0),-1,MIN(1,IF($A398=$A397,AO397,1)-T398+$D$2))</f>
        <v>1</v>
      </c>
      <c r="AP398" s="19">
        <f>IF(OR($J398=1,COUNTIFS($A$5:$A397,"&gt;="&amp;$A398-1,$A$5:$A397,"&lt;="&amp;$A398,$B$5:$B397,$B398)&gt;0,MIN(1-'Exercise list'!J$2,IF($A398=$A397,AP397,1))-U398&lt;0),-1,MIN(1,IF($A398=$A397,AP397,1)-U398+$D$2))</f>
        <v>1</v>
      </c>
      <c r="AQ398" s="19">
        <f>IF(OR($J398=1,COUNTIFS($A$5:$A397,"&gt;="&amp;$A398-1,$A$5:$A397,"&lt;="&amp;$A398,$B$5:$B397,$B398)&gt;0,MIN(1-'Exercise list'!K$2,IF($A398=$A397,AQ397,1))-V398&lt;0),-1,MIN(1,IF($A398=$A397,AQ397,1)-V398+$D$2))</f>
        <v>1</v>
      </c>
      <c r="AR398" s="19">
        <f>IF(OR($J398=1,COUNTIFS($A$5:$A397,"&gt;="&amp;$A398-1,$A$5:$A397,"&lt;="&amp;$A398,$B$5:$B397,$B398)&gt;0,MIN(1-'Exercise list'!L$2,IF($A398=$A397,AR397,1))-W398&lt;0),-1,MIN(1,IF($A398=$A397,AR397,1)-W398+$D$2))</f>
        <v>1</v>
      </c>
      <c r="AS398" s="19">
        <f>IF(OR($J398=1,COUNTIFS($A$5:$A397,"&gt;="&amp;$A398-1,$A$5:$A397,"&lt;="&amp;$A398,$B$5:$B397,$B398)&gt;0,MIN(1-'Exercise list'!M$2,IF($A398=$A397,AS397,1))-X398&lt;0),-1,MIN(1,IF($A398=$A397,AS397,1)-X398+$D$2))</f>
        <v>1</v>
      </c>
      <c r="AT398" s="19">
        <f>IF(OR($J398=1,COUNTIFS($A$5:$A397,"&gt;="&amp;$A398-1,$A$5:$A397,"&lt;="&amp;$A398,$B$5:$B397,$B398)&gt;0,MIN(1-'Exercise list'!N$2,IF($A398=$A397,AT397,1))-Y398&lt;0),-1,MIN(1,IF($A398=$A397,AT397,1)-Y398+$D$2))</f>
        <v>1</v>
      </c>
      <c r="AU398" s="19">
        <f>IF(OR($J398=1,COUNTIFS($A$5:$A397,"&gt;="&amp;$A398-1,$A$5:$A397,"&lt;="&amp;$A398,$B$5:$B397,$B398)&gt;0,MIN(1-'Exercise list'!O$2,IF($A398=$A397,AU397,1))-Z398&lt;0),-1,MIN(1,IF($A398=$A397,AU397,1)-Z398+$D$2))</f>
        <v>1</v>
      </c>
      <c r="AV398" s="19">
        <f>IF(OR($J398=1,COUNTIFS($A$5:$A397,"&gt;="&amp;$A398-1,$A$5:$A397,"&lt;="&amp;$A398,$B$5:$B397,$B398)&gt;0,MIN(1-'Exercise list'!P$2,IF($A398=$A397,AV397,1))-AA398&lt;0),-1,MIN(1,IF($A398=$A397,AV397,1)-AA398+$D$2))</f>
        <v>1</v>
      </c>
      <c r="AW398" s="19">
        <f>IF(OR($J398=1,COUNTIFS($A$5:$A397,"&gt;="&amp;$A398-1,$A$5:$A397,"&lt;="&amp;$A398,$B$5:$B397,$B398)&gt;0,MIN(1-'Exercise list'!Q$2,IF($A398=$A397,AW397,1))-AB398&lt;0),-1,MIN(1,IF($A398=$A397,AW397,1)-AB398+$D$2))</f>
        <v>1</v>
      </c>
      <c r="AX398" s="19">
        <f>IF(OR($J398=1,COUNTIFS($A$5:$A397,"&gt;="&amp;$A398-1,$A$5:$A397,"&lt;="&amp;$A398,$B$5:$B397,$B398)&gt;0,MIN(1-'Exercise list'!R$2,IF($A398=$A397,AX397,1))-AC398&lt;0),-1,MIN(1,IF($A398=$A397,AX397,1)-AC398+$D$2))</f>
        <v>1</v>
      </c>
      <c r="AY398" s="19">
        <f>IF(OR($J398=1,COUNTIFS($A$5:$A397,"&gt;="&amp;$A398-1,$A$5:$A397,"&lt;="&amp;$A398,$B$5:$B397,$B398)&gt;0,MIN(1-'Exercise list'!S$2,IF($A398=$A397,AY397,1))-AD398&lt;0),-1,MIN(1,IF($A398=$A397,AY397,1)-AD398+$D$2))</f>
        <v>1</v>
      </c>
      <c r="AZ398" s="19">
        <f>IF(OR($J398=1,COUNTIFS($A$5:$A397,"&gt;="&amp;$A398-1,$A$5:$A397,"&lt;="&amp;$A398,$B$5:$B397,$B398)&gt;0,MIN(1-'Exercise list'!T$2,IF($A398=$A397,AZ397,1))-AE398&lt;0),-1,MIN(1,IF($A398=$A397,AZ397,1)-AE398+$D$2))</f>
        <v>1</v>
      </c>
      <c r="BA398" s="19">
        <f>IF(OR($J398=1,COUNTIFS($A$5:$A397,"&gt;="&amp;$A398-1,$A$5:$A397,"&lt;="&amp;$A398,$B$5:$B397,$B398)&gt;0,MIN(1-'Exercise list'!U$2,IF($A398=$A397,BA397,1))-AF398&lt;0),-1,MIN(1,IF($A398=$A397,BA397,1)-AF398+$D$2))</f>
        <v>1</v>
      </c>
      <c r="BB398" s="19">
        <f>IF(OR($J398=1,COUNTIFS($A$5:$A397,"&gt;="&amp;$A398-1,$A$5:$A397,"&lt;="&amp;$A398,$B$5:$B397,$B398)&gt;0,MIN(1-'Exercise list'!V$2,IF($A398=$A397,BB397,1))-AG398&lt;0),-1,MIN(1,IF($A398=$A397,BB397,1)-AG398+$D$2))</f>
        <v>1</v>
      </c>
      <c r="BC398" s="19">
        <f>IF(OR($J398=1,COUNTIFS($A$5:$A397,"&gt;="&amp;$A398-1,$A$5:$A397,"&lt;="&amp;$A398,$B$5:$B397,$B398)&gt;0,MIN(1-'Exercise list'!W$2,IF($A398=$A397,BC397,1))-AH398&lt;0),-1,MIN(1,IF($A398=$A397,BC397,1)-AH398+$D$2))</f>
        <v>1</v>
      </c>
      <c r="BD398" s="19">
        <f>IF(OR($J398=1,COUNTIFS($A$5:$A397,"&gt;="&amp;$A398-1,$A$5:$A397,"&lt;="&amp;$A398,$B$5:$B397,$B398)&gt;0,MIN(1-'Exercise list'!X$2,IF($A398=$A397,BD397,1))-AI398&lt;0),-1,MIN(1,IF($A398=$A397,BD397,1)-AI398+$D$2))</f>
        <v>1</v>
      </c>
      <c r="BE398" s="19"/>
      <c r="BF398" s="23">
        <f t="shared" si="277"/>
        <v>0.19596031081758858</v>
      </c>
      <c r="BG398" s="23">
        <f t="shared" si="278"/>
        <v>0.21844636935459236</v>
      </c>
      <c r="BH398" s="23">
        <f t="shared" si="279"/>
        <v>0.14609696635987124</v>
      </c>
      <c r="BI398" s="23">
        <f t="shared" si="280"/>
        <v>0.13198015366034541</v>
      </c>
      <c r="BJ398" s="23">
        <f t="shared" si="281"/>
        <v>8.3367914198418713E-2</v>
      </c>
      <c r="BK398" s="23">
        <f t="shared" si="282"/>
        <v>0.10640640223148412</v>
      </c>
      <c r="BL398" s="23">
        <f t="shared" si="283"/>
        <v>0.21963504743569431</v>
      </c>
      <c r="BM398" s="23">
        <f t="shared" si="284"/>
        <v>3.8988008374820568E-3</v>
      </c>
      <c r="BN398" s="23">
        <f t="shared" si="285"/>
        <v>0.14537706087090876</v>
      </c>
      <c r="BO398" s="23">
        <f t="shared" si="286"/>
        <v>0.29209790661993401</v>
      </c>
      <c r="BP398" s="23">
        <f t="shared" si="287"/>
        <v>0.31584545163401867</v>
      </c>
      <c r="BQ398" s="23">
        <f t="shared" si="288"/>
        <v>0.1000007994126096</v>
      </c>
      <c r="BR398" s="23">
        <f t="shared" si="289"/>
        <v>0.13164487759885393</v>
      </c>
      <c r="BS398" s="23">
        <f t="shared" si="290"/>
        <v>2.9803550189863123E-2</v>
      </c>
      <c r="BT398" s="23">
        <f t="shared" si="291"/>
        <v>0.13492040904978705</v>
      </c>
      <c r="BU398" s="23">
        <f t="shared" si="292"/>
        <v>0.11703687414398131</v>
      </c>
      <c r="BV398" s="23">
        <f t="shared" si="293"/>
        <v>0.14633353213781661</v>
      </c>
      <c r="BW398" s="23">
        <f t="shared" si="294"/>
        <v>7.5588015111767173E-2</v>
      </c>
      <c r="BX398" s="23">
        <f t="shared" si="295"/>
        <v>8.0345659937185704E-2</v>
      </c>
      <c r="BY398" s="23">
        <f t="shared" si="296"/>
        <v>5.9014643151272549E-2</v>
      </c>
      <c r="BZ398" s="19"/>
      <c r="CA398" s="23" t="str">
        <f t="shared" si="317"/>
        <v/>
      </c>
      <c r="CB398" s="23" t="str">
        <f t="shared" si="298"/>
        <v/>
      </c>
      <c r="CC398" s="23" t="str">
        <f t="shared" si="299"/>
        <v/>
      </c>
      <c r="CD398" s="23" t="str">
        <f t="shared" si="300"/>
        <v/>
      </c>
      <c r="CE398" s="23" t="str">
        <f t="shared" si="301"/>
        <v/>
      </c>
      <c r="CF398" s="23" t="str">
        <f t="shared" si="302"/>
        <v/>
      </c>
      <c r="CG398" s="23" t="str">
        <f t="shared" si="303"/>
        <v/>
      </c>
      <c r="CH398" s="23" t="str">
        <f t="shared" si="304"/>
        <v/>
      </c>
      <c r="CI398" s="23" t="str">
        <f t="shared" si="305"/>
        <v/>
      </c>
      <c r="CJ398" s="23" t="str">
        <f t="shared" si="306"/>
        <v/>
      </c>
      <c r="CK398" s="23" t="str">
        <f t="shared" si="307"/>
        <v/>
      </c>
      <c r="CL398" s="23" t="str">
        <f t="shared" si="308"/>
        <v/>
      </c>
      <c r="CM398" s="23" t="str">
        <f t="shared" si="309"/>
        <v/>
      </c>
      <c r="CN398" s="23" t="str">
        <f t="shared" si="310"/>
        <v/>
      </c>
      <c r="CO398" s="23" t="str">
        <f t="shared" si="311"/>
        <v/>
      </c>
      <c r="CP398" s="23" t="str">
        <f t="shared" si="312"/>
        <v/>
      </c>
      <c r="CQ398" s="23" t="str">
        <f t="shared" si="313"/>
        <v/>
      </c>
      <c r="CR398" s="23" t="str">
        <f t="shared" si="314"/>
        <v/>
      </c>
      <c r="CS398" s="23" t="str">
        <f t="shared" si="315"/>
        <v/>
      </c>
      <c r="CT398" s="23" t="str">
        <f t="shared" si="316"/>
        <v/>
      </c>
      <c r="CU398" s="19"/>
    </row>
    <row r="399" spans="1:99" x14ac:dyDescent="0.25">
      <c r="A399" s="13"/>
      <c r="B399" s="14"/>
      <c r="C399" s="15" t="str" cm="1">
        <f t="array" ref="C399">IF(B399="","",INDEX('Exercise list'!$C$5:$C$102,B399))</f>
        <v/>
      </c>
      <c r="D399" s="12" t="str">
        <f t="shared" si="274"/>
        <v/>
      </c>
      <c r="E399" s="107" t="str">
        <f t="shared" si="297"/>
        <v/>
      </c>
      <c r="F399" s="63" t="str" cm="1">
        <f t="array" ref="F399">IF(B399="","",0.1+IFERROR(INDEX($F$6:$F398,SUMPRODUCT(MAX(ROW($C$6:$C398)*($C399=$C$6:$C398))-ROW($A$5)))*0.9^($A399-INDEX($A$6:A398,SUMPRODUCT(MAX(ROW($C$6:$C398)*($C399=$C$6:$C398))-ROW($A$5)))),0))</f>
        <v/>
      </c>
      <c r="G399" s="64" t="e">
        <f>INDEX('Exercise list'!$Y$5:$Y$102,MATCH(C399,'Exercise list'!$C$5:$C$102,0))</f>
        <v>#N/A</v>
      </c>
      <c r="H399" s="115">
        <f t="shared" si="275"/>
        <v>0</v>
      </c>
      <c r="I399" s="42">
        <f t="shared" si="276"/>
        <v>5</v>
      </c>
      <c r="J399" s="6" t="str" cm="1">
        <f t="array" ref="J399">IF(B399="","",INDEX('Exercise list'!$D$5:$D$102,B399))</f>
        <v/>
      </c>
      <c r="K399" s="12"/>
      <c r="L399" s="74" t="str" cm="1">
        <f t="array" ref="L399">IF(K399="","",INDEX('Exercise list'!$C$5:$C$102,K399))</f>
        <v/>
      </c>
      <c r="M399" s="6"/>
      <c r="N399" s="75" t="str" cm="1">
        <f t="array" ref="N399">IF(M399="","",INDEX('Exercise list'!$C$5:$C$102,M399))</f>
        <v/>
      </c>
      <c r="P399">
        <f>IFERROR(INDEX('Exercise list'!$E$5:$X$102,MATCH($C399,'Exercise list'!$C$5:$C$102,0),MATCH(P$5,'Exercise list'!$E$4:$X$4,0)),0)</f>
        <v>0</v>
      </c>
      <c r="Q399">
        <f>IFERROR(INDEX('Exercise list'!$E$5:$X$102,MATCH($C399,'Exercise list'!$C$5:$C$102,0),MATCH(Q$5,'Exercise list'!$E$4:$X$4,0)),0)</f>
        <v>0</v>
      </c>
      <c r="R399">
        <f>IFERROR(INDEX('Exercise list'!$E$5:$X$102,MATCH($C399,'Exercise list'!$C$5:$C$102,0),MATCH(R$5,'Exercise list'!$E$4:$X$4,0)),0)</f>
        <v>0</v>
      </c>
      <c r="S399">
        <f>IFERROR(INDEX('Exercise list'!$E$5:$X$102,MATCH($C399,'Exercise list'!$C$5:$C$102,0),MATCH(S$5,'Exercise list'!$E$4:$X$4,0)),0)</f>
        <v>0</v>
      </c>
      <c r="T399">
        <f>IFERROR(INDEX('Exercise list'!$E$5:$X$102,MATCH($C399,'Exercise list'!$C$5:$C$102,0),MATCH(T$5,'Exercise list'!$E$4:$X$4,0)),0)</f>
        <v>0</v>
      </c>
      <c r="U399">
        <f>IFERROR(INDEX('Exercise list'!$E$5:$X$102,MATCH($C399,'Exercise list'!$C$5:$C$102,0),MATCH(U$5,'Exercise list'!$E$4:$X$4,0)),0)</f>
        <v>0</v>
      </c>
      <c r="V399">
        <f>IFERROR(INDEX('Exercise list'!$E$5:$X$102,MATCH($C399,'Exercise list'!$C$5:$C$102,0),MATCH(V$5,'Exercise list'!$E$4:$X$4,0)),0)</f>
        <v>0</v>
      </c>
      <c r="W399">
        <f>IFERROR(INDEX('Exercise list'!$E$5:$X$102,MATCH($C399,'Exercise list'!$C$5:$C$102,0),MATCH(W$5,'Exercise list'!$E$4:$X$4,0)),0)</f>
        <v>0</v>
      </c>
      <c r="X399">
        <f>IFERROR(INDEX('Exercise list'!$E$5:$X$102,MATCH($C399,'Exercise list'!$C$5:$C$102,0),MATCH(X$5,'Exercise list'!$E$4:$X$4,0)),0)</f>
        <v>0</v>
      </c>
      <c r="Y399">
        <f>IFERROR(INDEX('Exercise list'!$E$5:$X$102,MATCH($C399,'Exercise list'!$C$5:$C$102,0),MATCH(Y$5,'Exercise list'!$E$4:$X$4,0)),0)</f>
        <v>0</v>
      </c>
      <c r="Z399">
        <f>IFERROR(INDEX('Exercise list'!$E$5:$X$102,MATCH($C399,'Exercise list'!$C$5:$C$102,0),MATCH(Z$5,'Exercise list'!$E$4:$X$4,0)),0)</f>
        <v>0</v>
      </c>
      <c r="AA399">
        <f>IFERROR(INDEX('Exercise list'!$E$5:$X$102,MATCH($C399,'Exercise list'!$C$5:$C$102,0),MATCH(AA$5,'Exercise list'!$E$4:$X$4,0)),0)</f>
        <v>0</v>
      </c>
      <c r="AB399">
        <f>IFERROR(INDEX('Exercise list'!$E$5:$X$102,MATCH($C399,'Exercise list'!$C$5:$C$102,0),MATCH(AB$5,'Exercise list'!$E$4:$X$4,0)),0)</f>
        <v>0</v>
      </c>
      <c r="AC399">
        <f>IFERROR(INDEX('Exercise list'!$E$5:$X$102,MATCH($C399,'Exercise list'!$C$5:$C$102,0),MATCH(AC$5,'Exercise list'!$E$4:$X$4,0)),0)</f>
        <v>0</v>
      </c>
      <c r="AD399">
        <f>IFERROR(INDEX('Exercise list'!$E$5:$X$102,MATCH($C399,'Exercise list'!$C$5:$C$102,0),MATCH(AD$5,'Exercise list'!$E$4:$X$4,0)),0)</f>
        <v>0</v>
      </c>
      <c r="AE399">
        <f>IFERROR(INDEX('Exercise list'!$E$5:$X$102,MATCH($C399,'Exercise list'!$C$5:$C$102,0),MATCH(AE$5,'Exercise list'!$E$4:$X$4,0)),0)</f>
        <v>0</v>
      </c>
      <c r="AF399">
        <f>IFERROR(INDEX('Exercise list'!$E$5:$X$102,MATCH($C399,'Exercise list'!$C$5:$C$102,0),MATCH(AF$5,'Exercise list'!$E$4:$X$4,0)),0)</f>
        <v>0</v>
      </c>
      <c r="AG399">
        <f>IFERROR(INDEX('Exercise list'!$E$5:$X$102,MATCH($C399,'Exercise list'!$C$5:$C$102,0),MATCH(AG$5,'Exercise list'!$E$4:$X$4,0)),0)</f>
        <v>0</v>
      </c>
      <c r="AH399">
        <f>IFERROR(INDEX('Exercise list'!$E$5:$X$102,MATCH($C399,'Exercise list'!$C$5:$C$102,0),MATCH(AH$5,'Exercise list'!$E$4:$X$4,0)),0)</f>
        <v>0</v>
      </c>
      <c r="AI399">
        <f>IFERROR(INDEX('Exercise list'!$E$5:$X$102,MATCH($C399,'Exercise list'!$C$5:$C$102,0),MATCH(AI$5,'Exercise list'!$E$4:$X$4,0)),0)</f>
        <v>0</v>
      </c>
      <c r="AK399">
        <f>IF(OR($J399=1,COUNTIFS($A$5:$A398,"&gt;="&amp;$A399-1,$A$5:$A398,"&lt;="&amp;$A399,$B$5:$B398,$B399)&gt;0,MIN(1-'Exercise list'!E$2,IF($A399=$A398,AK398,1))-P399&lt;0),-1,MIN(1,IF($A399=$A398,AK398,1)-P399+$D$2))</f>
        <v>1</v>
      </c>
      <c r="AL399">
        <f>IF(OR($J399=1,COUNTIFS($A$5:$A398,"&gt;="&amp;$A399-1,$A$5:$A398,"&lt;="&amp;$A399,$B$5:$B398,$B399)&gt;0,MIN(1-'Exercise list'!F$2,IF($A399=$A398,AL398,1))-Q399&lt;0),-1,MIN(1,IF($A399=$A398,AL398,1)-Q399+$D$2))</f>
        <v>1</v>
      </c>
      <c r="AM399">
        <f>IF(OR($J399=1,COUNTIFS($A$5:$A398,"&gt;="&amp;$A399-1,$A$5:$A398,"&lt;="&amp;$A399,$B$5:$B398,$B399)&gt;0,MIN(1-'Exercise list'!G$2,IF($A399=$A398,AM398,1))-R399&lt;0),-1,MIN(1,IF($A399=$A398,AM398,1)-R399+$D$2))</f>
        <v>1</v>
      </c>
      <c r="AN399">
        <f>IF(OR($J399=1,COUNTIFS($A$5:$A398,"&gt;="&amp;$A399-1,$A$5:$A398,"&lt;="&amp;$A399,$B$5:$B398,$B399)&gt;0,MIN(1-'Exercise list'!H$2,IF($A399=$A398,AN398,1))-S399&lt;0),-1,MIN(1,IF($A399=$A398,AN398,1)-S399+$D$2))</f>
        <v>1</v>
      </c>
      <c r="AO399">
        <f>IF(OR($J399=1,COUNTIFS($A$5:$A398,"&gt;="&amp;$A399-1,$A$5:$A398,"&lt;="&amp;$A399,$B$5:$B398,$B399)&gt;0,MIN(1-'Exercise list'!I$2,IF($A399=$A398,AO398,1))-T399&lt;0),-1,MIN(1,IF($A399=$A398,AO398,1)-T399+$D$2))</f>
        <v>1</v>
      </c>
      <c r="AP399">
        <f>IF(OR($J399=1,COUNTIFS($A$5:$A398,"&gt;="&amp;$A399-1,$A$5:$A398,"&lt;="&amp;$A399,$B$5:$B398,$B399)&gt;0,MIN(1-'Exercise list'!J$2,IF($A399=$A398,AP398,1))-U399&lt;0),-1,MIN(1,IF($A399=$A398,AP398,1)-U399+$D$2))</f>
        <v>1</v>
      </c>
      <c r="AQ399">
        <f>IF(OR($J399=1,COUNTIFS($A$5:$A398,"&gt;="&amp;$A399-1,$A$5:$A398,"&lt;="&amp;$A399,$B$5:$B398,$B399)&gt;0,MIN(1-'Exercise list'!K$2,IF($A399=$A398,AQ398,1))-V399&lt;0),-1,MIN(1,IF($A399=$A398,AQ398,1)-V399+$D$2))</f>
        <v>1</v>
      </c>
      <c r="AR399">
        <f>IF(OR($J399=1,COUNTIFS($A$5:$A398,"&gt;="&amp;$A399-1,$A$5:$A398,"&lt;="&amp;$A399,$B$5:$B398,$B399)&gt;0,MIN(1-'Exercise list'!L$2,IF($A399=$A398,AR398,1))-W399&lt;0),-1,MIN(1,IF($A399=$A398,AR398,1)-W399+$D$2))</f>
        <v>1</v>
      </c>
      <c r="AS399">
        <f>IF(OR($J399=1,COUNTIFS($A$5:$A398,"&gt;="&amp;$A399-1,$A$5:$A398,"&lt;="&amp;$A399,$B$5:$B398,$B399)&gt;0,MIN(1-'Exercise list'!M$2,IF($A399=$A398,AS398,1))-X399&lt;0),-1,MIN(1,IF($A399=$A398,AS398,1)-X399+$D$2))</f>
        <v>1</v>
      </c>
      <c r="AT399">
        <f>IF(OR($J399=1,COUNTIFS($A$5:$A398,"&gt;="&amp;$A399-1,$A$5:$A398,"&lt;="&amp;$A399,$B$5:$B398,$B399)&gt;0,MIN(1-'Exercise list'!N$2,IF($A399=$A398,AT398,1))-Y399&lt;0),-1,MIN(1,IF($A399=$A398,AT398,1)-Y399+$D$2))</f>
        <v>1</v>
      </c>
      <c r="AU399">
        <f>IF(OR($J399=1,COUNTIFS($A$5:$A398,"&gt;="&amp;$A399-1,$A$5:$A398,"&lt;="&amp;$A399,$B$5:$B398,$B399)&gt;0,MIN(1-'Exercise list'!O$2,IF($A399=$A398,AU398,1))-Z399&lt;0),-1,MIN(1,IF($A399=$A398,AU398,1)-Z399+$D$2))</f>
        <v>1</v>
      </c>
      <c r="AV399">
        <f>IF(OR($J399=1,COUNTIFS($A$5:$A398,"&gt;="&amp;$A399-1,$A$5:$A398,"&lt;="&amp;$A399,$B$5:$B398,$B399)&gt;0,MIN(1-'Exercise list'!P$2,IF($A399=$A398,AV398,1))-AA399&lt;0),-1,MIN(1,IF($A399=$A398,AV398,1)-AA399+$D$2))</f>
        <v>1</v>
      </c>
      <c r="AW399">
        <f>IF(OR($J399=1,COUNTIFS($A$5:$A398,"&gt;="&amp;$A399-1,$A$5:$A398,"&lt;="&amp;$A399,$B$5:$B398,$B399)&gt;0,MIN(1-'Exercise list'!Q$2,IF($A399=$A398,AW398,1))-AB399&lt;0),-1,MIN(1,IF($A399=$A398,AW398,1)-AB399+$D$2))</f>
        <v>1</v>
      </c>
      <c r="AX399">
        <f>IF(OR($J399=1,COUNTIFS($A$5:$A398,"&gt;="&amp;$A399-1,$A$5:$A398,"&lt;="&amp;$A399,$B$5:$B398,$B399)&gt;0,MIN(1-'Exercise list'!R$2,IF($A399=$A398,AX398,1))-AC399&lt;0),-1,MIN(1,IF($A399=$A398,AX398,1)-AC399+$D$2))</f>
        <v>1</v>
      </c>
      <c r="AY399">
        <f>IF(OR($J399=1,COUNTIFS($A$5:$A398,"&gt;="&amp;$A399-1,$A$5:$A398,"&lt;="&amp;$A399,$B$5:$B398,$B399)&gt;0,MIN(1-'Exercise list'!S$2,IF($A399=$A398,AY398,1))-AD399&lt;0),-1,MIN(1,IF($A399=$A398,AY398,1)-AD399+$D$2))</f>
        <v>1</v>
      </c>
      <c r="AZ399">
        <f>IF(OR($J399=1,COUNTIFS($A$5:$A398,"&gt;="&amp;$A399-1,$A$5:$A398,"&lt;="&amp;$A399,$B$5:$B398,$B399)&gt;0,MIN(1-'Exercise list'!T$2,IF($A399=$A398,AZ398,1))-AE399&lt;0),-1,MIN(1,IF($A399=$A398,AZ398,1)-AE399+$D$2))</f>
        <v>1</v>
      </c>
      <c r="BA399">
        <f>IF(OR($J399=1,COUNTIFS($A$5:$A398,"&gt;="&amp;$A399-1,$A$5:$A398,"&lt;="&amp;$A399,$B$5:$B398,$B399)&gt;0,MIN(1-'Exercise list'!U$2,IF($A399=$A398,BA398,1))-AF399&lt;0),-1,MIN(1,IF($A399=$A398,BA398,1)-AF399+$D$2))</f>
        <v>1</v>
      </c>
      <c r="BB399">
        <f>IF(OR($J399=1,COUNTIFS($A$5:$A398,"&gt;="&amp;$A399-1,$A$5:$A398,"&lt;="&amp;$A399,$B$5:$B398,$B399)&gt;0,MIN(1-'Exercise list'!V$2,IF($A399=$A398,BB398,1))-AG399&lt;0),-1,MIN(1,IF($A399=$A398,BB398,1)-AG399+$D$2))</f>
        <v>1</v>
      </c>
      <c r="BC399">
        <f>IF(OR($J399=1,COUNTIFS($A$5:$A398,"&gt;="&amp;$A399-1,$A$5:$A398,"&lt;="&amp;$A399,$B$5:$B398,$B399)&gt;0,MIN(1-'Exercise list'!W$2,IF($A399=$A398,BC398,1))-AH399&lt;0),-1,MIN(1,IF($A399=$A398,BC398,1)-AH399+$D$2))</f>
        <v>1</v>
      </c>
      <c r="BD399">
        <f>IF(OR($J399=1,COUNTIFS($A$5:$A398,"&gt;="&amp;$A399-1,$A$5:$A398,"&lt;="&amp;$A399,$B$5:$B398,$B399)&gt;0,MIN(1-'Exercise list'!X$2,IF($A399=$A398,BD398,1))-AI399&lt;0),-1,MIN(1,IF($A399=$A398,BD398,1)-AI399+$D$2))</f>
        <v>1</v>
      </c>
      <c r="BF399" s="16">
        <f t="shared" si="277"/>
        <v>0.19596031081758858</v>
      </c>
      <c r="BG399" s="16">
        <f t="shared" si="278"/>
        <v>0.21844636935459236</v>
      </c>
      <c r="BH399" s="16">
        <f t="shared" si="279"/>
        <v>0.14609696635987124</v>
      </c>
      <c r="BI399" s="16">
        <f t="shared" si="280"/>
        <v>0.13198015366034541</v>
      </c>
      <c r="BJ399" s="16">
        <f t="shared" si="281"/>
        <v>8.3367914198418713E-2</v>
      </c>
      <c r="BK399" s="16">
        <f t="shared" si="282"/>
        <v>0.10640640223148412</v>
      </c>
      <c r="BL399" s="16">
        <f t="shared" si="283"/>
        <v>0.21963504743569431</v>
      </c>
      <c r="BM399" s="16">
        <f t="shared" si="284"/>
        <v>3.8988008374820568E-3</v>
      </c>
      <c r="BN399" s="16">
        <f t="shared" si="285"/>
        <v>0.14537706087090876</v>
      </c>
      <c r="BO399" s="16">
        <f t="shared" si="286"/>
        <v>0.29209790661993401</v>
      </c>
      <c r="BP399" s="16">
        <f t="shared" si="287"/>
        <v>0.31584545163401867</v>
      </c>
      <c r="BQ399" s="16">
        <f t="shared" si="288"/>
        <v>0.1000007994126096</v>
      </c>
      <c r="BR399" s="16">
        <f t="shared" si="289"/>
        <v>0.13164487759885393</v>
      </c>
      <c r="BS399" s="16">
        <f t="shared" si="290"/>
        <v>2.9803550189863123E-2</v>
      </c>
      <c r="BT399" s="16">
        <f t="shared" si="291"/>
        <v>0.13492040904978705</v>
      </c>
      <c r="BU399" s="16">
        <f t="shared" si="292"/>
        <v>0.11703687414398131</v>
      </c>
      <c r="BV399" s="16">
        <f t="shared" si="293"/>
        <v>0.14633353213781661</v>
      </c>
      <c r="BW399" s="16">
        <f t="shared" si="294"/>
        <v>7.5588015111767173E-2</v>
      </c>
      <c r="BX399" s="16">
        <f t="shared" si="295"/>
        <v>8.0345659937185704E-2</v>
      </c>
      <c r="BY399" s="16">
        <f t="shared" si="296"/>
        <v>5.9014643151272549E-2</v>
      </c>
      <c r="CA399" s="16" t="str">
        <f t="shared" si="317"/>
        <v/>
      </c>
      <c r="CB399" s="16" t="str">
        <f t="shared" si="298"/>
        <v/>
      </c>
      <c r="CC399" s="16" t="str">
        <f t="shared" si="299"/>
        <v/>
      </c>
      <c r="CD399" s="16" t="str">
        <f t="shared" si="300"/>
        <v/>
      </c>
      <c r="CE399" s="16" t="str">
        <f t="shared" si="301"/>
        <v/>
      </c>
      <c r="CF399" s="16" t="str">
        <f t="shared" si="302"/>
        <v/>
      </c>
      <c r="CG399" s="16" t="str">
        <f t="shared" si="303"/>
        <v/>
      </c>
      <c r="CH399" s="16" t="str">
        <f t="shared" si="304"/>
        <v/>
      </c>
      <c r="CI399" s="16" t="str">
        <f t="shared" si="305"/>
        <v/>
      </c>
      <c r="CJ399" s="16" t="str">
        <f t="shared" si="306"/>
        <v/>
      </c>
      <c r="CK399" s="16" t="str">
        <f t="shared" si="307"/>
        <v/>
      </c>
      <c r="CL399" s="16" t="str">
        <f t="shared" si="308"/>
        <v/>
      </c>
      <c r="CM399" s="16" t="str">
        <f t="shared" si="309"/>
        <v/>
      </c>
      <c r="CN399" s="16" t="str">
        <f t="shared" si="310"/>
        <v/>
      </c>
      <c r="CO399" s="16" t="str">
        <f t="shared" si="311"/>
        <v/>
      </c>
      <c r="CP399" s="16" t="str">
        <f t="shared" si="312"/>
        <v/>
      </c>
      <c r="CQ399" s="16" t="str">
        <f t="shared" si="313"/>
        <v/>
      </c>
      <c r="CR399" s="16" t="str">
        <f t="shared" si="314"/>
        <v/>
      </c>
      <c r="CS399" s="16" t="str">
        <f t="shared" si="315"/>
        <v/>
      </c>
      <c r="CT399" s="16" t="str">
        <f t="shared" si="316"/>
        <v/>
      </c>
    </row>
    <row r="400" spans="1:99" x14ac:dyDescent="0.25">
      <c r="A400" s="13"/>
      <c r="B400" s="14"/>
      <c r="C400" s="15" t="str" cm="1">
        <f t="array" ref="C400">IF(B400="","",INDEX('Exercise list'!$C$5:$C$102,B400))</f>
        <v/>
      </c>
      <c r="D400" s="12" t="str">
        <f t="shared" si="274"/>
        <v/>
      </c>
      <c r="E400" s="107" t="str">
        <f t="shared" si="297"/>
        <v/>
      </c>
      <c r="F400" s="63" t="str" cm="1">
        <f t="array" ref="F400">IF(B400="","",0.1+IFERROR(INDEX($F$6:$F399,SUMPRODUCT(MAX(ROW($C$6:$C399)*($C400=$C$6:$C399))-ROW($A$5)))*0.9^($A400-INDEX($A$6:A399,SUMPRODUCT(MAX(ROW($C$6:$C399)*($C400=$C$6:$C399))-ROW($A$5)))),0))</f>
        <v/>
      </c>
      <c r="G400" s="64" t="e">
        <f>INDEX('Exercise list'!$Y$5:$Y$102,MATCH(C400,'Exercise list'!$C$5:$C$102,0))</f>
        <v>#N/A</v>
      </c>
      <c r="H400" s="115">
        <f t="shared" si="275"/>
        <v>0</v>
      </c>
      <c r="I400" s="6">
        <f t="shared" si="276"/>
        <v>5</v>
      </c>
      <c r="J400" s="6" t="str" cm="1">
        <f t="array" ref="J400">IF(B400="","",INDEX('Exercise list'!$D$5:$D$102,B400))</f>
        <v/>
      </c>
      <c r="K400" s="12"/>
      <c r="L400" s="74" t="str" cm="1">
        <f t="array" ref="L400">IF(K400="","",INDEX('Exercise list'!$C$5:$C$102,K400))</f>
        <v/>
      </c>
      <c r="M400" s="6"/>
      <c r="N400" s="75" t="str" cm="1">
        <f t="array" ref="N400">IF(M400="","",INDEX('Exercise list'!$C$5:$C$102,M400))</f>
        <v/>
      </c>
      <c r="P400">
        <f>IFERROR(INDEX('Exercise list'!$E$5:$X$102,MATCH($C400,'Exercise list'!$C$5:$C$102,0),MATCH(P$5,'Exercise list'!$E$4:$X$4,0)),0)</f>
        <v>0</v>
      </c>
      <c r="Q400">
        <f>IFERROR(INDEX('Exercise list'!$E$5:$X$102,MATCH($C400,'Exercise list'!$C$5:$C$102,0),MATCH(Q$5,'Exercise list'!$E$4:$X$4,0)),0)</f>
        <v>0</v>
      </c>
      <c r="R400">
        <f>IFERROR(INDEX('Exercise list'!$E$5:$X$102,MATCH($C400,'Exercise list'!$C$5:$C$102,0),MATCH(R$5,'Exercise list'!$E$4:$X$4,0)),0)</f>
        <v>0</v>
      </c>
      <c r="S400">
        <f>IFERROR(INDEX('Exercise list'!$E$5:$X$102,MATCH($C400,'Exercise list'!$C$5:$C$102,0),MATCH(S$5,'Exercise list'!$E$4:$X$4,0)),0)</f>
        <v>0</v>
      </c>
      <c r="T400">
        <f>IFERROR(INDEX('Exercise list'!$E$5:$X$102,MATCH($C400,'Exercise list'!$C$5:$C$102,0),MATCH(T$5,'Exercise list'!$E$4:$X$4,0)),0)</f>
        <v>0</v>
      </c>
      <c r="U400">
        <f>IFERROR(INDEX('Exercise list'!$E$5:$X$102,MATCH($C400,'Exercise list'!$C$5:$C$102,0),MATCH(U$5,'Exercise list'!$E$4:$X$4,0)),0)</f>
        <v>0</v>
      </c>
      <c r="V400">
        <f>IFERROR(INDEX('Exercise list'!$E$5:$X$102,MATCH($C400,'Exercise list'!$C$5:$C$102,0),MATCH(V$5,'Exercise list'!$E$4:$X$4,0)),0)</f>
        <v>0</v>
      </c>
      <c r="W400">
        <f>IFERROR(INDEX('Exercise list'!$E$5:$X$102,MATCH($C400,'Exercise list'!$C$5:$C$102,0),MATCH(W$5,'Exercise list'!$E$4:$X$4,0)),0)</f>
        <v>0</v>
      </c>
      <c r="X400">
        <f>IFERROR(INDEX('Exercise list'!$E$5:$X$102,MATCH($C400,'Exercise list'!$C$5:$C$102,0),MATCH(X$5,'Exercise list'!$E$4:$X$4,0)),0)</f>
        <v>0</v>
      </c>
      <c r="Y400">
        <f>IFERROR(INDEX('Exercise list'!$E$5:$X$102,MATCH($C400,'Exercise list'!$C$5:$C$102,0),MATCH(Y$5,'Exercise list'!$E$4:$X$4,0)),0)</f>
        <v>0</v>
      </c>
      <c r="Z400">
        <f>IFERROR(INDEX('Exercise list'!$E$5:$X$102,MATCH($C400,'Exercise list'!$C$5:$C$102,0),MATCH(Z$5,'Exercise list'!$E$4:$X$4,0)),0)</f>
        <v>0</v>
      </c>
      <c r="AA400">
        <f>IFERROR(INDEX('Exercise list'!$E$5:$X$102,MATCH($C400,'Exercise list'!$C$5:$C$102,0),MATCH(AA$5,'Exercise list'!$E$4:$X$4,0)),0)</f>
        <v>0</v>
      </c>
      <c r="AB400">
        <f>IFERROR(INDEX('Exercise list'!$E$5:$X$102,MATCH($C400,'Exercise list'!$C$5:$C$102,0),MATCH(AB$5,'Exercise list'!$E$4:$X$4,0)),0)</f>
        <v>0</v>
      </c>
      <c r="AC400">
        <f>IFERROR(INDEX('Exercise list'!$E$5:$X$102,MATCH($C400,'Exercise list'!$C$5:$C$102,0),MATCH(AC$5,'Exercise list'!$E$4:$X$4,0)),0)</f>
        <v>0</v>
      </c>
      <c r="AD400">
        <f>IFERROR(INDEX('Exercise list'!$E$5:$X$102,MATCH($C400,'Exercise list'!$C$5:$C$102,0),MATCH(AD$5,'Exercise list'!$E$4:$X$4,0)),0)</f>
        <v>0</v>
      </c>
      <c r="AE400">
        <f>IFERROR(INDEX('Exercise list'!$E$5:$X$102,MATCH($C400,'Exercise list'!$C$5:$C$102,0),MATCH(AE$5,'Exercise list'!$E$4:$X$4,0)),0)</f>
        <v>0</v>
      </c>
      <c r="AF400">
        <f>IFERROR(INDEX('Exercise list'!$E$5:$X$102,MATCH($C400,'Exercise list'!$C$5:$C$102,0),MATCH(AF$5,'Exercise list'!$E$4:$X$4,0)),0)</f>
        <v>0</v>
      </c>
      <c r="AG400">
        <f>IFERROR(INDEX('Exercise list'!$E$5:$X$102,MATCH($C400,'Exercise list'!$C$5:$C$102,0),MATCH(AG$5,'Exercise list'!$E$4:$X$4,0)),0)</f>
        <v>0</v>
      </c>
      <c r="AH400">
        <f>IFERROR(INDEX('Exercise list'!$E$5:$X$102,MATCH($C400,'Exercise list'!$C$5:$C$102,0),MATCH(AH$5,'Exercise list'!$E$4:$X$4,0)),0)</f>
        <v>0</v>
      </c>
      <c r="AI400">
        <f>IFERROR(INDEX('Exercise list'!$E$5:$X$102,MATCH($C400,'Exercise list'!$C$5:$C$102,0),MATCH(AI$5,'Exercise list'!$E$4:$X$4,0)),0)</f>
        <v>0</v>
      </c>
      <c r="AK400">
        <f>IF(OR($J400=1,COUNTIFS($A$5:$A399,"&gt;="&amp;$A400-1,$A$5:$A399,"&lt;="&amp;$A400,$B$5:$B399,$B400)&gt;0,MIN(1-'Exercise list'!E$2,IF($A400=$A399,AK399,1))-P400&lt;0),-1,MIN(1,IF($A400=$A399,AK399,1)-P400+$D$2))</f>
        <v>1</v>
      </c>
      <c r="AL400">
        <f>IF(OR($J400=1,COUNTIFS($A$5:$A399,"&gt;="&amp;$A400-1,$A$5:$A399,"&lt;="&amp;$A400,$B$5:$B399,$B400)&gt;0,MIN(1-'Exercise list'!F$2,IF($A400=$A399,AL399,1))-Q400&lt;0),-1,MIN(1,IF($A400=$A399,AL399,1)-Q400+$D$2))</f>
        <v>1</v>
      </c>
      <c r="AM400">
        <f>IF(OR($J400=1,COUNTIFS($A$5:$A399,"&gt;="&amp;$A400-1,$A$5:$A399,"&lt;="&amp;$A400,$B$5:$B399,$B400)&gt;0,MIN(1-'Exercise list'!G$2,IF($A400=$A399,AM399,1))-R400&lt;0),-1,MIN(1,IF($A400=$A399,AM399,1)-R400+$D$2))</f>
        <v>1</v>
      </c>
      <c r="AN400">
        <f>IF(OR($J400=1,COUNTIFS($A$5:$A399,"&gt;="&amp;$A400-1,$A$5:$A399,"&lt;="&amp;$A400,$B$5:$B399,$B400)&gt;0,MIN(1-'Exercise list'!H$2,IF($A400=$A399,AN399,1))-S400&lt;0),-1,MIN(1,IF($A400=$A399,AN399,1)-S400+$D$2))</f>
        <v>1</v>
      </c>
      <c r="AO400">
        <f>IF(OR($J400=1,COUNTIFS($A$5:$A399,"&gt;="&amp;$A400-1,$A$5:$A399,"&lt;="&amp;$A400,$B$5:$B399,$B400)&gt;0,MIN(1-'Exercise list'!I$2,IF($A400=$A399,AO399,1))-T400&lt;0),-1,MIN(1,IF($A400=$A399,AO399,1)-T400+$D$2))</f>
        <v>1</v>
      </c>
      <c r="AP400">
        <f>IF(OR($J400=1,COUNTIFS($A$5:$A399,"&gt;="&amp;$A400-1,$A$5:$A399,"&lt;="&amp;$A400,$B$5:$B399,$B400)&gt;0,MIN(1-'Exercise list'!J$2,IF($A400=$A399,AP399,1))-U400&lt;0),-1,MIN(1,IF($A400=$A399,AP399,1)-U400+$D$2))</f>
        <v>1</v>
      </c>
      <c r="AQ400">
        <f>IF(OR($J400=1,COUNTIFS($A$5:$A399,"&gt;="&amp;$A400-1,$A$5:$A399,"&lt;="&amp;$A400,$B$5:$B399,$B400)&gt;0,MIN(1-'Exercise list'!K$2,IF($A400=$A399,AQ399,1))-V400&lt;0),-1,MIN(1,IF($A400=$A399,AQ399,1)-V400+$D$2))</f>
        <v>1</v>
      </c>
      <c r="AR400">
        <f>IF(OR($J400=1,COUNTIFS($A$5:$A399,"&gt;="&amp;$A400-1,$A$5:$A399,"&lt;="&amp;$A400,$B$5:$B399,$B400)&gt;0,MIN(1-'Exercise list'!L$2,IF($A400=$A399,AR399,1))-W400&lt;0),-1,MIN(1,IF($A400=$A399,AR399,1)-W400+$D$2))</f>
        <v>1</v>
      </c>
      <c r="AS400">
        <f>IF(OR($J400=1,COUNTIFS($A$5:$A399,"&gt;="&amp;$A400-1,$A$5:$A399,"&lt;="&amp;$A400,$B$5:$B399,$B400)&gt;0,MIN(1-'Exercise list'!M$2,IF($A400=$A399,AS399,1))-X400&lt;0),-1,MIN(1,IF($A400=$A399,AS399,1)-X400+$D$2))</f>
        <v>1</v>
      </c>
      <c r="AT400">
        <f>IF(OR($J400=1,COUNTIFS($A$5:$A399,"&gt;="&amp;$A400-1,$A$5:$A399,"&lt;="&amp;$A400,$B$5:$B399,$B400)&gt;0,MIN(1-'Exercise list'!N$2,IF($A400=$A399,AT399,1))-Y400&lt;0),-1,MIN(1,IF($A400=$A399,AT399,1)-Y400+$D$2))</f>
        <v>1</v>
      </c>
      <c r="AU400">
        <f>IF(OR($J400=1,COUNTIFS($A$5:$A399,"&gt;="&amp;$A400-1,$A$5:$A399,"&lt;="&amp;$A400,$B$5:$B399,$B400)&gt;0,MIN(1-'Exercise list'!O$2,IF($A400=$A399,AU399,1))-Z400&lt;0),-1,MIN(1,IF($A400=$A399,AU399,1)-Z400+$D$2))</f>
        <v>1</v>
      </c>
      <c r="AV400">
        <f>IF(OR($J400=1,COUNTIFS($A$5:$A399,"&gt;="&amp;$A400-1,$A$5:$A399,"&lt;="&amp;$A400,$B$5:$B399,$B400)&gt;0,MIN(1-'Exercise list'!P$2,IF($A400=$A399,AV399,1))-AA400&lt;0),-1,MIN(1,IF($A400=$A399,AV399,1)-AA400+$D$2))</f>
        <v>1</v>
      </c>
      <c r="AW400">
        <f>IF(OR($J400=1,COUNTIFS($A$5:$A399,"&gt;="&amp;$A400-1,$A$5:$A399,"&lt;="&amp;$A400,$B$5:$B399,$B400)&gt;0,MIN(1-'Exercise list'!Q$2,IF($A400=$A399,AW399,1))-AB400&lt;0),-1,MIN(1,IF($A400=$A399,AW399,1)-AB400+$D$2))</f>
        <v>1</v>
      </c>
      <c r="AX400">
        <f>IF(OR($J400=1,COUNTIFS($A$5:$A399,"&gt;="&amp;$A400-1,$A$5:$A399,"&lt;="&amp;$A400,$B$5:$B399,$B400)&gt;0,MIN(1-'Exercise list'!R$2,IF($A400=$A399,AX399,1))-AC400&lt;0),-1,MIN(1,IF($A400=$A399,AX399,1)-AC400+$D$2))</f>
        <v>1</v>
      </c>
      <c r="AY400">
        <f>IF(OR($J400=1,COUNTIFS($A$5:$A399,"&gt;="&amp;$A400-1,$A$5:$A399,"&lt;="&amp;$A400,$B$5:$B399,$B400)&gt;0,MIN(1-'Exercise list'!S$2,IF($A400=$A399,AY399,1))-AD400&lt;0),-1,MIN(1,IF($A400=$A399,AY399,1)-AD400+$D$2))</f>
        <v>1</v>
      </c>
      <c r="AZ400">
        <f>IF(OR($J400=1,COUNTIFS($A$5:$A399,"&gt;="&amp;$A400-1,$A$5:$A399,"&lt;="&amp;$A400,$B$5:$B399,$B400)&gt;0,MIN(1-'Exercise list'!T$2,IF($A400=$A399,AZ399,1))-AE400&lt;0),-1,MIN(1,IF($A400=$A399,AZ399,1)-AE400+$D$2))</f>
        <v>1</v>
      </c>
      <c r="BA400">
        <f>IF(OR($J400=1,COUNTIFS($A$5:$A399,"&gt;="&amp;$A400-1,$A$5:$A399,"&lt;="&amp;$A400,$B$5:$B399,$B400)&gt;0,MIN(1-'Exercise list'!U$2,IF($A400=$A399,BA399,1))-AF400&lt;0),-1,MIN(1,IF($A400=$A399,BA399,1)-AF400+$D$2))</f>
        <v>1</v>
      </c>
      <c r="BB400">
        <f>IF(OR($J400=1,COUNTIFS($A$5:$A399,"&gt;="&amp;$A400-1,$A$5:$A399,"&lt;="&amp;$A400,$B$5:$B399,$B400)&gt;0,MIN(1-'Exercise list'!V$2,IF($A400=$A399,BB399,1))-AG400&lt;0),-1,MIN(1,IF($A400=$A399,BB399,1)-AG400+$D$2))</f>
        <v>1</v>
      </c>
      <c r="BC400">
        <f>IF(OR($J400=1,COUNTIFS($A$5:$A399,"&gt;="&amp;$A400-1,$A$5:$A399,"&lt;="&amp;$A400,$B$5:$B399,$B400)&gt;0,MIN(1-'Exercise list'!W$2,IF($A400=$A399,BC399,1))-AH400&lt;0),-1,MIN(1,IF($A400=$A399,BC399,1)-AH400+$D$2))</f>
        <v>1</v>
      </c>
      <c r="BD400">
        <f>IF(OR($J400=1,COUNTIFS($A$5:$A399,"&gt;="&amp;$A400-1,$A$5:$A399,"&lt;="&amp;$A400,$B$5:$B399,$B400)&gt;0,MIN(1-'Exercise list'!X$2,IF($A400=$A399,BD399,1))-AI400&lt;0),-1,MIN(1,IF($A400=$A399,BD399,1)-AI400+$D$2))</f>
        <v>1</v>
      </c>
      <c r="BF400" s="16">
        <f t="shared" si="277"/>
        <v>0.19596031081758858</v>
      </c>
      <c r="BG400" s="16">
        <f t="shared" si="278"/>
        <v>0.21844636935459236</v>
      </c>
      <c r="BH400" s="16">
        <f t="shared" si="279"/>
        <v>0.14609696635987124</v>
      </c>
      <c r="BI400" s="16">
        <f t="shared" si="280"/>
        <v>0.13198015366034541</v>
      </c>
      <c r="BJ400" s="16">
        <f t="shared" si="281"/>
        <v>8.3367914198418713E-2</v>
      </c>
      <c r="BK400" s="16">
        <f t="shared" si="282"/>
        <v>0.10640640223148412</v>
      </c>
      <c r="BL400" s="16">
        <f t="shared" si="283"/>
        <v>0.21963504743569431</v>
      </c>
      <c r="BM400" s="16">
        <f t="shared" si="284"/>
        <v>3.8988008374820568E-3</v>
      </c>
      <c r="BN400" s="16">
        <f t="shared" si="285"/>
        <v>0.14537706087090876</v>
      </c>
      <c r="BO400" s="16">
        <f t="shared" si="286"/>
        <v>0.29209790661993401</v>
      </c>
      <c r="BP400" s="16">
        <f t="shared" si="287"/>
        <v>0.31584545163401867</v>
      </c>
      <c r="BQ400" s="16">
        <f t="shared" si="288"/>
        <v>0.1000007994126096</v>
      </c>
      <c r="BR400" s="16">
        <f t="shared" si="289"/>
        <v>0.13164487759885393</v>
      </c>
      <c r="BS400" s="16">
        <f t="shared" si="290"/>
        <v>2.9803550189863123E-2</v>
      </c>
      <c r="BT400" s="16">
        <f t="shared" si="291"/>
        <v>0.13492040904978705</v>
      </c>
      <c r="BU400" s="16">
        <f t="shared" si="292"/>
        <v>0.11703687414398131</v>
      </c>
      <c r="BV400" s="16">
        <f t="shared" si="293"/>
        <v>0.14633353213781661</v>
      </c>
      <c r="BW400" s="16">
        <f t="shared" si="294"/>
        <v>7.5588015111767173E-2</v>
      </c>
      <c r="BX400" s="16">
        <f t="shared" si="295"/>
        <v>8.0345659937185704E-2</v>
      </c>
      <c r="BY400" s="16">
        <f t="shared" si="296"/>
        <v>5.9014643151272549E-2</v>
      </c>
      <c r="CA400" s="16" t="str">
        <f t="shared" si="317"/>
        <v/>
      </c>
      <c r="CB400" s="16" t="str">
        <f t="shared" si="298"/>
        <v/>
      </c>
      <c r="CC400" s="16" t="str">
        <f t="shared" si="299"/>
        <v/>
      </c>
      <c r="CD400" s="16" t="str">
        <f t="shared" si="300"/>
        <v/>
      </c>
      <c r="CE400" s="16" t="str">
        <f t="shared" si="301"/>
        <v/>
      </c>
      <c r="CF400" s="16" t="str">
        <f t="shared" si="302"/>
        <v/>
      </c>
      <c r="CG400" s="16" t="str">
        <f t="shared" si="303"/>
        <v/>
      </c>
      <c r="CH400" s="16" t="str">
        <f t="shared" si="304"/>
        <v/>
      </c>
      <c r="CI400" s="16" t="str">
        <f t="shared" si="305"/>
        <v/>
      </c>
      <c r="CJ400" s="16" t="str">
        <f t="shared" si="306"/>
        <v/>
      </c>
      <c r="CK400" s="16" t="str">
        <f t="shared" si="307"/>
        <v/>
      </c>
      <c r="CL400" s="16" t="str">
        <f t="shared" si="308"/>
        <v/>
      </c>
      <c r="CM400" s="16" t="str">
        <f t="shared" si="309"/>
        <v/>
      </c>
      <c r="CN400" s="16" t="str">
        <f t="shared" si="310"/>
        <v/>
      </c>
      <c r="CO400" s="16" t="str">
        <f t="shared" si="311"/>
        <v/>
      </c>
      <c r="CP400" s="16" t="str">
        <f t="shared" si="312"/>
        <v/>
      </c>
      <c r="CQ400" s="16" t="str">
        <f t="shared" si="313"/>
        <v/>
      </c>
      <c r="CR400" s="16" t="str">
        <f t="shared" si="314"/>
        <v/>
      </c>
      <c r="CS400" s="16" t="str">
        <f t="shared" si="315"/>
        <v/>
      </c>
      <c r="CT400" s="16" t="str">
        <f t="shared" si="316"/>
        <v/>
      </c>
    </row>
    <row r="401" spans="1:99" x14ac:dyDescent="0.25">
      <c r="A401" s="13"/>
      <c r="B401" s="14"/>
      <c r="C401" s="15" t="str" cm="1">
        <f t="array" ref="C401">IF(B401="","",INDEX('Exercise list'!$C$5:$C$102,B401))</f>
        <v/>
      </c>
      <c r="D401" s="12" t="str">
        <f t="shared" si="274"/>
        <v/>
      </c>
      <c r="E401" s="107" t="str">
        <f t="shared" si="297"/>
        <v/>
      </c>
      <c r="F401" s="63" t="str" cm="1">
        <f t="array" ref="F401">IF(B401="","",0.1+IFERROR(INDEX($F$6:$F400,SUMPRODUCT(MAX(ROW($C$6:$C400)*($C401=$C$6:$C400))-ROW($A$5)))*0.9^($A401-INDEX($A$6:A400,SUMPRODUCT(MAX(ROW($C$6:$C400)*($C401=$C$6:$C400))-ROW($A$5)))),0))</f>
        <v/>
      </c>
      <c r="G401" s="64" t="e">
        <f>INDEX('Exercise list'!$Y$5:$Y$102,MATCH(C401,'Exercise list'!$C$5:$C$102,0))</f>
        <v>#N/A</v>
      </c>
      <c r="H401" s="115">
        <f t="shared" si="275"/>
        <v>0</v>
      </c>
      <c r="I401" s="6">
        <f t="shared" si="276"/>
        <v>5</v>
      </c>
      <c r="J401" s="6" t="str" cm="1">
        <f t="array" ref="J401">IF(B401="","",INDEX('Exercise list'!$D$5:$D$102,B401))</f>
        <v/>
      </c>
      <c r="K401" s="12"/>
      <c r="L401" s="74" t="str" cm="1">
        <f t="array" ref="L401">IF(K401="","",INDEX('Exercise list'!$C$5:$C$102,K401))</f>
        <v/>
      </c>
      <c r="M401" s="6"/>
      <c r="N401" s="75" t="str" cm="1">
        <f t="array" ref="N401">IF(M401="","",INDEX('Exercise list'!$C$5:$C$102,M401))</f>
        <v/>
      </c>
      <c r="P401">
        <f>IFERROR(INDEX('Exercise list'!$E$5:$X$102,MATCH($C401,'Exercise list'!$C$5:$C$102,0),MATCH(P$5,'Exercise list'!$E$4:$X$4,0)),0)</f>
        <v>0</v>
      </c>
      <c r="Q401">
        <f>IFERROR(INDEX('Exercise list'!$E$5:$X$102,MATCH($C401,'Exercise list'!$C$5:$C$102,0),MATCH(Q$5,'Exercise list'!$E$4:$X$4,0)),0)</f>
        <v>0</v>
      </c>
      <c r="R401">
        <f>IFERROR(INDEX('Exercise list'!$E$5:$X$102,MATCH($C401,'Exercise list'!$C$5:$C$102,0),MATCH(R$5,'Exercise list'!$E$4:$X$4,0)),0)</f>
        <v>0</v>
      </c>
      <c r="S401">
        <f>IFERROR(INDEX('Exercise list'!$E$5:$X$102,MATCH($C401,'Exercise list'!$C$5:$C$102,0),MATCH(S$5,'Exercise list'!$E$4:$X$4,0)),0)</f>
        <v>0</v>
      </c>
      <c r="T401">
        <f>IFERROR(INDEX('Exercise list'!$E$5:$X$102,MATCH($C401,'Exercise list'!$C$5:$C$102,0),MATCH(T$5,'Exercise list'!$E$4:$X$4,0)),0)</f>
        <v>0</v>
      </c>
      <c r="U401">
        <f>IFERROR(INDEX('Exercise list'!$E$5:$X$102,MATCH($C401,'Exercise list'!$C$5:$C$102,0),MATCH(U$5,'Exercise list'!$E$4:$X$4,0)),0)</f>
        <v>0</v>
      </c>
      <c r="V401">
        <f>IFERROR(INDEX('Exercise list'!$E$5:$X$102,MATCH($C401,'Exercise list'!$C$5:$C$102,0),MATCH(V$5,'Exercise list'!$E$4:$X$4,0)),0)</f>
        <v>0</v>
      </c>
      <c r="W401">
        <f>IFERROR(INDEX('Exercise list'!$E$5:$X$102,MATCH($C401,'Exercise list'!$C$5:$C$102,0),MATCH(W$5,'Exercise list'!$E$4:$X$4,0)),0)</f>
        <v>0</v>
      </c>
      <c r="X401">
        <f>IFERROR(INDEX('Exercise list'!$E$5:$X$102,MATCH($C401,'Exercise list'!$C$5:$C$102,0),MATCH(X$5,'Exercise list'!$E$4:$X$4,0)),0)</f>
        <v>0</v>
      </c>
      <c r="Y401">
        <f>IFERROR(INDEX('Exercise list'!$E$5:$X$102,MATCH($C401,'Exercise list'!$C$5:$C$102,0),MATCH(Y$5,'Exercise list'!$E$4:$X$4,0)),0)</f>
        <v>0</v>
      </c>
      <c r="Z401">
        <f>IFERROR(INDEX('Exercise list'!$E$5:$X$102,MATCH($C401,'Exercise list'!$C$5:$C$102,0),MATCH(Z$5,'Exercise list'!$E$4:$X$4,0)),0)</f>
        <v>0</v>
      </c>
      <c r="AA401">
        <f>IFERROR(INDEX('Exercise list'!$E$5:$X$102,MATCH($C401,'Exercise list'!$C$5:$C$102,0),MATCH(AA$5,'Exercise list'!$E$4:$X$4,0)),0)</f>
        <v>0</v>
      </c>
      <c r="AB401">
        <f>IFERROR(INDEX('Exercise list'!$E$5:$X$102,MATCH($C401,'Exercise list'!$C$5:$C$102,0),MATCH(AB$5,'Exercise list'!$E$4:$X$4,0)),0)</f>
        <v>0</v>
      </c>
      <c r="AC401">
        <f>IFERROR(INDEX('Exercise list'!$E$5:$X$102,MATCH($C401,'Exercise list'!$C$5:$C$102,0),MATCH(AC$5,'Exercise list'!$E$4:$X$4,0)),0)</f>
        <v>0</v>
      </c>
      <c r="AD401">
        <f>IFERROR(INDEX('Exercise list'!$E$5:$X$102,MATCH($C401,'Exercise list'!$C$5:$C$102,0),MATCH(AD$5,'Exercise list'!$E$4:$X$4,0)),0)</f>
        <v>0</v>
      </c>
      <c r="AE401">
        <f>IFERROR(INDEX('Exercise list'!$E$5:$X$102,MATCH($C401,'Exercise list'!$C$5:$C$102,0),MATCH(AE$5,'Exercise list'!$E$4:$X$4,0)),0)</f>
        <v>0</v>
      </c>
      <c r="AF401">
        <f>IFERROR(INDEX('Exercise list'!$E$5:$X$102,MATCH($C401,'Exercise list'!$C$5:$C$102,0),MATCH(AF$5,'Exercise list'!$E$4:$X$4,0)),0)</f>
        <v>0</v>
      </c>
      <c r="AG401">
        <f>IFERROR(INDEX('Exercise list'!$E$5:$X$102,MATCH($C401,'Exercise list'!$C$5:$C$102,0),MATCH(AG$5,'Exercise list'!$E$4:$X$4,0)),0)</f>
        <v>0</v>
      </c>
      <c r="AH401">
        <f>IFERROR(INDEX('Exercise list'!$E$5:$X$102,MATCH($C401,'Exercise list'!$C$5:$C$102,0),MATCH(AH$5,'Exercise list'!$E$4:$X$4,0)),0)</f>
        <v>0</v>
      </c>
      <c r="AI401">
        <f>IFERROR(INDEX('Exercise list'!$E$5:$X$102,MATCH($C401,'Exercise list'!$C$5:$C$102,0),MATCH(AI$5,'Exercise list'!$E$4:$X$4,0)),0)</f>
        <v>0</v>
      </c>
      <c r="AK401">
        <f>IF(OR($J401=1,COUNTIFS($A$5:$A400,"&gt;="&amp;$A401-1,$A$5:$A400,"&lt;="&amp;$A401,$B$5:$B400,$B401)&gt;0,MIN(1-'Exercise list'!E$2,IF($A401=$A400,AK400,1))-P401&lt;0),-1,MIN(1,IF($A401=$A400,AK400,1)-P401+$D$2))</f>
        <v>1</v>
      </c>
      <c r="AL401">
        <f>IF(OR($J401=1,COUNTIFS($A$5:$A400,"&gt;="&amp;$A401-1,$A$5:$A400,"&lt;="&amp;$A401,$B$5:$B400,$B401)&gt;0,MIN(1-'Exercise list'!F$2,IF($A401=$A400,AL400,1))-Q401&lt;0),-1,MIN(1,IF($A401=$A400,AL400,1)-Q401+$D$2))</f>
        <v>1</v>
      </c>
      <c r="AM401">
        <f>IF(OR($J401=1,COUNTIFS($A$5:$A400,"&gt;="&amp;$A401-1,$A$5:$A400,"&lt;="&amp;$A401,$B$5:$B400,$B401)&gt;0,MIN(1-'Exercise list'!G$2,IF($A401=$A400,AM400,1))-R401&lt;0),-1,MIN(1,IF($A401=$A400,AM400,1)-R401+$D$2))</f>
        <v>1</v>
      </c>
      <c r="AN401">
        <f>IF(OR($J401=1,COUNTIFS($A$5:$A400,"&gt;="&amp;$A401-1,$A$5:$A400,"&lt;="&amp;$A401,$B$5:$B400,$B401)&gt;0,MIN(1-'Exercise list'!H$2,IF($A401=$A400,AN400,1))-S401&lt;0),-1,MIN(1,IF($A401=$A400,AN400,1)-S401+$D$2))</f>
        <v>1</v>
      </c>
      <c r="AO401">
        <f>IF(OR($J401=1,COUNTIFS($A$5:$A400,"&gt;="&amp;$A401-1,$A$5:$A400,"&lt;="&amp;$A401,$B$5:$B400,$B401)&gt;0,MIN(1-'Exercise list'!I$2,IF($A401=$A400,AO400,1))-T401&lt;0),-1,MIN(1,IF($A401=$A400,AO400,1)-T401+$D$2))</f>
        <v>1</v>
      </c>
      <c r="AP401">
        <f>IF(OR($J401=1,COUNTIFS($A$5:$A400,"&gt;="&amp;$A401-1,$A$5:$A400,"&lt;="&amp;$A401,$B$5:$B400,$B401)&gt;0,MIN(1-'Exercise list'!J$2,IF($A401=$A400,AP400,1))-U401&lt;0),-1,MIN(1,IF($A401=$A400,AP400,1)-U401+$D$2))</f>
        <v>1</v>
      </c>
      <c r="AQ401">
        <f>IF(OR($J401=1,COUNTIFS($A$5:$A400,"&gt;="&amp;$A401-1,$A$5:$A400,"&lt;="&amp;$A401,$B$5:$B400,$B401)&gt;0,MIN(1-'Exercise list'!K$2,IF($A401=$A400,AQ400,1))-V401&lt;0),-1,MIN(1,IF($A401=$A400,AQ400,1)-V401+$D$2))</f>
        <v>1</v>
      </c>
      <c r="AR401">
        <f>IF(OR($J401=1,COUNTIFS($A$5:$A400,"&gt;="&amp;$A401-1,$A$5:$A400,"&lt;="&amp;$A401,$B$5:$B400,$B401)&gt;0,MIN(1-'Exercise list'!L$2,IF($A401=$A400,AR400,1))-W401&lt;0),-1,MIN(1,IF($A401=$A400,AR400,1)-W401+$D$2))</f>
        <v>1</v>
      </c>
      <c r="AS401">
        <f>IF(OR($J401=1,COUNTIFS($A$5:$A400,"&gt;="&amp;$A401-1,$A$5:$A400,"&lt;="&amp;$A401,$B$5:$B400,$B401)&gt;0,MIN(1-'Exercise list'!M$2,IF($A401=$A400,AS400,1))-X401&lt;0),-1,MIN(1,IF($A401=$A400,AS400,1)-X401+$D$2))</f>
        <v>1</v>
      </c>
      <c r="AT401">
        <f>IF(OR($J401=1,COUNTIFS($A$5:$A400,"&gt;="&amp;$A401-1,$A$5:$A400,"&lt;="&amp;$A401,$B$5:$B400,$B401)&gt;0,MIN(1-'Exercise list'!N$2,IF($A401=$A400,AT400,1))-Y401&lt;0),-1,MIN(1,IF($A401=$A400,AT400,1)-Y401+$D$2))</f>
        <v>1</v>
      </c>
      <c r="AU401">
        <f>IF(OR($J401=1,COUNTIFS($A$5:$A400,"&gt;="&amp;$A401-1,$A$5:$A400,"&lt;="&amp;$A401,$B$5:$B400,$B401)&gt;0,MIN(1-'Exercise list'!O$2,IF($A401=$A400,AU400,1))-Z401&lt;0),-1,MIN(1,IF($A401=$A400,AU400,1)-Z401+$D$2))</f>
        <v>1</v>
      </c>
      <c r="AV401">
        <f>IF(OR($J401=1,COUNTIFS($A$5:$A400,"&gt;="&amp;$A401-1,$A$5:$A400,"&lt;="&amp;$A401,$B$5:$B400,$B401)&gt;0,MIN(1-'Exercise list'!P$2,IF($A401=$A400,AV400,1))-AA401&lt;0),-1,MIN(1,IF($A401=$A400,AV400,1)-AA401+$D$2))</f>
        <v>1</v>
      </c>
      <c r="AW401">
        <f>IF(OR($J401=1,COUNTIFS($A$5:$A400,"&gt;="&amp;$A401-1,$A$5:$A400,"&lt;="&amp;$A401,$B$5:$B400,$B401)&gt;0,MIN(1-'Exercise list'!Q$2,IF($A401=$A400,AW400,1))-AB401&lt;0),-1,MIN(1,IF($A401=$A400,AW400,1)-AB401+$D$2))</f>
        <v>1</v>
      </c>
      <c r="AX401">
        <f>IF(OR($J401=1,COUNTIFS($A$5:$A400,"&gt;="&amp;$A401-1,$A$5:$A400,"&lt;="&amp;$A401,$B$5:$B400,$B401)&gt;0,MIN(1-'Exercise list'!R$2,IF($A401=$A400,AX400,1))-AC401&lt;0),-1,MIN(1,IF($A401=$A400,AX400,1)-AC401+$D$2))</f>
        <v>1</v>
      </c>
      <c r="AY401">
        <f>IF(OR($J401=1,COUNTIFS($A$5:$A400,"&gt;="&amp;$A401-1,$A$5:$A400,"&lt;="&amp;$A401,$B$5:$B400,$B401)&gt;0,MIN(1-'Exercise list'!S$2,IF($A401=$A400,AY400,1))-AD401&lt;0),-1,MIN(1,IF($A401=$A400,AY400,1)-AD401+$D$2))</f>
        <v>1</v>
      </c>
      <c r="AZ401">
        <f>IF(OR($J401=1,COUNTIFS($A$5:$A400,"&gt;="&amp;$A401-1,$A$5:$A400,"&lt;="&amp;$A401,$B$5:$B400,$B401)&gt;0,MIN(1-'Exercise list'!T$2,IF($A401=$A400,AZ400,1))-AE401&lt;0),-1,MIN(1,IF($A401=$A400,AZ400,1)-AE401+$D$2))</f>
        <v>1</v>
      </c>
      <c r="BA401">
        <f>IF(OR($J401=1,COUNTIFS($A$5:$A400,"&gt;="&amp;$A401-1,$A$5:$A400,"&lt;="&amp;$A401,$B$5:$B400,$B401)&gt;0,MIN(1-'Exercise list'!U$2,IF($A401=$A400,BA400,1))-AF401&lt;0),-1,MIN(1,IF($A401=$A400,BA400,1)-AF401+$D$2))</f>
        <v>1</v>
      </c>
      <c r="BB401">
        <f>IF(OR($J401=1,COUNTIFS($A$5:$A400,"&gt;="&amp;$A401-1,$A$5:$A400,"&lt;="&amp;$A401,$B$5:$B400,$B401)&gt;0,MIN(1-'Exercise list'!V$2,IF($A401=$A400,BB400,1))-AG401&lt;0),-1,MIN(1,IF($A401=$A400,BB400,1)-AG401+$D$2))</f>
        <v>1</v>
      </c>
      <c r="BC401">
        <f>IF(OR($J401=1,COUNTIFS($A$5:$A400,"&gt;="&amp;$A401-1,$A$5:$A400,"&lt;="&amp;$A401,$B$5:$B400,$B401)&gt;0,MIN(1-'Exercise list'!W$2,IF($A401=$A400,BC400,1))-AH401&lt;0),-1,MIN(1,IF($A401=$A400,BC400,1)-AH401+$D$2))</f>
        <v>1</v>
      </c>
      <c r="BD401">
        <f>IF(OR($J401=1,COUNTIFS($A$5:$A400,"&gt;="&amp;$A401-1,$A$5:$A400,"&lt;="&amp;$A401,$B$5:$B400,$B401)&gt;0,MIN(1-'Exercise list'!X$2,IF($A401=$A400,BD400,1))-AI401&lt;0),-1,MIN(1,IF($A401=$A400,BD400,1)-AI401+$D$2))</f>
        <v>1</v>
      </c>
      <c r="BF401" s="16">
        <f t="shared" si="277"/>
        <v>0.19596031081758858</v>
      </c>
      <c r="BG401" s="16">
        <f t="shared" si="278"/>
        <v>0.21844636935459236</v>
      </c>
      <c r="BH401" s="16">
        <f t="shared" si="279"/>
        <v>0.14609696635987124</v>
      </c>
      <c r="BI401" s="16">
        <f t="shared" si="280"/>
        <v>0.13198015366034541</v>
      </c>
      <c r="BJ401" s="16">
        <f t="shared" si="281"/>
        <v>8.3367914198418713E-2</v>
      </c>
      <c r="BK401" s="16">
        <f t="shared" si="282"/>
        <v>0.10640640223148412</v>
      </c>
      <c r="BL401" s="16">
        <f t="shared" si="283"/>
        <v>0.21963504743569431</v>
      </c>
      <c r="BM401" s="16">
        <f t="shared" si="284"/>
        <v>3.8988008374820568E-3</v>
      </c>
      <c r="BN401" s="16">
        <f t="shared" si="285"/>
        <v>0.14537706087090876</v>
      </c>
      <c r="BO401" s="16">
        <f t="shared" si="286"/>
        <v>0.29209790661993401</v>
      </c>
      <c r="BP401" s="16">
        <f t="shared" si="287"/>
        <v>0.31584545163401867</v>
      </c>
      <c r="BQ401" s="16">
        <f t="shared" si="288"/>
        <v>0.1000007994126096</v>
      </c>
      <c r="BR401" s="16">
        <f t="shared" si="289"/>
        <v>0.13164487759885393</v>
      </c>
      <c r="BS401" s="16">
        <f t="shared" si="290"/>
        <v>2.9803550189863123E-2</v>
      </c>
      <c r="BT401" s="16">
        <f t="shared" si="291"/>
        <v>0.13492040904978705</v>
      </c>
      <c r="BU401" s="16">
        <f t="shared" si="292"/>
        <v>0.11703687414398131</v>
      </c>
      <c r="BV401" s="16">
        <f t="shared" si="293"/>
        <v>0.14633353213781661</v>
      </c>
      <c r="BW401" s="16">
        <f t="shared" si="294"/>
        <v>7.5588015111767173E-2</v>
      </c>
      <c r="BX401" s="16">
        <f t="shared" si="295"/>
        <v>8.0345659937185704E-2</v>
      </c>
      <c r="BY401" s="16">
        <f t="shared" si="296"/>
        <v>5.9014643151272549E-2</v>
      </c>
      <c r="CA401" s="16" t="str">
        <f t="shared" si="317"/>
        <v/>
      </c>
      <c r="CB401" s="16" t="str">
        <f t="shared" si="298"/>
        <v/>
      </c>
      <c r="CC401" s="16" t="str">
        <f t="shared" si="299"/>
        <v/>
      </c>
      <c r="CD401" s="16" t="str">
        <f t="shared" si="300"/>
        <v/>
      </c>
      <c r="CE401" s="16" t="str">
        <f t="shared" si="301"/>
        <v/>
      </c>
      <c r="CF401" s="16" t="str">
        <f t="shared" si="302"/>
        <v/>
      </c>
      <c r="CG401" s="16" t="str">
        <f t="shared" si="303"/>
        <v/>
      </c>
      <c r="CH401" s="16" t="str">
        <f t="shared" si="304"/>
        <v/>
      </c>
      <c r="CI401" s="16" t="str">
        <f t="shared" si="305"/>
        <v/>
      </c>
      <c r="CJ401" s="16" t="str">
        <f t="shared" si="306"/>
        <v/>
      </c>
      <c r="CK401" s="16" t="str">
        <f t="shared" si="307"/>
        <v/>
      </c>
      <c r="CL401" s="16" t="str">
        <f t="shared" si="308"/>
        <v/>
      </c>
      <c r="CM401" s="16" t="str">
        <f t="shared" si="309"/>
        <v/>
      </c>
      <c r="CN401" s="16" t="str">
        <f t="shared" si="310"/>
        <v/>
      </c>
      <c r="CO401" s="16" t="str">
        <f t="shared" si="311"/>
        <v/>
      </c>
      <c r="CP401" s="16" t="str">
        <f t="shared" si="312"/>
        <v/>
      </c>
      <c r="CQ401" s="16" t="str">
        <f t="shared" si="313"/>
        <v/>
      </c>
      <c r="CR401" s="16" t="str">
        <f t="shared" si="314"/>
        <v/>
      </c>
      <c r="CS401" s="16" t="str">
        <f t="shared" si="315"/>
        <v/>
      </c>
      <c r="CT401" s="16" t="str">
        <f t="shared" si="316"/>
        <v/>
      </c>
    </row>
    <row r="402" spans="1:99" x14ac:dyDescent="0.25">
      <c r="A402" s="13"/>
      <c r="B402" s="14"/>
      <c r="C402" s="15" t="str" cm="1">
        <f t="array" ref="C402">IF(B402="","",INDEX('Exercise list'!$C$5:$C$102,B402))</f>
        <v/>
      </c>
      <c r="D402" s="12" t="str">
        <f t="shared" si="274"/>
        <v/>
      </c>
      <c r="E402" s="107" t="str">
        <f t="shared" si="297"/>
        <v/>
      </c>
      <c r="F402" s="63" t="str" cm="1">
        <f t="array" ref="F402">IF(B402="","",0.1+IFERROR(INDEX($F$6:$F401,SUMPRODUCT(MAX(ROW($C$6:$C401)*($C402=$C$6:$C401))-ROW($A$5)))*0.9^($A402-INDEX($A$6:A401,SUMPRODUCT(MAX(ROW($C$6:$C401)*($C402=$C$6:$C401))-ROW($A$5)))),0))</f>
        <v/>
      </c>
      <c r="G402" s="64" t="e">
        <f>INDEX('Exercise list'!$Y$5:$Y$102,MATCH(C402,'Exercise list'!$C$5:$C$102,0))</f>
        <v>#N/A</v>
      </c>
      <c r="H402" s="115">
        <f t="shared" si="275"/>
        <v>0</v>
      </c>
      <c r="I402" s="6">
        <f t="shared" si="276"/>
        <v>5</v>
      </c>
      <c r="J402" s="6" t="str" cm="1">
        <f t="array" ref="J402">IF(B402="","",INDEX('Exercise list'!$D$5:$D$102,B402))</f>
        <v/>
      </c>
      <c r="K402" s="12"/>
      <c r="L402" s="74" t="str" cm="1">
        <f t="array" ref="L402">IF(K402="","",INDEX('Exercise list'!$C$5:$C$102,K402))</f>
        <v/>
      </c>
      <c r="M402" s="6"/>
      <c r="N402" s="75" t="str" cm="1">
        <f t="array" ref="N402">IF(M402="","",INDEX('Exercise list'!$C$5:$C$102,M402))</f>
        <v/>
      </c>
      <c r="P402">
        <f>IFERROR(INDEX('Exercise list'!$E$5:$X$102,MATCH($C402,'Exercise list'!$C$5:$C$102,0),MATCH(P$5,'Exercise list'!$E$4:$X$4,0)),0)</f>
        <v>0</v>
      </c>
      <c r="Q402">
        <f>IFERROR(INDEX('Exercise list'!$E$5:$X$102,MATCH($C402,'Exercise list'!$C$5:$C$102,0),MATCH(Q$5,'Exercise list'!$E$4:$X$4,0)),0)</f>
        <v>0</v>
      </c>
      <c r="R402">
        <f>IFERROR(INDEX('Exercise list'!$E$5:$X$102,MATCH($C402,'Exercise list'!$C$5:$C$102,0),MATCH(R$5,'Exercise list'!$E$4:$X$4,0)),0)</f>
        <v>0</v>
      </c>
      <c r="S402">
        <f>IFERROR(INDEX('Exercise list'!$E$5:$X$102,MATCH($C402,'Exercise list'!$C$5:$C$102,0),MATCH(S$5,'Exercise list'!$E$4:$X$4,0)),0)</f>
        <v>0</v>
      </c>
      <c r="T402">
        <f>IFERROR(INDEX('Exercise list'!$E$5:$X$102,MATCH($C402,'Exercise list'!$C$5:$C$102,0),MATCH(T$5,'Exercise list'!$E$4:$X$4,0)),0)</f>
        <v>0</v>
      </c>
      <c r="U402">
        <f>IFERROR(INDEX('Exercise list'!$E$5:$X$102,MATCH($C402,'Exercise list'!$C$5:$C$102,0),MATCH(U$5,'Exercise list'!$E$4:$X$4,0)),0)</f>
        <v>0</v>
      </c>
      <c r="V402">
        <f>IFERROR(INDEX('Exercise list'!$E$5:$X$102,MATCH($C402,'Exercise list'!$C$5:$C$102,0),MATCH(V$5,'Exercise list'!$E$4:$X$4,0)),0)</f>
        <v>0</v>
      </c>
      <c r="W402">
        <f>IFERROR(INDEX('Exercise list'!$E$5:$X$102,MATCH($C402,'Exercise list'!$C$5:$C$102,0),MATCH(W$5,'Exercise list'!$E$4:$X$4,0)),0)</f>
        <v>0</v>
      </c>
      <c r="X402">
        <f>IFERROR(INDEX('Exercise list'!$E$5:$X$102,MATCH($C402,'Exercise list'!$C$5:$C$102,0),MATCH(X$5,'Exercise list'!$E$4:$X$4,0)),0)</f>
        <v>0</v>
      </c>
      <c r="Y402">
        <f>IFERROR(INDEX('Exercise list'!$E$5:$X$102,MATCH($C402,'Exercise list'!$C$5:$C$102,0),MATCH(Y$5,'Exercise list'!$E$4:$X$4,0)),0)</f>
        <v>0</v>
      </c>
      <c r="Z402">
        <f>IFERROR(INDEX('Exercise list'!$E$5:$X$102,MATCH($C402,'Exercise list'!$C$5:$C$102,0),MATCH(Z$5,'Exercise list'!$E$4:$X$4,0)),0)</f>
        <v>0</v>
      </c>
      <c r="AA402">
        <f>IFERROR(INDEX('Exercise list'!$E$5:$X$102,MATCH($C402,'Exercise list'!$C$5:$C$102,0),MATCH(AA$5,'Exercise list'!$E$4:$X$4,0)),0)</f>
        <v>0</v>
      </c>
      <c r="AB402">
        <f>IFERROR(INDEX('Exercise list'!$E$5:$X$102,MATCH($C402,'Exercise list'!$C$5:$C$102,0),MATCH(AB$5,'Exercise list'!$E$4:$X$4,0)),0)</f>
        <v>0</v>
      </c>
      <c r="AC402">
        <f>IFERROR(INDEX('Exercise list'!$E$5:$X$102,MATCH($C402,'Exercise list'!$C$5:$C$102,0),MATCH(AC$5,'Exercise list'!$E$4:$X$4,0)),0)</f>
        <v>0</v>
      </c>
      <c r="AD402">
        <f>IFERROR(INDEX('Exercise list'!$E$5:$X$102,MATCH($C402,'Exercise list'!$C$5:$C$102,0),MATCH(AD$5,'Exercise list'!$E$4:$X$4,0)),0)</f>
        <v>0</v>
      </c>
      <c r="AE402">
        <f>IFERROR(INDEX('Exercise list'!$E$5:$X$102,MATCH($C402,'Exercise list'!$C$5:$C$102,0),MATCH(AE$5,'Exercise list'!$E$4:$X$4,0)),0)</f>
        <v>0</v>
      </c>
      <c r="AF402">
        <f>IFERROR(INDEX('Exercise list'!$E$5:$X$102,MATCH($C402,'Exercise list'!$C$5:$C$102,0),MATCH(AF$5,'Exercise list'!$E$4:$X$4,0)),0)</f>
        <v>0</v>
      </c>
      <c r="AG402">
        <f>IFERROR(INDEX('Exercise list'!$E$5:$X$102,MATCH($C402,'Exercise list'!$C$5:$C$102,0),MATCH(AG$5,'Exercise list'!$E$4:$X$4,0)),0)</f>
        <v>0</v>
      </c>
      <c r="AH402">
        <f>IFERROR(INDEX('Exercise list'!$E$5:$X$102,MATCH($C402,'Exercise list'!$C$5:$C$102,0),MATCH(AH$5,'Exercise list'!$E$4:$X$4,0)),0)</f>
        <v>0</v>
      </c>
      <c r="AI402">
        <f>IFERROR(INDEX('Exercise list'!$E$5:$X$102,MATCH($C402,'Exercise list'!$C$5:$C$102,0),MATCH(AI$5,'Exercise list'!$E$4:$X$4,0)),0)</f>
        <v>0</v>
      </c>
      <c r="AK402">
        <f>IF(OR($J402=1,COUNTIFS($A$5:$A401,"&gt;="&amp;$A402-1,$A$5:$A401,"&lt;="&amp;$A402,$B$5:$B401,$B402)&gt;0,MIN(1-'Exercise list'!E$2,IF($A402=$A401,AK401,1))-P402&lt;0),-1,MIN(1,IF($A402=$A401,AK401,1)-P402+$D$2))</f>
        <v>1</v>
      </c>
      <c r="AL402">
        <f>IF(OR($J402=1,COUNTIFS($A$5:$A401,"&gt;="&amp;$A402-1,$A$5:$A401,"&lt;="&amp;$A402,$B$5:$B401,$B402)&gt;0,MIN(1-'Exercise list'!F$2,IF($A402=$A401,AL401,1))-Q402&lt;0),-1,MIN(1,IF($A402=$A401,AL401,1)-Q402+$D$2))</f>
        <v>1</v>
      </c>
      <c r="AM402">
        <f>IF(OR($J402=1,COUNTIFS($A$5:$A401,"&gt;="&amp;$A402-1,$A$5:$A401,"&lt;="&amp;$A402,$B$5:$B401,$B402)&gt;0,MIN(1-'Exercise list'!G$2,IF($A402=$A401,AM401,1))-R402&lt;0),-1,MIN(1,IF($A402=$A401,AM401,1)-R402+$D$2))</f>
        <v>1</v>
      </c>
      <c r="AN402">
        <f>IF(OR($J402=1,COUNTIFS($A$5:$A401,"&gt;="&amp;$A402-1,$A$5:$A401,"&lt;="&amp;$A402,$B$5:$B401,$B402)&gt;0,MIN(1-'Exercise list'!H$2,IF($A402=$A401,AN401,1))-S402&lt;0),-1,MIN(1,IF($A402=$A401,AN401,1)-S402+$D$2))</f>
        <v>1</v>
      </c>
      <c r="AO402">
        <f>IF(OR($J402=1,COUNTIFS($A$5:$A401,"&gt;="&amp;$A402-1,$A$5:$A401,"&lt;="&amp;$A402,$B$5:$B401,$B402)&gt;0,MIN(1-'Exercise list'!I$2,IF($A402=$A401,AO401,1))-T402&lt;0),-1,MIN(1,IF($A402=$A401,AO401,1)-T402+$D$2))</f>
        <v>1</v>
      </c>
      <c r="AP402">
        <f>IF(OR($J402=1,COUNTIFS($A$5:$A401,"&gt;="&amp;$A402-1,$A$5:$A401,"&lt;="&amp;$A402,$B$5:$B401,$B402)&gt;0,MIN(1-'Exercise list'!J$2,IF($A402=$A401,AP401,1))-U402&lt;0),-1,MIN(1,IF($A402=$A401,AP401,1)-U402+$D$2))</f>
        <v>1</v>
      </c>
      <c r="AQ402">
        <f>IF(OR($J402=1,COUNTIFS($A$5:$A401,"&gt;="&amp;$A402-1,$A$5:$A401,"&lt;="&amp;$A402,$B$5:$B401,$B402)&gt;0,MIN(1-'Exercise list'!K$2,IF($A402=$A401,AQ401,1))-V402&lt;0),-1,MIN(1,IF($A402=$A401,AQ401,1)-V402+$D$2))</f>
        <v>1</v>
      </c>
      <c r="AR402">
        <f>IF(OR($J402=1,COUNTIFS($A$5:$A401,"&gt;="&amp;$A402-1,$A$5:$A401,"&lt;="&amp;$A402,$B$5:$B401,$B402)&gt;0,MIN(1-'Exercise list'!L$2,IF($A402=$A401,AR401,1))-W402&lt;0),-1,MIN(1,IF($A402=$A401,AR401,1)-W402+$D$2))</f>
        <v>1</v>
      </c>
      <c r="AS402">
        <f>IF(OR($J402=1,COUNTIFS($A$5:$A401,"&gt;="&amp;$A402-1,$A$5:$A401,"&lt;="&amp;$A402,$B$5:$B401,$B402)&gt;0,MIN(1-'Exercise list'!M$2,IF($A402=$A401,AS401,1))-X402&lt;0),-1,MIN(1,IF($A402=$A401,AS401,1)-X402+$D$2))</f>
        <v>1</v>
      </c>
      <c r="AT402">
        <f>IF(OR($J402=1,COUNTIFS($A$5:$A401,"&gt;="&amp;$A402-1,$A$5:$A401,"&lt;="&amp;$A402,$B$5:$B401,$B402)&gt;0,MIN(1-'Exercise list'!N$2,IF($A402=$A401,AT401,1))-Y402&lt;0),-1,MIN(1,IF($A402=$A401,AT401,1)-Y402+$D$2))</f>
        <v>1</v>
      </c>
      <c r="AU402">
        <f>IF(OR($J402=1,COUNTIFS($A$5:$A401,"&gt;="&amp;$A402-1,$A$5:$A401,"&lt;="&amp;$A402,$B$5:$B401,$B402)&gt;0,MIN(1-'Exercise list'!O$2,IF($A402=$A401,AU401,1))-Z402&lt;0),-1,MIN(1,IF($A402=$A401,AU401,1)-Z402+$D$2))</f>
        <v>1</v>
      </c>
      <c r="AV402">
        <f>IF(OR($J402=1,COUNTIFS($A$5:$A401,"&gt;="&amp;$A402-1,$A$5:$A401,"&lt;="&amp;$A402,$B$5:$B401,$B402)&gt;0,MIN(1-'Exercise list'!P$2,IF($A402=$A401,AV401,1))-AA402&lt;0),-1,MIN(1,IF($A402=$A401,AV401,1)-AA402+$D$2))</f>
        <v>1</v>
      </c>
      <c r="AW402">
        <f>IF(OR($J402=1,COUNTIFS($A$5:$A401,"&gt;="&amp;$A402-1,$A$5:$A401,"&lt;="&amp;$A402,$B$5:$B401,$B402)&gt;0,MIN(1-'Exercise list'!Q$2,IF($A402=$A401,AW401,1))-AB402&lt;0),-1,MIN(1,IF($A402=$A401,AW401,1)-AB402+$D$2))</f>
        <v>1</v>
      </c>
      <c r="AX402">
        <f>IF(OR($J402=1,COUNTIFS($A$5:$A401,"&gt;="&amp;$A402-1,$A$5:$A401,"&lt;="&amp;$A402,$B$5:$B401,$B402)&gt;0,MIN(1-'Exercise list'!R$2,IF($A402=$A401,AX401,1))-AC402&lt;0),-1,MIN(1,IF($A402=$A401,AX401,1)-AC402+$D$2))</f>
        <v>1</v>
      </c>
      <c r="AY402">
        <f>IF(OR($J402=1,COUNTIFS($A$5:$A401,"&gt;="&amp;$A402-1,$A$5:$A401,"&lt;="&amp;$A402,$B$5:$B401,$B402)&gt;0,MIN(1-'Exercise list'!S$2,IF($A402=$A401,AY401,1))-AD402&lt;0),-1,MIN(1,IF($A402=$A401,AY401,1)-AD402+$D$2))</f>
        <v>1</v>
      </c>
      <c r="AZ402">
        <f>IF(OR($J402=1,COUNTIFS($A$5:$A401,"&gt;="&amp;$A402-1,$A$5:$A401,"&lt;="&amp;$A402,$B$5:$B401,$B402)&gt;0,MIN(1-'Exercise list'!T$2,IF($A402=$A401,AZ401,1))-AE402&lt;0),-1,MIN(1,IF($A402=$A401,AZ401,1)-AE402+$D$2))</f>
        <v>1</v>
      </c>
      <c r="BA402">
        <f>IF(OR($J402=1,COUNTIFS($A$5:$A401,"&gt;="&amp;$A402-1,$A$5:$A401,"&lt;="&amp;$A402,$B$5:$B401,$B402)&gt;0,MIN(1-'Exercise list'!U$2,IF($A402=$A401,BA401,1))-AF402&lt;0),-1,MIN(1,IF($A402=$A401,BA401,1)-AF402+$D$2))</f>
        <v>1</v>
      </c>
      <c r="BB402">
        <f>IF(OR($J402=1,COUNTIFS($A$5:$A401,"&gt;="&amp;$A402-1,$A$5:$A401,"&lt;="&amp;$A402,$B$5:$B401,$B402)&gt;0,MIN(1-'Exercise list'!V$2,IF($A402=$A401,BB401,1))-AG402&lt;0),-1,MIN(1,IF($A402=$A401,BB401,1)-AG402+$D$2))</f>
        <v>1</v>
      </c>
      <c r="BC402">
        <f>IF(OR($J402=1,COUNTIFS($A$5:$A401,"&gt;="&amp;$A402-1,$A$5:$A401,"&lt;="&amp;$A402,$B$5:$B401,$B402)&gt;0,MIN(1-'Exercise list'!W$2,IF($A402=$A401,BC401,1))-AH402&lt;0),-1,MIN(1,IF($A402=$A401,BC401,1)-AH402+$D$2))</f>
        <v>1</v>
      </c>
      <c r="BD402">
        <f>IF(OR($J402=1,COUNTIFS($A$5:$A401,"&gt;="&amp;$A402-1,$A$5:$A401,"&lt;="&amp;$A402,$B$5:$B401,$B402)&gt;0,MIN(1-'Exercise list'!X$2,IF($A402=$A401,BD401,1))-AI402&lt;0),-1,MIN(1,IF($A402=$A401,BD401,1)-AI402+$D$2))</f>
        <v>1</v>
      </c>
      <c r="BF402" s="16">
        <f t="shared" si="277"/>
        <v>0.19596031081758858</v>
      </c>
      <c r="BG402" s="16">
        <f t="shared" si="278"/>
        <v>0.21844636935459236</v>
      </c>
      <c r="BH402" s="16">
        <f t="shared" si="279"/>
        <v>0.14609696635987124</v>
      </c>
      <c r="BI402" s="16">
        <f t="shared" si="280"/>
        <v>0.13198015366034541</v>
      </c>
      <c r="BJ402" s="16">
        <f t="shared" si="281"/>
        <v>8.3367914198418713E-2</v>
      </c>
      <c r="BK402" s="16">
        <f t="shared" si="282"/>
        <v>0.10640640223148412</v>
      </c>
      <c r="BL402" s="16">
        <f t="shared" si="283"/>
        <v>0.21963504743569431</v>
      </c>
      <c r="BM402" s="16">
        <f t="shared" si="284"/>
        <v>3.8988008374820568E-3</v>
      </c>
      <c r="BN402" s="16">
        <f t="shared" si="285"/>
        <v>0.14537706087090876</v>
      </c>
      <c r="BO402" s="16">
        <f t="shared" si="286"/>
        <v>0.29209790661993401</v>
      </c>
      <c r="BP402" s="16">
        <f t="shared" si="287"/>
        <v>0.31584545163401867</v>
      </c>
      <c r="BQ402" s="16">
        <f t="shared" si="288"/>
        <v>0.1000007994126096</v>
      </c>
      <c r="BR402" s="16">
        <f t="shared" si="289"/>
        <v>0.13164487759885393</v>
      </c>
      <c r="BS402" s="16">
        <f t="shared" si="290"/>
        <v>2.9803550189863123E-2</v>
      </c>
      <c r="BT402" s="16">
        <f t="shared" si="291"/>
        <v>0.13492040904978705</v>
      </c>
      <c r="BU402" s="16">
        <f t="shared" si="292"/>
        <v>0.11703687414398131</v>
      </c>
      <c r="BV402" s="16">
        <f t="shared" si="293"/>
        <v>0.14633353213781661</v>
      </c>
      <c r="BW402" s="16">
        <f t="shared" si="294"/>
        <v>7.5588015111767173E-2</v>
      </c>
      <c r="BX402" s="16">
        <f t="shared" si="295"/>
        <v>8.0345659937185704E-2</v>
      </c>
      <c r="BY402" s="16">
        <f t="shared" si="296"/>
        <v>5.9014643151272549E-2</v>
      </c>
      <c r="CA402" s="16" t="str">
        <f t="shared" si="317"/>
        <v/>
      </c>
      <c r="CB402" s="16" t="str">
        <f t="shared" si="298"/>
        <v/>
      </c>
      <c r="CC402" s="16" t="str">
        <f t="shared" si="299"/>
        <v/>
      </c>
      <c r="CD402" s="16" t="str">
        <f t="shared" si="300"/>
        <v/>
      </c>
      <c r="CE402" s="16" t="str">
        <f t="shared" si="301"/>
        <v/>
      </c>
      <c r="CF402" s="16" t="str">
        <f t="shared" si="302"/>
        <v/>
      </c>
      <c r="CG402" s="16" t="str">
        <f t="shared" si="303"/>
        <v/>
      </c>
      <c r="CH402" s="16" t="str">
        <f t="shared" si="304"/>
        <v/>
      </c>
      <c r="CI402" s="16" t="str">
        <f t="shared" si="305"/>
        <v/>
      </c>
      <c r="CJ402" s="16" t="str">
        <f t="shared" si="306"/>
        <v/>
      </c>
      <c r="CK402" s="16" t="str">
        <f t="shared" si="307"/>
        <v/>
      </c>
      <c r="CL402" s="16" t="str">
        <f t="shared" si="308"/>
        <v/>
      </c>
      <c r="CM402" s="16" t="str">
        <f t="shared" si="309"/>
        <v/>
      </c>
      <c r="CN402" s="16" t="str">
        <f t="shared" si="310"/>
        <v/>
      </c>
      <c r="CO402" s="16" t="str">
        <f t="shared" si="311"/>
        <v/>
      </c>
      <c r="CP402" s="16" t="str">
        <f t="shared" si="312"/>
        <v/>
      </c>
      <c r="CQ402" s="16" t="str">
        <f t="shared" si="313"/>
        <v/>
      </c>
      <c r="CR402" s="16" t="str">
        <f t="shared" si="314"/>
        <v/>
      </c>
      <c r="CS402" s="16" t="str">
        <f t="shared" si="315"/>
        <v/>
      </c>
      <c r="CT402" s="16" t="str">
        <f t="shared" si="316"/>
        <v/>
      </c>
    </row>
    <row r="403" spans="1:99" x14ac:dyDescent="0.25">
      <c r="A403" s="20"/>
      <c r="B403" s="21"/>
      <c r="C403" s="22" t="str" cm="1">
        <f t="array" ref="C403">IF(B403="","",INDEX('Exercise list'!$C$5:$C$102,B403))</f>
        <v/>
      </c>
      <c r="D403" s="17" t="str">
        <f t="shared" si="274"/>
        <v/>
      </c>
      <c r="E403" s="108" t="str">
        <f t="shared" si="297"/>
        <v/>
      </c>
      <c r="F403" s="65" t="str" cm="1">
        <f t="array" ref="F403">IF(B403="","",0.1+IFERROR(INDEX($F$6:$F402,SUMPRODUCT(MAX(ROW($C$6:$C402)*($C403=$C$6:$C402))-ROW($A$5)))*0.9^($A403-INDEX($A$6:A402,SUMPRODUCT(MAX(ROW($C$6:$C402)*($C403=$C$6:$C402))-ROW($A$5)))),0))</f>
        <v/>
      </c>
      <c r="G403" s="25" t="e">
        <f>INDEX('Exercise list'!$Y$5:$Y$102,MATCH(C403,'Exercise list'!$C$5:$C$102,0))</f>
        <v>#N/A</v>
      </c>
      <c r="H403" s="116">
        <f t="shared" si="275"/>
        <v>0</v>
      </c>
      <c r="I403" s="18">
        <f t="shared" si="276"/>
        <v>5</v>
      </c>
      <c r="J403" s="18" t="str" cm="1">
        <f t="array" ref="J403">IF(B403="","",INDEX('Exercise list'!$D$5:$D$102,B403))</f>
        <v/>
      </c>
      <c r="K403" s="17"/>
      <c r="L403" s="51" t="str" cm="1">
        <f t="array" ref="L403">IF(K403="","",INDEX('Exercise list'!$C$5:$C$102,K403))</f>
        <v/>
      </c>
      <c r="M403" s="18"/>
      <c r="N403" s="76" t="str" cm="1">
        <f t="array" ref="N403">IF(M403="","",INDEX('Exercise list'!$C$5:$C$102,M403))</f>
        <v/>
      </c>
      <c r="O403" s="19"/>
      <c r="P403" s="19">
        <f>IFERROR(INDEX('Exercise list'!$E$5:$X$102,MATCH($C403,'Exercise list'!$C$5:$C$102,0),MATCH(P$5,'Exercise list'!$E$4:$X$4,0)),0)</f>
        <v>0</v>
      </c>
      <c r="Q403" s="19">
        <f>IFERROR(INDEX('Exercise list'!$E$5:$X$102,MATCH($C403,'Exercise list'!$C$5:$C$102,0),MATCH(Q$5,'Exercise list'!$E$4:$X$4,0)),0)</f>
        <v>0</v>
      </c>
      <c r="R403" s="19">
        <f>IFERROR(INDEX('Exercise list'!$E$5:$X$102,MATCH($C403,'Exercise list'!$C$5:$C$102,0),MATCH(R$5,'Exercise list'!$E$4:$X$4,0)),0)</f>
        <v>0</v>
      </c>
      <c r="S403" s="19">
        <f>IFERROR(INDEX('Exercise list'!$E$5:$X$102,MATCH($C403,'Exercise list'!$C$5:$C$102,0),MATCH(S$5,'Exercise list'!$E$4:$X$4,0)),0)</f>
        <v>0</v>
      </c>
      <c r="T403" s="19">
        <f>IFERROR(INDEX('Exercise list'!$E$5:$X$102,MATCH($C403,'Exercise list'!$C$5:$C$102,0),MATCH(T$5,'Exercise list'!$E$4:$X$4,0)),0)</f>
        <v>0</v>
      </c>
      <c r="U403" s="19">
        <f>IFERROR(INDEX('Exercise list'!$E$5:$X$102,MATCH($C403,'Exercise list'!$C$5:$C$102,0),MATCH(U$5,'Exercise list'!$E$4:$X$4,0)),0)</f>
        <v>0</v>
      </c>
      <c r="V403" s="19">
        <f>IFERROR(INDEX('Exercise list'!$E$5:$X$102,MATCH($C403,'Exercise list'!$C$5:$C$102,0),MATCH(V$5,'Exercise list'!$E$4:$X$4,0)),0)</f>
        <v>0</v>
      </c>
      <c r="W403" s="19">
        <f>IFERROR(INDEX('Exercise list'!$E$5:$X$102,MATCH($C403,'Exercise list'!$C$5:$C$102,0),MATCH(W$5,'Exercise list'!$E$4:$X$4,0)),0)</f>
        <v>0</v>
      </c>
      <c r="X403" s="19">
        <f>IFERROR(INDEX('Exercise list'!$E$5:$X$102,MATCH($C403,'Exercise list'!$C$5:$C$102,0),MATCH(X$5,'Exercise list'!$E$4:$X$4,0)),0)</f>
        <v>0</v>
      </c>
      <c r="Y403" s="19">
        <f>IFERROR(INDEX('Exercise list'!$E$5:$X$102,MATCH($C403,'Exercise list'!$C$5:$C$102,0),MATCH(Y$5,'Exercise list'!$E$4:$X$4,0)),0)</f>
        <v>0</v>
      </c>
      <c r="Z403" s="19">
        <f>IFERROR(INDEX('Exercise list'!$E$5:$X$102,MATCH($C403,'Exercise list'!$C$5:$C$102,0),MATCH(Z$5,'Exercise list'!$E$4:$X$4,0)),0)</f>
        <v>0</v>
      </c>
      <c r="AA403" s="19">
        <f>IFERROR(INDEX('Exercise list'!$E$5:$X$102,MATCH($C403,'Exercise list'!$C$5:$C$102,0),MATCH(AA$5,'Exercise list'!$E$4:$X$4,0)),0)</f>
        <v>0</v>
      </c>
      <c r="AB403" s="19">
        <f>IFERROR(INDEX('Exercise list'!$E$5:$X$102,MATCH($C403,'Exercise list'!$C$5:$C$102,0),MATCH(AB$5,'Exercise list'!$E$4:$X$4,0)),0)</f>
        <v>0</v>
      </c>
      <c r="AC403" s="19">
        <f>IFERROR(INDEX('Exercise list'!$E$5:$X$102,MATCH($C403,'Exercise list'!$C$5:$C$102,0),MATCH(AC$5,'Exercise list'!$E$4:$X$4,0)),0)</f>
        <v>0</v>
      </c>
      <c r="AD403" s="19">
        <f>IFERROR(INDEX('Exercise list'!$E$5:$X$102,MATCH($C403,'Exercise list'!$C$5:$C$102,0),MATCH(AD$5,'Exercise list'!$E$4:$X$4,0)),0)</f>
        <v>0</v>
      </c>
      <c r="AE403" s="19">
        <f>IFERROR(INDEX('Exercise list'!$E$5:$X$102,MATCH($C403,'Exercise list'!$C$5:$C$102,0),MATCH(AE$5,'Exercise list'!$E$4:$X$4,0)),0)</f>
        <v>0</v>
      </c>
      <c r="AF403" s="19">
        <f>IFERROR(INDEX('Exercise list'!$E$5:$X$102,MATCH($C403,'Exercise list'!$C$5:$C$102,0),MATCH(AF$5,'Exercise list'!$E$4:$X$4,0)),0)</f>
        <v>0</v>
      </c>
      <c r="AG403" s="19">
        <f>IFERROR(INDEX('Exercise list'!$E$5:$X$102,MATCH($C403,'Exercise list'!$C$5:$C$102,0),MATCH(AG$5,'Exercise list'!$E$4:$X$4,0)),0)</f>
        <v>0</v>
      </c>
      <c r="AH403" s="19">
        <f>IFERROR(INDEX('Exercise list'!$E$5:$X$102,MATCH($C403,'Exercise list'!$C$5:$C$102,0),MATCH(AH$5,'Exercise list'!$E$4:$X$4,0)),0)</f>
        <v>0</v>
      </c>
      <c r="AI403" s="19">
        <f>IFERROR(INDEX('Exercise list'!$E$5:$X$102,MATCH($C403,'Exercise list'!$C$5:$C$102,0),MATCH(AI$5,'Exercise list'!$E$4:$X$4,0)),0)</f>
        <v>0</v>
      </c>
      <c r="AJ403" s="19"/>
      <c r="AK403" s="19">
        <f>IF(OR($J403=1,COUNTIFS($A$5:$A402,"&gt;="&amp;$A403-1,$A$5:$A402,"&lt;="&amp;$A403,$B$5:$B402,$B403)&gt;0,MIN(1-'Exercise list'!E$2,IF($A403=$A402,AK402,1))-P403&lt;0),-1,MIN(1,IF($A403=$A402,AK402,1)-P403+$D$2))</f>
        <v>1</v>
      </c>
      <c r="AL403" s="19">
        <f>IF(OR($J403=1,COUNTIFS($A$5:$A402,"&gt;="&amp;$A403-1,$A$5:$A402,"&lt;="&amp;$A403,$B$5:$B402,$B403)&gt;0,MIN(1-'Exercise list'!F$2,IF($A403=$A402,AL402,1))-Q403&lt;0),-1,MIN(1,IF($A403=$A402,AL402,1)-Q403+$D$2))</f>
        <v>1</v>
      </c>
      <c r="AM403" s="19">
        <f>IF(OR($J403=1,COUNTIFS($A$5:$A402,"&gt;="&amp;$A403-1,$A$5:$A402,"&lt;="&amp;$A403,$B$5:$B402,$B403)&gt;0,MIN(1-'Exercise list'!G$2,IF($A403=$A402,AM402,1))-R403&lt;0),-1,MIN(1,IF($A403=$A402,AM402,1)-R403+$D$2))</f>
        <v>1</v>
      </c>
      <c r="AN403" s="19">
        <f>IF(OR($J403=1,COUNTIFS($A$5:$A402,"&gt;="&amp;$A403-1,$A$5:$A402,"&lt;="&amp;$A403,$B$5:$B402,$B403)&gt;0,MIN(1-'Exercise list'!H$2,IF($A403=$A402,AN402,1))-S403&lt;0),-1,MIN(1,IF($A403=$A402,AN402,1)-S403+$D$2))</f>
        <v>1</v>
      </c>
      <c r="AO403" s="19">
        <f>IF(OR($J403=1,COUNTIFS($A$5:$A402,"&gt;="&amp;$A403-1,$A$5:$A402,"&lt;="&amp;$A403,$B$5:$B402,$B403)&gt;0,MIN(1-'Exercise list'!I$2,IF($A403=$A402,AO402,1))-T403&lt;0),-1,MIN(1,IF($A403=$A402,AO402,1)-T403+$D$2))</f>
        <v>1</v>
      </c>
      <c r="AP403" s="19">
        <f>IF(OR($J403=1,COUNTIFS($A$5:$A402,"&gt;="&amp;$A403-1,$A$5:$A402,"&lt;="&amp;$A403,$B$5:$B402,$B403)&gt;0,MIN(1-'Exercise list'!J$2,IF($A403=$A402,AP402,1))-U403&lt;0),-1,MIN(1,IF($A403=$A402,AP402,1)-U403+$D$2))</f>
        <v>1</v>
      </c>
      <c r="AQ403" s="19">
        <f>IF(OR($J403=1,COUNTIFS($A$5:$A402,"&gt;="&amp;$A403-1,$A$5:$A402,"&lt;="&amp;$A403,$B$5:$B402,$B403)&gt;0,MIN(1-'Exercise list'!K$2,IF($A403=$A402,AQ402,1))-V403&lt;0),-1,MIN(1,IF($A403=$A402,AQ402,1)-V403+$D$2))</f>
        <v>1</v>
      </c>
      <c r="AR403" s="19">
        <f>IF(OR($J403=1,COUNTIFS($A$5:$A402,"&gt;="&amp;$A403-1,$A$5:$A402,"&lt;="&amp;$A403,$B$5:$B402,$B403)&gt;0,MIN(1-'Exercise list'!L$2,IF($A403=$A402,AR402,1))-W403&lt;0),-1,MIN(1,IF($A403=$A402,AR402,1)-W403+$D$2))</f>
        <v>1</v>
      </c>
      <c r="AS403" s="19">
        <f>IF(OR($J403=1,COUNTIFS($A$5:$A402,"&gt;="&amp;$A403-1,$A$5:$A402,"&lt;="&amp;$A403,$B$5:$B402,$B403)&gt;0,MIN(1-'Exercise list'!M$2,IF($A403=$A402,AS402,1))-X403&lt;0),-1,MIN(1,IF($A403=$A402,AS402,1)-X403+$D$2))</f>
        <v>1</v>
      </c>
      <c r="AT403" s="19">
        <f>IF(OR($J403=1,COUNTIFS($A$5:$A402,"&gt;="&amp;$A403-1,$A$5:$A402,"&lt;="&amp;$A403,$B$5:$B402,$B403)&gt;0,MIN(1-'Exercise list'!N$2,IF($A403=$A402,AT402,1))-Y403&lt;0),-1,MIN(1,IF($A403=$A402,AT402,1)-Y403+$D$2))</f>
        <v>1</v>
      </c>
      <c r="AU403" s="19">
        <f>IF(OR($J403=1,COUNTIFS($A$5:$A402,"&gt;="&amp;$A403-1,$A$5:$A402,"&lt;="&amp;$A403,$B$5:$B402,$B403)&gt;0,MIN(1-'Exercise list'!O$2,IF($A403=$A402,AU402,1))-Z403&lt;0),-1,MIN(1,IF($A403=$A402,AU402,1)-Z403+$D$2))</f>
        <v>1</v>
      </c>
      <c r="AV403" s="19">
        <f>IF(OR($J403=1,COUNTIFS($A$5:$A402,"&gt;="&amp;$A403-1,$A$5:$A402,"&lt;="&amp;$A403,$B$5:$B402,$B403)&gt;0,MIN(1-'Exercise list'!P$2,IF($A403=$A402,AV402,1))-AA403&lt;0),-1,MIN(1,IF($A403=$A402,AV402,1)-AA403+$D$2))</f>
        <v>1</v>
      </c>
      <c r="AW403" s="19">
        <f>IF(OR($J403=1,COUNTIFS($A$5:$A402,"&gt;="&amp;$A403-1,$A$5:$A402,"&lt;="&amp;$A403,$B$5:$B402,$B403)&gt;0,MIN(1-'Exercise list'!Q$2,IF($A403=$A402,AW402,1))-AB403&lt;0),-1,MIN(1,IF($A403=$A402,AW402,1)-AB403+$D$2))</f>
        <v>1</v>
      </c>
      <c r="AX403" s="19">
        <f>IF(OR($J403=1,COUNTIFS($A$5:$A402,"&gt;="&amp;$A403-1,$A$5:$A402,"&lt;="&amp;$A403,$B$5:$B402,$B403)&gt;0,MIN(1-'Exercise list'!R$2,IF($A403=$A402,AX402,1))-AC403&lt;0),-1,MIN(1,IF($A403=$A402,AX402,1)-AC403+$D$2))</f>
        <v>1</v>
      </c>
      <c r="AY403" s="19">
        <f>IF(OR($J403=1,COUNTIFS($A$5:$A402,"&gt;="&amp;$A403-1,$A$5:$A402,"&lt;="&amp;$A403,$B$5:$B402,$B403)&gt;0,MIN(1-'Exercise list'!S$2,IF($A403=$A402,AY402,1))-AD403&lt;0),-1,MIN(1,IF($A403=$A402,AY402,1)-AD403+$D$2))</f>
        <v>1</v>
      </c>
      <c r="AZ403" s="19">
        <f>IF(OR($J403=1,COUNTIFS($A$5:$A402,"&gt;="&amp;$A403-1,$A$5:$A402,"&lt;="&amp;$A403,$B$5:$B402,$B403)&gt;0,MIN(1-'Exercise list'!T$2,IF($A403=$A402,AZ402,1))-AE403&lt;0),-1,MIN(1,IF($A403=$A402,AZ402,1)-AE403+$D$2))</f>
        <v>1</v>
      </c>
      <c r="BA403" s="19">
        <f>IF(OR($J403=1,COUNTIFS($A$5:$A402,"&gt;="&amp;$A403-1,$A$5:$A402,"&lt;="&amp;$A403,$B$5:$B402,$B403)&gt;0,MIN(1-'Exercise list'!U$2,IF($A403=$A402,BA402,1))-AF403&lt;0),-1,MIN(1,IF($A403=$A402,BA402,1)-AF403+$D$2))</f>
        <v>1</v>
      </c>
      <c r="BB403" s="19">
        <f>IF(OR($J403=1,COUNTIFS($A$5:$A402,"&gt;="&amp;$A403-1,$A$5:$A402,"&lt;="&amp;$A403,$B$5:$B402,$B403)&gt;0,MIN(1-'Exercise list'!V$2,IF($A403=$A402,BB402,1))-AG403&lt;0),-1,MIN(1,IF($A403=$A402,BB402,1)-AG403+$D$2))</f>
        <v>1</v>
      </c>
      <c r="BC403" s="19">
        <f>IF(OR($J403=1,COUNTIFS($A$5:$A402,"&gt;="&amp;$A403-1,$A$5:$A402,"&lt;="&amp;$A403,$B$5:$B402,$B403)&gt;0,MIN(1-'Exercise list'!W$2,IF($A403=$A402,BC402,1))-AH403&lt;0),-1,MIN(1,IF($A403=$A402,BC402,1)-AH403+$D$2))</f>
        <v>1</v>
      </c>
      <c r="BD403" s="19">
        <f>IF(OR($J403=1,COUNTIFS($A$5:$A402,"&gt;="&amp;$A403-1,$A$5:$A402,"&lt;="&amp;$A403,$B$5:$B402,$B403)&gt;0,MIN(1-'Exercise list'!X$2,IF($A403=$A402,BD402,1))-AI403&lt;0),-1,MIN(1,IF($A403=$A402,BD402,1)-AI403+$D$2))</f>
        <v>1</v>
      </c>
      <c r="BE403" s="19"/>
      <c r="BF403" s="23">
        <f t="shared" si="277"/>
        <v>0.19596031081758858</v>
      </c>
      <c r="BG403" s="23">
        <f t="shared" si="278"/>
        <v>0.21844636935459236</v>
      </c>
      <c r="BH403" s="23">
        <f t="shared" si="279"/>
        <v>0.14609696635987124</v>
      </c>
      <c r="BI403" s="23">
        <f t="shared" si="280"/>
        <v>0.13198015366034541</v>
      </c>
      <c r="BJ403" s="23">
        <f t="shared" si="281"/>
        <v>8.3367914198418713E-2</v>
      </c>
      <c r="BK403" s="23">
        <f t="shared" si="282"/>
        <v>0.10640640223148412</v>
      </c>
      <c r="BL403" s="23">
        <f t="shared" si="283"/>
        <v>0.21963504743569431</v>
      </c>
      <c r="BM403" s="23">
        <f t="shared" si="284"/>
        <v>3.8988008374820568E-3</v>
      </c>
      <c r="BN403" s="23">
        <f t="shared" si="285"/>
        <v>0.14537706087090876</v>
      </c>
      <c r="BO403" s="23">
        <f t="shared" si="286"/>
        <v>0.29209790661993401</v>
      </c>
      <c r="BP403" s="23">
        <f t="shared" si="287"/>
        <v>0.31584545163401867</v>
      </c>
      <c r="BQ403" s="23">
        <f t="shared" si="288"/>
        <v>0.1000007994126096</v>
      </c>
      <c r="BR403" s="23">
        <f t="shared" si="289"/>
        <v>0.13164487759885393</v>
      </c>
      <c r="BS403" s="23">
        <f t="shared" si="290"/>
        <v>2.9803550189863123E-2</v>
      </c>
      <c r="BT403" s="23">
        <f t="shared" si="291"/>
        <v>0.13492040904978705</v>
      </c>
      <c r="BU403" s="23">
        <f t="shared" si="292"/>
        <v>0.11703687414398131</v>
      </c>
      <c r="BV403" s="23">
        <f t="shared" si="293"/>
        <v>0.14633353213781661</v>
      </c>
      <c r="BW403" s="23">
        <f t="shared" si="294"/>
        <v>7.5588015111767173E-2</v>
      </c>
      <c r="BX403" s="23">
        <f t="shared" si="295"/>
        <v>8.0345659937185704E-2</v>
      </c>
      <c r="BY403" s="23">
        <f t="shared" si="296"/>
        <v>5.9014643151272549E-2</v>
      </c>
      <c r="BZ403" s="19"/>
      <c r="CA403" s="23" t="str">
        <f t="shared" si="317"/>
        <v/>
      </c>
      <c r="CB403" s="23" t="str">
        <f t="shared" si="298"/>
        <v/>
      </c>
      <c r="CC403" s="23" t="str">
        <f t="shared" si="299"/>
        <v/>
      </c>
      <c r="CD403" s="23" t="str">
        <f t="shared" si="300"/>
        <v/>
      </c>
      <c r="CE403" s="23" t="str">
        <f t="shared" si="301"/>
        <v/>
      </c>
      <c r="CF403" s="23" t="str">
        <f t="shared" si="302"/>
        <v/>
      </c>
      <c r="CG403" s="23" t="str">
        <f t="shared" si="303"/>
        <v/>
      </c>
      <c r="CH403" s="23" t="str">
        <f t="shared" si="304"/>
        <v/>
      </c>
      <c r="CI403" s="23" t="str">
        <f t="shared" si="305"/>
        <v/>
      </c>
      <c r="CJ403" s="23" t="str">
        <f t="shared" si="306"/>
        <v/>
      </c>
      <c r="CK403" s="23" t="str">
        <f t="shared" si="307"/>
        <v/>
      </c>
      <c r="CL403" s="23" t="str">
        <f t="shared" si="308"/>
        <v/>
      </c>
      <c r="CM403" s="23" t="str">
        <f t="shared" si="309"/>
        <v/>
      </c>
      <c r="CN403" s="23" t="str">
        <f t="shared" si="310"/>
        <v/>
      </c>
      <c r="CO403" s="23" t="str">
        <f t="shared" si="311"/>
        <v/>
      </c>
      <c r="CP403" s="23" t="str">
        <f t="shared" si="312"/>
        <v/>
      </c>
      <c r="CQ403" s="23" t="str">
        <f t="shared" si="313"/>
        <v/>
      </c>
      <c r="CR403" s="23" t="str">
        <f t="shared" si="314"/>
        <v/>
      </c>
      <c r="CS403" s="23" t="str">
        <f t="shared" si="315"/>
        <v/>
      </c>
      <c r="CT403" s="23" t="str">
        <f t="shared" si="316"/>
        <v/>
      </c>
      <c r="CU403" s="19"/>
    </row>
    <row r="404" spans="1:99" x14ac:dyDescent="0.25">
      <c r="A404" s="13"/>
      <c r="B404" s="14"/>
      <c r="C404" s="15" t="str" cm="1">
        <f t="array" ref="C404">IF(B404="","",INDEX('Exercise list'!$C$5:$C$102,B404))</f>
        <v/>
      </c>
      <c r="D404" s="12" t="str">
        <f t="shared" si="274"/>
        <v/>
      </c>
      <c r="E404" s="107" t="str">
        <f t="shared" si="297"/>
        <v/>
      </c>
      <c r="F404" s="63" t="str" cm="1">
        <f t="array" ref="F404">IF(B404="","",0.1+IFERROR(INDEX($F$6:$F403,SUMPRODUCT(MAX(ROW($C$6:$C403)*($C404=$C$6:$C403))-ROW($A$5)))*0.9^($A404-INDEX($A$6:A403,SUMPRODUCT(MAX(ROW($C$6:$C403)*($C404=$C$6:$C403))-ROW($A$5)))),0))</f>
        <v/>
      </c>
      <c r="G404" s="64" t="e">
        <f>INDEX('Exercise list'!$Y$5:$Y$102,MATCH(C404,'Exercise list'!$C$5:$C$102,0))</f>
        <v>#N/A</v>
      </c>
      <c r="H404" s="115">
        <f t="shared" si="275"/>
        <v>0</v>
      </c>
      <c r="I404" s="42">
        <f t="shared" si="276"/>
        <v>5</v>
      </c>
      <c r="J404" s="6" t="str" cm="1">
        <f t="array" ref="J404">IF(B404="","",INDEX('Exercise list'!$D$5:$D$102,B404))</f>
        <v/>
      </c>
      <c r="K404" s="12"/>
      <c r="L404" s="74" t="str" cm="1">
        <f t="array" ref="L404">IF(K404="","",INDEX('Exercise list'!$C$5:$C$102,K404))</f>
        <v/>
      </c>
      <c r="M404" s="6"/>
      <c r="N404" s="75" t="str" cm="1">
        <f t="array" ref="N404">IF(M404="","",INDEX('Exercise list'!$C$5:$C$102,M404))</f>
        <v/>
      </c>
      <c r="P404">
        <f>IFERROR(INDEX('Exercise list'!$E$5:$X$102,MATCH($C404,'Exercise list'!$C$5:$C$102,0),MATCH(P$5,'Exercise list'!$E$4:$X$4,0)),0)</f>
        <v>0</v>
      </c>
      <c r="Q404">
        <f>IFERROR(INDEX('Exercise list'!$E$5:$X$102,MATCH($C404,'Exercise list'!$C$5:$C$102,0),MATCH(Q$5,'Exercise list'!$E$4:$X$4,0)),0)</f>
        <v>0</v>
      </c>
      <c r="R404">
        <f>IFERROR(INDEX('Exercise list'!$E$5:$X$102,MATCH($C404,'Exercise list'!$C$5:$C$102,0),MATCH(R$5,'Exercise list'!$E$4:$X$4,0)),0)</f>
        <v>0</v>
      </c>
      <c r="S404">
        <f>IFERROR(INDEX('Exercise list'!$E$5:$X$102,MATCH($C404,'Exercise list'!$C$5:$C$102,0),MATCH(S$5,'Exercise list'!$E$4:$X$4,0)),0)</f>
        <v>0</v>
      </c>
      <c r="T404">
        <f>IFERROR(INDEX('Exercise list'!$E$5:$X$102,MATCH($C404,'Exercise list'!$C$5:$C$102,0),MATCH(T$5,'Exercise list'!$E$4:$X$4,0)),0)</f>
        <v>0</v>
      </c>
      <c r="U404">
        <f>IFERROR(INDEX('Exercise list'!$E$5:$X$102,MATCH($C404,'Exercise list'!$C$5:$C$102,0),MATCH(U$5,'Exercise list'!$E$4:$X$4,0)),0)</f>
        <v>0</v>
      </c>
      <c r="V404">
        <f>IFERROR(INDEX('Exercise list'!$E$5:$X$102,MATCH($C404,'Exercise list'!$C$5:$C$102,0),MATCH(V$5,'Exercise list'!$E$4:$X$4,0)),0)</f>
        <v>0</v>
      </c>
      <c r="W404">
        <f>IFERROR(INDEX('Exercise list'!$E$5:$X$102,MATCH($C404,'Exercise list'!$C$5:$C$102,0),MATCH(W$5,'Exercise list'!$E$4:$X$4,0)),0)</f>
        <v>0</v>
      </c>
      <c r="X404">
        <f>IFERROR(INDEX('Exercise list'!$E$5:$X$102,MATCH($C404,'Exercise list'!$C$5:$C$102,0),MATCH(X$5,'Exercise list'!$E$4:$X$4,0)),0)</f>
        <v>0</v>
      </c>
      <c r="Y404">
        <f>IFERROR(INDEX('Exercise list'!$E$5:$X$102,MATCH($C404,'Exercise list'!$C$5:$C$102,0),MATCH(Y$5,'Exercise list'!$E$4:$X$4,0)),0)</f>
        <v>0</v>
      </c>
      <c r="Z404">
        <f>IFERROR(INDEX('Exercise list'!$E$5:$X$102,MATCH($C404,'Exercise list'!$C$5:$C$102,0),MATCH(Z$5,'Exercise list'!$E$4:$X$4,0)),0)</f>
        <v>0</v>
      </c>
      <c r="AA404">
        <f>IFERROR(INDEX('Exercise list'!$E$5:$X$102,MATCH($C404,'Exercise list'!$C$5:$C$102,0),MATCH(AA$5,'Exercise list'!$E$4:$X$4,0)),0)</f>
        <v>0</v>
      </c>
      <c r="AB404">
        <f>IFERROR(INDEX('Exercise list'!$E$5:$X$102,MATCH($C404,'Exercise list'!$C$5:$C$102,0),MATCH(AB$5,'Exercise list'!$E$4:$X$4,0)),0)</f>
        <v>0</v>
      </c>
      <c r="AC404">
        <f>IFERROR(INDEX('Exercise list'!$E$5:$X$102,MATCH($C404,'Exercise list'!$C$5:$C$102,0),MATCH(AC$5,'Exercise list'!$E$4:$X$4,0)),0)</f>
        <v>0</v>
      </c>
      <c r="AD404">
        <f>IFERROR(INDEX('Exercise list'!$E$5:$X$102,MATCH($C404,'Exercise list'!$C$5:$C$102,0),MATCH(AD$5,'Exercise list'!$E$4:$X$4,0)),0)</f>
        <v>0</v>
      </c>
      <c r="AE404">
        <f>IFERROR(INDEX('Exercise list'!$E$5:$X$102,MATCH($C404,'Exercise list'!$C$5:$C$102,0),MATCH(AE$5,'Exercise list'!$E$4:$X$4,0)),0)</f>
        <v>0</v>
      </c>
      <c r="AF404">
        <f>IFERROR(INDEX('Exercise list'!$E$5:$X$102,MATCH($C404,'Exercise list'!$C$5:$C$102,0),MATCH(AF$5,'Exercise list'!$E$4:$X$4,0)),0)</f>
        <v>0</v>
      </c>
      <c r="AG404">
        <f>IFERROR(INDEX('Exercise list'!$E$5:$X$102,MATCH($C404,'Exercise list'!$C$5:$C$102,0),MATCH(AG$5,'Exercise list'!$E$4:$X$4,0)),0)</f>
        <v>0</v>
      </c>
      <c r="AH404">
        <f>IFERROR(INDEX('Exercise list'!$E$5:$X$102,MATCH($C404,'Exercise list'!$C$5:$C$102,0),MATCH(AH$5,'Exercise list'!$E$4:$X$4,0)),0)</f>
        <v>0</v>
      </c>
      <c r="AI404">
        <f>IFERROR(INDEX('Exercise list'!$E$5:$X$102,MATCH($C404,'Exercise list'!$C$5:$C$102,0),MATCH(AI$5,'Exercise list'!$E$4:$X$4,0)),0)</f>
        <v>0</v>
      </c>
      <c r="AK404">
        <f>IF(OR($J404=1,COUNTIFS($A$5:$A403,"&gt;="&amp;$A404-1,$A$5:$A403,"&lt;="&amp;$A404,$B$5:$B403,$B404)&gt;0,MIN(1-'Exercise list'!E$2,IF($A404=$A403,AK403,1))-P404&lt;0),-1,MIN(1,IF($A404=$A403,AK403,1)-P404+$D$2))</f>
        <v>1</v>
      </c>
      <c r="AL404">
        <f>IF(OR($J404=1,COUNTIFS($A$5:$A403,"&gt;="&amp;$A404-1,$A$5:$A403,"&lt;="&amp;$A404,$B$5:$B403,$B404)&gt;0,MIN(1-'Exercise list'!F$2,IF($A404=$A403,AL403,1))-Q404&lt;0),-1,MIN(1,IF($A404=$A403,AL403,1)-Q404+$D$2))</f>
        <v>1</v>
      </c>
      <c r="AM404">
        <f>IF(OR($J404=1,COUNTIFS($A$5:$A403,"&gt;="&amp;$A404-1,$A$5:$A403,"&lt;="&amp;$A404,$B$5:$B403,$B404)&gt;0,MIN(1-'Exercise list'!G$2,IF($A404=$A403,AM403,1))-R404&lt;0),-1,MIN(1,IF($A404=$A403,AM403,1)-R404+$D$2))</f>
        <v>1</v>
      </c>
      <c r="AN404">
        <f>IF(OR($J404=1,COUNTIFS($A$5:$A403,"&gt;="&amp;$A404-1,$A$5:$A403,"&lt;="&amp;$A404,$B$5:$B403,$B404)&gt;0,MIN(1-'Exercise list'!H$2,IF($A404=$A403,AN403,1))-S404&lt;0),-1,MIN(1,IF($A404=$A403,AN403,1)-S404+$D$2))</f>
        <v>1</v>
      </c>
      <c r="AO404">
        <f>IF(OR($J404=1,COUNTIFS($A$5:$A403,"&gt;="&amp;$A404-1,$A$5:$A403,"&lt;="&amp;$A404,$B$5:$B403,$B404)&gt;0,MIN(1-'Exercise list'!I$2,IF($A404=$A403,AO403,1))-T404&lt;0),-1,MIN(1,IF($A404=$A403,AO403,1)-T404+$D$2))</f>
        <v>1</v>
      </c>
      <c r="AP404">
        <f>IF(OR($J404=1,COUNTIFS($A$5:$A403,"&gt;="&amp;$A404-1,$A$5:$A403,"&lt;="&amp;$A404,$B$5:$B403,$B404)&gt;0,MIN(1-'Exercise list'!J$2,IF($A404=$A403,AP403,1))-U404&lt;0),-1,MIN(1,IF($A404=$A403,AP403,1)-U404+$D$2))</f>
        <v>1</v>
      </c>
      <c r="AQ404">
        <f>IF(OR($J404=1,COUNTIFS($A$5:$A403,"&gt;="&amp;$A404-1,$A$5:$A403,"&lt;="&amp;$A404,$B$5:$B403,$B404)&gt;0,MIN(1-'Exercise list'!K$2,IF($A404=$A403,AQ403,1))-V404&lt;0),-1,MIN(1,IF($A404=$A403,AQ403,1)-V404+$D$2))</f>
        <v>1</v>
      </c>
      <c r="AR404">
        <f>IF(OR($J404=1,COUNTIFS($A$5:$A403,"&gt;="&amp;$A404-1,$A$5:$A403,"&lt;="&amp;$A404,$B$5:$B403,$B404)&gt;0,MIN(1-'Exercise list'!L$2,IF($A404=$A403,AR403,1))-W404&lt;0),-1,MIN(1,IF($A404=$A403,AR403,1)-W404+$D$2))</f>
        <v>1</v>
      </c>
      <c r="AS404">
        <f>IF(OR($J404=1,COUNTIFS($A$5:$A403,"&gt;="&amp;$A404-1,$A$5:$A403,"&lt;="&amp;$A404,$B$5:$B403,$B404)&gt;0,MIN(1-'Exercise list'!M$2,IF($A404=$A403,AS403,1))-X404&lt;0),-1,MIN(1,IF($A404=$A403,AS403,1)-X404+$D$2))</f>
        <v>1</v>
      </c>
      <c r="AT404">
        <f>IF(OR($J404=1,COUNTIFS($A$5:$A403,"&gt;="&amp;$A404-1,$A$5:$A403,"&lt;="&amp;$A404,$B$5:$B403,$B404)&gt;0,MIN(1-'Exercise list'!N$2,IF($A404=$A403,AT403,1))-Y404&lt;0),-1,MIN(1,IF($A404=$A403,AT403,1)-Y404+$D$2))</f>
        <v>1</v>
      </c>
      <c r="AU404">
        <f>IF(OR($J404=1,COUNTIFS($A$5:$A403,"&gt;="&amp;$A404-1,$A$5:$A403,"&lt;="&amp;$A404,$B$5:$B403,$B404)&gt;0,MIN(1-'Exercise list'!O$2,IF($A404=$A403,AU403,1))-Z404&lt;0),-1,MIN(1,IF($A404=$A403,AU403,1)-Z404+$D$2))</f>
        <v>1</v>
      </c>
      <c r="AV404">
        <f>IF(OR($J404=1,COUNTIFS($A$5:$A403,"&gt;="&amp;$A404-1,$A$5:$A403,"&lt;="&amp;$A404,$B$5:$B403,$B404)&gt;0,MIN(1-'Exercise list'!P$2,IF($A404=$A403,AV403,1))-AA404&lt;0),-1,MIN(1,IF($A404=$A403,AV403,1)-AA404+$D$2))</f>
        <v>1</v>
      </c>
      <c r="AW404">
        <f>IF(OR($J404=1,COUNTIFS($A$5:$A403,"&gt;="&amp;$A404-1,$A$5:$A403,"&lt;="&amp;$A404,$B$5:$B403,$B404)&gt;0,MIN(1-'Exercise list'!Q$2,IF($A404=$A403,AW403,1))-AB404&lt;0),-1,MIN(1,IF($A404=$A403,AW403,1)-AB404+$D$2))</f>
        <v>1</v>
      </c>
      <c r="AX404">
        <f>IF(OR($J404=1,COUNTIFS($A$5:$A403,"&gt;="&amp;$A404-1,$A$5:$A403,"&lt;="&amp;$A404,$B$5:$B403,$B404)&gt;0,MIN(1-'Exercise list'!R$2,IF($A404=$A403,AX403,1))-AC404&lt;0),-1,MIN(1,IF($A404=$A403,AX403,1)-AC404+$D$2))</f>
        <v>1</v>
      </c>
      <c r="AY404">
        <f>IF(OR($J404=1,COUNTIFS($A$5:$A403,"&gt;="&amp;$A404-1,$A$5:$A403,"&lt;="&amp;$A404,$B$5:$B403,$B404)&gt;0,MIN(1-'Exercise list'!S$2,IF($A404=$A403,AY403,1))-AD404&lt;0),-1,MIN(1,IF($A404=$A403,AY403,1)-AD404+$D$2))</f>
        <v>1</v>
      </c>
      <c r="AZ404">
        <f>IF(OR($J404=1,COUNTIFS($A$5:$A403,"&gt;="&amp;$A404-1,$A$5:$A403,"&lt;="&amp;$A404,$B$5:$B403,$B404)&gt;0,MIN(1-'Exercise list'!T$2,IF($A404=$A403,AZ403,1))-AE404&lt;0),-1,MIN(1,IF($A404=$A403,AZ403,1)-AE404+$D$2))</f>
        <v>1</v>
      </c>
      <c r="BA404">
        <f>IF(OR($J404=1,COUNTIFS($A$5:$A403,"&gt;="&amp;$A404-1,$A$5:$A403,"&lt;="&amp;$A404,$B$5:$B403,$B404)&gt;0,MIN(1-'Exercise list'!U$2,IF($A404=$A403,BA403,1))-AF404&lt;0),-1,MIN(1,IF($A404=$A403,BA403,1)-AF404+$D$2))</f>
        <v>1</v>
      </c>
      <c r="BB404">
        <f>IF(OR($J404=1,COUNTIFS($A$5:$A403,"&gt;="&amp;$A404-1,$A$5:$A403,"&lt;="&amp;$A404,$B$5:$B403,$B404)&gt;0,MIN(1-'Exercise list'!V$2,IF($A404=$A403,BB403,1))-AG404&lt;0),-1,MIN(1,IF($A404=$A403,BB403,1)-AG404+$D$2))</f>
        <v>1</v>
      </c>
      <c r="BC404">
        <f>IF(OR($J404=1,COUNTIFS($A$5:$A403,"&gt;="&amp;$A404-1,$A$5:$A403,"&lt;="&amp;$A404,$B$5:$B403,$B404)&gt;0,MIN(1-'Exercise list'!W$2,IF($A404=$A403,BC403,1))-AH404&lt;0),-1,MIN(1,IF($A404=$A403,BC403,1)-AH404+$D$2))</f>
        <v>1</v>
      </c>
      <c r="BD404">
        <f>IF(OR($J404=1,COUNTIFS($A$5:$A403,"&gt;="&amp;$A404-1,$A$5:$A403,"&lt;="&amp;$A404,$B$5:$B403,$B404)&gt;0,MIN(1-'Exercise list'!X$2,IF($A404=$A403,BD403,1))-AI404&lt;0),-1,MIN(1,IF($A404=$A403,BD403,1)-AI404+$D$2))</f>
        <v>1</v>
      </c>
      <c r="BF404" s="16">
        <f t="shared" si="277"/>
        <v>0.19596031081758858</v>
      </c>
      <c r="BG404" s="16">
        <f t="shared" si="278"/>
        <v>0.21844636935459236</v>
      </c>
      <c r="BH404" s="16">
        <f t="shared" si="279"/>
        <v>0.14609696635987124</v>
      </c>
      <c r="BI404" s="16">
        <f t="shared" si="280"/>
        <v>0.13198015366034541</v>
      </c>
      <c r="BJ404" s="16">
        <f t="shared" si="281"/>
        <v>8.3367914198418713E-2</v>
      </c>
      <c r="BK404" s="16">
        <f t="shared" si="282"/>
        <v>0.10640640223148412</v>
      </c>
      <c r="BL404" s="16">
        <f t="shared" si="283"/>
        <v>0.21963504743569431</v>
      </c>
      <c r="BM404" s="16">
        <f t="shared" si="284"/>
        <v>3.8988008374820568E-3</v>
      </c>
      <c r="BN404" s="16">
        <f t="shared" si="285"/>
        <v>0.14537706087090876</v>
      </c>
      <c r="BO404" s="16">
        <f t="shared" si="286"/>
        <v>0.29209790661993401</v>
      </c>
      <c r="BP404" s="16">
        <f t="shared" si="287"/>
        <v>0.31584545163401867</v>
      </c>
      <c r="BQ404" s="16">
        <f t="shared" si="288"/>
        <v>0.1000007994126096</v>
      </c>
      <c r="BR404" s="16">
        <f t="shared" si="289"/>
        <v>0.13164487759885393</v>
      </c>
      <c r="BS404" s="16">
        <f t="shared" si="290"/>
        <v>2.9803550189863123E-2</v>
      </c>
      <c r="BT404" s="16">
        <f t="shared" si="291"/>
        <v>0.13492040904978705</v>
      </c>
      <c r="BU404" s="16">
        <f t="shared" si="292"/>
        <v>0.11703687414398131</v>
      </c>
      <c r="BV404" s="16">
        <f t="shared" si="293"/>
        <v>0.14633353213781661</v>
      </c>
      <c r="BW404" s="16">
        <f t="shared" si="294"/>
        <v>7.5588015111767173E-2</v>
      </c>
      <c r="BX404" s="16">
        <f t="shared" si="295"/>
        <v>8.0345659937185704E-2</v>
      </c>
      <c r="BY404" s="16">
        <f t="shared" si="296"/>
        <v>5.9014643151272549E-2</v>
      </c>
      <c r="CA404" s="16" t="str">
        <f t="shared" si="317"/>
        <v/>
      </c>
      <c r="CB404" s="16" t="str">
        <f t="shared" si="298"/>
        <v/>
      </c>
      <c r="CC404" s="16" t="str">
        <f t="shared" si="299"/>
        <v/>
      </c>
      <c r="CD404" s="16" t="str">
        <f t="shared" si="300"/>
        <v/>
      </c>
      <c r="CE404" s="16" t="str">
        <f t="shared" si="301"/>
        <v/>
      </c>
      <c r="CF404" s="16" t="str">
        <f t="shared" si="302"/>
        <v/>
      </c>
      <c r="CG404" s="16" t="str">
        <f t="shared" si="303"/>
        <v/>
      </c>
      <c r="CH404" s="16" t="str">
        <f t="shared" si="304"/>
        <v/>
      </c>
      <c r="CI404" s="16" t="str">
        <f t="shared" si="305"/>
        <v/>
      </c>
      <c r="CJ404" s="16" t="str">
        <f t="shared" si="306"/>
        <v/>
      </c>
      <c r="CK404" s="16" t="str">
        <f t="shared" si="307"/>
        <v/>
      </c>
      <c r="CL404" s="16" t="str">
        <f t="shared" si="308"/>
        <v/>
      </c>
      <c r="CM404" s="16" t="str">
        <f t="shared" si="309"/>
        <v/>
      </c>
      <c r="CN404" s="16" t="str">
        <f t="shared" si="310"/>
        <v/>
      </c>
      <c r="CO404" s="16" t="str">
        <f t="shared" si="311"/>
        <v/>
      </c>
      <c r="CP404" s="16" t="str">
        <f t="shared" si="312"/>
        <v/>
      </c>
      <c r="CQ404" s="16" t="str">
        <f t="shared" si="313"/>
        <v/>
      </c>
      <c r="CR404" s="16" t="str">
        <f t="shared" si="314"/>
        <v/>
      </c>
      <c r="CS404" s="16" t="str">
        <f t="shared" si="315"/>
        <v/>
      </c>
      <c r="CT404" s="16" t="str">
        <f t="shared" si="316"/>
        <v/>
      </c>
    </row>
    <row r="405" spans="1:99" x14ac:dyDescent="0.25">
      <c r="A405" s="13"/>
      <c r="B405" s="14"/>
      <c r="C405" s="15" t="str" cm="1">
        <f t="array" ref="C405">IF(B405="","",INDEX('Exercise list'!$C$5:$C$102,B405))</f>
        <v/>
      </c>
      <c r="D405" s="12" t="str">
        <f t="shared" si="274"/>
        <v/>
      </c>
      <c r="E405" s="107" t="str">
        <f t="shared" si="297"/>
        <v/>
      </c>
      <c r="F405" s="63" t="str" cm="1">
        <f t="array" ref="F405">IF(B405="","",0.1+IFERROR(INDEX($F$6:$F404,SUMPRODUCT(MAX(ROW($C$6:$C404)*($C405=$C$6:$C404))-ROW($A$5)))*0.9^($A405-INDEX($A$6:A404,SUMPRODUCT(MAX(ROW($C$6:$C404)*($C405=$C$6:$C404))-ROW($A$5)))),0))</f>
        <v/>
      </c>
      <c r="G405" s="64" t="e">
        <f>INDEX('Exercise list'!$Y$5:$Y$102,MATCH(C405,'Exercise list'!$C$5:$C$102,0))</f>
        <v>#N/A</v>
      </c>
      <c r="H405" s="115">
        <f t="shared" si="275"/>
        <v>0</v>
      </c>
      <c r="I405" s="6">
        <f t="shared" si="276"/>
        <v>5</v>
      </c>
      <c r="J405" s="6" t="str" cm="1">
        <f t="array" ref="J405">IF(B405="","",INDEX('Exercise list'!$D$5:$D$102,B405))</f>
        <v/>
      </c>
      <c r="K405" s="12"/>
      <c r="L405" s="74" t="str" cm="1">
        <f t="array" ref="L405">IF(K405="","",INDEX('Exercise list'!$C$5:$C$102,K405))</f>
        <v/>
      </c>
      <c r="M405" s="6"/>
      <c r="N405" s="75" t="str" cm="1">
        <f t="array" ref="N405">IF(M405="","",INDEX('Exercise list'!$C$5:$C$102,M405))</f>
        <v/>
      </c>
      <c r="P405">
        <f>IFERROR(INDEX('Exercise list'!$E$5:$X$102,MATCH($C405,'Exercise list'!$C$5:$C$102,0),MATCH(P$5,'Exercise list'!$E$4:$X$4,0)),0)</f>
        <v>0</v>
      </c>
      <c r="Q405">
        <f>IFERROR(INDEX('Exercise list'!$E$5:$X$102,MATCH($C405,'Exercise list'!$C$5:$C$102,0),MATCH(Q$5,'Exercise list'!$E$4:$X$4,0)),0)</f>
        <v>0</v>
      </c>
      <c r="R405">
        <f>IFERROR(INDEX('Exercise list'!$E$5:$X$102,MATCH($C405,'Exercise list'!$C$5:$C$102,0),MATCH(R$5,'Exercise list'!$E$4:$X$4,0)),0)</f>
        <v>0</v>
      </c>
      <c r="S405">
        <f>IFERROR(INDEX('Exercise list'!$E$5:$X$102,MATCH($C405,'Exercise list'!$C$5:$C$102,0),MATCH(S$5,'Exercise list'!$E$4:$X$4,0)),0)</f>
        <v>0</v>
      </c>
      <c r="T405">
        <f>IFERROR(INDEX('Exercise list'!$E$5:$X$102,MATCH($C405,'Exercise list'!$C$5:$C$102,0),MATCH(T$5,'Exercise list'!$E$4:$X$4,0)),0)</f>
        <v>0</v>
      </c>
      <c r="U405">
        <f>IFERROR(INDEX('Exercise list'!$E$5:$X$102,MATCH($C405,'Exercise list'!$C$5:$C$102,0),MATCH(U$5,'Exercise list'!$E$4:$X$4,0)),0)</f>
        <v>0</v>
      </c>
      <c r="V405">
        <f>IFERROR(INDEX('Exercise list'!$E$5:$X$102,MATCH($C405,'Exercise list'!$C$5:$C$102,0),MATCH(V$5,'Exercise list'!$E$4:$X$4,0)),0)</f>
        <v>0</v>
      </c>
      <c r="W405">
        <f>IFERROR(INDEX('Exercise list'!$E$5:$X$102,MATCH($C405,'Exercise list'!$C$5:$C$102,0),MATCH(W$5,'Exercise list'!$E$4:$X$4,0)),0)</f>
        <v>0</v>
      </c>
      <c r="X405">
        <f>IFERROR(INDEX('Exercise list'!$E$5:$X$102,MATCH($C405,'Exercise list'!$C$5:$C$102,0),MATCH(X$5,'Exercise list'!$E$4:$X$4,0)),0)</f>
        <v>0</v>
      </c>
      <c r="Y405">
        <f>IFERROR(INDEX('Exercise list'!$E$5:$X$102,MATCH($C405,'Exercise list'!$C$5:$C$102,0),MATCH(Y$5,'Exercise list'!$E$4:$X$4,0)),0)</f>
        <v>0</v>
      </c>
      <c r="Z405">
        <f>IFERROR(INDEX('Exercise list'!$E$5:$X$102,MATCH($C405,'Exercise list'!$C$5:$C$102,0),MATCH(Z$5,'Exercise list'!$E$4:$X$4,0)),0)</f>
        <v>0</v>
      </c>
      <c r="AA405">
        <f>IFERROR(INDEX('Exercise list'!$E$5:$X$102,MATCH($C405,'Exercise list'!$C$5:$C$102,0),MATCH(AA$5,'Exercise list'!$E$4:$X$4,0)),0)</f>
        <v>0</v>
      </c>
      <c r="AB405">
        <f>IFERROR(INDEX('Exercise list'!$E$5:$X$102,MATCH($C405,'Exercise list'!$C$5:$C$102,0),MATCH(AB$5,'Exercise list'!$E$4:$X$4,0)),0)</f>
        <v>0</v>
      </c>
      <c r="AC405">
        <f>IFERROR(INDEX('Exercise list'!$E$5:$X$102,MATCH($C405,'Exercise list'!$C$5:$C$102,0),MATCH(AC$5,'Exercise list'!$E$4:$X$4,0)),0)</f>
        <v>0</v>
      </c>
      <c r="AD405">
        <f>IFERROR(INDEX('Exercise list'!$E$5:$X$102,MATCH($C405,'Exercise list'!$C$5:$C$102,0),MATCH(AD$5,'Exercise list'!$E$4:$X$4,0)),0)</f>
        <v>0</v>
      </c>
      <c r="AE405">
        <f>IFERROR(INDEX('Exercise list'!$E$5:$X$102,MATCH($C405,'Exercise list'!$C$5:$C$102,0),MATCH(AE$5,'Exercise list'!$E$4:$X$4,0)),0)</f>
        <v>0</v>
      </c>
      <c r="AF405">
        <f>IFERROR(INDEX('Exercise list'!$E$5:$X$102,MATCH($C405,'Exercise list'!$C$5:$C$102,0),MATCH(AF$5,'Exercise list'!$E$4:$X$4,0)),0)</f>
        <v>0</v>
      </c>
      <c r="AG405">
        <f>IFERROR(INDEX('Exercise list'!$E$5:$X$102,MATCH($C405,'Exercise list'!$C$5:$C$102,0),MATCH(AG$5,'Exercise list'!$E$4:$X$4,0)),0)</f>
        <v>0</v>
      </c>
      <c r="AH405">
        <f>IFERROR(INDEX('Exercise list'!$E$5:$X$102,MATCH($C405,'Exercise list'!$C$5:$C$102,0),MATCH(AH$5,'Exercise list'!$E$4:$X$4,0)),0)</f>
        <v>0</v>
      </c>
      <c r="AI405">
        <f>IFERROR(INDEX('Exercise list'!$E$5:$X$102,MATCH($C405,'Exercise list'!$C$5:$C$102,0),MATCH(AI$5,'Exercise list'!$E$4:$X$4,0)),0)</f>
        <v>0</v>
      </c>
      <c r="AK405">
        <f>IF(OR($J405=1,COUNTIFS($A$5:$A404,"&gt;="&amp;$A405-1,$A$5:$A404,"&lt;="&amp;$A405,$B$5:$B404,$B405)&gt;0,MIN(1-'Exercise list'!E$2,IF($A405=$A404,AK404,1))-P405&lt;0),-1,MIN(1,IF($A405=$A404,AK404,1)-P405+$D$2))</f>
        <v>1</v>
      </c>
      <c r="AL405">
        <f>IF(OR($J405=1,COUNTIFS($A$5:$A404,"&gt;="&amp;$A405-1,$A$5:$A404,"&lt;="&amp;$A405,$B$5:$B404,$B405)&gt;0,MIN(1-'Exercise list'!F$2,IF($A405=$A404,AL404,1))-Q405&lt;0),-1,MIN(1,IF($A405=$A404,AL404,1)-Q405+$D$2))</f>
        <v>1</v>
      </c>
      <c r="AM405">
        <f>IF(OR($J405=1,COUNTIFS($A$5:$A404,"&gt;="&amp;$A405-1,$A$5:$A404,"&lt;="&amp;$A405,$B$5:$B404,$B405)&gt;0,MIN(1-'Exercise list'!G$2,IF($A405=$A404,AM404,1))-R405&lt;0),-1,MIN(1,IF($A405=$A404,AM404,1)-R405+$D$2))</f>
        <v>1</v>
      </c>
      <c r="AN405">
        <f>IF(OR($J405=1,COUNTIFS($A$5:$A404,"&gt;="&amp;$A405-1,$A$5:$A404,"&lt;="&amp;$A405,$B$5:$B404,$B405)&gt;0,MIN(1-'Exercise list'!H$2,IF($A405=$A404,AN404,1))-S405&lt;0),-1,MIN(1,IF($A405=$A404,AN404,1)-S405+$D$2))</f>
        <v>1</v>
      </c>
      <c r="AO405">
        <f>IF(OR($J405=1,COUNTIFS($A$5:$A404,"&gt;="&amp;$A405-1,$A$5:$A404,"&lt;="&amp;$A405,$B$5:$B404,$B405)&gt;0,MIN(1-'Exercise list'!I$2,IF($A405=$A404,AO404,1))-T405&lt;0),-1,MIN(1,IF($A405=$A404,AO404,1)-T405+$D$2))</f>
        <v>1</v>
      </c>
      <c r="AP405">
        <f>IF(OR($J405=1,COUNTIFS($A$5:$A404,"&gt;="&amp;$A405-1,$A$5:$A404,"&lt;="&amp;$A405,$B$5:$B404,$B405)&gt;0,MIN(1-'Exercise list'!J$2,IF($A405=$A404,AP404,1))-U405&lt;0),-1,MIN(1,IF($A405=$A404,AP404,1)-U405+$D$2))</f>
        <v>1</v>
      </c>
      <c r="AQ405">
        <f>IF(OR($J405=1,COUNTIFS($A$5:$A404,"&gt;="&amp;$A405-1,$A$5:$A404,"&lt;="&amp;$A405,$B$5:$B404,$B405)&gt;0,MIN(1-'Exercise list'!K$2,IF($A405=$A404,AQ404,1))-V405&lt;0),-1,MIN(1,IF($A405=$A404,AQ404,1)-V405+$D$2))</f>
        <v>1</v>
      </c>
      <c r="AR405">
        <f>IF(OR($J405=1,COUNTIFS($A$5:$A404,"&gt;="&amp;$A405-1,$A$5:$A404,"&lt;="&amp;$A405,$B$5:$B404,$B405)&gt;0,MIN(1-'Exercise list'!L$2,IF($A405=$A404,AR404,1))-W405&lt;0),-1,MIN(1,IF($A405=$A404,AR404,1)-W405+$D$2))</f>
        <v>1</v>
      </c>
      <c r="AS405">
        <f>IF(OR($J405=1,COUNTIFS($A$5:$A404,"&gt;="&amp;$A405-1,$A$5:$A404,"&lt;="&amp;$A405,$B$5:$B404,$B405)&gt;0,MIN(1-'Exercise list'!M$2,IF($A405=$A404,AS404,1))-X405&lt;0),-1,MIN(1,IF($A405=$A404,AS404,1)-X405+$D$2))</f>
        <v>1</v>
      </c>
      <c r="AT405">
        <f>IF(OR($J405=1,COUNTIFS($A$5:$A404,"&gt;="&amp;$A405-1,$A$5:$A404,"&lt;="&amp;$A405,$B$5:$B404,$B405)&gt;0,MIN(1-'Exercise list'!N$2,IF($A405=$A404,AT404,1))-Y405&lt;0),-1,MIN(1,IF($A405=$A404,AT404,1)-Y405+$D$2))</f>
        <v>1</v>
      </c>
      <c r="AU405">
        <f>IF(OR($J405=1,COUNTIFS($A$5:$A404,"&gt;="&amp;$A405-1,$A$5:$A404,"&lt;="&amp;$A405,$B$5:$B404,$B405)&gt;0,MIN(1-'Exercise list'!O$2,IF($A405=$A404,AU404,1))-Z405&lt;0),-1,MIN(1,IF($A405=$A404,AU404,1)-Z405+$D$2))</f>
        <v>1</v>
      </c>
      <c r="AV405">
        <f>IF(OR($J405=1,COUNTIFS($A$5:$A404,"&gt;="&amp;$A405-1,$A$5:$A404,"&lt;="&amp;$A405,$B$5:$B404,$B405)&gt;0,MIN(1-'Exercise list'!P$2,IF($A405=$A404,AV404,1))-AA405&lt;0),-1,MIN(1,IF($A405=$A404,AV404,1)-AA405+$D$2))</f>
        <v>1</v>
      </c>
      <c r="AW405">
        <f>IF(OR($J405=1,COUNTIFS($A$5:$A404,"&gt;="&amp;$A405-1,$A$5:$A404,"&lt;="&amp;$A405,$B$5:$B404,$B405)&gt;0,MIN(1-'Exercise list'!Q$2,IF($A405=$A404,AW404,1))-AB405&lt;0),-1,MIN(1,IF($A405=$A404,AW404,1)-AB405+$D$2))</f>
        <v>1</v>
      </c>
      <c r="AX405">
        <f>IF(OR($J405=1,COUNTIFS($A$5:$A404,"&gt;="&amp;$A405-1,$A$5:$A404,"&lt;="&amp;$A405,$B$5:$B404,$B405)&gt;0,MIN(1-'Exercise list'!R$2,IF($A405=$A404,AX404,1))-AC405&lt;0),-1,MIN(1,IF($A405=$A404,AX404,1)-AC405+$D$2))</f>
        <v>1</v>
      </c>
      <c r="AY405">
        <f>IF(OR($J405=1,COUNTIFS($A$5:$A404,"&gt;="&amp;$A405-1,$A$5:$A404,"&lt;="&amp;$A405,$B$5:$B404,$B405)&gt;0,MIN(1-'Exercise list'!S$2,IF($A405=$A404,AY404,1))-AD405&lt;0),-1,MIN(1,IF($A405=$A404,AY404,1)-AD405+$D$2))</f>
        <v>1</v>
      </c>
      <c r="AZ405">
        <f>IF(OR($J405=1,COUNTIFS($A$5:$A404,"&gt;="&amp;$A405-1,$A$5:$A404,"&lt;="&amp;$A405,$B$5:$B404,$B405)&gt;0,MIN(1-'Exercise list'!T$2,IF($A405=$A404,AZ404,1))-AE405&lt;0),-1,MIN(1,IF($A405=$A404,AZ404,1)-AE405+$D$2))</f>
        <v>1</v>
      </c>
      <c r="BA405">
        <f>IF(OR($J405=1,COUNTIFS($A$5:$A404,"&gt;="&amp;$A405-1,$A$5:$A404,"&lt;="&amp;$A405,$B$5:$B404,$B405)&gt;0,MIN(1-'Exercise list'!U$2,IF($A405=$A404,BA404,1))-AF405&lt;0),-1,MIN(1,IF($A405=$A404,BA404,1)-AF405+$D$2))</f>
        <v>1</v>
      </c>
      <c r="BB405">
        <f>IF(OR($J405=1,COUNTIFS($A$5:$A404,"&gt;="&amp;$A405-1,$A$5:$A404,"&lt;="&amp;$A405,$B$5:$B404,$B405)&gt;0,MIN(1-'Exercise list'!V$2,IF($A405=$A404,BB404,1))-AG405&lt;0),-1,MIN(1,IF($A405=$A404,BB404,1)-AG405+$D$2))</f>
        <v>1</v>
      </c>
      <c r="BC405">
        <f>IF(OR($J405=1,COUNTIFS($A$5:$A404,"&gt;="&amp;$A405-1,$A$5:$A404,"&lt;="&amp;$A405,$B$5:$B404,$B405)&gt;0,MIN(1-'Exercise list'!W$2,IF($A405=$A404,BC404,1))-AH405&lt;0),-1,MIN(1,IF($A405=$A404,BC404,1)-AH405+$D$2))</f>
        <v>1</v>
      </c>
      <c r="BD405">
        <f>IF(OR($J405=1,COUNTIFS($A$5:$A404,"&gt;="&amp;$A405-1,$A$5:$A404,"&lt;="&amp;$A405,$B$5:$B404,$B405)&gt;0,MIN(1-'Exercise list'!X$2,IF($A405=$A404,BD404,1))-AI405&lt;0),-1,MIN(1,IF($A405=$A404,BD404,1)-AI405+$D$2))</f>
        <v>1</v>
      </c>
      <c r="BF405" s="16">
        <f t="shared" si="277"/>
        <v>0.19596031081758858</v>
      </c>
      <c r="BG405" s="16">
        <f t="shared" si="278"/>
        <v>0.21844636935459236</v>
      </c>
      <c r="BH405" s="16">
        <f t="shared" si="279"/>
        <v>0.14609696635987124</v>
      </c>
      <c r="BI405" s="16">
        <f t="shared" si="280"/>
        <v>0.13198015366034541</v>
      </c>
      <c r="BJ405" s="16">
        <f t="shared" si="281"/>
        <v>8.3367914198418713E-2</v>
      </c>
      <c r="BK405" s="16">
        <f t="shared" si="282"/>
        <v>0.10640640223148412</v>
      </c>
      <c r="BL405" s="16">
        <f t="shared" si="283"/>
        <v>0.21963504743569431</v>
      </c>
      <c r="BM405" s="16">
        <f t="shared" si="284"/>
        <v>3.8988008374820568E-3</v>
      </c>
      <c r="BN405" s="16">
        <f t="shared" si="285"/>
        <v>0.14537706087090876</v>
      </c>
      <c r="BO405" s="16">
        <f t="shared" si="286"/>
        <v>0.29209790661993401</v>
      </c>
      <c r="BP405" s="16">
        <f t="shared" si="287"/>
        <v>0.31584545163401867</v>
      </c>
      <c r="BQ405" s="16">
        <f t="shared" si="288"/>
        <v>0.1000007994126096</v>
      </c>
      <c r="BR405" s="16">
        <f t="shared" si="289"/>
        <v>0.13164487759885393</v>
      </c>
      <c r="BS405" s="16">
        <f t="shared" si="290"/>
        <v>2.9803550189863123E-2</v>
      </c>
      <c r="BT405" s="16">
        <f t="shared" si="291"/>
        <v>0.13492040904978705</v>
      </c>
      <c r="BU405" s="16">
        <f t="shared" si="292"/>
        <v>0.11703687414398131</v>
      </c>
      <c r="BV405" s="16">
        <f t="shared" si="293"/>
        <v>0.14633353213781661</v>
      </c>
      <c r="BW405" s="16">
        <f t="shared" si="294"/>
        <v>7.5588015111767173E-2</v>
      </c>
      <c r="BX405" s="16">
        <f t="shared" si="295"/>
        <v>8.0345659937185704E-2</v>
      </c>
      <c r="BY405" s="16">
        <f t="shared" si="296"/>
        <v>5.9014643151272549E-2</v>
      </c>
      <c r="CA405" s="16" t="str">
        <f t="shared" si="317"/>
        <v/>
      </c>
      <c r="CB405" s="16" t="str">
        <f t="shared" si="298"/>
        <v/>
      </c>
      <c r="CC405" s="16" t="str">
        <f t="shared" si="299"/>
        <v/>
      </c>
      <c r="CD405" s="16" t="str">
        <f t="shared" si="300"/>
        <v/>
      </c>
      <c r="CE405" s="16" t="str">
        <f t="shared" si="301"/>
        <v/>
      </c>
      <c r="CF405" s="16" t="str">
        <f t="shared" si="302"/>
        <v/>
      </c>
      <c r="CG405" s="16" t="str">
        <f t="shared" si="303"/>
        <v/>
      </c>
      <c r="CH405" s="16" t="str">
        <f t="shared" si="304"/>
        <v/>
      </c>
      <c r="CI405" s="16" t="str">
        <f t="shared" si="305"/>
        <v/>
      </c>
      <c r="CJ405" s="16" t="str">
        <f t="shared" si="306"/>
        <v/>
      </c>
      <c r="CK405" s="16" t="str">
        <f t="shared" si="307"/>
        <v/>
      </c>
      <c r="CL405" s="16" t="str">
        <f t="shared" si="308"/>
        <v/>
      </c>
      <c r="CM405" s="16" t="str">
        <f t="shared" si="309"/>
        <v/>
      </c>
      <c r="CN405" s="16" t="str">
        <f t="shared" si="310"/>
        <v/>
      </c>
      <c r="CO405" s="16" t="str">
        <f t="shared" si="311"/>
        <v/>
      </c>
      <c r="CP405" s="16" t="str">
        <f t="shared" si="312"/>
        <v/>
      </c>
      <c r="CQ405" s="16" t="str">
        <f t="shared" si="313"/>
        <v/>
      </c>
      <c r="CR405" s="16" t="str">
        <f t="shared" si="314"/>
        <v/>
      </c>
      <c r="CS405" s="16" t="str">
        <f t="shared" si="315"/>
        <v/>
      </c>
      <c r="CT405" s="16" t="str">
        <f t="shared" si="316"/>
        <v/>
      </c>
    </row>
    <row r="406" spans="1:99" x14ac:dyDescent="0.25">
      <c r="A406" s="13"/>
      <c r="B406" s="14"/>
      <c r="C406" s="15" t="str" cm="1">
        <f t="array" ref="C406">IF(B406="","",INDEX('Exercise list'!$C$5:$C$102,B406))</f>
        <v/>
      </c>
      <c r="D406" s="12" t="str">
        <f t="shared" si="274"/>
        <v/>
      </c>
      <c r="E406" s="107" t="str">
        <f t="shared" si="297"/>
        <v/>
      </c>
      <c r="F406" s="63" t="str" cm="1">
        <f t="array" ref="F406">IF(B406="","",0.1+IFERROR(INDEX($F$6:$F405,SUMPRODUCT(MAX(ROW($C$6:$C405)*($C406=$C$6:$C405))-ROW($A$5)))*0.9^($A406-INDEX($A$6:A405,SUMPRODUCT(MAX(ROW($C$6:$C405)*($C406=$C$6:$C405))-ROW($A$5)))),0))</f>
        <v/>
      </c>
      <c r="G406" s="64" t="e">
        <f>INDEX('Exercise list'!$Y$5:$Y$102,MATCH(C406,'Exercise list'!$C$5:$C$102,0))</f>
        <v>#N/A</v>
      </c>
      <c r="H406" s="115">
        <f t="shared" si="275"/>
        <v>0</v>
      </c>
      <c r="I406" s="6">
        <f t="shared" si="276"/>
        <v>5</v>
      </c>
      <c r="J406" s="6" t="str" cm="1">
        <f t="array" ref="J406">IF(B406="","",INDEX('Exercise list'!$D$5:$D$102,B406))</f>
        <v/>
      </c>
      <c r="K406" s="12"/>
      <c r="L406" s="74" t="str" cm="1">
        <f t="array" ref="L406">IF(K406="","",INDEX('Exercise list'!$C$5:$C$102,K406))</f>
        <v/>
      </c>
      <c r="M406" s="6"/>
      <c r="N406" s="75" t="str" cm="1">
        <f t="array" ref="N406">IF(M406="","",INDEX('Exercise list'!$C$5:$C$102,M406))</f>
        <v/>
      </c>
      <c r="P406">
        <f>IFERROR(INDEX('Exercise list'!$E$5:$X$102,MATCH($C406,'Exercise list'!$C$5:$C$102,0),MATCH(P$5,'Exercise list'!$E$4:$X$4,0)),0)</f>
        <v>0</v>
      </c>
      <c r="Q406">
        <f>IFERROR(INDEX('Exercise list'!$E$5:$X$102,MATCH($C406,'Exercise list'!$C$5:$C$102,0),MATCH(Q$5,'Exercise list'!$E$4:$X$4,0)),0)</f>
        <v>0</v>
      </c>
      <c r="R406">
        <f>IFERROR(INDEX('Exercise list'!$E$5:$X$102,MATCH($C406,'Exercise list'!$C$5:$C$102,0),MATCH(R$5,'Exercise list'!$E$4:$X$4,0)),0)</f>
        <v>0</v>
      </c>
      <c r="S406">
        <f>IFERROR(INDEX('Exercise list'!$E$5:$X$102,MATCH($C406,'Exercise list'!$C$5:$C$102,0),MATCH(S$5,'Exercise list'!$E$4:$X$4,0)),0)</f>
        <v>0</v>
      </c>
      <c r="T406">
        <f>IFERROR(INDEX('Exercise list'!$E$5:$X$102,MATCH($C406,'Exercise list'!$C$5:$C$102,0),MATCH(T$5,'Exercise list'!$E$4:$X$4,0)),0)</f>
        <v>0</v>
      </c>
      <c r="U406">
        <f>IFERROR(INDEX('Exercise list'!$E$5:$X$102,MATCH($C406,'Exercise list'!$C$5:$C$102,0),MATCH(U$5,'Exercise list'!$E$4:$X$4,0)),0)</f>
        <v>0</v>
      </c>
      <c r="V406">
        <f>IFERROR(INDEX('Exercise list'!$E$5:$X$102,MATCH($C406,'Exercise list'!$C$5:$C$102,0),MATCH(V$5,'Exercise list'!$E$4:$X$4,0)),0)</f>
        <v>0</v>
      </c>
      <c r="W406">
        <f>IFERROR(INDEX('Exercise list'!$E$5:$X$102,MATCH($C406,'Exercise list'!$C$5:$C$102,0),MATCH(W$5,'Exercise list'!$E$4:$X$4,0)),0)</f>
        <v>0</v>
      </c>
      <c r="X406">
        <f>IFERROR(INDEX('Exercise list'!$E$5:$X$102,MATCH($C406,'Exercise list'!$C$5:$C$102,0),MATCH(X$5,'Exercise list'!$E$4:$X$4,0)),0)</f>
        <v>0</v>
      </c>
      <c r="Y406">
        <f>IFERROR(INDEX('Exercise list'!$E$5:$X$102,MATCH($C406,'Exercise list'!$C$5:$C$102,0),MATCH(Y$5,'Exercise list'!$E$4:$X$4,0)),0)</f>
        <v>0</v>
      </c>
      <c r="Z406">
        <f>IFERROR(INDEX('Exercise list'!$E$5:$X$102,MATCH($C406,'Exercise list'!$C$5:$C$102,0),MATCH(Z$5,'Exercise list'!$E$4:$X$4,0)),0)</f>
        <v>0</v>
      </c>
      <c r="AA406">
        <f>IFERROR(INDEX('Exercise list'!$E$5:$X$102,MATCH($C406,'Exercise list'!$C$5:$C$102,0),MATCH(AA$5,'Exercise list'!$E$4:$X$4,0)),0)</f>
        <v>0</v>
      </c>
      <c r="AB406">
        <f>IFERROR(INDEX('Exercise list'!$E$5:$X$102,MATCH($C406,'Exercise list'!$C$5:$C$102,0),MATCH(AB$5,'Exercise list'!$E$4:$X$4,0)),0)</f>
        <v>0</v>
      </c>
      <c r="AC406">
        <f>IFERROR(INDEX('Exercise list'!$E$5:$X$102,MATCH($C406,'Exercise list'!$C$5:$C$102,0),MATCH(AC$5,'Exercise list'!$E$4:$X$4,0)),0)</f>
        <v>0</v>
      </c>
      <c r="AD406">
        <f>IFERROR(INDEX('Exercise list'!$E$5:$X$102,MATCH($C406,'Exercise list'!$C$5:$C$102,0),MATCH(AD$5,'Exercise list'!$E$4:$X$4,0)),0)</f>
        <v>0</v>
      </c>
      <c r="AE406">
        <f>IFERROR(INDEX('Exercise list'!$E$5:$X$102,MATCH($C406,'Exercise list'!$C$5:$C$102,0),MATCH(AE$5,'Exercise list'!$E$4:$X$4,0)),0)</f>
        <v>0</v>
      </c>
      <c r="AF406">
        <f>IFERROR(INDEX('Exercise list'!$E$5:$X$102,MATCH($C406,'Exercise list'!$C$5:$C$102,0),MATCH(AF$5,'Exercise list'!$E$4:$X$4,0)),0)</f>
        <v>0</v>
      </c>
      <c r="AG406">
        <f>IFERROR(INDEX('Exercise list'!$E$5:$X$102,MATCH($C406,'Exercise list'!$C$5:$C$102,0),MATCH(AG$5,'Exercise list'!$E$4:$X$4,0)),0)</f>
        <v>0</v>
      </c>
      <c r="AH406">
        <f>IFERROR(INDEX('Exercise list'!$E$5:$X$102,MATCH($C406,'Exercise list'!$C$5:$C$102,0),MATCH(AH$5,'Exercise list'!$E$4:$X$4,0)),0)</f>
        <v>0</v>
      </c>
      <c r="AI406">
        <f>IFERROR(INDEX('Exercise list'!$E$5:$X$102,MATCH($C406,'Exercise list'!$C$5:$C$102,0),MATCH(AI$5,'Exercise list'!$E$4:$X$4,0)),0)</f>
        <v>0</v>
      </c>
      <c r="AK406">
        <f>IF(OR($J406=1,COUNTIFS($A$5:$A405,"&gt;="&amp;$A406-1,$A$5:$A405,"&lt;="&amp;$A406,$B$5:$B405,$B406)&gt;0,MIN(1-'Exercise list'!E$2,IF($A406=$A405,AK405,1))-P406&lt;0),-1,MIN(1,IF($A406=$A405,AK405,1)-P406+$D$2))</f>
        <v>1</v>
      </c>
      <c r="AL406">
        <f>IF(OR($J406=1,COUNTIFS($A$5:$A405,"&gt;="&amp;$A406-1,$A$5:$A405,"&lt;="&amp;$A406,$B$5:$B405,$B406)&gt;0,MIN(1-'Exercise list'!F$2,IF($A406=$A405,AL405,1))-Q406&lt;0),-1,MIN(1,IF($A406=$A405,AL405,1)-Q406+$D$2))</f>
        <v>1</v>
      </c>
      <c r="AM406">
        <f>IF(OR($J406=1,COUNTIFS($A$5:$A405,"&gt;="&amp;$A406-1,$A$5:$A405,"&lt;="&amp;$A406,$B$5:$B405,$B406)&gt;0,MIN(1-'Exercise list'!G$2,IF($A406=$A405,AM405,1))-R406&lt;0),-1,MIN(1,IF($A406=$A405,AM405,1)-R406+$D$2))</f>
        <v>1</v>
      </c>
      <c r="AN406">
        <f>IF(OR($J406=1,COUNTIFS($A$5:$A405,"&gt;="&amp;$A406-1,$A$5:$A405,"&lt;="&amp;$A406,$B$5:$B405,$B406)&gt;0,MIN(1-'Exercise list'!H$2,IF($A406=$A405,AN405,1))-S406&lt;0),-1,MIN(1,IF($A406=$A405,AN405,1)-S406+$D$2))</f>
        <v>1</v>
      </c>
      <c r="AO406">
        <f>IF(OR($J406=1,COUNTIFS($A$5:$A405,"&gt;="&amp;$A406-1,$A$5:$A405,"&lt;="&amp;$A406,$B$5:$B405,$B406)&gt;0,MIN(1-'Exercise list'!I$2,IF($A406=$A405,AO405,1))-T406&lt;0),-1,MIN(1,IF($A406=$A405,AO405,1)-T406+$D$2))</f>
        <v>1</v>
      </c>
      <c r="AP406">
        <f>IF(OR($J406=1,COUNTIFS($A$5:$A405,"&gt;="&amp;$A406-1,$A$5:$A405,"&lt;="&amp;$A406,$B$5:$B405,$B406)&gt;0,MIN(1-'Exercise list'!J$2,IF($A406=$A405,AP405,1))-U406&lt;0),-1,MIN(1,IF($A406=$A405,AP405,1)-U406+$D$2))</f>
        <v>1</v>
      </c>
      <c r="AQ406">
        <f>IF(OR($J406=1,COUNTIFS($A$5:$A405,"&gt;="&amp;$A406-1,$A$5:$A405,"&lt;="&amp;$A406,$B$5:$B405,$B406)&gt;0,MIN(1-'Exercise list'!K$2,IF($A406=$A405,AQ405,1))-V406&lt;0),-1,MIN(1,IF($A406=$A405,AQ405,1)-V406+$D$2))</f>
        <v>1</v>
      </c>
      <c r="AR406">
        <f>IF(OR($J406=1,COUNTIFS($A$5:$A405,"&gt;="&amp;$A406-1,$A$5:$A405,"&lt;="&amp;$A406,$B$5:$B405,$B406)&gt;0,MIN(1-'Exercise list'!L$2,IF($A406=$A405,AR405,1))-W406&lt;0),-1,MIN(1,IF($A406=$A405,AR405,1)-W406+$D$2))</f>
        <v>1</v>
      </c>
      <c r="AS406">
        <f>IF(OR($J406=1,COUNTIFS($A$5:$A405,"&gt;="&amp;$A406-1,$A$5:$A405,"&lt;="&amp;$A406,$B$5:$B405,$B406)&gt;0,MIN(1-'Exercise list'!M$2,IF($A406=$A405,AS405,1))-X406&lt;0),-1,MIN(1,IF($A406=$A405,AS405,1)-X406+$D$2))</f>
        <v>1</v>
      </c>
      <c r="AT406">
        <f>IF(OR($J406=1,COUNTIFS($A$5:$A405,"&gt;="&amp;$A406-1,$A$5:$A405,"&lt;="&amp;$A406,$B$5:$B405,$B406)&gt;0,MIN(1-'Exercise list'!N$2,IF($A406=$A405,AT405,1))-Y406&lt;0),-1,MIN(1,IF($A406=$A405,AT405,1)-Y406+$D$2))</f>
        <v>1</v>
      </c>
      <c r="AU406">
        <f>IF(OR($J406=1,COUNTIFS($A$5:$A405,"&gt;="&amp;$A406-1,$A$5:$A405,"&lt;="&amp;$A406,$B$5:$B405,$B406)&gt;0,MIN(1-'Exercise list'!O$2,IF($A406=$A405,AU405,1))-Z406&lt;0),-1,MIN(1,IF($A406=$A405,AU405,1)-Z406+$D$2))</f>
        <v>1</v>
      </c>
      <c r="AV406">
        <f>IF(OR($J406=1,COUNTIFS($A$5:$A405,"&gt;="&amp;$A406-1,$A$5:$A405,"&lt;="&amp;$A406,$B$5:$B405,$B406)&gt;0,MIN(1-'Exercise list'!P$2,IF($A406=$A405,AV405,1))-AA406&lt;0),-1,MIN(1,IF($A406=$A405,AV405,1)-AA406+$D$2))</f>
        <v>1</v>
      </c>
      <c r="AW406">
        <f>IF(OR($J406=1,COUNTIFS($A$5:$A405,"&gt;="&amp;$A406-1,$A$5:$A405,"&lt;="&amp;$A406,$B$5:$B405,$B406)&gt;0,MIN(1-'Exercise list'!Q$2,IF($A406=$A405,AW405,1))-AB406&lt;0),-1,MIN(1,IF($A406=$A405,AW405,1)-AB406+$D$2))</f>
        <v>1</v>
      </c>
      <c r="AX406">
        <f>IF(OR($J406=1,COUNTIFS($A$5:$A405,"&gt;="&amp;$A406-1,$A$5:$A405,"&lt;="&amp;$A406,$B$5:$B405,$B406)&gt;0,MIN(1-'Exercise list'!R$2,IF($A406=$A405,AX405,1))-AC406&lt;0),-1,MIN(1,IF($A406=$A405,AX405,1)-AC406+$D$2))</f>
        <v>1</v>
      </c>
      <c r="AY406">
        <f>IF(OR($J406=1,COUNTIFS($A$5:$A405,"&gt;="&amp;$A406-1,$A$5:$A405,"&lt;="&amp;$A406,$B$5:$B405,$B406)&gt;0,MIN(1-'Exercise list'!S$2,IF($A406=$A405,AY405,1))-AD406&lt;0),-1,MIN(1,IF($A406=$A405,AY405,1)-AD406+$D$2))</f>
        <v>1</v>
      </c>
      <c r="AZ406">
        <f>IF(OR($J406=1,COUNTIFS($A$5:$A405,"&gt;="&amp;$A406-1,$A$5:$A405,"&lt;="&amp;$A406,$B$5:$B405,$B406)&gt;0,MIN(1-'Exercise list'!T$2,IF($A406=$A405,AZ405,1))-AE406&lt;0),-1,MIN(1,IF($A406=$A405,AZ405,1)-AE406+$D$2))</f>
        <v>1</v>
      </c>
      <c r="BA406">
        <f>IF(OR($J406=1,COUNTIFS($A$5:$A405,"&gt;="&amp;$A406-1,$A$5:$A405,"&lt;="&amp;$A406,$B$5:$B405,$B406)&gt;0,MIN(1-'Exercise list'!U$2,IF($A406=$A405,BA405,1))-AF406&lt;0),-1,MIN(1,IF($A406=$A405,BA405,1)-AF406+$D$2))</f>
        <v>1</v>
      </c>
      <c r="BB406">
        <f>IF(OR($J406=1,COUNTIFS($A$5:$A405,"&gt;="&amp;$A406-1,$A$5:$A405,"&lt;="&amp;$A406,$B$5:$B405,$B406)&gt;0,MIN(1-'Exercise list'!V$2,IF($A406=$A405,BB405,1))-AG406&lt;0),-1,MIN(1,IF($A406=$A405,BB405,1)-AG406+$D$2))</f>
        <v>1</v>
      </c>
      <c r="BC406">
        <f>IF(OR($J406=1,COUNTIFS($A$5:$A405,"&gt;="&amp;$A406-1,$A$5:$A405,"&lt;="&amp;$A406,$B$5:$B405,$B406)&gt;0,MIN(1-'Exercise list'!W$2,IF($A406=$A405,BC405,1))-AH406&lt;0),-1,MIN(1,IF($A406=$A405,BC405,1)-AH406+$D$2))</f>
        <v>1</v>
      </c>
      <c r="BD406">
        <f>IF(OR($J406=1,COUNTIFS($A$5:$A405,"&gt;="&amp;$A406-1,$A$5:$A405,"&lt;="&amp;$A406,$B$5:$B405,$B406)&gt;0,MIN(1-'Exercise list'!X$2,IF($A406=$A405,BD405,1))-AI406&lt;0),-1,MIN(1,IF($A406=$A405,BD405,1)-AI406+$D$2))</f>
        <v>1</v>
      </c>
      <c r="BF406" s="16">
        <f t="shared" si="277"/>
        <v>0.19596031081758858</v>
      </c>
      <c r="BG406" s="16">
        <f t="shared" si="278"/>
        <v>0.21844636935459236</v>
      </c>
      <c r="BH406" s="16">
        <f t="shared" si="279"/>
        <v>0.14609696635987124</v>
      </c>
      <c r="BI406" s="16">
        <f t="shared" si="280"/>
        <v>0.13198015366034541</v>
      </c>
      <c r="BJ406" s="16">
        <f t="shared" si="281"/>
        <v>8.3367914198418713E-2</v>
      </c>
      <c r="BK406" s="16">
        <f t="shared" si="282"/>
        <v>0.10640640223148412</v>
      </c>
      <c r="BL406" s="16">
        <f t="shared" si="283"/>
        <v>0.21963504743569431</v>
      </c>
      <c r="BM406" s="16">
        <f t="shared" si="284"/>
        <v>3.8988008374820568E-3</v>
      </c>
      <c r="BN406" s="16">
        <f t="shared" si="285"/>
        <v>0.14537706087090876</v>
      </c>
      <c r="BO406" s="16">
        <f t="shared" si="286"/>
        <v>0.29209790661993401</v>
      </c>
      <c r="BP406" s="16">
        <f t="shared" si="287"/>
        <v>0.31584545163401867</v>
      </c>
      <c r="BQ406" s="16">
        <f t="shared" si="288"/>
        <v>0.1000007994126096</v>
      </c>
      <c r="BR406" s="16">
        <f t="shared" si="289"/>
        <v>0.13164487759885393</v>
      </c>
      <c r="BS406" s="16">
        <f t="shared" si="290"/>
        <v>2.9803550189863123E-2</v>
      </c>
      <c r="BT406" s="16">
        <f t="shared" si="291"/>
        <v>0.13492040904978705</v>
      </c>
      <c r="BU406" s="16">
        <f t="shared" si="292"/>
        <v>0.11703687414398131</v>
      </c>
      <c r="BV406" s="16">
        <f t="shared" si="293"/>
        <v>0.14633353213781661</v>
      </c>
      <c r="BW406" s="16">
        <f t="shared" si="294"/>
        <v>7.5588015111767173E-2</v>
      </c>
      <c r="BX406" s="16">
        <f t="shared" si="295"/>
        <v>8.0345659937185704E-2</v>
      </c>
      <c r="BY406" s="16">
        <f t="shared" si="296"/>
        <v>5.9014643151272549E-2</v>
      </c>
      <c r="CA406" s="16" t="str">
        <f t="shared" si="317"/>
        <v/>
      </c>
      <c r="CB406" s="16" t="str">
        <f t="shared" si="298"/>
        <v/>
      </c>
      <c r="CC406" s="16" t="str">
        <f t="shared" si="299"/>
        <v/>
      </c>
      <c r="CD406" s="16" t="str">
        <f t="shared" si="300"/>
        <v/>
      </c>
      <c r="CE406" s="16" t="str">
        <f t="shared" si="301"/>
        <v/>
      </c>
      <c r="CF406" s="16" t="str">
        <f t="shared" si="302"/>
        <v/>
      </c>
      <c r="CG406" s="16" t="str">
        <f t="shared" si="303"/>
        <v/>
      </c>
      <c r="CH406" s="16" t="str">
        <f t="shared" si="304"/>
        <v/>
      </c>
      <c r="CI406" s="16" t="str">
        <f t="shared" si="305"/>
        <v/>
      </c>
      <c r="CJ406" s="16" t="str">
        <f t="shared" si="306"/>
        <v/>
      </c>
      <c r="CK406" s="16" t="str">
        <f t="shared" si="307"/>
        <v/>
      </c>
      <c r="CL406" s="16" t="str">
        <f t="shared" si="308"/>
        <v/>
      </c>
      <c r="CM406" s="16" t="str">
        <f t="shared" si="309"/>
        <v/>
      </c>
      <c r="CN406" s="16" t="str">
        <f t="shared" si="310"/>
        <v/>
      </c>
      <c r="CO406" s="16" t="str">
        <f t="shared" si="311"/>
        <v/>
      </c>
      <c r="CP406" s="16" t="str">
        <f t="shared" si="312"/>
        <v/>
      </c>
      <c r="CQ406" s="16" t="str">
        <f t="shared" si="313"/>
        <v/>
      </c>
      <c r="CR406" s="16" t="str">
        <f t="shared" si="314"/>
        <v/>
      </c>
      <c r="CS406" s="16" t="str">
        <f t="shared" si="315"/>
        <v/>
      </c>
      <c r="CT406" s="16" t="str">
        <f t="shared" si="316"/>
        <v/>
      </c>
    </row>
    <row r="407" spans="1:99" x14ac:dyDescent="0.25">
      <c r="A407" s="13"/>
      <c r="B407" s="14"/>
      <c r="C407" s="15" t="str" cm="1">
        <f t="array" ref="C407">IF(B407="","",INDEX('Exercise list'!$C$5:$C$102,B407))</f>
        <v/>
      </c>
      <c r="D407" s="12" t="str">
        <f t="shared" si="274"/>
        <v/>
      </c>
      <c r="E407" s="107" t="str">
        <f t="shared" si="297"/>
        <v/>
      </c>
      <c r="F407" s="63" t="str" cm="1">
        <f t="array" ref="F407">IF(B407="","",0.1+IFERROR(INDEX($F$6:$F406,SUMPRODUCT(MAX(ROW($C$6:$C406)*($C407=$C$6:$C406))-ROW($A$5)))*0.9^($A407-INDEX($A$6:A406,SUMPRODUCT(MAX(ROW($C$6:$C406)*($C407=$C$6:$C406))-ROW($A$5)))),0))</f>
        <v/>
      </c>
      <c r="G407" s="64" t="e">
        <f>INDEX('Exercise list'!$Y$5:$Y$102,MATCH(C407,'Exercise list'!$C$5:$C$102,0))</f>
        <v>#N/A</v>
      </c>
      <c r="H407" s="115">
        <f t="shared" si="275"/>
        <v>0</v>
      </c>
      <c r="I407" s="6">
        <f t="shared" si="276"/>
        <v>5</v>
      </c>
      <c r="J407" s="6" t="str" cm="1">
        <f t="array" ref="J407">IF(B407="","",INDEX('Exercise list'!$D$5:$D$102,B407))</f>
        <v/>
      </c>
      <c r="K407" s="12"/>
      <c r="L407" s="74" t="str" cm="1">
        <f t="array" ref="L407">IF(K407="","",INDEX('Exercise list'!$C$5:$C$102,K407))</f>
        <v/>
      </c>
      <c r="M407" s="6"/>
      <c r="N407" s="75" t="str" cm="1">
        <f t="array" ref="N407">IF(M407="","",INDEX('Exercise list'!$C$5:$C$102,M407))</f>
        <v/>
      </c>
      <c r="P407">
        <f>IFERROR(INDEX('Exercise list'!$E$5:$X$102,MATCH($C407,'Exercise list'!$C$5:$C$102,0),MATCH(P$5,'Exercise list'!$E$4:$X$4,0)),0)</f>
        <v>0</v>
      </c>
      <c r="Q407">
        <f>IFERROR(INDEX('Exercise list'!$E$5:$X$102,MATCH($C407,'Exercise list'!$C$5:$C$102,0),MATCH(Q$5,'Exercise list'!$E$4:$X$4,0)),0)</f>
        <v>0</v>
      </c>
      <c r="R407">
        <f>IFERROR(INDEX('Exercise list'!$E$5:$X$102,MATCH($C407,'Exercise list'!$C$5:$C$102,0),MATCH(R$5,'Exercise list'!$E$4:$X$4,0)),0)</f>
        <v>0</v>
      </c>
      <c r="S407">
        <f>IFERROR(INDEX('Exercise list'!$E$5:$X$102,MATCH($C407,'Exercise list'!$C$5:$C$102,0),MATCH(S$5,'Exercise list'!$E$4:$X$4,0)),0)</f>
        <v>0</v>
      </c>
      <c r="T407">
        <f>IFERROR(INDEX('Exercise list'!$E$5:$X$102,MATCH($C407,'Exercise list'!$C$5:$C$102,0),MATCH(T$5,'Exercise list'!$E$4:$X$4,0)),0)</f>
        <v>0</v>
      </c>
      <c r="U407">
        <f>IFERROR(INDEX('Exercise list'!$E$5:$X$102,MATCH($C407,'Exercise list'!$C$5:$C$102,0),MATCH(U$5,'Exercise list'!$E$4:$X$4,0)),0)</f>
        <v>0</v>
      </c>
      <c r="V407">
        <f>IFERROR(INDEX('Exercise list'!$E$5:$X$102,MATCH($C407,'Exercise list'!$C$5:$C$102,0),MATCH(V$5,'Exercise list'!$E$4:$X$4,0)),0)</f>
        <v>0</v>
      </c>
      <c r="W407">
        <f>IFERROR(INDEX('Exercise list'!$E$5:$X$102,MATCH($C407,'Exercise list'!$C$5:$C$102,0),MATCH(W$5,'Exercise list'!$E$4:$X$4,0)),0)</f>
        <v>0</v>
      </c>
      <c r="X407">
        <f>IFERROR(INDEX('Exercise list'!$E$5:$X$102,MATCH($C407,'Exercise list'!$C$5:$C$102,0),MATCH(X$5,'Exercise list'!$E$4:$X$4,0)),0)</f>
        <v>0</v>
      </c>
      <c r="Y407">
        <f>IFERROR(INDEX('Exercise list'!$E$5:$X$102,MATCH($C407,'Exercise list'!$C$5:$C$102,0),MATCH(Y$5,'Exercise list'!$E$4:$X$4,0)),0)</f>
        <v>0</v>
      </c>
      <c r="Z407">
        <f>IFERROR(INDEX('Exercise list'!$E$5:$X$102,MATCH($C407,'Exercise list'!$C$5:$C$102,0),MATCH(Z$5,'Exercise list'!$E$4:$X$4,0)),0)</f>
        <v>0</v>
      </c>
      <c r="AA407">
        <f>IFERROR(INDEX('Exercise list'!$E$5:$X$102,MATCH($C407,'Exercise list'!$C$5:$C$102,0),MATCH(AA$5,'Exercise list'!$E$4:$X$4,0)),0)</f>
        <v>0</v>
      </c>
      <c r="AB407">
        <f>IFERROR(INDEX('Exercise list'!$E$5:$X$102,MATCH($C407,'Exercise list'!$C$5:$C$102,0),MATCH(AB$5,'Exercise list'!$E$4:$X$4,0)),0)</f>
        <v>0</v>
      </c>
      <c r="AC407">
        <f>IFERROR(INDEX('Exercise list'!$E$5:$X$102,MATCH($C407,'Exercise list'!$C$5:$C$102,0),MATCH(AC$5,'Exercise list'!$E$4:$X$4,0)),0)</f>
        <v>0</v>
      </c>
      <c r="AD407">
        <f>IFERROR(INDEX('Exercise list'!$E$5:$X$102,MATCH($C407,'Exercise list'!$C$5:$C$102,0),MATCH(AD$5,'Exercise list'!$E$4:$X$4,0)),0)</f>
        <v>0</v>
      </c>
      <c r="AE407">
        <f>IFERROR(INDEX('Exercise list'!$E$5:$X$102,MATCH($C407,'Exercise list'!$C$5:$C$102,0),MATCH(AE$5,'Exercise list'!$E$4:$X$4,0)),0)</f>
        <v>0</v>
      </c>
      <c r="AF407">
        <f>IFERROR(INDEX('Exercise list'!$E$5:$X$102,MATCH($C407,'Exercise list'!$C$5:$C$102,0),MATCH(AF$5,'Exercise list'!$E$4:$X$4,0)),0)</f>
        <v>0</v>
      </c>
      <c r="AG407">
        <f>IFERROR(INDEX('Exercise list'!$E$5:$X$102,MATCH($C407,'Exercise list'!$C$5:$C$102,0),MATCH(AG$5,'Exercise list'!$E$4:$X$4,0)),0)</f>
        <v>0</v>
      </c>
      <c r="AH407">
        <f>IFERROR(INDEX('Exercise list'!$E$5:$X$102,MATCH($C407,'Exercise list'!$C$5:$C$102,0),MATCH(AH$5,'Exercise list'!$E$4:$X$4,0)),0)</f>
        <v>0</v>
      </c>
      <c r="AI407">
        <f>IFERROR(INDEX('Exercise list'!$E$5:$X$102,MATCH($C407,'Exercise list'!$C$5:$C$102,0),MATCH(AI$5,'Exercise list'!$E$4:$X$4,0)),0)</f>
        <v>0</v>
      </c>
      <c r="AK407">
        <f>IF(OR($J407=1,COUNTIFS($A$5:$A406,"&gt;="&amp;$A407-1,$A$5:$A406,"&lt;="&amp;$A407,$B$5:$B406,$B407)&gt;0,MIN(1-'Exercise list'!E$2,IF($A407=$A406,AK406,1))-P407&lt;0),-1,MIN(1,IF($A407=$A406,AK406,1)-P407+$D$2))</f>
        <v>1</v>
      </c>
      <c r="AL407">
        <f>IF(OR($J407=1,COUNTIFS($A$5:$A406,"&gt;="&amp;$A407-1,$A$5:$A406,"&lt;="&amp;$A407,$B$5:$B406,$B407)&gt;0,MIN(1-'Exercise list'!F$2,IF($A407=$A406,AL406,1))-Q407&lt;0),-1,MIN(1,IF($A407=$A406,AL406,1)-Q407+$D$2))</f>
        <v>1</v>
      </c>
      <c r="AM407">
        <f>IF(OR($J407=1,COUNTIFS($A$5:$A406,"&gt;="&amp;$A407-1,$A$5:$A406,"&lt;="&amp;$A407,$B$5:$B406,$B407)&gt;0,MIN(1-'Exercise list'!G$2,IF($A407=$A406,AM406,1))-R407&lt;0),-1,MIN(1,IF($A407=$A406,AM406,1)-R407+$D$2))</f>
        <v>1</v>
      </c>
      <c r="AN407">
        <f>IF(OR($J407=1,COUNTIFS($A$5:$A406,"&gt;="&amp;$A407-1,$A$5:$A406,"&lt;="&amp;$A407,$B$5:$B406,$B407)&gt;0,MIN(1-'Exercise list'!H$2,IF($A407=$A406,AN406,1))-S407&lt;0),-1,MIN(1,IF($A407=$A406,AN406,1)-S407+$D$2))</f>
        <v>1</v>
      </c>
      <c r="AO407">
        <f>IF(OR($J407=1,COUNTIFS($A$5:$A406,"&gt;="&amp;$A407-1,$A$5:$A406,"&lt;="&amp;$A407,$B$5:$B406,$B407)&gt;0,MIN(1-'Exercise list'!I$2,IF($A407=$A406,AO406,1))-T407&lt;0),-1,MIN(1,IF($A407=$A406,AO406,1)-T407+$D$2))</f>
        <v>1</v>
      </c>
      <c r="AP407">
        <f>IF(OR($J407=1,COUNTIFS($A$5:$A406,"&gt;="&amp;$A407-1,$A$5:$A406,"&lt;="&amp;$A407,$B$5:$B406,$B407)&gt;0,MIN(1-'Exercise list'!J$2,IF($A407=$A406,AP406,1))-U407&lt;0),-1,MIN(1,IF($A407=$A406,AP406,1)-U407+$D$2))</f>
        <v>1</v>
      </c>
      <c r="AQ407">
        <f>IF(OR($J407=1,COUNTIFS($A$5:$A406,"&gt;="&amp;$A407-1,$A$5:$A406,"&lt;="&amp;$A407,$B$5:$B406,$B407)&gt;0,MIN(1-'Exercise list'!K$2,IF($A407=$A406,AQ406,1))-V407&lt;0),-1,MIN(1,IF($A407=$A406,AQ406,1)-V407+$D$2))</f>
        <v>1</v>
      </c>
      <c r="AR407">
        <f>IF(OR($J407=1,COUNTIFS($A$5:$A406,"&gt;="&amp;$A407-1,$A$5:$A406,"&lt;="&amp;$A407,$B$5:$B406,$B407)&gt;0,MIN(1-'Exercise list'!L$2,IF($A407=$A406,AR406,1))-W407&lt;0),-1,MIN(1,IF($A407=$A406,AR406,1)-W407+$D$2))</f>
        <v>1</v>
      </c>
      <c r="AS407">
        <f>IF(OR($J407=1,COUNTIFS($A$5:$A406,"&gt;="&amp;$A407-1,$A$5:$A406,"&lt;="&amp;$A407,$B$5:$B406,$B407)&gt;0,MIN(1-'Exercise list'!M$2,IF($A407=$A406,AS406,1))-X407&lt;0),-1,MIN(1,IF($A407=$A406,AS406,1)-X407+$D$2))</f>
        <v>1</v>
      </c>
      <c r="AT407">
        <f>IF(OR($J407=1,COUNTIFS($A$5:$A406,"&gt;="&amp;$A407-1,$A$5:$A406,"&lt;="&amp;$A407,$B$5:$B406,$B407)&gt;0,MIN(1-'Exercise list'!N$2,IF($A407=$A406,AT406,1))-Y407&lt;0),-1,MIN(1,IF($A407=$A406,AT406,1)-Y407+$D$2))</f>
        <v>1</v>
      </c>
      <c r="AU407">
        <f>IF(OR($J407=1,COUNTIFS($A$5:$A406,"&gt;="&amp;$A407-1,$A$5:$A406,"&lt;="&amp;$A407,$B$5:$B406,$B407)&gt;0,MIN(1-'Exercise list'!O$2,IF($A407=$A406,AU406,1))-Z407&lt;0),-1,MIN(1,IF($A407=$A406,AU406,1)-Z407+$D$2))</f>
        <v>1</v>
      </c>
      <c r="AV407">
        <f>IF(OR($J407=1,COUNTIFS($A$5:$A406,"&gt;="&amp;$A407-1,$A$5:$A406,"&lt;="&amp;$A407,$B$5:$B406,$B407)&gt;0,MIN(1-'Exercise list'!P$2,IF($A407=$A406,AV406,1))-AA407&lt;0),-1,MIN(1,IF($A407=$A406,AV406,1)-AA407+$D$2))</f>
        <v>1</v>
      </c>
      <c r="AW407">
        <f>IF(OR($J407=1,COUNTIFS($A$5:$A406,"&gt;="&amp;$A407-1,$A$5:$A406,"&lt;="&amp;$A407,$B$5:$B406,$B407)&gt;0,MIN(1-'Exercise list'!Q$2,IF($A407=$A406,AW406,1))-AB407&lt;0),-1,MIN(1,IF($A407=$A406,AW406,1)-AB407+$D$2))</f>
        <v>1</v>
      </c>
      <c r="AX407">
        <f>IF(OR($J407=1,COUNTIFS($A$5:$A406,"&gt;="&amp;$A407-1,$A$5:$A406,"&lt;="&amp;$A407,$B$5:$B406,$B407)&gt;0,MIN(1-'Exercise list'!R$2,IF($A407=$A406,AX406,1))-AC407&lt;0),-1,MIN(1,IF($A407=$A406,AX406,1)-AC407+$D$2))</f>
        <v>1</v>
      </c>
      <c r="AY407">
        <f>IF(OR($J407=1,COUNTIFS($A$5:$A406,"&gt;="&amp;$A407-1,$A$5:$A406,"&lt;="&amp;$A407,$B$5:$B406,$B407)&gt;0,MIN(1-'Exercise list'!S$2,IF($A407=$A406,AY406,1))-AD407&lt;0),-1,MIN(1,IF($A407=$A406,AY406,1)-AD407+$D$2))</f>
        <v>1</v>
      </c>
      <c r="AZ407">
        <f>IF(OR($J407=1,COUNTIFS($A$5:$A406,"&gt;="&amp;$A407-1,$A$5:$A406,"&lt;="&amp;$A407,$B$5:$B406,$B407)&gt;0,MIN(1-'Exercise list'!T$2,IF($A407=$A406,AZ406,1))-AE407&lt;0),-1,MIN(1,IF($A407=$A406,AZ406,1)-AE407+$D$2))</f>
        <v>1</v>
      </c>
      <c r="BA407">
        <f>IF(OR($J407=1,COUNTIFS($A$5:$A406,"&gt;="&amp;$A407-1,$A$5:$A406,"&lt;="&amp;$A407,$B$5:$B406,$B407)&gt;0,MIN(1-'Exercise list'!U$2,IF($A407=$A406,BA406,1))-AF407&lt;0),-1,MIN(1,IF($A407=$A406,BA406,1)-AF407+$D$2))</f>
        <v>1</v>
      </c>
      <c r="BB407">
        <f>IF(OR($J407=1,COUNTIFS($A$5:$A406,"&gt;="&amp;$A407-1,$A$5:$A406,"&lt;="&amp;$A407,$B$5:$B406,$B407)&gt;0,MIN(1-'Exercise list'!V$2,IF($A407=$A406,BB406,1))-AG407&lt;0),-1,MIN(1,IF($A407=$A406,BB406,1)-AG407+$D$2))</f>
        <v>1</v>
      </c>
      <c r="BC407">
        <f>IF(OR($J407=1,COUNTIFS($A$5:$A406,"&gt;="&amp;$A407-1,$A$5:$A406,"&lt;="&amp;$A407,$B$5:$B406,$B407)&gt;0,MIN(1-'Exercise list'!W$2,IF($A407=$A406,BC406,1))-AH407&lt;0),-1,MIN(1,IF($A407=$A406,BC406,1)-AH407+$D$2))</f>
        <v>1</v>
      </c>
      <c r="BD407">
        <f>IF(OR($J407=1,COUNTIFS($A$5:$A406,"&gt;="&amp;$A407-1,$A$5:$A406,"&lt;="&amp;$A407,$B$5:$B406,$B407)&gt;0,MIN(1-'Exercise list'!X$2,IF($A407=$A406,BD406,1))-AI407&lt;0),-1,MIN(1,IF($A407=$A406,BD406,1)-AI407+$D$2))</f>
        <v>1</v>
      </c>
      <c r="BF407" s="16">
        <f t="shared" si="277"/>
        <v>0.19596031081758858</v>
      </c>
      <c r="BG407" s="16">
        <f t="shared" si="278"/>
        <v>0.21844636935459236</v>
      </c>
      <c r="BH407" s="16">
        <f t="shared" si="279"/>
        <v>0.14609696635987124</v>
      </c>
      <c r="BI407" s="16">
        <f t="shared" si="280"/>
        <v>0.13198015366034541</v>
      </c>
      <c r="BJ407" s="16">
        <f t="shared" si="281"/>
        <v>8.3367914198418713E-2</v>
      </c>
      <c r="BK407" s="16">
        <f t="shared" si="282"/>
        <v>0.10640640223148412</v>
      </c>
      <c r="BL407" s="16">
        <f t="shared" si="283"/>
        <v>0.21963504743569431</v>
      </c>
      <c r="BM407" s="16">
        <f t="shared" si="284"/>
        <v>3.8988008374820568E-3</v>
      </c>
      <c r="BN407" s="16">
        <f t="shared" si="285"/>
        <v>0.14537706087090876</v>
      </c>
      <c r="BO407" s="16">
        <f t="shared" si="286"/>
        <v>0.29209790661993401</v>
      </c>
      <c r="BP407" s="16">
        <f t="shared" si="287"/>
        <v>0.31584545163401867</v>
      </c>
      <c r="BQ407" s="16">
        <f t="shared" si="288"/>
        <v>0.1000007994126096</v>
      </c>
      <c r="BR407" s="16">
        <f t="shared" si="289"/>
        <v>0.13164487759885393</v>
      </c>
      <c r="BS407" s="16">
        <f t="shared" si="290"/>
        <v>2.9803550189863123E-2</v>
      </c>
      <c r="BT407" s="16">
        <f t="shared" si="291"/>
        <v>0.13492040904978705</v>
      </c>
      <c r="BU407" s="16">
        <f t="shared" si="292"/>
        <v>0.11703687414398131</v>
      </c>
      <c r="BV407" s="16">
        <f t="shared" si="293"/>
        <v>0.14633353213781661</v>
      </c>
      <c r="BW407" s="16">
        <f t="shared" si="294"/>
        <v>7.5588015111767173E-2</v>
      </c>
      <c r="BX407" s="16">
        <f t="shared" si="295"/>
        <v>8.0345659937185704E-2</v>
      </c>
      <c r="BY407" s="16">
        <f t="shared" si="296"/>
        <v>5.9014643151272549E-2</v>
      </c>
      <c r="CA407" s="16" t="str">
        <f t="shared" si="317"/>
        <v/>
      </c>
      <c r="CB407" s="16" t="str">
        <f t="shared" si="298"/>
        <v/>
      </c>
      <c r="CC407" s="16" t="str">
        <f t="shared" si="299"/>
        <v/>
      </c>
      <c r="CD407" s="16" t="str">
        <f t="shared" si="300"/>
        <v/>
      </c>
      <c r="CE407" s="16" t="str">
        <f t="shared" si="301"/>
        <v/>
      </c>
      <c r="CF407" s="16" t="str">
        <f t="shared" si="302"/>
        <v/>
      </c>
      <c r="CG407" s="16" t="str">
        <f t="shared" si="303"/>
        <v/>
      </c>
      <c r="CH407" s="16" t="str">
        <f t="shared" si="304"/>
        <v/>
      </c>
      <c r="CI407" s="16" t="str">
        <f t="shared" si="305"/>
        <v/>
      </c>
      <c r="CJ407" s="16" t="str">
        <f t="shared" si="306"/>
        <v/>
      </c>
      <c r="CK407" s="16" t="str">
        <f t="shared" si="307"/>
        <v/>
      </c>
      <c r="CL407" s="16" t="str">
        <f t="shared" si="308"/>
        <v/>
      </c>
      <c r="CM407" s="16" t="str">
        <f t="shared" si="309"/>
        <v/>
      </c>
      <c r="CN407" s="16" t="str">
        <f t="shared" si="310"/>
        <v/>
      </c>
      <c r="CO407" s="16" t="str">
        <f t="shared" si="311"/>
        <v/>
      </c>
      <c r="CP407" s="16" t="str">
        <f t="shared" si="312"/>
        <v/>
      </c>
      <c r="CQ407" s="16" t="str">
        <f t="shared" si="313"/>
        <v/>
      </c>
      <c r="CR407" s="16" t="str">
        <f t="shared" si="314"/>
        <v/>
      </c>
      <c r="CS407" s="16" t="str">
        <f t="shared" si="315"/>
        <v/>
      </c>
      <c r="CT407" s="16" t="str">
        <f t="shared" si="316"/>
        <v/>
      </c>
    </row>
    <row r="408" spans="1:99" x14ac:dyDescent="0.25">
      <c r="A408" s="20"/>
      <c r="B408" s="21"/>
      <c r="C408" s="22" t="str" cm="1">
        <f t="array" ref="C408">IF(B408="","",INDEX('Exercise list'!$C$5:$C$102,B408))</f>
        <v/>
      </c>
      <c r="D408" s="17" t="str">
        <f t="shared" si="274"/>
        <v/>
      </c>
      <c r="E408" s="108" t="str">
        <f t="shared" si="297"/>
        <v/>
      </c>
      <c r="F408" s="65" t="str" cm="1">
        <f t="array" ref="F408">IF(B408="","",0.1+IFERROR(INDEX($F$6:$F407,SUMPRODUCT(MAX(ROW($C$6:$C407)*($C408=$C$6:$C407))-ROW($A$5)))*0.9^($A408-INDEX($A$6:A407,SUMPRODUCT(MAX(ROW($C$6:$C407)*($C408=$C$6:$C407))-ROW($A$5)))),0))</f>
        <v/>
      </c>
      <c r="G408" s="25" t="e">
        <f>INDEX('Exercise list'!$Y$5:$Y$102,MATCH(C408,'Exercise list'!$C$5:$C$102,0))</f>
        <v>#N/A</v>
      </c>
      <c r="H408" s="116">
        <f t="shared" si="275"/>
        <v>0</v>
      </c>
      <c r="I408" s="18">
        <f t="shared" si="276"/>
        <v>5</v>
      </c>
      <c r="J408" s="18" t="str" cm="1">
        <f t="array" ref="J408">IF(B408="","",INDEX('Exercise list'!$D$5:$D$102,B408))</f>
        <v/>
      </c>
      <c r="K408" s="17"/>
      <c r="L408" s="51" t="str" cm="1">
        <f t="array" ref="L408">IF(K408="","",INDEX('Exercise list'!$C$5:$C$102,K408))</f>
        <v/>
      </c>
      <c r="M408" s="18"/>
      <c r="N408" s="76" t="str" cm="1">
        <f t="array" ref="N408">IF(M408="","",INDEX('Exercise list'!$C$5:$C$102,M408))</f>
        <v/>
      </c>
      <c r="O408" s="19"/>
      <c r="P408" s="19">
        <f>IFERROR(INDEX('Exercise list'!$E$5:$X$102,MATCH($C408,'Exercise list'!$C$5:$C$102,0),MATCH(P$5,'Exercise list'!$E$4:$X$4,0)),0)</f>
        <v>0</v>
      </c>
      <c r="Q408" s="19">
        <f>IFERROR(INDEX('Exercise list'!$E$5:$X$102,MATCH($C408,'Exercise list'!$C$5:$C$102,0),MATCH(Q$5,'Exercise list'!$E$4:$X$4,0)),0)</f>
        <v>0</v>
      </c>
      <c r="R408" s="19">
        <f>IFERROR(INDEX('Exercise list'!$E$5:$X$102,MATCH($C408,'Exercise list'!$C$5:$C$102,0),MATCH(R$5,'Exercise list'!$E$4:$X$4,0)),0)</f>
        <v>0</v>
      </c>
      <c r="S408" s="19">
        <f>IFERROR(INDEX('Exercise list'!$E$5:$X$102,MATCH($C408,'Exercise list'!$C$5:$C$102,0),MATCH(S$5,'Exercise list'!$E$4:$X$4,0)),0)</f>
        <v>0</v>
      </c>
      <c r="T408" s="19">
        <f>IFERROR(INDEX('Exercise list'!$E$5:$X$102,MATCH($C408,'Exercise list'!$C$5:$C$102,0),MATCH(T$5,'Exercise list'!$E$4:$X$4,0)),0)</f>
        <v>0</v>
      </c>
      <c r="U408" s="19">
        <f>IFERROR(INDEX('Exercise list'!$E$5:$X$102,MATCH($C408,'Exercise list'!$C$5:$C$102,0),MATCH(U$5,'Exercise list'!$E$4:$X$4,0)),0)</f>
        <v>0</v>
      </c>
      <c r="V408" s="19">
        <f>IFERROR(INDEX('Exercise list'!$E$5:$X$102,MATCH($C408,'Exercise list'!$C$5:$C$102,0),MATCH(V$5,'Exercise list'!$E$4:$X$4,0)),0)</f>
        <v>0</v>
      </c>
      <c r="W408" s="19">
        <f>IFERROR(INDEX('Exercise list'!$E$5:$X$102,MATCH($C408,'Exercise list'!$C$5:$C$102,0),MATCH(W$5,'Exercise list'!$E$4:$X$4,0)),0)</f>
        <v>0</v>
      </c>
      <c r="X408" s="19">
        <f>IFERROR(INDEX('Exercise list'!$E$5:$X$102,MATCH($C408,'Exercise list'!$C$5:$C$102,0),MATCH(X$5,'Exercise list'!$E$4:$X$4,0)),0)</f>
        <v>0</v>
      </c>
      <c r="Y408" s="19">
        <f>IFERROR(INDEX('Exercise list'!$E$5:$X$102,MATCH($C408,'Exercise list'!$C$5:$C$102,0),MATCH(Y$5,'Exercise list'!$E$4:$X$4,0)),0)</f>
        <v>0</v>
      </c>
      <c r="Z408" s="19">
        <f>IFERROR(INDEX('Exercise list'!$E$5:$X$102,MATCH($C408,'Exercise list'!$C$5:$C$102,0),MATCH(Z$5,'Exercise list'!$E$4:$X$4,0)),0)</f>
        <v>0</v>
      </c>
      <c r="AA408" s="19">
        <f>IFERROR(INDEX('Exercise list'!$E$5:$X$102,MATCH($C408,'Exercise list'!$C$5:$C$102,0),MATCH(AA$5,'Exercise list'!$E$4:$X$4,0)),0)</f>
        <v>0</v>
      </c>
      <c r="AB408" s="19">
        <f>IFERROR(INDEX('Exercise list'!$E$5:$X$102,MATCH($C408,'Exercise list'!$C$5:$C$102,0),MATCH(AB$5,'Exercise list'!$E$4:$X$4,0)),0)</f>
        <v>0</v>
      </c>
      <c r="AC408" s="19">
        <f>IFERROR(INDEX('Exercise list'!$E$5:$X$102,MATCH($C408,'Exercise list'!$C$5:$C$102,0),MATCH(AC$5,'Exercise list'!$E$4:$X$4,0)),0)</f>
        <v>0</v>
      </c>
      <c r="AD408" s="19">
        <f>IFERROR(INDEX('Exercise list'!$E$5:$X$102,MATCH($C408,'Exercise list'!$C$5:$C$102,0),MATCH(AD$5,'Exercise list'!$E$4:$X$4,0)),0)</f>
        <v>0</v>
      </c>
      <c r="AE408" s="19">
        <f>IFERROR(INDEX('Exercise list'!$E$5:$X$102,MATCH($C408,'Exercise list'!$C$5:$C$102,0),MATCH(AE$5,'Exercise list'!$E$4:$X$4,0)),0)</f>
        <v>0</v>
      </c>
      <c r="AF408" s="19">
        <f>IFERROR(INDEX('Exercise list'!$E$5:$X$102,MATCH($C408,'Exercise list'!$C$5:$C$102,0),MATCH(AF$5,'Exercise list'!$E$4:$X$4,0)),0)</f>
        <v>0</v>
      </c>
      <c r="AG408" s="19">
        <f>IFERROR(INDEX('Exercise list'!$E$5:$X$102,MATCH($C408,'Exercise list'!$C$5:$C$102,0),MATCH(AG$5,'Exercise list'!$E$4:$X$4,0)),0)</f>
        <v>0</v>
      </c>
      <c r="AH408" s="19">
        <f>IFERROR(INDEX('Exercise list'!$E$5:$X$102,MATCH($C408,'Exercise list'!$C$5:$C$102,0),MATCH(AH$5,'Exercise list'!$E$4:$X$4,0)),0)</f>
        <v>0</v>
      </c>
      <c r="AI408" s="19">
        <f>IFERROR(INDEX('Exercise list'!$E$5:$X$102,MATCH($C408,'Exercise list'!$C$5:$C$102,0),MATCH(AI$5,'Exercise list'!$E$4:$X$4,0)),0)</f>
        <v>0</v>
      </c>
      <c r="AJ408" s="19"/>
      <c r="AK408" s="19">
        <f>IF(OR($J408=1,COUNTIFS($A$5:$A407,"&gt;="&amp;$A408-1,$A$5:$A407,"&lt;="&amp;$A408,$B$5:$B407,$B408)&gt;0,MIN(1-'Exercise list'!E$2,IF($A408=$A407,AK407,1))-P408&lt;0),-1,MIN(1,IF($A408=$A407,AK407,1)-P408+$D$2))</f>
        <v>1</v>
      </c>
      <c r="AL408" s="19">
        <f>IF(OR($J408=1,COUNTIFS($A$5:$A407,"&gt;="&amp;$A408-1,$A$5:$A407,"&lt;="&amp;$A408,$B$5:$B407,$B408)&gt;0,MIN(1-'Exercise list'!F$2,IF($A408=$A407,AL407,1))-Q408&lt;0),-1,MIN(1,IF($A408=$A407,AL407,1)-Q408+$D$2))</f>
        <v>1</v>
      </c>
      <c r="AM408" s="19">
        <f>IF(OR($J408=1,COUNTIFS($A$5:$A407,"&gt;="&amp;$A408-1,$A$5:$A407,"&lt;="&amp;$A408,$B$5:$B407,$B408)&gt;0,MIN(1-'Exercise list'!G$2,IF($A408=$A407,AM407,1))-R408&lt;0),-1,MIN(1,IF($A408=$A407,AM407,1)-R408+$D$2))</f>
        <v>1</v>
      </c>
      <c r="AN408" s="19">
        <f>IF(OR($J408=1,COUNTIFS($A$5:$A407,"&gt;="&amp;$A408-1,$A$5:$A407,"&lt;="&amp;$A408,$B$5:$B407,$B408)&gt;0,MIN(1-'Exercise list'!H$2,IF($A408=$A407,AN407,1))-S408&lt;0),-1,MIN(1,IF($A408=$A407,AN407,1)-S408+$D$2))</f>
        <v>1</v>
      </c>
      <c r="AO408" s="19">
        <f>IF(OR($J408=1,COUNTIFS($A$5:$A407,"&gt;="&amp;$A408-1,$A$5:$A407,"&lt;="&amp;$A408,$B$5:$B407,$B408)&gt;0,MIN(1-'Exercise list'!I$2,IF($A408=$A407,AO407,1))-T408&lt;0),-1,MIN(1,IF($A408=$A407,AO407,1)-T408+$D$2))</f>
        <v>1</v>
      </c>
      <c r="AP408" s="19">
        <f>IF(OR($J408=1,COUNTIFS($A$5:$A407,"&gt;="&amp;$A408-1,$A$5:$A407,"&lt;="&amp;$A408,$B$5:$B407,$B408)&gt;0,MIN(1-'Exercise list'!J$2,IF($A408=$A407,AP407,1))-U408&lt;0),-1,MIN(1,IF($A408=$A407,AP407,1)-U408+$D$2))</f>
        <v>1</v>
      </c>
      <c r="AQ408" s="19">
        <f>IF(OR($J408=1,COUNTIFS($A$5:$A407,"&gt;="&amp;$A408-1,$A$5:$A407,"&lt;="&amp;$A408,$B$5:$B407,$B408)&gt;0,MIN(1-'Exercise list'!K$2,IF($A408=$A407,AQ407,1))-V408&lt;0),-1,MIN(1,IF($A408=$A407,AQ407,1)-V408+$D$2))</f>
        <v>1</v>
      </c>
      <c r="AR408" s="19">
        <f>IF(OR($J408=1,COUNTIFS($A$5:$A407,"&gt;="&amp;$A408-1,$A$5:$A407,"&lt;="&amp;$A408,$B$5:$B407,$B408)&gt;0,MIN(1-'Exercise list'!L$2,IF($A408=$A407,AR407,1))-W408&lt;0),-1,MIN(1,IF($A408=$A407,AR407,1)-W408+$D$2))</f>
        <v>1</v>
      </c>
      <c r="AS408" s="19">
        <f>IF(OR($J408=1,COUNTIFS($A$5:$A407,"&gt;="&amp;$A408-1,$A$5:$A407,"&lt;="&amp;$A408,$B$5:$B407,$B408)&gt;0,MIN(1-'Exercise list'!M$2,IF($A408=$A407,AS407,1))-X408&lt;0),-1,MIN(1,IF($A408=$A407,AS407,1)-X408+$D$2))</f>
        <v>1</v>
      </c>
      <c r="AT408" s="19">
        <f>IF(OR($J408=1,COUNTIFS($A$5:$A407,"&gt;="&amp;$A408-1,$A$5:$A407,"&lt;="&amp;$A408,$B$5:$B407,$B408)&gt;0,MIN(1-'Exercise list'!N$2,IF($A408=$A407,AT407,1))-Y408&lt;0),-1,MIN(1,IF($A408=$A407,AT407,1)-Y408+$D$2))</f>
        <v>1</v>
      </c>
      <c r="AU408" s="19">
        <f>IF(OR($J408=1,COUNTIFS($A$5:$A407,"&gt;="&amp;$A408-1,$A$5:$A407,"&lt;="&amp;$A408,$B$5:$B407,$B408)&gt;0,MIN(1-'Exercise list'!O$2,IF($A408=$A407,AU407,1))-Z408&lt;0),-1,MIN(1,IF($A408=$A407,AU407,1)-Z408+$D$2))</f>
        <v>1</v>
      </c>
      <c r="AV408" s="19">
        <f>IF(OR($J408=1,COUNTIFS($A$5:$A407,"&gt;="&amp;$A408-1,$A$5:$A407,"&lt;="&amp;$A408,$B$5:$B407,$B408)&gt;0,MIN(1-'Exercise list'!P$2,IF($A408=$A407,AV407,1))-AA408&lt;0),-1,MIN(1,IF($A408=$A407,AV407,1)-AA408+$D$2))</f>
        <v>1</v>
      </c>
      <c r="AW408" s="19">
        <f>IF(OR($J408=1,COUNTIFS($A$5:$A407,"&gt;="&amp;$A408-1,$A$5:$A407,"&lt;="&amp;$A408,$B$5:$B407,$B408)&gt;0,MIN(1-'Exercise list'!Q$2,IF($A408=$A407,AW407,1))-AB408&lt;0),-1,MIN(1,IF($A408=$A407,AW407,1)-AB408+$D$2))</f>
        <v>1</v>
      </c>
      <c r="AX408" s="19">
        <f>IF(OR($J408=1,COUNTIFS($A$5:$A407,"&gt;="&amp;$A408-1,$A$5:$A407,"&lt;="&amp;$A408,$B$5:$B407,$B408)&gt;0,MIN(1-'Exercise list'!R$2,IF($A408=$A407,AX407,1))-AC408&lt;0),-1,MIN(1,IF($A408=$A407,AX407,1)-AC408+$D$2))</f>
        <v>1</v>
      </c>
      <c r="AY408" s="19">
        <f>IF(OR($J408=1,COUNTIFS($A$5:$A407,"&gt;="&amp;$A408-1,$A$5:$A407,"&lt;="&amp;$A408,$B$5:$B407,$B408)&gt;0,MIN(1-'Exercise list'!S$2,IF($A408=$A407,AY407,1))-AD408&lt;0),-1,MIN(1,IF($A408=$A407,AY407,1)-AD408+$D$2))</f>
        <v>1</v>
      </c>
      <c r="AZ408" s="19">
        <f>IF(OR($J408=1,COUNTIFS($A$5:$A407,"&gt;="&amp;$A408-1,$A$5:$A407,"&lt;="&amp;$A408,$B$5:$B407,$B408)&gt;0,MIN(1-'Exercise list'!T$2,IF($A408=$A407,AZ407,1))-AE408&lt;0),-1,MIN(1,IF($A408=$A407,AZ407,1)-AE408+$D$2))</f>
        <v>1</v>
      </c>
      <c r="BA408" s="19">
        <f>IF(OR($J408=1,COUNTIFS($A$5:$A407,"&gt;="&amp;$A408-1,$A$5:$A407,"&lt;="&amp;$A408,$B$5:$B407,$B408)&gt;0,MIN(1-'Exercise list'!U$2,IF($A408=$A407,BA407,1))-AF408&lt;0),-1,MIN(1,IF($A408=$A407,BA407,1)-AF408+$D$2))</f>
        <v>1</v>
      </c>
      <c r="BB408" s="19">
        <f>IF(OR($J408=1,COUNTIFS($A$5:$A407,"&gt;="&amp;$A408-1,$A$5:$A407,"&lt;="&amp;$A408,$B$5:$B407,$B408)&gt;0,MIN(1-'Exercise list'!V$2,IF($A408=$A407,BB407,1))-AG408&lt;0),-1,MIN(1,IF($A408=$A407,BB407,1)-AG408+$D$2))</f>
        <v>1</v>
      </c>
      <c r="BC408" s="19">
        <f>IF(OR($J408=1,COUNTIFS($A$5:$A407,"&gt;="&amp;$A408-1,$A$5:$A407,"&lt;="&amp;$A408,$B$5:$B407,$B408)&gt;0,MIN(1-'Exercise list'!W$2,IF($A408=$A407,BC407,1))-AH408&lt;0),-1,MIN(1,IF($A408=$A407,BC407,1)-AH408+$D$2))</f>
        <v>1</v>
      </c>
      <c r="BD408" s="19">
        <f>IF(OR($J408=1,COUNTIFS($A$5:$A407,"&gt;="&amp;$A408-1,$A$5:$A407,"&lt;="&amp;$A408,$B$5:$B407,$B408)&gt;0,MIN(1-'Exercise list'!X$2,IF($A408=$A407,BD407,1))-AI408&lt;0),-1,MIN(1,IF($A408=$A407,BD407,1)-AI408+$D$2))</f>
        <v>1</v>
      </c>
      <c r="BE408" s="19"/>
      <c r="BF408" s="23">
        <f t="shared" si="277"/>
        <v>0.19596031081758858</v>
      </c>
      <c r="BG408" s="23">
        <f t="shared" si="278"/>
        <v>0.21844636935459236</v>
      </c>
      <c r="BH408" s="23">
        <f t="shared" si="279"/>
        <v>0.14609696635987124</v>
      </c>
      <c r="BI408" s="23">
        <f t="shared" si="280"/>
        <v>0.13198015366034541</v>
      </c>
      <c r="BJ408" s="23">
        <f t="shared" si="281"/>
        <v>8.3367914198418713E-2</v>
      </c>
      <c r="BK408" s="23">
        <f t="shared" si="282"/>
        <v>0.10640640223148412</v>
      </c>
      <c r="BL408" s="23">
        <f t="shared" si="283"/>
        <v>0.21963504743569431</v>
      </c>
      <c r="BM408" s="23">
        <f t="shared" si="284"/>
        <v>3.8988008374820568E-3</v>
      </c>
      <c r="BN408" s="23">
        <f t="shared" si="285"/>
        <v>0.14537706087090876</v>
      </c>
      <c r="BO408" s="23">
        <f t="shared" si="286"/>
        <v>0.29209790661993401</v>
      </c>
      <c r="BP408" s="23">
        <f t="shared" si="287"/>
        <v>0.31584545163401867</v>
      </c>
      <c r="BQ408" s="23">
        <f t="shared" si="288"/>
        <v>0.1000007994126096</v>
      </c>
      <c r="BR408" s="23">
        <f t="shared" si="289"/>
        <v>0.13164487759885393</v>
      </c>
      <c r="BS408" s="23">
        <f t="shared" si="290"/>
        <v>2.9803550189863123E-2</v>
      </c>
      <c r="BT408" s="23">
        <f t="shared" si="291"/>
        <v>0.13492040904978705</v>
      </c>
      <c r="BU408" s="23">
        <f t="shared" si="292"/>
        <v>0.11703687414398131</v>
      </c>
      <c r="BV408" s="23">
        <f t="shared" si="293"/>
        <v>0.14633353213781661</v>
      </c>
      <c r="BW408" s="23">
        <f t="shared" si="294"/>
        <v>7.5588015111767173E-2</v>
      </c>
      <c r="BX408" s="23">
        <f t="shared" si="295"/>
        <v>8.0345659937185704E-2</v>
      </c>
      <c r="BY408" s="23">
        <f t="shared" si="296"/>
        <v>5.9014643151272549E-2</v>
      </c>
      <c r="BZ408" s="19"/>
      <c r="CA408" s="23" t="str">
        <f t="shared" si="317"/>
        <v/>
      </c>
      <c r="CB408" s="23" t="str">
        <f t="shared" si="298"/>
        <v/>
      </c>
      <c r="CC408" s="23" t="str">
        <f t="shared" si="299"/>
        <v/>
      </c>
      <c r="CD408" s="23" t="str">
        <f t="shared" si="300"/>
        <v/>
      </c>
      <c r="CE408" s="23" t="str">
        <f t="shared" si="301"/>
        <v/>
      </c>
      <c r="CF408" s="23" t="str">
        <f t="shared" si="302"/>
        <v/>
      </c>
      <c r="CG408" s="23" t="str">
        <f t="shared" si="303"/>
        <v/>
      </c>
      <c r="CH408" s="23" t="str">
        <f t="shared" si="304"/>
        <v/>
      </c>
      <c r="CI408" s="23" t="str">
        <f t="shared" si="305"/>
        <v/>
      </c>
      <c r="CJ408" s="23" t="str">
        <f t="shared" si="306"/>
        <v/>
      </c>
      <c r="CK408" s="23" t="str">
        <f t="shared" si="307"/>
        <v/>
      </c>
      <c r="CL408" s="23" t="str">
        <f t="shared" si="308"/>
        <v/>
      </c>
      <c r="CM408" s="23" t="str">
        <f t="shared" si="309"/>
        <v/>
      </c>
      <c r="CN408" s="23" t="str">
        <f t="shared" si="310"/>
        <v/>
      </c>
      <c r="CO408" s="23" t="str">
        <f t="shared" si="311"/>
        <v/>
      </c>
      <c r="CP408" s="23" t="str">
        <f t="shared" si="312"/>
        <v/>
      </c>
      <c r="CQ408" s="23" t="str">
        <f t="shared" si="313"/>
        <v/>
      </c>
      <c r="CR408" s="23" t="str">
        <f t="shared" si="314"/>
        <v/>
      </c>
      <c r="CS408" s="23" t="str">
        <f t="shared" si="315"/>
        <v/>
      </c>
      <c r="CT408" s="23" t="str">
        <f t="shared" si="316"/>
        <v/>
      </c>
      <c r="CU408" s="19"/>
    </row>
    <row r="409" spans="1:99" x14ac:dyDescent="0.25">
      <c r="A409" s="13"/>
      <c r="B409" s="14"/>
      <c r="C409" s="15" t="str" cm="1">
        <f t="array" ref="C409">IF(B409="","",INDEX('Exercise list'!$C$5:$C$102,B409))</f>
        <v/>
      </c>
      <c r="D409" s="12" t="str">
        <f t="shared" si="274"/>
        <v/>
      </c>
      <c r="E409" s="107" t="str">
        <f t="shared" si="297"/>
        <v/>
      </c>
      <c r="F409" s="63" t="str" cm="1">
        <f t="array" ref="F409">IF(B409="","",0.1+IFERROR(INDEX($F$6:$F408,SUMPRODUCT(MAX(ROW($C$6:$C408)*($C409=$C$6:$C408))-ROW($A$5)))*0.9^($A409-INDEX($A$6:A408,SUMPRODUCT(MAX(ROW($C$6:$C408)*($C409=$C$6:$C408))-ROW($A$5)))),0))</f>
        <v/>
      </c>
      <c r="G409" s="64" t="e">
        <f>INDEX('Exercise list'!$Y$5:$Y$102,MATCH(C409,'Exercise list'!$C$5:$C$102,0))</f>
        <v>#N/A</v>
      </c>
      <c r="H409" s="115">
        <f t="shared" si="275"/>
        <v>0</v>
      </c>
      <c r="I409" s="42">
        <f t="shared" si="276"/>
        <v>5</v>
      </c>
      <c r="J409" s="6" t="str" cm="1">
        <f t="array" ref="J409">IF(B409="","",INDEX('Exercise list'!$D$5:$D$102,B409))</f>
        <v/>
      </c>
      <c r="K409" s="12"/>
      <c r="L409" s="74" t="str" cm="1">
        <f t="array" ref="L409">IF(K409="","",INDEX('Exercise list'!$C$5:$C$102,K409))</f>
        <v/>
      </c>
      <c r="M409" s="6"/>
      <c r="N409" s="75" t="str" cm="1">
        <f t="array" ref="N409">IF(M409="","",INDEX('Exercise list'!$C$5:$C$102,M409))</f>
        <v/>
      </c>
      <c r="P409">
        <f>IFERROR(INDEX('Exercise list'!$E$5:$X$102,MATCH($C409,'Exercise list'!$C$5:$C$102,0),MATCH(P$5,'Exercise list'!$E$4:$X$4,0)),0)</f>
        <v>0</v>
      </c>
      <c r="Q409">
        <f>IFERROR(INDEX('Exercise list'!$E$5:$X$102,MATCH($C409,'Exercise list'!$C$5:$C$102,0),MATCH(Q$5,'Exercise list'!$E$4:$X$4,0)),0)</f>
        <v>0</v>
      </c>
      <c r="R409">
        <f>IFERROR(INDEX('Exercise list'!$E$5:$X$102,MATCH($C409,'Exercise list'!$C$5:$C$102,0),MATCH(R$5,'Exercise list'!$E$4:$X$4,0)),0)</f>
        <v>0</v>
      </c>
      <c r="S409">
        <f>IFERROR(INDEX('Exercise list'!$E$5:$X$102,MATCH($C409,'Exercise list'!$C$5:$C$102,0),MATCH(S$5,'Exercise list'!$E$4:$X$4,0)),0)</f>
        <v>0</v>
      </c>
      <c r="T409">
        <f>IFERROR(INDEX('Exercise list'!$E$5:$X$102,MATCH($C409,'Exercise list'!$C$5:$C$102,0),MATCH(T$5,'Exercise list'!$E$4:$X$4,0)),0)</f>
        <v>0</v>
      </c>
      <c r="U409">
        <f>IFERROR(INDEX('Exercise list'!$E$5:$X$102,MATCH($C409,'Exercise list'!$C$5:$C$102,0),MATCH(U$5,'Exercise list'!$E$4:$X$4,0)),0)</f>
        <v>0</v>
      </c>
      <c r="V409">
        <f>IFERROR(INDEX('Exercise list'!$E$5:$X$102,MATCH($C409,'Exercise list'!$C$5:$C$102,0),MATCH(V$5,'Exercise list'!$E$4:$X$4,0)),0)</f>
        <v>0</v>
      </c>
      <c r="W409">
        <f>IFERROR(INDEX('Exercise list'!$E$5:$X$102,MATCH($C409,'Exercise list'!$C$5:$C$102,0),MATCH(W$5,'Exercise list'!$E$4:$X$4,0)),0)</f>
        <v>0</v>
      </c>
      <c r="X409">
        <f>IFERROR(INDEX('Exercise list'!$E$5:$X$102,MATCH($C409,'Exercise list'!$C$5:$C$102,0),MATCH(X$5,'Exercise list'!$E$4:$X$4,0)),0)</f>
        <v>0</v>
      </c>
      <c r="Y409">
        <f>IFERROR(INDEX('Exercise list'!$E$5:$X$102,MATCH($C409,'Exercise list'!$C$5:$C$102,0),MATCH(Y$5,'Exercise list'!$E$4:$X$4,0)),0)</f>
        <v>0</v>
      </c>
      <c r="Z409">
        <f>IFERROR(INDEX('Exercise list'!$E$5:$X$102,MATCH($C409,'Exercise list'!$C$5:$C$102,0),MATCH(Z$5,'Exercise list'!$E$4:$X$4,0)),0)</f>
        <v>0</v>
      </c>
      <c r="AA409">
        <f>IFERROR(INDEX('Exercise list'!$E$5:$X$102,MATCH($C409,'Exercise list'!$C$5:$C$102,0),MATCH(AA$5,'Exercise list'!$E$4:$X$4,0)),0)</f>
        <v>0</v>
      </c>
      <c r="AB409">
        <f>IFERROR(INDEX('Exercise list'!$E$5:$X$102,MATCH($C409,'Exercise list'!$C$5:$C$102,0),MATCH(AB$5,'Exercise list'!$E$4:$X$4,0)),0)</f>
        <v>0</v>
      </c>
      <c r="AC409">
        <f>IFERROR(INDEX('Exercise list'!$E$5:$X$102,MATCH($C409,'Exercise list'!$C$5:$C$102,0),MATCH(AC$5,'Exercise list'!$E$4:$X$4,0)),0)</f>
        <v>0</v>
      </c>
      <c r="AD409">
        <f>IFERROR(INDEX('Exercise list'!$E$5:$X$102,MATCH($C409,'Exercise list'!$C$5:$C$102,0),MATCH(AD$5,'Exercise list'!$E$4:$X$4,0)),0)</f>
        <v>0</v>
      </c>
      <c r="AE409">
        <f>IFERROR(INDEX('Exercise list'!$E$5:$X$102,MATCH($C409,'Exercise list'!$C$5:$C$102,0),MATCH(AE$5,'Exercise list'!$E$4:$X$4,0)),0)</f>
        <v>0</v>
      </c>
      <c r="AF409">
        <f>IFERROR(INDEX('Exercise list'!$E$5:$X$102,MATCH($C409,'Exercise list'!$C$5:$C$102,0),MATCH(AF$5,'Exercise list'!$E$4:$X$4,0)),0)</f>
        <v>0</v>
      </c>
      <c r="AG409">
        <f>IFERROR(INDEX('Exercise list'!$E$5:$X$102,MATCH($C409,'Exercise list'!$C$5:$C$102,0),MATCH(AG$5,'Exercise list'!$E$4:$X$4,0)),0)</f>
        <v>0</v>
      </c>
      <c r="AH409">
        <f>IFERROR(INDEX('Exercise list'!$E$5:$X$102,MATCH($C409,'Exercise list'!$C$5:$C$102,0),MATCH(AH$5,'Exercise list'!$E$4:$X$4,0)),0)</f>
        <v>0</v>
      </c>
      <c r="AI409">
        <f>IFERROR(INDEX('Exercise list'!$E$5:$X$102,MATCH($C409,'Exercise list'!$C$5:$C$102,0),MATCH(AI$5,'Exercise list'!$E$4:$X$4,0)),0)</f>
        <v>0</v>
      </c>
      <c r="AK409">
        <f>IF(OR($J409=1,COUNTIFS($A$5:$A408,"&gt;="&amp;$A409-1,$A$5:$A408,"&lt;="&amp;$A409,$B$5:$B408,$B409)&gt;0,MIN(1-'Exercise list'!E$2,IF($A409=$A408,AK408,1))-P409&lt;0),-1,MIN(1,IF($A409=$A408,AK408,1)-P409+$D$2))</f>
        <v>1</v>
      </c>
      <c r="AL409">
        <f>IF(OR($J409=1,COUNTIFS($A$5:$A408,"&gt;="&amp;$A409-1,$A$5:$A408,"&lt;="&amp;$A409,$B$5:$B408,$B409)&gt;0,MIN(1-'Exercise list'!F$2,IF($A409=$A408,AL408,1))-Q409&lt;0),-1,MIN(1,IF($A409=$A408,AL408,1)-Q409+$D$2))</f>
        <v>1</v>
      </c>
      <c r="AM409">
        <f>IF(OR($J409=1,COUNTIFS($A$5:$A408,"&gt;="&amp;$A409-1,$A$5:$A408,"&lt;="&amp;$A409,$B$5:$B408,$B409)&gt;0,MIN(1-'Exercise list'!G$2,IF($A409=$A408,AM408,1))-R409&lt;0),-1,MIN(1,IF($A409=$A408,AM408,1)-R409+$D$2))</f>
        <v>1</v>
      </c>
      <c r="AN409">
        <f>IF(OR($J409=1,COUNTIFS($A$5:$A408,"&gt;="&amp;$A409-1,$A$5:$A408,"&lt;="&amp;$A409,$B$5:$B408,$B409)&gt;0,MIN(1-'Exercise list'!H$2,IF($A409=$A408,AN408,1))-S409&lt;0),-1,MIN(1,IF($A409=$A408,AN408,1)-S409+$D$2))</f>
        <v>1</v>
      </c>
      <c r="AO409">
        <f>IF(OR($J409=1,COUNTIFS($A$5:$A408,"&gt;="&amp;$A409-1,$A$5:$A408,"&lt;="&amp;$A409,$B$5:$B408,$B409)&gt;0,MIN(1-'Exercise list'!I$2,IF($A409=$A408,AO408,1))-T409&lt;0),-1,MIN(1,IF($A409=$A408,AO408,1)-T409+$D$2))</f>
        <v>1</v>
      </c>
      <c r="AP409">
        <f>IF(OR($J409=1,COUNTIFS($A$5:$A408,"&gt;="&amp;$A409-1,$A$5:$A408,"&lt;="&amp;$A409,$B$5:$B408,$B409)&gt;0,MIN(1-'Exercise list'!J$2,IF($A409=$A408,AP408,1))-U409&lt;0),-1,MIN(1,IF($A409=$A408,AP408,1)-U409+$D$2))</f>
        <v>1</v>
      </c>
      <c r="AQ409">
        <f>IF(OR($J409=1,COUNTIFS($A$5:$A408,"&gt;="&amp;$A409-1,$A$5:$A408,"&lt;="&amp;$A409,$B$5:$B408,$B409)&gt;0,MIN(1-'Exercise list'!K$2,IF($A409=$A408,AQ408,1))-V409&lt;0),-1,MIN(1,IF($A409=$A408,AQ408,1)-V409+$D$2))</f>
        <v>1</v>
      </c>
      <c r="AR409">
        <f>IF(OR($J409=1,COUNTIFS($A$5:$A408,"&gt;="&amp;$A409-1,$A$5:$A408,"&lt;="&amp;$A409,$B$5:$B408,$B409)&gt;0,MIN(1-'Exercise list'!L$2,IF($A409=$A408,AR408,1))-W409&lt;0),-1,MIN(1,IF($A409=$A408,AR408,1)-W409+$D$2))</f>
        <v>1</v>
      </c>
      <c r="AS409">
        <f>IF(OR($J409=1,COUNTIFS($A$5:$A408,"&gt;="&amp;$A409-1,$A$5:$A408,"&lt;="&amp;$A409,$B$5:$B408,$B409)&gt;0,MIN(1-'Exercise list'!M$2,IF($A409=$A408,AS408,1))-X409&lt;0),-1,MIN(1,IF($A409=$A408,AS408,1)-X409+$D$2))</f>
        <v>1</v>
      </c>
      <c r="AT409">
        <f>IF(OR($J409=1,COUNTIFS($A$5:$A408,"&gt;="&amp;$A409-1,$A$5:$A408,"&lt;="&amp;$A409,$B$5:$B408,$B409)&gt;0,MIN(1-'Exercise list'!N$2,IF($A409=$A408,AT408,1))-Y409&lt;0),-1,MIN(1,IF($A409=$A408,AT408,1)-Y409+$D$2))</f>
        <v>1</v>
      </c>
      <c r="AU409">
        <f>IF(OR($J409=1,COUNTIFS($A$5:$A408,"&gt;="&amp;$A409-1,$A$5:$A408,"&lt;="&amp;$A409,$B$5:$B408,$B409)&gt;0,MIN(1-'Exercise list'!O$2,IF($A409=$A408,AU408,1))-Z409&lt;0),-1,MIN(1,IF($A409=$A408,AU408,1)-Z409+$D$2))</f>
        <v>1</v>
      </c>
      <c r="AV409">
        <f>IF(OR($J409=1,COUNTIFS($A$5:$A408,"&gt;="&amp;$A409-1,$A$5:$A408,"&lt;="&amp;$A409,$B$5:$B408,$B409)&gt;0,MIN(1-'Exercise list'!P$2,IF($A409=$A408,AV408,1))-AA409&lt;0),-1,MIN(1,IF($A409=$A408,AV408,1)-AA409+$D$2))</f>
        <v>1</v>
      </c>
      <c r="AW409">
        <f>IF(OR($J409=1,COUNTIFS($A$5:$A408,"&gt;="&amp;$A409-1,$A$5:$A408,"&lt;="&amp;$A409,$B$5:$B408,$B409)&gt;0,MIN(1-'Exercise list'!Q$2,IF($A409=$A408,AW408,1))-AB409&lt;0),-1,MIN(1,IF($A409=$A408,AW408,1)-AB409+$D$2))</f>
        <v>1</v>
      </c>
      <c r="AX409">
        <f>IF(OR($J409=1,COUNTIFS($A$5:$A408,"&gt;="&amp;$A409-1,$A$5:$A408,"&lt;="&amp;$A409,$B$5:$B408,$B409)&gt;0,MIN(1-'Exercise list'!R$2,IF($A409=$A408,AX408,1))-AC409&lt;0),-1,MIN(1,IF($A409=$A408,AX408,1)-AC409+$D$2))</f>
        <v>1</v>
      </c>
      <c r="AY409">
        <f>IF(OR($J409=1,COUNTIFS($A$5:$A408,"&gt;="&amp;$A409-1,$A$5:$A408,"&lt;="&amp;$A409,$B$5:$B408,$B409)&gt;0,MIN(1-'Exercise list'!S$2,IF($A409=$A408,AY408,1))-AD409&lt;0),-1,MIN(1,IF($A409=$A408,AY408,1)-AD409+$D$2))</f>
        <v>1</v>
      </c>
      <c r="AZ409">
        <f>IF(OR($J409=1,COUNTIFS($A$5:$A408,"&gt;="&amp;$A409-1,$A$5:$A408,"&lt;="&amp;$A409,$B$5:$B408,$B409)&gt;0,MIN(1-'Exercise list'!T$2,IF($A409=$A408,AZ408,1))-AE409&lt;0),-1,MIN(1,IF($A409=$A408,AZ408,1)-AE409+$D$2))</f>
        <v>1</v>
      </c>
      <c r="BA409">
        <f>IF(OR($J409=1,COUNTIFS($A$5:$A408,"&gt;="&amp;$A409-1,$A$5:$A408,"&lt;="&amp;$A409,$B$5:$B408,$B409)&gt;0,MIN(1-'Exercise list'!U$2,IF($A409=$A408,BA408,1))-AF409&lt;0),-1,MIN(1,IF($A409=$A408,BA408,1)-AF409+$D$2))</f>
        <v>1</v>
      </c>
      <c r="BB409">
        <f>IF(OR($J409=1,COUNTIFS($A$5:$A408,"&gt;="&amp;$A409-1,$A$5:$A408,"&lt;="&amp;$A409,$B$5:$B408,$B409)&gt;0,MIN(1-'Exercise list'!V$2,IF($A409=$A408,BB408,1))-AG409&lt;0),-1,MIN(1,IF($A409=$A408,BB408,1)-AG409+$D$2))</f>
        <v>1</v>
      </c>
      <c r="BC409">
        <f>IF(OR($J409=1,COUNTIFS($A$5:$A408,"&gt;="&amp;$A409-1,$A$5:$A408,"&lt;="&amp;$A409,$B$5:$B408,$B409)&gt;0,MIN(1-'Exercise list'!W$2,IF($A409=$A408,BC408,1))-AH409&lt;0),-1,MIN(1,IF($A409=$A408,BC408,1)-AH409+$D$2))</f>
        <v>1</v>
      </c>
      <c r="BD409">
        <f>IF(OR($J409=1,COUNTIFS($A$5:$A408,"&gt;="&amp;$A409-1,$A$5:$A408,"&lt;="&amp;$A409,$B$5:$B408,$B409)&gt;0,MIN(1-'Exercise list'!X$2,IF($A409=$A408,BD408,1))-AI409&lt;0),-1,MIN(1,IF($A409=$A408,BD408,1)-AI409+$D$2))</f>
        <v>1</v>
      </c>
      <c r="BF409" s="16">
        <f t="shared" si="277"/>
        <v>0.19596031081758858</v>
      </c>
      <c r="BG409" s="16">
        <f t="shared" si="278"/>
        <v>0.21844636935459236</v>
      </c>
      <c r="BH409" s="16">
        <f t="shared" si="279"/>
        <v>0.14609696635987124</v>
      </c>
      <c r="BI409" s="16">
        <f t="shared" si="280"/>
        <v>0.13198015366034541</v>
      </c>
      <c r="BJ409" s="16">
        <f t="shared" si="281"/>
        <v>8.3367914198418713E-2</v>
      </c>
      <c r="BK409" s="16">
        <f t="shared" si="282"/>
        <v>0.10640640223148412</v>
      </c>
      <c r="BL409" s="16">
        <f t="shared" si="283"/>
        <v>0.21963504743569431</v>
      </c>
      <c r="BM409" s="16">
        <f t="shared" si="284"/>
        <v>3.8988008374820568E-3</v>
      </c>
      <c r="BN409" s="16">
        <f t="shared" si="285"/>
        <v>0.14537706087090876</v>
      </c>
      <c r="BO409" s="16">
        <f t="shared" si="286"/>
        <v>0.29209790661993401</v>
      </c>
      <c r="BP409" s="16">
        <f t="shared" si="287"/>
        <v>0.31584545163401867</v>
      </c>
      <c r="BQ409" s="16">
        <f t="shared" si="288"/>
        <v>0.1000007994126096</v>
      </c>
      <c r="BR409" s="16">
        <f t="shared" si="289"/>
        <v>0.13164487759885393</v>
      </c>
      <c r="BS409" s="16">
        <f t="shared" si="290"/>
        <v>2.9803550189863123E-2</v>
      </c>
      <c r="BT409" s="16">
        <f t="shared" si="291"/>
        <v>0.13492040904978705</v>
      </c>
      <c r="BU409" s="16">
        <f t="shared" si="292"/>
        <v>0.11703687414398131</v>
      </c>
      <c r="BV409" s="16">
        <f t="shared" si="293"/>
        <v>0.14633353213781661</v>
      </c>
      <c r="BW409" s="16">
        <f t="shared" si="294"/>
        <v>7.5588015111767173E-2</v>
      </c>
      <c r="BX409" s="16">
        <f t="shared" si="295"/>
        <v>8.0345659937185704E-2</v>
      </c>
      <c r="BY409" s="16">
        <f t="shared" si="296"/>
        <v>5.9014643151272549E-2</v>
      </c>
      <c r="CA409" s="16" t="str">
        <f t="shared" si="317"/>
        <v/>
      </c>
      <c r="CB409" s="16" t="str">
        <f t="shared" si="298"/>
        <v/>
      </c>
      <c r="CC409" s="16" t="str">
        <f t="shared" si="299"/>
        <v/>
      </c>
      <c r="CD409" s="16" t="str">
        <f t="shared" si="300"/>
        <v/>
      </c>
      <c r="CE409" s="16" t="str">
        <f t="shared" si="301"/>
        <v/>
      </c>
      <c r="CF409" s="16" t="str">
        <f t="shared" si="302"/>
        <v/>
      </c>
      <c r="CG409" s="16" t="str">
        <f t="shared" si="303"/>
        <v/>
      </c>
      <c r="CH409" s="16" t="str">
        <f t="shared" si="304"/>
        <v/>
      </c>
      <c r="CI409" s="16" t="str">
        <f t="shared" si="305"/>
        <v/>
      </c>
      <c r="CJ409" s="16" t="str">
        <f t="shared" si="306"/>
        <v/>
      </c>
      <c r="CK409" s="16" t="str">
        <f t="shared" si="307"/>
        <v/>
      </c>
      <c r="CL409" s="16" t="str">
        <f t="shared" si="308"/>
        <v/>
      </c>
      <c r="CM409" s="16" t="str">
        <f t="shared" si="309"/>
        <v/>
      </c>
      <c r="CN409" s="16" t="str">
        <f t="shared" si="310"/>
        <v/>
      </c>
      <c r="CO409" s="16" t="str">
        <f t="shared" si="311"/>
        <v/>
      </c>
      <c r="CP409" s="16" t="str">
        <f t="shared" si="312"/>
        <v/>
      </c>
      <c r="CQ409" s="16" t="str">
        <f t="shared" si="313"/>
        <v/>
      </c>
      <c r="CR409" s="16" t="str">
        <f t="shared" si="314"/>
        <v/>
      </c>
      <c r="CS409" s="16" t="str">
        <f t="shared" si="315"/>
        <v/>
      </c>
      <c r="CT409" s="16" t="str">
        <f t="shared" si="316"/>
        <v/>
      </c>
    </row>
    <row r="410" spans="1:99" x14ac:dyDescent="0.25">
      <c r="A410" s="13"/>
      <c r="B410" s="14"/>
      <c r="C410" s="15" t="str" cm="1">
        <f t="array" ref="C410">IF(B410="","",INDEX('Exercise list'!$C$5:$C$102,B410))</f>
        <v/>
      </c>
      <c r="D410" s="12" t="str">
        <f t="shared" si="274"/>
        <v/>
      </c>
      <c r="E410" s="107" t="str">
        <f t="shared" si="297"/>
        <v/>
      </c>
      <c r="F410" s="63" t="str" cm="1">
        <f t="array" ref="F410">IF(B410="","",0.1+IFERROR(INDEX($F$6:$F409,SUMPRODUCT(MAX(ROW($C$6:$C409)*($C410=$C$6:$C409))-ROW($A$5)))*0.9^($A410-INDEX($A$6:A409,SUMPRODUCT(MAX(ROW($C$6:$C409)*($C410=$C$6:$C409))-ROW($A$5)))),0))</f>
        <v/>
      </c>
      <c r="G410" s="64" t="e">
        <f>INDEX('Exercise list'!$Y$5:$Y$102,MATCH(C410,'Exercise list'!$C$5:$C$102,0))</f>
        <v>#N/A</v>
      </c>
      <c r="H410" s="115">
        <f t="shared" si="275"/>
        <v>0</v>
      </c>
      <c r="I410" s="6">
        <f t="shared" si="276"/>
        <v>5</v>
      </c>
      <c r="J410" s="6" t="str" cm="1">
        <f t="array" ref="J410">IF(B410="","",INDEX('Exercise list'!$D$5:$D$102,B410))</f>
        <v/>
      </c>
      <c r="K410" s="12"/>
      <c r="L410" s="74" t="str" cm="1">
        <f t="array" ref="L410">IF(K410="","",INDEX('Exercise list'!$C$5:$C$102,K410))</f>
        <v/>
      </c>
      <c r="M410" s="6"/>
      <c r="N410" s="75" t="str" cm="1">
        <f t="array" ref="N410">IF(M410="","",INDEX('Exercise list'!$C$5:$C$102,M410))</f>
        <v/>
      </c>
      <c r="P410">
        <f>IFERROR(INDEX('Exercise list'!$E$5:$X$102,MATCH($C410,'Exercise list'!$C$5:$C$102,0),MATCH(P$5,'Exercise list'!$E$4:$X$4,0)),0)</f>
        <v>0</v>
      </c>
      <c r="Q410">
        <f>IFERROR(INDEX('Exercise list'!$E$5:$X$102,MATCH($C410,'Exercise list'!$C$5:$C$102,0),MATCH(Q$5,'Exercise list'!$E$4:$X$4,0)),0)</f>
        <v>0</v>
      </c>
      <c r="R410">
        <f>IFERROR(INDEX('Exercise list'!$E$5:$X$102,MATCH($C410,'Exercise list'!$C$5:$C$102,0),MATCH(R$5,'Exercise list'!$E$4:$X$4,0)),0)</f>
        <v>0</v>
      </c>
      <c r="S410">
        <f>IFERROR(INDEX('Exercise list'!$E$5:$X$102,MATCH($C410,'Exercise list'!$C$5:$C$102,0),MATCH(S$5,'Exercise list'!$E$4:$X$4,0)),0)</f>
        <v>0</v>
      </c>
      <c r="T410">
        <f>IFERROR(INDEX('Exercise list'!$E$5:$X$102,MATCH($C410,'Exercise list'!$C$5:$C$102,0),MATCH(T$5,'Exercise list'!$E$4:$X$4,0)),0)</f>
        <v>0</v>
      </c>
      <c r="U410">
        <f>IFERROR(INDEX('Exercise list'!$E$5:$X$102,MATCH($C410,'Exercise list'!$C$5:$C$102,0),MATCH(U$5,'Exercise list'!$E$4:$X$4,0)),0)</f>
        <v>0</v>
      </c>
      <c r="V410">
        <f>IFERROR(INDEX('Exercise list'!$E$5:$X$102,MATCH($C410,'Exercise list'!$C$5:$C$102,0),MATCH(V$5,'Exercise list'!$E$4:$X$4,0)),0)</f>
        <v>0</v>
      </c>
      <c r="W410">
        <f>IFERROR(INDEX('Exercise list'!$E$5:$X$102,MATCH($C410,'Exercise list'!$C$5:$C$102,0),MATCH(W$5,'Exercise list'!$E$4:$X$4,0)),0)</f>
        <v>0</v>
      </c>
      <c r="X410">
        <f>IFERROR(INDEX('Exercise list'!$E$5:$X$102,MATCH($C410,'Exercise list'!$C$5:$C$102,0),MATCH(X$5,'Exercise list'!$E$4:$X$4,0)),0)</f>
        <v>0</v>
      </c>
      <c r="Y410">
        <f>IFERROR(INDEX('Exercise list'!$E$5:$X$102,MATCH($C410,'Exercise list'!$C$5:$C$102,0),MATCH(Y$5,'Exercise list'!$E$4:$X$4,0)),0)</f>
        <v>0</v>
      </c>
      <c r="Z410">
        <f>IFERROR(INDEX('Exercise list'!$E$5:$X$102,MATCH($C410,'Exercise list'!$C$5:$C$102,0),MATCH(Z$5,'Exercise list'!$E$4:$X$4,0)),0)</f>
        <v>0</v>
      </c>
      <c r="AA410">
        <f>IFERROR(INDEX('Exercise list'!$E$5:$X$102,MATCH($C410,'Exercise list'!$C$5:$C$102,0),MATCH(AA$5,'Exercise list'!$E$4:$X$4,0)),0)</f>
        <v>0</v>
      </c>
      <c r="AB410">
        <f>IFERROR(INDEX('Exercise list'!$E$5:$X$102,MATCH($C410,'Exercise list'!$C$5:$C$102,0),MATCH(AB$5,'Exercise list'!$E$4:$X$4,0)),0)</f>
        <v>0</v>
      </c>
      <c r="AC410">
        <f>IFERROR(INDEX('Exercise list'!$E$5:$X$102,MATCH($C410,'Exercise list'!$C$5:$C$102,0),MATCH(AC$5,'Exercise list'!$E$4:$X$4,0)),0)</f>
        <v>0</v>
      </c>
      <c r="AD410">
        <f>IFERROR(INDEX('Exercise list'!$E$5:$X$102,MATCH($C410,'Exercise list'!$C$5:$C$102,0),MATCH(AD$5,'Exercise list'!$E$4:$X$4,0)),0)</f>
        <v>0</v>
      </c>
      <c r="AE410">
        <f>IFERROR(INDEX('Exercise list'!$E$5:$X$102,MATCH($C410,'Exercise list'!$C$5:$C$102,0),MATCH(AE$5,'Exercise list'!$E$4:$X$4,0)),0)</f>
        <v>0</v>
      </c>
      <c r="AF410">
        <f>IFERROR(INDEX('Exercise list'!$E$5:$X$102,MATCH($C410,'Exercise list'!$C$5:$C$102,0),MATCH(AF$5,'Exercise list'!$E$4:$X$4,0)),0)</f>
        <v>0</v>
      </c>
      <c r="AG410">
        <f>IFERROR(INDEX('Exercise list'!$E$5:$X$102,MATCH($C410,'Exercise list'!$C$5:$C$102,0),MATCH(AG$5,'Exercise list'!$E$4:$X$4,0)),0)</f>
        <v>0</v>
      </c>
      <c r="AH410">
        <f>IFERROR(INDEX('Exercise list'!$E$5:$X$102,MATCH($C410,'Exercise list'!$C$5:$C$102,0),MATCH(AH$5,'Exercise list'!$E$4:$X$4,0)),0)</f>
        <v>0</v>
      </c>
      <c r="AI410">
        <f>IFERROR(INDEX('Exercise list'!$E$5:$X$102,MATCH($C410,'Exercise list'!$C$5:$C$102,0),MATCH(AI$5,'Exercise list'!$E$4:$X$4,0)),0)</f>
        <v>0</v>
      </c>
      <c r="AK410">
        <f>IF(OR($J410=1,COUNTIFS($A$5:$A409,"&gt;="&amp;$A410-1,$A$5:$A409,"&lt;="&amp;$A410,$B$5:$B409,$B410)&gt;0,MIN(1-'Exercise list'!E$2,IF($A410=$A409,AK409,1))-P410&lt;0),-1,MIN(1,IF($A410=$A409,AK409,1)-P410+$D$2))</f>
        <v>1</v>
      </c>
      <c r="AL410">
        <f>IF(OR($J410=1,COUNTIFS($A$5:$A409,"&gt;="&amp;$A410-1,$A$5:$A409,"&lt;="&amp;$A410,$B$5:$B409,$B410)&gt;0,MIN(1-'Exercise list'!F$2,IF($A410=$A409,AL409,1))-Q410&lt;0),-1,MIN(1,IF($A410=$A409,AL409,1)-Q410+$D$2))</f>
        <v>1</v>
      </c>
      <c r="AM410">
        <f>IF(OR($J410=1,COUNTIFS($A$5:$A409,"&gt;="&amp;$A410-1,$A$5:$A409,"&lt;="&amp;$A410,$B$5:$B409,$B410)&gt;0,MIN(1-'Exercise list'!G$2,IF($A410=$A409,AM409,1))-R410&lt;0),-1,MIN(1,IF($A410=$A409,AM409,1)-R410+$D$2))</f>
        <v>1</v>
      </c>
      <c r="AN410">
        <f>IF(OR($J410=1,COUNTIFS($A$5:$A409,"&gt;="&amp;$A410-1,$A$5:$A409,"&lt;="&amp;$A410,$B$5:$B409,$B410)&gt;0,MIN(1-'Exercise list'!H$2,IF($A410=$A409,AN409,1))-S410&lt;0),-1,MIN(1,IF($A410=$A409,AN409,1)-S410+$D$2))</f>
        <v>1</v>
      </c>
      <c r="AO410">
        <f>IF(OR($J410=1,COUNTIFS($A$5:$A409,"&gt;="&amp;$A410-1,$A$5:$A409,"&lt;="&amp;$A410,$B$5:$B409,$B410)&gt;0,MIN(1-'Exercise list'!I$2,IF($A410=$A409,AO409,1))-T410&lt;0),-1,MIN(1,IF($A410=$A409,AO409,1)-T410+$D$2))</f>
        <v>1</v>
      </c>
      <c r="AP410">
        <f>IF(OR($J410=1,COUNTIFS($A$5:$A409,"&gt;="&amp;$A410-1,$A$5:$A409,"&lt;="&amp;$A410,$B$5:$B409,$B410)&gt;0,MIN(1-'Exercise list'!J$2,IF($A410=$A409,AP409,1))-U410&lt;0),-1,MIN(1,IF($A410=$A409,AP409,1)-U410+$D$2))</f>
        <v>1</v>
      </c>
      <c r="AQ410">
        <f>IF(OR($J410=1,COUNTIFS($A$5:$A409,"&gt;="&amp;$A410-1,$A$5:$A409,"&lt;="&amp;$A410,$B$5:$B409,$B410)&gt;0,MIN(1-'Exercise list'!K$2,IF($A410=$A409,AQ409,1))-V410&lt;0),-1,MIN(1,IF($A410=$A409,AQ409,1)-V410+$D$2))</f>
        <v>1</v>
      </c>
      <c r="AR410">
        <f>IF(OR($J410=1,COUNTIFS($A$5:$A409,"&gt;="&amp;$A410-1,$A$5:$A409,"&lt;="&amp;$A410,$B$5:$B409,$B410)&gt;0,MIN(1-'Exercise list'!L$2,IF($A410=$A409,AR409,1))-W410&lt;0),-1,MIN(1,IF($A410=$A409,AR409,1)-W410+$D$2))</f>
        <v>1</v>
      </c>
      <c r="AS410">
        <f>IF(OR($J410=1,COUNTIFS($A$5:$A409,"&gt;="&amp;$A410-1,$A$5:$A409,"&lt;="&amp;$A410,$B$5:$B409,$B410)&gt;0,MIN(1-'Exercise list'!M$2,IF($A410=$A409,AS409,1))-X410&lt;0),-1,MIN(1,IF($A410=$A409,AS409,1)-X410+$D$2))</f>
        <v>1</v>
      </c>
      <c r="AT410">
        <f>IF(OR($J410=1,COUNTIFS($A$5:$A409,"&gt;="&amp;$A410-1,$A$5:$A409,"&lt;="&amp;$A410,$B$5:$B409,$B410)&gt;0,MIN(1-'Exercise list'!N$2,IF($A410=$A409,AT409,1))-Y410&lt;0),-1,MIN(1,IF($A410=$A409,AT409,1)-Y410+$D$2))</f>
        <v>1</v>
      </c>
      <c r="AU410">
        <f>IF(OR($J410=1,COUNTIFS($A$5:$A409,"&gt;="&amp;$A410-1,$A$5:$A409,"&lt;="&amp;$A410,$B$5:$B409,$B410)&gt;0,MIN(1-'Exercise list'!O$2,IF($A410=$A409,AU409,1))-Z410&lt;0),-1,MIN(1,IF($A410=$A409,AU409,1)-Z410+$D$2))</f>
        <v>1</v>
      </c>
      <c r="AV410">
        <f>IF(OR($J410=1,COUNTIFS($A$5:$A409,"&gt;="&amp;$A410-1,$A$5:$A409,"&lt;="&amp;$A410,$B$5:$B409,$B410)&gt;0,MIN(1-'Exercise list'!P$2,IF($A410=$A409,AV409,1))-AA410&lt;0),-1,MIN(1,IF($A410=$A409,AV409,1)-AA410+$D$2))</f>
        <v>1</v>
      </c>
      <c r="AW410">
        <f>IF(OR($J410=1,COUNTIFS($A$5:$A409,"&gt;="&amp;$A410-1,$A$5:$A409,"&lt;="&amp;$A410,$B$5:$B409,$B410)&gt;0,MIN(1-'Exercise list'!Q$2,IF($A410=$A409,AW409,1))-AB410&lt;0),-1,MIN(1,IF($A410=$A409,AW409,1)-AB410+$D$2))</f>
        <v>1</v>
      </c>
      <c r="AX410">
        <f>IF(OR($J410=1,COUNTIFS($A$5:$A409,"&gt;="&amp;$A410-1,$A$5:$A409,"&lt;="&amp;$A410,$B$5:$B409,$B410)&gt;0,MIN(1-'Exercise list'!R$2,IF($A410=$A409,AX409,1))-AC410&lt;0),-1,MIN(1,IF($A410=$A409,AX409,1)-AC410+$D$2))</f>
        <v>1</v>
      </c>
      <c r="AY410">
        <f>IF(OR($J410=1,COUNTIFS($A$5:$A409,"&gt;="&amp;$A410-1,$A$5:$A409,"&lt;="&amp;$A410,$B$5:$B409,$B410)&gt;0,MIN(1-'Exercise list'!S$2,IF($A410=$A409,AY409,1))-AD410&lt;0),-1,MIN(1,IF($A410=$A409,AY409,1)-AD410+$D$2))</f>
        <v>1</v>
      </c>
      <c r="AZ410">
        <f>IF(OR($J410=1,COUNTIFS($A$5:$A409,"&gt;="&amp;$A410-1,$A$5:$A409,"&lt;="&amp;$A410,$B$5:$B409,$B410)&gt;0,MIN(1-'Exercise list'!T$2,IF($A410=$A409,AZ409,1))-AE410&lt;0),-1,MIN(1,IF($A410=$A409,AZ409,1)-AE410+$D$2))</f>
        <v>1</v>
      </c>
      <c r="BA410">
        <f>IF(OR($J410=1,COUNTIFS($A$5:$A409,"&gt;="&amp;$A410-1,$A$5:$A409,"&lt;="&amp;$A410,$B$5:$B409,$B410)&gt;0,MIN(1-'Exercise list'!U$2,IF($A410=$A409,BA409,1))-AF410&lt;0),-1,MIN(1,IF($A410=$A409,BA409,1)-AF410+$D$2))</f>
        <v>1</v>
      </c>
      <c r="BB410">
        <f>IF(OR($J410=1,COUNTIFS($A$5:$A409,"&gt;="&amp;$A410-1,$A$5:$A409,"&lt;="&amp;$A410,$B$5:$B409,$B410)&gt;0,MIN(1-'Exercise list'!V$2,IF($A410=$A409,BB409,1))-AG410&lt;0),-1,MIN(1,IF($A410=$A409,BB409,1)-AG410+$D$2))</f>
        <v>1</v>
      </c>
      <c r="BC410">
        <f>IF(OR($J410=1,COUNTIFS($A$5:$A409,"&gt;="&amp;$A410-1,$A$5:$A409,"&lt;="&amp;$A410,$B$5:$B409,$B410)&gt;0,MIN(1-'Exercise list'!W$2,IF($A410=$A409,BC409,1))-AH410&lt;0),-1,MIN(1,IF($A410=$A409,BC409,1)-AH410+$D$2))</f>
        <v>1</v>
      </c>
      <c r="BD410">
        <f>IF(OR($J410=1,COUNTIFS($A$5:$A409,"&gt;="&amp;$A410-1,$A$5:$A409,"&lt;="&amp;$A410,$B$5:$B409,$B410)&gt;0,MIN(1-'Exercise list'!X$2,IF($A410=$A409,BD409,1))-AI410&lt;0),-1,MIN(1,IF($A410=$A409,BD409,1)-AI410+$D$2))</f>
        <v>1</v>
      </c>
      <c r="BF410" s="16">
        <f t="shared" si="277"/>
        <v>0.19596031081758858</v>
      </c>
      <c r="BG410" s="16">
        <f t="shared" si="278"/>
        <v>0.21844636935459236</v>
      </c>
      <c r="BH410" s="16">
        <f t="shared" si="279"/>
        <v>0.14609696635987124</v>
      </c>
      <c r="BI410" s="16">
        <f t="shared" si="280"/>
        <v>0.13198015366034541</v>
      </c>
      <c r="BJ410" s="16">
        <f t="shared" si="281"/>
        <v>8.3367914198418713E-2</v>
      </c>
      <c r="BK410" s="16">
        <f t="shared" si="282"/>
        <v>0.10640640223148412</v>
      </c>
      <c r="BL410" s="16">
        <f t="shared" si="283"/>
        <v>0.21963504743569431</v>
      </c>
      <c r="BM410" s="16">
        <f t="shared" si="284"/>
        <v>3.8988008374820568E-3</v>
      </c>
      <c r="BN410" s="16">
        <f t="shared" si="285"/>
        <v>0.14537706087090876</v>
      </c>
      <c r="BO410" s="16">
        <f t="shared" si="286"/>
        <v>0.29209790661993401</v>
      </c>
      <c r="BP410" s="16">
        <f t="shared" si="287"/>
        <v>0.31584545163401867</v>
      </c>
      <c r="BQ410" s="16">
        <f t="shared" si="288"/>
        <v>0.1000007994126096</v>
      </c>
      <c r="BR410" s="16">
        <f t="shared" si="289"/>
        <v>0.13164487759885393</v>
      </c>
      <c r="BS410" s="16">
        <f t="shared" si="290"/>
        <v>2.9803550189863123E-2</v>
      </c>
      <c r="BT410" s="16">
        <f t="shared" si="291"/>
        <v>0.13492040904978705</v>
      </c>
      <c r="BU410" s="16">
        <f t="shared" si="292"/>
        <v>0.11703687414398131</v>
      </c>
      <c r="BV410" s="16">
        <f t="shared" si="293"/>
        <v>0.14633353213781661</v>
      </c>
      <c r="BW410" s="16">
        <f t="shared" si="294"/>
        <v>7.5588015111767173E-2</v>
      </c>
      <c r="BX410" s="16">
        <f t="shared" si="295"/>
        <v>8.0345659937185704E-2</v>
      </c>
      <c r="BY410" s="16">
        <f t="shared" si="296"/>
        <v>5.9014643151272549E-2</v>
      </c>
      <c r="CA410" s="16" t="str">
        <f t="shared" si="317"/>
        <v/>
      </c>
      <c r="CB410" s="16" t="str">
        <f t="shared" si="298"/>
        <v/>
      </c>
      <c r="CC410" s="16" t="str">
        <f t="shared" si="299"/>
        <v/>
      </c>
      <c r="CD410" s="16" t="str">
        <f t="shared" si="300"/>
        <v/>
      </c>
      <c r="CE410" s="16" t="str">
        <f t="shared" si="301"/>
        <v/>
      </c>
      <c r="CF410" s="16" t="str">
        <f t="shared" si="302"/>
        <v/>
      </c>
      <c r="CG410" s="16" t="str">
        <f t="shared" si="303"/>
        <v/>
      </c>
      <c r="CH410" s="16" t="str">
        <f t="shared" si="304"/>
        <v/>
      </c>
      <c r="CI410" s="16" t="str">
        <f t="shared" si="305"/>
        <v/>
      </c>
      <c r="CJ410" s="16" t="str">
        <f t="shared" si="306"/>
        <v/>
      </c>
      <c r="CK410" s="16" t="str">
        <f t="shared" si="307"/>
        <v/>
      </c>
      <c r="CL410" s="16" t="str">
        <f t="shared" si="308"/>
        <v/>
      </c>
      <c r="CM410" s="16" t="str">
        <f t="shared" si="309"/>
        <v/>
      </c>
      <c r="CN410" s="16" t="str">
        <f t="shared" si="310"/>
        <v/>
      </c>
      <c r="CO410" s="16" t="str">
        <f t="shared" si="311"/>
        <v/>
      </c>
      <c r="CP410" s="16" t="str">
        <f t="shared" si="312"/>
        <v/>
      </c>
      <c r="CQ410" s="16" t="str">
        <f t="shared" si="313"/>
        <v/>
      </c>
      <c r="CR410" s="16" t="str">
        <f t="shared" si="314"/>
        <v/>
      </c>
      <c r="CS410" s="16" t="str">
        <f t="shared" si="315"/>
        <v/>
      </c>
      <c r="CT410" s="16" t="str">
        <f t="shared" si="316"/>
        <v/>
      </c>
    </row>
    <row r="411" spans="1:99" x14ac:dyDescent="0.25">
      <c r="A411" s="13"/>
      <c r="B411" s="14"/>
      <c r="C411" s="15" t="str" cm="1">
        <f t="array" ref="C411">IF(B411="","",INDEX('Exercise list'!$C$5:$C$102,B411))</f>
        <v/>
      </c>
      <c r="D411" s="12" t="str">
        <f t="shared" si="274"/>
        <v/>
      </c>
      <c r="E411" s="107" t="str">
        <f t="shared" si="297"/>
        <v/>
      </c>
      <c r="F411" s="63" t="str" cm="1">
        <f t="array" ref="F411">IF(B411="","",0.1+IFERROR(INDEX($F$6:$F410,SUMPRODUCT(MAX(ROW($C$6:$C410)*($C411=$C$6:$C410))-ROW($A$5)))*0.9^($A411-INDEX($A$6:A410,SUMPRODUCT(MAX(ROW($C$6:$C410)*($C411=$C$6:$C410))-ROW($A$5)))),0))</f>
        <v/>
      </c>
      <c r="G411" s="64" t="e">
        <f>INDEX('Exercise list'!$Y$5:$Y$102,MATCH(C411,'Exercise list'!$C$5:$C$102,0))</f>
        <v>#N/A</v>
      </c>
      <c r="H411" s="115">
        <f t="shared" si="275"/>
        <v>0</v>
      </c>
      <c r="I411" s="6">
        <f t="shared" si="276"/>
        <v>5</v>
      </c>
      <c r="J411" s="6" t="str" cm="1">
        <f t="array" ref="J411">IF(B411="","",INDEX('Exercise list'!$D$5:$D$102,B411))</f>
        <v/>
      </c>
      <c r="K411" s="12"/>
      <c r="L411" s="74" t="str" cm="1">
        <f t="array" ref="L411">IF(K411="","",INDEX('Exercise list'!$C$5:$C$102,K411))</f>
        <v/>
      </c>
      <c r="M411" s="6"/>
      <c r="N411" s="75" t="str" cm="1">
        <f t="array" ref="N411">IF(M411="","",INDEX('Exercise list'!$C$5:$C$102,M411))</f>
        <v/>
      </c>
      <c r="P411">
        <f>IFERROR(INDEX('Exercise list'!$E$5:$X$102,MATCH($C411,'Exercise list'!$C$5:$C$102,0),MATCH(P$5,'Exercise list'!$E$4:$X$4,0)),0)</f>
        <v>0</v>
      </c>
      <c r="Q411">
        <f>IFERROR(INDEX('Exercise list'!$E$5:$X$102,MATCH($C411,'Exercise list'!$C$5:$C$102,0),MATCH(Q$5,'Exercise list'!$E$4:$X$4,0)),0)</f>
        <v>0</v>
      </c>
      <c r="R411">
        <f>IFERROR(INDEX('Exercise list'!$E$5:$X$102,MATCH($C411,'Exercise list'!$C$5:$C$102,0),MATCH(R$5,'Exercise list'!$E$4:$X$4,0)),0)</f>
        <v>0</v>
      </c>
      <c r="S411">
        <f>IFERROR(INDEX('Exercise list'!$E$5:$X$102,MATCH($C411,'Exercise list'!$C$5:$C$102,0),MATCH(S$5,'Exercise list'!$E$4:$X$4,0)),0)</f>
        <v>0</v>
      </c>
      <c r="T411">
        <f>IFERROR(INDEX('Exercise list'!$E$5:$X$102,MATCH($C411,'Exercise list'!$C$5:$C$102,0),MATCH(T$5,'Exercise list'!$E$4:$X$4,0)),0)</f>
        <v>0</v>
      </c>
      <c r="U411">
        <f>IFERROR(INDEX('Exercise list'!$E$5:$X$102,MATCH($C411,'Exercise list'!$C$5:$C$102,0),MATCH(U$5,'Exercise list'!$E$4:$X$4,0)),0)</f>
        <v>0</v>
      </c>
      <c r="V411">
        <f>IFERROR(INDEX('Exercise list'!$E$5:$X$102,MATCH($C411,'Exercise list'!$C$5:$C$102,0),MATCH(V$5,'Exercise list'!$E$4:$X$4,0)),0)</f>
        <v>0</v>
      </c>
      <c r="W411">
        <f>IFERROR(INDEX('Exercise list'!$E$5:$X$102,MATCH($C411,'Exercise list'!$C$5:$C$102,0),MATCH(W$5,'Exercise list'!$E$4:$X$4,0)),0)</f>
        <v>0</v>
      </c>
      <c r="X411">
        <f>IFERROR(INDEX('Exercise list'!$E$5:$X$102,MATCH($C411,'Exercise list'!$C$5:$C$102,0),MATCH(X$5,'Exercise list'!$E$4:$X$4,0)),0)</f>
        <v>0</v>
      </c>
      <c r="Y411">
        <f>IFERROR(INDEX('Exercise list'!$E$5:$X$102,MATCH($C411,'Exercise list'!$C$5:$C$102,0),MATCH(Y$5,'Exercise list'!$E$4:$X$4,0)),0)</f>
        <v>0</v>
      </c>
      <c r="Z411">
        <f>IFERROR(INDEX('Exercise list'!$E$5:$X$102,MATCH($C411,'Exercise list'!$C$5:$C$102,0),MATCH(Z$5,'Exercise list'!$E$4:$X$4,0)),0)</f>
        <v>0</v>
      </c>
      <c r="AA411">
        <f>IFERROR(INDEX('Exercise list'!$E$5:$X$102,MATCH($C411,'Exercise list'!$C$5:$C$102,0),MATCH(AA$5,'Exercise list'!$E$4:$X$4,0)),0)</f>
        <v>0</v>
      </c>
      <c r="AB411">
        <f>IFERROR(INDEX('Exercise list'!$E$5:$X$102,MATCH($C411,'Exercise list'!$C$5:$C$102,0),MATCH(AB$5,'Exercise list'!$E$4:$X$4,0)),0)</f>
        <v>0</v>
      </c>
      <c r="AC411">
        <f>IFERROR(INDEX('Exercise list'!$E$5:$X$102,MATCH($C411,'Exercise list'!$C$5:$C$102,0),MATCH(AC$5,'Exercise list'!$E$4:$X$4,0)),0)</f>
        <v>0</v>
      </c>
      <c r="AD411">
        <f>IFERROR(INDEX('Exercise list'!$E$5:$X$102,MATCH($C411,'Exercise list'!$C$5:$C$102,0),MATCH(AD$5,'Exercise list'!$E$4:$X$4,0)),0)</f>
        <v>0</v>
      </c>
      <c r="AE411">
        <f>IFERROR(INDEX('Exercise list'!$E$5:$X$102,MATCH($C411,'Exercise list'!$C$5:$C$102,0),MATCH(AE$5,'Exercise list'!$E$4:$X$4,0)),0)</f>
        <v>0</v>
      </c>
      <c r="AF411">
        <f>IFERROR(INDEX('Exercise list'!$E$5:$X$102,MATCH($C411,'Exercise list'!$C$5:$C$102,0),MATCH(AF$5,'Exercise list'!$E$4:$X$4,0)),0)</f>
        <v>0</v>
      </c>
      <c r="AG411">
        <f>IFERROR(INDEX('Exercise list'!$E$5:$X$102,MATCH($C411,'Exercise list'!$C$5:$C$102,0),MATCH(AG$5,'Exercise list'!$E$4:$X$4,0)),0)</f>
        <v>0</v>
      </c>
      <c r="AH411">
        <f>IFERROR(INDEX('Exercise list'!$E$5:$X$102,MATCH($C411,'Exercise list'!$C$5:$C$102,0),MATCH(AH$5,'Exercise list'!$E$4:$X$4,0)),0)</f>
        <v>0</v>
      </c>
      <c r="AI411">
        <f>IFERROR(INDEX('Exercise list'!$E$5:$X$102,MATCH($C411,'Exercise list'!$C$5:$C$102,0),MATCH(AI$5,'Exercise list'!$E$4:$X$4,0)),0)</f>
        <v>0</v>
      </c>
      <c r="AK411">
        <f>IF(OR($J411=1,COUNTIFS($A$5:$A410,"&gt;="&amp;$A411-1,$A$5:$A410,"&lt;="&amp;$A411,$B$5:$B410,$B411)&gt;0,MIN(1-'Exercise list'!E$2,IF($A411=$A410,AK410,1))-P411&lt;0),-1,MIN(1,IF($A411=$A410,AK410,1)-P411+$D$2))</f>
        <v>1</v>
      </c>
      <c r="AL411">
        <f>IF(OR($J411=1,COUNTIFS($A$5:$A410,"&gt;="&amp;$A411-1,$A$5:$A410,"&lt;="&amp;$A411,$B$5:$B410,$B411)&gt;0,MIN(1-'Exercise list'!F$2,IF($A411=$A410,AL410,1))-Q411&lt;0),-1,MIN(1,IF($A411=$A410,AL410,1)-Q411+$D$2))</f>
        <v>1</v>
      </c>
      <c r="AM411">
        <f>IF(OR($J411=1,COUNTIFS($A$5:$A410,"&gt;="&amp;$A411-1,$A$5:$A410,"&lt;="&amp;$A411,$B$5:$B410,$B411)&gt;0,MIN(1-'Exercise list'!G$2,IF($A411=$A410,AM410,1))-R411&lt;0),-1,MIN(1,IF($A411=$A410,AM410,1)-R411+$D$2))</f>
        <v>1</v>
      </c>
      <c r="AN411">
        <f>IF(OR($J411=1,COUNTIFS($A$5:$A410,"&gt;="&amp;$A411-1,$A$5:$A410,"&lt;="&amp;$A411,$B$5:$B410,$B411)&gt;0,MIN(1-'Exercise list'!H$2,IF($A411=$A410,AN410,1))-S411&lt;0),-1,MIN(1,IF($A411=$A410,AN410,1)-S411+$D$2))</f>
        <v>1</v>
      </c>
      <c r="AO411">
        <f>IF(OR($J411=1,COUNTIFS($A$5:$A410,"&gt;="&amp;$A411-1,$A$5:$A410,"&lt;="&amp;$A411,$B$5:$B410,$B411)&gt;0,MIN(1-'Exercise list'!I$2,IF($A411=$A410,AO410,1))-T411&lt;0),-1,MIN(1,IF($A411=$A410,AO410,1)-T411+$D$2))</f>
        <v>1</v>
      </c>
      <c r="AP411">
        <f>IF(OR($J411=1,COUNTIFS($A$5:$A410,"&gt;="&amp;$A411-1,$A$5:$A410,"&lt;="&amp;$A411,$B$5:$B410,$B411)&gt;0,MIN(1-'Exercise list'!J$2,IF($A411=$A410,AP410,1))-U411&lt;0),-1,MIN(1,IF($A411=$A410,AP410,1)-U411+$D$2))</f>
        <v>1</v>
      </c>
      <c r="AQ411">
        <f>IF(OR($J411=1,COUNTIFS($A$5:$A410,"&gt;="&amp;$A411-1,$A$5:$A410,"&lt;="&amp;$A411,$B$5:$B410,$B411)&gt;0,MIN(1-'Exercise list'!K$2,IF($A411=$A410,AQ410,1))-V411&lt;0),-1,MIN(1,IF($A411=$A410,AQ410,1)-V411+$D$2))</f>
        <v>1</v>
      </c>
      <c r="AR411">
        <f>IF(OR($J411=1,COUNTIFS($A$5:$A410,"&gt;="&amp;$A411-1,$A$5:$A410,"&lt;="&amp;$A411,$B$5:$B410,$B411)&gt;0,MIN(1-'Exercise list'!L$2,IF($A411=$A410,AR410,1))-W411&lt;0),-1,MIN(1,IF($A411=$A410,AR410,1)-W411+$D$2))</f>
        <v>1</v>
      </c>
      <c r="AS411">
        <f>IF(OR($J411=1,COUNTIFS($A$5:$A410,"&gt;="&amp;$A411-1,$A$5:$A410,"&lt;="&amp;$A411,$B$5:$B410,$B411)&gt;0,MIN(1-'Exercise list'!M$2,IF($A411=$A410,AS410,1))-X411&lt;0),-1,MIN(1,IF($A411=$A410,AS410,1)-X411+$D$2))</f>
        <v>1</v>
      </c>
      <c r="AT411">
        <f>IF(OR($J411=1,COUNTIFS($A$5:$A410,"&gt;="&amp;$A411-1,$A$5:$A410,"&lt;="&amp;$A411,$B$5:$B410,$B411)&gt;0,MIN(1-'Exercise list'!N$2,IF($A411=$A410,AT410,1))-Y411&lt;0),-1,MIN(1,IF($A411=$A410,AT410,1)-Y411+$D$2))</f>
        <v>1</v>
      </c>
      <c r="AU411">
        <f>IF(OR($J411=1,COUNTIFS($A$5:$A410,"&gt;="&amp;$A411-1,$A$5:$A410,"&lt;="&amp;$A411,$B$5:$B410,$B411)&gt;0,MIN(1-'Exercise list'!O$2,IF($A411=$A410,AU410,1))-Z411&lt;0),-1,MIN(1,IF($A411=$A410,AU410,1)-Z411+$D$2))</f>
        <v>1</v>
      </c>
      <c r="AV411">
        <f>IF(OR($J411=1,COUNTIFS($A$5:$A410,"&gt;="&amp;$A411-1,$A$5:$A410,"&lt;="&amp;$A411,$B$5:$B410,$B411)&gt;0,MIN(1-'Exercise list'!P$2,IF($A411=$A410,AV410,1))-AA411&lt;0),-1,MIN(1,IF($A411=$A410,AV410,1)-AA411+$D$2))</f>
        <v>1</v>
      </c>
      <c r="AW411">
        <f>IF(OR($J411=1,COUNTIFS($A$5:$A410,"&gt;="&amp;$A411-1,$A$5:$A410,"&lt;="&amp;$A411,$B$5:$B410,$B411)&gt;0,MIN(1-'Exercise list'!Q$2,IF($A411=$A410,AW410,1))-AB411&lt;0),-1,MIN(1,IF($A411=$A410,AW410,1)-AB411+$D$2))</f>
        <v>1</v>
      </c>
      <c r="AX411">
        <f>IF(OR($J411=1,COUNTIFS($A$5:$A410,"&gt;="&amp;$A411-1,$A$5:$A410,"&lt;="&amp;$A411,$B$5:$B410,$B411)&gt;0,MIN(1-'Exercise list'!R$2,IF($A411=$A410,AX410,1))-AC411&lt;0),-1,MIN(1,IF($A411=$A410,AX410,1)-AC411+$D$2))</f>
        <v>1</v>
      </c>
      <c r="AY411">
        <f>IF(OR($J411=1,COUNTIFS($A$5:$A410,"&gt;="&amp;$A411-1,$A$5:$A410,"&lt;="&amp;$A411,$B$5:$B410,$B411)&gt;0,MIN(1-'Exercise list'!S$2,IF($A411=$A410,AY410,1))-AD411&lt;0),-1,MIN(1,IF($A411=$A410,AY410,1)-AD411+$D$2))</f>
        <v>1</v>
      </c>
      <c r="AZ411">
        <f>IF(OR($J411=1,COUNTIFS($A$5:$A410,"&gt;="&amp;$A411-1,$A$5:$A410,"&lt;="&amp;$A411,$B$5:$B410,$B411)&gt;0,MIN(1-'Exercise list'!T$2,IF($A411=$A410,AZ410,1))-AE411&lt;0),-1,MIN(1,IF($A411=$A410,AZ410,1)-AE411+$D$2))</f>
        <v>1</v>
      </c>
      <c r="BA411">
        <f>IF(OR($J411=1,COUNTIFS($A$5:$A410,"&gt;="&amp;$A411-1,$A$5:$A410,"&lt;="&amp;$A411,$B$5:$B410,$B411)&gt;0,MIN(1-'Exercise list'!U$2,IF($A411=$A410,BA410,1))-AF411&lt;0),-1,MIN(1,IF($A411=$A410,BA410,1)-AF411+$D$2))</f>
        <v>1</v>
      </c>
      <c r="BB411">
        <f>IF(OR($J411=1,COUNTIFS($A$5:$A410,"&gt;="&amp;$A411-1,$A$5:$A410,"&lt;="&amp;$A411,$B$5:$B410,$B411)&gt;0,MIN(1-'Exercise list'!V$2,IF($A411=$A410,BB410,1))-AG411&lt;0),-1,MIN(1,IF($A411=$A410,BB410,1)-AG411+$D$2))</f>
        <v>1</v>
      </c>
      <c r="BC411">
        <f>IF(OR($J411=1,COUNTIFS($A$5:$A410,"&gt;="&amp;$A411-1,$A$5:$A410,"&lt;="&amp;$A411,$B$5:$B410,$B411)&gt;0,MIN(1-'Exercise list'!W$2,IF($A411=$A410,BC410,1))-AH411&lt;0),-1,MIN(1,IF($A411=$A410,BC410,1)-AH411+$D$2))</f>
        <v>1</v>
      </c>
      <c r="BD411">
        <f>IF(OR($J411=1,COUNTIFS($A$5:$A410,"&gt;="&amp;$A411-1,$A$5:$A410,"&lt;="&amp;$A411,$B$5:$B410,$B411)&gt;0,MIN(1-'Exercise list'!X$2,IF($A411=$A410,BD410,1))-AI411&lt;0),-1,MIN(1,IF($A411=$A410,BD410,1)-AI411+$D$2))</f>
        <v>1</v>
      </c>
      <c r="BF411" s="16">
        <f t="shared" si="277"/>
        <v>0.19596031081758858</v>
      </c>
      <c r="BG411" s="16">
        <f t="shared" si="278"/>
        <v>0.21844636935459236</v>
      </c>
      <c r="BH411" s="16">
        <f t="shared" si="279"/>
        <v>0.14609696635987124</v>
      </c>
      <c r="BI411" s="16">
        <f t="shared" si="280"/>
        <v>0.13198015366034541</v>
      </c>
      <c r="BJ411" s="16">
        <f t="shared" si="281"/>
        <v>8.3367914198418713E-2</v>
      </c>
      <c r="BK411" s="16">
        <f t="shared" si="282"/>
        <v>0.10640640223148412</v>
      </c>
      <c r="BL411" s="16">
        <f t="shared" si="283"/>
        <v>0.21963504743569431</v>
      </c>
      <c r="BM411" s="16">
        <f t="shared" si="284"/>
        <v>3.8988008374820568E-3</v>
      </c>
      <c r="BN411" s="16">
        <f t="shared" si="285"/>
        <v>0.14537706087090876</v>
      </c>
      <c r="BO411" s="16">
        <f t="shared" si="286"/>
        <v>0.29209790661993401</v>
      </c>
      <c r="BP411" s="16">
        <f t="shared" si="287"/>
        <v>0.31584545163401867</v>
      </c>
      <c r="BQ411" s="16">
        <f t="shared" si="288"/>
        <v>0.1000007994126096</v>
      </c>
      <c r="BR411" s="16">
        <f t="shared" si="289"/>
        <v>0.13164487759885393</v>
      </c>
      <c r="BS411" s="16">
        <f t="shared" si="290"/>
        <v>2.9803550189863123E-2</v>
      </c>
      <c r="BT411" s="16">
        <f t="shared" si="291"/>
        <v>0.13492040904978705</v>
      </c>
      <c r="BU411" s="16">
        <f t="shared" si="292"/>
        <v>0.11703687414398131</v>
      </c>
      <c r="BV411" s="16">
        <f t="shared" si="293"/>
        <v>0.14633353213781661</v>
      </c>
      <c r="BW411" s="16">
        <f t="shared" si="294"/>
        <v>7.5588015111767173E-2</v>
      </c>
      <c r="BX411" s="16">
        <f t="shared" si="295"/>
        <v>8.0345659937185704E-2</v>
      </c>
      <c r="BY411" s="16">
        <f t="shared" si="296"/>
        <v>5.9014643151272549E-2</v>
      </c>
      <c r="CA411" s="16" t="str">
        <f t="shared" si="317"/>
        <v/>
      </c>
      <c r="CB411" s="16" t="str">
        <f t="shared" si="298"/>
        <v/>
      </c>
      <c r="CC411" s="16" t="str">
        <f t="shared" si="299"/>
        <v/>
      </c>
      <c r="CD411" s="16" t="str">
        <f t="shared" si="300"/>
        <v/>
      </c>
      <c r="CE411" s="16" t="str">
        <f t="shared" si="301"/>
        <v/>
      </c>
      <c r="CF411" s="16" t="str">
        <f t="shared" si="302"/>
        <v/>
      </c>
      <c r="CG411" s="16" t="str">
        <f t="shared" si="303"/>
        <v/>
      </c>
      <c r="CH411" s="16" t="str">
        <f t="shared" si="304"/>
        <v/>
      </c>
      <c r="CI411" s="16" t="str">
        <f t="shared" si="305"/>
        <v/>
      </c>
      <c r="CJ411" s="16" t="str">
        <f t="shared" si="306"/>
        <v/>
      </c>
      <c r="CK411" s="16" t="str">
        <f t="shared" si="307"/>
        <v/>
      </c>
      <c r="CL411" s="16" t="str">
        <f t="shared" si="308"/>
        <v/>
      </c>
      <c r="CM411" s="16" t="str">
        <f t="shared" si="309"/>
        <v/>
      </c>
      <c r="CN411" s="16" t="str">
        <f t="shared" si="310"/>
        <v/>
      </c>
      <c r="CO411" s="16" t="str">
        <f t="shared" si="311"/>
        <v/>
      </c>
      <c r="CP411" s="16" t="str">
        <f t="shared" si="312"/>
        <v/>
      </c>
      <c r="CQ411" s="16" t="str">
        <f t="shared" si="313"/>
        <v/>
      </c>
      <c r="CR411" s="16" t="str">
        <f t="shared" si="314"/>
        <v/>
      </c>
      <c r="CS411" s="16" t="str">
        <f t="shared" si="315"/>
        <v/>
      </c>
      <c r="CT411" s="16" t="str">
        <f t="shared" si="316"/>
        <v/>
      </c>
    </row>
    <row r="412" spans="1:99" x14ac:dyDescent="0.25">
      <c r="A412" s="13"/>
      <c r="B412" s="14"/>
      <c r="C412" s="15" t="str" cm="1">
        <f t="array" ref="C412">IF(B412="","",INDEX('Exercise list'!$C$5:$C$102,B412))</f>
        <v/>
      </c>
      <c r="D412" s="12" t="str">
        <f t="shared" si="274"/>
        <v/>
      </c>
      <c r="E412" s="107" t="str">
        <f t="shared" si="297"/>
        <v/>
      </c>
      <c r="F412" s="63" t="str" cm="1">
        <f t="array" ref="F412">IF(B412="","",0.1+IFERROR(INDEX($F$6:$F411,SUMPRODUCT(MAX(ROW($C$6:$C411)*($C412=$C$6:$C411))-ROW($A$5)))*0.9^($A412-INDEX($A$6:A411,SUMPRODUCT(MAX(ROW($C$6:$C411)*($C412=$C$6:$C411))-ROW($A$5)))),0))</f>
        <v/>
      </c>
      <c r="G412" s="64" t="e">
        <f>INDEX('Exercise list'!$Y$5:$Y$102,MATCH(C412,'Exercise list'!$C$5:$C$102,0))</f>
        <v>#N/A</v>
      </c>
      <c r="H412" s="115">
        <f t="shared" si="275"/>
        <v>0</v>
      </c>
      <c r="I412" s="6">
        <f t="shared" si="276"/>
        <v>5</v>
      </c>
      <c r="J412" s="6" t="str" cm="1">
        <f t="array" ref="J412">IF(B412="","",INDEX('Exercise list'!$D$5:$D$102,B412))</f>
        <v/>
      </c>
      <c r="K412" s="12"/>
      <c r="L412" s="74" t="str" cm="1">
        <f t="array" ref="L412">IF(K412="","",INDEX('Exercise list'!$C$5:$C$102,K412))</f>
        <v/>
      </c>
      <c r="M412" s="6"/>
      <c r="N412" s="75" t="str" cm="1">
        <f t="array" ref="N412">IF(M412="","",INDEX('Exercise list'!$C$5:$C$102,M412))</f>
        <v/>
      </c>
      <c r="P412">
        <f>IFERROR(INDEX('Exercise list'!$E$5:$X$102,MATCH($C412,'Exercise list'!$C$5:$C$102,0),MATCH(P$5,'Exercise list'!$E$4:$X$4,0)),0)</f>
        <v>0</v>
      </c>
      <c r="Q412">
        <f>IFERROR(INDEX('Exercise list'!$E$5:$X$102,MATCH($C412,'Exercise list'!$C$5:$C$102,0),MATCH(Q$5,'Exercise list'!$E$4:$X$4,0)),0)</f>
        <v>0</v>
      </c>
      <c r="R412">
        <f>IFERROR(INDEX('Exercise list'!$E$5:$X$102,MATCH($C412,'Exercise list'!$C$5:$C$102,0),MATCH(R$5,'Exercise list'!$E$4:$X$4,0)),0)</f>
        <v>0</v>
      </c>
      <c r="S412">
        <f>IFERROR(INDEX('Exercise list'!$E$5:$X$102,MATCH($C412,'Exercise list'!$C$5:$C$102,0),MATCH(S$5,'Exercise list'!$E$4:$X$4,0)),0)</f>
        <v>0</v>
      </c>
      <c r="T412">
        <f>IFERROR(INDEX('Exercise list'!$E$5:$X$102,MATCH($C412,'Exercise list'!$C$5:$C$102,0),MATCH(T$5,'Exercise list'!$E$4:$X$4,0)),0)</f>
        <v>0</v>
      </c>
      <c r="U412">
        <f>IFERROR(INDEX('Exercise list'!$E$5:$X$102,MATCH($C412,'Exercise list'!$C$5:$C$102,0),MATCH(U$5,'Exercise list'!$E$4:$X$4,0)),0)</f>
        <v>0</v>
      </c>
      <c r="V412">
        <f>IFERROR(INDEX('Exercise list'!$E$5:$X$102,MATCH($C412,'Exercise list'!$C$5:$C$102,0),MATCH(V$5,'Exercise list'!$E$4:$X$4,0)),0)</f>
        <v>0</v>
      </c>
      <c r="W412">
        <f>IFERROR(INDEX('Exercise list'!$E$5:$X$102,MATCH($C412,'Exercise list'!$C$5:$C$102,0),MATCH(W$5,'Exercise list'!$E$4:$X$4,0)),0)</f>
        <v>0</v>
      </c>
      <c r="X412">
        <f>IFERROR(INDEX('Exercise list'!$E$5:$X$102,MATCH($C412,'Exercise list'!$C$5:$C$102,0),MATCH(X$5,'Exercise list'!$E$4:$X$4,0)),0)</f>
        <v>0</v>
      </c>
      <c r="Y412">
        <f>IFERROR(INDEX('Exercise list'!$E$5:$X$102,MATCH($C412,'Exercise list'!$C$5:$C$102,0),MATCH(Y$5,'Exercise list'!$E$4:$X$4,0)),0)</f>
        <v>0</v>
      </c>
      <c r="Z412">
        <f>IFERROR(INDEX('Exercise list'!$E$5:$X$102,MATCH($C412,'Exercise list'!$C$5:$C$102,0),MATCH(Z$5,'Exercise list'!$E$4:$X$4,0)),0)</f>
        <v>0</v>
      </c>
      <c r="AA412">
        <f>IFERROR(INDEX('Exercise list'!$E$5:$X$102,MATCH($C412,'Exercise list'!$C$5:$C$102,0),MATCH(AA$5,'Exercise list'!$E$4:$X$4,0)),0)</f>
        <v>0</v>
      </c>
      <c r="AB412">
        <f>IFERROR(INDEX('Exercise list'!$E$5:$X$102,MATCH($C412,'Exercise list'!$C$5:$C$102,0),MATCH(AB$5,'Exercise list'!$E$4:$X$4,0)),0)</f>
        <v>0</v>
      </c>
      <c r="AC412">
        <f>IFERROR(INDEX('Exercise list'!$E$5:$X$102,MATCH($C412,'Exercise list'!$C$5:$C$102,0),MATCH(AC$5,'Exercise list'!$E$4:$X$4,0)),0)</f>
        <v>0</v>
      </c>
      <c r="AD412">
        <f>IFERROR(INDEX('Exercise list'!$E$5:$X$102,MATCH($C412,'Exercise list'!$C$5:$C$102,0),MATCH(AD$5,'Exercise list'!$E$4:$X$4,0)),0)</f>
        <v>0</v>
      </c>
      <c r="AE412">
        <f>IFERROR(INDEX('Exercise list'!$E$5:$X$102,MATCH($C412,'Exercise list'!$C$5:$C$102,0),MATCH(AE$5,'Exercise list'!$E$4:$X$4,0)),0)</f>
        <v>0</v>
      </c>
      <c r="AF412">
        <f>IFERROR(INDEX('Exercise list'!$E$5:$X$102,MATCH($C412,'Exercise list'!$C$5:$C$102,0),MATCH(AF$5,'Exercise list'!$E$4:$X$4,0)),0)</f>
        <v>0</v>
      </c>
      <c r="AG412">
        <f>IFERROR(INDEX('Exercise list'!$E$5:$X$102,MATCH($C412,'Exercise list'!$C$5:$C$102,0),MATCH(AG$5,'Exercise list'!$E$4:$X$4,0)),0)</f>
        <v>0</v>
      </c>
      <c r="AH412">
        <f>IFERROR(INDEX('Exercise list'!$E$5:$X$102,MATCH($C412,'Exercise list'!$C$5:$C$102,0),MATCH(AH$5,'Exercise list'!$E$4:$X$4,0)),0)</f>
        <v>0</v>
      </c>
      <c r="AI412">
        <f>IFERROR(INDEX('Exercise list'!$E$5:$X$102,MATCH($C412,'Exercise list'!$C$5:$C$102,0),MATCH(AI$5,'Exercise list'!$E$4:$X$4,0)),0)</f>
        <v>0</v>
      </c>
      <c r="AK412">
        <f>IF(OR($J412=1,COUNTIFS($A$5:$A411,"&gt;="&amp;$A412-1,$A$5:$A411,"&lt;="&amp;$A412,$B$5:$B411,$B412)&gt;0,MIN(1-'Exercise list'!E$2,IF($A412=$A411,AK411,1))-P412&lt;0),-1,MIN(1,IF($A412=$A411,AK411,1)-P412+$D$2))</f>
        <v>1</v>
      </c>
      <c r="AL412">
        <f>IF(OR($J412=1,COUNTIFS($A$5:$A411,"&gt;="&amp;$A412-1,$A$5:$A411,"&lt;="&amp;$A412,$B$5:$B411,$B412)&gt;0,MIN(1-'Exercise list'!F$2,IF($A412=$A411,AL411,1))-Q412&lt;0),-1,MIN(1,IF($A412=$A411,AL411,1)-Q412+$D$2))</f>
        <v>1</v>
      </c>
      <c r="AM412">
        <f>IF(OR($J412=1,COUNTIFS($A$5:$A411,"&gt;="&amp;$A412-1,$A$5:$A411,"&lt;="&amp;$A412,$B$5:$B411,$B412)&gt;0,MIN(1-'Exercise list'!G$2,IF($A412=$A411,AM411,1))-R412&lt;0),-1,MIN(1,IF($A412=$A411,AM411,1)-R412+$D$2))</f>
        <v>1</v>
      </c>
      <c r="AN412">
        <f>IF(OR($J412=1,COUNTIFS($A$5:$A411,"&gt;="&amp;$A412-1,$A$5:$A411,"&lt;="&amp;$A412,$B$5:$B411,$B412)&gt;0,MIN(1-'Exercise list'!H$2,IF($A412=$A411,AN411,1))-S412&lt;0),-1,MIN(1,IF($A412=$A411,AN411,1)-S412+$D$2))</f>
        <v>1</v>
      </c>
      <c r="AO412">
        <f>IF(OR($J412=1,COUNTIFS($A$5:$A411,"&gt;="&amp;$A412-1,$A$5:$A411,"&lt;="&amp;$A412,$B$5:$B411,$B412)&gt;0,MIN(1-'Exercise list'!I$2,IF($A412=$A411,AO411,1))-T412&lt;0),-1,MIN(1,IF($A412=$A411,AO411,1)-T412+$D$2))</f>
        <v>1</v>
      </c>
      <c r="AP412">
        <f>IF(OR($J412=1,COUNTIFS($A$5:$A411,"&gt;="&amp;$A412-1,$A$5:$A411,"&lt;="&amp;$A412,$B$5:$B411,$B412)&gt;0,MIN(1-'Exercise list'!J$2,IF($A412=$A411,AP411,1))-U412&lt;0),-1,MIN(1,IF($A412=$A411,AP411,1)-U412+$D$2))</f>
        <v>1</v>
      </c>
      <c r="AQ412">
        <f>IF(OR($J412=1,COUNTIFS($A$5:$A411,"&gt;="&amp;$A412-1,$A$5:$A411,"&lt;="&amp;$A412,$B$5:$B411,$B412)&gt;0,MIN(1-'Exercise list'!K$2,IF($A412=$A411,AQ411,1))-V412&lt;0),-1,MIN(1,IF($A412=$A411,AQ411,1)-V412+$D$2))</f>
        <v>1</v>
      </c>
      <c r="AR412">
        <f>IF(OR($J412=1,COUNTIFS($A$5:$A411,"&gt;="&amp;$A412-1,$A$5:$A411,"&lt;="&amp;$A412,$B$5:$B411,$B412)&gt;0,MIN(1-'Exercise list'!L$2,IF($A412=$A411,AR411,1))-W412&lt;0),-1,MIN(1,IF($A412=$A411,AR411,1)-W412+$D$2))</f>
        <v>1</v>
      </c>
      <c r="AS412">
        <f>IF(OR($J412=1,COUNTIFS($A$5:$A411,"&gt;="&amp;$A412-1,$A$5:$A411,"&lt;="&amp;$A412,$B$5:$B411,$B412)&gt;0,MIN(1-'Exercise list'!M$2,IF($A412=$A411,AS411,1))-X412&lt;0),-1,MIN(1,IF($A412=$A411,AS411,1)-X412+$D$2))</f>
        <v>1</v>
      </c>
      <c r="AT412">
        <f>IF(OR($J412=1,COUNTIFS($A$5:$A411,"&gt;="&amp;$A412-1,$A$5:$A411,"&lt;="&amp;$A412,$B$5:$B411,$B412)&gt;0,MIN(1-'Exercise list'!N$2,IF($A412=$A411,AT411,1))-Y412&lt;0),-1,MIN(1,IF($A412=$A411,AT411,1)-Y412+$D$2))</f>
        <v>1</v>
      </c>
      <c r="AU412">
        <f>IF(OR($J412=1,COUNTIFS($A$5:$A411,"&gt;="&amp;$A412-1,$A$5:$A411,"&lt;="&amp;$A412,$B$5:$B411,$B412)&gt;0,MIN(1-'Exercise list'!O$2,IF($A412=$A411,AU411,1))-Z412&lt;0),-1,MIN(1,IF($A412=$A411,AU411,1)-Z412+$D$2))</f>
        <v>1</v>
      </c>
      <c r="AV412">
        <f>IF(OR($J412=1,COUNTIFS($A$5:$A411,"&gt;="&amp;$A412-1,$A$5:$A411,"&lt;="&amp;$A412,$B$5:$B411,$B412)&gt;0,MIN(1-'Exercise list'!P$2,IF($A412=$A411,AV411,1))-AA412&lt;0),-1,MIN(1,IF($A412=$A411,AV411,1)-AA412+$D$2))</f>
        <v>1</v>
      </c>
      <c r="AW412">
        <f>IF(OR($J412=1,COUNTIFS($A$5:$A411,"&gt;="&amp;$A412-1,$A$5:$A411,"&lt;="&amp;$A412,$B$5:$B411,$B412)&gt;0,MIN(1-'Exercise list'!Q$2,IF($A412=$A411,AW411,1))-AB412&lt;0),-1,MIN(1,IF($A412=$A411,AW411,1)-AB412+$D$2))</f>
        <v>1</v>
      </c>
      <c r="AX412">
        <f>IF(OR($J412=1,COUNTIFS($A$5:$A411,"&gt;="&amp;$A412-1,$A$5:$A411,"&lt;="&amp;$A412,$B$5:$B411,$B412)&gt;0,MIN(1-'Exercise list'!R$2,IF($A412=$A411,AX411,1))-AC412&lt;0),-1,MIN(1,IF($A412=$A411,AX411,1)-AC412+$D$2))</f>
        <v>1</v>
      </c>
      <c r="AY412">
        <f>IF(OR($J412=1,COUNTIFS($A$5:$A411,"&gt;="&amp;$A412-1,$A$5:$A411,"&lt;="&amp;$A412,$B$5:$B411,$B412)&gt;0,MIN(1-'Exercise list'!S$2,IF($A412=$A411,AY411,1))-AD412&lt;0),-1,MIN(1,IF($A412=$A411,AY411,1)-AD412+$D$2))</f>
        <v>1</v>
      </c>
      <c r="AZ412">
        <f>IF(OR($J412=1,COUNTIFS($A$5:$A411,"&gt;="&amp;$A412-1,$A$5:$A411,"&lt;="&amp;$A412,$B$5:$B411,$B412)&gt;0,MIN(1-'Exercise list'!T$2,IF($A412=$A411,AZ411,1))-AE412&lt;0),-1,MIN(1,IF($A412=$A411,AZ411,1)-AE412+$D$2))</f>
        <v>1</v>
      </c>
      <c r="BA412">
        <f>IF(OR($J412=1,COUNTIFS($A$5:$A411,"&gt;="&amp;$A412-1,$A$5:$A411,"&lt;="&amp;$A412,$B$5:$B411,$B412)&gt;0,MIN(1-'Exercise list'!U$2,IF($A412=$A411,BA411,1))-AF412&lt;0),-1,MIN(1,IF($A412=$A411,BA411,1)-AF412+$D$2))</f>
        <v>1</v>
      </c>
      <c r="BB412">
        <f>IF(OR($J412=1,COUNTIFS($A$5:$A411,"&gt;="&amp;$A412-1,$A$5:$A411,"&lt;="&amp;$A412,$B$5:$B411,$B412)&gt;0,MIN(1-'Exercise list'!V$2,IF($A412=$A411,BB411,1))-AG412&lt;0),-1,MIN(1,IF($A412=$A411,BB411,1)-AG412+$D$2))</f>
        <v>1</v>
      </c>
      <c r="BC412">
        <f>IF(OR($J412=1,COUNTIFS($A$5:$A411,"&gt;="&amp;$A412-1,$A$5:$A411,"&lt;="&amp;$A412,$B$5:$B411,$B412)&gt;0,MIN(1-'Exercise list'!W$2,IF($A412=$A411,BC411,1))-AH412&lt;0),-1,MIN(1,IF($A412=$A411,BC411,1)-AH412+$D$2))</f>
        <v>1</v>
      </c>
      <c r="BD412">
        <f>IF(OR($J412=1,COUNTIFS($A$5:$A411,"&gt;="&amp;$A412-1,$A$5:$A411,"&lt;="&amp;$A412,$B$5:$B411,$B412)&gt;0,MIN(1-'Exercise list'!X$2,IF($A412=$A411,BD411,1))-AI412&lt;0),-1,MIN(1,IF($A412=$A411,BD411,1)-AI412+$D$2))</f>
        <v>1</v>
      </c>
      <c r="BF412" s="16">
        <f t="shared" si="277"/>
        <v>0.19596031081758858</v>
      </c>
      <c r="BG412" s="16">
        <f t="shared" si="278"/>
        <v>0.21844636935459236</v>
      </c>
      <c r="BH412" s="16">
        <f t="shared" si="279"/>
        <v>0.14609696635987124</v>
      </c>
      <c r="BI412" s="16">
        <f t="shared" si="280"/>
        <v>0.13198015366034541</v>
      </c>
      <c r="BJ412" s="16">
        <f t="shared" si="281"/>
        <v>8.3367914198418713E-2</v>
      </c>
      <c r="BK412" s="16">
        <f t="shared" si="282"/>
        <v>0.10640640223148412</v>
      </c>
      <c r="BL412" s="16">
        <f t="shared" si="283"/>
        <v>0.21963504743569431</v>
      </c>
      <c r="BM412" s="16">
        <f t="shared" si="284"/>
        <v>3.8988008374820568E-3</v>
      </c>
      <c r="BN412" s="16">
        <f t="shared" si="285"/>
        <v>0.14537706087090876</v>
      </c>
      <c r="BO412" s="16">
        <f t="shared" si="286"/>
        <v>0.29209790661993401</v>
      </c>
      <c r="BP412" s="16">
        <f t="shared" si="287"/>
        <v>0.31584545163401867</v>
      </c>
      <c r="BQ412" s="16">
        <f t="shared" si="288"/>
        <v>0.1000007994126096</v>
      </c>
      <c r="BR412" s="16">
        <f t="shared" si="289"/>
        <v>0.13164487759885393</v>
      </c>
      <c r="BS412" s="16">
        <f t="shared" si="290"/>
        <v>2.9803550189863123E-2</v>
      </c>
      <c r="BT412" s="16">
        <f t="shared" si="291"/>
        <v>0.13492040904978705</v>
      </c>
      <c r="BU412" s="16">
        <f t="shared" si="292"/>
        <v>0.11703687414398131</v>
      </c>
      <c r="BV412" s="16">
        <f t="shared" si="293"/>
        <v>0.14633353213781661</v>
      </c>
      <c r="BW412" s="16">
        <f t="shared" si="294"/>
        <v>7.5588015111767173E-2</v>
      </c>
      <c r="BX412" s="16">
        <f t="shared" si="295"/>
        <v>8.0345659937185704E-2</v>
      </c>
      <c r="BY412" s="16">
        <f t="shared" si="296"/>
        <v>5.9014643151272549E-2</v>
      </c>
      <c r="CA412" s="16" t="str">
        <f t="shared" si="317"/>
        <v/>
      </c>
      <c r="CB412" s="16" t="str">
        <f t="shared" si="298"/>
        <v/>
      </c>
      <c r="CC412" s="16" t="str">
        <f t="shared" si="299"/>
        <v/>
      </c>
      <c r="CD412" s="16" t="str">
        <f t="shared" si="300"/>
        <v/>
      </c>
      <c r="CE412" s="16" t="str">
        <f t="shared" si="301"/>
        <v/>
      </c>
      <c r="CF412" s="16" t="str">
        <f t="shared" si="302"/>
        <v/>
      </c>
      <c r="CG412" s="16" t="str">
        <f t="shared" si="303"/>
        <v/>
      </c>
      <c r="CH412" s="16" t="str">
        <f t="shared" si="304"/>
        <v/>
      </c>
      <c r="CI412" s="16" t="str">
        <f t="shared" si="305"/>
        <v/>
      </c>
      <c r="CJ412" s="16" t="str">
        <f t="shared" si="306"/>
        <v/>
      </c>
      <c r="CK412" s="16" t="str">
        <f t="shared" si="307"/>
        <v/>
      </c>
      <c r="CL412" s="16" t="str">
        <f t="shared" si="308"/>
        <v/>
      </c>
      <c r="CM412" s="16" t="str">
        <f t="shared" si="309"/>
        <v/>
      </c>
      <c r="CN412" s="16" t="str">
        <f t="shared" si="310"/>
        <v/>
      </c>
      <c r="CO412" s="16" t="str">
        <f t="shared" si="311"/>
        <v/>
      </c>
      <c r="CP412" s="16" t="str">
        <f t="shared" si="312"/>
        <v/>
      </c>
      <c r="CQ412" s="16" t="str">
        <f t="shared" si="313"/>
        <v/>
      </c>
      <c r="CR412" s="16" t="str">
        <f t="shared" si="314"/>
        <v/>
      </c>
      <c r="CS412" s="16" t="str">
        <f t="shared" si="315"/>
        <v/>
      </c>
      <c r="CT412" s="16" t="str">
        <f t="shared" si="316"/>
        <v/>
      </c>
    </row>
    <row r="413" spans="1:99" x14ac:dyDescent="0.25">
      <c r="A413" s="20"/>
      <c r="B413" s="21"/>
      <c r="C413" s="22" t="str" cm="1">
        <f t="array" ref="C413">IF(B413="","",INDEX('Exercise list'!$C$5:$C$102,B413))</f>
        <v/>
      </c>
      <c r="D413" s="17" t="str">
        <f t="shared" si="274"/>
        <v/>
      </c>
      <c r="E413" s="108" t="str">
        <f t="shared" si="297"/>
        <v/>
      </c>
      <c r="F413" s="65" t="str" cm="1">
        <f t="array" ref="F413">IF(B413="","",0.1+IFERROR(INDEX($F$6:$F412,SUMPRODUCT(MAX(ROW($C$6:$C412)*($C413=$C$6:$C412))-ROW($A$5)))*0.9^($A413-INDEX($A$6:A412,SUMPRODUCT(MAX(ROW($C$6:$C412)*($C413=$C$6:$C412))-ROW($A$5)))),0))</f>
        <v/>
      </c>
      <c r="G413" s="25" t="e">
        <f>INDEX('Exercise list'!$Y$5:$Y$102,MATCH(C413,'Exercise list'!$C$5:$C$102,0))</f>
        <v>#N/A</v>
      </c>
      <c r="H413" s="116">
        <f t="shared" si="275"/>
        <v>0</v>
      </c>
      <c r="I413" s="18">
        <f t="shared" si="276"/>
        <v>5</v>
      </c>
      <c r="J413" s="18" t="str" cm="1">
        <f t="array" ref="J413">IF(B413="","",INDEX('Exercise list'!$D$5:$D$102,B413))</f>
        <v/>
      </c>
      <c r="K413" s="17"/>
      <c r="L413" s="51" t="str" cm="1">
        <f t="array" ref="L413">IF(K413="","",INDEX('Exercise list'!$C$5:$C$102,K413))</f>
        <v/>
      </c>
      <c r="M413" s="18"/>
      <c r="N413" s="76" t="str" cm="1">
        <f t="array" ref="N413">IF(M413="","",INDEX('Exercise list'!$C$5:$C$102,M413))</f>
        <v/>
      </c>
      <c r="O413" s="19"/>
      <c r="P413" s="19">
        <f>IFERROR(INDEX('Exercise list'!$E$5:$X$102,MATCH($C413,'Exercise list'!$C$5:$C$102,0),MATCH(P$5,'Exercise list'!$E$4:$X$4,0)),0)</f>
        <v>0</v>
      </c>
      <c r="Q413" s="19">
        <f>IFERROR(INDEX('Exercise list'!$E$5:$X$102,MATCH($C413,'Exercise list'!$C$5:$C$102,0),MATCH(Q$5,'Exercise list'!$E$4:$X$4,0)),0)</f>
        <v>0</v>
      </c>
      <c r="R413" s="19">
        <f>IFERROR(INDEX('Exercise list'!$E$5:$X$102,MATCH($C413,'Exercise list'!$C$5:$C$102,0),MATCH(R$5,'Exercise list'!$E$4:$X$4,0)),0)</f>
        <v>0</v>
      </c>
      <c r="S413" s="19">
        <f>IFERROR(INDEX('Exercise list'!$E$5:$X$102,MATCH($C413,'Exercise list'!$C$5:$C$102,0),MATCH(S$5,'Exercise list'!$E$4:$X$4,0)),0)</f>
        <v>0</v>
      </c>
      <c r="T413" s="19">
        <f>IFERROR(INDEX('Exercise list'!$E$5:$X$102,MATCH($C413,'Exercise list'!$C$5:$C$102,0),MATCH(T$5,'Exercise list'!$E$4:$X$4,0)),0)</f>
        <v>0</v>
      </c>
      <c r="U413" s="19">
        <f>IFERROR(INDEX('Exercise list'!$E$5:$X$102,MATCH($C413,'Exercise list'!$C$5:$C$102,0),MATCH(U$5,'Exercise list'!$E$4:$X$4,0)),0)</f>
        <v>0</v>
      </c>
      <c r="V413" s="19">
        <f>IFERROR(INDEX('Exercise list'!$E$5:$X$102,MATCH($C413,'Exercise list'!$C$5:$C$102,0),MATCH(V$5,'Exercise list'!$E$4:$X$4,0)),0)</f>
        <v>0</v>
      </c>
      <c r="W413" s="19">
        <f>IFERROR(INDEX('Exercise list'!$E$5:$X$102,MATCH($C413,'Exercise list'!$C$5:$C$102,0),MATCH(W$5,'Exercise list'!$E$4:$X$4,0)),0)</f>
        <v>0</v>
      </c>
      <c r="X413" s="19">
        <f>IFERROR(INDEX('Exercise list'!$E$5:$X$102,MATCH($C413,'Exercise list'!$C$5:$C$102,0),MATCH(X$5,'Exercise list'!$E$4:$X$4,0)),0)</f>
        <v>0</v>
      </c>
      <c r="Y413" s="19">
        <f>IFERROR(INDEX('Exercise list'!$E$5:$X$102,MATCH($C413,'Exercise list'!$C$5:$C$102,0),MATCH(Y$5,'Exercise list'!$E$4:$X$4,0)),0)</f>
        <v>0</v>
      </c>
      <c r="Z413" s="19">
        <f>IFERROR(INDEX('Exercise list'!$E$5:$X$102,MATCH($C413,'Exercise list'!$C$5:$C$102,0),MATCH(Z$5,'Exercise list'!$E$4:$X$4,0)),0)</f>
        <v>0</v>
      </c>
      <c r="AA413" s="19">
        <f>IFERROR(INDEX('Exercise list'!$E$5:$X$102,MATCH($C413,'Exercise list'!$C$5:$C$102,0),MATCH(AA$5,'Exercise list'!$E$4:$X$4,0)),0)</f>
        <v>0</v>
      </c>
      <c r="AB413" s="19">
        <f>IFERROR(INDEX('Exercise list'!$E$5:$X$102,MATCH($C413,'Exercise list'!$C$5:$C$102,0),MATCH(AB$5,'Exercise list'!$E$4:$X$4,0)),0)</f>
        <v>0</v>
      </c>
      <c r="AC413" s="19">
        <f>IFERROR(INDEX('Exercise list'!$E$5:$X$102,MATCH($C413,'Exercise list'!$C$5:$C$102,0),MATCH(AC$5,'Exercise list'!$E$4:$X$4,0)),0)</f>
        <v>0</v>
      </c>
      <c r="AD413" s="19">
        <f>IFERROR(INDEX('Exercise list'!$E$5:$X$102,MATCH($C413,'Exercise list'!$C$5:$C$102,0),MATCH(AD$5,'Exercise list'!$E$4:$X$4,0)),0)</f>
        <v>0</v>
      </c>
      <c r="AE413" s="19">
        <f>IFERROR(INDEX('Exercise list'!$E$5:$X$102,MATCH($C413,'Exercise list'!$C$5:$C$102,0),MATCH(AE$5,'Exercise list'!$E$4:$X$4,0)),0)</f>
        <v>0</v>
      </c>
      <c r="AF413" s="19">
        <f>IFERROR(INDEX('Exercise list'!$E$5:$X$102,MATCH($C413,'Exercise list'!$C$5:$C$102,0),MATCH(AF$5,'Exercise list'!$E$4:$X$4,0)),0)</f>
        <v>0</v>
      </c>
      <c r="AG413" s="19">
        <f>IFERROR(INDEX('Exercise list'!$E$5:$X$102,MATCH($C413,'Exercise list'!$C$5:$C$102,0),MATCH(AG$5,'Exercise list'!$E$4:$X$4,0)),0)</f>
        <v>0</v>
      </c>
      <c r="AH413" s="19">
        <f>IFERROR(INDEX('Exercise list'!$E$5:$X$102,MATCH($C413,'Exercise list'!$C$5:$C$102,0),MATCH(AH$5,'Exercise list'!$E$4:$X$4,0)),0)</f>
        <v>0</v>
      </c>
      <c r="AI413" s="19">
        <f>IFERROR(INDEX('Exercise list'!$E$5:$X$102,MATCH($C413,'Exercise list'!$C$5:$C$102,0),MATCH(AI$5,'Exercise list'!$E$4:$X$4,0)),0)</f>
        <v>0</v>
      </c>
      <c r="AJ413" s="19"/>
      <c r="AK413" s="19">
        <f>IF(OR($J413=1,COUNTIFS($A$5:$A412,"&gt;="&amp;$A413-1,$A$5:$A412,"&lt;="&amp;$A413,$B$5:$B412,$B413)&gt;0,MIN(1-'Exercise list'!E$2,IF($A413=$A412,AK412,1))-P413&lt;0),-1,MIN(1,IF($A413=$A412,AK412,1)-P413+$D$2))</f>
        <v>1</v>
      </c>
      <c r="AL413" s="19">
        <f>IF(OR($J413=1,COUNTIFS($A$5:$A412,"&gt;="&amp;$A413-1,$A$5:$A412,"&lt;="&amp;$A413,$B$5:$B412,$B413)&gt;0,MIN(1-'Exercise list'!F$2,IF($A413=$A412,AL412,1))-Q413&lt;0),-1,MIN(1,IF($A413=$A412,AL412,1)-Q413+$D$2))</f>
        <v>1</v>
      </c>
      <c r="AM413" s="19">
        <f>IF(OR($J413=1,COUNTIFS($A$5:$A412,"&gt;="&amp;$A413-1,$A$5:$A412,"&lt;="&amp;$A413,$B$5:$B412,$B413)&gt;0,MIN(1-'Exercise list'!G$2,IF($A413=$A412,AM412,1))-R413&lt;0),-1,MIN(1,IF($A413=$A412,AM412,1)-R413+$D$2))</f>
        <v>1</v>
      </c>
      <c r="AN413" s="19">
        <f>IF(OR($J413=1,COUNTIFS($A$5:$A412,"&gt;="&amp;$A413-1,$A$5:$A412,"&lt;="&amp;$A413,$B$5:$B412,$B413)&gt;0,MIN(1-'Exercise list'!H$2,IF($A413=$A412,AN412,1))-S413&lt;0),-1,MIN(1,IF($A413=$A412,AN412,1)-S413+$D$2))</f>
        <v>1</v>
      </c>
      <c r="AO413" s="19">
        <f>IF(OR($J413=1,COUNTIFS($A$5:$A412,"&gt;="&amp;$A413-1,$A$5:$A412,"&lt;="&amp;$A413,$B$5:$B412,$B413)&gt;0,MIN(1-'Exercise list'!I$2,IF($A413=$A412,AO412,1))-T413&lt;0),-1,MIN(1,IF($A413=$A412,AO412,1)-T413+$D$2))</f>
        <v>1</v>
      </c>
      <c r="AP413" s="19">
        <f>IF(OR($J413=1,COUNTIFS($A$5:$A412,"&gt;="&amp;$A413-1,$A$5:$A412,"&lt;="&amp;$A413,$B$5:$B412,$B413)&gt;0,MIN(1-'Exercise list'!J$2,IF($A413=$A412,AP412,1))-U413&lt;0),-1,MIN(1,IF($A413=$A412,AP412,1)-U413+$D$2))</f>
        <v>1</v>
      </c>
      <c r="AQ413" s="19">
        <f>IF(OR($J413=1,COUNTIFS($A$5:$A412,"&gt;="&amp;$A413-1,$A$5:$A412,"&lt;="&amp;$A413,$B$5:$B412,$B413)&gt;0,MIN(1-'Exercise list'!K$2,IF($A413=$A412,AQ412,1))-V413&lt;0),-1,MIN(1,IF($A413=$A412,AQ412,1)-V413+$D$2))</f>
        <v>1</v>
      </c>
      <c r="AR413" s="19">
        <f>IF(OR($J413=1,COUNTIFS($A$5:$A412,"&gt;="&amp;$A413-1,$A$5:$A412,"&lt;="&amp;$A413,$B$5:$B412,$B413)&gt;0,MIN(1-'Exercise list'!L$2,IF($A413=$A412,AR412,1))-W413&lt;0),-1,MIN(1,IF($A413=$A412,AR412,1)-W413+$D$2))</f>
        <v>1</v>
      </c>
      <c r="AS413" s="19">
        <f>IF(OR($J413=1,COUNTIFS($A$5:$A412,"&gt;="&amp;$A413-1,$A$5:$A412,"&lt;="&amp;$A413,$B$5:$B412,$B413)&gt;0,MIN(1-'Exercise list'!M$2,IF($A413=$A412,AS412,1))-X413&lt;0),-1,MIN(1,IF($A413=$A412,AS412,1)-X413+$D$2))</f>
        <v>1</v>
      </c>
      <c r="AT413" s="19">
        <f>IF(OR($J413=1,COUNTIFS($A$5:$A412,"&gt;="&amp;$A413-1,$A$5:$A412,"&lt;="&amp;$A413,$B$5:$B412,$B413)&gt;0,MIN(1-'Exercise list'!N$2,IF($A413=$A412,AT412,1))-Y413&lt;0),-1,MIN(1,IF($A413=$A412,AT412,1)-Y413+$D$2))</f>
        <v>1</v>
      </c>
      <c r="AU413" s="19">
        <f>IF(OR($J413=1,COUNTIFS($A$5:$A412,"&gt;="&amp;$A413-1,$A$5:$A412,"&lt;="&amp;$A413,$B$5:$B412,$B413)&gt;0,MIN(1-'Exercise list'!O$2,IF($A413=$A412,AU412,1))-Z413&lt;0),-1,MIN(1,IF($A413=$A412,AU412,1)-Z413+$D$2))</f>
        <v>1</v>
      </c>
      <c r="AV413" s="19">
        <f>IF(OR($J413=1,COUNTIFS($A$5:$A412,"&gt;="&amp;$A413-1,$A$5:$A412,"&lt;="&amp;$A413,$B$5:$B412,$B413)&gt;0,MIN(1-'Exercise list'!P$2,IF($A413=$A412,AV412,1))-AA413&lt;0),-1,MIN(1,IF($A413=$A412,AV412,1)-AA413+$D$2))</f>
        <v>1</v>
      </c>
      <c r="AW413" s="19">
        <f>IF(OR($J413=1,COUNTIFS($A$5:$A412,"&gt;="&amp;$A413-1,$A$5:$A412,"&lt;="&amp;$A413,$B$5:$B412,$B413)&gt;0,MIN(1-'Exercise list'!Q$2,IF($A413=$A412,AW412,1))-AB413&lt;0),-1,MIN(1,IF($A413=$A412,AW412,1)-AB413+$D$2))</f>
        <v>1</v>
      </c>
      <c r="AX413" s="19">
        <f>IF(OR($J413=1,COUNTIFS($A$5:$A412,"&gt;="&amp;$A413-1,$A$5:$A412,"&lt;="&amp;$A413,$B$5:$B412,$B413)&gt;0,MIN(1-'Exercise list'!R$2,IF($A413=$A412,AX412,1))-AC413&lt;0),-1,MIN(1,IF($A413=$A412,AX412,1)-AC413+$D$2))</f>
        <v>1</v>
      </c>
      <c r="AY413" s="19">
        <f>IF(OR($J413=1,COUNTIFS($A$5:$A412,"&gt;="&amp;$A413-1,$A$5:$A412,"&lt;="&amp;$A413,$B$5:$B412,$B413)&gt;0,MIN(1-'Exercise list'!S$2,IF($A413=$A412,AY412,1))-AD413&lt;0),-1,MIN(1,IF($A413=$A412,AY412,1)-AD413+$D$2))</f>
        <v>1</v>
      </c>
      <c r="AZ413" s="19">
        <f>IF(OR($J413=1,COUNTIFS($A$5:$A412,"&gt;="&amp;$A413-1,$A$5:$A412,"&lt;="&amp;$A413,$B$5:$B412,$B413)&gt;0,MIN(1-'Exercise list'!T$2,IF($A413=$A412,AZ412,1))-AE413&lt;0),-1,MIN(1,IF($A413=$A412,AZ412,1)-AE413+$D$2))</f>
        <v>1</v>
      </c>
      <c r="BA413" s="19">
        <f>IF(OR($J413=1,COUNTIFS($A$5:$A412,"&gt;="&amp;$A413-1,$A$5:$A412,"&lt;="&amp;$A413,$B$5:$B412,$B413)&gt;0,MIN(1-'Exercise list'!U$2,IF($A413=$A412,BA412,1))-AF413&lt;0),-1,MIN(1,IF($A413=$A412,BA412,1)-AF413+$D$2))</f>
        <v>1</v>
      </c>
      <c r="BB413" s="19">
        <f>IF(OR($J413=1,COUNTIFS($A$5:$A412,"&gt;="&amp;$A413-1,$A$5:$A412,"&lt;="&amp;$A413,$B$5:$B412,$B413)&gt;0,MIN(1-'Exercise list'!V$2,IF($A413=$A412,BB412,1))-AG413&lt;0),-1,MIN(1,IF($A413=$A412,BB412,1)-AG413+$D$2))</f>
        <v>1</v>
      </c>
      <c r="BC413" s="19">
        <f>IF(OR($J413=1,COUNTIFS($A$5:$A412,"&gt;="&amp;$A413-1,$A$5:$A412,"&lt;="&amp;$A413,$B$5:$B412,$B413)&gt;0,MIN(1-'Exercise list'!W$2,IF($A413=$A412,BC412,1))-AH413&lt;0),-1,MIN(1,IF($A413=$A412,BC412,1)-AH413+$D$2))</f>
        <v>1</v>
      </c>
      <c r="BD413" s="19">
        <f>IF(OR($J413=1,COUNTIFS($A$5:$A412,"&gt;="&amp;$A413-1,$A$5:$A412,"&lt;="&amp;$A413,$B$5:$B412,$B413)&gt;0,MIN(1-'Exercise list'!X$2,IF($A413=$A412,BD412,1))-AI413&lt;0),-1,MIN(1,IF($A413=$A412,BD412,1)-AI413+$D$2))</f>
        <v>1</v>
      </c>
      <c r="BE413" s="19"/>
      <c r="BF413" s="23">
        <f t="shared" si="277"/>
        <v>0.19596031081758858</v>
      </c>
      <c r="BG413" s="23">
        <f t="shared" si="278"/>
        <v>0.21844636935459236</v>
      </c>
      <c r="BH413" s="23">
        <f t="shared" si="279"/>
        <v>0.14609696635987124</v>
      </c>
      <c r="BI413" s="23">
        <f t="shared" si="280"/>
        <v>0.13198015366034541</v>
      </c>
      <c r="BJ413" s="23">
        <f t="shared" si="281"/>
        <v>8.3367914198418713E-2</v>
      </c>
      <c r="BK413" s="23">
        <f t="shared" si="282"/>
        <v>0.10640640223148412</v>
      </c>
      <c r="BL413" s="23">
        <f t="shared" si="283"/>
        <v>0.21963504743569431</v>
      </c>
      <c r="BM413" s="23">
        <f t="shared" si="284"/>
        <v>3.8988008374820568E-3</v>
      </c>
      <c r="BN413" s="23">
        <f t="shared" si="285"/>
        <v>0.14537706087090876</v>
      </c>
      <c r="BO413" s="23">
        <f t="shared" si="286"/>
        <v>0.29209790661993401</v>
      </c>
      <c r="BP413" s="23">
        <f t="shared" si="287"/>
        <v>0.31584545163401867</v>
      </c>
      <c r="BQ413" s="23">
        <f t="shared" si="288"/>
        <v>0.1000007994126096</v>
      </c>
      <c r="BR413" s="23">
        <f t="shared" si="289"/>
        <v>0.13164487759885393</v>
      </c>
      <c r="BS413" s="23">
        <f t="shared" si="290"/>
        <v>2.9803550189863123E-2</v>
      </c>
      <c r="BT413" s="23">
        <f t="shared" si="291"/>
        <v>0.13492040904978705</v>
      </c>
      <c r="BU413" s="23">
        <f t="shared" si="292"/>
        <v>0.11703687414398131</v>
      </c>
      <c r="BV413" s="23">
        <f t="shared" si="293"/>
        <v>0.14633353213781661</v>
      </c>
      <c r="BW413" s="23">
        <f t="shared" si="294"/>
        <v>7.5588015111767173E-2</v>
      </c>
      <c r="BX413" s="23">
        <f t="shared" si="295"/>
        <v>8.0345659937185704E-2</v>
      </c>
      <c r="BY413" s="23">
        <f t="shared" si="296"/>
        <v>5.9014643151272549E-2</v>
      </c>
      <c r="BZ413" s="19"/>
      <c r="CA413" s="23" t="str">
        <f t="shared" si="317"/>
        <v/>
      </c>
      <c r="CB413" s="23" t="str">
        <f t="shared" si="298"/>
        <v/>
      </c>
      <c r="CC413" s="23" t="str">
        <f t="shared" si="299"/>
        <v/>
      </c>
      <c r="CD413" s="23" t="str">
        <f t="shared" si="300"/>
        <v/>
      </c>
      <c r="CE413" s="23" t="str">
        <f t="shared" si="301"/>
        <v/>
      </c>
      <c r="CF413" s="23" t="str">
        <f t="shared" si="302"/>
        <v/>
      </c>
      <c r="CG413" s="23" t="str">
        <f t="shared" si="303"/>
        <v/>
      </c>
      <c r="CH413" s="23" t="str">
        <f t="shared" si="304"/>
        <v/>
      </c>
      <c r="CI413" s="23" t="str">
        <f t="shared" si="305"/>
        <v/>
      </c>
      <c r="CJ413" s="23" t="str">
        <f t="shared" si="306"/>
        <v/>
      </c>
      <c r="CK413" s="23" t="str">
        <f t="shared" si="307"/>
        <v/>
      </c>
      <c r="CL413" s="23" t="str">
        <f t="shared" si="308"/>
        <v/>
      </c>
      <c r="CM413" s="23" t="str">
        <f t="shared" si="309"/>
        <v/>
      </c>
      <c r="CN413" s="23" t="str">
        <f t="shared" si="310"/>
        <v/>
      </c>
      <c r="CO413" s="23" t="str">
        <f t="shared" si="311"/>
        <v/>
      </c>
      <c r="CP413" s="23" t="str">
        <f t="shared" si="312"/>
        <v/>
      </c>
      <c r="CQ413" s="23" t="str">
        <f t="shared" si="313"/>
        <v/>
      </c>
      <c r="CR413" s="23" t="str">
        <f t="shared" si="314"/>
        <v/>
      </c>
      <c r="CS413" s="23" t="str">
        <f t="shared" si="315"/>
        <v/>
      </c>
      <c r="CT413" s="23" t="str">
        <f t="shared" si="316"/>
        <v/>
      </c>
      <c r="CU413" s="19"/>
    </row>
    <row r="414" spans="1:99" x14ac:dyDescent="0.25">
      <c r="A414" s="13"/>
      <c r="B414" s="14"/>
      <c r="C414" s="15" t="str" cm="1">
        <f t="array" ref="C414">IF(B414="","",INDEX('Exercise list'!$C$5:$C$102,B414))</f>
        <v/>
      </c>
      <c r="D414" s="12" t="str">
        <f t="shared" si="274"/>
        <v/>
      </c>
      <c r="E414" s="107" t="str">
        <f t="shared" si="297"/>
        <v/>
      </c>
      <c r="F414" s="63" t="str" cm="1">
        <f t="array" ref="F414">IF(B414="","",0.1+IFERROR(INDEX($F$6:$F413,SUMPRODUCT(MAX(ROW($C$6:$C413)*($C414=$C$6:$C413))-ROW($A$5)))*0.9^($A414-INDEX($A$6:A413,SUMPRODUCT(MAX(ROW($C$6:$C413)*($C414=$C$6:$C413))-ROW($A$5)))),0))</f>
        <v/>
      </c>
      <c r="G414" s="64" t="e">
        <f>INDEX('Exercise list'!$Y$5:$Y$102,MATCH(C414,'Exercise list'!$C$5:$C$102,0))</f>
        <v>#N/A</v>
      </c>
      <c r="H414" s="115">
        <f t="shared" si="275"/>
        <v>0</v>
      </c>
      <c r="I414" s="42">
        <f t="shared" si="276"/>
        <v>5</v>
      </c>
      <c r="J414" s="6" t="str" cm="1">
        <f t="array" ref="J414">IF(B414="","",INDEX('Exercise list'!$D$5:$D$102,B414))</f>
        <v/>
      </c>
      <c r="K414" s="12"/>
      <c r="L414" s="74" t="str" cm="1">
        <f t="array" ref="L414">IF(K414="","",INDEX('Exercise list'!$C$5:$C$102,K414))</f>
        <v/>
      </c>
      <c r="M414" s="6"/>
      <c r="N414" s="75" t="str" cm="1">
        <f t="array" ref="N414">IF(M414="","",INDEX('Exercise list'!$C$5:$C$102,M414))</f>
        <v/>
      </c>
      <c r="P414">
        <f>IFERROR(INDEX('Exercise list'!$E$5:$X$102,MATCH($C414,'Exercise list'!$C$5:$C$102,0),MATCH(P$5,'Exercise list'!$E$4:$X$4,0)),0)</f>
        <v>0</v>
      </c>
      <c r="Q414">
        <f>IFERROR(INDEX('Exercise list'!$E$5:$X$102,MATCH($C414,'Exercise list'!$C$5:$C$102,0),MATCH(Q$5,'Exercise list'!$E$4:$X$4,0)),0)</f>
        <v>0</v>
      </c>
      <c r="R414">
        <f>IFERROR(INDEX('Exercise list'!$E$5:$X$102,MATCH($C414,'Exercise list'!$C$5:$C$102,0),MATCH(R$5,'Exercise list'!$E$4:$X$4,0)),0)</f>
        <v>0</v>
      </c>
      <c r="S414">
        <f>IFERROR(INDEX('Exercise list'!$E$5:$X$102,MATCH($C414,'Exercise list'!$C$5:$C$102,0),MATCH(S$5,'Exercise list'!$E$4:$X$4,0)),0)</f>
        <v>0</v>
      </c>
      <c r="T414">
        <f>IFERROR(INDEX('Exercise list'!$E$5:$X$102,MATCH($C414,'Exercise list'!$C$5:$C$102,0),MATCH(T$5,'Exercise list'!$E$4:$X$4,0)),0)</f>
        <v>0</v>
      </c>
      <c r="U414">
        <f>IFERROR(INDEX('Exercise list'!$E$5:$X$102,MATCH($C414,'Exercise list'!$C$5:$C$102,0),MATCH(U$5,'Exercise list'!$E$4:$X$4,0)),0)</f>
        <v>0</v>
      </c>
      <c r="V414">
        <f>IFERROR(INDEX('Exercise list'!$E$5:$X$102,MATCH($C414,'Exercise list'!$C$5:$C$102,0),MATCH(V$5,'Exercise list'!$E$4:$X$4,0)),0)</f>
        <v>0</v>
      </c>
      <c r="W414">
        <f>IFERROR(INDEX('Exercise list'!$E$5:$X$102,MATCH($C414,'Exercise list'!$C$5:$C$102,0),MATCH(W$5,'Exercise list'!$E$4:$X$4,0)),0)</f>
        <v>0</v>
      </c>
      <c r="X414">
        <f>IFERROR(INDEX('Exercise list'!$E$5:$X$102,MATCH($C414,'Exercise list'!$C$5:$C$102,0),MATCH(X$5,'Exercise list'!$E$4:$X$4,0)),0)</f>
        <v>0</v>
      </c>
      <c r="Y414">
        <f>IFERROR(INDEX('Exercise list'!$E$5:$X$102,MATCH($C414,'Exercise list'!$C$5:$C$102,0),MATCH(Y$5,'Exercise list'!$E$4:$X$4,0)),0)</f>
        <v>0</v>
      </c>
      <c r="Z414">
        <f>IFERROR(INDEX('Exercise list'!$E$5:$X$102,MATCH($C414,'Exercise list'!$C$5:$C$102,0),MATCH(Z$5,'Exercise list'!$E$4:$X$4,0)),0)</f>
        <v>0</v>
      </c>
      <c r="AA414">
        <f>IFERROR(INDEX('Exercise list'!$E$5:$X$102,MATCH($C414,'Exercise list'!$C$5:$C$102,0),MATCH(AA$5,'Exercise list'!$E$4:$X$4,0)),0)</f>
        <v>0</v>
      </c>
      <c r="AB414">
        <f>IFERROR(INDEX('Exercise list'!$E$5:$X$102,MATCH($C414,'Exercise list'!$C$5:$C$102,0),MATCH(AB$5,'Exercise list'!$E$4:$X$4,0)),0)</f>
        <v>0</v>
      </c>
      <c r="AC414">
        <f>IFERROR(INDEX('Exercise list'!$E$5:$X$102,MATCH($C414,'Exercise list'!$C$5:$C$102,0),MATCH(AC$5,'Exercise list'!$E$4:$X$4,0)),0)</f>
        <v>0</v>
      </c>
      <c r="AD414">
        <f>IFERROR(INDEX('Exercise list'!$E$5:$X$102,MATCH($C414,'Exercise list'!$C$5:$C$102,0),MATCH(AD$5,'Exercise list'!$E$4:$X$4,0)),0)</f>
        <v>0</v>
      </c>
      <c r="AE414">
        <f>IFERROR(INDEX('Exercise list'!$E$5:$X$102,MATCH($C414,'Exercise list'!$C$5:$C$102,0),MATCH(AE$5,'Exercise list'!$E$4:$X$4,0)),0)</f>
        <v>0</v>
      </c>
      <c r="AF414">
        <f>IFERROR(INDEX('Exercise list'!$E$5:$X$102,MATCH($C414,'Exercise list'!$C$5:$C$102,0),MATCH(AF$5,'Exercise list'!$E$4:$X$4,0)),0)</f>
        <v>0</v>
      </c>
      <c r="AG414">
        <f>IFERROR(INDEX('Exercise list'!$E$5:$X$102,MATCH($C414,'Exercise list'!$C$5:$C$102,0),MATCH(AG$5,'Exercise list'!$E$4:$X$4,0)),0)</f>
        <v>0</v>
      </c>
      <c r="AH414">
        <f>IFERROR(INDEX('Exercise list'!$E$5:$X$102,MATCH($C414,'Exercise list'!$C$5:$C$102,0),MATCH(AH$5,'Exercise list'!$E$4:$X$4,0)),0)</f>
        <v>0</v>
      </c>
      <c r="AI414">
        <f>IFERROR(INDEX('Exercise list'!$E$5:$X$102,MATCH($C414,'Exercise list'!$C$5:$C$102,0),MATCH(AI$5,'Exercise list'!$E$4:$X$4,0)),0)</f>
        <v>0</v>
      </c>
      <c r="AK414">
        <f>IF(OR($J414=1,COUNTIFS($A$5:$A413,"&gt;="&amp;$A414-1,$A$5:$A413,"&lt;="&amp;$A414,$B$5:$B413,$B414)&gt;0,MIN(1-'Exercise list'!E$2,IF($A414=$A413,AK413,1))-P414&lt;0),-1,MIN(1,IF($A414=$A413,AK413,1)-P414+$D$2))</f>
        <v>1</v>
      </c>
      <c r="AL414">
        <f>IF(OR($J414=1,COUNTIFS($A$5:$A413,"&gt;="&amp;$A414-1,$A$5:$A413,"&lt;="&amp;$A414,$B$5:$B413,$B414)&gt;0,MIN(1-'Exercise list'!F$2,IF($A414=$A413,AL413,1))-Q414&lt;0),-1,MIN(1,IF($A414=$A413,AL413,1)-Q414+$D$2))</f>
        <v>1</v>
      </c>
      <c r="AM414">
        <f>IF(OR($J414=1,COUNTIFS($A$5:$A413,"&gt;="&amp;$A414-1,$A$5:$A413,"&lt;="&amp;$A414,$B$5:$B413,$B414)&gt;0,MIN(1-'Exercise list'!G$2,IF($A414=$A413,AM413,1))-R414&lt;0),-1,MIN(1,IF($A414=$A413,AM413,1)-R414+$D$2))</f>
        <v>1</v>
      </c>
      <c r="AN414">
        <f>IF(OR($J414=1,COUNTIFS($A$5:$A413,"&gt;="&amp;$A414-1,$A$5:$A413,"&lt;="&amp;$A414,$B$5:$B413,$B414)&gt;0,MIN(1-'Exercise list'!H$2,IF($A414=$A413,AN413,1))-S414&lt;0),-1,MIN(1,IF($A414=$A413,AN413,1)-S414+$D$2))</f>
        <v>1</v>
      </c>
      <c r="AO414">
        <f>IF(OR($J414=1,COUNTIFS($A$5:$A413,"&gt;="&amp;$A414-1,$A$5:$A413,"&lt;="&amp;$A414,$B$5:$B413,$B414)&gt;0,MIN(1-'Exercise list'!I$2,IF($A414=$A413,AO413,1))-T414&lt;0),-1,MIN(1,IF($A414=$A413,AO413,1)-T414+$D$2))</f>
        <v>1</v>
      </c>
      <c r="AP414">
        <f>IF(OR($J414=1,COUNTIFS($A$5:$A413,"&gt;="&amp;$A414-1,$A$5:$A413,"&lt;="&amp;$A414,$B$5:$B413,$B414)&gt;0,MIN(1-'Exercise list'!J$2,IF($A414=$A413,AP413,1))-U414&lt;0),-1,MIN(1,IF($A414=$A413,AP413,1)-U414+$D$2))</f>
        <v>1</v>
      </c>
      <c r="AQ414">
        <f>IF(OR($J414=1,COUNTIFS($A$5:$A413,"&gt;="&amp;$A414-1,$A$5:$A413,"&lt;="&amp;$A414,$B$5:$B413,$B414)&gt;0,MIN(1-'Exercise list'!K$2,IF($A414=$A413,AQ413,1))-V414&lt;0),-1,MIN(1,IF($A414=$A413,AQ413,1)-V414+$D$2))</f>
        <v>1</v>
      </c>
      <c r="AR414">
        <f>IF(OR($J414=1,COUNTIFS($A$5:$A413,"&gt;="&amp;$A414-1,$A$5:$A413,"&lt;="&amp;$A414,$B$5:$B413,$B414)&gt;0,MIN(1-'Exercise list'!L$2,IF($A414=$A413,AR413,1))-W414&lt;0),-1,MIN(1,IF($A414=$A413,AR413,1)-W414+$D$2))</f>
        <v>1</v>
      </c>
      <c r="AS414">
        <f>IF(OR($J414=1,COUNTIFS($A$5:$A413,"&gt;="&amp;$A414-1,$A$5:$A413,"&lt;="&amp;$A414,$B$5:$B413,$B414)&gt;0,MIN(1-'Exercise list'!M$2,IF($A414=$A413,AS413,1))-X414&lt;0),-1,MIN(1,IF($A414=$A413,AS413,1)-X414+$D$2))</f>
        <v>1</v>
      </c>
      <c r="AT414">
        <f>IF(OR($J414=1,COUNTIFS($A$5:$A413,"&gt;="&amp;$A414-1,$A$5:$A413,"&lt;="&amp;$A414,$B$5:$B413,$B414)&gt;0,MIN(1-'Exercise list'!N$2,IF($A414=$A413,AT413,1))-Y414&lt;0),-1,MIN(1,IF($A414=$A413,AT413,1)-Y414+$D$2))</f>
        <v>1</v>
      </c>
      <c r="AU414">
        <f>IF(OR($J414=1,COUNTIFS($A$5:$A413,"&gt;="&amp;$A414-1,$A$5:$A413,"&lt;="&amp;$A414,$B$5:$B413,$B414)&gt;0,MIN(1-'Exercise list'!O$2,IF($A414=$A413,AU413,1))-Z414&lt;0),-1,MIN(1,IF($A414=$A413,AU413,1)-Z414+$D$2))</f>
        <v>1</v>
      </c>
      <c r="AV414">
        <f>IF(OR($J414=1,COUNTIFS($A$5:$A413,"&gt;="&amp;$A414-1,$A$5:$A413,"&lt;="&amp;$A414,$B$5:$B413,$B414)&gt;0,MIN(1-'Exercise list'!P$2,IF($A414=$A413,AV413,1))-AA414&lt;0),-1,MIN(1,IF($A414=$A413,AV413,1)-AA414+$D$2))</f>
        <v>1</v>
      </c>
      <c r="AW414">
        <f>IF(OR($J414=1,COUNTIFS($A$5:$A413,"&gt;="&amp;$A414-1,$A$5:$A413,"&lt;="&amp;$A414,$B$5:$B413,$B414)&gt;0,MIN(1-'Exercise list'!Q$2,IF($A414=$A413,AW413,1))-AB414&lt;0),-1,MIN(1,IF($A414=$A413,AW413,1)-AB414+$D$2))</f>
        <v>1</v>
      </c>
      <c r="AX414">
        <f>IF(OR($J414=1,COUNTIFS($A$5:$A413,"&gt;="&amp;$A414-1,$A$5:$A413,"&lt;="&amp;$A414,$B$5:$B413,$B414)&gt;0,MIN(1-'Exercise list'!R$2,IF($A414=$A413,AX413,1))-AC414&lt;0),-1,MIN(1,IF($A414=$A413,AX413,1)-AC414+$D$2))</f>
        <v>1</v>
      </c>
      <c r="AY414">
        <f>IF(OR($J414=1,COUNTIFS($A$5:$A413,"&gt;="&amp;$A414-1,$A$5:$A413,"&lt;="&amp;$A414,$B$5:$B413,$B414)&gt;0,MIN(1-'Exercise list'!S$2,IF($A414=$A413,AY413,1))-AD414&lt;0),-1,MIN(1,IF($A414=$A413,AY413,1)-AD414+$D$2))</f>
        <v>1</v>
      </c>
      <c r="AZ414">
        <f>IF(OR($J414=1,COUNTIFS($A$5:$A413,"&gt;="&amp;$A414-1,$A$5:$A413,"&lt;="&amp;$A414,$B$5:$B413,$B414)&gt;0,MIN(1-'Exercise list'!T$2,IF($A414=$A413,AZ413,1))-AE414&lt;0),-1,MIN(1,IF($A414=$A413,AZ413,1)-AE414+$D$2))</f>
        <v>1</v>
      </c>
      <c r="BA414">
        <f>IF(OR($J414=1,COUNTIFS($A$5:$A413,"&gt;="&amp;$A414-1,$A$5:$A413,"&lt;="&amp;$A414,$B$5:$B413,$B414)&gt;0,MIN(1-'Exercise list'!U$2,IF($A414=$A413,BA413,1))-AF414&lt;0),-1,MIN(1,IF($A414=$A413,BA413,1)-AF414+$D$2))</f>
        <v>1</v>
      </c>
      <c r="BB414">
        <f>IF(OR($J414=1,COUNTIFS($A$5:$A413,"&gt;="&amp;$A414-1,$A$5:$A413,"&lt;="&amp;$A414,$B$5:$B413,$B414)&gt;0,MIN(1-'Exercise list'!V$2,IF($A414=$A413,BB413,1))-AG414&lt;0),-1,MIN(1,IF($A414=$A413,BB413,1)-AG414+$D$2))</f>
        <v>1</v>
      </c>
      <c r="BC414">
        <f>IF(OR($J414=1,COUNTIFS($A$5:$A413,"&gt;="&amp;$A414-1,$A$5:$A413,"&lt;="&amp;$A414,$B$5:$B413,$B414)&gt;0,MIN(1-'Exercise list'!W$2,IF($A414=$A413,BC413,1))-AH414&lt;0),-1,MIN(1,IF($A414=$A413,BC413,1)-AH414+$D$2))</f>
        <v>1</v>
      </c>
      <c r="BD414">
        <f>IF(OR($J414=1,COUNTIFS($A$5:$A413,"&gt;="&amp;$A414-1,$A$5:$A413,"&lt;="&amp;$A414,$B$5:$B413,$B414)&gt;0,MIN(1-'Exercise list'!X$2,IF($A414=$A413,BD413,1))-AI414&lt;0),-1,MIN(1,IF($A414=$A413,BD413,1)-AI414+$D$2))</f>
        <v>1</v>
      </c>
      <c r="BF414" s="16">
        <f t="shared" si="277"/>
        <v>0.19596031081758858</v>
      </c>
      <c r="BG414" s="16">
        <f t="shared" si="278"/>
        <v>0.21844636935459236</v>
      </c>
      <c r="BH414" s="16">
        <f t="shared" si="279"/>
        <v>0.14609696635987124</v>
      </c>
      <c r="BI414" s="16">
        <f t="shared" si="280"/>
        <v>0.13198015366034541</v>
      </c>
      <c r="BJ414" s="16">
        <f t="shared" si="281"/>
        <v>8.3367914198418713E-2</v>
      </c>
      <c r="BK414" s="16">
        <f t="shared" si="282"/>
        <v>0.10640640223148412</v>
      </c>
      <c r="BL414" s="16">
        <f t="shared" si="283"/>
        <v>0.21963504743569431</v>
      </c>
      <c r="BM414" s="16">
        <f t="shared" si="284"/>
        <v>3.8988008374820568E-3</v>
      </c>
      <c r="BN414" s="16">
        <f t="shared" si="285"/>
        <v>0.14537706087090876</v>
      </c>
      <c r="BO414" s="16">
        <f t="shared" si="286"/>
        <v>0.29209790661993401</v>
      </c>
      <c r="BP414" s="16">
        <f t="shared" si="287"/>
        <v>0.31584545163401867</v>
      </c>
      <c r="BQ414" s="16">
        <f t="shared" si="288"/>
        <v>0.1000007994126096</v>
      </c>
      <c r="BR414" s="16">
        <f t="shared" si="289"/>
        <v>0.13164487759885393</v>
      </c>
      <c r="BS414" s="16">
        <f t="shared" si="290"/>
        <v>2.9803550189863123E-2</v>
      </c>
      <c r="BT414" s="16">
        <f t="shared" si="291"/>
        <v>0.13492040904978705</v>
      </c>
      <c r="BU414" s="16">
        <f t="shared" si="292"/>
        <v>0.11703687414398131</v>
      </c>
      <c r="BV414" s="16">
        <f t="shared" si="293"/>
        <v>0.14633353213781661</v>
      </c>
      <c r="BW414" s="16">
        <f t="shared" si="294"/>
        <v>7.5588015111767173E-2</v>
      </c>
      <c r="BX414" s="16">
        <f t="shared" si="295"/>
        <v>8.0345659937185704E-2</v>
      </c>
      <c r="BY414" s="16">
        <f t="shared" si="296"/>
        <v>5.9014643151272549E-2</v>
      </c>
      <c r="CA414" s="16" t="str">
        <f t="shared" si="317"/>
        <v/>
      </c>
      <c r="CB414" s="16" t="str">
        <f t="shared" si="298"/>
        <v/>
      </c>
      <c r="CC414" s="16" t="str">
        <f t="shared" si="299"/>
        <v/>
      </c>
      <c r="CD414" s="16" t="str">
        <f t="shared" si="300"/>
        <v/>
      </c>
      <c r="CE414" s="16" t="str">
        <f t="shared" si="301"/>
        <v/>
      </c>
      <c r="CF414" s="16" t="str">
        <f t="shared" si="302"/>
        <v/>
      </c>
      <c r="CG414" s="16" t="str">
        <f t="shared" si="303"/>
        <v/>
      </c>
      <c r="CH414" s="16" t="str">
        <f t="shared" si="304"/>
        <v/>
      </c>
      <c r="CI414" s="16" t="str">
        <f t="shared" si="305"/>
        <v/>
      </c>
      <c r="CJ414" s="16" t="str">
        <f t="shared" si="306"/>
        <v/>
      </c>
      <c r="CK414" s="16" t="str">
        <f t="shared" si="307"/>
        <v/>
      </c>
      <c r="CL414" s="16" t="str">
        <f t="shared" si="308"/>
        <v/>
      </c>
      <c r="CM414" s="16" t="str">
        <f t="shared" si="309"/>
        <v/>
      </c>
      <c r="CN414" s="16" t="str">
        <f t="shared" si="310"/>
        <v/>
      </c>
      <c r="CO414" s="16" t="str">
        <f t="shared" si="311"/>
        <v/>
      </c>
      <c r="CP414" s="16" t="str">
        <f t="shared" si="312"/>
        <v/>
      </c>
      <c r="CQ414" s="16" t="str">
        <f t="shared" si="313"/>
        <v/>
      </c>
      <c r="CR414" s="16" t="str">
        <f t="shared" si="314"/>
        <v/>
      </c>
      <c r="CS414" s="16" t="str">
        <f t="shared" si="315"/>
        <v/>
      </c>
      <c r="CT414" s="16" t="str">
        <f t="shared" si="316"/>
        <v/>
      </c>
    </row>
    <row r="415" spans="1:99" x14ac:dyDescent="0.25">
      <c r="A415" s="13"/>
      <c r="B415" s="14"/>
      <c r="C415" s="15" t="str" cm="1">
        <f t="array" ref="C415">IF(B415="","",INDEX('Exercise list'!$C$5:$C$102,B415))</f>
        <v/>
      </c>
      <c r="D415" s="12" t="str">
        <f t="shared" si="274"/>
        <v/>
      </c>
      <c r="E415" s="107" t="str">
        <f t="shared" si="297"/>
        <v/>
      </c>
      <c r="F415" s="63" t="str" cm="1">
        <f t="array" ref="F415">IF(B415="","",0.1+IFERROR(INDEX($F$6:$F414,SUMPRODUCT(MAX(ROW($C$6:$C414)*($C415=$C$6:$C414))-ROW($A$5)))*0.9^($A415-INDEX($A$6:A414,SUMPRODUCT(MAX(ROW($C$6:$C414)*($C415=$C$6:$C414))-ROW($A$5)))),0))</f>
        <v/>
      </c>
      <c r="G415" s="64" t="e">
        <f>INDEX('Exercise list'!$Y$5:$Y$102,MATCH(C415,'Exercise list'!$C$5:$C$102,0))</f>
        <v>#N/A</v>
      </c>
      <c r="H415" s="115">
        <f t="shared" si="275"/>
        <v>0</v>
      </c>
      <c r="I415" s="6">
        <f t="shared" si="276"/>
        <v>5</v>
      </c>
      <c r="J415" s="6" t="str" cm="1">
        <f t="array" ref="J415">IF(B415="","",INDEX('Exercise list'!$D$5:$D$102,B415))</f>
        <v/>
      </c>
      <c r="K415" s="12"/>
      <c r="L415" s="74" t="str" cm="1">
        <f t="array" ref="L415">IF(K415="","",INDEX('Exercise list'!$C$5:$C$102,K415))</f>
        <v/>
      </c>
      <c r="M415" s="6"/>
      <c r="N415" s="75" t="str" cm="1">
        <f t="array" ref="N415">IF(M415="","",INDEX('Exercise list'!$C$5:$C$102,M415))</f>
        <v/>
      </c>
      <c r="P415">
        <f>IFERROR(INDEX('Exercise list'!$E$5:$X$102,MATCH($C415,'Exercise list'!$C$5:$C$102,0),MATCH(P$5,'Exercise list'!$E$4:$X$4,0)),0)</f>
        <v>0</v>
      </c>
      <c r="Q415">
        <f>IFERROR(INDEX('Exercise list'!$E$5:$X$102,MATCH($C415,'Exercise list'!$C$5:$C$102,0),MATCH(Q$5,'Exercise list'!$E$4:$X$4,0)),0)</f>
        <v>0</v>
      </c>
      <c r="R415">
        <f>IFERROR(INDEX('Exercise list'!$E$5:$X$102,MATCH($C415,'Exercise list'!$C$5:$C$102,0),MATCH(R$5,'Exercise list'!$E$4:$X$4,0)),0)</f>
        <v>0</v>
      </c>
      <c r="S415">
        <f>IFERROR(INDEX('Exercise list'!$E$5:$X$102,MATCH($C415,'Exercise list'!$C$5:$C$102,0),MATCH(S$5,'Exercise list'!$E$4:$X$4,0)),0)</f>
        <v>0</v>
      </c>
      <c r="T415">
        <f>IFERROR(INDEX('Exercise list'!$E$5:$X$102,MATCH($C415,'Exercise list'!$C$5:$C$102,0),MATCH(T$5,'Exercise list'!$E$4:$X$4,0)),0)</f>
        <v>0</v>
      </c>
      <c r="U415">
        <f>IFERROR(INDEX('Exercise list'!$E$5:$X$102,MATCH($C415,'Exercise list'!$C$5:$C$102,0),MATCH(U$5,'Exercise list'!$E$4:$X$4,0)),0)</f>
        <v>0</v>
      </c>
      <c r="V415">
        <f>IFERROR(INDEX('Exercise list'!$E$5:$X$102,MATCH($C415,'Exercise list'!$C$5:$C$102,0),MATCH(V$5,'Exercise list'!$E$4:$X$4,0)),0)</f>
        <v>0</v>
      </c>
      <c r="W415">
        <f>IFERROR(INDEX('Exercise list'!$E$5:$X$102,MATCH($C415,'Exercise list'!$C$5:$C$102,0),MATCH(W$5,'Exercise list'!$E$4:$X$4,0)),0)</f>
        <v>0</v>
      </c>
      <c r="X415">
        <f>IFERROR(INDEX('Exercise list'!$E$5:$X$102,MATCH($C415,'Exercise list'!$C$5:$C$102,0),MATCH(X$5,'Exercise list'!$E$4:$X$4,0)),0)</f>
        <v>0</v>
      </c>
      <c r="Y415">
        <f>IFERROR(INDEX('Exercise list'!$E$5:$X$102,MATCH($C415,'Exercise list'!$C$5:$C$102,0),MATCH(Y$5,'Exercise list'!$E$4:$X$4,0)),0)</f>
        <v>0</v>
      </c>
      <c r="Z415">
        <f>IFERROR(INDEX('Exercise list'!$E$5:$X$102,MATCH($C415,'Exercise list'!$C$5:$C$102,0),MATCH(Z$5,'Exercise list'!$E$4:$X$4,0)),0)</f>
        <v>0</v>
      </c>
      <c r="AA415">
        <f>IFERROR(INDEX('Exercise list'!$E$5:$X$102,MATCH($C415,'Exercise list'!$C$5:$C$102,0),MATCH(AA$5,'Exercise list'!$E$4:$X$4,0)),0)</f>
        <v>0</v>
      </c>
      <c r="AB415">
        <f>IFERROR(INDEX('Exercise list'!$E$5:$X$102,MATCH($C415,'Exercise list'!$C$5:$C$102,0),MATCH(AB$5,'Exercise list'!$E$4:$X$4,0)),0)</f>
        <v>0</v>
      </c>
      <c r="AC415">
        <f>IFERROR(INDEX('Exercise list'!$E$5:$X$102,MATCH($C415,'Exercise list'!$C$5:$C$102,0),MATCH(AC$5,'Exercise list'!$E$4:$X$4,0)),0)</f>
        <v>0</v>
      </c>
      <c r="AD415">
        <f>IFERROR(INDEX('Exercise list'!$E$5:$X$102,MATCH($C415,'Exercise list'!$C$5:$C$102,0),MATCH(AD$5,'Exercise list'!$E$4:$X$4,0)),0)</f>
        <v>0</v>
      </c>
      <c r="AE415">
        <f>IFERROR(INDEX('Exercise list'!$E$5:$X$102,MATCH($C415,'Exercise list'!$C$5:$C$102,0),MATCH(AE$5,'Exercise list'!$E$4:$X$4,0)),0)</f>
        <v>0</v>
      </c>
      <c r="AF415">
        <f>IFERROR(INDEX('Exercise list'!$E$5:$X$102,MATCH($C415,'Exercise list'!$C$5:$C$102,0),MATCH(AF$5,'Exercise list'!$E$4:$X$4,0)),0)</f>
        <v>0</v>
      </c>
      <c r="AG415">
        <f>IFERROR(INDEX('Exercise list'!$E$5:$X$102,MATCH($C415,'Exercise list'!$C$5:$C$102,0),MATCH(AG$5,'Exercise list'!$E$4:$X$4,0)),0)</f>
        <v>0</v>
      </c>
      <c r="AH415">
        <f>IFERROR(INDEX('Exercise list'!$E$5:$X$102,MATCH($C415,'Exercise list'!$C$5:$C$102,0),MATCH(AH$5,'Exercise list'!$E$4:$X$4,0)),0)</f>
        <v>0</v>
      </c>
      <c r="AI415">
        <f>IFERROR(INDEX('Exercise list'!$E$5:$X$102,MATCH($C415,'Exercise list'!$C$5:$C$102,0),MATCH(AI$5,'Exercise list'!$E$4:$X$4,0)),0)</f>
        <v>0</v>
      </c>
      <c r="AK415">
        <f>IF(OR($J415=1,COUNTIFS($A$5:$A414,"&gt;="&amp;$A415-1,$A$5:$A414,"&lt;="&amp;$A415,$B$5:$B414,$B415)&gt;0,MIN(1-'Exercise list'!E$2,IF($A415=$A414,AK414,1))-P415&lt;0),-1,MIN(1,IF($A415=$A414,AK414,1)-P415+$D$2))</f>
        <v>1</v>
      </c>
      <c r="AL415">
        <f>IF(OR($J415=1,COUNTIFS($A$5:$A414,"&gt;="&amp;$A415-1,$A$5:$A414,"&lt;="&amp;$A415,$B$5:$B414,$B415)&gt;0,MIN(1-'Exercise list'!F$2,IF($A415=$A414,AL414,1))-Q415&lt;0),-1,MIN(1,IF($A415=$A414,AL414,1)-Q415+$D$2))</f>
        <v>1</v>
      </c>
      <c r="AM415">
        <f>IF(OR($J415=1,COUNTIFS($A$5:$A414,"&gt;="&amp;$A415-1,$A$5:$A414,"&lt;="&amp;$A415,$B$5:$B414,$B415)&gt;0,MIN(1-'Exercise list'!G$2,IF($A415=$A414,AM414,1))-R415&lt;0),-1,MIN(1,IF($A415=$A414,AM414,1)-R415+$D$2))</f>
        <v>1</v>
      </c>
      <c r="AN415">
        <f>IF(OR($J415=1,COUNTIFS($A$5:$A414,"&gt;="&amp;$A415-1,$A$5:$A414,"&lt;="&amp;$A415,$B$5:$B414,$B415)&gt;0,MIN(1-'Exercise list'!H$2,IF($A415=$A414,AN414,1))-S415&lt;0),-1,MIN(1,IF($A415=$A414,AN414,1)-S415+$D$2))</f>
        <v>1</v>
      </c>
      <c r="AO415">
        <f>IF(OR($J415=1,COUNTIFS($A$5:$A414,"&gt;="&amp;$A415-1,$A$5:$A414,"&lt;="&amp;$A415,$B$5:$B414,$B415)&gt;0,MIN(1-'Exercise list'!I$2,IF($A415=$A414,AO414,1))-T415&lt;0),-1,MIN(1,IF($A415=$A414,AO414,1)-T415+$D$2))</f>
        <v>1</v>
      </c>
      <c r="AP415">
        <f>IF(OR($J415=1,COUNTIFS($A$5:$A414,"&gt;="&amp;$A415-1,$A$5:$A414,"&lt;="&amp;$A415,$B$5:$B414,$B415)&gt;0,MIN(1-'Exercise list'!J$2,IF($A415=$A414,AP414,1))-U415&lt;0),-1,MIN(1,IF($A415=$A414,AP414,1)-U415+$D$2))</f>
        <v>1</v>
      </c>
      <c r="AQ415">
        <f>IF(OR($J415=1,COUNTIFS($A$5:$A414,"&gt;="&amp;$A415-1,$A$5:$A414,"&lt;="&amp;$A415,$B$5:$B414,$B415)&gt;0,MIN(1-'Exercise list'!K$2,IF($A415=$A414,AQ414,1))-V415&lt;0),-1,MIN(1,IF($A415=$A414,AQ414,1)-V415+$D$2))</f>
        <v>1</v>
      </c>
      <c r="AR415">
        <f>IF(OR($J415=1,COUNTIFS($A$5:$A414,"&gt;="&amp;$A415-1,$A$5:$A414,"&lt;="&amp;$A415,$B$5:$B414,$B415)&gt;0,MIN(1-'Exercise list'!L$2,IF($A415=$A414,AR414,1))-W415&lt;0),-1,MIN(1,IF($A415=$A414,AR414,1)-W415+$D$2))</f>
        <v>1</v>
      </c>
      <c r="AS415">
        <f>IF(OR($J415=1,COUNTIFS($A$5:$A414,"&gt;="&amp;$A415-1,$A$5:$A414,"&lt;="&amp;$A415,$B$5:$B414,$B415)&gt;0,MIN(1-'Exercise list'!M$2,IF($A415=$A414,AS414,1))-X415&lt;0),-1,MIN(1,IF($A415=$A414,AS414,1)-X415+$D$2))</f>
        <v>1</v>
      </c>
      <c r="AT415">
        <f>IF(OR($J415=1,COUNTIFS($A$5:$A414,"&gt;="&amp;$A415-1,$A$5:$A414,"&lt;="&amp;$A415,$B$5:$B414,$B415)&gt;0,MIN(1-'Exercise list'!N$2,IF($A415=$A414,AT414,1))-Y415&lt;0),-1,MIN(1,IF($A415=$A414,AT414,1)-Y415+$D$2))</f>
        <v>1</v>
      </c>
      <c r="AU415">
        <f>IF(OR($J415=1,COUNTIFS($A$5:$A414,"&gt;="&amp;$A415-1,$A$5:$A414,"&lt;="&amp;$A415,$B$5:$B414,$B415)&gt;0,MIN(1-'Exercise list'!O$2,IF($A415=$A414,AU414,1))-Z415&lt;0),-1,MIN(1,IF($A415=$A414,AU414,1)-Z415+$D$2))</f>
        <v>1</v>
      </c>
      <c r="AV415">
        <f>IF(OR($J415=1,COUNTIFS($A$5:$A414,"&gt;="&amp;$A415-1,$A$5:$A414,"&lt;="&amp;$A415,$B$5:$B414,$B415)&gt;0,MIN(1-'Exercise list'!P$2,IF($A415=$A414,AV414,1))-AA415&lt;0),-1,MIN(1,IF($A415=$A414,AV414,1)-AA415+$D$2))</f>
        <v>1</v>
      </c>
      <c r="AW415">
        <f>IF(OR($J415=1,COUNTIFS($A$5:$A414,"&gt;="&amp;$A415-1,$A$5:$A414,"&lt;="&amp;$A415,$B$5:$B414,$B415)&gt;0,MIN(1-'Exercise list'!Q$2,IF($A415=$A414,AW414,1))-AB415&lt;0),-1,MIN(1,IF($A415=$A414,AW414,1)-AB415+$D$2))</f>
        <v>1</v>
      </c>
      <c r="AX415">
        <f>IF(OR($J415=1,COUNTIFS($A$5:$A414,"&gt;="&amp;$A415-1,$A$5:$A414,"&lt;="&amp;$A415,$B$5:$B414,$B415)&gt;0,MIN(1-'Exercise list'!R$2,IF($A415=$A414,AX414,1))-AC415&lt;0),-1,MIN(1,IF($A415=$A414,AX414,1)-AC415+$D$2))</f>
        <v>1</v>
      </c>
      <c r="AY415">
        <f>IF(OR($J415=1,COUNTIFS($A$5:$A414,"&gt;="&amp;$A415-1,$A$5:$A414,"&lt;="&amp;$A415,$B$5:$B414,$B415)&gt;0,MIN(1-'Exercise list'!S$2,IF($A415=$A414,AY414,1))-AD415&lt;0),-1,MIN(1,IF($A415=$A414,AY414,1)-AD415+$D$2))</f>
        <v>1</v>
      </c>
      <c r="AZ415">
        <f>IF(OR($J415=1,COUNTIFS($A$5:$A414,"&gt;="&amp;$A415-1,$A$5:$A414,"&lt;="&amp;$A415,$B$5:$B414,$B415)&gt;0,MIN(1-'Exercise list'!T$2,IF($A415=$A414,AZ414,1))-AE415&lt;0),-1,MIN(1,IF($A415=$A414,AZ414,1)-AE415+$D$2))</f>
        <v>1</v>
      </c>
      <c r="BA415">
        <f>IF(OR($J415=1,COUNTIFS($A$5:$A414,"&gt;="&amp;$A415-1,$A$5:$A414,"&lt;="&amp;$A415,$B$5:$B414,$B415)&gt;0,MIN(1-'Exercise list'!U$2,IF($A415=$A414,BA414,1))-AF415&lt;0),-1,MIN(1,IF($A415=$A414,BA414,1)-AF415+$D$2))</f>
        <v>1</v>
      </c>
      <c r="BB415">
        <f>IF(OR($J415=1,COUNTIFS($A$5:$A414,"&gt;="&amp;$A415-1,$A$5:$A414,"&lt;="&amp;$A415,$B$5:$B414,$B415)&gt;0,MIN(1-'Exercise list'!V$2,IF($A415=$A414,BB414,1))-AG415&lt;0),-1,MIN(1,IF($A415=$A414,BB414,1)-AG415+$D$2))</f>
        <v>1</v>
      </c>
      <c r="BC415">
        <f>IF(OR($J415=1,COUNTIFS($A$5:$A414,"&gt;="&amp;$A415-1,$A$5:$A414,"&lt;="&amp;$A415,$B$5:$B414,$B415)&gt;0,MIN(1-'Exercise list'!W$2,IF($A415=$A414,BC414,1))-AH415&lt;0),-1,MIN(1,IF($A415=$A414,BC414,1)-AH415+$D$2))</f>
        <v>1</v>
      </c>
      <c r="BD415">
        <f>IF(OR($J415=1,COUNTIFS($A$5:$A414,"&gt;="&amp;$A415-1,$A$5:$A414,"&lt;="&amp;$A415,$B$5:$B414,$B415)&gt;0,MIN(1-'Exercise list'!X$2,IF($A415=$A414,BD414,1))-AI415&lt;0),-1,MIN(1,IF($A415=$A414,BD414,1)-AI415+$D$2))</f>
        <v>1</v>
      </c>
      <c r="BF415" s="16">
        <f t="shared" si="277"/>
        <v>0.19596031081758858</v>
      </c>
      <c r="BG415" s="16">
        <f t="shared" si="278"/>
        <v>0.21844636935459236</v>
      </c>
      <c r="BH415" s="16">
        <f t="shared" si="279"/>
        <v>0.14609696635987124</v>
      </c>
      <c r="BI415" s="16">
        <f t="shared" si="280"/>
        <v>0.13198015366034541</v>
      </c>
      <c r="BJ415" s="16">
        <f t="shared" si="281"/>
        <v>8.3367914198418713E-2</v>
      </c>
      <c r="BK415" s="16">
        <f t="shared" si="282"/>
        <v>0.10640640223148412</v>
      </c>
      <c r="BL415" s="16">
        <f t="shared" si="283"/>
        <v>0.21963504743569431</v>
      </c>
      <c r="BM415" s="16">
        <f t="shared" si="284"/>
        <v>3.8988008374820568E-3</v>
      </c>
      <c r="BN415" s="16">
        <f t="shared" si="285"/>
        <v>0.14537706087090876</v>
      </c>
      <c r="BO415" s="16">
        <f t="shared" si="286"/>
        <v>0.29209790661993401</v>
      </c>
      <c r="BP415" s="16">
        <f t="shared" si="287"/>
        <v>0.31584545163401867</v>
      </c>
      <c r="BQ415" s="16">
        <f t="shared" si="288"/>
        <v>0.1000007994126096</v>
      </c>
      <c r="BR415" s="16">
        <f t="shared" si="289"/>
        <v>0.13164487759885393</v>
      </c>
      <c r="BS415" s="16">
        <f t="shared" si="290"/>
        <v>2.9803550189863123E-2</v>
      </c>
      <c r="BT415" s="16">
        <f t="shared" si="291"/>
        <v>0.13492040904978705</v>
      </c>
      <c r="BU415" s="16">
        <f t="shared" si="292"/>
        <v>0.11703687414398131</v>
      </c>
      <c r="BV415" s="16">
        <f t="shared" si="293"/>
        <v>0.14633353213781661</v>
      </c>
      <c r="BW415" s="16">
        <f t="shared" si="294"/>
        <v>7.5588015111767173E-2</v>
      </c>
      <c r="BX415" s="16">
        <f t="shared" si="295"/>
        <v>8.0345659937185704E-2</v>
      </c>
      <c r="BY415" s="16">
        <f t="shared" si="296"/>
        <v>5.9014643151272549E-2</v>
      </c>
      <c r="CA415" s="16" t="str">
        <f t="shared" si="317"/>
        <v/>
      </c>
      <c r="CB415" s="16" t="str">
        <f t="shared" si="298"/>
        <v/>
      </c>
      <c r="CC415" s="16" t="str">
        <f t="shared" si="299"/>
        <v/>
      </c>
      <c r="CD415" s="16" t="str">
        <f t="shared" si="300"/>
        <v/>
      </c>
      <c r="CE415" s="16" t="str">
        <f t="shared" si="301"/>
        <v/>
      </c>
      <c r="CF415" s="16" t="str">
        <f t="shared" si="302"/>
        <v/>
      </c>
      <c r="CG415" s="16" t="str">
        <f t="shared" si="303"/>
        <v/>
      </c>
      <c r="CH415" s="16" t="str">
        <f t="shared" si="304"/>
        <v/>
      </c>
      <c r="CI415" s="16" t="str">
        <f t="shared" si="305"/>
        <v/>
      </c>
      <c r="CJ415" s="16" t="str">
        <f t="shared" si="306"/>
        <v/>
      </c>
      <c r="CK415" s="16" t="str">
        <f t="shared" si="307"/>
        <v/>
      </c>
      <c r="CL415" s="16" t="str">
        <f t="shared" si="308"/>
        <v/>
      </c>
      <c r="CM415" s="16" t="str">
        <f t="shared" si="309"/>
        <v/>
      </c>
      <c r="CN415" s="16" t="str">
        <f t="shared" si="310"/>
        <v/>
      </c>
      <c r="CO415" s="16" t="str">
        <f t="shared" si="311"/>
        <v/>
      </c>
      <c r="CP415" s="16" t="str">
        <f t="shared" si="312"/>
        <v/>
      </c>
      <c r="CQ415" s="16" t="str">
        <f t="shared" si="313"/>
        <v/>
      </c>
      <c r="CR415" s="16" t="str">
        <f t="shared" si="314"/>
        <v/>
      </c>
      <c r="CS415" s="16" t="str">
        <f t="shared" si="315"/>
        <v/>
      </c>
      <c r="CT415" s="16" t="str">
        <f t="shared" si="316"/>
        <v/>
      </c>
    </row>
    <row r="416" spans="1:99" x14ac:dyDescent="0.25">
      <c r="A416" s="13"/>
      <c r="B416" s="14"/>
      <c r="C416" s="15" t="str" cm="1">
        <f t="array" ref="C416">IF(B416="","",INDEX('Exercise list'!$C$5:$C$102,B416))</f>
        <v/>
      </c>
      <c r="D416" s="12" t="str">
        <f t="shared" si="274"/>
        <v/>
      </c>
      <c r="E416" s="107" t="str">
        <f t="shared" si="297"/>
        <v/>
      </c>
      <c r="F416" s="63" t="str" cm="1">
        <f t="array" ref="F416">IF(B416="","",0.1+IFERROR(INDEX($F$6:$F415,SUMPRODUCT(MAX(ROW($C$6:$C415)*($C416=$C$6:$C415))-ROW($A$5)))*0.9^($A416-INDEX($A$6:A415,SUMPRODUCT(MAX(ROW($C$6:$C415)*($C416=$C$6:$C415))-ROW($A$5)))),0))</f>
        <v/>
      </c>
      <c r="G416" s="64" t="e">
        <f>INDEX('Exercise list'!$Y$5:$Y$102,MATCH(C416,'Exercise list'!$C$5:$C$102,0))</f>
        <v>#N/A</v>
      </c>
      <c r="H416" s="115">
        <f t="shared" si="275"/>
        <v>0</v>
      </c>
      <c r="I416" s="6">
        <f t="shared" si="276"/>
        <v>5</v>
      </c>
      <c r="J416" s="6" t="str" cm="1">
        <f t="array" ref="J416">IF(B416="","",INDEX('Exercise list'!$D$5:$D$102,B416))</f>
        <v/>
      </c>
      <c r="K416" s="12"/>
      <c r="L416" s="74" t="str" cm="1">
        <f t="array" ref="L416">IF(K416="","",INDEX('Exercise list'!$C$5:$C$102,K416))</f>
        <v/>
      </c>
      <c r="M416" s="6"/>
      <c r="N416" s="75" t="str" cm="1">
        <f t="array" ref="N416">IF(M416="","",INDEX('Exercise list'!$C$5:$C$102,M416))</f>
        <v/>
      </c>
      <c r="P416">
        <f>IFERROR(INDEX('Exercise list'!$E$5:$X$102,MATCH($C416,'Exercise list'!$C$5:$C$102,0),MATCH(P$5,'Exercise list'!$E$4:$X$4,0)),0)</f>
        <v>0</v>
      </c>
      <c r="Q416">
        <f>IFERROR(INDEX('Exercise list'!$E$5:$X$102,MATCH($C416,'Exercise list'!$C$5:$C$102,0),MATCH(Q$5,'Exercise list'!$E$4:$X$4,0)),0)</f>
        <v>0</v>
      </c>
      <c r="R416">
        <f>IFERROR(INDEX('Exercise list'!$E$5:$X$102,MATCH($C416,'Exercise list'!$C$5:$C$102,0),MATCH(R$5,'Exercise list'!$E$4:$X$4,0)),0)</f>
        <v>0</v>
      </c>
      <c r="S416">
        <f>IFERROR(INDEX('Exercise list'!$E$5:$X$102,MATCH($C416,'Exercise list'!$C$5:$C$102,0),MATCH(S$5,'Exercise list'!$E$4:$X$4,0)),0)</f>
        <v>0</v>
      </c>
      <c r="T416">
        <f>IFERROR(INDEX('Exercise list'!$E$5:$X$102,MATCH($C416,'Exercise list'!$C$5:$C$102,0),MATCH(T$5,'Exercise list'!$E$4:$X$4,0)),0)</f>
        <v>0</v>
      </c>
      <c r="U416">
        <f>IFERROR(INDEX('Exercise list'!$E$5:$X$102,MATCH($C416,'Exercise list'!$C$5:$C$102,0),MATCH(U$5,'Exercise list'!$E$4:$X$4,0)),0)</f>
        <v>0</v>
      </c>
      <c r="V416">
        <f>IFERROR(INDEX('Exercise list'!$E$5:$X$102,MATCH($C416,'Exercise list'!$C$5:$C$102,0),MATCH(V$5,'Exercise list'!$E$4:$X$4,0)),0)</f>
        <v>0</v>
      </c>
      <c r="W416">
        <f>IFERROR(INDEX('Exercise list'!$E$5:$X$102,MATCH($C416,'Exercise list'!$C$5:$C$102,0),MATCH(W$5,'Exercise list'!$E$4:$X$4,0)),0)</f>
        <v>0</v>
      </c>
      <c r="X416">
        <f>IFERROR(INDEX('Exercise list'!$E$5:$X$102,MATCH($C416,'Exercise list'!$C$5:$C$102,0),MATCH(X$5,'Exercise list'!$E$4:$X$4,0)),0)</f>
        <v>0</v>
      </c>
      <c r="Y416">
        <f>IFERROR(INDEX('Exercise list'!$E$5:$X$102,MATCH($C416,'Exercise list'!$C$5:$C$102,0),MATCH(Y$5,'Exercise list'!$E$4:$X$4,0)),0)</f>
        <v>0</v>
      </c>
      <c r="Z416">
        <f>IFERROR(INDEX('Exercise list'!$E$5:$X$102,MATCH($C416,'Exercise list'!$C$5:$C$102,0),MATCH(Z$5,'Exercise list'!$E$4:$X$4,0)),0)</f>
        <v>0</v>
      </c>
      <c r="AA416">
        <f>IFERROR(INDEX('Exercise list'!$E$5:$X$102,MATCH($C416,'Exercise list'!$C$5:$C$102,0),MATCH(AA$5,'Exercise list'!$E$4:$X$4,0)),0)</f>
        <v>0</v>
      </c>
      <c r="AB416">
        <f>IFERROR(INDEX('Exercise list'!$E$5:$X$102,MATCH($C416,'Exercise list'!$C$5:$C$102,0),MATCH(AB$5,'Exercise list'!$E$4:$X$4,0)),0)</f>
        <v>0</v>
      </c>
      <c r="AC416">
        <f>IFERROR(INDEX('Exercise list'!$E$5:$X$102,MATCH($C416,'Exercise list'!$C$5:$C$102,0),MATCH(AC$5,'Exercise list'!$E$4:$X$4,0)),0)</f>
        <v>0</v>
      </c>
      <c r="AD416">
        <f>IFERROR(INDEX('Exercise list'!$E$5:$X$102,MATCH($C416,'Exercise list'!$C$5:$C$102,0),MATCH(AD$5,'Exercise list'!$E$4:$X$4,0)),0)</f>
        <v>0</v>
      </c>
      <c r="AE416">
        <f>IFERROR(INDEX('Exercise list'!$E$5:$X$102,MATCH($C416,'Exercise list'!$C$5:$C$102,0),MATCH(AE$5,'Exercise list'!$E$4:$X$4,0)),0)</f>
        <v>0</v>
      </c>
      <c r="AF416">
        <f>IFERROR(INDEX('Exercise list'!$E$5:$X$102,MATCH($C416,'Exercise list'!$C$5:$C$102,0),MATCH(AF$5,'Exercise list'!$E$4:$X$4,0)),0)</f>
        <v>0</v>
      </c>
      <c r="AG416">
        <f>IFERROR(INDEX('Exercise list'!$E$5:$X$102,MATCH($C416,'Exercise list'!$C$5:$C$102,0),MATCH(AG$5,'Exercise list'!$E$4:$X$4,0)),0)</f>
        <v>0</v>
      </c>
      <c r="AH416">
        <f>IFERROR(INDEX('Exercise list'!$E$5:$X$102,MATCH($C416,'Exercise list'!$C$5:$C$102,0),MATCH(AH$5,'Exercise list'!$E$4:$X$4,0)),0)</f>
        <v>0</v>
      </c>
      <c r="AI416">
        <f>IFERROR(INDEX('Exercise list'!$E$5:$X$102,MATCH($C416,'Exercise list'!$C$5:$C$102,0),MATCH(AI$5,'Exercise list'!$E$4:$X$4,0)),0)</f>
        <v>0</v>
      </c>
      <c r="AK416">
        <f>IF(OR($J416=1,COUNTIFS($A$5:$A415,"&gt;="&amp;$A416-1,$A$5:$A415,"&lt;="&amp;$A416,$B$5:$B415,$B416)&gt;0,MIN(1-'Exercise list'!E$2,IF($A416=$A415,AK415,1))-P416&lt;0),-1,MIN(1,IF($A416=$A415,AK415,1)-P416+$D$2))</f>
        <v>1</v>
      </c>
      <c r="AL416">
        <f>IF(OR($J416=1,COUNTIFS($A$5:$A415,"&gt;="&amp;$A416-1,$A$5:$A415,"&lt;="&amp;$A416,$B$5:$B415,$B416)&gt;0,MIN(1-'Exercise list'!F$2,IF($A416=$A415,AL415,1))-Q416&lt;0),-1,MIN(1,IF($A416=$A415,AL415,1)-Q416+$D$2))</f>
        <v>1</v>
      </c>
      <c r="AM416">
        <f>IF(OR($J416=1,COUNTIFS($A$5:$A415,"&gt;="&amp;$A416-1,$A$5:$A415,"&lt;="&amp;$A416,$B$5:$B415,$B416)&gt;0,MIN(1-'Exercise list'!G$2,IF($A416=$A415,AM415,1))-R416&lt;0),-1,MIN(1,IF($A416=$A415,AM415,1)-R416+$D$2))</f>
        <v>1</v>
      </c>
      <c r="AN416">
        <f>IF(OR($J416=1,COUNTIFS($A$5:$A415,"&gt;="&amp;$A416-1,$A$5:$A415,"&lt;="&amp;$A416,$B$5:$B415,$B416)&gt;0,MIN(1-'Exercise list'!H$2,IF($A416=$A415,AN415,1))-S416&lt;0),-1,MIN(1,IF($A416=$A415,AN415,1)-S416+$D$2))</f>
        <v>1</v>
      </c>
      <c r="AO416">
        <f>IF(OR($J416=1,COUNTIFS($A$5:$A415,"&gt;="&amp;$A416-1,$A$5:$A415,"&lt;="&amp;$A416,$B$5:$B415,$B416)&gt;0,MIN(1-'Exercise list'!I$2,IF($A416=$A415,AO415,1))-T416&lt;0),-1,MIN(1,IF($A416=$A415,AO415,1)-T416+$D$2))</f>
        <v>1</v>
      </c>
      <c r="AP416">
        <f>IF(OR($J416=1,COUNTIFS($A$5:$A415,"&gt;="&amp;$A416-1,$A$5:$A415,"&lt;="&amp;$A416,$B$5:$B415,$B416)&gt;0,MIN(1-'Exercise list'!J$2,IF($A416=$A415,AP415,1))-U416&lt;0),-1,MIN(1,IF($A416=$A415,AP415,1)-U416+$D$2))</f>
        <v>1</v>
      </c>
      <c r="AQ416">
        <f>IF(OR($J416=1,COUNTIFS($A$5:$A415,"&gt;="&amp;$A416-1,$A$5:$A415,"&lt;="&amp;$A416,$B$5:$B415,$B416)&gt;0,MIN(1-'Exercise list'!K$2,IF($A416=$A415,AQ415,1))-V416&lt;0),-1,MIN(1,IF($A416=$A415,AQ415,1)-V416+$D$2))</f>
        <v>1</v>
      </c>
      <c r="AR416">
        <f>IF(OR($J416=1,COUNTIFS($A$5:$A415,"&gt;="&amp;$A416-1,$A$5:$A415,"&lt;="&amp;$A416,$B$5:$B415,$B416)&gt;0,MIN(1-'Exercise list'!L$2,IF($A416=$A415,AR415,1))-W416&lt;0),-1,MIN(1,IF($A416=$A415,AR415,1)-W416+$D$2))</f>
        <v>1</v>
      </c>
      <c r="AS416">
        <f>IF(OR($J416=1,COUNTIFS($A$5:$A415,"&gt;="&amp;$A416-1,$A$5:$A415,"&lt;="&amp;$A416,$B$5:$B415,$B416)&gt;0,MIN(1-'Exercise list'!M$2,IF($A416=$A415,AS415,1))-X416&lt;0),-1,MIN(1,IF($A416=$A415,AS415,1)-X416+$D$2))</f>
        <v>1</v>
      </c>
      <c r="AT416">
        <f>IF(OR($J416=1,COUNTIFS($A$5:$A415,"&gt;="&amp;$A416-1,$A$5:$A415,"&lt;="&amp;$A416,$B$5:$B415,$B416)&gt;0,MIN(1-'Exercise list'!N$2,IF($A416=$A415,AT415,1))-Y416&lt;0),-1,MIN(1,IF($A416=$A415,AT415,1)-Y416+$D$2))</f>
        <v>1</v>
      </c>
      <c r="AU416">
        <f>IF(OR($J416=1,COUNTIFS($A$5:$A415,"&gt;="&amp;$A416-1,$A$5:$A415,"&lt;="&amp;$A416,$B$5:$B415,$B416)&gt;0,MIN(1-'Exercise list'!O$2,IF($A416=$A415,AU415,1))-Z416&lt;0),-1,MIN(1,IF($A416=$A415,AU415,1)-Z416+$D$2))</f>
        <v>1</v>
      </c>
      <c r="AV416">
        <f>IF(OR($J416=1,COUNTIFS($A$5:$A415,"&gt;="&amp;$A416-1,$A$5:$A415,"&lt;="&amp;$A416,$B$5:$B415,$B416)&gt;0,MIN(1-'Exercise list'!P$2,IF($A416=$A415,AV415,1))-AA416&lt;0),-1,MIN(1,IF($A416=$A415,AV415,1)-AA416+$D$2))</f>
        <v>1</v>
      </c>
      <c r="AW416">
        <f>IF(OR($J416=1,COUNTIFS($A$5:$A415,"&gt;="&amp;$A416-1,$A$5:$A415,"&lt;="&amp;$A416,$B$5:$B415,$B416)&gt;0,MIN(1-'Exercise list'!Q$2,IF($A416=$A415,AW415,1))-AB416&lt;0),-1,MIN(1,IF($A416=$A415,AW415,1)-AB416+$D$2))</f>
        <v>1</v>
      </c>
      <c r="AX416">
        <f>IF(OR($J416=1,COUNTIFS($A$5:$A415,"&gt;="&amp;$A416-1,$A$5:$A415,"&lt;="&amp;$A416,$B$5:$B415,$B416)&gt;0,MIN(1-'Exercise list'!R$2,IF($A416=$A415,AX415,1))-AC416&lt;0),-1,MIN(1,IF($A416=$A415,AX415,1)-AC416+$D$2))</f>
        <v>1</v>
      </c>
      <c r="AY416">
        <f>IF(OR($J416=1,COUNTIFS($A$5:$A415,"&gt;="&amp;$A416-1,$A$5:$A415,"&lt;="&amp;$A416,$B$5:$B415,$B416)&gt;0,MIN(1-'Exercise list'!S$2,IF($A416=$A415,AY415,1))-AD416&lt;0),-1,MIN(1,IF($A416=$A415,AY415,1)-AD416+$D$2))</f>
        <v>1</v>
      </c>
      <c r="AZ416">
        <f>IF(OR($J416=1,COUNTIFS($A$5:$A415,"&gt;="&amp;$A416-1,$A$5:$A415,"&lt;="&amp;$A416,$B$5:$B415,$B416)&gt;0,MIN(1-'Exercise list'!T$2,IF($A416=$A415,AZ415,1))-AE416&lt;0),-1,MIN(1,IF($A416=$A415,AZ415,1)-AE416+$D$2))</f>
        <v>1</v>
      </c>
      <c r="BA416">
        <f>IF(OR($J416=1,COUNTIFS($A$5:$A415,"&gt;="&amp;$A416-1,$A$5:$A415,"&lt;="&amp;$A416,$B$5:$B415,$B416)&gt;0,MIN(1-'Exercise list'!U$2,IF($A416=$A415,BA415,1))-AF416&lt;0),-1,MIN(1,IF($A416=$A415,BA415,1)-AF416+$D$2))</f>
        <v>1</v>
      </c>
      <c r="BB416">
        <f>IF(OR($J416=1,COUNTIFS($A$5:$A415,"&gt;="&amp;$A416-1,$A$5:$A415,"&lt;="&amp;$A416,$B$5:$B415,$B416)&gt;0,MIN(1-'Exercise list'!V$2,IF($A416=$A415,BB415,1))-AG416&lt;0),-1,MIN(1,IF($A416=$A415,BB415,1)-AG416+$D$2))</f>
        <v>1</v>
      </c>
      <c r="BC416">
        <f>IF(OR($J416=1,COUNTIFS($A$5:$A415,"&gt;="&amp;$A416-1,$A$5:$A415,"&lt;="&amp;$A416,$B$5:$B415,$B416)&gt;0,MIN(1-'Exercise list'!W$2,IF($A416=$A415,BC415,1))-AH416&lt;0),-1,MIN(1,IF($A416=$A415,BC415,1)-AH416+$D$2))</f>
        <v>1</v>
      </c>
      <c r="BD416">
        <f>IF(OR($J416=1,COUNTIFS($A$5:$A415,"&gt;="&amp;$A416-1,$A$5:$A415,"&lt;="&amp;$A416,$B$5:$B415,$B416)&gt;0,MIN(1-'Exercise list'!X$2,IF($A416=$A415,BD415,1))-AI416&lt;0),-1,MIN(1,IF($A416=$A415,BD415,1)-AI416+$D$2))</f>
        <v>1</v>
      </c>
      <c r="BF416" s="16">
        <f t="shared" si="277"/>
        <v>0.19596031081758858</v>
      </c>
      <c r="BG416" s="16">
        <f t="shared" si="278"/>
        <v>0.21844636935459236</v>
      </c>
      <c r="BH416" s="16">
        <f t="shared" si="279"/>
        <v>0.14609696635987124</v>
      </c>
      <c r="BI416" s="16">
        <f t="shared" si="280"/>
        <v>0.13198015366034541</v>
      </c>
      <c r="BJ416" s="16">
        <f t="shared" si="281"/>
        <v>8.3367914198418713E-2</v>
      </c>
      <c r="BK416" s="16">
        <f t="shared" si="282"/>
        <v>0.10640640223148412</v>
      </c>
      <c r="BL416" s="16">
        <f t="shared" si="283"/>
        <v>0.21963504743569431</v>
      </c>
      <c r="BM416" s="16">
        <f t="shared" si="284"/>
        <v>3.8988008374820568E-3</v>
      </c>
      <c r="BN416" s="16">
        <f t="shared" si="285"/>
        <v>0.14537706087090876</v>
      </c>
      <c r="BO416" s="16">
        <f t="shared" si="286"/>
        <v>0.29209790661993401</v>
      </c>
      <c r="BP416" s="16">
        <f t="shared" si="287"/>
        <v>0.31584545163401867</v>
      </c>
      <c r="BQ416" s="16">
        <f t="shared" si="288"/>
        <v>0.1000007994126096</v>
      </c>
      <c r="BR416" s="16">
        <f t="shared" si="289"/>
        <v>0.13164487759885393</v>
      </c>
      <c r="BS416" s="16">
        <f t="shared" si="290"/>
        <v>2.9803550189863123E-2</v>
      </c>
      <c r="BT416" s="16">
        <f t="shared" si="291"/>
        <v>0.13492040904978705</v>
      </c>
      <c r="BU416" s="16">
        <f t="shared" si="292"/>
        <v>0.11703687414398131</v>
      </c>
      <c r="BV416" s="16">
        <f t="shared" si="293"/>
        <v>0.14633353213781661</v>
      </c>
      <c r="BW416" s="16">
        <f t="shared" si="294"/>
        <v>7.5588015111767173E-2</v>
      </c>
      <c r="BX416" s="16">
        <f t="shared" si="295"/>
        <v>8.0345659937185704E-2</v>
      </c>
      <c r="BY416" s="16">
        <f t="shared" si="296"/>
        <v>5.9014643151272549E-2</v>
      </c>
      <c r="CA416" s="16" t="str">
        <f t="shared" si="317"/>
        <v/>
      </c>
      <c r="CB416" s="16" t="str">
        <f t="shared" si="298"/>
        <v/>
      </c>
      <c r="CC416" s="16" t="str">
        <f t="shared" si="299"/>
        <v/>
      </c>
      <c r="CD416" s="16" t="str">
        <f t="shared" si="300"/>
        <v/>
      </c>
      <c r="CE416" s="16" t="str">
        <f t="shared" si="301"/>
        <v/>
      </c>
      <c r="CF416" s="16" t="str">
        <f t="shared" si="302"/>
        <v/>
      </c>
      <c r="CG416" s="16" t="str">
        <f t="shared" si="303"/>
        <v/>
      </c>
      <c r="CH416" s="16" t="str">
        <f t="shared" si="304"/>
        <v/>
      </c>
      <c r="CI416" s="16" t="str">
        <f t="shared" si="305"/>
        <v/>
      </c>
      <c r="CJ416" s="16" t="str">
        <f t="shared" si="306"/>
        <v/>
      </c>
      <c r="CK416" s="16" t="str">
        <f t="shared" si="307"/>
        <v/>
      </c>
      <c r="CL416" s="16" t="str">
        <f t="shared" si="308"/>
        <v/>
      </c>
      <c r="CM416" s="16" t="str">
        <f t="shared" si="309"/>
        <v/>
      </c>
      <c r="CN416" s="16" t="str">
        <f t="shared" si="310"/>
        <v/>
      </c>
      <c r="CO416" s="16" t="str">
        <f t="shared" si="311"/>
        <v/>
      </c>
      <c r="CP416" s="16" t="str">
        <f t="shared" si="312"/>
        <v/>
      </c>
      <c r="CQ416" s="16" t="str">
        <f t="shared" si="313"/>
        <v/>
      </c>
      <c r="CR416" s="16" t="str">
        <f t="shared" si="314"/>
        <v/>
      </c>
      <c r="CS416" s="16" t="str">
        <f t="shared" si="315"/>
        <v/>
      </c>
      <c r="CT416" s="16" t="str">
        <f t="shared" si="316"/>
        <v/>
      </c>
    </row>
    <row r="417" spans="1:99" x14ac:dyDescent="0.25">
      <c r="A417" s="13"/>
      <c r="B417" s="14"/>
      <c r="C417" s="15" t="str" cm="1">
        <f t="array" ref="C417">IF(B417="","",INDEX('Exercise list'!$C$5:$C$102,B417))</f>
        <v/>
      </c>
      <c r="D417" s="12" t="str">
        <f t="shared" si="274"/>
        <v/>
      </c>
      <c r="E417" s="107" t="str">
        <f t="shared" si="297"/>
        <v/>
      </c>
      <c r="F417" s="63" t="str" cm="1">
        <f t="array" ref="F417">IF(B417="","",0.1+IFERROR(INDEX($F$6:$F416,SUMPRODUCT(MAX(ROW($C$6:$C416)*($C417=$C$6:$C416))-ROW($A$5)))*0.9^($A417-INDEX($A$6:A416,SUMPRODUCT(MAX(ROW($C$6:$C416)*($C417=$C$6:$C416))-ROW($A$5)))),0))</f>
        <v/>
      </c>
      <c r="G417" s="64" t="e">
        <f>INDEX('Exercise list'!$Y$5:$Y$102,MATCH(C417,'Exercise list'!$C$5:$C$102,0))</f>
        <v>#N/A</v>
      </c>
      <c r="H417" s="115">
        <f t="shared" si="275"/>
        <v>0</v>
      </c>
      <c r="I417" s="6">
        <f t="shared" si="276"/>
        <v>5</v>
      </c>
      <c r="J417" s="6" t="str" cm="1">
        <f t="array" ref="J417">IF(B417="","",INDEX('Exercise list'!$D$5:$D$102,B417))</f>
        <v/>
      </c>
      <c r="K417" s="12"/>
      <c r="L417" s="74" t="str" cm="1">
        <f t="array" ref="L417">IF(K417="","",INDEX('Exercise list'!$C$5:$C$102,K417))</f>
        <v/>
      </c>
      <c r="M417" s="6"/>
      <c r="N417" s="75" t="str" cm="1">
        <f t="array" ref="N417">IF(M417="","",INDEX('Exercise list'!$C$5:$C$102,M417))</f>
        <v/>
      </c>
      <c r="P417">
        <f>IFERROR(INDEX('Exercise list'!$E$5:$X$102,MATCH($C417,'Exercise list'!$C$5:$C$102,0),MATCH(P$5,'Exercise list'!$E$4:$X$4,0)),0)</f>
        <v>0</v>
      </c>
      <c r="Q417">
        <f>IFERROR(INDEX('Exercise list'!$E$5:$X$102,MATCH($C417,'Exercise list'!$C$5:$C$102,0),MATCH(Q$5,'Exercise list'!$E$4:$X$4,0)),0)</f>
        <v>0</v>
      </c>
      <c r="R417">
        <f>IFERROR(INDEX('Exercise list'!$E$5:$X$102,MATCH($C417,'Exercise list'!$C$5:$C$102,0),MATCH(R$5,'Exercise list'!$E$4:$X$4,0)),0)</f>
        <v>0</v>
      </c>
      <c r="S417">
        <f>IFERROR(INDEX('Exercise list'!$E$5:$X$102,MATCH($C417,'Exercise list'!$C$5:$C$102,0),MATCH(S$5,'Exercise list'!$E$4:$X$4,0)),0)</f>
        <v>0</v>
      </c>
      <c r="T417">
        <f>IFERROR(INDEX('Exercise list'!$E$5:$X$102,MATCH($C417,'Exercise list'!$C$5:$C$102,0),MATCH(T$5,'Exercise list'!$E$4:$X$4,0)),0)</f>
        <v>0</v>
      </c>
      <c r="U417">
        <f>IFERROR(INDEX('Exercise list'!$E$5:$X$102,MATCH($C417,'Exercise list'!$C$5:$C$102,0),MATCH(U$5,'Exercise list'!$E$4:$X$4,0)),0)</f>
        <v>0</v>
      </c>
      <c r="V417">
        <f>IFERROR(INDEX('Exercise list'!$E$5:$X$102,MATCH($C417,'Exercise list'!$C$5:$C$102,0),MATCH(V$5,'Exercise list'!$E$4:$X$4,0)),0)</f>
        <v>0</v>
      </c>
      <c r="W417">
        <f>IFERROR(INDEX('Exercise list'!$E$5:$X$102,MATCH($C417,'Exercise list'!$C$5:$C$102,0),MATCH(W$5,'Exercise list'!$E$4:$X$4,0)),0)</f>
        <v>0</v>
      </c>
      <c r="X417">
        <f>IFERROR(INDEX('Exercise list'!$E$5:$X$102,MATCH($C417,'Exercise list'!$C$5:$C$102,0),MATCH(X$5,'Exercise list'!$E$4:$X$4,0)),0)</f>
        <v>0</v>
      </c>
      <c r="Y417">
        <f>IFERROR(INDEX('Exercise list'!$E$5:$X$102,MATCH($C417,'Exercise list'!$C$5:$C$102,0),MATCH(Y$5,'Exercise list'!$E$4:$X$4,0)),0)</f>
        <v>0</v>
      </c>
      <c r="Z417">
        <f>IFERROR(INDEX('Exercise list'!$E$5:$X$102,MATCH($C417,'Exercise list'!$C$5:$C$102,0),MATCH(Z$5,'Exercise list'!$E$4:$X$4,0)),0)</f>
        <v>0</v>
      </c>
      <c r="AA417">
        <f>IFERROR(INDEX('Exercise list'!$E$5:$X$102,MATCH($C417,'Exercise list'!$C$5:$C$102,0),MATCH(AA$5,'Exercise list'!$E$4:$X$4,0)),0)</f>
        <v>0</v>
      </c>
      <c r="AB417">
        <f>IFERROR(INDEX('Exercise list'!$E$5:$X$102,MATCH($C417,'Exercise list'!$C$5:$C$102,0),MATCH(AB$5,'Exercise list'!$E$4:$X$4,0)),0)</f>
        <v>0</v>
      </c>
      <c r="AC417">
        <f>IFERROR(INDEX('Exercise list'!$E$5:$X$102,MATCH($C417,'Exercise list'!$C$5:$C$102,0),MATCH(AC$5,'Exercise list'!$E$4:$X$4,0)),0)</f>
        <v>0</v>
      </c>
      <c r="AD417">
        <f>IFERROR(INDEX('Exercise list'!$E$5:$X$102,MATCH($C417,'Exercise list'!$C$5:$C$102,0),MATCH(AD$5,'Exercise list'!$E$4:$X$4,0)),0)</f>
        <v>0</v>
      </c>
      <c r="AE417">
        <f>IFERROR(INDEX('Exercise list'!$E$5:$X$102,MATCH($C417,'Exercise list'!$C$5:$C$102,0),MATCH(AE$5,'Exercise list'!$E$4:$X$4,0)),0)</f>
        <v>0</v>
      </c>
      <c r="AF417">
        <f>IFERROR(INDEX('Exercise list'!$E$5:$X$102,MATCH($C417,'Exercise list'!$C$5:$C$102,0),MATCH(AF$5,'Exercise list'!$E$4:$X$4,0)),0)</f>
        <v>0</v>
      </c>
      <c r="AG417">
        <f>IFERROR(INDEX('Exercise list'!$E$5:$X$102,MATCH($C417,'Exercise list'!$C$5:$C$102,0),MATCH(AG$5,'Exercise list'!$E$4:$X$4,0)),0)</f>
        <v>0</v>
      </c>
      <c r="AH417">
        <f>IFERROR(INDEX('Exercise list'!$E$5:$X$102,MATCH($C417,'Exercise list'!$C$5:$C$102,0),MATCH(AH$5,'Exercise list'!$E$4:$X$4,0)),0)</f>
        <v>0</v>
      </c>
      <c r="AI417">
        <f>IFERROR(INDEX('Exercise list'!$E$5:$X$102,MATCH($C417,'Exercise list'!$C$5:$C$102,0),MATCH(AI$5,'Exercise list'!$E$4:$X$4,0)),0)</f>
        <v>0</v>
      </c>
      <c r="AK417">
        <f>IF(OR($J417=1,COUNTIFS($A$5:$A416,"&gt;="&amp;$A417-1,$A$5:$A416,"&lt;="&amp;$A417,$B$5:$B416,$B417)&gt;0,MIN(1-'Exercise list'!E$2,IF($A417=$A416,AK416,1))-P417&lt;0),-1,MIN(1,IF($A417=$A416,AK416,1)-P417+$D$2))</f>
        <v>1</v>
      </c>
      <c r="AL417">
        <f>IF(OR($J417=1,COUNTIFS($A$5:$A416,"&gt;="&amp;$A417-1,$A$5:$A416,"&lt;="&amp;$A417,$B$5:$B416,$B417)&gt;0,MIN(1-'Exercise list'!F$2,IF($A417=$A416,AL416,1))-Q417&lt;0),-1,MIN(1,IF($A417=$A416,AL416,1)-Q417+$D$2))</f>
        <v>1</v>
      </c>
      <c r="AM417">
        <f>IF(OR($J417=1,COUNTIFS($A$5:$A416,"&gt;="&amp;$A417-1,$A$5:$A416,"&lt;="&amp;$A417,$B$5:$B416,$B417)&gt;0,MIN(1-'Exercise list'!G$2,IF($A417=$A416,AM416,1))-R417&lt;0),-1,MIN(1,IF($A417=$A416,AM416,1)-R417+$D$2))</f>
        <v>1</v>
      </c>
      <c r="AN417">
        <f>IF(OR($J417=1,COUNTIFS($A$5:$A416,"&gt;="&amp;$A417-1,$A$5:$A416,"&lt;="&amp;$A417,$B$5:$B416,$B417)&gt;0,MIN(1-'Exercise list'!H$2,IF($A417=$A416,AN416,1))-S417&lt;0),-1,MIN(1,IF($A417=$A416,AN416,1)-S417+$D$2))</f>
        <v>1</v>
      </c>
      <c r="AO417">
        <f>IF(OR($J417=1,COUNTIFS($A$5:$A416,"&gt;="&amp;$A417-1,$A$5:$A416,"&lt;="&amp;$A417,$B$5:$B416,$B417)&gt;0,MIN(1-'Exercise list'!I$2,IF($A417=$A416,AO416,1))-T417&lt;0),-1,MIN(1,IF($A417=$A416,AO416,1)-T417+$D$2))</f>
        <v>1</v>
      </c>
      <c r="AP417">
        <f>IF(OR($J417=1,COUNTIFS($A$5:$A416,"&gt;="&amp;$A417-1,$A$5:$A416,"&lt;="&amp;$A417,$B$5:$B416,$B417)&gt;0,MIN(1-'Exercise list'!J$2,IF($A417=$A416,AP416,1))-U417&lt;0),-1,MIN(1,IF($A417=$A416,AP416,1)-U417+$D$2))</f>
        <v>1</v>
      </c>
      <c r="AQ417">
        <f>IF(OR($J417=1,COUNTIFS($A$5:$A416,"&gt;="&amp;$A417-1,$A$5:$A416,"&lt;="&amp;$A417,$B$5:$B416,$B417)&gt;0,MIN(1-'Exercise list'!K$2,IF($A417=$A416,AQ416,1))-V417&lt;0),-1,MIN(1,IF($A417=$A416,AQ416,1)-V417+$D$2))</f>
        <v>1</v>
      </c>
      <c r="AR417">
        <f>IF(OR($J417=1,COUNTIFS($A$5:$A416,"&gt;="&amp;$A417-1,$A$5:$A416,"&lt;="&amp;$A417,$B$5:$B416,$B417)&gt;0,MIN(1-'Exercise list'!L$2,IF($A417=$A416,AR416,1))-W417&lt;0),-1,MIN(1,IF($A417=$A416,AR416,1)-W417+$D$2))</f>
        <v>1</v>
      </c>
      <c r="AS417">
        <f>IF(OR($J417=1,COUNTIFS($A$5:$A416,"&gt;="&amp;$A417-1,$A$5:$A416,"&lt;="&amp;$A417,$B$5:$B416,$B417)&gt;0,MIN(1-'Exercise list'!M$2,IF($A417=$A416,AS416,1))-X417&lt;0),-1,MIN(1,IF($A417=$A416,AS416,1)-X417+$D$2))</f>
        <v>1</v>
      </c>
      <c r="AT417">
        <f>IF(OR($J417=1,COUNTIFS($A$5:$A416,"&gt;="&amp;$A417-1,$A$5:$A416,"&lt;="&amp;$A417,$B$5:$B416,$B417)&gt;0,MIN(1-'Exercise list'!N$2,IF($A417=$A416,AT416,1))-Y417&lt;0),-1,MIN(1,IF($A417=$A416,AT416,1)-Y417+$D$2))</f>
        <v>1</v>
      </c>
      <c r="AU417">
        <f>IF(OR($J417=1,COUNTIFS($A$5:$A416,"&gt;="&amp;$A417-1,$A$5:$A416,"&lt;="&amp;$A417,$B$5:$B416,$B417)&gt;0,MIN(1-'Exercise list'!O$2,IF($A417=$A416,AU416,1))-Z417&lt;0),-1,MIN(1,IF($A417=$A416,AU416,1)-Z417+$D$2))</f>
        <v>1</v>
      </c>
      <c r="AV417">
        <f>IF(OR($J417=1,COUNTIFS($A$5:$A416,"&gt;="&amp;$A417-1,$A$5:$A416,"&lt;="&amp;$A417,$B$5:$B416,$B417)&gt;0,MIN(1-'Exercise list'!P$2,IF($A417=$A416,AV416,1))-AA417&lt;0),-1,MIN(1,IF($A417=$A416,AV416,1)-AA417+$D$2))</f>
        <v>1</v>
      </c>
      <c r="AW417">
        <f>IF(OR($J417=1,COUNTIFS($A$5:$A416,"&gt;="&amp;$A417-1,$A$5:$A416,"&lt;="&amp;$A417,$B$5:$B416,$B417)&gt;0,MIN(1-'Exercise list'!Q$2,IF($A417=$A416,AW416,1))-AB417&lt;0),-1,MIN(1,IF($A417=$A416,AW416,1)-AB417+$D$2))</f>
        <v>1</v>
      </c>
      <c r="AX417">
        <f>IF(OR($J417=1,COUNTIFS($A$5:$A416,"&gt;="&amp;$A417-1,$A$5:$A416,"&lt;="&amp;$A417,$B$5:$B416,$B417)&gt;0,MIN(1-'Exercise list'!R$2,IF($A417=$A416,AX416,1))-AC417&lt;0),-1,MIN(1,IF($A417=$A416,AX416,1)-AC417+$D$2))</f>
        <v>1</v>
      </c>
      <c r="AY417">
        <f>IF(OR($J417=1,COUNTIFS($A$5:$A416,"&gt;="&amp;$A417-1,$A$5:$A416,"&lt;="&amp;$A417,$B$5:$B416,$B417)&gt;0,MIN(1-'Exercise list'!S$2,IF($A417=$A416,AY416,1))-AD417&lt;0),-1,MIN(1,IF($A417=$A416,AY416,1)-AD417+$D$2))</f>
        <v>1</v>
      </c>
      <c r="AZ417">
        <f>IF(OR($J417=1,COUNTIFS($A$5:$A416,"&gt;="&amp;$A417-1,$A$5:$A416,"&lt;="&amp;$A417,$B$5:$B416,$B417)&gt;0,MIN(1-'Exercise list'!T$2,IF($A417=$A416,AZ416,1))-AE417&lt;0),-1,MIN(1,IF($A417=$A416,AZ416,1)-AE417+$D$2))</f>
        <v>1</v>
      </c>
      <c r="BA417">
        <f>IF(OR($J417=1,COUNTIFS($A$5:$A416,"&gt;="&amp;$A417-1,$A$5:$A416,"&lt;="&amp;$A417,$B$5:$B416,$B417)&gt;0,MIN(1-'Exercise list'!U$2,IF($A417=$A416,BA416,1))-AF417&lt;0),-1,MIN(1,IF($A417=$A416,BA416,1)-AF417+$D$2))</f>
        <v>1</v>
      </c>
      <c r="BB417">
        <f>IF(OR($J417=1,COUNTIFS($A$5:$A416,"&gt;="&amp;$A417-1,$A$5:$A416,"&lt;="&amp;$A417,$B$5:$B416,$B417)&gt;0,MIN(1-'Exercise list'!V$2,IF($A417=$A416,BB416,1))-AG417&lt;0),-1,MIN(1,IF($A417=$A416,BB416,1)-AG417+$D$2))</f>
        <v>1</v>
      </c>
      <c r="BC417">
        <f>IF(OR($J417=1,COUNTIFS($A$5:$A416,"&gt;="&amp;$A417-1,$A$5:$A416,"&lt;="&amp;$A417,$B$5:$B416,$B417)&gt;0,MIN(1-'Exercise list'!W$2,IF($A417=$A416,BC416,1))-AH417&lt;0),-1,MIN(1,IF($A417=$A416,BC416,1)-AH417+$D$2))</f>
        <v>1</v>
      </c>
      <c r="BD417">
        <f>IF(OR($J417=1,COUNTIFS($A$5:$A416,"&gt;="&amp;$A417-1,$A$5:$A416,"&lt;="&amp;$A417,$B$5:$B416,$B417)&gt;0,MIN(1-'Exercise list'!X$2,IF($A417=$A416,BD416,1))-AI417&lt;0),-1,MIN(1,IF($A417=$A416,BD416,1)-AI417+$D$2))</f>
        <v>1</v>
      </c>
      <c r="BF417" s="16">
        <f t="shared" si="277"/>
        <v>0.19596031081758858</v>
      </c>
      <c r="BG417" s="16">
        <f t="shared" si="278"/>
        <v>0.21844636935459236</v>
      </c>
      <c r="BH417" s="16">
        <f t="shared" si="279"/>
        <v>0.14609696635987124</v>
      </c>
      <c r="BI417" s="16">
        <f t="shared" si="280"/>
        <v>0.13198015366034541</v>
      </c>
      <c r="BJ417" s="16">
        <f t="shared" si="281"/>
        <v>8.3367914198418713E-2</v>
      </c>
      <c r="BK417" s="16">
        <f t="shared" si="282"/>
        <v>0.10640640223148412</v>
      </c>
      <c r="BL417" s="16">
        <f t="shared" si="283"/>
        <v>0.21963504743569431</v>
      </c>
      <c r="BM417" s="16">
        <f t="shared" si="284"/>
        <v>3.8988008374820568E-3</v>
      </c>
      <c r="BN417" s="16">
        <f t="shared" si="285"/>
        <v>0.14537706087090876</v>
      </c>
      <c r="BO417" s="16">
        <f t="shared" si="286"/>
        <v>0.29209790661993401</v>
      </c>
      <c r="BP417" s="16">
        <f t="shared" si="287"/>
        <v>0.31584545163401867</v>
      </c>
      <c r="BQ417" s="16">
        <f t="shared" si="288"/>
        <v>0.1000007994126096</v>
      </c>
      <c r="BR417" s="16">
        <f t="shared" si="289"/>
        <v>0.13164487759885393</v>
      </c>
      <c r="BS417" s="16">
        <f t="shared" si="290"/>
        <v>2.9803550189863123E-2</v>
      </c>
      <c r="BT417" s="16">
        <f t="shared" si="291"/>
        <v>0.13492040904978705</v>
      </c>
      <c r="BU417" s="16">
        <f t="shared" si="292"/>
        <v>0.11703687414398131</v>
      </c>
      <c r="BV417" s="16">
        <f t="shared" si="293"/>
        <v>0.14633353213781661</v>
      </c>
      <c r="BW417" s="16">
        <f t="shared" si="294"/>
        <v>7.5588015111767173E-2</v>
      </c>
      <c r="BX417" s="16">
        <f t="shared" si="295"/>
        <v>8.0345659937185704E-2</v>
      </c>
      <c r="BY417" s="16">
        <f t="shared" si="296"/>
        <v>5.9014643151272549E-2</v>
      </c>
      <c r="CA417" s="16" t="str">
        <f t="shared" si="317"/>
        <v/>
      </c>
      <c r="CB417" s="16" t="str">
        <f t="shared" si="298"/>
        <v/>
      </c>
      <c r="CC417" s="16" t="str">
        <f t="shared" si="299"/>
        <v/>
      </c>
      <c r="CD417" s="16" t="str">
        <f t="shared" si="300"/>
        <v/>
      </c>
      <c r="CE417" s="16" t="str">
        <f t="shared" si="301"/>
        <v/>
      </c>
      <c r="CF417" s="16" t="str">
        <f t="shared" si="302"/>
        <v/>
      </c>
      <c r="CG417" s="16" t="str">
        <f t="shared" si="303"/>
        <v/>
      </c>
      <c r="CH417" s="16" t="str">
        <f t="shared" si="304"/>
        <v/>
      </c>
      <c r="CI417" s="16" t="str">
        <f t="shared" si="305"/>
        <v/>
      </c>
      <c r="CJ417" s="16" t="str">
        <f t="shared" si="306"/>
        <v/>
      </c>
      <c r="CK417" s="16" t="str">
        <f t="shared" si="307"/>
        <v/>
      </c>
      <c r="CL417" s="16" t="str">
        <f t="shared" si="308"/>
        <v/>
      </c>
      <c r="CM417" s="16" t="str">
        <f t="shared" si="309"/>
        <v/>
      </c>
      <c r="CN417" s="16" t="str">
        <f t="shared" si="310"/>
        <v/>
      </c>
      <c r="CO417" s="16" t="str">
        <f t="shared" si="311"/>
        <v/>
      </c>
      <c r="CP417" s="16" t="str">
        <f t="shared" si="312"/>
        <v/>
      </c>
      <c r="CQ417" s="16" t="str">
        <f t="shared" si="313"/>
        <v/>
      </c>
      <c r="CR417" s="16" t="str">
        <f t="shared" si="314"/>
        <v/>
      </c>
      <c r="CS417" s="16" t="str">
        <f t="shared" si="315"/>
        <v/>
      </c>
      <c r="CT417" s="16" t="str">
        <f t="shared" si="316"/>
        <v/>
      </c>
    </row>
    <row r="418" spans="1:99" x14ac:dyDescent="0.25">
      <c r="A418" s="20"/>
      <c r="B418" s="21"/>
      <c r="C418" s="22" t="str" cm="1">
        <f t="array" ref="C418">IF(B418="","",INDEX('Exercise list'!$C$5:$C$102,B418))</f>
        <v/>
      </c>
      <c r="D418" s="17" t="str">
        <f t="shared" si="274"/>
        <v/>
      </c>
      <c r="E418" s="108" t="str">
        <f t="shared" si="297"/>
        <v/>
      </c>
      <c r="F418" s="65" t="str" cm="1">
        <f t="array" ref="F418">IF(B418="","",0.1+IFERROR(INDEX($F$6:$F417,SUMPRODUCT(MAX(ROW($C$6:$C417)*($C418=$C$6:$C417))-ROW($A$5)))*0.9^($A418-INDEX($A$6:A417,SUMPRODUCT(MAX(ROW($C$6:$C417)*($C418=$C$6:$C417))-ROW($A$5)))),0))</f>
        <v/>
      </c>
      <c r="G418" s="25" t="e">
        <f>INDEX('Exercise list'!$Y$5:$Y$102,MATCH(C418,'Exercise list'!$C$5:$C$102,0))</f>
        <v>#N/A</v>
      </c>
      <c r="H418" s="116">
        <f t="shared" si="275"/>
        <v>0</v>
      </c>
      <c r="I418" s="18">
        <f t="shared" si="276"/>
        <v>5</v>
      </c>
      <c r="J418" s="18" t="str" cm="1">
        <f t="array" ref="J418">IF(B418="","",INDEX('Exercise list'!$D$5:$D$102,B418))</f>
        <v/>
      </c>
      <c r="K418" s="17"/>
      <c r="L418" s="51" t="str" cm="1">
        <f t="array" ref="L418">IF(K418="","",INDEX('Exercise list'!$C$5:$C$102,K418))</f>
        <v/>
      </c>
      <c r="M418" s="18"/>
      <c r="N418" s="76" t="str" cm="1">
        <f t="array" ref="N418">IF(M418="","",INDEX('Exercise list'!$C$5:$C$102,M418))</f>
        <v/>
      </c>
      <c r="O418" s="19"/>
      <c r="P418" s="19">
        <f>IFERROR(INDEX('Exercise list'!$E$5:$X$102,MATCH($C418,'Exercise list'!$C$5:$C$102,0),MATCH(P$5,'Exercise list'!$E$4:$X$4,0)),0)</f>
        <v>0</v>
      </c>
      <c r="Q418" s="19">
        <f>IFERROR(INDEX('Exercise list'!$E$5:$X$102,MATCH($C418,'Exercise list'!$C$5:$C$102,0),MATCH(Q$5,'Exercise list'!$E$4:$X$4,0)),0)</f>
        <v>0</v>
      </c>
      <c r="R418" s="19">
        <f>IFERROR(INDEX('Exercise list'!$E$5:$X$102,MATCH($C418,'Exercise list'!$C$5:$C$102,0),MATCH(R$5,'Exercise list'!$E$4:$X$4,0)),0)</f>
        <v>0</v>
      </c>
      <c r="S418" s="19">
        <f>IFERROR(INDEX('Exercise list'!$E$5:$X$102,MATCH($C418,'Exercise list'!$C$5:$C$102,0),MATCH(S$5,'Exercise list'!$E$4:$X$4,0)),0)</f>
        <v>0</v>
      </c>
      <c r="T418" s="19">
        <f>IFERROR(INDEX('Exercise list'!$E$5:$X$102,MATCH($C418,'Exercise list'!$C$5:$C$102,0),MATCH(T$5,'Exercise list'!$E$4:$X$4,0)),0)</f>
        <v>0</v>
      </c>
      <c r="U418" s="19">
        <f>IFERROR(INDEX('Exercise list'!$E$5:$X$102,MATCH($C418,'Exercise list'!$C$5:$C$102,0),MATCH(U$5,'Exercise list'!$E$4:$X$4,0)),0)</f>
        <v>0</v>
      </c>
      <c r="V418" s="19">
        <f>IFERROR(INDEX('Exercise list'!$E$5:$X$102,MATCH($C418,'Exercise list'!$C$5:$C$102,0),MATCH(V$5,'Exercise list'!$E$4:$X$4,0)),0)</f>
        <v>0</v>
      </c>
      <c r="W418" s="19">
        <f>IFERROR(INDEX('Exercise list'!$E$5:$X$102,MATCH($C418,'Exercise list'!$C$5:$C$102,0),MATCH(W$5,'Exercise list'!$E$4:$X$4,0)),0)</f>
        <v>0</v>
      </c>
      <c r="X418" s="19">
        <f>IFERROR(INDEX('Exercise list'!$E$5:$X$102,MATCH($C418,'Exercise list'!$C$5:$C$102,0),MATCH(X$5,'Exercise list'!$E$4:$X$4,0)),0)</f>
        <v>0</v>
      </c>
      <c r="Y418" s="19">
        <f>IFERROR(INDEX('Exercise list'!$E$5:$X$102,MATCH($C418,'Exercise list'!$C$5:$C$102,0),MATCH(Y$5,'Exercise list'!$E$4:$X$4,0)),0)</f>
        <v>0</v>
      </c>
      <c r="Z418" s="19">
        <f>IFERROR(INDEX('Exercise list'!$E$5:$X$102,MATCH($C418,'Exercise list'!$C$5:$C$102,0),MATCH(Z$5,'Exercise list'!$E$4:$X$4,0)),0)</f>
        <v>0</v>
      </c>
      <c r="AA418" s="19">
        <f>IFERROR(INDEX('Exercise list'!$E$5:$X$102,MATCH($C418,'Exercise list'!$C$5:$C$102,0),MATCH(AA$5,'Exercise list'!$E$4:$X$4,0)),0)</f>
        <v>0</v>
      </c>
      <c r="AB418" s="19">
        <f>IFERROR(INDEX('Exercise list'!$E$5:$X$102,MATCH($C418,'Exercise list'!$C$5:$C$102,0),MATCH(AB$5,'Exercise list'!$E$4:$X$4,0)),0)</f>
        <v>0</v>
      </c>
      <c r="AC418" s="19">
        <f>IFERROR(INDEX('Exercise list'!$E$5:$X$102,MATCH($C418,'Exercise list'!$C$5:$C$102,0),MATCH(AC$5,'Exercise list'!$E$4:$X$4,0)),0)</f>
        <v>0</v>
      </c>
      <c r="AD418" s="19">
        <f>IFERROR(INDEX('Exercise list'!$E$5:$X$102,MATCH($C418,'Exercise list'!$C$5:$C$102,0),MATCH(AD$5,'Exercise list'!$E$4:$X$4,0)),0)</f>
        <v>0</v>
      </c>
      <c r="AE418" s="19">
        <f>IFERROR(INDEX('Exercise list'!$E$5:$X$102,MATCH($C418,'Exercise list'!$C$5:$C$102,0),MATCH(AE$5,'Exercise list'!$E$4:$X$4,0)),0)</f>
        <v>0</v>
      </c>
      <c r="AF418" s="19">
        <f>IFERROR(INDEX('Exercise list'!$E$5:$X$102,MATCH($C418,'Exercise list'!$C$5:$C$102,0),MATCH(AF$5,'Exercise list'!$E$4:$X$4,0)),0)</f>
        <v>0</v>
      </c>
      <c r="AG418" s="19">
        <f>IFERROR(INDEX('Exercise list'!$E$5:$X$102,MATCH($C418,'Exercise list'!$C$5:$C$102,0),MATCH(AG$5,'Exercise list'!$E$4:$X$4,0)),0)</f>
        <v>0</v>
      </c>
      <c r="AH418" s="19">
        <f>IFERROR(INDEX('Exercise list'!$E$5:$X$102,MATCH($C418,'Exercise list'!$C$5:$C$102,0),MATCH(AH$5,'Exercise list'!$E$4:$X$4,0)),0)</f>
        <v>0</v>
      </c>
      <c r="AI418" s="19">
        <f>IFERROR(INDEX('Exercise list'!$E$5:$X$102,MATCH($C418,'Exercise list'!$C$5:$C$102,0),MATCH(AI$5,'Exercise list'!$E$4:$X$4,0)),0)</f>
        <v>0</v>
      </c>
      <c r="AJ418" s="19"/>
      <c r="AK418" s="19">
        <f>IF(OR($J418=1,COUNTIFS($A$5:$A417,"&gt;="&amp;$A418-1,$A$5:$A417,"&lt;="&amp;$A418,$B$5:$B417,$B418)&gt;0,MIN(1-'Exercise list'!E$2,IF($A418=$A417,AK417,1))-P418&lt;0),-1,MIN(1,IF($A418=$A417,AK417,1)-P418+$D$2))</f>
        <v>1</v>
      </c>
      <c r="AL418" s="19">
        <f>IF(OR($J418=1,COUNTIFS($A$5:$A417,"&gt;="&amp;$A418-1,$A$5:$A417,"&lt;="&amp;$A418,$B$5:$B417,$B418)&gt;0,MIN(1-'Exercise list'!F$2,IF($A418=$A417,AL417,1))-Q418&lt;0),-1,MIN(1,IF($A418=$A417,AL417,1)-Q418+$D$2))</f>
        <v>1</v>
      </c>
      <c r="AM418" s="19">
        <f>IF(OR($J418=1,COUNTIFS($A$5:$A417,"&gt;="&amp;$A418-1,$A$5:$A417,"&lt;="&amp;$A418,$B$5:$B417,$B418)&gt;0,MIN(1-'Exercise list'!G$2,IF($A418=$A417,AM417,1))-R418&lt;0),-1,MIN(1,IF($A418=$A417,AM417,1)-R418+$D$2))</f>
        <v>1</v>
      </c>
      <c r="AN418" s="19">
        <f>IF(OR($J418=1,COUNTIFS($A$5:$A417,"&gt;="&amp;$A418-1,$A$5:$A417,"&lt;="&amp;$A418,$B$5:$B417,$B418)&gt;0,MIN(1-'Exercise list'!H$2,IF($A418=$A417,AN417,1))-S418&lt;0),-1,MIN(1,IF($A418=$A417,AN417,1)-S418+$D$2))</f>
        <v>1</v>
      </c>
      <c r="AO418" s="19">
        <f>IF(OR($J418=1,COUNTIFS($A$5:$A417,"&gt;="&amp;$A418-1,$A$5:$A417,"&lt;="&amp;$A418,$B$5:$B417,$B418)&gt;0,MIN(1-'Exercise list'!I$2,IF($A418=$A417,AO417,1))-T418&lt;0),-1,MIN(1,IF($A418=$A417,AO417,1)-T418+$D$2))</f>
        <v>1</v>
      </c>
      <c r="AP418" s="19">
        <f>IF(OR($J418=1,COUNTIFS($A$5:$A417,"&gt;="&amp;$A418-1,$A$5:$A417,"&lt;="&amp;$A418,$B$5:$B417,$B418)&gt;0,MIN(1-'Exercise list'!J$2,IF($A418=$A417,AP417,1))-U418&lt;0),-1,MIN(1,IF($A418=$A417,AP417,1)-U418+$D$2))</f>
        <v>1</v>
      </c>
      <c r="AQ418" s="19">
        <f>IF(OR($J418=1,COUNTIFS($A$5:$A417,"&gt;="&amp;$A418-1,$A$5:$A417,"&lt;="&amp;$A418,$B$5:$B417,$B418)&gt;0,MIN(1-'Exercise list'!K$2,IF($A418=$A417,AQ417,1))-V418&lt;0),-1,MIN(1,IF($A418=$A417,AQ417,1)-V418+$D$2))</f>
        <v>1</v>
      </c>
      <c r="AR418" s="19">
        <f>IF(OR($J418=1,COUNTIFS($A$5:$A417,"&gt;="&amp;$A418-1,$A$5:$A417,"&lt;="&amp;$A418,$B$5:$B417,$B418)&gt;0,MIN(1-'Exercise list'!L$2,IF($A418=$A417,AR417,1))-W418&lt;0),-1,MIN(1,IF($A418=$A417,AR417,1)-W418+$D$2))</f>
        <v>1</v>
      </c>
      <c r="AS418" s="19">
        <f>IF(OR($J418=1,COUNTIFS($A$5:$A417,"&gt;="&amp;$A418-1,$A$5:$A417,"&lt;="&amp;$A418,$B$5:$B417,$B418)&gt;0,MIN(1-'Exercise list'!M$2,IF($A418=$A417,AS417,1))-X418&lt;0),-1,MIN(1,IF($A418=$A417,AS417,1)-X418+$D$2))</f>
        <v>1</v>
      </c>
      <c r="AT418" s="19">
        <f>IF(OR($J418=1,COUNTIFS($A$5:$A417,"&gt;="&amp;$A418-1,$A$5:$A417,"&lt;="&amp;$A418,$B$5:$B417,$B418)&gt;0,MIN(1-'Exercise list'!N$2,IF($A418=$A417,AT417,1))-Y418&lt;0),-1,MIN(1,IF($A418=$A417,AT417,1)-Y418+$D$2))</f>
        <v>1</v>
      </c>
      <c r="AU418" s="19">
        <f>IF(OR($J418=1,COUNTIFS($A$5:$A417,"&gt;="&amp;$A418-1,$A$5:$A417,"&lt;="&amp;$A418,$B$5:$B417,$B418)&gt;0,MIN(1-'Exercise list'!O$2,IF($A418=$A417,AU417,1))-Z418&lt;0),-1,MIN(1,IF($A418=$A417,AU417,1)-Z418+$D$2))</f>
        <v>1</v>
      </c>
      <c r="AV418" s="19">
        <f>IF(OR($J418=1,COUNTIFS($A$5:$A417,"&gt;="&amp;$A418-1,$A$5:$A417,"&lt;="&amp;$A418,$B$5:$B417,$B418)&gt;0,MIN(1-'Exercise list'!P$2,IF($A418=$A417,AV417,1))-AA418&lt;0),-1,MIN(1,IF($A418=$A417,AV417,1)-AA418+$D$2))</f>
        <v>1</v>
      </c>
      <c r="AW418" s="19">
        <f>IF(OR($J418=1,COUNTIFS($A$5:$A417,"&gt;="&amp;$A418-1,$A$5:$A417,"&lt;="&amp;$A418,$B$5:$B417,$B418)&gt;0,MIN(1-'Exercise list'!Q$2,IF($A418=$A417,AW417,1))-AB418&lt;0),-1,MIN(1,IF($A418=$A417,AW417,1)-AB418+$D$2))</f>
        <v>1</v>
      </c>
      <c r="AX418" s="19">
        <f>IF(OR($J418=1,COUNTIFS($A$5:$A417,"&gt;="&amp;$A418-1,$A$5:$A417,"&lt;="&amp;$A418,$B$5:$B417,$B418)&gt;0,MIN(1-'Exercise list'!R$2,IF($A418=$A417,AX417,1))-AC418&lt;0),-1,MIN(1,IF($A418=$A417,AX417,1)-AC418+$D$2))</f>
        <v>1</v>
      </c>
      <c r="AY418" s="19">
        <f>IF(OR($J418=1,COUNTIFS($A$5:$A417,"&gt;="&amp;$A418-1,$A$5:$A417,"&lt;="&amp;$A418,$B$5:$B417,$B418)&gt;0,MIN(1-'Exercise list'!S$2,IF($A418=$A417,AY417,1))-AD418&lt;0),-1,MIN(1,IF($A418=$A417,AY417,1)-AD418+$D$2))</f>
        <v>1</v>
      </c>
      <c r="AZ418" s="19">
        <f>IF(OR($J418=1,COUNTIFS($A$5:$A417,"&gt;="&amp;$A418-1,$A$5:$A417,"&lt;="&amp;$A418,$B$5:$B417,$B418)&gt;0,MIN(1-'Exercise list'!T$2,IF($A418=$A417,AZ417,1))-AE418&lt;0),-1,MIN(1,IF($A418=$A417,AZ417,1)-AE418+$D$2))</f>
        <v>1</v>
      </c>
      <c r="BA418" s="19">
        <f>IF(OR($J418=1,COUNTIFS($A$5:$A417,"&gt;="&amp;$A418-1,$A$5:$A417,"&lt;="&amp;$A418,$B$5:$B417,$B418)&gt;0,MIN(1-'Exercise list'!U$2,IF($A418=$A417,BA417,1))-AF418&lt;0),-1,MIN(1,IF($A418=$A417,BA417,1)-AF418+$D$2))</f>
        <v>1</v>
      </c>
      <c r="BB418" s="19">
        <f>IF(OR($J418=1,COUNTIFS($A$5:$A417,"&gt;="&amp;$A418-1,$A$5:$A417,"&lt;="&amp;$A418,$B$5:$B417,$B418)&gt;0,MIN(1-'Exercise list'!V$2,IF($A418=$A417,BB417,1))-AG418&lt;0),-1,MIN(1,IF($A418=$A417,BB417,1)-AG418+$D$2))</f>
        <v>1</v>
      </c>
      <c r="BC418" s="19">
        <f>IF(OR($J418=1,COUNTIFS($A$5:$A417,"&gt;="&amp;$A418-1,$A$5:$A417,"&lt;="&amp;$A418,$B$5:$B417,$B418)&gt;0,MIN(1-'Exercise list'!W$2,IF($A418=$A417,BC417,1))-AH418&lt;0),-1,MIN(1,IF($A418=$A417,BC417,1)-AH418+$D$2))</f>
        <v>1</v>
      </c>
      <c r="BD418" s="19">
        <f>IF(OR($J418=1,COUNTIFS($A$5:$A417,"&gt;="&amp;$A418-1,$A$5:$A417,"&lt;="&amp;$A418,$B$5:$B417,$B418)&gt;0,MIN(1-'Exercise list'!X$2,IF($A418=$A417,BD417,1))-AI418&lt;0),-1,MIN(1,IF($A418=$A417,BD417,1)-AI418+$D$2))</f>
        <v>1</v>
      </c>
      <c r="BE418" s="19"/>
      <c r="BF418" s="23">
        <f t="shared" si="277"/>
        <v>0.19596031081758858</v>
      </c>
      <c r="BG418" s="23">
        <f t="shared" si="278"/>
        <v>0.21844636935459236</v>
      </c>
      <c r="BH418" s="23">
        <f t="shared" si="279"/>
        <v>0.14609696635987124</v>
      </c>
      <c r="BI418" s="23">
        <f t="shared" si="280"/>
        <v>0.13198015366034541</v>
      </c>
      <c r="BJ418" s="23">
        <f t="shared" si="281"/>
        <v>8.3367914198418713E-2</v>
      </c>
      <c r="BK418" s="23">
        <f t="shared" si="282"/>
        <v>0.10640640223148412</v>
      </c>
      <c r="BL418" s="23">
        <f t="shared" si="283"/>
        <v>0.21963504743569431</v>
      </c>
      <c r="BM418" s="23">
        <f t="shared" si="284"/>
        <v>3.8988008374820568E-3</v>
      </c>
      <c r="BN418" s="23">
        <f t="shared" si="285"/>
        <v>0.14537706087090876</v>
      </c>
      <c r="BO418" s="23">
        <f t="shared" si="286"/>
        <v>0.29209790661993401</v>
      </c>
      <c r="BP418" s="23">
        <f t="shared" si="287"/>
        <v>0.31584545163401867</v>
      </c>
      <c r="BQ418" s="23">
        <f t="shared" si="288"/>
        <v>0.1000007994126096</v>
      </c>
      <c r="BR418" s="23">
        <f t="shared" si="289"/>
        <v>0.13164487759885393</v>
      </c>
      <c r="BS418" s="23">
        <f t="shared" si="290"/>
        <v>2.9803550189863123E-2</v>
      </c>
      <c r="BT418" s="23">
        <f t="shared" si="291"/>
        <v>0.13492040904978705</v>
      </c>
      <c r="BU418" s="23">
        <f t="shared" si="292"/>
        <v>0.11703687414398131</v>
      </c>
      <c r="BV418" s="23">
        <f t="shared" si="293"/>
        <v>0.14633353213781661</v>
      </c>
      <c r="BW418" s="23">
        <f t="shared" si="294"/>
        <v>7.5588015111767173E-2</v>
      </c>
      <c r="BX418" s="23">
        <f t="shared" si="295"/>
        <v>8.0345659937185704E-2</v>
      </c>
      <c r="BY418" s="23">
        <f t="shared" si="296"/>
        <v>5.9014643151272549E-2</v>
      </c>
      <c r="BZ418" s="19"/>
      <c r="CA418" s="23" t="str">
        <f t="shared" si="317"/>
        <v/>
      </c>
      <c r="CB418" s="23" t="str">
        <f t="shared" si="298"/>
        <v/>
      </c>
      <c r="CC418" s="23" t="str">
        <f t="shared" si="299"/>
        <v/>
      </c>
      <c r="CD418" s="23" t="str">
        <f t="shared" si="300"/>
        <v/>
      </c>
      <c r="CE418" s="23" t="str">
        <f t="shared" si="301"/>
        <v/>
      </c>
      <c r="CF418" s="23" t="str">
        <f t="shared" si="302"/>
        <v/>
      </c>
      <c r="CG418" s="23" t="str">
        <f t="shared" si="303"/>
        <v/>
      </c>
      <c r="CH418" s="23" t="str">
        <f t="shared" si="304"/>
        <v/>
      </c>
      <c r="CI418" s="23" t="str">
        <f t="shared" si="305"/>
        <v/>
      </c>
      <c r="CJ418" s="23" t="str">
        <f t="shared" si="306"/>
        <v/>
      </c>
      <c r="CK418" s="23" t="str">
        <f t="shared" si="307"/>
        <v/>
      </c>
      <c r="CL418" s="23" t="str">
        <f t="shared" si="308"/>
        <v/>
      </c>
      <c r="CM418" s="23" t="str">
        <f t="shared" si="309"/>
        <v/>
      </c>
      <c r="CN418" s="23" t="str">
        <f t="shared" si="310"/>
        <v/>
      </c>
      <c r="CO418" s="23" t="str">
        <f t="shared" si="311"/>
        <v/>
      </c>
      <c r="CP418" s="23" t="str">
        <f t="shared" si="312"/>
        <v/>
      </c>
      <c r="CQ418" s="23" t="str">
        <f t="shared" si="313"/>
        <v/>
      </c>
      <c r="CR418" s="23" t="str">
        <f t="shared" si="314"/>
        <v/>
      </c>
      <c r="CS418" s="23" t="str">
        <f t="shared" si="315"/>
        <v/>
      </c>
      <c r="CT418" s="23" t="str">
        <f t="shared" si="316"/>
        <v/>
      </c>
      <c r="CU418" s="19"/>
    </row>
    <row r="419" spans="1:99" x14ac:dyDescent="0.25">
      <c r="A419" s="13"/>
      <c r="B419" s="14"/>
      <c r="C419" s="15" t="str" cm="1">
        <f t="array" ref="C419">IF(B419="","",INDEX('Exercise list'!$C$5:$C$102,B419))</f>
        <v/>
      </c>
      <c r="D419" s="12" t="str">
        <f t="shared" ref="D419:D453" si="318">IF(C419="","",MIN(AK419:BD419))</f>
        <v/>
      </c>
      <c r="E419" s="107" t="str">
        <f t="shared" si="297"/>
        <v/>
      </c>
      <c r="F419" s="63" t="str" cm="1">
        <f t="array" ref="F419">IF(B419="","",0.1+IFERROR(INDEX($F$6:$F418,SUMPRODUCT(MAX(ROW($C$6:$C418)*($C419=$C$6:$C418))-ROW($A$5)))*0.9^($A419-INDEX($A$6:A418,SUMPRODUCT(MAX(ROW($C$6:$C418)*($C419=$C$6:$C418))-ROW($A$5)))),0))</f>
        <v/>
      </c>
      <c r="G419" s="64" t="e">
        <f>INDEX('Exercise list'!$Y$5:$Y$102,MATCH(C419,'Exercise list'!$C$5:$C$102,0))</f>
        <v>#N/A</v>
      </c>
      <c r="H419" s="115">
        <f t="shared" ref="H419:H453" si="319">SQRT(SUMPRODUCT(CA419:CT419,CA419:CT419)/20)</f>
        <v>0</v>
      </c>
      <c r="I419" s="42">
        <f t="shared" ref="I419:I453" si="320">IF(A419&gt;A418,1,IF(A419&gt;A417,2,IF(A419&gt;A416,3,IF(A419&gt;A415,4,5))))</f>
        <v>5</v>
      </c>
      <c r="J419" s="6" t="str" cm="1">
        <f t="array" ref="J419">IF(B419="","",INDEX('Exercise list'!$D$5:$D$102,B419))</f>
        <v/>
      </c>
      <c r="K419" s="12"/>
      <c r="L419" s="74" t="str" cm="1">
        <f t="array" ref="L419">IF(K419="","",INDEX('Exercise list'!$C$5:$C$102,K419))</f>
        <v/>
      </c>
      <c r="M419" s="6"/>
      <c r="N419" s="75" t="str" cm="1">
        <f t="array" ref="N419">IF(M419="","",INDEX('Exercise list'!$C$5:$C$102,M419))</f>
        <v/>
      </c>
      <c r="P419">
        <f>IFERROR(INDEX('Exercise list'!$E$5:$X$102,MATCH($C419,'Exercise list'!$C$5:$C$102,0),MATCH(P$5,'Exercise list'!$E$4:$X$4,0)),0)</f>
        <v>0</v>
      </c>
      <c r="Q419">
        <f>IFERROR(INDEX('Exercise list'!$E$5:$X$102,MATCH($C419,'Exercise list'!$C$5:$C$102,0),MATCH(Q$5,'Exercise list'!$E$4:$X$4,0)),0)</f>
        <v>0</v>
      </c>
      <c r="R419">
        <f>IFERROR(INDEX('Exercise list'!$E$5:$X$102,MATCH($C419,'Exercise list'!$C$5:$C$102,0),MATCH(R$5,'Exercise list'!$E$4:$X$4,0)),0)</f>
        <v>0</v>
      </c>
      <c r="S419">
        <f>IFERROR(INDEX('Exercise list'!$E$5:$X$102,MATCH($C419,'Exercise list'!$C$5:$C$102,0),MATCH(S$5,'Exercise list'!$E$4:$X$4,0)),0)</f>
        <v>0</v>
      </c>
      <c r="T419">
        <f>IFERROR(INDEX('Exercise list'!$E$5:$X$102,MATCH($C419,'Exercise list'!$C$5:$C$102,0),MATCH(T$5,'Exercise list'!$E$4:$X$4,0)),0)</f>
        <v>0</v>
      </c>
      <c r="U419">
        <f>IFERROR(INDEX('Exercise list'!$E$5:$X$102,MATCH($C419,'Exercise list'!$C$5:$C$102,0),MATCH(U$5,'Exercise list'!$E$4:$X$4,0)),0)</f>
        <v>0</v>
      </c>
      <c r="V419">
        <f>IFERROR(INDEX('Exercise list'!$E$5:$X$102,MATCH($C419,'Exercise list'!$C$5:$C$102,0),MATCH(V$5,'Exercise list'!$E$4:$X$4,0)),0)</f>
        <v>0</v>
      </c>
      <c r="W419">
        <f>IFERROR(INDEX('Exercise list'!$E$5:$X$102,MATCH($C419,'Exercise list'!$C$5:$C$102,0),MATCH(W$5,'Exercise list'!$E$4:$X$4,0)),0)</f>
        <v>0</v>
      </c>
      <c r="X419">
        <f>IFERROR(INDEX('Exercise list'!$E$5:$X$102,MATCH($C419,'Exercise list'!$C$5:$C$102,0),MATCH(X$5,'Exercise list'!$E$4:$X$4,0)),0)</f>
        <v>0</v>
      </c>
      <c r="Y419">
        <f>IFERROR(INDEX('Exercise list'!$E$5:$X$102,MATCH($C419,'Exercise list'!$C$5:$C$102,0),MATCH(Y$5,'Exercise list'!$E$4:$X$4,0)),0)</f>
        <v>0</v>
      </c>
      <c r="Z419">
        <f>IFERROR(INDEX('Exercise list'!$E$5:$X$102,MATCH($C419,'Exercise list'!$C$5:$C$102,0),MATCH(Z$5,'Exercise list'!$E$4:$X$4,0)),0)</f>
        <v>0</v>
      </c>
      <c r="AA419">
        <f>IFERROR(INDEX('Exercise list'!$E$5:$X$102,MATCH($C419,'Exercise list'!$C$5:$C$102,0),MATCH(AA$5,'Exercise list'!$E$4:$X$4,0)),0)</f>
        <v>0</v>
      </c>
      <c r="AB419">
        <f>IFERROR(INDEX('Exercise list'!$E$5:$X$102,MATCH($C419,'Exercise list'!$C$5:$C$102,0),MATCH(AB$5,'Exercise list'!$E$4:$X$4,0)),0)</f>
        <v>0</v>
      </c>
      <c r="AC419">
        <f>IFERROR(INDEX('Exercise list'!$E$5:$X$102,MATCH($C419,'Exercise list'!$C$5:$C$102,0),MATCH(AC$5,'Exercise list'!$E$4:$X$4,0)),0)</f>
        <v>0</v>
      </c>
      <c r="AD419">
        <f>IFERROR(INDEX('Exercise list'!$E$5:$X$102,MATCH($C419,'Exercise list'!$C$5:$C$102,0),MATCH(AD$5,'Exercise list'!$E$4:$X$4,0)),0)</f>
        <v>0</v>
      </c>
      <c r="AE419">
        <f>IFERROR(INDEX('Exercise list'!$E$5:$X$102,MATCH($C419,'Exercise list'!$C$5:$C$102,0),MATCH(AE$5,'Exercise list'!$E$4:$X$4,0)),0)</f>
        <v>0</v>
      </c>
      <c r="AF419">
        <f>IFERROR(INDEX('Exercise list'!$E$5:$X$102,MATCH($C419,'Exercise list'!$C$5:$C$102,0),MATCH(AF$5,'Exercise list'!$E$4:$X$4,0)),0)</f>
        <v>0</v>
      </c>
      <c r="AG419">
        <f>IFERROR(INDEX('Exercise list'!$E$5:$X$102,MATCH($C419,'Exercise list'!$C$5:$C$102,0),MATCH(AG$5,'Exercise list'!$E$4:$X$4,0)),0)</f>
        <v>0</v>
      </c>
      <c r="AH419">
        <f>IFERROR(INDEX('Exercise list'!$E$5:$X$102,MATCH($C419,'Exercise list'!$C$5:$C$102,0),MATCH(AH$5,'Exercise list'!$E$4:$X$4,0)),0)</f>
        <v>0</v>
      </c>
      <c r="AI419">
        <f>IFERROR(INDEX('Exercise list'!$E$5:$X$102,MATCH($C419,'Exercise list'!$C$5:$C$102,0),MATCH(AI$5,'Exercise list'!$E$4:$X$4,0)),0)</f>
        <v>0</v>
      </c>
      <c r="AK419">
        <f>IF(OR($J419=1,COUNTIFS($A$5:$A418,"&gt;="&amp;$A419-1,$A$5:$A418,"&lt;="&amp;$A419,$B$5:$B418,$B419)&gt;0,MIN(1-'Exercise list'!E$2,IF($A419=$A418,AK418,1))-P419&lt;0),-1,MIN(1,IF($A419=$A418,AK418,1)-P419+$D$2))</f>
        <v>1</v>
      </c>
      <c r="AL419">
        <f>IF(OR($J419=1,COUNTIFS($A$5:$A418,"&gt;="&amp;$A419-1,$A$5:$A418,"&lt;="&amp;$A419,$B$5:$B418,$B419)&gt;0,MIN(1-'Exercise list'!F$2,IF($A419=$A418,AL418,1))-Q419&lt;0),-1,MIN(1,IF($A419=$A418,AL418,1)-Q419+$D$2))</f>
        <v>1</v>
      </c>
      <c r="AM419">
        <f>IF(OR($J419=1,COUNTIFS($A$5:$A418,"&gt;="&amp;$A419-1,$A$5:$A418,"&lt;="&amp;$A419,$B$5:$B418,$B419)&gt;0,MIN(1-'Exercise list'!G$2,IF($A419=$A418,AM418,1))-R419&lt;0),-1,MIN(1,IF($A419=$A418,AM418,1)-R419+$D$2))</f>
        <v>1</v>
      </c>
      <c r="AN419">
        <f>IF(OR($J419=1,COUNTIFS($A$5:$A418,"&gt;="&amp;$A419-1,$A$5:$A418,"&lt;="&amp;$A419,$B$5:$B418,$B419)&gt;0,MIN(1-'Exercise list'!H$2,IF($A419=$A418,AN418,1))-S419&lt;0),-1,MIN(1,IF($A419=$A418,AN418,1)-S419+$D$2))</f>
        <v>1</v>
      </c>
      <c r="AO419">
        <f>IF(OR($J419=1,COUNTIFS($A$5:$A418,"&gt;="&amp;$A419-1,$A$5:$A418,"&lt;="&amp;$A419,$B$5:$B418,$B419)&gt;0,MIN(1-'Exercise list'!I$2,IF($A419=$A418,AO418,1))-T419&lt;0),-1,MIN(1,IF($A419=$A418,AO418,1)-T419+$D$2))</f>
        <v>1</v>
      </c>
      <c r="AP419">
        <f>IF(OR($J419=1,COUNTIFS($A$5:$A418,"&gt;="&amp;$A419-1,$A$5:$A418,"&lt;="&amp;$A419,$B$5:$B418,$B419)&gt;0,MIN(1-'Exercise list'!J$2,IF($A419=$A418,AP418,1))-U419&lt;0),-1,MIN(1,IF($A419=$A418,AP418,1)-U419+$D$2))</f>
        <v>1</v>
      </c>
      <c r="AQ419">
        <f>IF(OR($J419=1,COUNTIFS($A$5:$A418,"&gt;="&amp;$A419-1,$A$5:$A418,"&lt;="&amp;$A419,$B$5:$B418,$B419)&gt;0,MIN(1-'Exercise list'!K$2,IF($A419=$A418,AQ418,1))-V419&lt;0),-1,MIN(1,IF($A419=$A418,AQ418,1)-V419+$D$2))</f>
        <v>1</v>
      </c>
      <c r="AR419">
        <f>IF(OR($J419=1,COUNTIFS($A$5:$A418,"&gt;="&amp;$A419-1,$A$5:$A418,"&lt;="&amp;$A419,$B$5:$B418,$B419)&gt;0,MIN(1-'Exercise list'!L$2,IF($A419=$A418,AR418,1))-W419&lt;0),-1,MIN(1,IF($A419=$A418,AR418,1)-W419+$D$2))</f>
        <v>1</v>
      </c>
      <c r="AS419">
        <f>IF(OR($J419=1,COUNTIFS($A$5:$A418,"&gt;="&amp;$A419-1,$A$5:$A418,"&lt;="&amp;$A419,$B$5:$B418,$B419)&gt;0,MIN(1-'Exercise list'!M$2,IF($A419=$A418,AS418,1))-X419&lt;0),-1,MIN(1,IF($A419=$A418,AS418,1)-X419+$D$2))</f>
        <v>1</v>
      </c>
      <c r="AT419">
        <f>IF(OR($J419=1,COUNTIFS($A$5:$A418,"&gt;="&amp;$A419-1,$A$5:$A418,"&lt;="&amp;$A419,$B$5:$B418,$B419)&gt;0,MIN(1-'Exercise list'!N$2,IF($A419=$A418,AT418,1))-Y419&lt;0),-1,MIN(1,IF($A419=$A418,AT418,1)-Y419+$D$2))</f>
        <v>1</v>
      </c>
      <c r="AU419">
        <f>IF(OR($J419=1,COUNTIFS($A$5:$A418,"&gt;="&amp;$A419-1,$A$5:$A418,"&lt;="&amp;$A419,$B$5:$B418,$B419)&gt;0,MIN(1-'Exercise list'!O$2,IF($A419=$A418,AU418,1))-Z419&lt;0),-1,MIN(1,IF($A419=$A418,AU418,1)-Z419+$D$2))</f>
        <v>1</v>
      </c>
      <c r="AV419">
        <f>IF(OR($J419=1,COUNTIFS($A$5:$A418,"&gt;="&amp;$A419-1,$A$5:$A418,"&lt;="&amp;$A419,$B$5:$B418,$B419)&gt;0,MIN(1-'Exercise list'!P$2,IF($A419=$A418,AV418,1))-AA419&lt;0),-1,MIN(1,IF($A419=$A418,AV418,1)-AA419+$D$2))</f>
        <v>1</v>
      </c>
      <c r="AW419">
        <f>IF(OR($J419=1,COUNTIFS($A$5:$A418,"&gt;="&amp;$A419-1,$A$5:$A418,"&lt;="&amp;$A419,$B$5:$B418,$B419)&gt;0,MIN(1-'Exercise list'!Q$2,IF($A419=$A418,AW418,1))-AB419&lt;0),-1,MIN(1,IF($A419=$A418,AW418,1)-AB419+$D$2))</f>
        <v>1</v>
      </c>
      <c r="AX419">
        <f>IF(OR($J419=1,COUNTIFS($A$5:$A418,"&gt;="&amp;$A419-1,$A$5:$A418,"&lt;="&amp;$A419,$B$5:$B418,$B419)&gt;0,MIN(1-'Exercise list'!R$2,IF($A419=$A418,AX418,1))-AC419&lt;0),-1,MIN(1,IF($A419=$A418,AX418,1)-AC419+$D$2))</f>
        <v>1</v>
      </c>
      <c r="AY419">
        <f>IF(OR($J419=1,COUNTIFS($A$5:$A418,"&gt;="&amp;$A419-1,$A$5:$A418,"&lt;="&amp;$A419,$B$5:$B418,$B419)&gt;0,MIN(1-'Exercise list'!S$2,IF($A419=$A418,AY418,1))-AD419&lt;0),-1,MIN(1,IF($A419=$A418,AY418,1)-AD419+$D$2))</f>
        <v>1</v>
      </c>
      <c r="AZ419">
        <f>IF(OR($J419=1,COUNTIFS($A$5:$A418,"&gt;="&amp;$A419-1,$A$5:$A418,"&lt;="&amp;$A419,$B$5:$B418,$B419)&gt;0,MIN(1-'Exercise list'!T$2,IF($A419=$A418,AZ418,1))-AE419&lt;0),-1,MIN(1,IF($A419=$A418,AZ418,1)-AE419+$D$2))</f>
        <v>1</v>
      </c>
      <c r="BA419">
        <f>IF(OR($J419=1,COUNTIFS($A$5:$A418,"&gt;="&amp;$A419-1,$A$5:$A418,"&lt;="&amp;$A419,$B$5:$B418,$B419)&gt;0,MIN(1-'Exercise list'!U$2,IF($A419=$A418,BA418,1))-AF419&lt;0),-1,MIN(1,IF($A419=$A418,BA418,1)-AF419+$D$2))</f>
        <v>1</v>
      </c>
      <c r="BB419">
        <f>IF(OR($J419=1,COUNTIFS($A$5:$A418,"&gt;="&amp;$A419-1,$A$5:$A418,"&lt;="&amp;$A419,$B$5:$B418,$B419)&gt;0,MIN(1-'Exercise list'!V$2,IF($A419=$A418,BB418,1))-AG419&lt;0),-1,MIN(1,IF($A419=$A418,BB418,1)-AG419+$D$2))</f>
        <v>1</v>
      </c>
      <c r="BC419">
        <f>IF(OR($J419=1,COUNTIFS($A$5:$A418,"&gt;="&amp;$A419-1,$A$5:$A418,"&lt;="&amp;$A419,$B$5:$B418,$B419)&gt;0,MIN(1-'Exercise list'!W$2,IF($A419=$A418,BC418,1))-AH419&lt;0),-1,MIN(1,IF($A419=$A418,BC418,1)-AH419+$D$2))</f>
        <v>1</v>
      </c>
      <c r="BD419">
        <f>IF(OR($J419=1,COUNTIFS($A$5:$A418,"&gt;="&amp;$A419-1,$A$5:$A418,"&lt;="&amp;$A419,$B$5:$B418,$B419)&gt;0,MIN(1-'Exercise list'!X$2,IF($A419=$A418,BD418,1))-AI419&lt;0),-1,MIN(1,IF($A419=$A418,BD418,1)-AI419+$D$2))</f>
        <v>1</v>
      </c>
      <c r="BF419" s="16">
        <f t="shared" ref="BF419:BF454" si="321">IF($B419&lt;6,BF418,$AN$2*P419+(1-$AN$2)*BF418)</f>
        <v>0.19596031081758858</v>
      </c>
      <c r="BG419" s="16">
        <f t="shared" ref="BG419:BG454" si="322">IF($B419&lt;6,BG418,$AN$2*Q419+(1-$AN$2)*BG418)</f>
        <v>0.21844636935459236</v>
      </c>
      <c r="BH419" s="16">
        <f t="shared" ref="BH419:BH454" si="323">IF($B419&lt;6,BH418,$AN$2*R419+(1-$AN$2)*BH418)</f>
        <v>0.14609696635987124</v>
      </c>
      <c r="BI419" s="16">
        <f t="shared" ref="BI419:BI454" si="324">IF($B419&lt;6,BI418,$AN$2*S419+(1-$AN$2)*BI418)</f>
        <v>0.13198015366034541</v>
      </c>
      <c r="BJ419" s="16">
        <f t="shared" ref="BJ419:BJ454" si="325">IF($B419&lt;6,BJ418,$AN$2*T419+(1-$AN$2)*BJ418)</f>
        <v>8.3367914198418713E-2</v>
      </c>
      <c r="BK419" s="16">
        <f t="shared" ref="BK419:BK454" si="326">IF($B419&lt;6,BK418,$AN$2*U419+(1-$AN$2)*BK418)</f>
        <v>0.10640640223148412</v>
      </c>
      <c r="BL419" s="16">
        <f t="shared" ref="BL419:BL454" si="327">IF($B419&lt;6,BL418,$AN$2*V419+(1-$AN$2)*BL418)</f>
        <v>0.21963504743569431</v>
      </c>
      <c r="BM419" s="16">
        <f t="shared" ref="BM419:BM454" si="328">IF($B419&lt;6,BM418,$AN$2*W419+(1-$AN$2)*BM418)</f>
        <v>3.8988008374820568E-3</v>
      </c>
      <c r="BN419" s="16">
        <f t="shared" ref="BN419:BN454" si="329">IF($B419&lt;6,BN418,$AN$2*X419+(1-$AN$2)*BN418)</f>
        <v>0.14537706087090876</v>
      </c>
      <c r="BO419" s="16">
        <f t="shared" ref="BO419:BO454" si="330">IF($B419&lt;6,BO418,$AN$2*Y419+(1-$AN$2)*BO418)</f>
        <v>0.29209790661993401</v>
      </c>
      <c r="BP419" s="16">
        <f t="shared" ref="BP419:BP454" si="331">IF($B419&lt;6,BP418,$AN$2*Z419+(1-$AN$2)*BP418)</f>
        <v>0.31584545163401867</v>
      </c>
      <c r="BQ419" s="16">
        <f t="shared" ref="BQ419:BQ454" si="332">IF($B419&lt;6,BQ418,$AN$2*AA419+(1-$AN$2)*BQ418)</f>
        <v>0.1000007994126096</v>
      </c>
      <c r="BR419" s="16">
        <f t="shared" ref="BR419:BR454" si="333">IF($B419&lt;6,BR418,$AN$2*AB419+(1-$AN$2)*BR418)</f>
        <v>0.13164487759885393</v>
      </c>
      <c r="BS419" s="16">
        <f t="shared" ref="BS419:BS454" si="334">IF($B419&lt;6,BS418,$AN$2*AC419+(1-$AN$2)*BS418)</f>
        <v>2.9803550189863123E-2</v>
      </c>
      <c r="BT419" s="16">
        <f t="shared" ref="BT419:BT454" si="335">IF($B419&lt;6,BT418,$AN$2*AD419+(1-$AN$2)*BT418)</f>
        <v>0.13492040904978705</v>
      </c>
      <c r="BU419" s="16">
        <f t="shared" ref="BU419:BU454" si="336">IF($B419&lt;6,BU418,$AN$2*AE419+(1-$AN$2)*BU418)</f>
        <v>0.11703687414398131</v>
      </c>
      <c r="BV419" s="16">
        <f t="shared" ref="BV419:BV454" si="337">IF($B419&lt;6,BV418,$AN$2*AF419+(1-$AN$2)*BV418)</f>
        <v>0.14633353213781661</v>
      </c>
      <c r="BW419" s="16">
        <f t="shared" ref="BW419:BW454" si="338">IF($B419&lt;6,BW418,$AN$2*AG419+(1-$AN$2)*BW418)</f>
        <v>7.5588015111767173E-2</v>
      </c>
      <c r="BX419" s="16">
        <f t="shared" ref="BX419:BX454" si="339">IF($B419&lt;6,BX418,$AN$2*AH419+(1-$AN$2)*BX418)</f>
        <v>8.0345659937185704E-2</v>
      </c>
      <c r="BY419" s="16">
        <f t="shared" ref="BY419:BY454" si="340">IF($B419&lt;6,BY418,$AN$2*AI419+(1-$AN$2)*BY418)</f>
        <v>5.9014643151272549E-2</v>
      </c>
      <c r="CA419" s="16" t="str">
        <f t="shared" si="317"/>
        <v/>
      </c>
      <c r="CB419" s="16" t="str">
        <f t="shared" si="298"/>
        <v/>
      </c>
      <c r="CC419" s="16" t="str">
        <f t="shared" si="299"/>
        <v/>
      </c>
      <c r="CD419" s="16" t="str">
        <f t="shared" si="300"/>
        <v/>
      </c>
      <c r="CE419" s="16" t="str">
        <f t="shared" si="301"/>
        <v/>
      </c>
      <c r="CF419" s="16" t="str">
        <f t="shared" si="302"/>
        <v/>
      </c>
      <c r="CG419" s="16" t="str">
        <f t="shared" si="303"/>
        <v/>
      </c>
      <c r="CH419" s="16" t="str">
        <f t="shared" si="304"/>
        <v/>
      </c>
      <c r="CI419" s="16" t="str">
        <f t="shared" si="305"/>
        <v/>
      </c>
      <c r="CJ419" s="16" t="str">
        <f t="shared" si="306"/>
        <v/>
      </c>
      <c r="CK419" s="16" t="str">
        <f t="shared" si="307"/>
        <v/>
      </c>
      <c r="CL419" s="16" t="str">
        <f t="shared" si="308"/>
        <v/>
      </c>
      <c r="CM419" s="16" t="str">
        <f t="shared" si="309"/>
        <v/>
      </c>
      <c r="CN419" s="16" t="str">
        <f t="shared" si="310"/>
        <v/>
      </c>
      <c r="CO419" s="16" t="str">
        <f t="shared" si="311"/>
        <v/>
      </c>
      <c r="CP419" s="16" t="str">
        <f t="shared" si="312"/>
        <v/>
      </c>
      <c r="CQ419" s="16" t="str">
        <f t="shared" si="313"/>
        <v/>
      </c>
      <c r="CR419" s="16" t="str">
        <f t="shared" si="314"/>
        <v/>
      </c>
      <c r="CS419" s="16" t="str">
        <f t="shared" si="315"/>
        <v/>
      </c>
      <c r="CT419" s="16" t="str">
        <f t="shared" si="316"/>
        <v/>
      </c>
    </row>
    <row r="420" spans="1:99" x14ac:dyDescent="0.25">
      <c r="A420" s="13"/>
      <c r="B420" s="14"/>
      <c r="C420" s="15" t="str" cm="1">
        <f t="array" ref="C420">IF(B420="","",INDEX('Exercise list'!$C$5:$C$102,B420))</f>
        <v/>
      </c>
      <c r="D420" s="12" t="str">
        <f t="shared" si="318"/>
        <v/>
      </c>
      <c r="E420" s="107" t="str">
        <f t="shared" ref="E420:E453" si="341">IF(C420="","",IFERROR(
(1+9*(F420-$F$3)/($F$4-$F$3))^$F$2*
IF(B420&lt;=5,1,
(1+9*(G420-$G$3)/($G$4-$G$3))^$G$2*
(1+9*(H420-$H$3)/($H$4-$H$3))^$H$2),
0))</f>
        <v/>
      </c>
      <c r="F420" s="63" t="str" cm="1">
        <f t="array" ref="F420">IF(B420="","",0.1+IFERROR(INDEX($F$6:$F419,SUMPRODUCT(MAX(ROW($C$6:$C419)*($C420=$C$6:$C419))-ROW($A$5)))*0.9^($A420-INDEX($A$6:A419,SUMPRODUCT(MAX(ROW($C$6:$C419)*($C420=$C$6:$C419))-ROW($A$5)))),0))</f>
        <v/>
      </c>
      <c r="G420" s="64" t="e">
        <f>INDEX('Exercise list'!$Y$5:$Y$102,MATCH(C420,'Exercise list'!$C$5:$C$102,0))</f>
        <v>#N/A</v>
      </c>
      <c r="H420" s="115">
        <f t="shared" si="319"/>
        <v>0</v>
      </c>
      <c r="I420" s="6">
        <f t="shared" si="320"/>
        <v>5</v>
      </c>
      <c r="J420" s="6" t="str" cm="1">
        <f t="array" ref="J420">IF(B420="","",INDEX('Exercise list'!$D$5:$D$102,B420))</f>
        <v/>
      </c>
      <c r="K420" s="12"/>
      <c r="L420" s="74" t="str" cm="1">
        <f t="array" ref="L420">IF(K420="","",INDEX('Exercise list'!$C$5:$C$102,K420))</f>
        <v/>
      </c>
      <c r="M420" s="6"/>
      <c r="N420" s="75" t="str" cm="1">
        <f t="array" ref="N420">IF(M420="","",INDEX('Exercise list'!$C$5:$C$102,M420))</f>
        <v/>
      </c>
      <c r="P420">
        <f>IFERROR(INDEX('Exercise list'!$E$5:$X$102,MATCH($C420,'Exercise list'!$C$5:$C$102,0),MATCH(P$5,'Exercise list'!$E$4:$X$4,0)),0)</f>
        <v>0</v>
      </c>
      <c r="Q420">
        <f>IFERROR(INDEX('Exercise list'!$E$5:$X$102,MATCH($C420,'Exercise list'!$C$5:$C$102,0),MATCH(Q$5,'Exercise list'!$E$4:$X$4,0)),0)</f>
        <v>0</v>
      </c>
      <c r="R420">
        <f>IFERROR(INDEX('Exercise list'!$E$5:$X$102,MATCH($C420,'Exercise list'!$C$5:$C$102,0),MATCH(R$5,'Exercise list'!$E$4:$X$4,0)),0)</f>
        <v>0</v>
      </c>
      <c r="S420">
        <f>IFERROR(INDEX('Exercise list'!$E$5:$X$102,MATCH($C420,'Exercise list'!$C$5:$C$102,0),MATCH(S$5,'Exercise list'!$E$4:$X$4,0)),0)</f>
        <v>0</v>
      </c>
      <c r="T420">
        <f>IFERROR(INDEX('Exercise list'!$E$5:$X$102,MATCH($C420,'Exercise list'!$C$5:$C$102,0),MATCH(T$5,'Exercise list'!$E$4:$X$4,0)),0)</f>
        <v>0</v>
      </c>
      <c r="U420">
        <f>IFERROR(INDEX('Exercise list'!$E$5:$X$102,MATCH($C420,'Exercise list'!$C$5:$C$102,0),MATCH(U$5,'Exercise list'!$E$4:$X$4,0)),0)</f>
        <v>0</v>
      </c>
      <c r="V420">
        <f>IFERROR(INDEX('Exercise list'!$E$5:$X$102,MATCH($C420,'Exercise list'!$C$5:$C$102,0),MATCH(V$5,'Exercise list'!$E$4:$X$4,0)),0)</f>
        <v>0</v>
      </c>
      <c r="W420">
        <f>IFERROR(INDEX('Exercise list'!$E$5:$X$102,MATCH($C420,'Exercise list'!$C$5:$C$102,0),MATCH(W$5,'Exercise list'!$E$4:$X$4,0)),0)</f>
        <v>0</v>
      </c>
      <c r="X420">
        <f>IFERROR(INDEX('Exercise list'!$E$5:$X$102,MATCH($C420,'Exercise list'!$C$5:$C$102,0),MATCH(X$5,'Exercise list'!$E$4:$X$4,0)),0)</f>
        <v>0</v>
      </c>
      <c r="Y420">
        <f>IFERROR(INDEX('Exercise list'!$E$5:$X$102,MATCH($C420,'Exercise list'!$C$5:$C$102,0),MATCH(Y$5,'Exercise list'!$E$4:$X$4,0)),0)</f>
        <v>0</v>
      </c>
      <c r="Z420">
        <f>IFERROR(INDEX('Exercise list'!$E$5:$X$102,MATCH($C420,'Exercise list'!$C$5:$C$102,0),MATCH(Z$5,'Exercise list'!$E$4:$X$4,0)),0)</f>
        <v>0</v>
      </c>
      <c r="AA420">
        <f>IFERROR(INDEX('Exercise list'!$E$5:$X$102,MATCH($C420,'Exercise list'!$C$5:$C$102,0),MATCH(AA$5,'Exercise list'!$E$4:$X$4,0)),0)</f>
        <v>0</v>
      </c>
      <c r="AB420">
        <f>IFERROR(INDEX('Exercise list'!$E$5:$X$102,MATCH($C420,'Exercise list'!$C$5:$C$102,0),MATCH(AB$5,'Exercise list'!$E$4:$X$4,0)),0)</f>
        <v>0</v>
      </c>
      <c r="AC420">
        <f>IFERROR(INDEX('Exercise list'!$E$5:$X$102,MATCH($C420,'Exercise list'!$C$5:$C$102,0),MATCH(AC$5,'Exercise list'!$E$4:$X$4,0)),0)</f>
        <v>0</v>
      </c>
      <c r="AD420">
        <f>IFERROR(INDEX('Exercise list'!$E$5:$X$102,MATCH($C420,'Exercise list'!$C$5:$C$102,0),MATCH(AD$5,'Exercise list'!$E$4:$X$4,0)),0)</f>
        <v>0</v>
      </c>
      <c r="AE420">
        <f>IFERROR(INDEX('Exercise list'!$E$5:$X$102,MATCH($C420,'Exercise list'!$C$5:$C$102,0),MATCH(AE$5,'Exercise list'!$E$4:$X$4,0)),0)</f>
        <v>0</v>
      </c>
      <c r="AF420">
        <f>IFERROR(INDEX('Exercise list'!$E$5:$X$102,MATCH($C420,'Exercise list'!$C$5:$C$102,0),MATCH(AF$5,'Exercise list'!$E$4:$X$4,0)),0)</f>
        <v>0</v>
      </c>
      <c r="AG420">
        <f>IFERROR(INDEX('Exercise list'!$E$5:$X$102,MATCH($C420,'Exercise list'!$C$5:$C$102,0),MATCH(AG$5,'Exercise list'!$E$4:$X$4,0)),0)</f>
        <v>0</v>
      </c>
      <c r="AH420">
        <f>IFERROR(INDEX('Exercise list'!$E$5:$X$102,MATCH($C420,'Exercise list'!$C$5:$C$102,0),MATCH(AH$5,'Exercise list'!$E$4:$X$4,0)),0)</f>
        <v>0</v>
      </c>
      <c r="AI420">
        <f>IFERROR(INDEX('Exercise list'!$E$5:$X$102,MATCH($C420,'Exercise list'!$C$5:$C$102,0),MATCH(AI$5,'Exercise list'!$E$4:$X$4,0)),0)</f>
        <v>0</v>
      </c>
      <c r="AK420">
        <f>IF(OR($J420=1,COUNTIFS($A$5:$A419,"&gt;="&amp;$A420-1,$A$5:$A419,"&lt;="&amp;$A420,$B$5:$B419,$B420)&gt;0,MIN(1-'Exercise list'!E$2,IF($A420=$A419,AK419,1))-P420&lt;0),-1,MIN(1,IF($A420=$A419,AK419,1)-P420+$D$2))</f>
        <v>1</v>
      </c>
      <c r="AL420">
        <f>IF(OR($J420=1,COUNTIFS($A$5:$A419,"&gt;="&amp;$A420-1,$A$5:$A419,"&lt;="&amp;$A420,$B$5:$B419,$B420)&gt;0,MIN(1-'Exercise list'!F$2,IF($A420=$A419,AL419,1))-Q420&lt;0),-1,MIN(1,IF($A420=$A419,AL419,1)-Q420+$D$2))</f>
        <v>1</v>
      </c>
      <c r="AM420">
        <f>IF(OR($J420=1,COUNTIFS($A$5:$A419,"&gt;="&amp;$A420-1,$A$5:$A419,"&lt;="&amp;$A420,$B$5:$B419,$B420)&gt;0,MIN(1-'Exercise list'!G$2,IF($A420=$A419,AM419,1))-R420&lt;0),-1,MIN(1,IF($A420=$A419,AM419,1)-R420+$D$2))</f>
        <v>1</v>
      </c>
      <c r="AN420">
        <f>IF(OR($J420=1,COUNTIFS($A$5:$A419,"&gt;="&amp;$A420-1,$A$5:$A419,"&lt;="&amp;$A420,$B$5:$B419,$B420)&gt;0,MIN(1-'Exercise list'!H$2,IF($A420=$A419,AN419,1))-S420&lt;0),-1,MIN(1,IF($A420=$A419,AN419,1)-S420+$D$2))</f>
        <v>1</v>
      </c>
      <c r="AO420">
        <f>IF(OR($J420=1,COUNTIFS($A$5:$A419,"&gt;="&amp;$A420-1,$A$5:$A419,"&lt;="&amp;$A420,$B$5:$B419,$B420)&gt;0,MIN(1-'Exercise list'!I$2,IF($A420=$A419,AO419,1))-T420&lt;0),-1,MIN(1,IF($A420=$A419,AO419,1)-T420+$D$2))</f>
        <v>1</v>
      </c>
      <c r="AP420">
        <f>IF(OR($J420=1,COUNTIFS($A$5:$A419,"&gt;="&amp;$A420-1,$A$5:$A419,"&lt;="&amp;$A420,$B$5:$B419,$B420)&gt;0,MIN(1-'Exercise list'!J$2,IF($A420=$A419,AP419,1))-U420&lt;0),-1,MIN(1,IF($A420=$A419,AP419,1)-U420+$D$2))</f>
        <v>1</v>
      </c>
      <c r="AQ420">
        <f>IF(OR($J420=1,COUNTIFS($A$5:$A419,"&gt;="&amp;$A420-1,$A$5:$A419,"&lt;="&amp;$A420,$B$5:$B419,$B420)&gt;0,MIN(1-'Exercise list'!K$2,IF($A420=$A419,AQ419,1))-V420&lt;0),-1,MIN(1,IF($A420=$A419,AQ419,1)-V420+$D$2))</f>
        <v>1</v>
      </c>
      <c r="AR420">
        <f>IF(OR($J420=1,COUNTIFS($A$5:$A419,"&gt;="&amp;$A420-1,$A$5:$A419,"&lt;="&amp;$A420,$B$5:$B419,$B420)&gt;0,MIN(1-'Exercise list'!L$2,IF($A420=$A419,AR419,1))-W420&lt;0),-1,MIN(1,IF($A420=$A419,AR419,1)-W420+$D$2))</f>
        <v>1</v>
      </c>
      <c r="AS420">
        <f>IF(OR($J420=1,COUNTIFS($A$5:$A419,"&gt;="&amp;$A420-1,$A$5:$A419,"&lt;="&amp;$A420,$B$5:$B419,$B420)&gt;0,MIN(1-'Exercise list'!M$2,IF($A420=$A419,AS419,1))-X420&lt;0),-1,MIN(1,IF($A420=$A419,AS419,1)-X420+$D$2))</f>
        <v>1</v>
      </c>
      <c r="AT420">
        <f>IF(OR($J420=1,COUNTIFS($A$5:$A419,"&gt;="&amp;$A420-1,$A$5:$A419,"&lt;="&amp;$A420,$B$5:$B419,$B420)&gt;0,MIN(1-'Exercise list'!N$2,IF($A420=$A419,AT419,1))-Y420&lt;0),-1,MIN(1,IF($A420=$A419,AT419,1)-Y420+$D$2))</f>
        <v>1</v>
      </c>
      <c r="AU420">
        <f>IF(OR($J420=1,COUNTIFS($A$5:$A419,"&gt;="&amp;$A420-1,$A$5:$A419,"&lt;="&amp;$A420,$B$5:$B419,$B420)&gt;0,MIN(1-'Exercise list'!O$2,IF($A420=$A419,AU419,1))-Z420&lt;0),-1,MIN(1,IF($A420=$A419,AU419,1)-Z420+$D$2))</f>
        <v>1</v>
      </c>
      <c r="AV420">
        <f>IF(OR($J420=1,COUNTIFS($A$5:$A419,"&gt;="&amp;$A420-1,$A$5:$A419,"&lt;="&amp;$A420,$B$5:$B419,$B420)&gt;0,MIN(1-'Exercise list'!P$2,IF($A420=$A419,AV419,1))-AA420&lt;0),-1,MIN(1,IF($A420=$A419,AV419,1)-AA420+$D$2))</f>
        <v>1</v>
      </c>
      <c r="AW420">
        <f>IF(OR($J420=1,COUNTIFS($A$5:$A419,"&gt;="&amp;$A420-1,$A$5:$A419,"&lt;="&amp;$A420,$B$5:$B419,$B420)&gt;0,MIN(1-'Exercise list'!Q$2,IF($A420=$A419,AW419,1))-AB420&lt;0),-1,MIN(1,IF($A420=$A419,AW419,1)-AB420+$D$2))</f>
        <v>1</v>
      </c>
      <c r="AX420">
        <f>IF(OR($J420=1,COUNTIFS($A$5:$A419,"&gt;="&amp;$A420-1,$A$5:$A419,"&lt;="&amp;$A420,$B$5:$B419,$B420)&gt;0,MIN(1-'Exercise list'!R$2,IF($A420=$A419,AX419,1))-AC420&lt;0),-1,MIN(1,IF($A420=$A419,AX419,1)-AC420+$D$2))</f>
        <v>1</v>
      </c>
      <c r="AY420">
        <f>IF(OR($J420=1,COUNTIFS($A$5:$A419,"&gt;="&amp;$A420-1,$A$5:$A419,"&lt;="&amp;$A420,$B$5:$B419,$B420)&gt;0,MIN(1-'Exercise list'!S$2,IF($A420=$A419,AY419,1))-AD420&lt;0),-1,MIN(1,IF($A420=$A419,AY419,1)-AD420+$D$2))</f>
        <v>1</v>
      </c>
      <c r="AZ420">
        <f>IF(OR($J420=1,COUNTIFS($A$5:$A419,"&gt;="&amp;$A420-1,$A$5:$A419,"&lt;="&amp;$A420,$B$5:$B419,$B420)&gt;0,MIN(1-'Exercise list'!T$2,IF($A420=$A419,AZ419,1))-AE420&lt;0),-1,MIN(1,IF($A420=$A419,AZ419,1)-AE420+$D$2))</f>
        <v>1</v>
      </c>
      <c r="BA420">
        <f>IF(OR($J420=1,COUNTIFS($A$5:$A419,"&gt;="&amp;$A420-1,$A$5:$A419,"&lt;="&amp;$A420,$B$5:$B419,$B420)&gt;0,MIN(1-'Exercise list'!U$2,IF($A420=$A419,BA419,1))-AF420&lt;0),-1,MIN(1,IF($A420=$A419,BA419,1)-AF420+$D$2))</f>
        <v>1</v>
      </c>
      <c r="BB420">
        <f>IF(OR($J420=1,COUNTIFS($A$5:$A419,"&gt;="&amp;$A420-1,$A$5:$A419,"&lt;="&amp;$A420,$B$5:$B419,$B420)&gt;0,MIN(1-'Exercise list'!V$2,IF($A420=$A419,BB419,1))-AG420&lt;0),-1,MIN(1,IF($A420=$A419,BB419,1)-AG420+$D$2))</f>
        <v>1</v>
      </c>
      <c r="BC420">
        <f>IF(OR($J420=1,COUNTIFS($A$5:$A419,"&gt;="&amp;$A420-1,$A$5:$A419,"&lt;="&amp;$A420,$B$5:$B419,$B420)&gt;0,MIN(1-'Exercise list'!W$2,IF($A420=$A419,BC419,1))-AH420&lt;0),-1,MIN(1,IF($A420=$A419,BC419,1)-AH420+$D$2))</f>
        <v>1</v>
      </c>
      <c r="BD420">
        <f>IF(OR($J420=1,COUNTIFS($A$5:$A419,"&gt;="&amp;$A420-1,$A$5:$A419,"&lt;="&amp;$A420,$B$5:$B419,$B420)&gt;0,MIN(1-'Exercise list'!X$2,IF($A420=$A419,BD419,1))-AI420&lt;0),-1,MIN(1,IF($A420=$A419,BD419,1)-AI420+$D$2))</f>
        <v>1</v>
      </c>
      <c r="BF420" s="16">
        <f t="shared" si="321"/>
        <v>0.19596031081758858</v>
      </c>
      <c r="BG420" s="16">
        <f t="shared" si="322"/>
        <v>0.21844636935459236</v>
      </c>
      <c r="BH420" s="16">
        <f t="shared" si="323"/>
        <v>0.14609696635987124</v>
      </c>
      <c r="BI420" s="16">
        <f t="shared" si="324"/>
        <v>0.13198015366034541</v>
      </c>
      <c r="BJ420" s="16">
        <f t="shared" si="325"/>
        <v>8.3367914198418713E-2</v>
      </c>
      <c r="BK420" s="16">
        <f t="shared" si="326"/>
        <v>0.10640640223148412</v>
      </c>
      <c r="BL420" s="16">
        <f t="shared" si="327"/>
        <v>0.21963504743569431</v>
      </c>
      <c r="BM420" s="16">
        <f t="shared" si="328"/>
        <v>3.8988008374820568E-3</v>
      </c>
      <c r="BN420" s="16">
        <f t="shared" si="329"/>
        <v>0.14537706087090876</v>
      </c>
      <c r="BO420" s="16">
        <f t="shared" si="330"/>
        <v>0.29209790661993401</v>
      </c>
      <c r="BP420" s="16">
        <f t="shared" si="331"/>
        <v>0.31584545163401867</v>
      </c>
      <c r="BQ420" s="16">
        <f t="shared" si="332"/>
        <v>0.1000007994126096</v>
      </c>
      <c r="BR420" s="16">
        <f t="shared" si="333"/>
        <v>0.13164487759885393</v>
      </c>
      <c r="BS420" s="16">
        <f t="shared" si="334"/>
        <v>2.9803550189863123E-2</v>
      </c>
      <c r="BT420" s="16">
        <f t="shared" si="335"/>
        <v>0.13492040904978705</v>
      </c>
      <c r="BU420" s="16">
        <f t="shared" si="336"/>
        <v>0.11703687414398131</v>
      </c>
      <c r="BV420" s="16">
        <f t="shared" si="337"/>
        <v>0.14633353213781661</v>
      </c>
      <c r="BW420" s="16">
        <f t="shared" si="338"/>
        <v>7.5588015111767173E-2</v>
      </c>
      <c r="BX420" s="16">
        <f t="shared" si="339"/>
        <v>8.0345659937185704E-2</v>
      </c>
      <c r="BY420" s="16">
        <f t="shared" si="340"/>
        <v>5.9014643151272549E-2</v>
      </c>
      <c r="CA420" s="16" t="str">
        <f t="shared" si="317"/>
        <v/>
      </c>
      <c r="CB420" s="16" t="str">
        <f t="shared" si="298"/>
        <v/>
      </c>
      <c r="CC420" s="16" t="str">
        <f t="shared" si="299"/>
        <v/>
      </c>
      <c r="CD420" s="16" t="str">
        <f t="shared" si="300"/>
        <v/>
      </c>
      <c r="CE420" s="16" t="str">
        <f t="shared" si="301"/>
        <v/>
      </c>
      <c r="CF420" s="16" t="str">
        <f t="shared" si="302"/>
        <v/>
      </c>
      <c r="CG420" s="16" t="str">
        <f t="shared" si="303"/>
        <v/>
      </c>
      <c r="CH420" s="16" t="str">
        <f t="shared" si="304"/>
        <v/>
      </c>
      <c r="CI420" s="16" t="str">
        <f t="shared" si="305"/>
        <v/>
      </c>
      <c r="CJ420" s="16" t="str">
        <f t="shared" si="306"/>
        <v/>
      </c>
      <c r="CK420" s="16" t="str">
        <f t="shared" si="307"/>
        <v/>
      </c>
      <c r="CL420" s="16" t="str">
        <f t="shared" si="308"/>
        <v/>
      </c>
      <c r="CM420" s="16" t="str">
        <f t="shared" si="309"/>
        <v/>
      </c>
      <c r="CN420" s="16" t="str">
        <f t="shared" si="310"/>
        <v/>
      </c>
      <c r="CO420" s="16" t="str">
        <f t="shared" si="311"/>
        <v/>
      </c>
      <c r="CP420" s="16" t="str">
        <f t="shared" si="312"/>
        <v/>
      </c>
      <c r="CQ420" s="16" t="str">
        <f t="shared" si="313"/>
        <v/>
      </c>
      <c r="CR420" s="16" t="str">
        <f t="shared" si="314"/>
        <v/>
      </c>
      <c r="CS420" s="16" t="str">
        <f t="shared" si="315"/>
        <v/>
      </c>
      <c r="CT420" s="16" t="str">
        <f t="shared" si="316"/>
        <v/>
      </c>
    </row>
    <row r="421" spans="1:99" x14ac:dyDescent="0.25">
      <c r="A421" s="13"/>
      <c r="B421" s="14"/>
      <c r="C421" s="15" t="str" cm="1">
        <f t="array" ref="C421">IF(B421="","",INDEX('Exercise list'!$C$5:$C$102,B421))</f>
        <v/>
      </c>
      <c r="D421" s="12" t="str">
        <f t="shared" si="318"/>
        <v/>
      </c>
      <c r="E421" s="107" t="str">
        <f t="shared" si="341"/>
        <v/>
      </c>
      <c r="F421" s="63" t="str" cm="1">
        <f t="array" ref="F421">IF(B421="","",0.1+IFERROR(INDEX($F$6:$F420,SUMPRODUCT(MAX(ROW($C$6:$C420)*($C421=$C$6:$C420))-ROW($A$5)))*0.9^($A421-INDEX($A$6:A420,SUMPRODUCT(MAX(ROW($C$6:$C420)*($C421=$C$6:$C420))-ROW($A$5)))),0))</f>
        <v/>
      </c>
      <c r="G421" s="64" t="e">
        <f>INDEX('Exercise list'!$Y$5:$Y$102,MATCH(C421,'Exercise list'!$C$5:$C$102,0))</f>
        <v>#N/A</v>
      </c>
      <c r="H421" s="115">
        <f t="shared" si="319"/>
        <v>0</v>
      </c>
      <c r="I421" s="6">
        <f t="shared" si="320"/>
        <v>5</v>
      </c>
      <c r="J421" s="6" t="str" cm="1">
        <f t="array" ref="J421">IF(B421="","",INDEX('Exercise list'!$D$5:$D$102,B421))</f>
        <v/>
      </c>
      <c r="K421" s="12"/>
      <c r="L421" s="74" t="str" cm="1">
        <f t="array" ref="L421">IF(K421="","",INDEX('Exercise list'!$C$5:$C$102,K421))</f>
        <v/>
      </c>
      <c r="M421" s="6"/>
      <c r="N421" s="75" t="str" cm="1">
        <f t="array" ref="N421">IF(M421="","",INDEX('Exercise list'!$C$5:$C$102,M421))</f>
        <v/>
      </c>
      <c r="P421">
        <f>IFERROR(INDEX('Exercise list'!$E$5:$X$102,MATCH($C421,'Exercise list'!$C$5:$C$102,0),MATCH(P$5,'Exercise list'!$E$4:$X$4,0)),0)</f>
        <v>0</v>
      </c>
      <c r="Q421">
        <f>IFERROR(INDEX('Exercise list'!$E$5:$X$102,MATCH($C421,'Exercise list'!$C$5:$C$102,0),MATCH(Q$5,'Exercise list'!$E$4:$X$4,0)),0)</f>
        <v>0</v>
      </c>
      <c r="R421">
        <f>IFERROR(INDEX('Exercise list'!$E$5:$X$102,MATCH($C421,'Exercise list'!$C$5:$C$102,0),MATCH(R$5,'Exercise list'!$E$4:$X$4,0)),0)</f>
        <v>0</v>
      </c>
      <c r="S421">
        <f>IFERROR(INDEX('Exercise list'!$E$5:$X$102,MATCH($C421,'Exercise list'!$C$5:$C$102,0),MATCH(S$5,'Exercise list'!$E$4:$X$4,0)),0)</f>
        <v>0</v>
      </c>
      <c r="T421">
        <f>IFERROR(INDEX('Exercise list'!$E$5:$X$102,MATCH($C421,'Exercise list'!$C$5:$C$102,0),MATCH(T$5,'Exercise list'!$E$4:$X$4,0)),0)</f>
        <v>0</v>
      </c>
      <c r="U421">
        <f>IFERROR(INDEX('Exercise list'!$E$5:$X$102,MATCH($C421,'Exercise list'!$C$5:$C$102,0),MATCH(U$5,'Exercise list'!$E$4:$X$4,0)),0)</f>
        <v>0</v>
      </c>
      <c r="V421">
        <f>IFERROR(INDEX('Exercise list'!$E$5:$X$102,MATCH($C421,'Exercise list'!$C$5:$C$102,0),MATCH(V$5,'Exercise list'!$E$4:$X$4,0)),0)</f>
        <v>0</v>
      </c>
      <c r="W421">
        <f>IFERROR(INDEX('Exercise list'!$E$5:$X$102,MATCH($C421,'Exercise list'!$C$5:$C$102,0),MATCH(W$5,'Exercise list'!$E$4:$X$4,0)),0)</f>
        <v>0</v>
      </c>
      <c r="X421">
        <f>IFERROR(INDEX('Exercise list'!$E$5:$X$102,MATCH($C421,'Exercise list'!$C$5:$C$102,0),MATCH(X$5,'Exercise list'!$E$4:$X$4,0)),0)</f>
        <v>0</v>
      </c>
      <c r="Y421">
        <f>IFERROR(INDEX('Exercise list'!$E$5:$X$102,MATCH($C421,'Exercise list'!$C$5:$C$102,0),MATCH(Y$5,'Exercise list'!$E$4:$X$4,0)),0)</f>
        <v>0</v>
      </c>
      <c r="Z421">
        <f>IFERROR(INDEX('Exercise list'!$E$5:$X$102,MATCH($C421,'Exercise list'!$C$5:$C$102,0),MATCH(Z$5,'Exercise list'!$E$4:$X$4,0)),0)</f>
        <v>0</v>
      </c>
      <c r="AA421">
        <f>IFERROR(INDEX('Exercise list'!$E$5:$X$102,MATCH($C421,'Exercise list'!$C$5:$C$102,0),MATCH(AA$5,'Exercise list'!$E$4:$X$4,0)),0)</f>
        <v>0</v>
      </c>
      <c r="AB421">
        <f>IFERROR(INDEX('Exercise list'!$E$5:$X$102,MATCH($C421,'Exercise list'!$C$5:$C$102,0),MATCH(AB$5,'Exercise list'!$E$4:$X$4,0)),0)</f>
        <v>0</v>
      </c>
      <c r="AC421">
        <f>IFERROR(INDEX('Exercise list'!$E$5:$X$102,MATCH($C421,'Exercise list'!$C$5:$C$102,0),MATCH(AC$5,'Exercise list'!$E$4:$X$4,0)),0)</f>
        <v>0</v>
      </c>
      <c r="AD421">
        <f>IFERROR(INDEX('Exercise list'!$E$5:$X$102,MATCH($C421,'Exercise list'!$C$5:$C$102,0),MATCH(AD$5,'Exercise list'!$E$4:$X$4,0)),0)</f>
        <v>0</v>
      </c>
      <c r="AE421">
        <f>IFERROR(INDEX('Exercise list'!$E$5:$X$102,MATCH($C421,'Exercise list'!$C$5:$C$102,0),MATCH(AE$5,'Exercise list'!$E$4:$X$4,0)),0)</f>
        <v>0</v>
      </c>
      <c r="AF421">
        <f>IFERROR(INDEX('Exercise list'!$E$5:$X$102,MATCH($C421,'Exercise list'!$C$5:$C$102,0),MATCH(AF$5,'Exercise list'!$E$4:$X$4,0)),0)</f>
        <v>0</v>
      </c>
      <c r="AG421">
        <f>IFERROR(INDEX('Exercise list'!$E$5:$X$102,MATCH($C421,'Exercise list'!$C$5:$C$102,0),MATCH(AG$5,'Exercise list'!$E$4:$X$4,0)),0)</f>
        <v>0</v>
      </c>
      <c r="AH421">
        <f>IFERROR(INDEX('Exercise list'!$E$5:$X$102,MATCH($C421,'Exercise list'!$C$5:$C$102,0),MATCH(AH$5,'Exercise list'!$E$4:$X$4,0)),0)</f>
        <v>0</v>
      </c>
      <c r="AI421">
        <f>IFERROR(INDEX('Exercise list'!$E$5:$X$102,MATCH($C421,'Exercise list'!$C$5:$C$102,0),MATCH(AI$5,'Exercise list'!$E$4:$X$4,0)),0)</f>
        <v>0</v>
      </c>
      <c r="AK421">
        <f>IF(OR($J421=1,COUNTIFS($A$5:$A420,"&gt;="&amp;$A421-1,$A$5:$A420,"&lt;="&amp;$A421,$B$5:$B420,$B421)&gt;0,MIN(1-'Exercise list'!E$2,IF($A421=$A420,AK420,1))-P421&lt;0),-1,MIN(1,IF($A421=$A420,AK420,1)-P421+$D$2))</f>
        <v>1</v>
      </c>
      <c r="AL421">
        <f>IF(OR($J421=1,COUNTIFS($A$5:$A420,"&gt;="&amp;$A421-1,$A$5:$A420,"&lt;="&amp;$A421,$B$5:$B420,$B421)&gt;0,MIN(1-'Exercise list'!F$2,IF($A421=$A420,AL420,1))-Q421&lt;0),-1,MIN(1,IF($A421=$A420,AL420,1)-Q421+$D$2))</f>
        <v>1</v>
      </c>
      <c r="AM421">
        <f>IF(OR($J421=1,COUNTIFS($A$5:$A420,"&gt;="&amp;$A421-1,$A$5:$A420,"&lt;="&amp;$A421,$B$5:$B420,$B421)&gt;0,MIN(1-'Exercise list'!G$2,IF($A421=$A420,AM420,1))-R421&lt;0),-1,MIN(1,IF($A421=$A420,AM420,1)-R421+$D$2))</f>
        <v>1</v>
      </c>
      <c r="AN421">
        <f>IF(OR($J421=1,COUNTIFS($A$5:$A420,"&gt;="&amp;$A421-1,$A$5:$A420,"&lt;="&amp;$A421,$B$5:$B420,$B421)&gt;0,MIN(1-'Exercise list'!H$2,IF($A421=$A420,AN420,1))-S421&lt;0),-1,MIN(1,IF($A421=$A420,AN420,1)-S421+$D$2))</f>
        <v>1</v>
      </c>
      <c r="AO421">
        <f>IF(OR($J421=1,COUNTIFS($A$5:$A420,"&gt;="&amp;$A421-1,$A$5:$A420,"&lt;="&amp;$A421,$B$5:$B420,$B421)&gt;0,MIN(1-'Exercise list'!I$2,IF($A421=$A420,AO420,1))-T421&lt;0),-1,MIN(1,IF($A421=$A420,AO420,1)-T421+$D$2))</f>
        <v>1</v>
      </c>
      <c r="AP421">
        <f>IF(OR($J421=1,COUNTIFS($A$5:$A420,"&gt;="&amp;$A421-1,$A$5:$A420,"&lt;="&amp;$A421,$B$5:$B420,$B421)&gt;0,MIN(1-'Exercise list'!J$2,IF($A421=$A420,AP420,1))-U421&lt;0),-1,MIN(1,IF($A421=$A420,AP420,1)-U421+$D$2))</f>
        <v>1</v>
      </c>
      <c r="AQ421">
        <f>IF(OR($J421=1,COUNTIFS($A$5:$A420,"&gt;="&amp;$A421-1,$A$5:$A420,"&lt;="&amp;$A421,$B$5:$B420,$B421)&gt;0,MIN(1-'Exercise list'!K$2,IF($A421=$A420,AQ420,1))-V421&lt;0),-1,MIN(1,IF($A421=$A420,AQ420,1)-V421+$D$2))</f>
        <v>1</v>
      </c>
      <c r="AR421">
        <f>IF(OR($J421=1,COUNTIFS($A$5:$A420,"&gt;="&amp;$A421-1,$A$5:$A420,"&lt;="&amp;$A421,$B$5:$B420,$B421)&gt;0,MIN(1-'Exercise list'!L$2,IF($A421=$A420,AR420,1))-W421&lt;0),-1,MIN(1,IF($A421=$A420,AR420,1)-W421+$D$2))</f>
        <v>1</v>
      </c>
      <c r="AS421">
        <f>IF(OR($J421=1,COUNTIFS($A$5:$A420,"&gt;="&amp;$A421-1,$A$5:$A420,"&lt;="&amp;$A421,$B$5:$B420,$B421)&gt;0,MIN(1-'Exercise list'!M$2,IF($A421=$A420,AS420,1))-X421&lt;0),-1,MIN(1,IF($A421=$A420,AS420,1)-X421+$D$2))</f>
        <v>1</v>
      </c>
      <c r="AT421">
        <f>IF(OR($J421=1,COUNTIFS($A$5:$A420,"&gt;="&amp;$A421-1,$A$5:$A420,"&lt;="&amp;$A421,$B$5:$B420,$B421)&gt;0,MIN(1-'Exercise list'!N$2,IF($A421=$A420,AT420,1))-Y421&lt;0),-1,MIN(1,IF($A421=$A420,AT420,1)-Y421+$D$2))</f>
        <v>1</v>
      </c>
      <c r="AU421">
        <f>IF(OR($J421=1,COUNTIFS($A$5:$A420,"&gt;="&amp;$A421-1,$A$5:$A420,"&lt;="&amp;$A421,$B$5:$B420,$B421)&gt;0,MIN(1-'Exercise list'!O$2,IF($A421=$A420,AU420,1))-Z421&lt;0),-1,MIN(1,IF($A421=$A420,AU420,1)-Z421+$D$2))</f>
        <v>1</v>
      </c>
      <c r="AV421">
        <f>IF(OR($J421=1,COUNTIFS($A$5:$A420,"&gt;="&amp;$A421-1,$A$5:$A420,"&lt;="&amp;$A421,$B$5:$B420,$B421)&gt;0,MIN(1-'Exercise list'!P$2,IF($A421=$A420,AV420,1))-AA421&lt;0),-1,MIN(1,IF($A421=$A420,AV420,1)-AA421+$D$2))</f>
        <v>1</v>
      </c>
      <c r="AW421">
        <f>IF(OR($J421=1,COUNTIFS($A$5:$A420,"&gt;="&amp;$A421-1,$A$5:$A420,"&lt;="&amp;$A421,$B$5:$B420,$B421)&gt;0,MIN(1-'Exercise list'!Q$2,IF($A421=$A420,AW420,1))-AB421&lt;0),-1,MIN(1,IF($A421=$A420,AW420,1)-AB421+$D$2))</f>
        <v>1</v>
      </c>
      <c r="AX421">
        <f>IF(OR($J421=1,COUNTIFS($A$5:$A420,"&gt;="&amp;$A421-1,$A$5:$A420,"&lt;="&amp;$A421,$B$5:$B420,$B421)&gt;0,MIN(1-'Exercise list'!R$2,IF($A421=$A420,AX420,1))-AC421&lt;0),-1,MIN(1,IF($A421=$A420,AX420,1)-AC421+$D$2))</f>
        <v>1</v>
      </c>
      <c r="AY421">
        <f>IF(OR($J421=1,COUNTIFS($A$5:$A420,"&gt;="&amp;$A421-1,$A$5:$A420,"&lt;="&amp;$A421,$B$5:$B420,$B421)&gt;0,MIN(1-'Exercise list'!S$2,IF($A421=$A420,AY420,1))-AD421&lt;0),-1,MIN(1,IF($A421=$A420,AY420,1)-AD421+$D$2))</f>
        <v>1</v>
      </c>
      <c r="AZ421">
        <f>IF(OR($J421=1,COUNTIFS($A$5:$A420,"&gt;="&amp;$A421-1,$A$5:$A420,"&lt;="&amp;$A421,$B$5:$B420,$B421)&gt;0,MIN(1-'Exercise list'!T$2,IF($A421=$A420,AZ420,1))-AE421&lt;0),-1,MIN(1,IF($A421=$A420,AZ420,1)-AE421+$D$2))</f>
        <v>1</v>
      </c>
      <c r="BA421">
        <f>IF(OR($J421=1,COUNTIFS($A$5:$A420,"&gt;="&amp;$A421-1,$A$5:$A420,"&lt;="&amp;$A421,$B$5:$B420,$B421)&gt;0,MIN(1-'Exercise list'!U$2,IF($A421=$A420,BA420,1))-AF421&lt;0),-1,MIN(1,IF($A421=$A420,BA420,1)-AF421+$D$2))</f>
        <v>1</v>
      </c>
      <c r="BB421">
        <f>IF(OR($J421=1,COUNTIFS($A$5:$A420,"&gt;="&amp;$A421-1,$A$5:$A420,"&lt;="&amp;$A421,$B$5:$B420,$B421)&gt;0,MIN(1-'Exercise list'!V$2,IF($A421=$A420,BB420,1))-AG421&lt;0),-1,MIN(1,IF($A421=$A420,BB420,1)-AG421+$D$2))</f>
        <v>1</v>
      </c>
      <c r="BC421">
        <f>IF(OR($J421=1,COUNTIFS($A$5:$A420,"&gt;="&amp;$A421-1,$A$5:$A420,"&lt;="&amp;$A421,$B$5:$B420,$B421)&gt;0,MIN(1-'Exercise list'!W$2,IF($A421=$A420,BC420,1))-AH421&lt;0),-1,MIN(1,IF($A421=$A420,BC420,1)-AH421+$D$2))</f>
        <v>1</v>
      </c>
      <c r="BD421">
        <f>IF(OR($J421=1,COUNTIFS($A$5:$A420,"&gt;="&amp;$A421-1,$A$5:$A420,"&lt;="&amp;$A421,$B$5:$B420,$B421)&gt;0,MIN(1-'Exercise list'!X$2,IF($A421=$A420,BD420,1))-AI421&lt;0),-1,MIN(1,IF($A421=$A420,BD420,1)-AI421+$D$2))</f>
        <v>1</v>
      </c>
      <c r="BF421" s="16">
        <f t="shared" si="321"/>
        <v>0.19596031081758858</v>
      </c>
      <c r="BG421" s="16">
        <f t="shared" si="322"/>
        <v>0.21844636935459236</v>
      </c>
      <c r="BH421" s="16">
        <f t="shared" si="323"/>
        <v>0.14609696635987124</v>
      </c>
      <c r="BI421" s="16">
        <f t="shared" si="324"/>
        <v>0.13198015366034541</v>
      </c>
      <c r="BJ421" s="16">
        <f t="shared" si="325"/>
        <v>8.3367914198418713E-2</v>
      </c>
      <c r="BK421" s="16">
        <f t="shared" si="326"/>
        <v>0.10640640223148412</v>
      </c>
      <c r="BL421" s="16">
        <f t="shared" si="327"/>
        <v>0.21963504743569431</v>
      </c>
      <c r="BM421" s="16">
        <f t="shared" si="328"/>
        <v>3.8988008374820568E-3</v>
      </c>
      <c r="BN421" s="16">
        <f t="shared" si="329"/>
        <v>0.14537706087090876</v>
      </c>
      <c r="BO421" s="16">
        <f t="shared" si="330"/>
        <v>0.29209790661993401</v>
      </c>
      <c r="BP421" s="16">
        <f t="shared" si="331"/>
        <v>0.31584545163401867</v>
      </c>
      <c r="BQ421" s="16">
        <f t="shared" si="332"/>
        <v>0.1000007994126096</v>
      </c>
      <c r="BR421" s="16">
        <f t="shared" si="333"/>
        <v>0.13164487759885393</v>
      </c>
      <c r="BS421" s="16">
        <f t="shared" si="334"/>
        <v>2.9803550189863123E-2</v>
      </c>
      <c r="BT421" s="16">
        <f t="shared" si="335"/>
        <v>0.13492040904978705</v>
      </c>
      <c r="BU421" s="16">
        <f t="shared" si="336"/>
        <v>0.11703687414398131</v>
      </c>
      <c r="BV421" s="16">
        <f t="shared" si="337"/>
        <v>0.14633353213781661</v>
      </c>
      <c r="BW421" s="16">
        <f t="shared" si="338"/>
        <v>7.5588015111767173E-2</v>
      </c>
      <c r="BX421" s="16">
        <f t="shared" si="339"/>
        <v>8.0345659937185704E-2</v>
      </c>
      <c r="BY421" s="16">
        <f t="shared" si="340"/>
        <v>5.9014643151272549E-2</v>
      </c>
      <c r="CA421" s="16" t="str">
        <f t="shared" si="317"/>
        <v/>
      </c>
      <c r="CB421" s="16" t="str">
        <f t="shared" si="298"/>
        <v/>
      </c>
      <c r="CC421" s="16" t="str">
        <f t="shared" si="299"/>
        <v/>
      </c>
      <c r="CD421" s="16" t="str">
        <f t="shared" si="300"/>
        <v/>
      </c>
      <c r="CE421" s="16" t="str">
        <f t="shared" si="301"/>
        <v/>
      </c>
      <c r="CF421" s="16" t="str">
        <f t="shared" si="302"/>
        <v/>
      </c>
      <c r="CG421" s="16" t="str">
        <f t="shared" si="303"/>
        <v/>
      </c>
      <c r="CH421" s="16" t="str">
        <f t="shared" si="304"/>
        <v/>
      </c>
      <c r="CI421" s="16" t="str">
        <f t="shared" si="305"/>
        <v/>
      </c>
      <c r="CJ421" s="16" t="str">
        <f t="shared" si="306"/>
        <v/>
      </c>
      <c r="CK421" s="16" t="str">
        <f t="shared" si="307"/>
        <v/>
      </c>
      <c r="CL421" s="16" t="str">
        <f t="shared" si="308"/>
        <v/>
      </c>
      <c r="CM421" s="16" t="str">
        <f t="shared" si="309"/>
        <v/>
      </c>
      <c r="CN421" s="16" t="str">
        <f t="shared" si="310"/>
        <v/>
      </c>
      <c r="CO421" s="16" t="str">
        <f t="shared" si="311"/>
        <v/>
      </c>
      <c r="CP421" s="16" t="str">
        <f t="shared" si="312"/>
        <v/>
      </c>
      <c r="CQ421" s="16" t="str">
        <f t="shared" si="313"/>
        <v/>
      </c>
      <c r="CR421" s="16" t="str">
        <f t="shared" si="314"/>
        <v/>
      </c>
      <c r="CS421" s="16" t="str">
        <f t="shared" si="315"/>
        <v/>
      </c>
      <c r="CT421" s="16" t="str">
        <f t="shared" si="316"/>
        <v/>
      </c>
    </row>
    <row r="422" spans="1:99" x14ac:dyDescent="0.25">
      <c r="A422" s="13"/>
      <c r="B422" s="14"/>
      <c r="C422" s="15" t="str" cm="1">
        <f t="array" ref="C422">IF(B422="","",INDEX('Exercise list'!$C$5:$C$102,B422))</f>
        <v/>
      </c>
      <c r="D422" s="12" t="str">
        <f t="shared" si="318"/>
        <v/>
      </c>
      <c r="E422" s="107" t="str">
        <f t="shared" si="341"/>
        <v/>
      </c>
      <c r="F422" s="63" t="str" cm="1">
        <f t="array" ref="F422">IF(B422="","",0.1+IFERROR(INDEX($F$6:$F421,SUMPRODUCT(MAX(ROW($C$6:$C421)*($C422=$C$6:$C421))-ROW($A$5)))*0.9^($A422-INDEX($A$6:A421,SUMPRODUCT(MAX(ROW($C$6:$C421)*($C422=$C$6:$C421))-ROW($A$5)))),0))</f>
        <v/>
      </c>
      <c r="G422" s="64" t="e">
        <f>INDEX('Exercise list'!$Y$5:$Y$102,MATCH(C422,'Exercise list'!$C$5:$C$102,0))</f>
        <v>#N/A</v>
      </c>
      <c r="H422" s="115">
        <f t="shared" si="319"/>
        <v>0</v>
      </c>
      <c r="I422" s="6">
        <f t="shared" si="320"/>
        <v>5</v>
      </c>
      <c r="J422" s="6" t="str" cm="1">
        <f t="array" ref="J422">IF(B422="","",INDEX('Exercise list'!$D$5:$D$102,B422))</f>
        <v/>
      </c>
      <c r="K422" s="12"/>
      <c r="L422" s="74" t="str" cm="1">
        <f t="array" ref="L422">IF(K422="","",INDEX('Exercise list'!$C$5:$C$102,K422))</f>
        <v/>
      </c>
      <c r="M422" s="6"/>
      <c r="N422" s="75" t="str" cm="1">
        <f t="array" ref="N422">IF(M422="","",INDEX('Exercise list'!$C$5:$C$102,M422))</f>
        <v/>
      </c>
      <c r="P422">
        <f>IFERROR(INDEX('Exercise list'!$E$5:$X$102,MATCH($C422,'Exercise list'!$C$5:$C$102,0),MATCH(P$5,'Exercise list'!$E$4:$X$4,0)),0)</f>
        <v>0</v>
      </c>
      <c r="Q422">
        <f>IFERROR(INDEX('Exercise list'!$E$5:$X$102,MATCH($C422,'Exercise list'!$C$5:$C$102,0),MATCH(Q$5,'Exercise list'!$E$4:$X$4,0)),0)</f>
        <v>0</v>
      </c>
      <c r="R422">
        <f>IFERROR(INDEX('Exercise list'!$E$5:$X$102,MATCH($C422,'Exercise list'!$C$5:$C$102,0),MATCH(R$5,'Exercise list'!$E$4:$X$4,0)),0)</f>
        <v>0</v>
      </c>
      <c r="S422">
        <f>IFERROR(INDEX('Exercise list'!$E$5:$X$102,MATCH($C422,'Exercise list'!$C$5:$C$102,0),MATCH(S$5,'Exercise list'!$E$4:$X$4,0)),0)</f>
        <v>0</v>
      </c>
      <c r="T422">
        <f>IFERROR(INDEX('Exercise list'!$E$5:$X$102,MATCH($C422,'Exercise list'!$C$5:$C$102,0),MATCH(T$5,'Exercise list'!$E$4:$X$4,0)),0)</f>
        <v>0</v>
      </c>
      <c r="U422">
        <f>IFERROR(INDEX('Exercise list'!$E$5:$X$102,MATCH($C422,'Exercise list'!$C$5:$C$102,0),MATCH(U$5,'Exercise list'!$E$4:$X$4,0)),0)</f>
        <v>0</v>
      </c>
      <c r="V422">
        <f>IFERROR(INDEX('Exercise list'!$E$5:$X$102,MATCH($C422,'Exercise list'!$C$5:$C$102,0),MATCH(V$5,'Exercise list'!$E$4:$X$4,0)),0)</f>
        <v>0</v>
      </c>
      <c r="W422">
        <f>IFERROR(INDEX('Exercise list'!$E$5:$X$102,MATCH($C422,'Exercise list'!$C$5:$C$102,0),MATCH(W$5,'Exercise list'!$E$4:$X$4,0)),0)</f>
        <v>0</v>
      </c>
      <c r="X422">
        <f>IFERROR(INDEX('Exercise list'!$E$5:$X$102,MATCH($C422,'Exercise list'!$C$5:$C$102,0),MATCH(X$5,'Exercise list'!$E$4:$X$4,0)),0)</f>
        <v>0</v>
      </c>
      <c r="Y422">
        <f>IFERROR(INDEX('Exercise list'!$E$5:$X$102,MATCH($C422,'Exercise list'!$C$5:$C$102,0),MATCH(Y$5,'Exercise list'!$E$4:$X$4,0)),0)</f>
        <v>0</v>
      </c>
      <c r="Z422">
        <f>IFERROR(INDEX('Exercise list'!$E$5:$X$102,MATCH($C422,'Exercise list'!$C$5:$C$102,0),MATCH(Z$5,'Exercise list'!$E$4:$X$4,0)),0)</f>
        <v>0</v>
      </c>
      <c r="AA422">
        <f>IFERROR(INDEX('Exercise list'!$E$5:$X$102,MATCH($C422,'Exercise list'!$C$5:$C$102,0),MATCH(AA$5,'Exercise list'!$E$4:$X$4,0)),0)</f>
        <v>0</v>
      </c>
      <c r="AB422">
        <f>IFERROR(INDEX('Exercise list'!$E$5:$X$102,MATCH($C422,'Exercise list'!$C$5:$C$102,0),MATCH(AB$5,'Exercise list'!$E$4:$X$4,0)),0)</f>
        <v>0</v>
      </c>
      <c r="AC422">
        <f>IFERROR(INDEX('Exercise list'!$E$5:$X$102,MATCH($C422,'Exercise list'!$C$5:$C$102,0),MATCH(AC$5,'Exercise list'!$E$4:$X$4,0)),0)</f>
        <v>0</v>
      </c>
      <c r="AD422">
        <f>IFERROR(INDEX('Exercise list'!$E$5:$X$102,MATCH($C422,'Exercise list'!$C$5:$C$102,0),MATCH(AD$5,'Exercise list'!$E$4:$X$4,0)),0)</f>
        <v>0</v>
      </c>
      <c r="AE422">
        <f>IFERROR(INDEX('Exercise list'!$E$5:$X$102,MATCH($C422,'Exercise list'!$C$5:$C$102,0),MATCH(AE$5,'Exercise list'!$E$4:$X$4,0)),0)</f>
        <v>0</v>
      </c>
      <c r="AF422">
        <f>IFERROR(INDEX('Exercise list'!$E$5:$X$102,MATCH($C422,'Exercise list'!$C$5:$C$102,0),MATCH(AF$5,'Exercise list'!$E$4:$X$4,0)),0)</f>
        <v>0</v>
      </c>
      <c r="AG422">
        <f>IFERROR(INDEX('Exercise list'!$E$5:$X$102,MATCH($C422,'Exercise list'!$C$5:$C$102,0),MATCH(AG$5,'Exercise list'!$E$4:$X$4,0)),0)</f>
        <v>0</v>
      </c>
      <c r="AH422">
        <f>IFERROR(INDEX('Exercise list'!$E$5:$X$102,MATCH($C422,'Exercise list'!$C$5:$C$102,0),MATCH(AH$5,'Exercise list'!$E$4:$X$4,0)),0)</f>
        <v>0</v>
      </c>
      <c r="AI422">
        <f>IFERROR(INDEX('Exercise list'!$E$5:$X$102,MATCH($C422,'Exercise list'!$C$5:$C$102,0),MATCH(AI$5,'Exercise list'!$E$4:$X$4,0)),0)</f>
        <v>0</v>
      </c>
      <c r="AK422">
        <f>IF(OR($J422=1,COUNTIFS($A$5:$A421,"&gt;="&amp;$A422-1,$A$5:$A421,"&lt;="&amp;$A422,$B$5:$B421,$B422)&gt;0,MIN(1-'Exercise list'!E$2,IF($A422=$A421,AK421,1))-P422&lt;0),-1,MIN(1,IF($A422=$A421,AK421,1)-P422+$D$2))</f>
        <v>1</v>
      </c>
      <c r="AL422">
        <f>IF(OR($J422=1,COUNTIFS($A$5:$A421,"&gt;="&amp;$A422-1,$A$5:$A421,"&lt;="&amp;$A422,$B$5:$B421,$B422)&gt;0,MIN(1-'Exercise list'!F$2,IF($A422=$A421,AL421,1))-Q422&lt;0),-1,MIN(1,IF($A422=$A421,AL421,1)-Q422+$D$2))</f>
        <v>1</v>
      </c>
      <c r="AM422">
        <f>IF(OR($J422=1,COUNTIFS($A$5:$A421,"&gt;="&amp;$A422-1,$A$5:$A421,"&lt;="&amp;$A422,$B$5:$B421,$B422)&gt;0,MIN(1-'Exercise list'!G$2,IF($A422=$A421,AM421,1))-R422&lt;0),-1,MIN(1,IF($A422=$A421,AM421,1)-R422+$D$2))</f>
        <v>1</v>
      </c>
      <c r="AN422">
        <f>IF(OR($J422=1,COUNTIFS($A$5:$A421,"&gt;="&amp;$A422-1,$A$5:$A421,"&lt;="&amp;$A422,$B$5:$B421,$B422)&gt;0,MIN(1-'Exercise list'!H$2,IF($A422=$A421,AN421,1))-S422&lt;0),-1,MIN(1,IF($A422=$A421,AN421,1)-S422+$D$2))</f>
        <v>1</v>
      </c>
      <c r="AO422">
        <f>IF(OR($J422=1,COUNTIFS($A$5:$A421,"&gt;="&amp;$A422-1,$A$5:$A421,"&lt;="&amp;$A422,$B$5:$B421,$B422)&gt;0,MIN(1-'Exercise list'!I$2,IF($A422=$A421,AO421,1))-T422&lt;0),-1,MIN(1,IF($A422=$A421,AO421,1)-T422+$D$2))</f>
        <v>1</v>
      </c>
      <c r="AP422">
        <f>IF(OR($J422=1,COUNTIFS($A$5:$A421,"&gt;="&amp;$A422-1,$A$5:$A421,"&lt;="&amp;$A422,$B$5:$B421,$B422)&gt;0,MIN(1-'Exercise list'!J$2,IF($A422=$A421,AP421,1))-U422&lt;0),-1,MIN(1,IF($A422=$A421,AP421,1)-U422+$D$2))</f>
        <v>1</v>
      </c>
      <c r="AQ422">
        <f>IF(OR($J422=1,COUNTIFS($A$5:$A421,"&gt;="&amp;$A422-1,$A$5:$A421,"&lt;="&amp;$A422,$B$5:$B421,$B422)&gt;0,MIN(1-'Exercise list'!K$2,IF($A422=$A421,AQ421,1))-V422&lt;0),-1,MIN(1,IF($A422=$A421,AQ421,1)-V422+$D$2))</f>
        <v>1</v>
      </c>
      <c r="AR422">
        <f>IF(OR($J422=1,COUNTIFS($A$5:$A421,"&gt;="&amp;$A422-1,$A$5:$A421,"&lt;="&amp;$A422,$B$5:$B421,$B422)&gt;0,MIN(1-'Exercise list'!L$2,IF($A422=$A421,AR421,1))-W422&lt;0),-1,MIN(1,IF($A422=$A421,AR421,1)-W422+$D$2))</f>
        <v>1</v>
      </c>
      <c r="AS422">
        <f>IF(OR($J422=1,COUNTIFS($A$5:$A421,"&gt;="&amp;$A422-1,$A$5:$A421,"&lt;="&amp;$A422,$B$5:$B421,$B422)&gt;0,MIN(1-'Exercise list'!M$2,IF($A422=$A421,AS421,1))-X422&lt;0),-1,MIN(1,IF($A422=$A421,AS421,1)-X422+$D$2))</f>
        <v>1</v>
      </c>
      <c r="AT422">
        <f>IF(OR($J422=1,COUNTIFS($A$5:$A421,"&gt;="&amp;$A422-1,$A$5:$A421,"&lt;="&amp;$A422,$B$5:$B421,$B422)&gt;0,MIN(1-'Exercise list'!N$2,IF($A422=$A421,AT421,1))-Y422&lt;0),-1,MIN(1,IF($A422=$A421,AT421,1)-Y422+$D$2))</f>
        <v>1</v>
      </c>
      <c r="AU422">
        <f>IF(OR($J422=1,COUNTIFS($A$5:$A421,"&gt;="&amp;$A422-1,$A$5:$A421,"&lt;="&amp;$A422,$B$5:$B421,$B422)&gt;0,MIN(1-'Exercise list'!O$2,IF($A422=$A421,AU421,1))-Z422&lt;0),-1,MIN(1,IF($A422=$A421,AU421,1)-Z422+$D$2))</f>
        <v>1</v>
      </c>
      <c r="AV422">
        <f>IF(OR($J422=1,COUNTIFS($A$5:$A421,"&gt;="&amp;$A422-1,$A$5:$A421,"&lt;="&amp;$A422,$B$5:$B421,$B422)&gt;0,MIN(1-'Exercise list'!P$2,IF($A422=$A421,AV421,1))-AA422&lt;0),-1,MIN(1,IF($A422=$A421,AV421,1)-AA422+$D$2))</f>
        <v>1</v>
      </c>
      <c r="AW422">
        <f>IF(OR($J422=1,COUNTIFS($A$5:$A421,"&gt;="&amp;$A422-1,$A$5:$A421,"&lt;="&amp;$A422,$B$5:$B421,$B422)&gt;0,MIN(1-'Exercise list'!Q$2,IF($A422=$A421,AW421,1))-AB422&lt;0),-1,MIN(1,IF($A422=$A421,AW421,1)-AB422+$D$2))</f>
        <v>1</v>
      </c>
      <c r="AX422">
        <f>IF(OR($J422=1,COUNTIFS($A$5:$A421,"&gt;="&amp;$A422-1,$A$5:$A421,"&lt;="&amp;$A422,$B$5:$B421,$B422)&gt;0,MIN(1-'Exercise list'!R$2,IF($A422=$A421,AX421,1))-AC422&lt;0),-1,MIN(1,IF($A422=$A421,AX421,1)-AC422+$D$2))</f>
        <v>1</v>
      </c>
      <c r="AY422">
        <f>IF(OR($J422=1,COUNTIFS($A$5:$A421,"&gt;="&amp;$A422-1,$A$5:$A421,"&lt;="&amp;$A422,$B$5:$B421,$B422)&gt;0,MIN(1-'Exercise list'!S$2,IF($A422=$A421,AY421,1))-AD422&lt;0),-1,MIN(1,IF($A422=$A421,AY421,1)-AD422+$D$2))</f>
        <v>1</v>
      </c>
      <c r="AZ422">
        <f>IF(OR($J422=1,COUNTIFS($A$5:$A421,"&gt;="&amp;$A422-1,$A$5:$A421,"&lt;="&amp;$A422,$B$5:$B421,$B422)&gt;0,MIN(1-'Exercise list'!T$2,IF($A422=$A421,AZ421,1))-AE422&lt;0),-1,MIN(1,IF($A422=$A421,AZ421,1)-AE422+$D$2))</f>
        <v>1</v>
      </c>
      <c r="BA422">
        <f>IF(OR($J422=1,COUNTIFS($A$5:$A421,"&gt;="&amp;$A422-1,$A$5:$A421,"&lt;="&amp;$A422,$B$5:$B421,$B422)&gt;0,MIN(1-'Exercise list'!U$2,IF($A422=$A421,BA421,1))-AF422&lt;0),-1,MIN(1,IF($A422=$A421,BA421,1)-AF422+$D$2))</f>
        <v>1</v>
      </c>
      <c r="BB422">
        <f>IF(OR($J422=1,COUNTIFS($A$5:$A421,"&gt;="&amp;$A422-1,$A$5:$A421,"&lt;="&amp;$A422,$B$5:$B421,$B422)&gt;0,MIN(1-'Exercise list'!V$2,IF($A422=$A421,BB421,1))-AG422&lt;0),-1,MIN(1,IF($A422=$A421,BB421,1)-AG422+$D$2))</f>
        <v>1</v>
      </c>
      <c r="BC422">
        <f>IF(OR($J422=1,COUNTIFS($A$5:$A421,"&gt;="&amp;$A422-1,$A$5:$A421,"&lt;="&amp;$A422,$B$5:$B421,$B422)&gt;0,MIN(1-'Exercise list'!W$2,IF($A422=$A421,BC421,1))-AH422&lt;0),-1,MIN(1,IF($A422=$A421,BC421,1)-AH422+$D$2))</f>
        <v>1</v>
      </c>
      <c r="BD422">
        <f>IF(OR($J422=1,COUNTIFS($A$5:$A421,"&gt;="&amp;$A422-1,$A$5:$A421,"&lt;="&amp;$A422,$B$5:$B421,$B422)&gt;0,MIN(1-'Exercise list'!X$2,IF($A422=$A421,BD421,1))-AI422&lt;0),-1,MIN(1,IF($A422=$A421,BD421,1)-AI422+$D$2))</f>
        <v>1</v>
      </c>
      <c r="BF422" s="16">
        <f t="shared" si="321"/>
        <v>0.19596031081758858</v>
      </c>
      <c r="BG422" s="16">
        <f t="shared" si="322"/>
        <v>0.21844636935459236</v>
      </c>
      <c r="BH422" s="16">
        <f t="shared" si="323"/>
        <v>0.14609696635987124</v>
      </c>
      <c r="BI422" s="16">
        <f t="shared" si="324"/>
        <v>0.13198015366034541</v>
      </c>
      <c r="BJ422" s="16">
        <f t="shared" si="325"/>
        <v>8.3367914198418713E-2</v>
      </c>
      <c r="BK422" s="16">
        <f t="shared" si="326"/>
        <v>0.10640640223148412</v>
      </c>
      <c r="BL422" s="16">
        <f t="shared" si="327"/>
        <v>0.21963504743569431</v>
      </c>
      <c r="BM422" s="16">
        <f t="shared" si="328"/>
        <v>3.8988008374820568E-3</v>
      </c>
      <c r="BN422" s="16">
        <f t="shared" si="329"/>
        <v>0.14537706087090876</v>
      </c>
      <c r="BO422" s="16">
        <f t="shared" si="330"/>
        <v>0.29209790661993401</v>
      </c>
      <c r="BP422" s="16">
        <f t="shared" si="331"/>
        <v>0.31584545163401867</v>
      </c>
      <c r="BQ422" s="16">
        <f t="shared" si="332"/>
        <v>0.1000007994126096</v>
      </c>
      <c r="BR422" s="16">
        <f t="shared" si="333"/>
        <v>0.13164487759885393</v>
      </c>
      <c r="BS422" s="16">
        <f t="shared" si="334"/>
        <v>2.9803550189863123E-2</v>
      </c>
      <c r="BT422" s="16">
        <f t="shared" si="335"/>
        <v>0.13492040904978705</v>
      </c>
      <c r="BU422" s="16">
        <f t="shared" si="336"/>
        <v>0.11703687414398131</v>
      </c>
      <c r="BV422" s="16">
        <f t="shared" si="337"/>
        <v>0.14633353213781661</v>
      </c>
      <c r="BW422" s="16">
        <f t="shared" si="338"/>
        <v>7.5588015111767173E-2</v>
      </c>
      <c r="BX422" s="16">
        <f t="shared" si="339"/>
        <v>8.0345659937185704E-2</v>
      </c>
      <c r="BY422" s="16">
        <f t="shared" si="340"/>
        <v>5.9014643151272549E-2</v>
      </c>
      <c r="CA422" s="16" t="str">
        <f t="shared" si="317"/>
        <v/>
      </c>
      <c r="CB422" s="16" t="str">
        <f t="shared" si="298"/>
        <v/>
      </c>
      <c r="CC422" s="16" t="str">
        <f t="shared" si="299"/>
        <v/>
      </c>
      <c r="CD422" s="16" t="str">
        <f t="shared" si="300"/>
        <v/>
      </c>
      <c r="CE422" s="16" t="str">
        <f t="shared" si="301"/>
        <v/>
      </c>
      <c r="CF422" s="16" t="str">
        <f t="shared" si="302"/>
        <v/>
      </c>
      <c r="CG422" s="16" t="str">
        <f t="shared" si="303"/>
        <v/>
      </c>
      <c r="CH422" s="16" t="str">
        <f t="shared" si="304"/>
        <v/>
      </c>
      <c r="CI422" s="16" t="str">
        <f t="shared" si="305"/>
        <v/>
      </c>
      <c r="CJ422" s="16" t="str">
        <f t="shared" si="306"/>
        <v/>
      </c>
      <c r="CK422" s="16" t="str">
        <f t="shared" si="307"/>
        <v/>
      </c>
      <c r="CL422" s="16" t="str">
        <f t="shared" si="308"/>
        <v/>
      </c>
      <c r="CM422" s="16" t="str">
        <f t="shared" si="309"/>
        <v/>
      </c>
      <c r="CN422" s="16" t="str">
        <f t="shared" si="310"/>
        <v/>
      </c>
      <c r="CO422" s="16" t="str">
        <f t="shared" si="311"/>
        <v/>
      </c>
      <c r="CP422" s="16" t="str">
        <f t="shared" si="312"/>
        <v/>
      </c>
      <c r="CQ422" s="16" t="str">
        <f t="shared" si="313"/>
        <v/>
      </c>
      <c r="CR422" s="16" t="str">
        <f t="shared" si="314"/>
        <v/>
      </c>
      <c r="CS422" s="16" t="str">
        <f t="shared" si="315"/>
        <v/>
      </c>
      <c r="CT422" s="16" t="str">
        <f t="shared" si="316"/>
        <v/>
      </c>
    </row>
    <row r="423" spans="1:99" x14ac:dyDescent="0.25">
      <c r="A423" s="20"/>
      <c r="B423" s="21"/>
      <c r="C423" s="22" t="str" cm="1">
        <f t="array" ref="C423">IF(B423="","",INDEX('Exercise list'!$C$5:$C$102,B423))</f>
        <v/>
      </c>
      <c r="D423" s="17" t="str">
        <f t="shared" si="318"/>
        <v/>
      </c>
      <c r="E423" s="108" t="str">
        <f t="shared" si="341"/>
        <v/>
      </c>
      <c r="F423" s="65" t="str" cm="1">
        <f t="array" ref="F423">IF(B423="","",0.1+IFERROR(INDEX($F$6:$F422,SUMPRODUCT(MAX(ROW($C$6:$C422)*($C423=$C$6:$C422))-ROW($A$5)))*0.9^($A423-INDEX($A$6:A422,SUMPRODUCT(MAX(ROW($C$6:$C422)*($C423=$C$6:$C422))-ROW($A$5)))),0))</f>
        <v/>
      </c>
      <c r="G423" s="25" t="e">
        <f>INDEX('Exercise list'!$Y$5:$Y$102,MATCH(C423,'Exercise list'!$C$5:$C$102,0))</f>
        <v>#N/A</v>
      </c>
      <c r="H423" s="116">
        <f t="shared" si="319"/>
        <v>0</v>
      </c>
      <c r="I423" s="18">
        <f t="shared" si="320"/>
        <v>5</v>
      </c>
      <c r="J423" s="18" t="str" cm="1">
        <f t="array" ref="J423">IF(B423="","",INDEX('Exercise list'!$D$5:$D$102,B423))</f>
        <v/>
      </c>
      <c r="K423" s="17"/>
      <c r="L423" s="51" t="str" cm="1">
        <f t="array" ref="L423">IF(K423="","",INDEX('Exercise list'!$C$5:$C$102,K423))</f>
        <v/>
      </c>
      <c r="M423" s="18"/>
      <c r="N423" s="76" t="str" cm="1">
        <f t="array" ref="N423">IF(M423="","",INDEX('Exercise list'!$C$5:$C$102,M423))</f>
        <v/>
      </c>
      <c r="O423" s="19"/>
      <c r="P423" s="19">
        <f>IFERROR(INDEX('Exercise list'!$E$5:$X$102,MATCH($C423,'Exercise list'!$C$5:$C$102,0),MATCH(P$5,'Exercise list'!$E$4:$X$4,0)),0)</f>
        <v>0</v>
      </c>
      <c r="Q423" s="19">
        <f>IFERROR(INDEX('Exercise list'!$E$5:$X$102,MATCH($C423,'Exercise list'!$C$5:$C$102,0),MATCH(Q$5,'Exercise list'!$E$4:$X$4,0)),0)</f>
        <v>0</v>
      </c>
      <c r="R423" s="19">
        <f>IFERROR(INDEX('Exercise list'!$E$5:$X$102,MATCH($C423,'Exercise list'!$C$5:$C$102,0),MATCH(R$5,'Exercise list'!$E$4:$X$4,0)),0)</f>
        <v>0</v>
      </c>
      <c r="S423" s="19">
        <f>IFERROR(INDEX('Exercise list'!$E$5:$X$102,MATCH($C423,'Exercise list'!$C$5:$C$102,0),MATCH(S$5,'Exercise list'!$E$4:$X$4,0)),0)</f>
        <v>0</v>
      </c>
      <c r="T423" s="19">
        <f>IFERROR(INDEX('Exercise list'!$E$5:$X$102,MATCH($C423,'Exercise list'!$C$5:$C$102,0),MATCH(T$5,'Exercise list'!$E$4:$X$4,0)),0)</f>
        <v>0</v>
      </c>
      <c r="U423" s="19">
        <f>IFERROR(INDEX('Exercise list'!$E$5:$X$102,MATCH($C423,'Exercise list'!$C$5:$C$102,0),MATCH(U$5,'Exercise list'!$E$4:$X$4,0)),0)</f>
        <v>0</v>
      </c>
      <c r="V423" s="19">
        <f>IFERROR(INDEX('Exercise list'!$E$5:$X$102,MATCH($C423,'Exercise list'!$C$5:$C$102,0),MATCH(V$5,'Exercise list'!$E$4:$X$4,0)),0)</f>
        <v>0</v>
      </c>
      <c r="W423" s="19">
        <f>IFERROR(INDEX('Exercise list'!$E$5:$X$102,MATCH($C423,'Exercise list'!$C$5:$C$102,0),MATCH(W$5,'Exercise list'!$E$4:$X$4,0)),0)</f>
        <v>0</v>
      </c>
      <c r="X423" s="19">
        <f>IFERROR(INDEX('Exercise list'!$E$5:$X$102,MATCH($C423,'Exercise list'!$C$5:$C$102,0),MATCH(X$5,'Exercise list'!$E$4:$X$4,0)),0)</f>
        <v>0</v>
      </c>
      <c r="Y423" s="19">
        <f>IFERROR(INDEX('Exercise list'!$E$5:$X$102,MATCH($C423,'Exercise list'!$C$5:$C$102,0),MATCH(Y$5,'Exercise list'!$E$4:$X$4,0)),0)</f>
        <v>0</v>
      </c>
      <c r="Z423" s="19">
        <f>IFERROR(INDEX('Exercise list'!$E$5:$X$102,MATCH($C423,'Exercise list'!$C$5:$C$102,0),MATCH(Z$5,'Exercise list'!$E$4:$X$4,0)),0)</f>
        <v>0</v>
      </c>
      <c r="AA423" s="19">
        <f>IFERROR(INDEX('Exercise list'!$E$5:$X$102,MATCH($C423,'Exercise list'!$C$5:$C$102,0),MATCH(AA$5,'Exercise list'!$E$4:$X$4,0)),0)</f>
        <v>0</v>
      </c>
      <c r="AB423" s="19">
        <f>IFERROR(INDEX('Exercise list'!$E$5:$X$102,MATCH($C423,'Exercise list'!$C$5:$C$102,0),MATCH(AB$5,'Exercise list'!$E$4:$X$4,0)),0)</f>
        <v>0</v>
      </c>
      <c r="AC423" s="19">
        <f>IFERROR(INDEX('Exercise list'!$E$5:$X$102,MATCH($C423,'Exercise list'!$C$5:$C$102,0),MATCH(AC$5,'Exercise list'!$E$4:$X$4,0)),0)</f>
        <v>0</v>
      </c>
      <c r="AD423" s="19">
        <f>IFERROR(INDEX('Exercise list'!$E$5:$X$102,MATCH($C423,'Exercise list'!$C$5:$C$102,0),MATCH(AD$5,'Exercise list'!$E$4:$X$4,0)),0)</f>
        <v>0</v>
      </c>
      <c r="AE423" s="19">
        <f>IFERROR(INDEX('Exercise list'!$E$5:$X$102,MATCH($C423,'Exercise list'!$C$5:$C$102,0),MATCH(AE$5,'Exercise list'!$E$4:$X$4,0)),0)</f>
        <v>0</v>
      </c>
      <c r="AF423" s="19">
        <f>IFERROR(INDEX('Exercise list'!$E$5:$X$102,MATCH($C423,'Exercise list'!$C$5:$C$102,0),MATCH(AF$5,'Exercise list'!$E$4:$X$4,0)),0)</f>
        <v>0</v>
      </c>
      <c r="AG423" s="19">
        <f>IFERROR(INDEX('Exercise list'!$E$5:$X$102,MATCH($C423,'Exercise list'!$C$5:$C$102,0),MATCH(AG$5,'Exercise list'!$E$4:$X$4,0)),0)</f>
        <v>0</v>
      </c>
      <c r="AH423" s="19">
        <f>IFERROR(INDEX('Exercise list'!$E$5:$X$102,MATCH($C423,'Exercise list'!$C$5:$C$102,0),MATCH(AH$5,'Exercise list'!$E$4:$X$4,0)),0)</f>
        <v>0</v>
      </c>
      <c r="AI423" s="19">
        <f>IFERROR(INDEX('Exercise list'!$E$5:$X$102,MATCH($C423,'Exercise list'!$C$5:$C$102,0),MATCH(AI$5,'Exercise list'!$E$4:$X$4,0)),0)</f>
        <v>0</v>
      </c>
      <c r="AJ423" s="19"/>
      <c r="AK423" s="19">
        <f>IF(OR($J423=1,COUNTIFS($A$5:$A422,"&gt;="&amp;$A423-1,$A$5:$A422,"&lt;="&amp;$A423,$B$5:$B422,$B423)&gt;0,MIN(1-'Exercise list'!E$2,IF($A423=$A422,AK422,1))-P423&lt;0),-1,MIN(1,IF($A423=$A422,AK422,1)-P423+$D$2))</f>
        <v>1</v>
      </c>
      <c r="AL423" s="19">
        <f>IF(OR($J423=1,COUNTIFS($A$5:$A422,"&gt;="&amp;$A423-1,$A$5:$A422,"&lt;="&amp;$A423,$B$5:$B422,$B423)&gt;0,MIN(1-'Exercise list'!F$2,IF($A423=$A422,AL422,1))-Q423&lt;0),-1,MIN(1,IF($A423=$A422,AL422,1)-Q423+$D$2))</f>
        <v>1</v>
      </c>
      <c r="AM423" s="19">
        <f>IF(OR($J423=1,COUNTIFS($A$5:$A422,"&gt;="&amp;$A423-1,$A$5:$A422,"&lt;="&amp;$A423,$B$5:$B422,$B423)&gt;0,MIN(1-'Exercise list'!G$2,IF($A423=$A422,AM422,1))-R423&lt;0),-1,MIN(1,IF($A423=$A422,AM422,1)-R423+$D$2))</f>
        <v>1</v>
      </c>
      <c r="AN423" s="19">
        <f>IF(OR($J423=1,COUNTIFS($A$5:$A422,"&gt;="&amp;$A423-1,$A$5:$A422,"&lt;="&amp;$A423,$B$5:$B422,$B423)&gt;0,MIN(1-'Exercise list'!H$2,IF($A423=$A422,AN422,1))-S423&lt;0),-1,MIN(1,IF($A423=$A422,AN422,1)-S423+$D$2))</f>
        <v>1</v>
      </c>
      <c r="AO423" s="19">
        <f>IF(OR($J423=1,COUNTIFS($A$5:$A422,"&gt;="&amp;$A423-1,$A$5:$A422,"&lt;="&amp;$A423,$B$5:$B422,$B423)&gt;0,MIN(1-'Exercise list'!I$2,IF($A423=$A422,AO422,1))-T423&lt;0),-1,MIN(1,IF($A423=$A422,AO422,1)-T423+$D$2))</f>
        <v>1</v>
      </c>
      <c r="AP423" s="19">
        <f>IF(OR($J423=1,COUNTIFS($A$5:$A422,"&gt;="&amp;$A423-1,$A$5:$A422,"&lt;="&amp;$A423,$B$5:$B422,$B423)&gt;0,MIN(1-'Exercise list'!J$2,IF($A423=$A422,AP422,1))-U423&lt;0),-1,MIN(1,IF($A423=$A422,AP422,1)-U423+$D$2))</f>
        <v>1</v>
      </c>
      <c r="AQ423" s="19">
        <f>IF(OR($J423=1,COUNTIFS($A$5:$A422,"&gt;="&amp;$A423-1,$A$5:$A422,"&lt;="&amp;$A423,$B$5:$B422,$B423)&gt;0,MIN(1-'Exercise list'!K$2,IF($A423=$A422,AQ422,1))-V423&lt;0),-1,MIN(1,IF($A423=$A422,AQ422,1)-V423+$D$2))</f>
        <v>1</v>
      </c>
      <c r="AR423" s="19">
        <f>IF(OR($J423=1,COUNTIFS($A$5:$A422,"&gt;="&amp;$A423-1,$A$5:$A422,"&lt;="&amp;$A423,$B$5:$B422,$B423)&gt;0,MIN(1-'Exercise list'!L$2,IF($A423=$A422,AR422,1))-W423&lt;0),-1,MIN(1,IF($A423=$A422,AR422,1)-W423+$D$2))</f>
        <v>1</v>
      </c>
      <c r="AS423" s="19">
        <f>IF(OR($J423=1,COUNTIFS($A$5:$A422,"&gt;="&amp;$A423-1,$A$5:$A422,"&lt;="&amp;$A423,$B$5:$B422,$B423)&gt;0,MIN(1-'Exercise list'!M$2,IF($A423=$A422,AS422,1))-X423&lt;0),-1,MIN(1,IF($A423=$A422,AS422,1)-X423+$D$2))</f>
        <v>1</v>
      </c>
      <c r="AT423" s="19">
        <f>IF(OR($J423=1,COUNTIFS($A$5:$A422,"&gt;="&amp;$A423-1,$A$5:$A422,"&lt;="&amp;$A423,$B$5:$B422,$B423)&gt;0,MIN(1-'Exercise list'!N$2,IF($A423=$A422,AT422,1))-Y423&lt;0),-1,MIN(1,IF($A423=$A422,AT422,1)-Y423+$D$2))</f>
        <v>1</v>
      </c>
      <c r="AU423" s="19">
        <f>IF(OR($J423=1,COUNTIFS($A$5:$A422,"&gt;="&amp;$A423-1,$A$5:$A422,"&lt;="&amp;$A423,$B$5:$B422,$B423)&gt;0,MIN(1-'Exercise list'!O$2,IF($A423=$A422,AU422,1))-Z423&lt;0),-1,MIN(1,IF($A423=$A422,AU422,1)-Z423+$D$2))</f>
        <v>1</v>
      </c>
      <c r="AV423" s="19">
        <f>IF(OR($J423=1,COUNTIFS($A$5:$A422,"&gt;="&amp;$A423-1,$A$5:$A422,"&lt;="&amp;$A423,$B$5:$B422,$B423)&gt;0,MIN(1-'Exercise list'!P$2,IF($A423=$A422,AV422,1))-AA423&lt;0),-1,MIN(1,IF($A423=$A422,AV422,1)-AA423+$D$2))</f>
        <v>1</v>
      </c>
      <c r="AW423" s="19">
        <f>IF(OR($J423=1,COUNTIFS($A$5:$A422,"&gt;="&amp;$A423-1,$A$5:$A422,"&lt;="&amp;$A423,$B$5:$B422,$B423)&gt;0,MIN(1-'Exercise list'!Q$2,IF($A423=$A422,AW422,1))-AB423&lt;0),-1,MIN(1,IF($A423=$A422,AW422,1)-AB423+$D$2))</f>
        <v>1</v>
      </c>
      <c r="AX423" s="19">
        <f>IF(OR($J423=1,COUNTIFS($A$5:$A422,"&gt;="&amp;$A423-1,$A$5:$A422,"&lt;="&amp;$A423,$B$5:$B422,$B423)&gt;0,MIN(1-'Exercise list'!R$2,IF($A423=$A422,AX422,1))-AC423&lt;0),-1,MIN(1,IF($A423=$A422,AX422,1)-AC423+$D$2))</f>
        <v>1</v>
      </c>
      <c r="AY423" s="19">
        <f>IF(OR($J423=1,COUNTIFS($A$5:$A422,"&gt;="&amp;$A423-1,$A$5:$A422,"&lt;="&amp;$A423,$B$5:$B422,$B423)&gt;0,MIN(1-'Exercise list'!S$2,IF($A423=$A422,AY422,1))-AD423&lt;0),-1,MIN(1,IF($A423=$A422,AY422,1)-AD423+$D$2))</f>
        <v>1</v>
      </c>
      <c r="AZ423" s="19">
        <f>IF(OR($J423=1,COUNTIFS($A$5:$A422,"&gt;="&amp;$A423-1,$A$5:$A422,"&lt;="&amp;$A423,$B$5:$B422,$B423)&gt;0,MIN(1-'Exercise list'!T$2,IF($A423=$A422,AZ422,1))-AE423&lt;0),-1,MIN(1,IF($A423=$A422,AZ422,1)-AE423+$D$2))</f>
        <v>1</v>
      </c>
      <c r="BA423" s="19">
        <f>IF(OR($J423=1,COUNTIFS($A$5:$A422,"&gt;="&amp;$A423-1,$A$5:$A422,"&lt;="&amp;$A423,$B$5:$B422,$B423)&gt;0,MIN(1-'Exercise list'!U$2,IF($A423=$A422,BA422,1))-AF423&lt;0),-1,MIN(1,IF($A423=$A422,BA422,1)-AF423+$D$2))</f>
        <v>1</v>
      </c>
      <c r="BB423" s="19">
        <f>IF(OR($J423=1,COUNTIFS($A$5:$A422,"&gt;="&amp;$A423-1,$A$5:$A422,"&lt;="&amp;$A423,$B$5:$B422,$B423)&gt;0,MIN(1-'Exercise list'!V$2,IF($A423=$A422,BB422,1))-AG423&lt;0),-1,MIN(1,IF($A423=$A422,BB422,1)-AG423+$D$2))</f>
        <v>1</v>
      </c>
      <c r="BC423" s="19">
        <f>IF(OR($J423=1,COUNTIFS($A$5:$A422,"&gt;="&amp;$A423-1,$A$5:$A422,"&lt;="&amp;$A423,$B$5:$B422,$B423)&gt;0,MIN(1-'Exercise list'!W$2,IF($A423=$A422,BC422,1))-AH423&lt;0),-1,MIN(1,IF($A423=$A422,BC422,1)-AH423+$D$2))</f>
        <v>1</v>
      </c>
      <c r="BD423" s="19">
        <f>IF(OR($J423=1,COUNTIFS($A$5:$A422,"&gt;="&amp;$A423-1,$A$5:$A422,"&lt;="&amp;$A423,$B$5:$B422,$B423)&gt;0,MIN(1-'Exercise list'!X$2,IF($A423=$A422,BD422,1))-AI423&lt;0),-1,MIN(1,IF($A423=$A422,BD422,1)-AI423+$D$2))</f>
        <v>1</v>
      </c>
      <c r="BE423" s="19"/>
      <c r="BF423" s="23">
        <f t="shared" si="321"/>
        <v>0.19596031081758858</v>
      </c>
      <c r="BG423" s="23">
        <f t="shared" si="322"/>
        <v>0.21844636935459236</v>
      </c>
      <c r="BH423" s="23">
        <f t="shared" si="323"/>
        <v>0.14609696635987124</v>
      </c>
      <c r="BI423" s="23">
        <f t="shared" si="324"/>
        <v>0.13198015366034541</v>
      </c>
      <c r="BJ423" s="23">
        <f t="shared" si="325"/>
        <v>8.3367914198418713E-2</v>
      </c>
      <c r="BK423" s="23">
        <f t="shared" si="326"/>
        <v>0.10640640223148412</v>
      </c>
      <c r="BL423" s="23">
        <f t="shared" si="327"/>
        <v>0.21963504743569431</v>
      </c>
      <c r="BM423" s="23">
        <f t="shared" si="328"/>
        <v>3.8988008374820568E-3</v>
      </c>
      <c r="BN423" s="23">
        <f t="shared" si="329"/>
        <v>0.14537706087090876</v>
      </c>
      <c r="BO423" s="23">
        <f t="shared" si="330"/>
        <v>0.29209790661993401</v>
      </c>
      <c r="BP423" s="23">
        <f t="shared" si="331"/>
        <v>0.31584545163401867</v>
      </c>
      <c r="BQ423" s="23">
        <f t="shared" si="332"/>
        <v>0.1000007994126096</v>
      </c>
      <c r="BR423" s="23">
        <f t="shared" si="333"/>
        <v>0.13164487759885393</v>
      </c>
      <c r="BS423" s="23">
        <f t="shared" si="334"/>
        <v>2.9803550189863123E-2</v>
      </c>
      <c r="BT423" s="23">
        <f t="shared" si="335"/>
        <v>0.13492040904978705</v>
      </c>
      <c r="BU423" s="23">
        <f t="shared" si="336"/>
        <v>0.11703687414398131</v>
      </c>
      <c r="BV423" s="23">
        <f t="shared" si="337"/>
        <v>0.14633353213781661</v>
      </c>
      <c r="BW423" s="23">
        <f t="shared" si="338"/>
        <v>7.5588015111767173E-2</v>
      </c>
      <c r="BX423" s="23">
        <f t="shared" si="339"/>
        <v>8.0345659937185704E-2</v>
      </c>
      <c r="BY423" s="23">
        <f t="shared" si="340"/>
        <v>5.9014643151272549E-2</v>
      </c>
      <c r="BZ423" s="19"/>
      <c r="CA423" s="23" t="str">
        <f t="shared" si="317"/>
        <v/>
      </c>
      <c r="CB423" s="23" t="str">
        <f t="shared" si="298"/>
        <v/>
      </c>
      <c r="CC423" s="23" t="str">
        <f t="shared" si="299"/>
        <v/>
      </c>
      <c r="CD423" s="23" t="str">
        <f t="shared" si="300"/>
        <v/>
      </c>
      <c r="CE423" s="23" t="str">
        <f t="shared" si="301"/>
        <v/>
      </c>
      <c r="CF423" s="23" t="str">
        <f t="shared" si="302"/>
        <v/>
      </c>
      <c r="CG423" s="23" t="str">
        <f t="shared" si="303"/>
        <v/>
      </c>
      <c r="CH423" s="23" t="str">
        <f t="shared" si="304"/>
        <v/>
      </c>
      <c r="CI423" s="23" t="str">
        <f t="shared" si="305"/>
        <v/>
      </c>
      <c r="CJ423" s="23" t="str">
        <f t="shared" si="306"/>
        <v/>
      </c>
      <c r="CK423" s="23" t="str">
        <f t="shared" si="307"/>
        <v/>
      </c>
      <c r="CL423" s="23" t="str">
        <f t="shared" si="308"/>
        <v/>
      </c>
      <c r="CM423" s="23" t="str">
        <f t="shared" si="309"/>
        <v/>
      </c>
      <c r="CN423" s="23" t="str">
        <f t="shared" si="310"/>
        <v/>
      </c>
      <c r="CO423" s="23" t="str">
        <f t="shared" si="311"/>
        <v/>
      </c>
      <c r="CP423" s="23" t="str">
        <f t="shared" si="312"/>
        <v/>
      </c>
      <c r="CQ423" s="23" t="str">
        <f t="shared" si="313"/>
        <v/>
      </c>
      <c r="CR423" s="23" t="str">
        <f t="shared" si="314"/>
        <v/>
      </c>
      <c r="CS423" s="23" t="str">
        <f t="shared" si="315"/>
        <v/>
      </c>
      <c r="CT423" s="23" t="str">
        <f t="shared" si="316"/>
        <v/>
      </c>
      <c r="CU423" s="19"/>
    </row>
    <row r="424" spans="1:99" x14ac:dyDescent="0.25">
      <c r="A424" s="13"/>
      <c r="B424" s="14"/>
      <c r="C424" s="15" t="str" cm="1">
        <f t="array" ref="C424">IF(B424="","",INDEX('Exercise list'!$C$5:$C$102,B424))</f>
        <v/>
      </c>
      <c r="D424" s="12" t="str">
        <f t="shared" si="318"/>
        <v/>
      </c>
      <c r="E424" s="107" t="str">
        <f t="shared" si="341"/>
        <v/>
      </c>
      <c r="F424" s="63" t="str" cm="1">
        <f t="array" ref="F424">IF(B424="","",0.1+IFERROR(INDEX($F$6:$F423,SUMPRODUCT(MAX(ROW($C$6:$C423)*($C424=$C$6:$C423))-ROW($A$5)))*0.9^($A424-INDEX($A$6:A423,SUMPRODUCT(MAX(ROW($C$6:$C423)*($C424=$C$6:$C423))-ROW($A$5)))),0))</f>
        <v/>
      </c>
      <c r="G424" s="64" t="e">
        <f>INDEX('Exercise list'!$Y$5:$Y$102,MATCH(C424,'Exercise list'!$C$5:$C$102,0))</f>
        <v>#N/A</v>
      </c>
      <c r="H424" s="115">
        <f t="shared" si="319"/>
        <v>0</v>
      </c>
      <c r="I424" s="42">
        <f t="shared" si="320"/>
        <v>5</v>
      </c>
      <c r="J424" s="6" t="str" cm="1">
        <f t="array" ref="J424">IF(B424="","",INDEX('Exercise list'!$D$5:$D$102,B424))</f>
        <v/>
      </c>
      <c r="K424" s="12"/>
      <c r="L424" s="74" t="str" cm="1">
        <f t="array" ref="L424">IF(K424="","",INDEX('Exercise list'!$C$5:$C$102,K424))</f>
        <v/>
      </c>
      <c r="M424" s="6"/>
      <c r="N424" s="75" t="str" cm="1">
        <f t="array" ref="N424">IF(M424="","",INDEX('Exercise list'!$C$5:$C$102,M424))</f>
        <v/>
      </c>
      <c r="P424">
        <f>IFERROR(INDEX('Exercise list'!$E$5:$X$102,MATCH($C424,'Exercise list'!$C$5:$C$102,0),MATCH(P$5,'Exercise list'!$E$4:$X$4,0)),0)</f>
        <v>0</v>
      </c>
      <c r="Q424">
        <f>IFERROR(INDEX('Exercise list'!$E$5:$X$102,MATCH($C424,'Exercise list'!$C$5:$C$102,0),MATCH(Q$5,'Exercise list'!$E$4:$X$4,0)),0)</f>
        <v>0</v>
      </c>
      <c r="R424">
        <f>IFERROR(INDEX('Exercise list'!$E$5:$X$102,MATCH($C424,'Exercise list'!$C$5:$C$102,0),MATCH(R$5,'Exercise list'!$E$4:$X$4,0)),0)</f>
        <v>0</v>
      </c>
      <c r="S424">
        <f>IFERROR(INDEX('Exercise list'!$E$5:$X$102,MATCH($C424,'Exercise list'!$C$5:$C$102,0),MATCH(S$5,'Exercise list'!$E$4:$X$4,0)),0)</f>
        <v>0</v>
      </c>
      <c r="T424">
        <f>IFERROR(INDEX('Exercise list'!$E$5:$X$102,MATCH($C424,'Exercise list'!$C$5:$C$102,0),MATCH(T$5,'Exercise list'!$E$4:$X$4,0)),0)</f>
        <v>0</v>
      </c>
      <c r="U424">
        <f>IFERROR(INDEX('Exercise list'!$E$5:$X$102,MATCH($C424,'Exercise list'!$C$5:$C$102,0),MATCH(U$5,'Exercise list'!$E$4:$X$4,0)),0)</f>
        <v>0</v>
      </c>
      <c r="V424">
        <f>IFERROR(INDEX('Exercise list'!$E$5:$X$102,MATCH($C424,'Exercise list'!$C$5:$C$102,0),MATCH(V$5,'Exercise list'!$E$4:$X$4,0)),0)</f>
        <v>0</v>
      </c>
      <c r="W424">
        <f>IFERROR(INDEX('Exercise list'!$E$5:$X$102,MATCH($C424,'Exercise list'!$C$5:$C$102,0),MATCH(W$5,'Exercise list'!$E$4:$X$4,0)),0)</f>
        <v>0</v>
      </c>
      <c r="X424">
        <f>IFERROR(INDEX('Exercise list'!$E$5:$X$102,MATCH($C424,'Exercise list'!$C$5:$C$102,0),MATCH(X$5,'Exercise list'!$E$4:$X$4,0)),0)</f>
        <v>0</v>
      </c>
      <c r="Y424">
        <f>IFERROR(INDEX('Exercise list'!$E$5:$X$102,MATCH($C424,'Exercise list'!$C$5:$C$102,0),MATCH(Y$5,'Exercise list'!$E$4:$X$4,0)),0)</f>
        <v>0</v>
      </c>
      <c r="Z424">
        <f>IFERROR(INDEX('Exercise list'!$E$5:$X$102,MATCH($C424,'Exercise list'!$C$5:$C$102,0),MATCH(Z$5,'Exercise list'!$E$4:$X$4,0)),0)</f>
        <v>0</v>
      </c>
      <c r="AA424">
        <f>IFERROR(INDEX('Exercise list'!$E$5:$X$102,MATCH($C424,'Exercise list'!$C$5:$C$102,0),MATCH(AA$5,'Exercise list'!$E$4:$X$4,0)),0)</f>
        <v>0</v>
      </c>
      <c r="AB424">
        <f>IFERROR(INDEX('Exercise list'!$E$5:$X$102,MATCH($C424,'Exercise list'!$C$5:$C$102,0),MATCH(AB$5,'Exercise list'!$E$4:$X$4,0)),0)</f>
        <v>0</v>
      </c>
      <c r="AC424">
        <f>IFERROR(INDEX('Exercise list'!$E$5:$X$102,MATCH($C424,'Exercise list'!$C$5:$C$102,0),MATCH(AC$5,'Exercise list'!$E$4:$X$4,0)),0)</f>
        <v>0</v>
      </c>
      <c r="AD424">
        <f>IFERROR(INDEX('Exercise list'!$E$5:$X$102,MATCH($C424,'Exercise list'!$C$5:$C$102,0),MATCH(AD$5,'Exercise list'!$E$4:$X$4,0)),0)</f>
        <v>0</v>
      </c>
      <c r="AE424">
        <f>IFERROR(INDEX('Exercise list'!$E$5:$X$102,MATCH($C424,'Exercise list'!$C$5:$C$102,0),MATCH(AE$5,'Exercise list'!$E$4:$X$4,0)),0)</f>
        <v>0</v>
      </c>
      <c r="AF424">
        <f>IFERROR(INDEX('Exercise list'!$E$5:$X$102,MATCH($C424,'Exercise list'!$C$5:$C$102,0),MATCH(AF$5,'Exercise list'!$E$4:$X$4,0)),0)</f>
        <v>0</v>
      </c>
      <c r="AG424">
        <f>IFERROR(INDEX('Exercise list'!$E$5:$X$102,MATCH($C424,'Exercise list'!$C$5:$C$102,0),MATCH(AG$5,'Exercise list'!$E$4:$X$4,0)),0)</f>
        <v>0</v>
      </c>
      <c r="AH424">
        <f>IFERROR(INDEX('Exercise list'!$E$5:$X$102,MATCH($C424,'Exercise list'!$C$5:$C$102,0),MATCH(AH$5,'Exercise list'!$E$4:$X$4,0)),0)</f>
        <v>0</v>
      </c>
      <c r="AI424">
        <f>IFERROR(INDEX('Exercise list'!$E$5:$X$102,MATCH($C424,'Exercise list'!$C$5:$C$102,0),MATCH(AI$5,'Exercise list'!$E$4:$X$4,0)),0)</f>
        <v>0</v>
      </c>
      <c r="AK424">
        <f>IF(OR($J424=1,COUNTIFS($A$5:$A423,"&gt;="&amp;$A424-1,$A$5:$A423,"&lt;="&amp;$A424,$B$5:$B423,$B424)&gt;0,MIN(1-'Exercise list'!E$2,IF($A424=$A423,AK423,1))-P424&lt;0),-1,MIN(1,IF($A424=$A423,AK423,1)-P424+$D$2))</f>
        <v>1</v>
      </c>
      <c r="AL424">
        <f>IF(OR($J424=1,COUNTIFS($A$5:$A423,"&gt;="&amp;$A424-1,$A$5:$A423,"&lt;="&amp;$A424,$B$5:$B423,$B424)&gt;0,MIN(1-'Exercise list'!F$2,IF($A424=$A423,AL423,1))-Q424&lt;0),-1,MIN(1,IF($A424=$A423,AL423,1)-Q424+$D$2))</f>
        <v>1</v>
      </c>
      <c r="AM424">
        <f>IF(OR($J424=1,COUNTIFS($A$5:$A423,"&gt;="&amp;$A424-1,$A$5:$A423,"&lt;="&amp;$A424,$B$5:$B423,$B424)&gt;0,MIN(1-'Exercise list'!G$2,IF($A424=$A423,AM423,1))-R424&lt;0),-1,MIN(1,IF($A424=$A423,AM423,1)-R424+$D$2))</f>
        <v>1</v>
      </c>
      <c r="AN424">
        <f>IF(OR($J424=1,COUNTIFS($A$5:$A423,"&gt;="&amp;$A424-1,$A$5:$A423,"&lt;="&amp;$A424,$B$5:$B423,$B424)&gt;0,MIN(1-'Exercise list'!H$2,IF($A424=$A423,AN423,1))-S424&lt;0),-1,MIN(1,IF($A424=$A423,AN423,1)-S424+$D$2))</f>
        <v>1</v>
      </c>
      <c r="AO424">
        <f>IF(OR($J424=1,COUNTIFS($A$5:$A423,"&gt;="&amp;$A424-1,$A$5:$A423,"&lt;="&amp;$A424,$B$5:$B423,$B424)&gt;0,MIN(1-'Exercise list'!I$2,IF($A424=$A423,AO423,1))-T424&lt;0),-1,MIN(1,IF($A424=$A423,AO423,1)-T424+$D$2))</f>
        <v>1</v>
      </c>
      <c r="AP424">
        <f>IF(OR($J424=1,COUNTIFS($A$5:$A423,"&gt;="&amp;$A424-1,$A$5:$A423,"&lt;="&amp;$A424,$B$5:$B423,$B424)&gt;0,MIN(1-'Exercise list'!J$2,IF($A424=$A423,AP423,1))-U424&lt;0),-1,MIN(1,IF($A424=$A423,AP423,1)-U424+$D$2))</f>
        <v>1</v>
      </c>
      <c r="AQ424">
        <f>IF(OR($J424=1,COUNTIFS($A$5:$A423,"&gt;="&amp;$A424-1,$A$5:$A423,"&lt;="&amp;$A424,$B$5:$B423,$B424)&gt;0,MIN(1-'Exercise list'!K$2,IF($A424=$A423,AQ423,1))-V424&lt;0),-1,MIN(1,IF($A424=$A423,AQ423,1)-V424+$D$2))</f>
        <v>1</v>
      </c>
      <c r="AR424">
        <f>IF(OR($J424=1,COUNTIFS($A$5:$A423,"&gt;="&amp;$A424-1,$A$5:$A423,"&lt;="&amp;$A424,$B$5:$B423,$B424)&gt;0,MIN(1-'Exercise list'!L$2,IF($A424=$A423,AR423,1))-W424&lt;0),-1,MIN(1,IF($A424=$A423,AR423,1)-W424+$D$2))</f>
        <v>1</v>
      </c>
      <c r="AS424">
        <f>IF(OR($J424=1,COUNTIFS($A$5:$A423,"&gt;="&amp;$A424-1,$A$5:$A423,"&lt;="&amp;$A424,$B$5:$B423,$B424)&gt;0,MIN(1-'Exercise list'!M$2,IF($A424=$A423,AS423,1))-X424&lt;0),-1,MIN(1,IF($A424=$A423,AS423,1)-X424+$D$2))</f>
        <v>1</v>
      </c>
      <c r="AT424">
        <f>IF(OR($J424=1,COUNTIFS($A$5:$A423,"&gt;="&amp;$A424-1,$A$5:$A423,"&lt;="&amp;$A424,$B$5:$B423,$B424)&gt;0,MIN(1-'Exercise list'!N$2,IF($A424=$A423,AT423,1))-Y424&lt;0),-1,MIN(1,IF($A424=$A423,AT423,1)-Y424+$D$2))</f>
        <v>1</v>
      </c>
      <c r="AU424">
        <f>IF(OR($J424=1,COUNTIFS($A$5:$A423,"&gt;="&amp;$A424-1,$A$5:$A423,"&lt;="&amp;$A424,$B$5:$B423,$B424)&gt;0,MIN(1-'Exercise list'!O$2,IF($A424=$A423,AU423,1))-Z424&lt;0),-1,MIN(1,IF($A424=$A423,AU423,1)-Z424+$D$2))</f>
        <v>1</v>
      </c>
      <c r="AV424">
        <f>IF(OR($J424=1,COUNTIFS($A$5:$A423,"&gt;="&amp;$A424-1,$A$5:$A423,"&lt;="&amp;$A424,$B$5:$B423,$B424)&gt;0,MIN(1-'Exercise list'!P$2,IF($A424=$A423,AV423,1))-AA424&lt;0),-1,MIN(1,IF($A424=$A423,AV423,1)-AA424+$D$2))</f>
        <v>1</v>
      </c>
      <c r="AW424">
        <f>IF(OR($J424=1,COUNTIFS($A$5:$A423,"&gt;="&amp;$A424-1,$A$5:$A423,"&lt;="&amp;$A424,$B$5:$B423,$B424)&gt;0,MIN(1-'Exercise list'!Q$2,IF($A424=$A423,AW423,1))-AB424&lt;0),-1,MIN(1,IF($A424=$A423,AW423,1)-AB424+$D$2))</f>
        <v>1</v>
      </c>
      <c r="AX424">
        <f>IF(OR($J424=1,COUNTIFS($A$5:$A423,"&gt;="&amp;$A424-1,$A$5:$A423,"&lt;="&amp;$A424,$B$5:$B423,$B424)&gt;0,MIN(1-'Exercise list'!R$2,IF($A424=$A423,AX423,1))-AC424&lt;0),-1,MIN(1,IF($A424=$A423,AX423,1)-AC424+$D$2))</f>
        <v>1</v>
      </c>
      <c r="AY424">
        <f>IF(OR($J424=1,COUNTIFS($A$5:$A423,"&gt;="&amp;$A424-1,$A$5:$A423,"&lt;="&amp;$A424,$B$5:$B423,$B424)&gt;0,MIN(1-'Exercise list'!S$2,IF($A424=$A423,AY423,1))-AD424&lt;0),-1,MIN(1,IF($A424=$A423,AY423,1)-AD424+$D$2))</f>
        <v>1</v>
      </c>
      <c r="AZ424">
        <f>IF(OR($J424=1,COUNTIFS($A$5:$A423,"&gt;="&amp;$A424-1,$A$5:$A423,"&lt;="&amp;$A424,$B$5:$B423,$B424)&gt;0,MIN(1-'Exercise list'!T$2,IF($A424=$A423,AZ423,1))-AE424&lt;0),-1,MIN(1,IF($A424=$A423,AZ423,1)-AE424+$D$2))</f>
        <v>1</v>
      </c>
      <c r="BA424">
        <f>IF(OR($J424=1,COUNTIFS($A$5:$A423,"&gt;="&amp;$A424-1,$A$5:$A423,"&lt;="&amp;$A424,$B$5:$B423,$B424)&gt;0,MIN(1-'Exercise list'!U$2,IF($A424=$A423,BA423,1))-AF424&lt;0),-1,MIN(1,IF($A424=$A423,BA423,1)-AF424+$D$2))</f>
        <v>1</v>
      </c>
      <c r="BB424">
        <f>IF(OR($J424=1,COUNTIFS($A$5:$A423,"&gt;="&amp;$A424-1,$A$5:$A423,"&lt;="&amp;$A424,$B$5:$B423,$B424)&gt;0,MIN(1-'Exercise list'!V$2,IF($A424=$A423,BB423,1))-AG424&lt;0),-1,MIN(1,IF($A424=$A423,BB423,1)-AG424+$D$2))</f>
        <v>1</v>
      </c>
      <c r="BC424">
        <f>IF(OR($J424=1,COUNTIFS($A$5:$A423,"&gt;="&amp;$A424-1,$A$5:$A423,"&lt;="&amp;$A424,$B$5:$B423,$B424)&gt;0,MIN(1-'Exercise list'!W$2,IF($A424=$A423,BC423,1))-AH424&lt;0),-1,MIN(1,IF($A424=$A423,BC423,1)-AH424+$D$2))</f>
        <v>1</v>
      </c>
      <c r="BD424">
        <f>IF(OR($J424=1,COUNTIFS($A$5:$A423,"&gt;="&amp;$A424-1,$A$5:$A423,"&lt;="&amp;$A424,$B$5:$B423,$B424)&gt;0,MIN(1-'Exercise list'!X$2,IF($A424=$A423,BD423,1))-AI424&lt;0),-1,MIN(1,IF($A424=$A423,BD423,1)-AI424+$D$2))</f>
        <v>1</v>
      </c>
      <c r="BF424" s="16">
        <f t="shared" si="321"/>
        <v>0.19596031081758858</v>
      </c>
      <c r="BG424" s="16">
        <f t="shared" si="322"/>
        <v>0.21844636935459236</v>
      </c>
      <c r="BH424" s="16">
        <f t="shared" si="323"/>
        <v>0.14609696635987124</v>
      </c>
      <c r="BI424" s="16">
        <f t="shared" si="324"/>
        <v>0.13198015366034541</v>
      </c>
      <c r="BJ424" s="16">
        <f t="shared" si="325"/>
        <v>8.3367914198418713E-2</v>
      </c>
      <c r="BK424" s="16">
        <f t="shared" si="326"/>
        <v>0.10640640223148412</v>
      </c>
      <c r="BL424" s="16">
        <f t="shared" si="327"/>
        <v>0.21963504743569431</v>
      </c>
      <c r="BM424" s="16">
        <f t="shared" si="328"/>
        <v>3.8988008374820568E-3</v>
      </c>
      <c r="BN424" s="16">
        <f t="shared" si="329"/>
        <v>0.14537706087090876</v>
      </c>
      <c r="BO424" s="16">
        <f t="shared" si="330"/>
        <v>0.29209790661993401</v>
      </c>
      <c r="BP424" s="16">
        <f t="shared" si="331"/>
        <v>0.31584545163401867</v>
      </c>
      <c r="BQ424" s="16">
        <f t="shared" si="332"/>
        <v>0.1000007994126096</v>
      </c>
      <c r="BR424" s="16">
        <f t="shared" si="333"/>
        <v>0.13164487759885393</v>
      </c>
      <c r="BS424" s="16">
        <f t="shared" si="334"/>
        <v>2.9803550189863123E-2</v>
      </c>
      <c r="BT424" s="16">
        <f t="shared" si="335"/>
        <v>0.13492040904978705</v>
      </c>
      <c r="BU424" s="16">
        <f t="shared" si="336"/>
        <v>0.11703687414398131</v>
      </c>
      <c r="BV424" s="16">
        <f t="shared" si="337"/>
        <v>0.14633353213781661</v>
      </c>
      <c r="BW424" s="16">
        <f t="shared" si="338"/>
        <v>7.5588015111767173E-2</v>
      </c>
      <c r="BX424" s="16">
        <f t="shared" si="339"/>
        <v>8.0345659937185704E-2</v>
      </c>
      <c r="BY424" s="16">
        <f t="shared" si="340"/>
        <v>5.9014643151272549E-2</v>
      </c>
      <c r="CA424" s="16" t="str">
        <f t="shared" si="317"/>
        <v/>
      </c>
      <c r="CB424" s="16" t="str">
        <f t="shared" si="298"/>
        <v/>
      </c>
      <c r="CC424" s="16" t="str">
        <f t="shared" si="299"/>
        <v/>
      </c>
      <c r="CD424" s="16" t="str">
        <f t="shared" si="300"/>
        <v/>
      </c>
      <c r="CE424" s="16" t="str">
        <f t="shared" si="301"/>
        <v/>
      </c>
      <c r="CF424" s="16" t="str">
        <f t="shared" si="302"/>
        <v/>
      </c>
      <c r="CG424" s="16" t="str">
        <f t="shared" si="303"/>
        <v/>
      </c>
      <c r="CH424" s="16" t="str">
        <f t="shared" si="304"/>
        <v/>
      </c>
      <c r="CI424" s="16" t="str">
        <f t="shared" si="305"/>
        <v/>
      </c>
      <c r="CJ424" s="16" t="str">
        <f t="shared" si="306"/>
        <v/>
      </c>
      <c r="CK424" s="16" t="str">
        <f t="shared" si="307"/>
        <v/>
      </c>
      <c r="CL424" s="16" t="str">
        <f t="shared" si="308"/>
        <v/>
      </c>
      <c r="CM424" s="16" t="str">
        <f t="shared" si="309"/>
        <v/>
      </c>
      <c r="CN424" s="16" t="str">
        <f t="shared" si="310"/>
        <v/>
      </c>
      <c r="CO424" s="16" t="str">
        <f t="shared" si="311"/>
        <v/>
      </c>
      <c r="CP424" s="16" t="str">
        <f t="shared" si="312"/>
        <v/>
      </c>
      <c r="CQ424" s="16" t="str">
        <f t="shared" si="313"/>
        <v/>
      </c>
      <c r="CR424" s="16" t="str">
        <f t="shared" si="314"/>
        <v/>
      </c>
      <c r="CS424" s="16" t="str">
        <f t="shared" si="315"/>
        <v/>
      </c>
      <c r="CT424" s="16" t="str">
        <f t="shared" si="316"/>
        <v/>
      </c>
    </row>
    <row r="425" spans="1:99" x14ac:dyDescent="0.25">
      <c r="A425" s="13"/>
      <c r="B425" s="14"/>
      <c r="C425" s="15" t="str" cm="1">
        <f t="array" ref="C425">IF(B425="","",INDEX('Exercise list'!$C$5:$C$102,B425))</f>
        <v/>
      </c>
      <c r="D425" s="12" t="str">
        <f t="shared" si="318"/>
        <v/>
      </c>
      <c r="E425" s="107" t="str">
        <f t="shared" si="341"/>
        <v/>
      </c>
      <c r="F425" s="63" t="str" cm="1">
        <f t="array" ref="F425">IF(B425="","",0.1+IFERROR(INDEX($F$6:$F424,SUMPRODUCT(MAX(ROW($C$6:$C424)*($C425=$C$6:$C424))-ROW($A$5)))*0.9^($A425-INDEX($A$6:A424,SUMPRODUCT(MAX(ROW($C$6:$C424)*($C425=$C$6:$C424))-ROW($A$5)))),0))</f>
        <v/>
      </c>
      <c r="G425" s="64" t="e">
        <f>INDEX('Exercise list'!$Y$5:$Y$102,MATCH(C425,'Exercise list'!$C$5:$C$102,0))</f>
        <v>#N/A</v>
      </c>
      <c r="H425" s="115">
        <f t="shared" si="319"/>
        <v>0</v>
      </c>
      <c r="I425" s="6">
        <f t="shared" si="320"/>
        <v>5</v>
      </c>
      <c r="J425" s="6" t="str" cm="1">
        <f t="array" ref="J425">IF(B425="","",INDEX('Exercise list'!$D$5:$D$102,B425))</f>
        <v/>
      </c>
      <c r="K425" s="12"/>
      <c r="L425" s="74" t="str" cm="1">
        <f t="array" ref="L425">IF(K425="","",INDEX('Exercise list'!$C$5:$C$102,K425))</f>
        <v/>
      </c>
      <c r="M425" s="6"/>
      <c r="N425" s="75" t="str" cm="1">
        <f t="array" ref="N425">IF(M425="","",INDEX('Exercise list'!$C$5:$C$102,M425))</f>
        <v/>
      </c>
      <c r="P425">
        <f>IFERROR(INDEX('Exercise list'!$E$5:$X$102,MATCH($C425,'Exercise list'!$C$5:$C$102,0),MATCH(P$5,'Exercise list'!$E$4:$X$4,0)),0)</f>
        <v>0</v>
      </c>
      <c r="Q425">
        <f>IFERROR(INDEX('Exercise list'!$E$5:$X$102,MATCH($C425,'Exercise list'!$C$5:$C$102,0),MATCH(Q$5,'Exercise list'!$E$4:$X$4,0)),0)</f>
        <v>0</v>
      </c>
      <c r="R425">
        <f>IFERROR(INDEX('Exercise list'!$E$5:$X$102,MATCH($C425,'Exercise list'!$C$5:$C$102,0),MATCH(R$5,'Exercise list'!$E$4:$X$4,0)),0)</f>
        <v>0</v>
      </c>
      <c r="S425">
        <f>IFERROR(INDEX('Exercise list'!$E$5:$X$102,MATCH($C425,'Exercise list'!$C$5:$C$102,0),MATCH(S$5,'Exercise list'!$E$4:$X$4,0)),0)</f>
        <v>0</v>
      </c>
      <c r="T425">
        <f>IFERROR(INDEX('Exercise list'!$E$5:$X$102,MATCH($C425,'Exercise list'!$C$5:$C$102,0),MATCH(T$5,'Exercise list'!$E$4:$X$4,0)),0)</f>
        <v>0</v>
      </c>
      <c r="U425">
        <f>IFERROR(INDEX('Exercise list'!$E$5:$X$102,MATCH($C425,'Exercise list'!$C$5:$C$102,0),MATCH(U$5,'Exercise list'!$E$4:$X$4,0)),0)</f>
        <v>0</v>
      </c>
      <c r="V425">
        <f>IFERROR(INDEX('Exercise list'!$E$5:$X$102,MATCH($C425,'Exercise list'!$C$5:$C$102,0),MATCH(V$5,'Exercise list'!$E$4:$X$4,0)),0)</f>
        <v>0</v>
      </c>
      <c r="W425">
        <f>IFERROR(INDEX('Exercise list'!$E$5:$X$102,MATCH($C425,'Exercise list'!$C$5:$C$102,0),MATCH(W$5,'Exercise list'!$E$4:$X$4,0)),0)</f>
        <v>0</v>
      </c>
      <c r="X425">
        <f>IFERROR(INDEX('Exercise list'!$E$5:$X$102,MATCH($C425,'Exercise list'!$C$5:$C$102,0),MATCH(X$5,'Exercise list'!$E$4:$X$4,0)),0)</f>
        <v>0</v>
      </c>
      <c r="Y425">
        <f>IFERROR(INDEX('Exercise list'!$E$5:$X$102,MATCH($C425,'Exercise list'!$C$5:$C$102,0),MATCH(Y$5,'Exercise list'!$E$4:$X$4,0)),0)</f>
        <v>0</v>
      </c>
      <c r="Z425">
        <f>IFERROR(INDEX('Exercise list'!$E$5:$X$102,MATCH($C425,'Exercise list'!$C$5:$C$102,0),MATCH(Z$5,'Exercise list'!$E$4:$X$4,0)),0)</f>
        <v>0</v>
      </c>
      <c r="AA425">
        <f>IFERROR(INDEX('Exercise list'!$E$5:$X$102,MATCH($C425,'Exercise list'!$C$5:$C$102,0),MATCH(AA$5,'Exercise list'!$E$4:$X$4,0)),0)</f>
        <v>0</v>
      </c>
      <c r="AB425">
        <f>IFERROR(INDEX('Exercise list'!$E$5:$X$102,MATCH($C425,'Exercise list'!$C$5:$C$102,0),MATCH(AB$5,'Exercise list'!$E$4:$X$4,0)),0)</f>
        <v>0</v>
      </c>
      <c r="AC425">
        <f>IFERROR(INDEX('Exercise list'!$E$5:$X$102,MATCH($C425,'Exercise list'!$C$5:$C$102,0),MATCH(AC$5,'Exercise list'!$E$4:$X$4,0)),0)</f>
        <v>0</v>
      </c>
      <c r="AD425">
        <f>IFERROR(INDEX('Exercise list'!$E$5:$X$102,MATCH($C425,'Exercise list'!$C$5:$C$102,0),MATCH(AD$5,'Exercise list'!$E$4:$X$4,0)),0)</f>
        <v>0</v>
      </c>
      <c r="AE425">
        <f>IFERROR(INDEX('Exercise list'!$E$5:$X$102,MATCH($C425,'Exercise list'!$C$5:$C$102,0),MATCH(AE$5,'Exercise list'!$E$4:$X$4,0)),0)</f>
        <v>0</v>
      </c>
      <c r="AF425">
        <f>IFERROR(INDEX('Exercise list'!$E$5:$X$102,MATCH($C425,'Exercise list'!$C$5:$C$102,0),MATCH(AF$5,'Exercise list'!$E$4:$X$4,0)),0)</f>
        <v>0</v>
      </c>
      <c r="AG425">
        <f>IFERROR(INDEX('Exercise list'!$E$5:$X$102,MATCH($C425,'Exercise list'!$C$5:$C$102,0),MATCH(AG$5,'Exercise list'!$E$4:$X$4,0)),0)</f>
        <v>0</v>
      </c>
      <c r="AH425">
        <f>IFERROR(INDEX('Exercise list'!$E$5:$X$102,MATCH($C425,'Exercise list'!$C$5:$C$102,0),MATCH(AH$5,'Exercise list'!$E$4:$X$4,0)),0)</f>
        <v>0</v>
      </c>
      <c r="AI425">
        <f>IFERROR(INDEX('Exercise list'!$E$5:$X$102,MATCH($C425,'Exercise list'!$C$5:$C$102,0),MATCH(AI$5,'Exercise list'!$E$4:$X$4,0)),0)</f>
        <v>0</v>
      </c>
      <c r="AK425">
        <f>IF(OR($J425=1,COUNTIFS($A$5:$A424,"&gt;="&amp;$A425-1,$A$5:$A424,"&lt;="&amp;$A425,$B$5:$B424,$B425)&gt;0,MIN(1-'Exercise list'!E$2,IF($A425=$A424,AK424,1))-P425&lt;0),-1,MIN(1,IF($A425=$A424,AK424,1)-P425+$D$2))</f>
        <v>1</v>
      </c>
      <c r="AL425">
        <f>IF(OR($J425=1,COUNTIFS($A$5:$A424,"&gt;="&amp;$A425-1,$A$5:$A424,"&lt;="&amp;$A425,$B$5:$B424,$B425)&gt;0,MIN(1-'Exercise list'!F$2,IF($A425=$A424,AL424,1))-Q425&lt;0),-1,MIN(1,IF($A425=$A424,AL424,1)-Q425+$D$2))</f>
        <v>1</v>
      </c>
      <c r="AM425">
        <f>IF(OR($J425=1,COUNTIFS($A$5:$A424,"&gt;="&amp;$A425-1,$A$5:$A424,"&lt;="&amp;$A425,$B$5:$B424,$B425)&gt;0,MIN(1-'Exercise list'!G$2,IF($A425=$A424,AM424,1))-R425&lt;0),-1,MIN(1,IF($A425=$A424,AM424,1)-R425+$D$2))</f>
        <v>1</v>
      </c>
      <c r="AN425">
        <f>IF(OR($J425=1,COUNTIFS($A$5:$A424,"&gt;="&amp;$A425-1,$A$5:$A424,"&lt;="&amp;$A425,$B$5:$B424,$B425)&gt;0,MIN(1-'Exercise list'!H$2,IF($A425=$A424,AN424,1))-S425&lt;0),-1,MIN(1,IF($A425=$A424,AN424,1)-S425+$D$2))</f>
        <v>1</v>
      </c>
      <c r="AO425">
        <f>IF(OR($J425=1,COUNTIFS($A$5:$A424,"&gt;="&amp;$A425-1,$A$5:$A424,"&lt;="&amp;$A425,$B$5:$B424,$B425)&gt;0,MIN(1-'Exercise list'!I$2,IF($A425=$A424,AO424,1))-T425&lt;0),-1,MIN(1,IF($A425=$A424,AO424,1)-T425+$D$2))</f>
        <v>1</v>
      </c>
      <c r="AP425">
        <f>IF(OR($J425=1,COUNTIFS($A$5:$A424,"&gt;="&amp;$A425-1,$A$5:$A424,"&lt;="&amp;$A425,$B$5:$B424,$B425)&gt;0,MIN(1-'Exercise list'!J$2,IF($A425=$A424,AP424,1))-U425&lt;0),-1,MIN(1,IF($A425=$A424,AP424,1)-U425+$D$2))</f>
        <v>1</v>
      </c>
      <c r="AQ425">
        <f>IF(OR($J425=1,COUNTIFS($A$5:$A424,"&gt;="&amp;$A425-1,$A$5:$A424,"&lt;="&amp;$A425,$B$5:$B424,$B425)&gt;0,MIN(1-'Exercise list'!K$2,IF($A425=$A424,AQ424,1))-V425&lt;0),-1,MIN(1,IF($A425=$A424,AQ424,1)-V425+$D$2))</f>
        <v>1</v>
      </c>
      <c r="AR425">
        <f>IF(OR($J425=1,COUNTIFS($A$5:$A424,"&gt;="&amp;$A425-1,$A$5:$A424,"&lt;="&amp;$A425,$B$5:$B424,$B425)&gt;0,MIN(1-'Exercise list'!L$2,IF($A425=$A424,AR424,1))-W425&lt;0),-1,MIN(1,IF($A425=$A424,AR424,1)-W425+$D$2))</f>
        <v>1</v>
      </c>
      <c r="AS425">
        <f>IF(OR($J425=1,COUNTIFS($A$5:$A424,"&gt;="&amp;$A425-1,$A$5:$A424,"&lt;="&amp;$A425,$B$5:$B424,$B425)&gt;0,MIN(1-'Exercise list'!M$2,IF($A425=$A424,AS424,1))-X425&lt;0),-1,MIN(1,IF($A425=$A424,AS424,1)-X425+$D$2))</f>
        <v>1</v>
      </c>
      <c r="AT425">
        <f>IF(OR($J425=1,COUNTIFS($A$5:$A424,"&gt;="&amp;$A425-1,$A$5:$A424,"&lt;="&amp;$A425,$B$5:$B424,$B425)&gt;0,MIN(1-'Exercise list'!N$2,IF($A425=$A424,AT424,1))-Y425&lt;0),-1,MIN(1,IF($A425=$A424,AT424,1)-Y425+$D$2))</f>
        <v>1</v>
      </c>
      <c r="AU425">
        <f>IF(OR($J425=1,COUNTIFS($A$5:$A424,"&gt;="&amp;$A425-1,$A$5:$A424,"&lt;="&amp;$A425,$B$5:$B424,$B425)&gt;0,MIN(1-'Exercise list'!O$2,IF($A425=$A424,AU424,1))-Z425&lt;0),-1,MIN(1,IF($A425=$A424,AU424,1)-Z425+$D$2))</f>
        <v>1</v>
      </c>
      <c r="AV425">
        <f>IF(OR($J425=1,COUNTIFS($A$5:$A424,"&gt;="&amp;$A425-1,$A$5:$A424,"&lt;="&amp;$A425,$B$5:$B424,$B425)&gt;0,MIN(1-'Exercise list'!P$2,IF($A425=$A424,AV424,1))-AA425&lt;0),-1,MIN(1,IF($A425=$A424,AV424,1)-AA425+$D$2))</f>
        <v>1</v>
      </c>
      <c r="AW425">
        <f>IF(OR($J425=1,COUNTIFS($A$5:$A424,"&gt;="&amp;$A425-1,$A$5:$A424,"&lt;="&amp;$A425,$B$5:$B424,$B425)&gt;0,MIN(1-'Exercise list'!Q$2,IF($A425=$A424,AW424,1))-AB425&lt;0),-1,MIN(1,IF($A425=$A424,AW424,1)-AB425+$D$2))</f>
        <v>1</v>
      </c>
      <c r="AX425">
        <f>IF(OR($J425=1,COUNTIFS($A$5:$A424,"&gt;="&amp;$A425-1,$A$5:$A424,"&lt;="&amp;$A425,$B$5:$B424,$B425)&gt;0,MIN(1-'Exercise list'!R$2,IF($A425=$A424,AX424,1))-AC425&lt;0),-1,MIN(1,IF($A425=$A424,AX424,1)-AC425+$D$2))</f>
        <v>1</v>
      </c>
      <c r="AY425">
        <f>IF(OR($J425=1,COUNTIFS($A$5:$A424,"&gt;="&amp;$A425-1,$A$5:$A424,"&lt;="&amp;$A425,$B$5:$B424,$B425)&gt;0,MIN(1-'Exercise list'!S$2,IF($A425=$A424,AY424,1))-AD425&lt;0),-1,MIN(1,IF($A425=$A424,AY424,1)-AD425+$D$2))</f>
        <v>1</v>
      </c>
      <c r="AZ425">
        <f>IF(OR($J425=1,COUNTIFS($A$5:$A424,"&gt;="&amp;$A425-1,$A$5:$A424,"&lt;="&amp;$A425,$B$5:$B424,$B425)&gt;0,MIN(1-'Exercise list'!T$2,IF($A425=$A424,AZ424,1))-AE425&lt;0),-1,MIN(1,IF($A425=$A424,AZ424,1)-AE425+$D$2))</f>
        <v>1</v>
      </c>
      <c r="BA425">
        <f>IF(OR($J425=1,COUNTIFS($A$5:$A424,"&gt;="&amp;$A425-1,$A$5:$A424,"&lt;="&amp;$A425,$B$5:$B424,$B425)&gt;0,MIN(1-'Exercise list'!U$2,IF($A425=$A424,BA424,1))-AF425&lt;0),-1,MIN(1,IF($A425=$A424,BA424,1)-AF425+$D$2))</f>
        <v>1</v>
      </c>
      <c r="BB425">
        <f>IF(OR($J425=1,COUNTIFS($A$5:$A424,"&gt;="&amp;$A425-1,$A$5:$A424,"&lt;="&amp;$A425,$B$5:$B424,$B425)&gt;0,MIN(1-'Exercise list'!V$2,IF($A425=$A424,BB424,1))-AG425&lt;0),-1,MIN(1,IF($A425=$A424,BB424,1)-AG425+$D$2))</f>
        <v>1</v>
      </c>
      <c r="BC425">
        <f>IF(OR($J425=1,COUNTIFS($A$5:$A424,"&gt;="&amp;$A425-1,$A$5:$A424,"&lt;="&amp;$A425,$B$5:$B424,$B425)&gt;0,MIN(1-'Exercise list'!W$2,IF($A425=$A424,BC424,1))-AH425&lt;0),-1,MIN(1,IF($A425=$A424,BC424,1)-AH425+$D$2))</f>
        <v>1</v>
      </c>
      <c r="BD425">
        <f>IF(OR($J425=1,COUNTIFS($A$5:$A424,"&gt;="&amp;$A425-1,$A$5:$A424,"&lt;="&amp;$A425,$B$5:$B424,$B425)&gt;0,MIN(1-'Exercise list'!X$2,IF($A425=$A424,BD424,1))-AI425&lt;0),-1,MIN(1,IF($A425=$A424,BD424,1)-AI425+$D$2))</f>
        <v>1</v>
      </c>
      <c r="BF425" s="16">
        <f t="shared" si="321"/>
        <v>0.19596031081758858</v>
      </c>
      <c r="BG425" s="16">
        <f t="shared" si="322"/>
        <v>0.21844636935459236</v>
      </c>
      <c r="BH425" s="16">
        <f t="shared" si="323"/>
        <v>0.14609696635987124</v>
      </c>
      <c r="BI425" s="16">
        <f t="shared" si="324"/>
        <v>0.13198015366034541</v>
      </c>
      <c r="BJ425" s="16">
        <f t="shared" si="325"/>
        <v>8.3367914198418713E-2</v>
      </c>
      <c r="BK425" s="16">
        <f t="shared" si="326"/>
        <v>0.10640640223148412</v>
      </c>
      <c r="BL425" s="16">
        <f t="shared" si="327"/>
        <v>0.21963504743569431</v>
      </c>
      <c r="BM425" s="16">
        <f t="shared" si="328"/>
        <v>3.8988008374820568E-3</v>
      </c>
      <c r="BN425" s="16">
        <f t="shared" si="329"/>
        <v>0.14537706087090876</v>
      </c>
      <c r="BO425" s="16">
        <f t="shared" si="330"/>
        <v>0.29209790661993401</v>
      </c>
      <c r="BP425" s="16">
        <f t="shared" si="331"/>
        <v>0.31584545163401867</v>
      </c>
      <c r="BQ425" s="16">
        <f t="shared" si="332"/>
        <v>0.1000007994126096</v>
      </c>
      <c r="BR425" s="16">
        <f t="shared" si="333"/>
        <v>0.13164487759885393</v>
      </c>
      <c r="BS425" s="16">
        <f t="shared" si="334"/>
        <v>2.9803550189863123E-2</v>
      </c>
      <c r="BT425" s="16">
        <f t="shared" si="335"/>
        <v>0.13492040904978705</v>
      </c>
      <c r="BU425" s="16">
        <f t="shared" si="336"/>
        <v>0.11703687414398131</v>
      </c>
      <c r="BV425" s="16">
        <f t="shared" si="337"/>
        <v>0.14633353213781661</v>
      </c>
      <c r="BW425" s="16">
        <f t="shared" si="338"/>
        <v>7.5588015111767173E-2</v>
      </c>
      <c r="BX425" s="16">
        <f t="shared" si="339"/>
        <v>8.0345659937185704E-2</v>
      </c>
      <c r="BY425" s="16">
        <f t="shared" si="340"/>
        <v>5.9014643151272549E-2</v>
      </c>
      <c r="CA425" s="16" t="str">
        <f t="shared" si="317"/>
        <v/>
      </c>
      <c r="CB425" s="16" t="str">
        <f t="shared" si="298"/>
        <v/>
      </c>
      <c r="CC425" s="16" t="str">
        <f t="shared" si="299"/>
        <v/>
      </c>
      <c r="CD425" s="16" t="str">
        <f t="shared" si="300"/>
        <v/>
      </c>
      <c r="CE425" s="16" t="str">
        <f t="shared" si="301"/>
        <v/>
      </c>
      <c r="CF425" s="16" t="str">
        <f t="shared" si="302"/>
        <v/>
      </c>
      <c r="CG425" s="16" t="str">
        <f t="shared" si="303"/>
        <v/>
      </c>
      <c r="CH425" s="16" t="str">
        <f t="shared" si="304"/>
        <v/>
      </c>
      <c r="CI425" s="16" t="str">
        <f t="shared" si="305"/>
        <v/>
      </c>
      <c r="CJ425" s="16" t="str">
        <f t="shared" si="306"/>
        <v/>
      </c>
      <c r="CK425" s="16" t="str">
        <f t="shared" si="307"/>
        <v/>
      </c>
      <c r="CL425" s="16" t="str">
        <f t="shared" si="308"/>
        <v/>
      </c>
      <c r="CM425" s="16" t="str">
        <f t="shared" si="309"/>
        <v/>
      </c>
      <c r="CN425" s="16" t="str">
        <f t="shared" si="310"/>
        <v/>
      </c>
      <c r="CO425" s="16" t="str">
        <f t="shared" si="311"/>
        <v/>
      </c>
      <c r="CP425" s="16" t="str">
        <f t="shared" si="312"/>
        <v/>
      </c>
      <c r="CQ425" s="16" t="str">
        <f t="shared" si="313"/>
        <v/>
      </c>
      <c r="CR425" s="16" t="str">
        <f t="shared" si="314"/>
        <v/>
      </c>
      <c r="CS425" s="16" t="str">
        <f t="shared" si="315"/>
        <v/>
      </c>
      <c r="CT425" s="16" t="str">
        <f t="shared" si="316"/>
        <v/>
      </c>
    </row>
    <row r="426" spans="1:99" x14ac:dyDescent="0.25">
      <c r="A426" s="13"/>
      <c r="B426" s="14"/>
      <c r="C426" s="15" t="str" cm="1">
        <f t="array" ref="C426">IF(B426="","",INDEX('Exercise list'!$C$5:$C$102,B426))</f>
        <v/>
      </c>
      <c r="D426" s="12" t="str">
        <f t="shared" si="318"/>
        <v/>
      </c>
      <c r="E426" s="107" t="str">
        <f t="shared" si="341"/>
        <v/>
      </c>
      <c r="F426" s="63" t="str" cm="1">
        <f t="array" ref="F426">IF(B426="","",0.1+IFERROR(INDEX($F$6:$F425,SUMPRODUCT(MAX(ROW($C$6:$C425)*($C426=$C$6:$C425))-ROW($A$5)))*0.9^($A426-INDEX($A$6:A425,SUMPRODUCT(MAX(ROW($C$6:$C425)*($C426=$C$6:$C425))-ROW($A$5)))),0))</f>
        <v/>
      </c>
      <c r="G426" s="64" t="e">
        <f>INDEX('Exercise list'!$Y$5:$Y$102,MATCH(C426,'Exercise list'!$C$5:$C$102,0))</f>
        <v>#N/A</v>
      </c>
      <c r="H426" s="115">
        <f t="shared" si="319"/>
        <v>0</v>
      </c>
      <c r="I426" s="6">
        <f t="shared" si="320"/>
        <v>5</v>
      </c>
      <c r="J426" s="6" t="str" cm="1">
        <f t="array" ref="J426">IF(B426="","",INDEX('Exercise list'!$D$5:$D$102,B426))</f>
        <v/>
      </c>
      <c r="K426" s="12"/>
      <c r="L426" s="74" t="str" cm="1">
        <f t="array" ref="L426">IF(K426="","",INDEX('Exercise list'!$C$5:$C$102,K426))</f>
        <v/>
      </c>
      <c r="M426" s="6"/>
      <c r="N426" s="75" t="str" cm="1">
        <f t="array" ref="N426">IF(M426="","",INDEX('Exercise list'!$C$5:$C$102,M426))</f>
        <v/>
      </c>
      <c r="P426">
        <f>IFERROR(INDEX('Exercise list'!$E$5:$X$102,MATCH($C426,'Exercise list'!$C$5:$C$102,0),MATCH(P$5,'Exercise list'!$E$4:$X$4,0)),0)</f>
        <v>0</v>
      </c>
      <c r="Q426">
        <f>IFERROR(INDEX('Exercise list'!$E$5:$X$102,MATCH($C426,'Exercise list'!$C$5:$C$102,0),MATCH(Q$5,'Exercise list'!$E$4:$X$4,0)),0)</f>
        <v>0</v>
      </c>
      <c r="R426">
        <f>IFERROR(INDEX('Exercise list'!$E$5:$X$102,MATCH($C426,'Exercise list'!$C$5:$C$102,0),MATCH(R$5,'Exercise list'!$E$4:$X$4,0)),0)</f>
        <v>0</v>
      </c>
      <c r="S426">
        <f>IFERROR(INDEX('Exercise list'!$E$5:$X$102,MATCH($C426,'Exercise list'!$C$5:$C$102,0),MATCH(S$5,'Exercise list'!$E$4:$X$4,0)),0)</f>
        <v>0</v>
      </c>
      <c r="T426">
        <f>IFERROR(INDEX('Exercise list'!$E$5:$X$102,MATCH($C426,'Exercise list'!$C$5:$C$102,0),MATCH(T$5,'Exercise list'!$E$4:$X$4,0)),0)</f>
        <v>0</v>
      </c>
      <c r="U426">
        <f>IFERROR(INDEX('Exercise list'!$E$5:$X$102,MATCH($C426,'Exercise list'!$C$5:$C$102,0),MATCH(U$5,'Exercise list'!$E$4:$X$4,0)),0)</f>
        <v>0</v>
      </c>
      <c r="V426">
        <f>IFERROR(INDEX('Exercise list'!$E$5:$X$102,MATCH($C426,'Exercise list'!$C$5:$C$102,0),MATCH(V$5,'Exercise list'!$E$4:$X$4,0)),0)</f>
        <v>0</v>
      </c>
      <c r="W426">
        <f>IFERROR(INDEX('Exercise list'!$E$5:$X$102,MATCH($C426,'Exercise list'!$C$5:$C$102,0),MATCH(W$5,'Exercise list'!$E$4:$X$4,0)),0)</f>
        <v>0</v>
      </c>
      <c r="X426">
        <f>IFERROR(INDEX('Exercise list'!$E$5:$X$102,MATCH($C426,'Exercise list'!$C$5:$C$102,0),MATCH(X$5,'Exercise list'!$E$4:$X$4,0)),0)</f>
        <v>0</v>
      </c>
      <c r="Y426">
        <f>IFERROR(INDEX('Exercise list'!$E$5:$X$102,MATCH($C426,'Exercise list'!$C$5:$C$102,0),MATCH(Y$5,'Exercise list'!$E$4:$X$4,0)),0)</f>
        <v>0</v>
      </c>
      <c r="Z426">
        <f>IFERROR(INDEX('Exercise list'!$E$5:$X$102,MATCH($C426,'Exercise list'!$C$5:$C$102,0),MATCH(Z$5,'Exercise list'!$E$4:$X$4,0)),0)</f>
        <v>0</v>
      </c>
      <c r="AA426">
        <f>IFERROR(INDEX('Exercise list'!$E$5:$X$102,MATCH($C426,'Exercise list'!$C$5:$C$102,0),MATCH(AA$5,'Exercise list'!$E$4:$X$4,0)),0)</f>
        <v>0</v>
      </c>
      <c r="AB426">
        <f>IFERROR(INDEX('Exercise list'!$E$5:$X$102,MATCH($C426,'Exercise list'!$C$5:$C$102,0),MATCH(AB$5,'Exercise list'!$E$4:$X$4,0)),0)</f>
        <v>0</v>
      </c>
      <c r="AC426">
        <f>IFERROR(INDEX('Exercise list'!$E$5:$X$102,MATCH($C426,'Exercise list'!$C$5:$C$102,0),MATCH(AC$5,'Exercise list'!$E$4:$X$4,0)),0)</f>
        <v>0</v>
      </c>
      <c r="AD426">
        <f>IFERROR(INDEX('Exercise list'!$E$5:$X$102,MATCH($C426,'Exercise list'!$C$5:$C$102,0),MATCH(AD$5,'Exercise list'!$E$4:$X$4,0)),0)</f>
        <v>0</v>
      </c>
      <c r="AE426">
        <f>IFERROR(INDEX('Exercise list'!$E$5:$X$102,MATCH($C426,'Exercise list'!$C$5:$C$102,0),MATCH(AE$5,'Exercise list'!$E$4:$X$4,0)),0)</f>
        <v>0</v>
      </c>
      <c r="AF426">
        <f>IFERROR(INDEX('Exercise list'!$E$5:$X$102,MATCH($C426,'Exercise list'!$C$5:$C$102,0),MATCH(AF$5,'Exercise list'!$E$4:$X$4,0)),0)</f>
        <v>0</v>
      </c>
      <c r="AG426">
        <f>IFERROR(INDEX('Exercise list'!$E$5:$X$102,MATCH($C426,'Exercise list'!$C$5:$C$102,0),MATCH(AG$5,'Exercise list'!$E$4:$X$4,0)),0)</f>
        <v>0</v>
      </c>
      <c r="AH426">
        <f>IFERROR(INDEX('Exercise list'!$E$5:$X$102,MATCH($C426,'Exercise list'!$C$5:$C$102,0),MATCH(AH$5,'Exercise list'!$E$4:$X$4,0)),0)</f>
        <v>0</v>
      </c>
      <c r="AI426">
        <f>IFERROR(INDEX('Exercise list'!$E$5:$X$102,MATCH($C426,'Exercise list'!$C$5:$C$102,0),MATCH(AI$5,'Exercise list'!$E$4:$X$4,0)),0)</f>
        <v>0</v>
      </c>
      <c r="AK426">
        <f>IF(OR($J426=1,COUNTIFS($A$5:$A425,"&gt;="&amp;$A426-1,$A$5:$A425,"&lt;="&amp;$A426,$B$5:$B425,$B426)&gt;0,MIN(1-'Exercise list'!E$2,IF($A426=$A425,AK425,1))-P426&lt;0),-1,MIN(1,IF($A426=$A425,AK425,1)-P426+$D$2))</f>
        <v>1</v>
      </c>
      <c r="AL426">
        <f>IF(OR($J426=1,COUNTIFS($A$5:$A425,"&gt;="&amp;$A426-1,$A$5:$A425,"&lt;="&amp;$A426,$B$5:$B425,$B426)&gt;0,MIN(1-'Exercise list'!F$2,IF($A426=$A425,AL425,1))-Q426&lt;0),-1,MIN(1,IF($A426=$A425,AL425,1)-Q426+$D$2))</f>
        <v>1</v>
      </c>
      <c r="AM426">
        <f>IF(OR($J426=1,COUNTIFS($A$5:$A425,"&gt;="&amp;$A426-1,$A$5:$A425,"&lt;="&amp;$A426,$B$5:$B425,$B426)&gt;0,MIN(1-'Exercise list'!G$2,IF($A426=$A425,AM425,1))-R426&lt;0),-1,MIN(1,IF($A426=$A425,AM425,1)-R426+$D$2))</f>
        <v>1</v>
      </c>
      <c r="AN426">
        <f>IF(OR($J426=1,COUNTIFS($A$5:$A425,"&gt;="&amp;$A426-1,$A$5:$A425,"&lt;="&amp;$A426,$B$5:$B425,$B426)&gt;0,MIN(1-'Exercise list'!H$2,IF($A426=$A425,AN425,1))-S426&lt;0),-1,MIN(1,IF($A426=$A425,AN425,1)-S426+$D$2))</f>
        <v>1</v>
      </c>
      <c r="AO426">
        <f>IF(OR($J426=1,COUNTIFS($A$5:$A425,"&gt;="&amp;$A426-1,$A$5:$A425,"&lt;="&amp;$A426,$B$5:$B425,$B426)&gt;0,MIN(1-'Exercise list'!I$2,IF($A426=$A425,AO425,1))-T426&lt;0),-1,MIN(1,IF($A426=$A425,AO425,1)-T426+$D$2))</f>
        <v>1</v>
      </c>
      <c r="AP426">
        <f>IF(OR($J426=1,COUNTIFS($A$5:$A425,"&gt;="&amp;$A426-1,$A$5:$A425,"&lt;="&amp;$A426,$B$5:$B425,$B426)&gt;0,MIN(1-'Exercise list'!J$2,IF($A426=$A425,AP425,1))-U426&lt;0),-1,MIN(1,IF($A426=$A425,AP425,1)-U426+$D$2))</f>
        <v>1</v>
      </c>
      <c r="AQ426">
        <f>IF(OR($J426=1,COUNTIFS($A$5:$A425,"&gt;="&amp;$A426-1,$A$5:$A425,"&lt;="&amp;$A426,$B$5:$B425,$B426)&gt;0,MIN(1-'Exercise list'!K$2,IF($A426=$A425,AQ425,1))-V426&lt;0),-1,MIN(1,IF($A426=$A425,AQ425,1)-V426+$D$2))</f>
        <v>1</v>
      </c>
      <c r="AR426">
        <f>IF(OR($J426=1,COUNTIFS($A$5:$A425,"&gt;="&amp;$A426-1,$A$5:$A425,"&lt;="&amp;$A426,$B$5:$B425,$B426)&gt;0,MIN(1-'Exercise list'!L$2,IF($A426=$A425,AR425,1))-W426&lt;0),-1,MIN(1,IF($A426=$A425,AR425,1)-W426+$D$2))</f>
        <v>1</v>
      </c>
      <c r="AS426">
        <f>IF(OR($J426=1,COUNTIFS($A$5:$A425,"&gt;="&amp;$A426-1,$A$5:$A425,"&lt;="&amp;$A426,$B$5:$B425,$B426)&gt;0,MIN(1-'Exercise list'!M$2,IF($A426=$A425,AS425,1))-X426&lt;0),-1,MIN(1,IF($A426=$A425,AS425,1)-X426+$D$2))</f>
        <v>1</v>
      </c>
      <c r="AT426">
        <f>IF(OR($J426=1,COUNTIFS($A$5:$A425,"&gt;="&amp;$A426-1,$A$5:$A425,"&lt;="&amp;$A426,$B$5:$B425,$B426)&gt;0,MIN(1-'Exercise list'!N$2,IF($A426=$A425,AT425,1))-Y426&lt;0),-1,MIN(1,IF($A426=$A425,AT425,1)-Y426+$D$2))</f>
        <v>1</v>
      </c>
      <c r="AU426">
        <f>IF(OR($J426=1,COUNTIFS($A$5:$A425,"&gt;="&amp;$A426-1,$A$5:$A425,"&lt;="&amp;$A426,$B$5:$B425,$B426)&gt;0,MIN(1-'Exercise list'!O$2,IF($A426=$A425,AU425,1))-Z426&lt;0),-1,MIN(1,IF($A426=$A425,AU425,1)-Z426+$D$2))</f>
        <v>1</v>
      </c>
      <c r="AV426">
        <f>IF(OR($J426=1,COUNTIFS($A$5:$A425,"&gt;="&amp;$A426-1,$A$5:$A425,"&lt;="&amp;$A426,$B$5:$B425,$B426)&gt;0,MIN(1-'Exercise list'!P$2,IF($A426=$A425,AV425,1))-AA426&lt;0),-1,MIN(1,IF($A426=$A425,AV425,1)-AA426+$D$2))</f>
        <v>1</v>
      </c>
      <c r="AW426">
        <f>IF(OR($J426=1,COUNTIFS($A$5:$A425,"&gt;="&amp;$A426-1,$A$5:$A425,"&lt;="&amp;$A426,$B$5:$B425,$B426)&gt;0,MIN(1-'Exercise list'!Q$2,IF($A426=$A425,AW425,1))-AB426&lt;0),-1,MIN(1,IF($A426=$A425,AW425,1)-AB426+$D$2))</f>
        <v>1</v>
      </c>
      <c r="AX426">
        <f>IF(OR($J426=1,COUNTIFS($A$5:$A425,"&gt;="&amp;$A426-1,$A$5:$A425,"&lt;="&amp;$A426,$B$5:$B425,$B426)&gt;0,MIN(1-'Exercise list'!R$2,IF($A426=$A425,AX425,1))-AC426&lt;0),-1,MIN(1,IF($A426=$A425,AX425,1)-AC426+$D$2))</f>
        <v>1</v>
      </c>
      <c r="AY426">
        <f>IF(OR($J426=1,COUNTIFS($A$5:$A425,"&gt;="&amp;$A426-1,$A$5:$A425,"&lt;="&amp;$A426,$B$5:$B425,$B426)&gt;0,MIN(1-'Exercise list'!S$2,IF($A426=$A425,AY425,1))-AD426&lt;0),-1,MIN(1,IF($A426=$A425,AY425,1)-AD426+$D$2))</f>
        <v>1</v>
      </c>
      <c r="AZ426">
        <f>IF(OR($J426=1,COUNTIFS($A$5:$A425,"&gt;="&amp;$A426-1,$A$5:$A425,"&lt;="&amp;$A426,$B$5:$B425,$B426)&gt;0,MIN(1-'Exercise list'!T$2,IF($A426=$A425,AZ425,1))-AE426&lt;0),-1,MIN(1,IF($A426=$A425,AZ425,1)-AE426+$D$2))</f>
        <v>1</v>
      </c>
      <c r="BA426">
        <f>IF(OR($J426=1,COUNTIFS($A$5:$A425,"&gt;="&amp;$A426-1,$A$5:$A425,"&lt;="&amp;$A426,$B$5:$B425,$B426)&gt;0,MIN(1-'Exercise list'!U$2,IF($A426=$A425,BA425,1))-AF426&lt;0),-1,MIN(1,IF($A426=$A425,BA425,1)-AF426+$D$2))</f>
        <v>1</v>
      </c>
      <c r="BB426">
        <f>IF(OR($J426=1,COUNTIFS($A$5:$A425,"&gt;="&amp;$A426-1,$A$5:$A425,"&lt;="&amp;$A426,$B$5:$B425,$B426)&gt;0,MIN(1-'Exercise list'!V$2,IF($A426=$A425,BB425,1))-AG426&lt;0),-1,MIN(1,IF($A426=$A425,BB425,1)-AG426+$D$2))</f>
        <v>1</v>
      </c>
      <c r="BC426">
        <f>IF(OR($J426=1,COUNTIFS($A$5:$A425,"&gt;="&amp;$A426-1,$A$5:$A425,"&lt;="&amp;$A426,$B$5:$B425,$B426)&gt;0,MIN(1-'Exercise list'!W$2,IF($A426=$A425,BC425,1))-AH426&lt;0),-1,MIN(1,IF($A426=$A425,BC425,1)-AH426+$D$2))</f>
        <v>1</v>
      </c>
      <c r="BD426">
        <f>IF(OR($J426=1,COUNTIFS($A$5:$A425,"&gt;="&amp;$A426-1,$A$5:$A425,"&lt;="&amp;$A426,$B$5:$B425,$B426)&gt;0,MIN(1-'Exercise list'!X$2,IF($A426=$A425,BD425,1))-AI426&lt;0),-1,MIN(1,IF($A426=$A425,BD425,1)-AI426+$D$2))</f>
        <v>1</v>
      </c>
      <c r="BF426" s="16">
        <f t="shared" si="321"/>
        <v>0.19596031081758858</v>
      </c>
      <c r="BG426" s="16">
        <f t="shared" si="322"/>
        <v>0.21844636935459236</v>
      </c>
      <c r="BH426" s="16">
        <f t="shared" si="323"/>
        <v>0.14609696635987124</v>
      </c>
      <c r="BI426" s="16">
        <f t="shared" si="324"/>
        <v>0.13198015366034541</v>
      </c>
      <c r="BJ426" s="16">
        <f t="shared" si="325"/>
        <v>8.3367914198418713E-2</v>
      </c>
      <c r="BK426" s="16">
        <f t="shared" si="326"/>
        <v>0.10640640223148412</v>
      </c>
      <c r="BL426" s="16">
        <f t="shared" si="327"/>
        <v>0.21963504743569431</v>
      </c>
      <c r="BM426" s="16">
        <f t="shared" si="328"/>
        <v>3.8988008374820568E-3</v>
      </c>
      <c r="BN426" s="16">
        <f t="shared" si="329"/>
        <v>0.14537706087090876</v>
      </c>
      <c r="BO426" s="16">
        <f t="shared" si="330"/>
        <v>0.29209790661993401</v>
      </c>
      <c r="BP426" s="16">
        <f t="shared" si="331"/>
        <v>0.31584545163401867</v>
      </c>
      <c r="BQ426" s="16">
        <f t="shared" si="332"/>
        <v>0.1000007994126096</v>
      </c>
      <c r="BR426" s="16">
        <f t="shared" si="333"/>
        <v>0.13164487759885393</v>
      </c>
      <c r="BS426" s="16">
        <f t="shared" si="334"/>
        <v>2.9803550189863123E-2</v>
      </c>
      <c r="BT426" s="16">
        <f t="shared" si="335"/>
        <v>0.13492040904978705</v>
      </c>
      <c r="BU426" s="16">
        <f t="shared" si="336"/>
        <v>0.11703687414398131</v>
      </c>
      <c r="BV426" s="16">
        <f t="shared" si="337"/>
        <v>0.14633353213781661</v>
      </c>
      <c r="BW426" s="16">
        <f t="shared" si="338"/>
        <v>7.5588015111767173E-2</v>
      </c>
      <c r="BX426" s="16">
        <f t="shared" si="339"/>
        <v>8.0345659937185704E-2</v>
      </c>
      <c r="BY426" s="16">
        <f t="shared" si="340"/>
        <v>5.9014643151272549E-2</v>
      </c>
      <c r="CA426" s="16" t="str">
        <f t="shared" si="317"/>
        <v/>
      </c>
      <c r="CB426" s="16" t="str">
        <f t="shared" si="298"/>
        <v/>
      </c>
      <c r="CC426" s="16" t="str">
        <f t="shared" si="299"/>
        <v/>
      </c>
      <c r="CD426" s="16" t="str">
        <f t="shared" si="300"/>
        <v/>
      </c>
      <c r="CE426" s="16" t="str">
        <f t="shared" si="301"/>
        <v/>
      </c>
      <c r="CF426" s="16" t="str">
        <f t="shared" si="302"/>
        <v/>
      </c>
      <c r="CG426" s="16" t="str">
        <f t="shared" si="303"/>
        <v/>
      </c>
      <c r="CH426" s="16" t="str">
        <f t="shared" si="304"/>
        <v/>
      </c>
      <c r="CI426" s="16" t="str">
        <f t="shared" si="305"/>
        <v/>
      </c>
      <c r="CJ426" s="16" t="str">
        <f t="shared" si="306"/>
        <v/>
      </c>
      <c r="CK426" s="16" t="str">
        <f t="shared" si="307"/>
        <v/>
      </c>
      <c r="CL426" s="16" t="str">
        <f t="shared" si="308"/>
        <v/>
      </c>
      <c r="CM426" s="16" t="str">
        <f t="shared" si="309"/>
        <v/>
      </c>
      <c r="CN426" s="16" t="str">
        <f t="shared" si="310"/>
        <v/>
      </c>
      <c r="CO426" s="16" t="str">
        <f t="shared" si="311"/>
        <v/>
      </c>
      <c r="CP426" s="16" t="str">
        <f t="shared" si="312"/>
        <v/>
      </c>
      <c r="CQ426" s="16" t="str">
        <f t="shared" si="313"/>
        <v/>
      </c>
      <c r="CR426" s="16" t="str">
        <f t="shared" si="314"/>
        <v/>
      </c>
      <c r="CS426" s="16" t="str">
        <f t="shared" si="315"/>
        <v/>
      </c>
      <c r="CT426" s="16" t="str">
        <f t="shared" si="316"/>
        <v/>
      </c>
    </row>
    <row r="427" spans="1:99" x14ac:dyDescent="0.25">
      <c r="A427" s="13"/>
      <c r="B427" s="14"/>
      <c r="C427" s="15" t="str" cm="1">
        <f t="array" ref="C427">IF(B427="","",INDEX('Exercise list'!$C$5:$C$102,B427))</f>
        <v/>
      </c>
      <c r="D427" s="12" t="str">
        <f t="shared" si="318"/>
        <v/>
      </c>
      <c r="E427" s="107" t="str">
        <f t="shared" si="341"/>
        <v/>
      </c>
      <c r="F427" s="63" t="str" cm="1">
        <f t="array" ref="F427">IF(B427="","",0.1+IFERROR(INDEX($F$6:$F426,SUMPRODUCT(MAX(ROW($C$6:$C426)*($C427=$C$6:$C426))-ROW($A$5)))*0.9^($A427-INDEX($A$6:A426,SUMPRODUCT(MAX(ROW($C$6:$C426)*($C427=$C$6:$C426))-ROW($A$5)))),0))</f>
        <v/>
      </c>
      <c r="G427" s="64" t="e">
        <f>INDEX('Exercise list'!$Y$5:$Y$102,MATCH(C427,'Exercise list'!$C$5:$C$102,0))</f>
        <v>#N/A</v>
      </c>
      <c r="H427" s="115">
        <f t="shared" si="319"/>
        <v>0</v>
      </c>
      <c r="I427" s="6">
        <f t="shared" si="320"/>
        <v>5</v>
      </c>
      <c r="J427" s="6" t="str" cm="1">
        <f t="array" ref="J427">IF(B427="","",INDEX('Exercise list'!$D$5:$D$102,B427))</f>
        <v/>
      </c>
      <c r="K427" s="12"/>
      <c r="L427" s="74" t="str" cm="1">
        <f t="array" ref="L427">IF(K427="","",INDEX('Exercise list'!$C$5:$C$102,K427))</f>
        <v/>
      </c>
      <c r="M427" s="6"/>
      <c r="N427" s="75" t="str" cm="1">
        <f t="array" ref="N427">IF(M427="","",INDEX('Exercise list'!$C$5:$C$102,M427))</f>
        <v/>
      </c>
      <c r="P427">
        <f>IFERROR(INDEX('Exercise list'!$E$5:$X$102,MATCH($C427,'Exercise list'!$C$5:$C$102,0),MATCH(P$5,'Exercise list'!$E$4:$X$4,0)),0)</f>
        <v>0</v>
      </c>
      <c r="Q427">
        <f>IFERROR(INDEX('Exercise list'!$E$5:$X$102,MATCH($C427,'Exercise list'!$C$5:$C$102,0),MATCH(Q$5,'Exercise list'!$E$4:$X$4,0)),0)</f>
        <v>0</v>
      </c>
      <c r="R427">
        <f>IFERROR(INDEX('Exercise list'!$E$5:$X$102,MATCH($C427,'Exercise list'!$C$5:$C$102,0),MATCH(R$5,'Exercise list'!$E$4:$X$4,0)),0)</f>
        <v>0</v>
      </c>
      <c r="S427">
        <f>IFERROR(INDEX('Exercise list'!$E$5:$X$102,MATCH($C427,'Exercise list'!$C$5:$C$102,0),MATCH(S$5,'Exercise list'!$E$4:$X$4,0)),0)</f>
        <v>0</v>
      </c>
      <c r="T427">
        <f>IFERROR(INDEX('Exercise list'!$E$5:$X$102,MATCH($C427,'Exercise list'!$C$5:$C$102,0),MATCH(T$5,'Exercise list'!$E$4:$X$4,0)),0)</f>
        <v>0</v>
      </c>
      <c r="U427">
        <f>IFERROR(INDEX('Exercise list'!$E$5:$X$102,MATCH($C427,'Exercise list'!$C$5:$C$102,0),MATCH(U$5,'Exercise list'!$E$4:$X$4,0)),0)</f>
        <v>0</v>
      </c>
      <c r="V427">
        <f>IFERROR(INDEX('Exercise list'!$E$5:$X$102,MATCH($C427,'Exercise list'!$C$5:$C$102,0),MATCH(V$5,'Exercise list'!$E$4:$X$4,0)),0)</f>
        <v>0</v>
      </c>
      <c r="W427">
        <f>IFERROR(INDEX('Exercise list'!$E$5:$X$102,MATCH($C427,'Exercise list'!$C$5:$C$102,0),MATCH(W$5,'Exercise list'!$E$4:$X$4,0)),0)</f>
        <v>0</v>
      </c>
      <c r="X427">
        <f>IFERROR(INDEX('Exercise list'!$E$5:$X$102,MATCH($C427,'Exercise list'!$C$5:$C$102,0),MATCH(X$5,'Exercise list'!$E$4:$X$4,0)),0)</f>
        <v>0</v>
      </c>
      <c r="Y427">
        <f>IFERROR(INDEX('Exercise list'!$E$5:$X$102,MATCH($C427,'Exercise list'!$C$5:$C$102,0),MATCH(Y$5,'Exercise list'!$E$4:$X$4,0)),0)</f>
        <v>0</v>
      </c>
      <c r="Z427">
        <f>IFERROR(INDEX('Exercise list'!$E$5:$X$102,MATCH($C427,'Exercise list'!$C$5:$C$102,0),MATCH(Z$5,'Exercise list'!$E$4:$X$4,0)),0)</f>
        <v>0</v>
      </c>
      <c r="AA427">
        <f>IFERROR(INDEX('Exercise list'!$E$5:$X$102,MATCH($C427,'Exercise list'!$C$5:$C$102,0),MATCH(AA$5,'Exercise list'!$E$4:$X$4,0)),0)</f>
        <v>0</v>
      </c>
      <c r="AB427">
        <f>IFERROR(INDEX('Exercise list'!$E$5:$X$102,MATCH($C427,'Exercise list'!$C$5:$C$102,0),MATCH(AB$5,'Exercise list'!$E$4:$X$4,0)),0)</f>
        <v>0</v>
      </c>
      <c r="AC427">
        <f>IFERROR(INDEX('Exercise list'!$E$5:$X$102,MATCH($C427,'Exercise list'!$C$5:$C$102,0),MATCH(AC$5,'Exercise list'!$E$4:$X$4,0)),0)</f>
        <v>0</v>
      </c>
      <c r="AD427">
        <f>IFERROR(INDEX('Exercise list'!$E$5:$X$102,MATCH($C427,'Exercise list'!$C$5:$C$102,0),MATCH(AD$5,'Exercise list'!$E$4:$X$4,0)),0)</f>
        <v>0</v>
      </c>
      <c r="AE427">
        <f>IFERROR(INDEX('Exercise list'!$E$5:$X$102,MATCH($C427,'Exercise list'!$C$5:$C$102,0),MATCH(AE$5,'Exercise list'!$E$4:$X$4,0)),0)</f>
        <v>0</v>
      </c>
      <c r="AF427">
        <f>IFERROR(INDEX('Exercise list'!$E$5:$X$102,MATCH($C427,'Exercise list'!$C$5:$C$102,0),MATCH(AF$5,'Exercise list'!$E$4:$X$4,0)),0)</f>
        <v>0</v>
      </c>
      <c r="AG427">
        <f>IFERROR(INDEX('Exercise list'!$E$5:$X$102,MATCH($C427,'Exercise list'!$C$5:$C$102,0),MATCH(AG$5,'Exercise list'!$E$4:$X$4,0)),0)</f>
        <v>0</v>
      </c>
      <c r="AH427">
        <f>IFERROR(INDEX('Exercise list'!$E$5:$X$102,MATCH($C427,'Exercise list'!$C$5:$C$102,0),MATCH(AH$5,'Exercise list'!$E$4:$X$4,0)),0)</f>
        <v>0</v>
      </c>
      <c r="AI427">
        <f>IFERROR(INDEX('Exercise list'!$E$5:$X$102,MATCH($C427,'Exercise list'!$C$5:$C$102,0),MATCH(AI$5,'Exercise list'!$E$4:$X$4,0)),0)</f>
        <v>0</v>
      </c>
      <c r="AK427">
        <f>IF(OR($J427=1,COUNTIFS($A$5:$A426,"&gt;="&amp;$A427-1,$A$5:$A426,"&lt;="&amp;$A427,$B$5:$B426,$B427)&gt;0,MIN(1-'Exercise list'!E$2,IF($A427=$A426,AK426,1))-P427&lt;0),-1,MIN(1,IF($A427=$A426,AK426,1)-P427+$D$2))</f>
        <v>1</v>
      </c>
      <c r="AL427">
        <f>IF(OR($J427=1,COUNTIFS($A$5:$A426,"&gt;="&amp;$A427-1,$A$5:$A426,"&lt;="&amp;$A427,$B$5:$B426,$B427)&gt;0,MIN(1-'Exercise list'!F$2,IF($A427=$A426,AL426,1))-Q427&lt;0),-1,MIN(1,IF($A427=$A426,AL426,1)-Q427+$D$2))</f>
        <v>1</v>
      </c>
      <c r="AM427">
        <f>IF(OR($J427=1,COUNTIFS($A$5:$A426,"&gt;="&amp;$A427-1,$A$5:$A426,"&lt;="&amp;$A427,$B$5:$B426,$B427)&gt;0,MIN(1-'Exercise list'!G$2,IF($A427=$A426,AM426,1))-R427&lt;0),-1,MIN(1,IF($A427=$A426,AM426,1)-R427+$D$2))</f>
        <v>1</v>
      </c>
      <c r="AN427">
        <f>IF(OR($J427=1,COUNTIFS($A$5:$A426,"&gt;="&amp;$A427-1,$A$5:$A426,"&lt;="&amp;$A427,$B$5:$B426,$B427)&gt;0,MIN(1-'Exercise list'!H$2,IF($A427=$A426,AN426,1))-S427&lt;0),-1,MIN(1,IF($A427=$A426,AN426,1)-S427+$D$2))</f>
        <v>1</v>
      </c>
      <c r="AO427">
        <f>IF(OR($J427=1,COUNTIFS($A$5:$A426,"&gt;="&amp;$A427-1,$A$5:$A426,"&lt;="&amp;$A427,$B$5:$B426,$B427)&gt;0,MIN(1-'Exercise list'!I$2,IF($A427=$A426,AO426,1))-T427&lt;0),-1,MIN(1,IF($A427=$A426,AO426,1)-T427+$D$2))</f>
        <v>1</v>
      </c>
      <c r="AP427">
        <f>IF(OR($J427=1,COUNTIFS($A$5:$A426,"&gt;="&amp;$A427-1,$A$5:$A426,"&lt;="&amp;$A427,$B$5:$B426,$B427)&gt;0,MIN(1-'Exercise list'!J$2,IF($A427=$A426,AP426,1))-U427&lt;0),-1,MIN(1,IF($A427=$A426,AP426,1)-U427+$D$2))</f>
        <v>1</v>
      </c>
      <c r="AQ427">
        <f>IF(OR($J427=1,COUNTIFS($A$5:$A426,"&gt;="&amp;$A427-1,$A$5:$A426,"&lt;="&amp;$A427,$B$5:$B426,$B427)&gt;0,MIN(1-'Exercise list'!K$2,IF($A427=$A426,AQ426,1))-V427&lt;0),-1,MIN(1,IF($A427=$A426,AQ426,1)-V427+$D$2))</f>
        <v>1</v>
      </c>
      <c r="AR427">
        <f>IF(OR($J427=1,COUNTIFS($A$5:$A426,"&gt;="&amp;$A427-1,$A$5:$A426,"&lt;="&amp;$A427,$B$5:$B426,$B427)&gt;0,MIN(1-'Exercise list'!L$2,IF($A427=$A426,AR426,1))-W427&lt;0),-1,MIN(1,IF($A427=$A426,AR426,1)-W427+$D$2))</f>
        <v>1</v>
      </c>
      <c r="AS427">
        <f>IF(OR($J427=1,COUNTIFS($A$5:$A426,"&gt;="&amp;$A427-1,$A$5:$A426,"&lt;="&amp;$A427,$B$5:$B426,$B427)&gt;0,MIN(1-'Exercise list'!M$2,IF($A427=$A426,AS426,1))-X427&lt;0),-1,MIN(1,IF($A427=$A426,AS426,1)-X427+$D$2))</f>
        <v>1</v>
      </c>
      <c r="AT427">
        <f>IF(OR($J427=1,COUNTIFS($A$5:$A426,"&gt;="&amp;$A427-1,$A$5:$A426,"&lt;="&amp;$A427,$B$5:$B426,$B427)&gt;0,MIN(1-'Exercise list'!N$2,IF($A427=$A426,AT426,1))-Y427&lt;0),-1,MIN(1,IF($A427=$A426,AT426,1)-Y427+$D$2))</f>
        <v>1</v>
      </c>
      <c r="AU427">
        <f>IF(OR($J427=1,COUNTIFS($A$5:$A426,"&gt;="&amp;$A427-1,$A$5:$A426,"&lt;="&amp;$A427,$B$5:$B426,$B427)&gt;0,MIN(1-'Exercise list'!O$2,IF($A427=$A426,AU426,1))-Z427&lt;0),-1,MIN(1,IF($A427=$A426,AU426,1)-Z427+$D$2))</f>
        <v>1</v>
      </c>
      <c r="AV427">
        <f>IF(OR($J427=1,COUNTIFS($A$5:$A426,"&gt;="&amp;$A427-1,$A$5:$A426,"&lt;="&amp;$A427,$B$5:$B426,$B427)&gt;0,MIN(1-'Exercise list'!P$2,IF($A427=$A426,AV426,1))-AA427&lt;0),-1,MIN(1,IF($A427=$A426,AV426,1)-AA427+$D$2))</f>
        <v>1</v>
      </c>
      <c r="AW427">
        <f>IF(OR($J427=1,COUNTIFS($A$5:$A426,"&gt;="&amp;$A427-1,$A$5:$A426,"&lt;="&amp;$A427,$B$5:$B426,$B427)&gt;0,MIN(1-'Exercise list'!Q$2,IF($A427=$A426,AW426,1))-AB427&lt;0),-1,MIN(1,IF($A427=$A426,AW426,1)-AB427+$D$2))</f>
        <v>1</v>
      </c>
      <c r="AX427">
        <f>IF(OR($J427=1,COUNTIFS($A$5:$A426,"&gt;="&amp;$A427-1,$A$5:$A426,"&lt;="&amp;$A427,$B$5:$B426,$B427)&gt;0,MIN(1-'Exercise list'!R$2,IF($A427=$A426,AX426,1))-AC427&lt;0),-1,MIN(1,IF($A427=$A426,AX426,1)-AC427+$D$2))</f>
        <v>1</v>
      </c>
      <c r="AY427">
        <f>IF(OR($J427=1,COUNTIFS($A$5:$A426,"&gt;="&amp;$A427-1,$A$5:$A426,"&lt;="&amp;$A427,$B$5:$B426,$B427)&gt;0,MIN(1-'Exercise list'!S$2,IF($A427=$A426,AY426,1))-AD427&lt;0),-1,MIN(1,IF($A427=$A426,AY426,1)-AD427+$D$2))</f>
        <v>1</v>
      </c>
      <c r="AZ427">
        <f>IF(OR($J427=1,COUNTIFS($A$5:$A426,"&gt;="&amp;$A427-1,$A$5:$A426,"&lt;="&amp;$A427,$B$5:$B426,$B427)&gt;0,MIN(1-'Exercise list'!T$2,IF($A427=$A426,AZ426,1))-AE427&lt;0),-1,MIN(1,IF($A427=$A426,AZ426,1)-AE427+$D$2))</f>
        <v>1</v>
      </c>
      <c r="BA427">
        <f>IF(OR($J427=1,COUNTIFS($A$5:$A426,"&gt;="&amp;$A427-1,$A$5:$A426,"&lt;="&amp;$A427,$B$5:$B426,$B427)&gt;0,MIN(1-'Exercise list'!U$2,IF($A427=$A426,BA426,1))-AF427&lt;0),-1,MIN(1,IF($A427=$A426,BA426,1)-AF427+$D$2))</f>
        <v>1</v>
      </c>
      <c r="BB427">
        <f>IF(OR($J427=1,COUNTIFS($A$5:$A426,"&gt;="&amp;$A427-1,$A$5:$A426,"&lt;="&amp;$A427,$B$5:$B426,$B427)&gt;0,MIN(1-'Exercise list'!V$2,IF($A427=$A426,BB426,1))-AG427&lt;0),-1,MIN(1,IF($A427=$A426,BB426,1)-AG427+$D$2))</f>
        <v>1</v>
      </c>
      <c r="BC427">
        <f>IF(OR($J427=1,COUNTIFS($A$5:$A426,"&gt;="&amp;$A427-1,$A$5:$A426,"&lt;="&amp;$A427,$B$5:$B426,$B427)&gt;0,MIN(1-'Exercise list'!W$2,IF($A427=$A426,BC426,1))-AH427&lt;0),-1,MIN(1,IF($A427=$A426,BC426,1)-AH427+$D$2))</f>
        <v>1</v>
      </c>
      <c r="BD427">
        <f>IF(OR($J427=1,COUNTIFS($A$5:$A426,"&gt;="&amp;$A427-1,$A$5:$A426,"&lt;="&amp;$A427,$B$5:$B426,$B427)&gt;0,MIN(1-'Exercise list'!X$2,IF($A427=$A426,BD426,1))-AI427&lt;0),-1,MIN(1,IF($A427=$A426,BD426,1)-AI427+$D$2))</f>
        <v>1</v>
      </c>
      <c r="BF427" s="16">
        <f t="shared" si="321"/>
        <v>0.19596031081758858</v>
      </c>
      <c r="BG427" s="16">
        <f t="shared" si="322"/>
        <v>0.21844636935459236</v>
      </c>
      <c r="BH427" s="16">
        <f t="shared" si="323"/>
        <v>0.14609696635987124</v>
      </c>
      <c r="BI427" s="16">
        <f t="shared" si="324"/>
        <v>0.13198015366034541</v>
      </c>
      <c r="BJ427" s="16">
        <f t="shared" si="325"/>
        <v>8.3367914198418713E-2</v>
      </c>
      <c r="BK427" s="16">
        <f t="shared" si="326"/>
        <v>0.10640640223148412</v>
      </c>
      <c r="BL427" s="16">
        <f t="shared" si="327"/>
        <v>0.21963504743569431</v>
      </c>
      <c r="BM427" s="16">
        <f t="shared" si="328"/>
        <v>3.8988008374820568E-3</v>
      </c>
      <c r="BN427" s="16">
        <f t="shared" si="329"/>
        <v>0.14537706087090876</v>
      </c>
      <c r="BO427" s="16">
        <f t="shared" si="330"/>
        <v>0.29209790661993401</v>
      </c>
      <c r="BP427" s="16">
        <f t="shared" si="331"/>
        <v>0.31584545163401867</v>
      </c>
      <c r="BQ427" s="16">
        <f t="shared" si="332"/>
        <v>0.1000007994126096</v>
      </c>
      <c r="BR427" s="16">
        <f t="shared" si="333"/>
        <v>0.13164487759885393</v>
      </c>
      <c r="BS427" s="16">
        <f t="shared" si="334"/>
        <v>2.9803550189863123E-2</v>
      </c>
      <c r="BT427" s="16">
        <f t="shared" si="335"/>
        <v>0.13492040904978705</v>
      </c>
      <c r="BU427" s="16">
        <f t="shared" si="336"/>
        <v>0.11703687414398131</v>
      </c>
      <c r="BV427" s="16">
        <f t="shared" si="337"/>
        <v>0.14633353213781661</v>
      </c>
      <c r="BW427" s="16">
        <f t="shared" si="338"/>
        <v>7.5588015111767173E-2</v>
      </c>
      <c r="BX427" s="16">
        <f t="shared" si="339"/>
        <v>8.0345659937185704E-2</v>
      </c>
      <c r="BY427" s="16">
        <f t="shared" si="340"/>
        <v>5.9014643151272549E-2</v>
      </c>
      <c r="CA427" s="16" t="str">
        <f t="shared" si="317"/>
        <v/>
      </c>
      <c r="CB427" s="16" t="str">
        <f t="shared" si="298"/>
        <v/>
      </c>
      <c r="CC427" s="16" t="str">
        <f t="shared" si="299"/>
        <v/>
      </c>
      <c r="CD427" s="16" t="str">
        <f t="shared" si="300"/>
        <v/>
      </c>
      <c r="CE427" s="16" t="str">
        <f t="shared" si="301"/>
        <v/>
      </c>
      <c r="CF427" s="16" t="str">
        <f t="shared" si="302"/>
        <v/>
      </c>
      <c r="CG427" s="16" t="str">
        <f t="shared" si="303"/>
        <v/>
      </c>
      <c r="CH427" s="16" t="str">
        <f t="shared" si="304"/>
        <v/>
      </c>
      <c r="CI427" s="16" t="str">
        <f t="shared" si="305"/>
        <v/>
      </c>
      <c r="CJ427" s="16" t="str">
        <f t="shared" si="306"/>
        <v/>
      </c>
      <c r="CK427" s="16" t="str">
        <f t="shared" si="307"/>
        <v/>
      </c>
      <c r="CL427" s="16" t="str">
        <f t="shared" si="308"/>
        <v/>
      </c>
      <c r="CM427" s="16" t="str">
        <f t="shared" si="309"/>
        <v/>
      </c>
      <c r="CN427" s="16" t="str">
        <f t="shared" si="310"/>
        <v/>
      </c>
      <c r="CO427" s="16" t="str">
        <f t="shared" si="311"/>
        <v/>
      </c>
      <c r="CP427" s="16" t="str">
        <f t="shared" si="312"/>
        <v/>
      </c>
      <c r="CQ427" s="16" t="str">
        <f t="shared" si="313"/>
        <v/>
      </c>
      <c r="CR427" s="16" t="str">
        <f t="shared" si="314"/>
        <v/>
      </c>
      <c r="CS427" s="16" t="str">
        <f t="shared" si="315"/>
        <v/>
      </c>
      <c r="CT427" s="16" t="str">
        <f t="shared" si="316"/>
        <v/>
      </c>
    </row>
    <row r="428" spans="1:99" x14ac:dyDescent="0.25">
      <c r="A428" s="20"/>
      <c r="B428" s="21"/>
      <c r="C428" s="22" t="str" cm="1">
        <f t="array" ref="C428">IF(B428="","",INDEX('Exercise list'!$C$5:$C$102,B428))</f>
        <v/>
      </c>
      <c r="D428" s="17" t="str">
        <f t="shared" si="318"/>
        <v/>
      </c>
      <c r="E428" s="108" t="str">
        <f t="shared" si="341"/>
        <v/>
      </c>
      <c r="F428" s="65" t="str" cm="1">
        <f t="array" ref="F428">IF(B428="","",0.1+IFERROR(INDEX($F$6:$F427,SUMPRODUCT(MAX(ROW($C$6:$C427)*($C428=$C$6:$C427))-ROW($A$5)))*0.9^($A428-INDEX($A$6:A427,SUMPRODUCT(MAX(ROW($C$6:$C427)*($C428=$C$6:$C427))-ROW($A$5)))),0))</f>
        <v/>
      </c>
      <c r="G428" s="25" t="e">
        <f>INDEX('Exercise list'!$Y$5:$Y$102,MATCH(C428,'Exercise list'!$C$5:$C$102,0))</f>
        <v>#N/A</v>
      </c>
      <c r="H428" s="116">
        <f t="shared" si="319"/>
        <v>0</v>
      </c>
      <c r="I428" s="18">
        <f t="shared" si="320"/>
        <v>5</v>
      </c>
      <c r="J428" s="18" t="str" cm="1">
        <f t="array" ref="J428">IF(B428="","",INDEX('Exercise list'!$D$5:$D$102,B428))</f>
        <v/>
      </c>
      <c r="K428" s="17"/>
      <c r="L428" s="51" t="str" cm="1">
        <f t="array" ref="L428">IF(K428="","",INDEX('Exercise list'!$C$5:$C$102,K428))</f>
        <v/>
      </c>
      <c r="M428" s="18"/>
      <c r="N428" s="76" t="str" cm="1">
        <f t="array" ref="N428">IF(M428="","",INDEX('Exercise list'!$C$5:$C$102,M428))</f>
        <v/>
      </c>
      <c r="O428" s="19"/>
      <c r="P428" s="19">
        <f>IFERROR(INDEX('Exercise list'!$E$5:$X$102,MATCH($C428,'Exercise list'!$C$5:$C$102,0),MATCH(P$5,'Exercise list'!$E$4:$X$4,0)),0)</f>
        <v>0</v>
      </c>
      <c r="Q428" s="19">
        <f>IFERROR(INDEX('Exercise list'!$E$5:$X$102,MATCH($C428,'Exercise list'!$C$5:$C$102,0),MATCH(Q$5,'Exercise list'!$E$4:$X$4,0)),0)</f>
        <v>0</v>
      </c>
      <c r="R428" s="19">
        <f>IFERROR(INDEX('Exercise list'!$E$5:$X$102,MATCH($C428,'Exercise list'!$C$5:$C$102,0),MATCH(R$5,'Exercise list'!$E$4:$X$4,0)),0)</f>
        <v>0</v>
      </c>
      <c r="S428" s="19">
        <f>IFERROR(INDEX('Exercise list'!$E$5:$X$102,MATCH($C428,'Exercise list'!$C$5:$C$102,0),MATCH(S$5,'Exercise list'!$E$4:$X$4,0)),0)</f>
        <v>0</v>
      </c>
      <c r="T428" s="19">
        <f>IFERROR(INDEX('Exercise list'!$E$5:$X$102,MATCH($C428,'Exercise list'!$C$5:$C$102,0),MATCH(T$5,'Exercise list'!$E$4:$X$4,0)),0)</f>
        <v>0</v>
      </c>
      <c r="U428" s="19">
        <f>IFERROR(INDEX('Exercise list'!$E$5:$X$102,MATCH($C428,'Exercise list'!$C$5:$C$102,0),MATCH(U$5,'Exercise list'!$E$4:$X$4,0)),0)</f>
        <v>0</v>
      </c>
      <c r="V428" s="19">
        <f>IFERROR(INDEX('Exercise list'!$E$5:$X$102,MATCH($C428,'Exercise list'!$C$5:$C$102,0),MATCH(V$5,'Exercise list'!$E$4:$X$4,0)),0)</f>
        <v>0</v>
      </c>
      <c r="W428" s="19">
        <f>IFERROR(INDEX('Exercise list'!$E$5:$X$102,MATCH($C428,'Exercise list'!$C$5:$C$102,0),MATCH(W$5,'Exercise list'!$E$4:$X$4,0)),0)</f>
        <v>0</v>
      </c>
      <c r="X428" s="19">
        <f>IFERROR(INDEX('Exercise list'!$E$5:$X$102,MATCH($C428,'Exercise list'!$C$5:$C$102,0),MATCH(X$5,'Exercise list'!$E$4:$X$4,0)),0)</f>
        <v>0</v>
      </c>
      <c r="Y428" s="19">
        <f>IFERROR(INDEX('Exercise list'!$E$5:$X$102,MATCH($C428,'Exercise list'!$C$5:$C$102,0),MATCH(Y$5,'Exercise list'!$E$4:$X$4,0)),0)</f>
        <v>0</v>
      </c>
      <c r="Z428" s="19">
        <f>IFERROR(INDEX('Exercise list'!$E$5:$X$102,MATCH($C428,'Exercise list'!$C$5:$C$102,0),MATCH(Z$5,'Exercise list'!$E$4:$X$4,0)),0)</f>
        <v>0</v>
      </c>
      <c r="AA428" s="19">
        <f>IFERROR(INDEX('Exercise list'!$E$5:$X$102,MATCH($C428,'Exercise list'!$C$5:$C$102,0),MATCH(AA$5,'Exercise list'!$E$4:$X$4,0)),0)</f>
        <v>0</v>
      </c>
      <c r="AB428" s="19">
        <f>IFERROR(INDEX('Exercise list'!$E$5:$X$102,MATCH($C428,'Exercise list'!$C$5:$C$102,0),MATCH(AB$5,'Exercise list'!$E$4:$X$4,0)),0)</f>
        <v>0</v>
      </c>
      <c r="AC428" s="19">
        <f>IFERROR(INDEX('Exercise list'!$E$5:$X$102,MATCH($C428,'Exercise list'!$C$5:$C$102,0),MATCH(AC$5,'Exercise list'!$E$4:$X$4,0)),0)</f>
        <v>0</v>
      </c>
      <c r="AD428" s="19">
        <f>IFERROR(INDEX('Exercise list'!$E$5:$X$102,MATCH($C428,'Exercise list'!$C$5:$C$102,0),MATCH(AD$5,'Exercise list'!$E$4:$X$4,0)),0)</f>
        <v>0</v>
      </c>
      <c r="AE428" s="19">
        <f>IFERROR(INDEX('Exercise list'!$E$5:$X$102,MATCH($C428,'Exercise list'!$C$5:$C$102,0),MATCH(AE$5,'Exercise list'!$E$4:$X$4,0)),0)</f>
        <v>0</v>
      </c>
      <c r="AF428" s="19">
        <f>IFERROR(INDEX('Exercise list'!$E$5:$X$102,MATCH($C428,'Exercise list'!$C$5:$C$102,0),MATCH(AF$5,'Exercise list'!$E$4:$X$4,0)),0)</f>
        <v>0</v>
      </c>
      <c r="AG428" s="19">
        <f>IFERROR(INDEX('Exercise list'!$E$5:$X$102,MATCH($C428,'Exercise list'!$C$5:$C$102,0),MATCH(AG$5,'Exercise list'!$E$4:$X$4,0)),0)</f>
        <v>0</v>
      </c>
      <c r="AH428" s="19">
        <f>IFERROR(INDEX('Exercise list'!$E$5:$X$102,MATCH($C428,'Exercise list'!$C$5:$C$102,0),MATCH(AH$5,'Exercise list'!$E$4:$X$4,0)),0)</f>
        <v>0</v>
      </c>
      <c r="AI428" s="19">
        <f>IFERROR(INDEX('Exercise list'!$E$5:$X$102,MATCH($C428,'Exercise list'!$C$5:$C$102,0),MATCH(AI$5,'Exercise list'!$E$4:$X$4,0)),0)</f>
        <v>0</v>
      </c>
      <c r="AJ428" s="19"/>
      <c r="AK428" s="19">
        <f>IF(OR($J428=1,COUNTIFS($A$5:$A427,"&gt;="&amp;$A428-1,$A$5:$A427,"&lt;="&amp;$A428,$B$5:$B427,$B428)&gt;0,MIN(1-'Exercise list'!E$2,IF($A428=$A427,AK427,1))-P428&lt;0),-1,MIN(1,IF($A428=$A427,AK427,1)-P428+$D$2))</f>
        <v>1</v>
      </c>
      <c r="AL428" s="19">
        <f>IF(OR($J428=1,COUNTIFS($A$5:$A427,"&gt;="&amp;$A428-1,$A$5:$A427,"&lt;="&amp;$A428,$B$5:$B427,$B428)&gt;0,MIN(1-'Exercise list'!F$2,IF($A428=$A427,AL427,1))-Q428&lt;0),-1,MIN(1,IF($A428=$A427,AL427,1)-Q428+$D$2))</f>
        <v>1</v>
      </c>
      <c r="AM428" s="19">
        <f>IF(OR($J428=1,COUNTIFS($A$5:$A427,"&gt;="&amp;$A428-1,$A$5:$A427,"&lt;="&amp;$A428,$B$5:$B427,$B428)&gt;0,MIN(1-'Exercise list'!G$2,IF($A428=$A427,AM427,1))-R428&lt;0),-1,MIN(1,IF($A428=$A427,AM427,1)-R428+$D$2))</f>
        <v>1</v>
      </c>
      <c r="AN428" s="19">
        <f>IF(OR($J428=1,COUNTIFS($A$5:$A427,"&gt;="&amp;$A428-1,$A$5:$A427,"&lt;="&amp;$A428,$B$5:$B427,$B428)&gt;0,MIN(1-'Exercise list'!H$2,IF($A428=$A427,AN427,1))-S428&lt;0),-1,MIN(1,IF($A428=$A427,AN427,1)-S428+$D$2))</f>
        <v>1</v>
      </c>
      <c r="AO428" s="19">
        <f>IF(OR($J428=1,COUNTIFS($A$5:$A427,"&gt;="&amp;$A428-1,$A$5:$A427,"&lt;="&amp;$A428,$B$5:$B427,$B428)&gt;0,MIN(1-'Exercise list'!I$2,IF($A428=$A427,AO427,1))-T428&lt;0),-1,MIN(1,IF($A428=$A427,AO427,1)-T428+$D$2))</f>
        <v>1</v>
      </c>
      <c r="AP428" s="19">
        <f>IF(OR($J428=1,COUNTIFS($A$5:$A427,"&gt;="&amp;$A428-1,$A$5:$A427,"&lt;="&amp;$A428,$B$5:$B427,$B428)&gt;0,MIN(1-'Exercise list'!J$2,IF($A428=$A427,AP427,1))-U428&lt;0),-1,MIN(1,IF($A428=$A427,AP427,1)-U428+$D$2))</f>
        <v>1</v>
      </c>
      <c r="AQ428" s="19">
        <f>IF(OR($J428=1,COUNTIFS($A$5:$A427,"&gt;="&amp;$A428-1,$A$5:$A427,"&lt;="&amp;$A428,$B$5:$B427,$B428)&gt;0,MIN(1-'Exercise list'!K$2,IF($A428=$A427,AQ427,1))-V428&lt;0),-1,MIN(1,IF($A428=$A427,AQ427,1)-V428+$D$2))</f>
        <v>1</v>
      </c>
      <c r="AR428" s="19">
        <f>IF(OR($J428=1,COUNTIFS($A$5:$A427,"&gt;="&amp;$A428-1,$A$5:$A427,"&lt;="&amp;$A428,$B$5:$B427,$B428)&gt;0,MIN(1-'Exercise list'!L$2,IF($A428=$A427,AR427,1))-W428&lt;0),-1,MIN(1,IF($A428=$A427,AR427,1)-W428+$D$2))</f>
        <v>1</v>
      </c>
      <c r="AS428" s="19">
        <f>IF(OR($J428=1,COUNTIFS($A$5:$A427,"&gt;="&amp;$A428-1,$A$5:$A427,"&lt;="&amp;$A428,$B$5:$B427,$B428)&gt;0,MIN(1-'Exercise list'!M$2,IF($A428=$A427,AS427,1))-X428&lt;0),-1,MIN(1,IF($A428=$A427,AS427,1)-X428+$D$2))</f>
        <v>1</v>
      </c>
      <c r="AT428" s="19">
        <f>IF(OR($J428=1,COUNTIFS($A$5:$A427,"&gt;="&amp;$A428-1,$A$5:$A427,"&lt;="&amp;$A428,$B$5:$B427,$B428)&gt;0,MIN(1-'Exercise list'!N$2,IF($A428=$A427,AT427,1))-Y428&lt;0),-1,MIN(1,IF($A428=$A427,AT427,1)-Y428+$D$2))</f>
        <v>1</v>
      </c>
      <c r="AU428" s="19">
        <f>IF(OR($J428=1,COUNTIFS($A$5:$A427,"&gt;="&amp;$A428-1,$A$5:$A427,"&lt;="&amp;$A428,$B$5:$B427,$B428)&gt;0,MIN(1-'Exercise list'!O$2,IF($A428=$A427,AU427,1))-Z428&lt;0),-1,MIN(1,IF($A428=$A427,AU427,1)-Z428+$D$2))</f>
        <v>1</v>
      </c>
      <c r="AV428" s="19">
        <f>IF(OR($J428=1,COUNTIFS($A$5:$A427,"&gt;="&amp;$A428-1,$A$5:$A427,"&lt;="&amp;$A428,$B$5:$B427,$B428)&gt;0,MIN(1-'Exercise list'!P$2,IF($A428=$A427,AV427,1))-AA428&lt;0),-1,MIN(1,IF($A428=$A427,AV427,1)-AA428+$D$2))</f>
        <v>1</v>
      </c>
      <c r="AW428" s="19">
        <f>IF(OR($J428=1,COUNTIFS($A$5:$A427,"&gt;="&amp;$A428-1,$A$5:$A427,"&lt;="&amp;$A428,$B$5:$B427,$B428)&gt;0,MIN(1-'Exercise list'!Q$2,IF($A428=$A427,AW427,1))-AB428&lt;0),-1,MIN(1,IF($A428=$A427,AW427,1)-AB428+$D$2))</f>
        <v>1</v>
      </c>
      <c r="AX428" s="19">
        <f>IF(OR($J428=1,COUNTIFS($A$5:$A427,"&gt;="&amp;$A428-1,$A$5:$A427,"&lt;="&amp;$A428,$B$5:$B427,$B428)&gt;0,MIN(1-'Exercise list'!R$2,IF($A428=$A427,AX427,1))-AC428&lt;0),-1,MIN(1,IF($A428=$A427,AX427,1)-AC428+$D$2))</f>
        <v>1</v>
      </c>
      <c r="AY428" s="19">
        <f>IF(OR($J428=1,COUNTIFS($A$5:$A427,"&gt;="&amp;$A428-1,$A$5:$A427,"&lt;="&amp;$A428,$B$5:$B427,$B428)&gt;0,MIN(1-'Exercise list'!S$2,IF($A428=$A427,AY427,1))-AD428&lt;0),-1,MIN(1,IF($A428=$A427,AY427,1)-AD428+$D$2))</f>
        <v>1</v>
      </c>
      <c r="AZ428" s="19">
        <f>IF(OR($J428=1,COUNTIFS($A$5:$A427,"&gt;="&amp;$A428-1,$A$5:$A427,"&lt;="&amp;$A428,$B$5:$B427,$B428)&gt;0,MIN(1-'Exercise list'!T$2,IF($A428=$A427,AZ427,1))-AE428&lt;0),-1,MIN(1,IF($A428=$A427,AZ427,1)-AE428+$D$2))</f>
        <v>1</v>
      </c>
      <c r="BA428" s="19">
        <f>IF(OR($J428=1,COUNTIFS($A$5:$A427,"&gt;="&amp;$A428-1,$A$5:$A427,"&lt;="&amp;$A428,$B$5:$B427,$B428)&gt;0,MIN(1-'Exercise list'!U$2,IF($A428=$A427,BA427,1))-AF428&lt;0),-1,MIN(1,IF($A428=$A427,BA427,1)-AF428+$D$2))</f>
        <v>1</v>
      </c>
      <c r="BB428" s="19">
        <f>IF(OR($J428=1,COUNTIFS($A$5:$A427,"&gt;="&amp;$A428-1,$A$5:$A427,"&lt;="&amp;$A428,$B$5:$B427,$B428)&gt;0,MIN(1-'Exercise list'!V$2,IF($A428=$A427,BB427,1))-AG428&lt;0),-1,MIN(1,IF($A428=$A427,BB427,1)-AG428+$D$2))</f>
        <v>1</v>
      </c>
      <c r="BC428" s="19">
        <f>IF(OR($J428=1,COUNTIFS($A$5:$A427,"&gt;="&amp;$A428-1,$A$5:$A427,"&lt;="&amp;$A428,$B$5:$B427,$B428)&gt;0,MIN(1-'Exercise list'!W$2,IF($A428=$A427,BC427,1))-AH428&lt;0),-1,MIN(1,IF($A428=$A427,BC427,1)-AH428+$D$2))</f>
        <v>1</v>
      </c>
      <c r="BD428" s="19">
        <f>IF(OR($J428=1,COUNTIFS($A$5:$A427,"&gt;="&amp;$A428-1,$A$5:$A427,"&lt;="&amp;$A428,$B$5:$B427,$B428)&gt;0,MIN(1-'Exercise list'!X$2,IF($A428=$A427,BD427,1))-AI428&lt;0),-1,MIN(1,IF($A428=$A427,BD427,1)-AI428+$D$2))</f>
        <v>1</v>
      </c>
      <c r="BE428" s="19"/>
      <c r="BF428" s="23">
        <f t="shared" si="321"/>
        <v>0.19596031081758858</v>
      </c>
      <c r="BG428" s="23">
        <f t="shared" si="322"/>
        <v>0.21844636935459236</v>
      </c>
      <c r="BH428" s="23">
        <f t="shared" si="323"/>
        <v>0.14609696635987124</v>
      </c>
      <c r="BI428" s="23">
        <f t="shared" si="324"/>
        <v>0.13198015366034541</v>
      </c>
      <c r="BJ428" s="23">
        <f t="shared" si="325"/>
        <v>8.3367914198418713E-2</v>
      </c>
      <c r="BK428" s="23">
        <f t="shared" si="326"/>
        <v>0.10640640223148412</v>
      </c>
      <c r="BL428" s="23">
        <f t="shared" si="327"/>
        <v>0.21963504743569431</v>
      </c>
      <c r="BM428" s="23">
        <f t="shared" si="328"/>
        <v>3.8988008374820568E-3</v>
      </c>
      <c r="BN428" s="23">
        <f t="shared" si="329"/>
        <v>0.14537706087090876</v>
      </c>
      <c r="BO428" s="23">
        <f t="shared" si="330"/>
        <v>0.29209790661993401</v>
      </c>
      <c r="BP428" s="23">
        <f t="shared" si="331"/>
        <v>0.31584545163401867</v>
      </c>
      <c r="BQ428" s="23">
        <f t="shared" si="332"/>
        <v>0.1000007994126096</v>
      </c>
      <c r="BR428" s="23">
        <f t="shared" si="333"/>
        <v>0.13164487759885393</v>
      </c>
      <c r="BS428" s="23">
        <f t="shared" si="334"/>
        <v>2.9803550189863123E-2</v>
      </c>
      <c r="BT428" s="23">
        <f t="shared" si="335"/>
        <v>0.13492040904978705</v>
      </c>
      <c r="BU428" s="23">
        <f t="shared" si="336"/>
        <v>0.11703687414398131</v>
      </c>
      <c r="BV428" s="23">
        <f t="shared" si="337"/>
        <v>0.14633353213781661</v>
      </c>
      <c r="BW428" s="23">
        <f t="shared" si="338"/>
        <v>7.5588015111767173E-2</v>
      </c>
      <c r="BX428" s="23">
        <f t="shared" si="339"/>
        <v>8.0345659937185704E-2</v>
      </c>
      <c r="BY428" s="23">
        <f t="shared" si="340"/>
        <v>5.9014643151272549E-2</v>
      </c>
      <c r="BZ428" s="19"/>
      <c r="CA428" s="23" t="str">
        <f t="shared" si="317"/>
        <v/>
      </c>
      <c r="CB428" s="23" t="str">
        <f t="shared" si="298"/>
        <v/>
      </c>
      <c r="CC428" s="23" t="str">
        <f t="shared" si="299"/>
        <v/>
      </c>
      <c r="CD428" s="23" t="str">
        <f t="shared" si="300"/>
        <v/>
      </c>
      <c r="CE428" s="23" t="str">
        <f t="shared" si="301"/>
        <v/>
      </c>
      <c r="CF428" s="23" t="str">
        <f t="shared" si="302"/>
        <v/>
      </c>
      <c r="CG428" s="23" t="str">
        <f t="shared" si="303"/>
        <v/>
      </c>
      <c r="CH428" s="23" t="str">
        <f t="shared" si="304"/>
        <v/>
      </c>
      <c r="CI428" s="23" t="str">
        <f t="shared" si="305"/>
        <v/>
      </c>
      <c r="CJ428" s="23" t="str">
        <f t="shared" si="306"/>
        <v/>
      </c>
      <c r="CK428" s="23" t="str">
        <f t="shared" si="307"/>
        <v/>
      </c>
      <c r="CL428" s="23" t="str">
        <f t="shared" si="308"/>
        <v/>
      </c>
      <c r="CM428" s="23" t="str">
        <f t="shared" si="309"/>
        <v/>
      </c>
      <c r="CN428" s="23" t="str">
        <f t="shared" si="310"/>
        <v/>
      </c>
      <c r="CO428" s="23" t="str">
        <f t="shared" si="311"/>
        <v/>
      </c>
      <c r="CP428" s="23" t="str">
        <f t="shared" si="312"/>
        <v/>
      </c>
      <c r="CQ428" s="23" t="str">
        <f t="shared" si="313"/>
        <v/>
      </c>
      <c r="CR428" s="23" t="str">
        <f t="shared" si="314"/>
        <v/>
      </c>
      <c r="CS428" s="23" t="str">
        <f t="shared" si="315"/>
        <v/>
      </c>
      <c r="CT428" s="23" t="str">
        <f t="shared" si="316"/>
        <v/>
      </c>
      <c r="CU428" s="19"/>
    </row>
    <row r="429" spans="1:99" x14ac:dyDescent="0.25">
      <c r="A429" s="13"/>
      <c r="B429" s="14"/>
      <c r="C429" s="15" t="str" cm="1">
        <f t="array" ref="C429">IF(B429="","",INDEX('Exercise list'!$C$5:$C$102,B429))</f>
        <v/>
      </c>
      <c r="D429" s="12" t="str">
        <f t="shared" si="318"/>
        <v/>
      </c>
      <c r="E429" s="107" t="str">
        <f t="shared" si="341"/>
        <v/>
      </c>
      <c r="F429" s="63" t="str" cm="1">
        <f t="array" ref="F429">IF(B429="","",0.1+IFERROR(INDEX($F$6:$F428,SUMPRODUCT(MAX(ROW($C$6:$C428)*($C429=$C$6:$C428))-ROW($A$5)))*0.9^($A429-INDEX($A$6:A428,SUMPRODUCT(MAX(ROW($C$6:$C428)*($C429=$C$6:$C428))-ROW($A$5)))),0))</f>
        <v/>
      </c>
      <c r="G429" s="64" t="e">
        <f>INDEX('Exercise list'!$Y$5:$Y$102,MATCH(C429,'Exercise list'!$C$5:$C$102,0))</f>
        <v>#N/A</v>
      </c>
      <c r="H429" s="115">
        <f t="shared" si="319"/>
        <v>0</v>
      </c>
      <c r="I429" s="42">
        <f t="shared" si="320"/>
        <v>5</v>
      </c>
      <c r="J429" s="6" t="str" cm="1">
        <f t="array" ref="J429">IF(B429="","",INDEX('Exercise list'!$D$5:$D$102,B429))</f>
        <v/>
      </c>
      <c r="K429" s="12"/>
      <c r="L429" s="74" t="str" cm="1">
        <f t="array" ref="L429">IF(K429="","",INDEX('Exercise list'!$C$5:$C$102,K429))</f>
        <v/>
      </c>
      <c r="M429" s="6"/>
      <c r="N429" s="75" t="str" cm="1">
        <f t="array" ref="N429">IF(M429="","",INDEX('Exercise list'!$C$5:$C$102,M429))</f>
        <v/>
      </c>
      <c r="P429">
        <f>IFERROR(INDEX('Exercise list'!$E$5:$X$102,MATCH($C429,'Exercise list'!$C$5:$C$102,0),MATCH(P$5,'Exercise list'!$E$4:$X$4,0)),0)</f>
        <v>0</v>
      </c>
      <c r="Q429">
        <f>IFERROR(INDEX('Exercise list'!$E$5:$X$102,MATCH($C429,'Exercise list'!$C$5:$C$102,0),MATCH(Q$5,'Exercise list'!$E$4:$X$4,0)),0)</f>
        <v>0</v>
      </c>
      <c r="R429">
        <f>IFERROR(INDEX('Exercise list'!$E$5:$X$102,MATCH($C429,'Exercise list'!$C$5:$C$102,0),MATCH(R$5,'Exercise list'!$E$4:$X$4,0)),0)</f>
        <v>0</v>
      </c>
      <c r="S429">
        <f>IFERROR(INDEX('Exercise list'!$E$5:$X$102,MATCH($C429,'Exercise list'!$C$5:$C$102,0),MATCH(S$5,'Exercise list'!$E$4:$X$4,0)),0)</f>
        <v>0</v>
      </c>
      <c r="T429">
        <f>IFERROR(INDEX('Exercise list'!$E$5:$X$102,MATCH($C429,'Exercise list'!$C$5:$C$102,0),MATCH(T$5,'Exercise list'!$E$4:$X$4,0)),0)</f>
        <v>0</v>
      </c>
      <c r="U429">
        <f>IFERROR(INDEX('Exercise list'!$E$5:$X$102,MATCH($C429,'Exercise list'!$C$5:$C$102,0),MATCH(U$5,'Exercise list'!$E$4:$X$4,0)),0)</f>
        <v>0</v>
      </c>
      <c r="V429">
        <f>IFERROR(INDEX('Exercise list'!$E$5:$X$102,MATCH($C429,'Exercise list'!$C$5:$C$102,0),MATCH(V$5,'Exercise list'!$E$4:$X$4,0)),0)</f>
        <v>0</v>
      </c>
      <c r="W429">
        <f>IFERROR(INDEX('Exercise list'!$E$5:$X$102,MATCH($C429,'Exercise list'!$C$5:$C$102,0),MATCH(W$5,'Exercise list'!$E$4:$X$4,0)),0)</f>
        <v>0</v>
      </c>
      <c r="X429">
        <f>IFERROR(INDEX('Exercise list'!$E$5:$X$102,MATCH($C429,'Exercise list'!$C$5:$C$102,0),MATCH(X$5,'Exercise list'!$E$4:$X$4,0)),0)</f>
        <v>0</v>
      </c>
      <c r="Y429">
        <f>IFERROR(INDEX('Exercise list'!$E$5:$X$102,MATCH($C429,'Exercise list'!$C$5:$C$102,0),MATCH(Y$5,'Exercise list'!$E$4:$X$4,0)),0)</f>
        <v>0</v>
      </c>
      <c r="Z429">
        <f>IFERROR(INDEX('Exercise list'!$E$5:$X$102,MATCH($C429,'Exercise list'!$C$5:$C$102,0),MATCH(Z$5,'Exercise list'!$E$4:$X$4,0)),0)</f>
        <v>0</v>
      </c>
      <c r="AA429">
        <f>IFERROR(INDEX('Exercise list'!$E$5:$X$102,MATCH($C429,'Exercise list'!$C$5:$C$102,0),MATCH(AA$5,'Exercise list'!$E$4:$X$4,0)),0)</f>
        <v>0</v>
      </c>
      <c r="AB429">
        <f>IFERROR(INDEX('Exercise list'!$E$5:$X$102,MATCH($C429,'Exercise list'!$C$5:$C$102,0),MATCH(AB$5,'Exercise list'!$E$4:$X$4,0)),0)</f>
        <v>0</v>
      </c>
      <c r="AC429">
        <f>IFERROR(INDEX('Exercise list'!$E$5:$X$102,MATCH($C429,'Exercise list'!$C$5:$C$102,0),MATCH(AC$5,'Exercise list'!$E$4:$X$4,0)),0)</f>
        <v>0</v>
      </c>
      <c r="AD429">
        <f>IFERROR(INDEX('Exercise list'!$E$5:$X$102,MATCH($C429,'Exercise list'!$C$5:$C$102,0),MATCH(AD$5,'Exercise list'!$E$4:$X$4,0)),0)</f>
        <v>0</v>
      </c>
      <c r="AE429">
        <f>IFERROR(INDEX('Exercise list'!$E$5:$X$102,MATCH($C429,'Exercise list'!$C$5:$C$102,0),MATCH(AE$5,'Exercise list'!$E$4:$X$4,0)),0)</f>
        <v>0</v>
      </c>
      <c r="AF429">
        <f>IFERROR(INDEX('Exercise list'!$E$5:$X$102,MATCH($C429,'Exercise list'!$C$5:$C$102,0),MATCH(AF$5,'Exercise list'!$E$4:$X$4,0)),0)</f>
        <v>0</v>
      </c>
      <c r="AG429">
        <f>IFERROR(INDEX('Exercise list'!$E$5:$X$102,MATCH($C429,'Exercise list'!$C$5:$C$102,0),MATCH(AG$5,'Exercise list'!$E$4:$X$4,0)),0)</f>
        <v>0</v>
      </c>
      <c r="AH429">
        <f>IFERROR(INDEX('Exercise list'!$E$5:$X$102,MATCH($C429,'Exercise list'!$C$5:$C$102,0),MATCH(AH$5,'Exercise list'!$E$4:$X$4,0)),0)</f>
        <v>0</v>
      </c>
      <c r="AI429">
        <f>IFERROR(INDEX('Exercise list'!$E$5:$X$102,MATCH($C429,'Exercise list'!$C$5:$C$102,0),MATCH(AI$5,'Exercise list'!$E$4:$X$4,0)),0)</f>
        <v>0</v>
      </c>
      <c r="AK429">
        <f>IF(OR($J429=1,COUNTIFS($A$5:$A428,"&gt;="&amp;$A429-1,$A$5:$A428,"&lt;="&amp;$A429,$B$5:$B428,$B429)&gt;0,MIN(1-'Exercise list'!E$2,IF($A429=$A428,AK428,1))-P429&lt;0),-1,MIN(1,IF($A429=$A428,AK428,1)-P429+$D$2))</f>
        <v>1</v>
      </c>
      <c r="AL429">
        <f>IF(OR($J429=1,COUNTIFS($A$5:$A428,"&gt;="&amp;$A429-1,$A$5:$A428,"&lt;="&amp;$A429,$B$5:$B428,$B429)&gt;0,MIN(1-'Exercise list'!F$2,IF($A429=$A428,AL428,1))-Q429&lt;0),-1,MIN(1,IF($A429=$A428,AL428,1)-Q429+$D$2))</f>
        <v>1</v>
      </c>
      <c r="AM429">
        <f>IF(OR($J429=1,COUNTIFS($A$5:$A428,"&gt;="&amp;$A429-1,$A$5:$A428,"&lt;="&amp;$A429,$B$5:$B428,$B429)&gt;0,MIN(1-'Exercise list'!G$2,IF($A429=$A428,AM428,1))-R429&lt;0),-1,MIN(1,IF($A429=$A428,AM428,1)-R429+$D$2))</f>
        <v>1</v>
      </c>
      <c r="AN429">
        <f>IF(OR($J429=1,COUNTIFS($A$5:$A428,"&gt;="&amp;$A429-1,$A$5:$A428,"&lt;="&amp;$A429,$B$5:$B428,$B429)&gt;0,MIN(1-'Exercise list'!H$2,IF($A429=$A428,AN428,1))-S429&lt;0),-1,MIN(1,IF($A429=$A428,AN428,1)-S429+$D$2))</f>
        <v>1</v>
      </c>
      <c r="AO429">
        <f>IF(OR($J429=1,COUNTIFS($A$5:$A428,"&gt;="&amp;$A429-1,$A$5:$A428,"&lt;="&amp;$A429,$B$5:$B428,$B429)&gt;0,MIN(1-'Exercise list'!I$2,IF($A429=$A428,AO428,1))-T429&lt;0),-1,MIN(1,IF($A429=$A428,AO428,1)-T429+$D$2))</f>
        <v>1</v>
      </c>
      <c r="AP429">
        <f>IF(OR($J429=1,COUNTIFS($A$5:$A428,"&gt;="&amp;$A429-1,$A$5:$A428,"&lt;="&amp;$A429,$B$5:$B428,$B429)&gt;0,MIN(1-'Exercise list'!J$2,IF($A429=$A428,AP428,1))-U429&lt;0),-1,MIN(1,IF($A429=$A428,AP428,1)-U429+$D$2))</f>
        <v>1</v>
      </c>
      <c r="AQ429">
        <f>IF(OR($J429=1,COUNTIFS($A$5:$A428,"&gt;="&amp;$A429-1,$A$5:$A428,"&lt;="&amp;$A429,$B$5:$B428,$B429)&gt;0,MIN(1-'Exercise list'!K$2,IF($A429=$A428,AQ428,1))-V429&lt;0),-1,MIN(1,IF($A429=$A428,AQ428,1)-V429+$D$2))</f>
        <v>1</v>
      </c>
      <c r="AR429">
        <f>IF(OR($J429=1,COUNTIFS($A$5:$A428,"&gt;="&amp;$A429-1,$A$5:$A428,"&lt;="&amp;$A429,$B$5:$B428,$B429)&gt;0,MIN(1-'Exercise list'!L$2,IF($A429=$A428,AR428,1))-W429&lt;0),-1,MIN(1,IF($A429=$A428,AR428,1)-W429+$D$2))</f>
        <v>1</v>
      </c>
      <c r="AS429">
        <f>IF(OR($J429=1,COUNTIFS($A$5:$A428,"&gt;="&amp;$A429-1,$A$5:$A428,"&lt;="&amp;$A429,$B$5:$B428,$B429)&gt;0,MIN(1-'Exercise list'!M$2,IF($A429=$A428,AS428,1))-X429&lt;0),-1,MIN(1,IF($A429=$A428,AS428,1)-X429+$D$2))</f>
        <v>1</v>
      </c>
      <c r="AT429">
        <f>IF(OR($J429=1,COUNTIFS($A$5:$A428,"&gt;="&amp;$A429-1,$A$5:$A428,"&lt;="&amp;$A429,$B$5:$B428,$B429)&gt;0,MIN(1-'Exercise list'!N$2,IF($A429=$A428,AT428,1))-Y429&lt;0),-1,MIN(1,IF($A429=$A428,AT428,1)-Y429+$D$2))</f>
        <v>1</v>
      </c>
      <c r="AU429">
        <f>IF(OR($J429=1,COUNTIFS($A$5:$A428,"&gt;="&amp;$A429-1,$A$5:$A428,"&lt;="&amp;$A429,$B$5:$B428,$B429)&gt;0,MIN(1-'Exercise list'!O$2,IF($A429=$A428,AU428,1))-Z429&lt;0),-1,MIN(1,IF($A429=$A428,AU428,1)-Z429+$D$2))</f>
        <v>1</v>
      </c>
      <c r="AV429">
        <f>IF(OR($J429=1,COUNTIFS($A$5:$A428,"&gt;="&amp;$A429-1,$A$5:$A428,"&lt;="&amp;$A429,$B$5:$B428,$B429)&gt;0,MIN(1-'Exercise list'!P$2,IF($A429=$A428,AV428,1))-AA429&lt;0),-1,MIN(1,IF($A429=$A428,AV428,1)-AA429+$D$2))</f>
        <v>1</v>
      </c>
      <c r="AW429">
        <f>IF(OR($J429=1,COUNTIFS($A$5:$A428,"&gt;="&amp;$A429-1,$A$5:$A428,"&lt;="&amp;$A429,$B$5:$B428,$B429)&gt;0,MIN(1-'Exercise list'!Q$2,IF($A429=$A428,AW428,1))-AB429&lt;0),-1,MIN(1,IF($A429=$A428,AW428,1)-AB429+$D$2))</f>
        <v>1</v>
      </c>
      <c r="AX429">
        <f>IF(OR($J429=1,COUNTIFS($A$5:$A428,"&gt;="&amp;$A429-1,$A$5:$A428,"&lt;="&amp;$A429,$B$5:$B428,$B429)&gt;0,MIN(1-'Exercise list'!R$2,IF($A429=$A428,AX428,1))-AC429&lt;0),-1,MIN(1,IF($A429=$A428,AX428,1)-AC429+$D$2))</f>
        <v>1</v>
      </c>
      <c r="AY429">
        <f>IF(OR($J429=1,COUNTIFS($A$5:$A428,"&gt;="&amp;$A429-1,$A$5:$A428,"&lt;="&amp;$A429,$B$5:$B428,$B429)&gt;0,MIN(1-'Exercise list'!S$2,IF($A429=$A428,AY428,1))-AD429&lt;0),-1,MIN(1,IF($A429=$A428,AY428,1)-AD429+$D$2))</f>
        <v>1</v>
      </c>
      <c r="AZ429">
        <f>IF(OR($J429=1,COUNTIFS($A$5:$A428,"&gt;="&amp;$A429-1,$A$5:$A428,"&lt;="&amp;$A429,$B$5:$B428,$B429)&gt;0,MIN(1-'Exercise list'!T$2,IF($A429=$A428,AZ428,1))-AE429&lt;0),-1,MIN(1,IF($A429=$A428,AZ428,1)-AE429+$D$2))</f>
        <v>1</v>
      </c>
      <c r="BA429">
        <f>IF(OR($J429=1,COUNTIFS($A$5:$A428,"&gt;="&amp;$A429-1,$A$5:$A428,"&lt;="&amp;$A429,$B$5:$B428,$B429)&gt;0,MIN(1-'Exercise list'!U$2,IF($A429=$A428,BA428,1))-AF429&lt;0),-1,MIN(1,IF($A429=$A428,BA428,1)-AF429+$D$2))</f>
        <v>1</v>
      </c>
      <c r="BB429">
        <f>IF(OR($J429=1,COUNTIFS($A$5:$A428,"&gt;="&amp;$A429-1,$A$5:$A428,"&lt;="&amp;$A429,$B$5:$B428,$B429)&gt;0,MIN(1-'Exercise list'!V$2,IF($A429=$A428,BB428,1))-AG429&lt;0),-1,MIN(1,IF($A429=$A428,BB428,1)-AG429+$D$2))</f>
        <v>1</v>
      </c>
      <c r="BC429">
        <f>IF(OR($J429=1,COUNTIFS($A$5:$A428,"&gt;="&amp;$A429-1,$A$5:$A428,"&lt;="&amp;$A429,$B$5:$B428,$B429)&gt;0,MIN(1-'Exercise list'!W$2,IF($A429=$A428,BC428,1))-AH429&lt;0),-1,MIN(1,IF($A429=$A428,BC428,1)-AH429+$D$2))</f>
        <v>1</v>
      </c>
      <c r="BD429">
        <f>IF(OR($J429=1,COUNTIFS($A$5:$A428,"&gt;="&amp;$A429-1,$A$5:$A428,"&lt;="&amp;$A429,$B$5:$B428,$B429)&gt;0,MIN(1-'Exercise list'!X$2,IF($A429=$A428,BD428,1))-AI429&lt;0),-1,MIN(1,IF($A429=$A428,BD428,1)-AI429+$D$2))</f>
        <v>1</v>
      </c>
      <c r="BF429" s="16">
        <f t="shared" si="321"/>
        <v>0.19596031081758858</v>
      </c>
      <c r="BG429" s="16">
        <f t="shared" si="322"/>
        <v>0.21844636935459236</v>
      </c>
      <c r="BH429" s="16">
        <f t="shared" si="323"/>
        <v>0.14609696635987124</v>
      </c>
      <c r="BI429" s="16">
        <f t="shared" si="324"/>
        <v>0.13198015366034541</v>
      </c>
      <c r="BJ429" s="16">
        <f t="shared" si="325"/>
        <v>8.3367914198418713E-2</v>
      </c>
      <c r="BK429" s="16">
        <f t="shared" si="326"/>
        <v>0.10640640223148412</v>
      </c>
      <c r="BL429" s="16">
        <f t="shared" si="327"/>
        <v>0.21963504743569431</v>
      </c>
      <c r="BM429" s="16">
        <f t="shared" si="328"/>
        <v>3.8988008374820568E-3</v>
      </c>
      <c r="BN429" s="16">
        <f t="shared" si="329"/>
        <v>0.14537706087090876</v>
      </c>
      <c r="BO429" s="16">
        <f t="shared" si="330"/>
        <v>0.29209790661993401</v>
      </c>
      <c r="BP429" s="16">
        <f t="shared" si="331"/>
        <v>0.31584545163401867</v>
      </c>
      <c r="BQ429" s="16">
        <f t="shared" si="332"/>
        <v>0.1000007994126096</v>
      </c>
      <c r="BR429" s="16">
        <f t="shared" si="333"/>
        <v>0.13164487759885393</v>
      </c>
      <c r="BS429" s="16">
        <f t="shared" si="334"/>
        <v>2.9803550189863123E-2</v>
      </c>
      <c r="BT429" s="16">
        <f t="shared" si="335"/>
        <v>0.13492040904978705</v>
      </c>
      <c r="BU429" s="16">
        <f t="shared" si="336"/>
        <v>0.11703687414398131</v>
      </c>
      <c r="BV429" s="16">
        <f t="shared" si="337"/>
        <v>0.14633353213781661</v>
      </c>
      <c r="BW429" s="16">
        <f t="shared" si="338"/>
        <v>7.5588015111767173E-2</v>
      </c>
      <c r="BX429" s="16">
        <f t="shared" si="339"/>
        <v>8.0345659937185704E-2</v>
      </c>
      <c r="BY429" s="16">
        <f t="shared" si="340"/>
        <v>5.9014643151272549E-2</v>
      </c>
      <c r="CA429" s="16" t="str">
        <f t="shared" si="317"/>
        <v/>
      </c>
      <c r="CB429" s="16" t="str">
        <f t="shared" si="298"/>
        <v/>
      </c>
      <c r="CC429" s="16" t="str">
        <f t="shared" si="299"/>
        <v/>
      </c>
      <c r="CD429" s="16" t="str">
        <f t="shared" si="300"/>
        <v/>
      </c>
      <c r="CE429" s="16" t="str">
        <f t="shared" si="301"/>
        <v/>
      </c>
      <c r="CF429" s="16" t="str">
        <f t="shared" si="302"/>
        <v/>
      </c>
      <c r="CG429" s="16" t="str">
        <f t="shared" si="303"/>
        <v/>
      </c>
      <c r="CH429" s="16" t="str">
        <f t="shared" si="304"/>
        <v/>
      </c>
      <c r="CI429" s="16" t="str">
        <f t="shared" si="305"/>
        <v/>
      </c>
      <c r="CJ429" s="16" t="str">
        <f t="shared" si="306"/>
        <v/>
      </c>
      <c r="CK429" s="16" t="str">
        <f t="shared" si="307"/>
        <v/>
      </c>
      <c r="CL429" s="16" t="str">
        <f t="shared" si="308"/>
        <v/>
      </c>
      <c r="CM429" s="16" t="str">
        <f t="shared" si="309"/>
        <v/>
      </c>
      <c r="CN429" s="16" t="str">
        <f t="shared" si="310"/>
        <v/>
      </c>
      <c r="CO429" s="16" t="str">
        <f t="shared" si="311"/>
        <v/>
      </c>
      <c r="CP429" s="16" t="str">
        <f t="shared" si="312"/>
        <v/>
      </c>
      <c r="CQ429" s="16" t="str">
        <f t="shared" si="313"/>
        <v/>
      </c>
      <c r="CR429" s="16" t="str">
        <f t="shared" si="314"/>
        <v/>
      </c>
      <c r="CS429" s="16" t="str">
        <f t="shared" si="315"/>
        <v/>
      </c>
      <c r="CT429" s="16" t="str">
        <f t="shared" si="316"/>
        <v/>
      </c>
    </row>
    <row r="430" spans="1:99" x14ac:dyDescent="0.25">
      <c r="A430" s="13"/>
      <c r="B430" s="14"/>
      <c r="C430" s="15" t="str" cm="1">
        <f t="array" ref="C430">IF(B430="","",INDEX('Exercise list'!$C$5:$C$102,B430))</f>
        <v/>
      </c>
      <c r="D430" s="12" t="str">
        <f t="shared" si="318"/>
        <v/>
      </c>
      <c r="E430" s="107" t="str">
        <f t="shared" si="341"/>
        <v/>
      </c>
      <c r="F430" s="63" t="str" cm="1">
        <f t="array" ref="F430">IF(B430="","",0.1+IFERROR(INDEX($F$6:$F429,SUMPRODUCT(MAX(ROW($C$6:$C429)*($C430=$C$6:$C429))-ROW($A$5)))*0.9^($A430-INDEX($A$6:A429,SUMPRODUCT(MAX(ROW($C$6:$C429)*($C430=$C$6:$C429))-ROW($A$5)))),0))</f>
        <v/>
      </c>
      <c r="G430" s="64" t="e">
        <f>INDEX('Exercise list'!$Y$5:$Y$102,MATCH(C430,'Exercise list'!$C$5:$C$102,0))</f>
        <v>#N/A</v>
      </c>
      <c r="H430" s="115">
        <f t="shared" si="319"/>
        <v>0</v>
      </c>
      <c r="I430" s="6">
        <f t="shared" si="320"/>
        <v>5</v>
      </c>
      <c r="J430" s="6" t="str" cm="1">
        <f t="array" ref="J430">IF(B430="","",INDEX('Exercise list'!$D$5:$D$102,B430))</f>
        <v/>
      </c>
      <c r="K430" s="12"/>
      <c r="L430" s="74" t="str" cm="1">
        <f t="array" ref="L430">IF(K430="","",INDEX('Exercise list'!$C$5:$C$102,K430))</f>
        <v/>
      </c>
      <c r="M430" s="6"/>
      <c r="N430" s="75" t="str" cm="1">
        <f t="array" ref="N430">IF(M430="","",INDEX('Exercise list'!$C$5:$C$102,M430))</f>
        <v/>
      </c>
      <c r="P430">
        <f>IFERROR(INDEX('Exercise list'!$E$5:$X$102,MATCH($C430,'Exercise list'!$C$5:$C$102,0),MATCH(P$5,'Exercise list'!$E$4:$X$4,0)),0)</f>
        <v>0</v>
      </c>
      <c r="Q430">
        <f>IFERROR(INDEX('Exercise list'!$E$5:$X$102,MATCH($C430,'Exercise list'!$C$5:$C$102,0),MATCH(Q$5,'Exercise list'!$E$4:$X$4,0)),0)</f>
        <v>0</v>
      </c>
      <c r="R430">
        <f>IFERROR(INDEX('Exercise list'!$E$5:$X$102,MATCH($C430,'Exercise list'!$C$5:$C$102,0),MATCH(R$5,'Exercise list'!$E$4:$X$4,0)),0)</f>
        <v>0</v>
      </c>
      <c r="S430">
        <f>IFERROR(INDEX('Exercise list'!$E$5:$X$102,MATCH($C430,'Exercise list'!$C$5:$C$102,0),MATCH(S$5,'Exercise list'!$E$4:$X$4,0)),0)</f>
        <v>0</v>
      </c>
      <c r="T430">
        <f>IFERROR(INDEX('Exercise list'!$E$5:$X$102,MATCH($C430,'Exercise list'!$C$5:$C$102,0),MATCH(T$5,'Exercise list'!$E$4:$X$4,0)),0)</f>
        <v>0</v>
      </c>
      <c r="U430">
        <f>IFERROR(INDEX('Exercise list'!$E$5:$X$102,MATCH($C430,'Exercise list'!$C$5:$C$102,0),MATCH(U$5,'Exercise list'!$E$4:$X$4,0)),0)</f>
        <v>0</v>
      </c>
      <c r="V430">
        <f>IFERROR(INDEX('Exercise list'!$E$5:$X$102,MATCH($C430,'Exercise list'!$C$5:$C$102,0),MATCH(V$5,'Exercise list'!$E$4:$X$4,0)),0)</f>
        <v>0</v>
      </c>
      <c r="W430">
        <f>IFERROR(INDEX('Exercise list'!$E$5:$X$102,MATCH($C430,'Exercise list'!$C$5:$C$102,0),MATCH(W$5,'Exercise list'!$E$4:$X$4,0)),0)</f>
        <v>0</v>
      </c>
      <c r="X430">
        <f>IFERROR(INDEX('Exercise list'!$E$5:$X$102,MATCH($C430,'Exercise list'!$C$5:$C$102,0),MATCH(X$5,'Exercise list'!$E$4:$X$4,0)),0)</f>
        <v>0</v>
      </c>
      <c r="Y430">
        <f>IFERROR(INDEX('Exercise list'!$E$5:$X$102,MATCH($C430,'Exercise list'!$C$5:$C$102,0),MATCH(Y$5,'Exercise list'!$E$4:$X$4,0)),0)</f>
        <v>0</v>
      </c>
      <c r="Z430">
        <f>IFERROR(INDEX('Exercise list'!$E$5:$X$102,MATCH($C430,'Exercise list'!$C$5:$C$102,0),MATCH(Z$5,'Exercise list'!$E$4:$X$4,0)),0)</f>
        <v>0</v>
      </c>
      <c r="AA430">
        <f>IFERROR(INDEX('Exercise list'!$E$5:$X$102,MATCH($C430,'Exercise list'!$C$5:$C$102,0),MATCH(AA$5,'Exercise list'!$E$4:$X$4,0)),0)</f>
        <v>0</v>
      </c>
      <c r="AB430">
        <f>IFERROR(INDEX('Exercise list'!$E$5:$X$102,MATCH($C430,'Exercise list'!$C$5:$C$102,0),MATCH(AB$5,'Exercise list'!$E$4:$X$4,0)),0)</f>
        <v>0</v>
      </c>
      <c r="AC430">
        <f>IFERROR(INDEX('Exercise list'!$E$5:$X$102,MATCH($C430,'Exercise list'!$C$5:$C$102,0),MATCH(AC$5,'Exercise list'!$E$4:$X$4,0)),0)</f>
        <v>0</v>
      </c>
      <c r="AD430">
        <f>IFERROR(INDEX('Exercise list'!$E$5:$X$102,MATCH($C430,'Exercise list'!$C$5:$C$102,0),MATCH(AD$5,'Exercise list'!$E$4:$X$4,0)),0)</f>
        <v>0</v>
      </c>
      <c r="AE430">
        <f>IFERROR(INDEX('Exercise list'!$E$5:$X$102,MATCH($C430,'Exercise list'!$C$5:$C$102,0),MATCH(AE$5,'Exercise list'!$E$4:$X$4,0)),0)</f>
        <v>0</v>
      </c>
      <c r="AF430">
        <f>IFERROR(INDEX('Exercise list'!$E$5:$X$102,MATCH($C430,'Exercise list'!$C$5:$C$102,0),MATCH(AF$5,'Exercise list'!$E$4:$X$4,0)),0)</f>
        <v>0</v>
      </c>
      <c r="AG430">
        <f>IFERROR(INDEX('Exercise list'!$E$5:$X$102,MATCH($C430,'Exercise list'!$C$5:$C$102,0),MATCH(AG$5,'Exercise list'!$E$4:$X$4,0)),0)</f>
        <v>0</v>
      </c>
      <c r="AH430">
        <f>IFERROR(INDEX('Exercise list'!$E$5:$X$102,MATCH($C430,'Exercise list'!$C$5:$C$102,0),MATCH(AH$5,'Exercise list'!$E$4:$X$4,0)),0)</f>
        <v>0</v>
      </c>
      <c r="AI430">
        <f>IFERROR(INDEX('Exercise list'!$E$5:$X$102,MATCH($C430,'Exercise list'!$C$5:$C$102,0),MATCH(AI$5,'Exercise list'!$E$4:$X$4,0)),0)</f>
        <v>0</v>
      </c>
      <c r="AK430">
        <f>IF(OR($J430=1,COUNTIFS($A$5:$A429,"&gt;="&amp;$A430-1,$A$5:$A429,"&lt;="&amp;$A430,$B$5:$B429,$B430)&gt;0,MIN(1-'Exercise list'!E$2,IF($A430=$A429,AK429,1))-P430&lt;0),-1,MIN(1,IF($A430=$A429,AK429,1)-P430+$D$2))</f>
        <v>1</v>
      </c>
      <c r="AL430">
        <f>IF(OR($J430=1,COUNTIFS($A$5:$A429,"&gt;="&amp;$A430-1,$A$5:$A429,"&lt;="&amp;$A430,$B$5:$B429,$B430)&gt;0,MIN(1-'Exercise list'!F$2,IF($A430=$A429,AL429,1))-Q430&lt;0),-1,MIN(1,IF($A430=$A429,AL429,1)-Q430+$D$2))</f>
        <v>1</v>
      </c>
      <c r="AM430">
        <f>IF(OR($J430=1,COUNTIFS($A$5:$A429,"&gt;="&amp;$A430-1,$A$5:$A429,"&lt;="&amp;$A430,$B$5:$B429,$B430)&gt;0,MIN(1-'Exercise list'!G$2,IF($A430=$A429,AM429,1))-R430&lt;0),-1,MIN(1,IF($A430=$A429,AM429,1)-R430+$D$2))</f>
        <v>1</v>
      </c>
      <c r="AN430">
        <f>IF(OR($J430=1,COUNTIFS($A$5:$A429,"&gt;="&amp;$A430-1,$A$5:$A429,"&lt;="&amp;$A430,$B$5:$B429,$B430)&gt;0,MIN(1-'Exercise list'!H$2,IF($A430=$A429,AN429,1))-S430&lt;0),-1,MIN(1,IF($A430=$A429,AN429,1)-S430+$D$2))</f>
        <v>1</v>
      </c>
      <c r="AO430">
        <f>IF(OR($J430=1,COUNTIFS($A$5:$A429,"&gt;="&amp;$A430-1,$A$5:$A429,"&lt;="&amp;$A430,$B$5:$B429,$B430)&gt;0,MIN(1-'Exercise list'!I$2,IF($A430=$A429,AO429,1))-T430&lt;0),-1,MIN(1,IF($A430=$A429,AO429,1)-T430+$D$2))</f>
        <v>1</v>
      </c>
      <c r="AP430">
        <f>IF(OR($J430=1,COUNTIFS($A$5:$A429,"&gt;="&amp;$A430-1,$A$5:$A429,"&lt;="&amp;$A430,$B$5:$B429,$B430)&gt;0,MIN(1-'Exercise list'!J$2,IF($A430=$A429,AP429,1))-U430&lt;0),-1,MIN(1,IF($A430=$A429,AP429,1)-U430+$D$2))</f>
        <v>1</v>
      </c>
      <c r="AQ430">
        <f>IF(OR($J430=1,COUNTIFS($A$5:$A429,"&gt;="&amp;$A430-1,$A$5:$A429,"&lt;="&amp;$A430,$B$5:$B429,$B430)&gt;0,MIN(1-'Exercise list'!K$2,IF($A430=$A429,AQ429,1))-V430&lt;0),-1,MIN(1,IF($A430=$A429,AQ429,1)-V430+$D$2))</f>
        <v>1</v>
      </c>
      <c r="AR430">
        <f>IF(OR($J430=1,COUNTIFS($A$5:$A429,"&gt;="&amp;$A430-1,$A$5:$A429,"&lt;="&amp;$A430,$B$5:$B429,$B430)&gt;0,MIN(1-'Exercise list'!L$2,IF($A430=$A429,AR429,1))-W430&lt;0),-1,MIN(1,IF($A430=$A429,AR429,1)-W430+$D$2))</f>
        <v>1</v>
      </c>
      <c r="AS430">
        <f>IF(OR($J430=1,COUNTIFS($A$5:$A429,"&gt;="&amp;$A430-1,$A$5:$A429,"&lt;="&amp;$A430,$B$5:$B429,$B430)&gt;0,MIN(1-'Exercise list'!M$2,IF($A430=$A429,AS429,1))-X430&lt;0),-1,MIN(1,IF($A430=$A429,AS429,1)-X430+$D$2))</f>
        <v>1</v>
      </c>
      <c r="AT430">
        <f>IF(OR($J430=1,COUNTIFS($A$5:$A429,"&gt;="&amp;$A430-1,$A$5:$A429,"&lt;="&amp;$A430,$B$5:$B429,$B430)&gt;0,MIN(1-'Exercise list'!N$2,IF($A430=$A429,AT429,1))-Y430&lt;0),-1,MIN(1,IF($A430=$A429,AT429,1)-Y430+$D$2))</f>
        <v>1</v>
      </c>
      <c r="AU430">
        <f>IF(OR($J430=1,COUNTIFS($A$5:$A429,"&gt;="&amp;$A430-1,$A$5:$A429,"&lt;="&amp;$A430,$B$5:$B429,$B430)&gt;0,MIN(1-'Exercise list'!O$2,IF($A430=$A429,AU429,1))-Z430&lt;0),-1,MIN(1,IF($A430=$A429,AU429,1)-Z430+$D$2))</f>
        <v>1</v>
      </c>
      <c r="AV430">
        <f>IF(OR($J430=1,COUNTIFS($A$5:$A429,"&gt;="&amp;$A430-1,$A$5:$A429,"&lt;="&amp;$A430,$B$5:$B429,$B430)&gt;0,MIN(1-'Exercise list'!P$2,IF($A430=$A429,AV429,1))-AA430&lt;0),-1,MIN(1,IF($A430=$A429,AV429,1)-AA430+$D$2))</f>
        <v>1</v>
      </c>
      <c r="AW430">
        <f>IF(OR($J430=1,COUNTIFS($A$5:$A429,"&gt;="&amp;$A430-1,$A$5:$A429,"&lt;="&amp;$A430,$B$5:$B429,$B430)&gt;0,MIN(1-'Exercise list'!Q$2,IF($A430=$A429,AW429,1))-AB430&lt;0),-1,MIN(1,IF($A430=$A429,AW429,1)-AB430+$D$2))</f>
        <v>1</v>
      </c>
      <c r="AX430">
        <f>IF(OR($J430=1,COUNTIFS($A$5:$A429,"&gt;="&amp;$A430-1,$A$5:$A429,"&lt;="&amp;$A430,$B$5:$B429,$B430)&gt;0,MIN(1-'Exercise list'!R$2,IF($A430=$A429,AX429,1))-AC430&lt;0),-1,MIN(1,IF($A430=$A429,AX429,1)-AC430+$D$2))</f>
        <v>1</v>
      </c>
      <c r="AY430">
        <f>IF(OR($J430=1,COUNTIFS($A$5:$A429,"&gt;="&amp;$A430-1,$A$5:$A429,"&lt;="&amp;$A430,$B$5:$B429,$B430)&gt;0,MIN(1-'Exercise list'!S$2,IF($A430=$A429,AY429,1))-AD430&lt;0),-1,MIN(1,IF($A430=$A429,AY429,1)-AD430+$D$2))</f>
        <v>1</v>
      </c>
      <c r="AZ430">
        <f>IF(OR($J430=1,COUNTIFS($A$5:$A429,"&gt;="&amp;$A430-1,$A$5:$A429,"&lt;="&amp;$A430,$B$5:$B429,$B430)&gt;0,MIN(1-'Exercise list'!T$2,IF($A430=$A429,AZ429,1))-AE430&lt;0),-1,MIN(1,IF($A430=$A429,AZ429,1)-AE430+$D$2))</f>
        <v>1</v>
      </c>
      <c r="BA430">
        <f>IF(OR($J430=1,COUNTIFS($A$5:$A429,"&gt;="&amp;$A430-1,$A$5:$A429,"&lt;="&amp;$A430,$B$5:$B429,$B430)&gt;0,MIN(1-'Exercise list'!U$2,IF($A430=$A429,BA429,1))-AF430&lt;0),-1,MIN(1,IF($A430=$A429,BA429,1)-AF430+$D$2))</f>
        <v>1</v>
      </c>
      <c r="BB430">
        <f>IF(OR($J430=1,COUNTIFS($A$5:$A429,"&gt;="&amp;$A430-1,$A$5:$A429,"&lt;="&amp;$A430,$B$5:$B429,$B430)&gt;0,MIN(1-'Exercise list'!V$2,IF($A430=$A429,BB429,1))-AG430&lt;0),-1,MIN(1,IF($A430=$A429,BB429,1)-AG430+$D$2))</f>
        <v>1</v>
      </c>
      <c r="BC430">
        <f>IF(OR($J430=1,COUNTIFS($A$5:$A429,"&gt;="&amp;$A430-1,$A$5:$A429,"&lt;="&amp;$A430,$B$5:$B429,$B430)&gt;0,MIN(1-'Exercise list'!W$2,IF($A430=$A429,BC429,1))-AH430&lt;0),-1,MIN(1,IF($A430=$A429,BC429,1)-AH430+$D$2))</f>
        <v>1</v>
      </c>
      <c r="BD430">
        <f>IF(OR($J430=1,COUNTIFS($A$5:$A429,"&gt;="&amp;$A430-1,$A$5:$A429,"&lt;="&amp;$A430,$B$5:$B429,$B430)&gt;0,MIN(1-'Exercise list'!X$2,IF($A430=$A429,BD429,1))-AI430&lt;0),-1,MIN(1,IF($A430=$A429,BD429,1)-AI430+$D$2))</f>
        <v>1</v>
      </c>
      <c r="BF430" s="16">
        <f t="shared" si="321"/>
        <v>0.19596031081758858</v>
      </c>
      <c r="BG430" s="16">
        <f t="shared" si="322"/>
        <v>0.21844636935459236</v>
      </c>
      <c r="BH430" s="16">
        <f t="shared" si="323"/>
        <v>0.14609696635987124</v>
      </c>
      <c r="BI430" s="16">
        <f t="shared" si="324"/>
        <v>0.13198015366034541</v>
      </c>
      <c r="BJ430" s="16">
        <f t="shared" si="325"/>
        <v>8.3367914198418713E-2</v>
      </c>
      <c r="BK430" s="16">
        <f t="shared" si="326"/>
        <v>0.10640640223148412</v>
      </c>
      <c r="BL430" s="16">
        <f t="shared" si="327"/>
        <v>0.21963504743569431</v>
      </c>
      <c r="BM430" s="16">
        <f t="shared" si="328"/>
        <v>3.8988008374820568E-3</v>
      </c>
      <c r="BN430" s="16">
        <f t="shared" si="329"/>
        <v>0.14537706087090876</v>
      </c>
      <c r="BO430" s="16">
        <f t="shared" si="330"/>
        <v>0.29209790661993401</v>
      </c>
      <c r="BP430" s="16">
        <f t="shared" si="331"/>
        <v>0.31584545163401867</v>
      </c>
      <c r="BQ430" s="16">
        <f t="shared" si="332"/>
        <v>0.1000007994126096</v>
      </c>
      <c r="BR430" s="16">
        <f t="shared" si="333"/>
        <v>0.13164487759885393</v>
      </c>
      <c r="BS430" s="16">
        <f t="shared" si="334"/>
        <v>2.9803550189863123E-2</v>
      </c>
      <c r="BT430" s="16">
        <f t="shared" si="335"/>
        <v>0.13492040904978705</v>
      </c>
      <c r="BU430" s="16">
        <f t="shared" si="336"/>
        <v>0.11703687414398131</v>
      </c>
      <c r="BV430" s="16">
        <f t="shared" si="337"/>
        <v>0.14633353213781661</v>
      </c>
      <c r="BW430" s="16">
        <f t="shared" si="338"/>
        <v>7.5588015111767173E-2</v>
      </c>
      <c r="BX430" s="16">
        <f t="shared" si="339"/>
        <v>8.0345659937185704E-2</v>
      </c>
      <c r="BY430" s="16">
        <f t="shared" si="340"/>
        <v>5.9014643151272549E-2</v>
      </c>
      <c r="CA430" s="16" t="str">
        <f t="shared" si="317"/>
        <v/>
      </c>
      <c r="CB430" s="16" t="str">
        <f t="shared" si="298"/>
        <v/>
      </c>
      <c r="CC430" s="16" t="str">
        <f t="shared" si="299"/>
        <v/>
      </c>
      <c r="CD430" s="16" t="str">
        <f t="shared" si="300"/>
        <v/>
      </c>
      <c r="CE430" s="16" t="str">
        <f t="shared" si="301"/>
        <v/>
      </c>
      <c r="CF430" s="16" t="str">
        <f t="shared" si="302"/>
        <v/>
      </c>
      <c r="CG430" s="16" t="str">
        <f t="shared" si="303"/>
        <v/>
      </c>
      <c r="CH430" s="16" t="str">
        <f t="shared" si="304"/>
        <v/>
      </c>
      <c r="CI430" s="16" t="str">
        <f t="shared" si="305"/>
        <v/>
      </c>
      <c r="CJ430" s="16" t="str">
        <f t="shared" si="306"/>
        <v/>
      </c>
      <c r="CK430" s="16" t="str">
        <f t="shared" si="307"/>
        <v/>
      </c>
      <c r="CL430" s="16" t="str">
        <f t="shared" si="308"/>
        <v/>
      </c>
      <c r="CM430" s="16" t="str">
        <f t="shared" si="309"/>
        <v/>
      </c>
      <c r="CN430" s="16" t="str">
        <f t="shared" si="310"/>
        <v/>
      </c>
      <c r="CO430" s="16" t="str">
        <f t="shared" si="311"/>
        <v/>
      </c>
      <c r="CP430" s="16" t="str">
        <f t="shared" si="312"/>
        <v/>
      </c>
      <c r="CQ430" s="16" t="str">
        <f t="shared" si="313"/>
        <v/>
      </c>
      <c r="CR430" s="16" t="str">
        <f t="shared" si="314"/>
        <v/>
      </c>
      <c r="CS430" s="16" t="str">
        <f t="shared" si="315"/>
        <v/>
      </c>
      <c r="CT430" s="16" t="str">
        <f t="shared" si="316"/>
        <v/>
      </c>
    </row>
    <row r="431" spans="1:99" x14ac:dyDescent="0.25">
      <c r="A431" s="13"/>
      <c r="B431" s="14"/>
      <c r="C431" s="15" t="str" cm="1">
        <f t="array" ref="C431">IF(B431="","",INDEX('Exercise list'!$C$5:$C$102,B431))</f>
        <v/>
      </c>
      <c r="D431" s="12" t="str">
        <f t="shared" si="318"/>
        <v/>
      </c>
      <c r="E431" s="107" t="str">
        <f t="shared" si="341"/>
        <v/>
      </c>
      <c r="F431" s="63" t="str" cm="1">
        <f t="array" ref="F431">IF(B431="","",0.1+IFERROR(INDEX($F$6:$F430,SUMPRODUCT(MAX(ROW($C$6:$C430)*($C431=$C$6:$C430))-ROW($A$5)))*0.9^($A431-INDEX($A$6:A430,SUMPRODUCT(MAX(ROW($C$6:$C430)*($C431=$C$6:$C430))-ROW($A$5)))),0))</f>
        <v/>
      </c>
      <c r="G431" s="64" t="e">
        <f>INDEX('Exercise list'!$Y$5:$Y$102,MATCH(C431,'Exercise list'!$C$5:$C$102,0))</f>
        <v>#N/A</v>
      </c>
      <c r="H431" s="115">
        <f t="shared" si="319"/>
        <v>0</v>
      </c>
      <c r="I431" s="6">
        <f t="shared" si="320"/>
        <v>5</v>
      </c>
      <c r="J431" s="6" t="str" cm="1">
        <f t="array" ref="J431">IF(B431="","",INDEX('Exercise list'!$D$5:$D$102,B431))</f>
        <v/>
      </c>
      <c r="K431" s="12"/>
      <c r="L431" s="74" t="str" cm="1">
        <f t="array" ref="L431">IF(K431="","",INDEX('Exercise list'!$C$5:$C$102,K431))</f>
        <v/>
      </c>
      <c r="M431" s="6"/>
      <c r="N431" s="75" t="str" cm="1">
        <f t="array" ref="N431">IF(M431="","",INDEX('Exercise list'!$C$5:$C$102,M431))</f>
        <v/>
      </c>
      <c r="P431">
        <f>IFERROR(INDEX('Exercise list'!$E$5:$X$102,MATCH($C431,'Exercise list'!$C$5:$C$102,0),MATCH(P$5,'Exercise list'!$E$4:$X$4,0)),0)</f>
        <v>0</v>
      </c>
      <c r="Q431">
        <f>IFERROR(INDEX('Exercise list'!$E$5:$X$102,MATCH($C431,'Exercise list'!$C$5:$C$102,0),MATCH(Q$5,'Exercise list'!$E$4:$X$4,0)),0)</f>
        <v>0</v>
      </c>
      <c r="R431">
        <f>IFERROR(INDEX('Exercise list'!$E$5:$X$102,MATCH($C431,'Exercise list'!$C$5:$C$102,0),MATCH(R$5,'Exercise list'!$E$4:$X$4,0)),0)</f>
        <v>0</v>
      </c>
      <c r="S431">
        <f>IFERROR(INDEX('Exercise list'!$E$5:$X$102,MATCH($C431,'Exercise list'!$C$5:$C$102,0),MATCH(S$5,'Exercise list'!$E$4:$X$4,0)),0)</f>
        <v>0</v>
      </c>
      <c r="T431">
        <f>IFERROR(INDEX('Exercise list'!$E$5:$X$102,MATCH($C431,'Exercise list'!$C$5:$C$102,0),MATCH(T$5,'Exercise list'!$E$4:$X$4,0)),0)</f>
        <v>0</v>
      </c>
      <c r="U431">
        <f>IFERROR(INDEX('Exercise list'!$E$5:$X$102,MATCH($C431,'Exercise list'!$C$5:$C$102,0),MATCH(U$5,'Exercise list'!$E$4:$X$4,0)),0)</f>
        <v>0</v>
      </c>
      <c r="V431">
        <f>IFERROR(INDEX('Exercise list'!$E$5:$X$102,MATCH($C431,'Exercise list'!$C$5:$C$102,0),MATCH(V$5,'Exercise list'!$E$4:$X$4,0)),0)</f>
        <v>0</v>
      </c>
      <c r="W431">
        <f>IFERROR(INDEX('Exercise list'!$E$5:$X$102,MATCH($C431,'Exercise list'!$C$5:$C$102,0),MATCH(W$5,'Exercise list'!$E$4:$X$4,0)),0)</f>
        <v>0</v>
      </c>
      <c r="X431">
        <f>IFERROR(INDEX('Exercise list'!$E$5:$X$102,MATCH($C431,'Exercise list'!$C$5:$C$102,0),MATCH(X$5,'Exercise list'!$E$4:$X$4,0)),0)</f>
        <v>0</v>
      </c>
      <c r="Y431">
        <f>IFERROR(INDEX('Exercise list'!$E$5:$X$102,MATCH($C431,'Exercise list'!$C$5:$C$102,0),MATCH(Y$5,'Exercise list'!$E$4:$X$4,0)),0)</f>
        <v>0</v>
      </c>
      <c r="Z431">
        <f>IFERROR(INDEX('Exercise list'!$E$5:$X$102,MATCH($C431,'Exercise list'!$C$5:$C$102,0),MATCH(Z$5,'Exercise list'!$E$4:$X$4,0)),0)</f>
        <v>0</v>
      </c>
      <c r="AA431">
        <f>IFERROR(INDEX('Exercise list'!$E$5:$X$102,MATCH($C431,'Exercise list'!$C$5:$C$102,0),MATCH(AA$5,'Exercise list'!$E$4:$X$4,0)),0)</f>
        <v>0</v>
      </c>
      <c r="AB431">
        <f>IFERROR(INDEX('Exercise list'!$E$5:$X$102,MATCH($C431,'Exercise list'!$C$5:$C$102,0),MATCH(AB$5,'Exercise list'!$E$4:$X$4,0)),0)</f>
        <v>0</v>
      </c>
      <c r="AC431">
        <f>IFERROR(INDEX('Exercise list'!$E$5:$X$102,MATCH($C431,'Exercise list'!$C$5:$C$102,0),MATCH(AC$5,'Exercise list'!$E$4:$X$4,0)),0)</f>
        <v>0</v>
      </c>
      <c r="AD431">
        <f>IFERROR(INDEX('Exercise list'!$E$5:$X$102,MATCH($C431,'Exercise list'!$C$5:$C$102,0),MATCH(AD$5,'Exercise list'!$E$4:$X$4,0)),0)</f>
        <v>0</v>
      </c>
      <c r="AE431">
        <f>IFERROR(INDEX('Exercise list'!$E$5:$X$102,MATCH($C431,'Exercise list'!$C$5:$C$102,0),MATCH(AE$5,'Exercise list'!$E$4:$X$4,0)),0)</f>
        <v>0</v>
      </c>
      <c r="AF431">
        <f>IFERROR(INDEX('Exercise list'!$E$5:$X$102,MATCH($C431,'Exercise list'!$C$5:$C$102,0),MATCH(AF$5,'Exercise list'!$E$4:$X$4,0)),0)</f>
        <v>0</v>
      </c>
      <c r="AG431">
        <f>IFERROR(INDEX('Exercise list'!$E$5:$X$102,MATCH($C431,'Exercise list'!$C$5:$C$102,0),MATCH(AG$5,'Exercise list'!$E$4:$X$4,0)),0)</f>
        <v>0</v>
      </c>
      <c r="AH431">
        <f>IFERROR(INDEX('Exercise list'!$E$5:$X$102,MATCH($C431,'Exercise list'!$C$5:$C$102,0),MATCH(AH$5,'Exercise list'!$E$4:$X$4,0)),0)</f>
        <v>0</v>
      </c>
      <c r="AI431">
        <f>IFERROR(INDEX('Exercise list'!$E$5:$X$102,MATCH($C431,'Exercise list'!$C$5:$C$102,0),MATCH(AI$5,'Exercise list'!$E$4:$X$4,0)),0)</f>
        <v>0</v>
      </c>
      <c r="AK431">
        <f>IF(OR($J431=1,COUNTIFS($A$5:$A430,"&gt;="&amp;$A431-1,$A$5:$A430,"&lt;="&amp;$A431,$B$5:$B430,$B431)&gt;0,MIN(1-'Exercise list'!E$2,IF($A431=$A430,AK430,1))-P431&lt;0),-1,MIN(1,IF($A431=$A430,AK430,1)-P431+$D$2))</f>
        <v>1</v>
      </c>
      <c r="AL431">
        <f>IF(OR($J431=1,COUNTIFS($A$5:$A430,"&gt;="&amp;$A431-1,$A$5:$A430,"&lt;="&amp;$A431,$B$5:$B430,$B431)&gt;0,MIN(1-'Exercise list'!F$2,IF($A431=$A430,AL430,1))-Q431&lt;0),-1,MIN(1,IF($A431=$A430,AL430,1)-Q431+$D$2))</f>
        <v>1</v>
      </c>
      <c r="AM431">
        <f>IF(OR($J431=1,COUNTIFS($A$5:$A430,"&gt;="&amp;$A431-1,$A$5:$A430,"&lt;="&amp;$A431,$B$5:$B430,$B431)&gt;0,MIN(1-'Exercise list'!G$2,IF($A431=$A430,AM430,1))-R431&lt;0),-1,MIN(1,IF($A431=$A430,AM430,1)-R431+$D$2))</f>
        <v>1</v>
      </c>
      <c r="AN431">
        <f>IF(OR($J431=1,COUNTIFS($A$5:$A430,"&gt;="&amp;$A431-1,$A$5:$A430,"&lt;="&amp;$A431,$B$5:$B430,$B431)&gt;0,MIN(1-'Exercise list'!H$2,IF($A431=$A430,AN430,1))-S431&lt;0),-1,MIN(1,IF($A431=$A430,AN430,1)-S431+$D$2))</f>
        <v>1</v>
      </c>
      <c r="AO431">
        <f>IF(OR($J431=1,COUNTIFS($A$5:$A430,"&gt;="&amp;$A431-1,$A$5:$A430,"&lt;="&amp;$A431,$B$5:$B430,$B431)&gt;0,MIN(1-'Exercise list'!I$2,IF($A431=$A430,AO430,1))-T431&lt;0),-1,MIN(1,IF($A431=$A430,AO430,1)-T431+$D$2))</f>
        <v>1</v>
      </c>
      <c r="AP431">
        <f>IF(OR($J431=1,COUNTIFS($A$5:$A430,"&gt;="&amp;$A431-1,$A$5:$A430,"&lt;="&amp;$A431,$B$5:$B430,$B431)&gt;0,MIN(1-'Exercise list'!J$2,IF($A431=$A430,AP430,1))-U431&lt;0),-1,MIN(1,IF($A431=$A430,AP430,1)-U431+$D$2))</f>
        <v>1</v>
      </c>
      <c r="AQ431">
        <f>IF(OR($J431=1,COUNTIFS($A$5:$A430,"&gt;="&amp;$A431-1,$A$5:$A430,"&lt;="&amp;$A431,$B$5:$B430,$B431)&gt;0,MIN(1-'Exercise list'!K$2,IF($A431=$A430,AQ430,1))-V431&lt;0),-1,MIN(1,IF($A431=$A430,AQ430,1)-V431+$D$2))</f>
        <v>1</v>
      </c>
      <c r="AR431">
        <f>IF(OR($J431=1,COUNTIFS($A$5:$A430,"&gt;="&amp;$A431-1,$A$5:$A430,"&lt;="&amp;$A431,$B$5:$B430,$B431)&gt;0,MIN(1-'Exercise list'!L$2,IF($A431=$A430,AR430,1))-W431&lt;0),-1,MIN(1,IF($A431=$A430,AR430,1)-W431+$D$2))</f>
        <v>1</v>
      </c>
      <c r="AS431">
        <f>IF(OR($J431=1,COUNTIFS($A$5:$A430,"&gt;="&amp;$A431-1,$A$5:$A430,"&lt;="&amp;$A431,$B$5:$B430,$B431)&gt;0,MIN(1-'Exercise list'!M$2,IF($A431=$A430,AS430,1))-X431&lt;0),-1,MIN(1,IF($A431=$A430,AS430,1)-X431+$D$2))</f>
        <v>1</v>
      </c>
      <c r="AT431">
        <f>IF(OR($J431=1,COUNTIFS($A$5:$A430,"&gt;="&amp;$A431-1,$A$5:$A430,"&lt;="&amp;$A431,$B$5:$B430,$B431)&gt;0,MIN(1-'Exercise list'!N$2,IF($A431=$A430,AT430,1))-Y431&lt;0),-1,MIN(1,IF($A431=$A430,AT430,1)-Y431+$D$2))</f>
        <v>1</v>
      </c>
      <c r="AU431">
        <f>IF(OR($J431=1,COUNTIFS($A$5:$A430,"&gt;="&amp;$A431-1,$A$5:$A430,"&lt;="&amp;$A431,$B$5:$B430,$B431)&gt;0,MIN(1-'Exercise list'!O$2,IF($A431=$A430,AU430,1))-Z431&lt;0),-1,MIN(1,IF($A431=$A430,AU430,1)-Z431+$D$2))</f>
        <v>1</v>
      </c>
      <c r="AV431">
        <f>IF(OR($J431=1,COUNTIFS($A$5:$A430,"&gt;="&amp;$A431-1,$A$5:$A430,"&lt;="&amp;$A431,$B$5:$B430,$B431)&gt;0,MIN(1-'Exercise list'!P$2,IF($A431=$A430,AV430,1))-AA431&lt;0),-1,MIN(1,IF($A431=$A430,AV430,1)-AA431+$D$2))</f>
        <v>1</v>
      </c>
      <c r="AW431">
        <f>IF(OR($J431=1,COUNTIFS($A$5:$A430,"&gt;="&amp;$A431-1,$A$5:$A430,"&lt;="&amp;$A431,$B$5:$B430,$B431)&gt;0,MIN(1-'Exercise list'!Q$2,IF($A431=$A430,AW430,1))-AB431&lt;0),-1,MIN(1,IF($A431=$A430,AW430,1)-AB431+$D$2))</f>
        <v>1</v>
      </c>
      <c r="AX431">
        <f>IF(OR($J431=1,COUNTIFS($A$5:$A430,"&gt;="&amp;$A431-1,$A$5:$A430,"&lt;="&amp;$A431,$B$5:$B430,$B431)&gt;0,MIN(1-'Exercise list'!R$2,IF($A431=$A430,AX430,1))-AC431&lt;0),-1,MIN(1,IF($A431=$A430,AX430,1)-AC431+$D$2))</f>
        <v>1</v>
      </c>
      <c r="AY431">
        <f>IF(OR($J431=1,COUNTIFS($A$5:$A430,"&gt;="&amp;$A431-1,$A$5:$A430,"&lt;="&amp;$A431,$B$5:$B430,$B431)&gt;0,MIN(1-'Exercise list'!S$2,IF($A431=$A430,AY430,1))-AD431&lt;0),-1,MIN(1,IF($A431=$A430,AY430,1)-AD431+$D$2))</f>
        <v>1</v>
      </c>
      <c r="AZ431">
        <f>IF(OR($J431=1,COUNTIFS($A$5:$A430,"&gt;="&amp;$A431-1,$A$5:$A430,"&lt;="&amp;$A431,$B$5:$B430,$B431)&gt;0,MIN(1-'Exercise list'!T$2,IF($A431=$A430,AZ430,1))-AE431&lt;0),-1,MIN(1,IF($A431=$A430,AZ430,1)-AE431+$D$2))</f>
        <v>1</v>
      </c>
      <c r="BA431">
        <f>IF(OR($J431=1,COUNTIFS($A$5:$A430,"&gt;="&amp;$A431-1,$A$5:$A430,"&lt;="&amp;$A431,$B$5:$B430,$B431)&gt;0,MIN(1-'Exercise list'!U$2,IF($A431=$A430,BA430,1))-AF431&lt;0),-1,MIN(1,IF($A431=$A430,BA430,1)-AF431+$D$2))</f>
        <v>1</v>
      </c>
      <c r="BB431">
        <f>IF(OR($J431=1,COUNTIFS($A$5:$A430,"&gt;="&amp;$A431-1,$A$5:$A430,"&lt;="&amp;$A431,$B$5:$B430,$B431)&gt;0,MIN(1-'Exercise list'!V$2,IF($A431=$A430,BB430,1))-AG431&lt;0),-1,MIN(1,IF($A431=$A430,BB430,1)-AG431+$D$2))</f>
        <v>1</v>
      </c>
      <c r="BC431">
        <f>IF(OR($J431=1,COUNTIFS($A$5:$A430,"&gt;="&amp;$A431-1,$A$5:$A430,"&lt;="&amp;$A431,$B$5:$B430,$B431)&gt;0,MIN(1-'Exercise list'!W$2,IF($A431=$A430,BC430,1))-AH431&lt;0),-1,MIN(1,IF($A431=$A430,BC430,1)-AH431+$D$2))</f>
        <v>1</v>
      </c>
      <c r="BD431">
        <f>IF(OR($J431=1,COUNTIFS($A$5:$A430,"&gt;="&amp;$A431-1,$A$5:$A430,"&lt;="&amp;$A431,$B$5:$B430,$B431)&gt;0,MIN(1-'Exercise list'!X$2,IF($A431=$A430,BD430,1))-AI431&lt;0),-1,MIN(1,IF($A431=$A430,BD430,1)-AI431+$D$2))</f>
        <v>1</v>
      </c>
      <c r="BF431" s="16">
        <f t="shared" si="321"/>
        <v>0.19596031081758858</v>
      </c>
      <c r="BG431" s="16">
        <f t="shared" si="322"/>
        <v>0.21844636935459236</v>
      </c>
      <c r="BH431" s="16">
        <f t="shared" si="323"/>
        <v>0.14609696635987124</v>
      </c>
      <c r="BI431" s="16">
        <f t="shared" si="324"/>
        <v>0.13198015366034541</v>
      </c>
      <c r="BJ431" s="16">
        <f t="shared" si="325"/>
        <v>8.3367914198418713E-2</v>
      </c>
      <c r="BK431" s="16">
        <f t="shared" si="326"/>
        <v>0.10640640223148412</v>
      </c>
      <c r="BL431" s="16">
        <f t="shared" si="327"/>
        <v>0.21963504743569431</v>
      </c>
      <c r="BM431" s="16">
        <f t="shared" si="328"/>
        <v>3.8988008374820568E-3</v>
      </c>
      <c r="BN431" s="16">
        <f t="shared" si="329"/>
        <v>0.14537706087090876</v>
      </c>
      <c r="BO431" s="16">
        <f t="shared" si="330"/>
        <v>0.29209790661993401</v>
      </c>
      <c r="BP431" s="16">
        <f t="shared" si="331"/>
        <v>0.31584545163401867</v>
      </c>
      <c r="BQ431" s="16">
        <f t="shared" si="332"/>
        <v>0.1000007994126096</v>
      </c>
      <c r="BR431" s="16">
        <f t="shared" si="333"/>
        <v>0.13164487759885393</v>
      </c>
      <c r="BS431" s="16">
        <f t="shared" si="334"/>
        <v>2.9803550189863123E-2</v>
      </c>
      <c r="BT431" s="16">
        <f t="shared" si="335"/>
        <v>0.13492040904978705</v>
      </c>
      <c r="BU431" s="16">
        <f t="shared" si="336"/>
        <v>0.11703687414398131</v>
      </c>
      <c r="BV431" s="16">
        <f t="shared" si="337"/>
        <v>0.14633353213781661</v>
      </c>
      <c r="BW431" s="16">
        <f t="shared" si="338"/>
        <v>7.5588015111767173E-2</v>
      </c>
      <c r="BX431" s="16">
        <f t="shared" si="339"/>
        <v>8.0345659937185704E-2</v>
      </c>
      <c r="BY431" s="16">
        <f t="shared" si="340"/>
        <v>5.9014643151272549E-2</v>
      </c>
      <c r="CA431" s="16" t="str">
        <f t="shared" si="317"/>
        <v/>
      </c>
      <c r="CB431" s="16" t="str">
        <f t="shared" si="298"/>
        <v/>
      </c>
      <c r="CC431" s="16" t="str">
        <f t="shared" si="299"/>
        <v/>
      </c>
      <c r="CD431" s="16" t="str">
        <f t="shared" si="300"/>
        <v/>
      </c>
      <c r="CE431" s="16" t="str">
        <f t="shared" si="301"/>
        <v/>
      </c>
      <c r="CF431" s="16" t="str">
        <f t="shared" si="302"/>
        <v/>
      </c>
      <c r="CG431" s="16" t="str">
        <f t="shared" si="303"/>
        <v/>
      </c>
      <c r="CH431" s="16" t="str">
        <f t="shared" si="304"/>
        <v/>
      </c>
      <c r="CI431" s="16" t="str">
        <f t="shared" si="305"/>
        <v/>
      </c>
      <c r="CJ431" s="16" t="str">
        <f t="shared" si="306"/>
        <v/>
      </c>
      <c r="CK431" s="16" t="str">
        <f t="shared" si="307"/>
        <v/>
      </c>
      <c r="CL431" s="16" t="str">
        <f t="shared" si="308"/>
        <v/>
      </c>
      <c r="CM431" s="16" t="str">
        <f t="shared" si="309"/>
        <v/>
      </c>
      <c r="CN431" s="16" t="str">
        <f t="shared" si="310"/>
        <v/>
      </c>
      <c r="CO431" s="16" t="str">
        <f t="shared" si="311"/>
        <v/>
      </c>
      <c r="CP431" s="16" t="str">
        <f t="shared" si="312"/>
        <v/>
      </c>
      <c r="CQ431" s="16" t="str">
        <f t="shared" si="313"/>
        <v/>
      </c>
      <c r="CR431" s="16" t="str">
        <f t="shared" si="314"/>
        <v/>
      </c>
      <c r="CS431" s="16" t="str">
        <f t="shared" si="315"/>
        <v/>
      </c>
      <c r="CT431" s="16" t="str">
        <f t="shared" si="316"/>
        <v/>
      </c>
    </row>
    <row r="432" spans="1:99" x14ac:dyDescent="0.25">
      <c r="A432" s="13"/>
      <c r="B432" s="14"/>
      <c r="C432" s="15" t="str" cm="1">
        <f t="array" ref="C432">IF(B432="","",INDEX('Exercise list'!$C$5:$C$102,B432))</f>
        <v/>
      </c>
      <c r="D432" s="12" t="str">
        <f t="shared" si="318"/>
        <v/>
      </c>
      <c r="E432" s="107" t="str">
        <f t="shared" si="341"/>
        <v/>
      </c>
      <c r="F432" s="63" t="str" cm="1">
        <f t="array" ref="F432">IF(B432="","",0.1+IFERROR(INDEX($F$6:$F431,SUMPRODUCT(MAX(ROW($C$6:$C431)*($C432=$C$6:$C431))-ROW($A$5)))*0.9^($A432-INDEX($A$6:A431,SUMPRODUCT(MAX(ROW($C$6:$C431)*($C432=$C$6:$C431))-ROW($A$5)))),0))</f>
        <v/>
      </c>
      <c r="G432" s="64" t="e">
        <f>INDEX('Exercise list'!$Y$5:$Y$102,MATCH(C432,'Exercise list'!$C$5:$C$102,0))</f>
        <v>#N/A</v>
      </c>
      <c r="H432" s="115">
        <f t="shared" si="319"/>
        <v>0</v>
      </c>
      <c r="I432" s="6">
        <f t="shared" si="320"/>
        <v>5</v>
      </c>
      <c r="J432" s="6" t="str" cm="1">
        <f t="array" ref="J432">IF(B432="","",INDEX('Exercise list'!$D$5:$D$102,B432))</f>
        <v/>
      </c>
      <c r="K432" s="12"/>
      <c r="L432" s="74" t="str" cm="1">
        <f t="array" ref="L432">IF(K432="","",INDEX('Exercise list'!$C$5:$C$102,K432))</f>
        <v/>
      </c>
      <c r="M432" s="6"/>
      <c r="N432" s="75" t="str" cm="1">
        <f t="array" ref="N432">IF(M432="","",INDEX('Exercise list'!$C$5:$C$102,M432))</f>
        <v/>
      </c>
      <c r="P432">
        <f>IFERROR(INDEX('Exercise list'!$E$5:$X$102,MATCH($C432,'Exercise list'!$C$5:$C$102,0),MATCH(P$5,'Exercise list'!$E$4:$X$4,0)),0)</f>
        <v>0</v>
      </c>
      <c r="Q432">
        <f>IFERROR(INDEX('Exercise list'!$E$5:$X$102,MATCH($C432,'Exercise list'!$C$5:$C$102,0),MATCH(Q$5,'Exercise list'!$E$4:$X$4,0)),0)</f>
        <v>0</v>
      </c>
      <c r="R432">
        <f>IFERROR(INDEX('Exercise list'!$E$5:$X$102,MATCH($C432,'Exercise list'!$C$5:$C$102,0),MATCH(R$5,'Exercise list'!$E$4:$X$4,0)),0)</f>
        <v>0</v>
      </c>
      <c r="S432">
        <f>IFERROR(INDEX('Exercise list'!$E$5:$X$102,MATCH($C432,'Exercise list'!$C$5:$C$102,0),MATCH(S$5,'Exercise list'!$E$4:$X$4,0)),0)</f>
        <v>0</v>
      </c>
      <c r="T432">
        <f>IFERROR(INDEX('Exercise list'!$E$5:$X$102,MATCH($C432,'Exercise list'!$C$5:$C$102,0),MATCH(T$5,'Exercise list'!$E$4:$X$4,0)),0)</f>
        <v>0</v>
      </c>
      <c r="U432">
        <f>IFERROR(INDEX('Exercise list'!$E$5:$X$102,MATCH($C432,'Exercise list'!$C$5:$C$102,0),MATCH(U$5,'Exercise list'!$E$4:$X$4,0)),0)</f>
        <v>0</v>
      </c>
      <c r="V432">
        <f>IFERROR(INDEX('Exercise list'!$E$5:$X$102,MATCH($C432,'Exercise list'!$C$5:$C$102,0),MATCH(V$5,'Exercise list'!$E$4:$X$4,0)),0)</f>
        <v>0</v>
      </c>
      <c r="W432">
        <f>IFERROR(INDEX('Exercise list'!$E$5:$X$102,MATCH($C432,'Exercise list'!$C$5:$C$102,0),MATCH(W$5,'Exercise list'!$E$4:$X$4,0)),0)</f>
        <v>0</v>
      </c>
      <c r="X432">
        <f>IFERROR(INDEX('Exercise list'!$E$5:$X$102,MATCH($C432,'Exercise list'!$C$5:$C$102,0),MATCH(X$5,'Exercise list'!$E$4:$X$4,0)),0)</f>
        <v>0</v>
      </c>
      <c r="Y432">
        <f>IFERROR(INDEX('Exercise list'!$E$5:$X$102,MATCH($C432,'Exercise list'!$C$5:$C$102,0),MATCH(Y$5,'Exercise list'!$E$4:$X$4,0)),0)</f>
        <v>0</v>
      </c>
      <c r="Z432">
        <f>IFERROR(INDEX('Exercise list'!$E$5:$X$102,MATCH($C432,'Exercise list'!$C$5:$C$102,0),MATCH(Z$5,'Exercise list'!$E$4:$X$4,0)),0)</f>
        <v>0</v>
      </c>
      <c r="AA432">
        <f>IFERROR(INDEX('Exercise list'!$E$5:$X$102,MATCH($C432,'Exercise list'!$C$5:$C$102,0),MATCH(AA$5,'Exercise list'!$E$4:$X$4,0)),0)</f>
        <v>0</v>
      </c>
      <c r="AB432">
        <f>IFERROR(INDEX('Exercise list'!$E$5:$X$102,MATCH($C432,'Exercise list'!$C$5:$C$102,0),MATCH(AB$5,'Exercise list'!$E$4:$X$4,0)),0)</f>
        <v>0</v>
      </c>
      <c r="AC432">
        <f>IFERROR(INDEX('Exercise list'!$E$5:$X$102,MATCH($C432,'Exercise list'!$C$5:$C$102,0),MATCH(AC$5,'Exercise list'!$E$4:$X$4,0)),0)</f>
        <v>0</v>
      </c>
      <c r="AD432">
        <f>IFERROR(INDEX('Exercise list'!$E$5:$X$102,MATCH($C432,'Exercise list'!$C$5:$C$102,0),MATCH(AD$5,'Exercise list'!$E$4:$X$4,0)),0)</f>
        <v>0</v>
      </c>
      <c r="AE432">
        <f>IFERROR(INDEX('Exercise list'!$E$5:$X$102,MATCH($C432,'Exercise list'!$C$5:$C$102,0),MATCH(AE$5,'Exercise list'!$E$4:$X$4,0)),0)</f>
        <v>0</v>
      </c>
      <c r="AF432">
        <f>IFERROR(INDEX('Exercise list'!$E$5:$X$102,MATCH($C432,'Exercise list'!$C$5:$C$102,0),MATCH(AF$5,'Exercise list'!$E$4:$X$4,0)),0)</f>
        <v>0</v>
      </c>
      <c r="AG432">
        <f>IFERROR(INDEX('Exercise list'!$E$5:$X$102,MATCH($C432,'Exercise list'!$C$5:$C$102,0),MATCH(AG$5,'Exercise list'!$E$4:$X$4,0)),0)</f>
        <v>0</v>
      </c>
      <c r="AH432">
        <f>IFERROR(INDEX('Exercise list'!$E$5:$X$102,MATCH($C432,'Exercise list'!$C$5:$C$102,0),MATCH(AH$5,'Exercise list'!$E$4:$X$4,0)),0)</f>
        <v>0</v>
      </c>
      <c r="AI432">
        <f>IFERROR(INDEX('Exercise list'!$E$5:$X$102,MATCH($C432,'Exercise list'!$C$5:$C$102,0),MATCH(AI$5,'Exercise list'!$E$4:$X$4,0)),0)</f>
        <v>0</v>
      </c>
      <c r="AK432">
        <f>IF(OR($J432=1,COUNTIFS($A$5:$A431,"&gt;="&amp;$A432-1,$A$5:$A431,"&lt;="&amp;$A432,$B$5:$B431,$B432)&gt;0,MIN(1-'Exercise list'!E$2,IF($A432=$A431,AK431,1))-P432&lt;0),-1,MIN(1,IF($A432=$A431,AK431,1)-P432+$D$2))</f>
        <v>1</v>
      </c>
      <c r="AL432">
        <f>IF(OR($J432=1,COUNTIFS($A$5:$A431,"&gt;="&amp;$A432-1,$A$5:$A431,"&lt;="&amp;$A432,$B$5:$B431,$B432)&gt;0,MIN(1-'Exercise list'!F$2,IF($A432=$A431,AL431,1))-Q432&lt;0),-1,MIN(1,IF($A432=$A431,AL431,1)-Q432+$D$2))</f>
        <v>1</v>
      </c>
      <c r="AM432">
        <f>IF(OR($J432=1,COUNTIFS($A$5:$A431,"&gt;="&amp;$A432-1,$A$5:$A431,"&lt;="&amp;$A432,$B$5:$B431,$B432)&gt;0,MIN(1-'Exercise list'!G$2,IF($A432=$A431,AM431,1))-R432&lt;0),-1,MIN(1,IF($A432=$A431,AM431,1)-R432+$D$2))</f>
        <v>1</v>
      </c>
      <c r="AN432">
        <f>IF(OR($J432=1,COUNTIFS($A$5:$A431,"&gt;="&amp;$A432-1,$A$5:$A431,"&lt;="&amp;$A432,$B$5:$B431,$B432)&gt;0,MIN(1-'Exercise list'!H$2,IF($A432=$A431,AN431,1))-S432&lt;0),-1,MIN(1,IF($A432=$A431,AN431,1)-S432+$D$2))</f>
        <v>1</v>
      </c>
      <c r="AO432">
        <f>IF(OR($J432=1,COUNTIFS($A$5:$A431,"&gt;="&amp;$A432-1,$A$5:$A431,"&lt;="&amp;$A432,$B$5:$B431,$B432)&gt;0,MIN(1-'Exercise list'!I$2,IF($A432=$A431,AO431,1))-T432&lt;0),-1,MIN(1,IF($A432=$A431,AO431,1)-T432+$D$2))</f>
        <v>1</v>
      </c>
      <c r="AP432">
        <f>IF(OR($J432=1,COUNTIFS($A$5:$A431,"&gt;="&amp;$A432-1,$A$5:$A431,"&lt;="&amp;$A432,$B$5:$B431,$B432)&gt;0,MIN(1-'Exercise list'!J$2,IF($A432=$A431,AP431,1))-U432&lt;0),-1,MIN(1,IF($A432=$A431,AP431,1)-U432+$D$2))</f>
        <v>1</v>
      </c>
      <c r="AQ432">
        <f>IF(OR($J432=1,COUNTIFS($A$5:$A431,"&gt;="&amp;$A432-1,$A$5:$A431,"&lt;="&amp;$A432,$B$5:$B431,$B432)&gt;0,MIN(1-'Exercise list'!K$2,IF($A432=$A431,AQ431,1))-V432&lt;0),-1,MIN(1,IF($A432=$A431,AQ431,1)-V432+$D$2))</f>
        <v>1</v>
      </c>
      <c r="AR432">
        <f>IF(OR($J432=1,COUNTIFS($A$5:$A431,"&gt;="&amp;$A432-1,$A$5:$A431,"&lt;="&amp;$A432,$B$5:$B431,$B432)&gt;0,MIN(1-'Exercise list'!L$2,IF($A432=$A431,AR431,1))-W432&lt;0),-1,MIN(1,IF($A432=$A431,AR431,1)-W432+$D$2))</f>
        <v>1</v>
      </c>
      <c r="AS432">
        <f>IF(OR($J432=1,COUNTIFS($A$5:$A431,"&gt;="&amp;$A432-1,$A$5:$A431,"&lt;="&amp;$A432,$B$5:$B431,$B432)&gt;0,MIN(1-'Exercise list'!M$2,IF($A432=$A431,AS431,1))-X432&lt;0),-1,MIN(1,IF($A432=$A431,AS431,1)-X432+$D$2))</f>
        <v>1</v>
      </c>
      <c r="AT432">
        <f>IF(OR($J432=1,COUNTIFS($A$5:$A431,"&gt;="&amp;$A432-1,$A$5:$A431,"&lt;="&amp;$A432,$B$5:$B431,$B432)&gt;0,MIN(1-'Exercise list'!N$2,IF($A432=$A431,AT431,1))-Y432&lt;0),-1,MIN(1,IF($A432=$A431,AT431,1)-Y432+$D$2))</f>
        <v>1</v>
      </c>
      <c r="AU432">
        <f>IF(OR($J432=1,COUNTIFS($A$5:$A431,"&gt;="&amp;$A432-1,$A$5:$A431,"&lt;="&amp;$A432,$B$5:$B431,$B432)&gt;0,MIN(1-'Exercise list'!O$2,IF($A432=$A431,AU431,1))-Z432&lt;0),-1,MIN(1,IF($A432=$A431,AU431,1)-Z432+$D$2))</f>
        <v>1</v>
      </c>
      <c r="AV432">
        <f>IF(OR($J432=1,COUNTIFS($A$5:$A431,"&gt;="&amp;$A432-1,$A$5:$A431,"&lt;="&amp;$A432,$B$5:$B431,$B432)&gt;0,MIN(1-'Exercise list'!P$2,IF($A432=$A431,AV431,1))-AA432&lt;0),-1,MIN(1,IF($A432=$A431,AV431,1)-AA432+$D$2))</f>
        <v>1</v>
      </c>
      <c r="AW432">
        <f>IF(OR($J432=1,COUNTIFS($A$5:$A431,"&gt;="&amp;$A432-1,$A$5:$A431,"&lt;="&amp;$A432,$B$5:$B431,$B432)&gt;0,MIN(1-'Exercise list'!Q$2,IF($A432=$A431,AW431,1))-AB432&lt;0),-1,MIN(1,IF($A432=$A431,AW431,1)-AB432+$D$2))</f>
        <v>1</v>
      </c>
      <c r="AX432">
        <f>IF(OR($J432=1,COUNTIFS($A$5:$A431,"&gt;="&amp;$A432-1,$A$5:$A431,"&lt;="&amp;$A432,$B$5:$B431,$B432)&gt;0,MIN(1-'Exercise list'!R$2,IF($A432=$A431,AX431,1))-AC432&lt;0),-1,MIN(1,IF($A432=$A431,AX431,1)-AC432+$D$2))</f>
        <v>1</v>
      </c>
      <c r="AY432">
        <f>IF(OR($J432=1,COUNTIFS($A$5:$A431,"&gt;="&amp;$A432-1,$A$5:$A431,"&lt;="&amp;$A432,$B$5:$B431,$B432)&gt;0,MIN(1-'Exercise list'!S$2,IF($A432=$A431,AY431,1))-AD432&lt;0),-1,MIN(1,IF($A432=$A431,AY431,1)-AD432+$D$2))</f>
        <v>1</v>
      </c>
      <c r="AZ432">
        <f>IF(OR($J432=1,COUNTIFS($A$5:$A431,"&gt;="&amp;$A432-1,$A$5:$A431,"&lt;="&amp;$A432,$B$5:$B431,$B432)&gt;0,MIN(1-'Exercise list'!T$2,IF($A432=$A431,AZ431,1))-AE432&lt;0),-1,MIN(1,IF($A432=$A431,AZ431,1)-AE432+$D$2))</f>
        <v>1</v>
      </c>
      <c r="BA432">
        <f>IF(OR($J432=1,COUNTIFS($A$5:$A431,"&gt;="&amp;$A432-1,$A$5:$A431,"&lt;="&amp;$A432,$B$5:$B431,$B432)&gt;0,MIN(1-'Exercise list'!U$2,IF($A432=$A431,BA431,1))-AF432&lt;0),-1,MIN(1,IF($A432=$A431,BA431,1)-AF432+$D$2))</f>
        <v>1</v>
      </c>
      <c r="BB432">
        <f>IF(OR($J432=1,COUNTIFS($A$5:$A431,"&gt;="&amp;$A432-1,$A$5:$A431,"&lt;="&amp;$A432,$B$5:$B431,$B432)&gt;0,MIN(1-'Exercise list'!V$2,IF($A432=$A431,BB431,1))-AG432&lt;0),-1,MIN(1,IF($A432=$A431,BB431,1)-AG432+$D$2))</f>
        <v>1</v>
      </c>
      <c r="BC432">
        <f>IF(OR($J432=1,COUNTIFS($A$5:$A431,"&gt;="&amp;$A432-1,$A$5:$A431,"&lt;="&amp;$A432,$B$5:$B431,$B432)&gt;0,MIN(1-'Exercise list'!W$2,IF($A432=$A431,BC431,1))-AH432&lt;0),-1,MIN(1,IF($A432=$A431,BC431,1)-AH432+$D$2))</f>
        <v>1</v>
      </c>
      <c r="BD432">
        <f>IF(OR($J432=1,COUNTIFS($A$5:$A431,"&gt;="&amp;$A432-1,$A$5:$A431,"&lt;="&amp;$A432,$B$5:$B431,$B432)&gt;0,MIN(1-'Exercise list'!X$2,IF($A432=$A431,BD431,1))-AI432&lt;0),-1,MIN(1,IF($A432=$A431,BD431,1)-AI432+$D$2))</f>
        <v>1</v>
      </c>
      <c r="BF432" s="16">
        <f t="shared" si="321"/>
        <v>0.19596031081758858</v>
      </c>
      <c r="BG432" s="16">
        <f t="shared" si="322"/>
        <v>0.21844636935459236</v>
      </c>
      <c r="BH432" s="16">
        <f t="shared" si="323"/>
        <v>0.14609696635987124</v>
      </c>
      <c r="BI432" s="16">
        <f t="shared" si="324"/>
        <v>0.13198015366034541</v>
      </c>
      <c r="BJ432" s="16">
        <f t="shared" si="325"/>
        <v>8.3367914198418713E-2</v>
      </c>
      <c r="BK432" s="16">
        <f t="shared" si="326"/>
        <v>0.10640640223148412</v>
      </c>
      <c r="BL432" s="16">
        <f t="shared" si="327"/>
        <v>0.21963504743569431</v>
      </c>
      <c r="BM432" s="16">
        <f t="shared" si="328"/>
        <v>3.8988008374820568E-3</v>
      </c>
      <c r="BN432" s="16">
        <f t="shared" si="329"/>
        <v>0.14537706087090876</v>
      </c>
      <c r="BO432" s="16">
        <f t="shared" si="330"/>
        <v>0.29209790661993401</v>
      </c>
      <c r="BP432" s="16">
        <f t="shared" si="331"/>
        <v>0.31584545163401867</v>
      </c>
      <c r="BQ432" s="16">
        <f t="shared" si="332"/>
        <v>0.1000007994126096</v>
      </c>
      <c r="BR432" s="16">
        <f t="shared" si="333"/>
        <v>0.13164487759885393</v>
      </c>
      <c r="BS432" s="16">
        <f t="shared" si="334"/>
        <v>2.9803550189863123E-2</v>
      </c>
      <c r="BT432" s="16">
        <f t="shared" si="335"/>
        <v>0.13492040904978705</v>
      </c>
      <c r="BU432" s="16">
        <f t="shared" si="336"/>
        <v>0.11703687414398131</v>
      </c>
      <c r="BV432" s="16">
        <f t="shared" si="337"/>
        <v>0.14633353213781661</v>
      </c>
      <c r="BW432" s="16">
        <f t="shared" si="338"/>
        <v>7.5588015111767173E-2</v>
      </c>
      <c r="BX432" s="16">
        <f t="shared" si="339"/>
        <v>8.0345659937185704E-2</v>
      </c>
      <c r="BY432" s="16">
        <f t="shared" si="340"/>
        <v>5.9014643151272549E-2</v>
      </c>
      <c r="CA432" s="16" t="str">
        <f t="shared" si="317"/>
        <v/>
      </c>
      <c r="CB432" s="16" t="str">
        <f t="shared" si="298"/>
        <v/>
      </c>
      <c r="CC432" s="16" t="str">
        <f t="shared" si="299"/>
        <v/>
      </c>
      <c r="CD432" s="16" t="str">
        <f t="shared" si="300"/>
        <v/>
      </c>
      <c r="CE432" s="16" t="str">
        <f t="shared" si="301"/>
        <v/>
      </c>
      <c r="CF432" s="16" t="str">
        <f t="shared" si="302"/>
        <v/>
      </c>
      <c r="CG432" s="16" t="str">
        <f t="shared" si="303"/>
        <v/>
      </c>
      <c r="CH432" s="16" t="str">
        <f t="shared" si="304"/>
        <v/>
      </c>
      <c r="CI432" s="16" t="str">
        <f t="shared" si="305"/>
        <v/>
      </c>
      <c r="CJ432" s="16" t="str">
        <f t="shared" si="306"/>
        <v/>
      </c>
      <c r="CK432" s="16" t="str">
        <f t="shared" si="307"/>
        <v/>
      </c>
      <c r="CL432" s="16" t="str">
        <f t="shared" si="308"/>
        <v/>
      </c>
      <c r="CM432" s="16" t="str">
        <f t="shared" si="309"/>
        <v/>
      </c>
      <c r="CN432" s="16" t="str">
        <f t="shared" si="310"/>
        <v/>
      </c>
      <c r="CO432" s="16" t="str">
        <f t="shared" si="311"/>
        <v/>
      </c>
      <c r="CP432" s="16" t="str">
        <f t="shared" si="312"/>
        <v/>
      </c>
      <c r="CQ432" s="16" t="str">
        <f t="shared" si="313"/>
        <v/>
      </c>
      <c r="CR432" s="16" t="str">
        <f t="shared" si="314"/>
        <v/>
      </c>
      <c r="CS432" s="16" t="str">
        <f t="shared" si="315"/>
        <v/>
      </c>
      <c r="CT432" s="16" t="str">
        <f t="shared" si="316"/>
        <v/>
      </c>
    </row>
    <row r="433" spans="1:99" x14ac:dyDescent="0.25">
      <c r="A433" s="20"/>
      <c r="B433" s="21"/>
      <c r="C433" s="22" t="str" cm="1">
        <f t="array" ref="C433">IF(B433="","",INDEX('Exercise list'!$C$5:$C$102,B433))</f>
        <v/>
      </c>
      <c r="D433" s="17" t="str">
        <f t="shared" si="318"/>
        <v/>
      </c>
      <c r="E433" s="108" t="str">
        <f t="shared" si="341"/>
        <v/>
      </c>
      <c r="F433" s="65" t="str" cm="1">
        <f t="array" ref="F433">IF(B433="","",0.1+IFERROR(INDEX($F$6:$F432,SUMPRODUCT(MAX(ROW($C$6:$C432)*($C433=$C$6:$C432))-ROW($A$5)))*0.9^($A433-INDEX($A$6:A432,SUMPRODUCT(MAX(ROW($C$6:$C432)*($C433=$C$6:$C432))-ROW($A$5)))),0))</f>
        <v/>
      </c>
      <c r="G433" s="25" t="e">
        <f>INDEX('Exercise list'!$Y$5:$Y$102,MATCH(C433,'Exercise list'!$C$5:$C$102,0))</f>
        <v>#N/A</v>
      </c>
      <c r="H433" s="116">
        <f t="shared" si="319"/>
        <v>0</v>
      </c>
      <c r="I433" s="18">
        <f t="shared" si="320"/>
        <v>5</v>
      </c>
      <c r="J433" s="18" t="str" cm="1">
        <f t="array" ref="J433">IF(B433="","",INDEX('Exercise list'!$D$5:$D$102,B433))</f>
        <v/>
      </c>
      <c r="K433" s="17"/>
      <c r="L433" s="51" t="str" cm="1">
        <f t="array" ref="L433">IF(K433="","",INDEX('Exercise list'!$C$5:$C$102,K433))</f>
        <v/>
      </c>
      <c r="M433" s="18"/>
      <c r="N433" s="76" t="str" cm="1">
        <f t="array" ref="N433">IF(M433="","",INDEX('Exercise list'!$C$5:$C$102,M433))</f>
        <v/>
      </c>
      <c r="O433" s="19"/>
      <c r="P433" s="19">
        <f>IFERROR(INDEX('Exercise list'!$E$5:$X$102,MATCH($C433,'Exercise list'!$C$5:$C$102,0),MATCH(P$5,'Exercise list'!$E$4:$X$4,0)),0)</f>
        <v>0</v>
      </c>
      <c r="Q433" s="19">
        <f>IFERROR(INDEX('Exercise list'!$E$5:$X$102,MATCH($C433,'Exercise list'!$C$5:$C$102,0),MATCH(Q$5,'Exercise list'!$E$4:$X$4,0)),0)</f>
        <v>0</v>
      </c>
      <c r="R433" s="19">
        <f>IFERROR(INDEX('Exercise list'!$E$5:$X$102,MATCH($C433,'Exercise list'!$C$5:$C$102,0),MATCH(R$5,'Exercise list'!$E$4:$X$4,0)),0)</f>
        <v>0</v>
      </c>
      <c r="S433" s="19">
        <f>IFERROR(INDEX('Exercise list'!$E$5:$X$102,MATCH($C433,'Exercise list'!$C$5:$C$102,0),MATCH(S$5,'Exercise list'!$E$4:$X$4,0)),0)</f>
        <v>0</v>
      </c>
      <c r="T433" s="19">
        <f>IFERROR(INDEX('Exercise list'!$E$5:$X$102,MATCH($C433,'Exercise list'!$C$5:$C$102,0),MATCH(T$5,'Exercise list'!$E$4:$X$4,0)),0)</f>
        <v>0</v>
      </c>
      <c r="U433" s="19">
        <f>IFERROR(INDEX('Exercise list'!$E$5:$X$102,MATCH($C433,'Exercise list'!$C$5:$C$102,0),MATCH(U$5,'Exercise list'!$E$4:$X$4,0)),0)</f>
        <v>0</v>
      </c>
      <c r="V433" s="19">
        <f>IFERROR(INDEX('Exercise list'!$E$5:$X$102,MATCH($C433,'Exercise list'!$C$5:$C$102,0),MATCH(V$5,'Exercise list'!$E$4:$X$4,0)),0)</f>
        <v>0</v>
      </c>
      <c r="W433" s="19">
        <f>IFERROR(INDEX('Exercise list'!$E$5:$X$102,MATCH($C433,'Exercise list'!$C$5:$C$102,0),MATCH(W$5,'Exercise list'!$E$4:$X$4,0)),0)</f>
        <v>0</v>
      </c>
      <c r="X433" s="19">
        <f>IFERROR(INDEX('Exercise list'!$E$5:$X$102,MATCH($C433,'Exercise list'!$C$5:$C$102,0),MATCH(X$5,'Exercise list'!$E$4:$X$4,0)),0)</f>
        <v>0</v>
      </c>
      <c r="Y433" s="19">
        <f>IFERROR(INDEX('Exercise list'!$E$5:$X$102,MATCH($C433,'Exercise list'!$C$5:$C$102,0),MATCH(Y$5,'Exercise list'!$E$4:$X$4,0)),0)</f>
        <v>0</v>
      </c>
      <c r="Z433" s="19">
        <f>IFERROR(INDEX('Exercise list'!$E$5:$X$102,MATCH($C433,'Exercise list'!$C$5:$C$102,0),MATCH(Z$5,'Exercise list'!$E$4:$X$4,0)),0)</f>
        <v>0</v>
      </c>
      <c r="AA433" s="19">
        <f>IFERROR(INDEX('Exercise list'!$E$5:$X$102,MATCH($C433,'Exercise list'!$C$5:$C$102,0),MATCH(AA$5,'Exercise list'!$E$4:$X$4,0)),0)</f>
        <v>0</v>
      </c>
      <c r="AB433" s="19">
        <f>IFERROR(INDEX('Exercise list'!$E$5:$X$102,MATCH($C433,'Exercise list'!$C$5:$C$102,0),MATCH(AB$5,'Exercise list'!$E$4:$X$4,0)),0)</f>
        <v>0</v>
      </c>
      <c r="AC433" s="19">
        <f>IFERROR(INDEX('Exercise list'!$E$5:$X$102,MATCH($C433,'Exercise list'!$C$5:$C$102,0),MATCH(AC$5,'Exercise list'!$E$4:$X$4,0)),0)</f>
        <v>0</v>
      </c>
      <c r="AD433" s="19">
        <f>IFERROR(INDEX('Exercise list'!$E$5:$X$102,MATCH($C433,'Exercise list'!$C$5:$C$102,0),MATCH(AD$5,'Exercise list'!$E$4:$X$4,0)),0)</f>
        <v>0</v>
      </c>
      <c r="AE433" s="19">
        <f>IFERROR(INDEX('Exercise list'!$E$5:$X$102,MATCH($C433,'Exercise list'!$C$5:$C$102,0),MATCH(AE$5,'Exercise list'!$E$4:$X$4,0)),0)</f>
        <v>0</v>
      </c>
      <c r="AF433" s="19">
        <f>IFERROR(INDEX('Exercise list'!$E$5:$X$102,MATCH($C433,'Exercise list'!$C$5:$C$102,0),MATCH(AF$5,'Exercise list'!$E$4:$X$4,0)),0)</f>
        <v>0</v>
      </c>
      <c r="AG433" s="19">
        <f>IFERROR(INDEX('Exercise list'!$E$5:$X$102,MATCH($C433,'Exercise list'!$C$5:$C$102,0),MATCH(AG$5,'Exercise list'!$E$4:$X$4,0)),0)</f>
        <v>0</v>
      </c>
      <c r="AH433" s="19">
        <f>IFERROR(INDEX('Exercise list'!$E$5:$X$102,MATCH($C433,'Exercise list'!$C$5:$C$102,0),MATCH(AH$5,'Exercise list'!$E$4:$X$4,0)),0)</f>
        <v>0</v>
      </c>
      <c r="AI433" s="19">
        <f>IFERROR(INDEX('Exercise list'!$E$5:$X$102,MATCH($C433,'Exercise list'!$C$5:$C$102,0),MATCH(AI$5,'Exercise list'!$E$4:$X$4,0)),0)</f>
        <v>0</v>
      </c>
      <c r="AJ433" s="19"/>
      <c r="AK433" s="19">
        <f>IF(OR($J433=1,COUNTIFS($A$5:$A432,"&gt;="&amp;$A433-1,$A$5:$A432,"&lt;="&amp;$A433,$B$5:$B432,$B433)&gt;0,MIN(1-'Exercise list'!E$2,IF($A433=$A432,AK432,1))-P433&lt;0),-1,MIN(1,IF($A433=$A432,AK432,1)-P433+$D$2))</f>
        <v>1</v>
      </c>
      <c r="AL433" s="19">
        <f>IF(OR($J433=1,COUNTIFS($A$5:$A432,"&gt;="&amp;$A433-1,$A$5:$A432,"&lt;="&amp;$A433,$B$5:$B432,$B433)&gt;0,MIN(1-'Exercise list'!F$2,IF($A433=$A432,AL432,1))-Q433&lt;0),-1,MIN(1,IF($A433=$A432,AL432,1)-Q433+$D$2))</f>
        <v>1</v>
      </c>
      <c r="AM433" s="19">
        <f>IF(OR($J433=1,COUNTIFS($A$5:$A432,"&gt;="&amp;$A433-1,$A$5:$A432,"&lt;="&amp;$A433,$B$5:$B432,$B433)&gt;0,MIN(1-'Exercise list'!G$2,IF($A433=$A432,AM432,1))-R433&lt;0),-1,MIN(1,IF($A433=$A432,AM432,1)-R433+$D$2))</f>
        <v>1</v>
      </c>
      <c r="AN433" s="19">
        <f>IF(OR($J433=1,COUNTIFS($A$5:$A432,"&gt;="&amp;$A433-1,$A$5:$A432,"&lt;="&amp;$A433,$B$5:$B432,$B433)&gt;0,MIN(1-'Exercise list'!H$2,IF($A433=$A432,AN432,1))-S433&lt;0),-1,MIN(1,IF($A433=$A432,AN432,1)-S433+$D$2))</f>
        <v>1</v>
      </c>
      <c r="AO433" s="19">
        <f>IF(OR($J433=1,COUNTIFS($A$5:$A432,"&gt;="&amp;$A433-1,$A$5:$A432,"&lt;="&amp;$A433,$B$5:$B432,$B433)&gt;0,MIN(1-'Exercise list'!I$2,IF($A433=$A432,AO432,1))-T433&lt;0),-1,MIN(1,IF($A433=$A432,AO432,1)-T433+$D$2))</f>
        <v>1</v>
      </c>
      <c r="AP433" s="19">
        <f>IF(OR($J433=1,COUNTIFS($A$5:$A432,"&gt;="&amp;$A433-1,$A$5:$A432,"&lt;="&amp;$A433,$B$5:$B432,$B433)&gt;0,MIN(1-'Exercise list'!J$2,IF($A433=$A432,AP432,1))-U433&lt;0),-1,MIN(1,IF($A433=$A432,AP432,1)-U433+$D$2))</f>
        <v>1</v>
      </c>
      <c r="AQ433" s="19">
        <f>IF(OR($J433=1,COUNTIFS($A$5:$A432,"&gt;="&amp;$A433-1,$A$5:$A432,"&lt;="&amp;$A433,$B$5:$B432,$B433)&gt;0,MIN(1-'Exercise list'!K$2,IF($A433=$A432,AQ432,1))-V433&lt;0),-1,MIN(1,IF($A433=$A432,AQ432,1)-V433+$D$2))</f>
        <v>1</v>
      </c>
      <c r="AR433" s="19">
        <f>IF(OR($J433=1,COUNTIFS($A$5:$A432,"&gt;="&amp;$A433-1,$A$5:$A432,"&lt;="&amp;$A433,$B$5:$B432,$B433)&gt;0,MIN(1-'Exercise list'!L$2,IF($A433=$A432,AR432,1))-W433&lt;0),-1,MIN(1,IF($A433=$A432,AR432,1)-W433+$D$2))</f>
        <v>1</v>
      </c>
      <c r="AS433" s="19">
        <f>IF(OR($J433=1,COUNTIFS($A$5:$A432,"&gt;="&amp;$A433-1,$A$5:$A432,"&lt;="&amp;$A433,$B$5:$B432,$B433)&gt;0,MIN(1-'Exercise list'!M$2,IF($A433=$A432,AS432,1))-X433&lt;0),-1,MIN(1,IF($A433=$A432,AS432,1)-X433+$D$2))</f>
        <v>1</v>
      </c>
      <c r="AT433" s="19">
        <f>IF(OR($J433=1,COUNTIFS($A$5:$A432,"&gt;="&amp;$A433-1,$A$5:$A432,"&lt;="&amp;$A433,$B$5:$B432,$B433)&gt;0,MIN(1-'Exercise list'!N$2,IF($A433=$A432,AT432,1))-Y433&lt;0),-1,MIN(1,IF($A433=$A432,AT432,1)-Y433+$D$2))</f>
        <v>1</v>
      </c>
      <c r="AU433" s="19">
        <f>IF(OR($J433=1,COUNTIFS($A$5:$A432,"&gt;="&amp;$A433-1,$A$5:$A432,"&lt;="&amp;$A433,$B$5:$B432,$B433)&gt;0,MIN(1-'Exercise list'!O$2,IF($A433=$A432,AU432,1))-Z433&lt;0),-1,MIN(1,IF($A433=$A432,AU432,1)-Z433+$D$2))</f>
        <v>1</v>
      </c>
      <c r="AV433" s="19">
        <f>IF(OR($J433=1,COUNTIFS($A$5:$A432,"&gt;="&amp;$A433-1,$A$5:$A432,"&lt;="&amp;$A433,$B$5:$B432,$B433)&gt;0,MIN(1-'Exercise list'!P$2,IF($A433=$A432,AV432,1))-AA433&lt;0),-1,MIN(1,IF($A433=$A432,AV432,1)-AA433+$D$2))</f>
        <v>1</v>
      </c>
      <c r="AW433" s="19">
        <f>IF(OR($J433=1,COUNTIFS($A$5:$A432,"&gt;="&amp;$A433-1,$A$5:$A432,"&lt;="&amp;$A433,$B$5:$B432,$B433)&gt;0,MIN(1-'Exercise list'!Q$2,IF($A433=$A432,AW432,1))-AB433&lt;0),-1,MIN(1,IF($A433=$A432,AW432,1)-AB433+$D$2))</f>
        <v>1</v>
      </c>
      <c r="AX433" s="19">
        <f>IF(OR($J433=1,COUNTIFS($A$5:$A432,"&gt;="&amp;$A433-1,$A$5:$A432,"&lt;="&amp;$A433,$B$5:$B432,$B433)&gt;0,MIN(1-'Exercise list'!R$2,IF($A433=$A432,AX432,1))-AC433&lt;0),-1,MIN(1,IF($A433=$A432,AX432,1)-AC433+$D$2))</f>
        <v>1</v>
      </c>
      <c r="AY433" s="19">
        <f>IF(OR($J433=1,COUNTIFS($A$5:$A432,"&gt;="&amp;$A433-1,$A$5:$A432,"&lt;="&amp;$A433,$B$5:$B432,$B433)&gt;0,MIN(1-'Exercise list'!S$2,IF($A433=$A432,AY432,1))-AD433&lt;0),-1,MIN(1,IF($A433=$A432,AY432,1)-AD433+$D$2))</f>
        <v>1</v>
      </c>
      <c r="AZ433" s="19">
        <f>IF(OR($J433=1,COUNTIFS($A$5:$A432,"&gt;="&amp;$A433-1,$A$5:$A432,"&lt;="&amp;$A433,$B$5:$B432,$B433)&gt;0,MIN(1-'Exercise list'!T$2,IF($A433=$A432,AZ432,1))-AE433&lt;0),-1,MIN(1,IF($A433=$A432,AZ432,1)-AE433+$D$2))</f>
        <v>1</v>
      </c>
      <c r="BA433" s="19">
        <f>IF(OR($J433=1,COUNTIFS($A$5:$A432,"&gt;="&amp;$A433-1,$A$5:$A432,"&lt;="&amp;$A433,$B$5:$B432,$B433)&gt;0,MIN(1-'Exercise list'!U$2,IF($A433=$A432,BA432,1))-AF433&lt;0),-1,MIN(1,IF($A433=$A432,BA432,1)-AF433+$D$2))</f>
        <v>1</v>
      </c>
      <c r="BB433" s="19">
        <f>IF(OR($J433=1,COUNTIFS($A$5:$A432,"&gt;="&amp;$A433-1,$A$5:$A432,"&lt;="&amp;$A433,$B$5:$B432,$B433)&gt;0,MIN(1-'Exercise list'!V$2,IF($A433=$A432,BB432,1))-AG433&lt;0),-1,MIN(1,IF($A433=$A432,BB432,1)-AG433+$D$2))</f>
        <v>1</v>
      </c>
      <c r="BC433" s="19">
        <f>IF(OR($J433=1,COUNTIFS($A$5:$A432,"&gt;="&amp;$A433-1,$A$5:$A432,"&lt;="&amp;$A433,$B$5:$B432,$B433)&gt;0,MIN(1-'Exercise list'!W$2,IF($A433=$A432,BC432,1))-AH433&lt;0),-1,MIN(1,IF($A433=$A432,BC432,1)-AH433+$D$2))</f>
        <v>1</v>
      </c>
      <c r="BD433" s="19">
        <f>IF(OR($J433=1,COUNTIFS($A$5:$A432,"&gt;="&amp;$A433-1,$A$5:$A432,"&lt;="&amp;$A433,$B$5:$B432,$B433)&gt;0,MIN(1-'Exercise list'!X$2,IF($A433=$A432,BD432,1))-AI433&lt;0),-1,MIN(1,IF($A433=$A432,BD432,1)-AI433+$D$2))</f>
        <v>1</v>
      </c>
      <c r="BE433" s="19"/>
      <c r="BF433" s="23">
        <f t="shared" si="321"/>
        <v>0.19596031081758858</v>
      </c>
      <c r="BG433" s="23">
        <f t="shared" si="322"/>
        <v>0.21844636935459236</v>
      </c>
      <c r="BH433" s="23">
        <f t="shared" si="323"/>
        <v>0.14609696635987124</v>
      </c>
      <c r="BI433" s="23">
        <f t="shared" si="324"/>
        <v>0.13198015366034541</v>
      </c>
      <c r="BJ433" s="23">
        <f t="shared" si="325"/>
        <v>8.3367914198418713E-2</v>
      </c>
      <c r="BK433" s="23">
        <f t="shared" si="326"/>
        <v>0.10640640223148412</v>
      </c>
      <c r="BL433" s="23">
        <f t="shared" si="327"/>
        <v>0.21963504743569431</v>
      </c>
      <c r="BM433" s="23">
        <f t="shared" si="328"/>
        <v>3.8988008374820568E-3</v>
      </c>
      <c r="BN433" s="23">
        <f t="shared" si="329"/>
        <v>0.14537706087090876</v>
      </c>
      <c r="BO433" s="23">
        <f t="shared" si="330"/>
        <v>0.29209790661993401</v>
      </c>
      <c r="BP433" s="23">
        <f t="shared" si="331"/>
        <v>0.31584545163401867</v>
      </c>
      <c r="BQ433" s="23">
        <f t="shared" si="332"/>
        <v>0.1000007994126096</v>
      </c>
      <c r="BR433" s="23">
        <f t="shared" si="333"/>
        <v>0.13164487759885393</v>
      </c>
      <c r="BS433" s="23">
        <f t="shared" si="334"/>
        <v>2.9803550189863123E-2</v>
      </c>
      <c r="BT433" s="23">
        <f t="shared" si="335"/>
        <v>0.13492040904978705</v>
      </c>
      <c r="BU433" s="23">
        <f t="shared" si="336"/>
        <v>0.11703687414398131</v>
      </c>
      <c r="BV433" s="23">
        <f t="shared" si="337"/>
        <v>0.14633353213781661</v>
      </c>
      <c r="BW433" s="23">
        <f t="shared" si="338"/>
        <v>7.5588015111767173E-2</v>
      </c>
      <c r="BX433" s="23">
        <f t="shared" si="339"/>
        <v>8.0345659937185704E-2</v>
      </c>
      <c r="BY433" s="23">
        <f t="shared" si="340"/>
        <v>5.9014643151272549E-2</v>
      </c>
      <c r="BZ433" s="19"/>
      <c r="CA433" s="23" t="str">
        <f t="shared" si="317"/>
        <v/>
      </c>
      <c r="CB433" s="23" t="str">
        <f t="shared" si="298"/>
        <v/>
      </c>
      <c r="CC433" s="23" t="str">
        <f t="shared" si="299"/>
        <v/>
      </c>
      <c r="CD433" s="23" t="str">
        <f t="shared" si="300"/>
        <v/>
      </c>
      <c r="CE433" s="23" t="str">
        <f t="shared" si="301"/>
        <v/>
      </c>
      <c r="CF433" s="23" t="str">
        <f t="shared" si="302"/>
        <v/>
      </c>
      <c r="CG433" s="23" t="str">
        <f t="shared" si="303"/>
        <v/>
      </c>
      <c r="CH433" s="23" t="str">
        <f t="shared" si="304"/>
        <v/>
      </c>
      <c r="CI433" s="23" t="str">
        <f t="shared" si="305"/>
        <v/>
      </c>
      <c r="CJ433" s="23" t="str">
        <f t="shared" si="306"/>
        <v/>
      </c>
      <c r="CK433" s="23" t="str">
        <f t="shared" si="307"/>
        <v/>
      </c>
      <c r="CL433" s="23" t="str">
        <f t="shared" si="308"/>
        <v/>
      </c>
      <c r="CM433" s="23" t="str">
        <f t="shared" si="309"/>
        <v/>
      </c>
      <c r="CN433" s="23" t="str">
        <f t="shared" si="310"/>
        <v/>
      </c>
      <c r="CO433" s="23" t="str">
        <f t="shared" si="311"/>
        <v/>
      </c>
      <c r="CP433" s="23" t="str">
        <f t="shared" si="312"/>
        <v/>
      </c>
      <c r="CQ433" s="23" t="str">
        <f t="shared" si="313"/>
        <v/>
      </c>
      <c r="CR433" s="23" t="str">
        <f t="shared" si="314"/>
        <v/>
      </c>
      <c r="CS433" s="23" t="str">
        <f t="shared" si="315"/>
        <v/>
      </c>
      <c r="CT433" s="23" t="str">
        <f t="shared" si="316"/>
        <v/>
      </c>
      <c r="CU433" s="19"/>
    </row>
    <row r="434" spans="1:99" x14ac:dyDescent="0.25">
      <c r="A434" s="13"/>
      <c r="B434" s="14"/>
      <c r="C434" s="15" t="str" cm="1">
        <f t="array" ref="C434">IF(B434="","",INDEX('Exercise list'!$C$5:$C$102,B434))</f>
        <v/>
      </c>
      <c r="D434" s="12" t="str">
        <f t="shared" si="318"/>
        <v/>
      </c>
      <c r="E434" s="107" t="str">
        <f t="shared" si="341"/>
        <v/>
      </c>
      <c r="F434" s="63" t="str" cm="1">
        <f t="array" ref="F434">IF(B434="","",0.1+IFERROR(INDEX($F$6:$F433,SUMPRODUCT(MAX(ROW($C$6:$C433)*($C434=$C$6:$C433))-ROW($A$5)))*0.9^($A434-INDEX($A$6:A433,SUMPRODUCT(MAX(ROW($C$6:$C433)*($C434=$C$6:$C433))-ROW($A$5)))),0))</f>
        <v/>
      </c>
      <c r="G434" s="64" t="e">
        <f>INDEX('Exercise list'!$Y$5:$Y$102,MATCH(C434,'Exercise list'!$C$5:$C$102,0))</f>
        <v>#N/A</v>
      </c>
      <c r="H434" s="115">
        <f t="shared" si="319"/>
        <v>0</v>
      </c>
      <c r="I434" s="42">
        <f t="shared" si="320"/>
        <v>5</v>
      </c>
      <c r="J434" s="6" t="str" cm="1">
        <f t="array" ref="J434">IF(B434="","",INDEX('Exercise list'!$D$5:$D$102,B434))</f>
        <v/>
      </c>
      <c r="K434" s="12"/>
      <c r="L434" s="74" t="str" cm="1">
        <f t="array" ref="L434">IF(K434="","",INDEX('Exercise list'!$C$5:$C$102,K434))</f>
        <v/>
      </c>
      <c r="M434" s="6"/>
      <c r="N434" s="75" t="str" cm="1">
        <f t="array" ref="N434">IF(M434="","",INDEX('Exercise list'!$C$5:$C$102,M434))</f>
        <v/>
      </c>
      <c r="P434">
        <f>IFERROR(INDEX('Exercise list'!$E$5:$X$102,MATCH($C434,'Exercise list'!$C$5:$C$102,0),MATCH(P$5,'Exercise list'!$E$4:$X$4,0)),0)</f>
        <v>0</v>
      </c>
      <c r="Q434">
        <f>IFERROR(INDEX('Exercise list'!$E$5:$X$102,MATCH($C434,'Exercise list'!$C$5:$C$102,0),MATCH(Q$5,'Exercise list'!$E$4:$X$4,0)),0)</f>
        <v>0</v>
      </c>
      <c r="R434">
        <f>IFERROR(INDEX('Exercise list'!$E$5:$X$102,MATCH($C434,'Exercise list'!$C$5:$C$102,0),MATCH(R$5,'Exercise list'!$E$4:$X$4,0)),0)</f>
        <v>0</v>
      </c>
      <c r="S434">
        <f>IFERROR(INDEX('Exercise list'!$E$5:$X$102,MATCH($C434,'Exercise list'!$C$5:$C$102,0),MATCH(S$5,'Exercise list'!$E$4:$X$4,0)),0)</f>
        <v>0</v>
      </c>
      <c r="T434">
        <f>IFERROR(INDEX('Exercise list'!$E$5:$X$102,MATCH($C434,'Exercise list'!$C$5:$C$102,0),MATCH(T$5,'Exercise list'!$E$4:$X$4,0)),0)</f>
        <v>0</v>
      </c>
      <c r="U434">
        <f>IFERROR(INDEX('Exercise list'!$E$5:$X$102,MATCH($C434,'Exercise list'!$C$5:$C$102,0),MATCH(U$5,'Exercise list'!$E$4:$X$4,0)),0)</f>
        <v>0</v>
      </c>
      <c r="V434">
        <f>IFERROR(INDEX('Exercise list'!$E$5:$X$102,MATCH($C434,'Exercise list'!$C$5:$C$102,0),MATCH(V$5,'Exercise list'!$E$4:$X$4,0)),0)</f>
        <v>0</v>
      </c>
      <c r="W434">
        <f>IFERROR(INDEX('Exercise list'!$E$5:$X$102,MATCH($C434,'Exercise list'!$C$5:$C$102,0),MATCH(W$5,'Exercise list'!$E$4:$X$4,0)),0)</f>
        <v>0</v>
      </c>
      <c r="X434">
        <f>IFERROR(INDEX('Exercise list'!$E$5:$X$102,MATCH($C434,'Exercise list'!$C$5:$C$102,0),MATCH(X$5,'Exercise list'!$E$4:$X$4,0)),0)</f>
        <v>0</v>
      </c>
      <c r="Y434">
        <f>IFERROR(INDEX('Exercise list'!$E$5:$X$102,MATCH($C434,'Exercise list'!$C$5:$C$102,0),MATCH(Y$5,'Exercise list'!$E$4:$X$4,0)),0)</f>
        <v>0</v>
      </c>
      <c r="Z434">
        <f>IFERROR(INDEX('Exercise list'!$E$5:$X$102,MATCH($C434,'Exercise list'!$C$5:$C$102,0),MATCH(Z$5,'Exercise list'!$E$4:$X$4,0)),0)</f>
        <v>0</v>
      </c>
      <c r="AA434">
        <f>IFERROR(INDEX('Exercise list'!$E$5:$X$102,MATCH($C434,'Exercise list'!$C$5:$C$102,0),MATCH(AA$5,'Exercise list'!$E$4:$X$4,0)),0)</f>
        <v>0</v>
      </c>
      <c r="AB434">
        <f>IFERROR(INDEX('Exercise list'!$E$5:$X$102,MATCH($C434,'Exercise list'!$C$5:$C$102,0),MATCH(AB$5,'Exercise list'!$E$4:$X$4,0)),0)</f>
        <v>0</v>
      </c>
      <c r="AC434">
        <f>IFERROR(INDEX('Exercise list'!$E$5:$X$102,MATCH($C434,'Exercise list'!$C$5:$C$102,0),MATCH(AC$5,'Exercise list'!$E$4:$X$4,0)),0)</f>
        <v>0</v>
      </c>
      <c r="AD434">
        <f>IFERROR(INDEX('Exercise list'!$E$5:$X$102,MATCH($C434,'Exercise list'!$C$5:$C$102,0),MATCH(AD$5,'Exercise list'!$E$4:$X$4,0)),0)</f>
        <v>0</v>
      </c>
      <c r="AE434">
        <f>IFERROR(INDEX('Exercise list'!$E$5:$X$102,MATCH($C434,'Exercise list'!$C$5:$C$102,0),MATCH(AE$5,'Exercise list'!$E$4:$X$4,0)),0)</f>
        <v>0</v>
      </c>
      <c r="AF434">
        <f>IFERROR(INDEX('Exercise list'!$E$5:$X$102,MATCH($C434,'Exercise list'!$C$5:$C$102,0),MATCH(AF$5,'Exercise list'!$E$4:$X$4,0)),0)</f>
        <v>0</v>
      </c>
      <c r="AG434">
        <f>IFERROR(INDEX('Exercise list'!$E$5:$X$102,MATCH($C434,'Exercise list'!$C$5:$C$102,0),MATCH(AG$5,'Exercise list'!$E$4:$X$4,0)),0)</f>
        <v>0</v>
      </c>
      <c r="AH434">
        <f>IFERROR(INDEX('Exercise list'!$E$5:$X$102,MATCH($C434,'Exercise list'!$C$5:$C$102,0),MATCH(AH$5,'Exercise list'!$E$4:$X$4,0)),0)</f>
        <v>0</v>
      </c>
      <c r="AI434">
        <f>IFERROR(INDEX('Exercise list'!$E$5:$X$102,MATCH($C434,'Exercise list'!$C$5:$C$102,0),MATCH(AI$5,'Exercise list'!$E$4:$X$4,0)),0)</f>
        <v>0</v>
      </c>
      <c r="AK434">
        <f>IF(OR($J434=1,COUNTIFS($A$5:$A433,"&gt;="&amp;$A434-1,$A$5:$A433,"&lt;="&amp;$A434,$B$5:$B433,$B434)&gt;0,MIN(1-'Exercise list'!E$2,IF($A434=$A433,AK433,1))-P434&lt;0),-1,MIN(1,IF($A434=$A433,AK433,1)-P434+$D$2))</f>
        <v>1</v>
      </c>
      <c r="AL434">
        <f>IF(OR($J434=1,COUNTIFS($A$5:$A433,"&gt;="&amp;$A434-1,$A$5:$A433,"&lt;="&amp;$A434,$B$5:$B433,$B434)&gt;0,MIN(1-'Exercise list'!F$2,IF($A434=$A433,AL433,1))-Q434&lt;0),-1,MIN(1,IF($A434=$A433,AL433,1)-Q434+$D$2))</f>
        <v>1</v>
      </c>
      <c r="AM434">
        <f>IF(OR($J434=1,COUNTIFS($A$5:$A433,"&gt;="&amp;$A434-1,$A$5:$A433,"&lt;="&amp;$A434,$B$5:$B433,$B434)&gt;0,MIN(1-'Exercise list'!G$2,IF($A434=$A433,AM433,1))-R434&lt;0),-1,MIN(1,IF($A434=$A433,AM433,1)-R434+$D$2))</f>
        <v>1</v>
      </c>
      <c r="AN434">
        <f>IF(OR($J434=1,COUNTIFS($A$5:$A433,"&gt;="&amp;$A434-1,$A$5:$A433,"&lt;="&amp;$A434,$B$5:$B433,$B434)&gt;0,MIN(1-'Exercise list'!H$2,IF($A434=$A433,AN433,1))-S434&lt;0),-1,MIN(1,IF($A434=$A433,AN433,1)-S434+$D$2))</f>
        <v>1</v>
      </c>
      <c r="AO434">
        <f>IF(OR($J434=1,COUNTIFS($A$5:$A433,"&gt;="&amp;$A434-1,$A$5:$A433,"&lt;="&amp;$A434,$B$5:$B433,$B434)&gt;0,MIN(1-'Exercise list'!I$2,IF($A434=$A433,AO433,1))-T434&lt;0),-1,MIN(1,IF($A434=$A433,AO433,1)-T434+$D$2))</f>
        <v>1</v>
      </c>
      <c r="AP434">
        <f>IF(OR($J434=1,COUNTIFS($A$5:$A433,"&gt;="&amp;$A434-1,$A$5:$A433,"&lt;="&amp;$A434,$B$5:$B433,$B434)&gt;0,MIN(1-'Exercise list'!J$2,IF($A434=$A433,AP433,1))-U434&lt;0),-1,MIN(1,IF($A434=$A433,AP433,1)-U434+$D$2))</f>
        <v>1</v>
      </c>
      <c r="AQ434">
        <f>IF(OR($J434=1,COUNTIFS($A$5:$A433,"&gt;="&amp;$A434-1,$A$5:$A433,"&lt;="&amp;$A434,$B$5:$B433,$B434)&gt;0,MIN(1-'Exercise list'!K$2,IF($A434=$A433,AQ433,1))-V434&lt;0),-1,MIN(1,IF($A434=$A433,AQ433,1)-V434+$D$2))</f>
        <v>1</v>
      </c>
      <c r="AR434">
        <f>IF(OR($J434=1,COUNTIFS($A$5:$A433,"&gt;="&amp;$A434-1,$A$5:$A433,"&lt;="&amp;$A434,$B$5:$B433,$B434)&gt;0,MIN(1-'Exercise list'!L$2,IF($A434=$A433,AR433,1))-W434&lt;0),-1,MIN(1,IF($A434=$A433,AR433,1)-W434+$D$2))</f>
        <v>1</v>
      </c>
      <c r="AS434">
        <f>IF(OR($J434=1,COUNTIFS($A$5:$A433,"&gt;="&amp;$A434-1,$A$5:$A433,"&lt;="&amp;$A434,$B$5:$B433,$B434)&gt;0,MIN(1-'Exercise list'!M$2,IF($A434=$A433,AS433,1))-X434&lt;0),-1,MIN(1,IF($A434=$A433,AS433,1)-X434+$D$2))</f>
        <v>1</v>
      </c>
      <c r="AT434">
        <f>IF(OR($J434=1,COUNTIFS($A$5:$A433,"&gt;="&amp;$A434-1,$A$5:$A433,"&lt;="&amp;$A434,$B$5:$B433,$B434)&gt;0,MIN(1-'Exercise list'!N$2,IF($A434=$A433,AT433,1))-Y434&lt;0),-1,MIN(1,IF($A434=$A433,AT433,1)-Y434+$D$2))</f>
        <v>1</v>
      </c>
      <c r="AU434">
        <f>IF(OR($J434=1,COUNTIFS($A$5:$A433,"&gt;="&amp;$A434-1,$A$5:$A433,"&lt;="&amp;$A434,$B$5:$B433,$B434)&gt;0,MIN(1-'Exercise list'!O$2,IF($A434=$A433,AU433,1))-Z434&lt;0),-1,MIN(1,IF($A434=$A433,AU433,1)-Z434+$D$2))</f>
        <v>1</v>
      </c>
      <c r="AV434">
        <f>IF(OR($J434=1,COUNTIFS($A$5:$A433,"&gt;="&amp;$A434-1,$A$5:$A433,"&lt;="&amp;$A434,$B$5:$B433,$B434)&gt;0,MIN(1-'Exercise list'!P$2,IF($A434=$A433,AV433,1))-AA434&lt;0),-1,MIN(1,IF($A434=$A433,AV433,1)-AA434+$D$2))</f>
        <v>1</v>
      </c>
      <c r="AW434">
        <f>IF(OR($J434=1,COUNTIFS($A$5:$A433,"&gt;="&amp;$A434-1,$A$5:$A433,"&lt;="&amp;$A434,$B$5:$B433,$B434)&gt;0,MIN(1-'Exercise list'!Q$2,IF($A434=$A433,AW433,1))-AB434&lt;0),-1,MIN(1,IF($A434=$A433,AW433,1)-AB434+$D$2))</f>
        <v>1</v>
      </c>
      <c r="AX434">
        <f>IF(OR($J434=1,COUNTIFS($A$5:$A433,"&gt;="&amp;$A434-1,$A$5:$A433,"&lt;="&amp;$A434,$B$5:$B433,$B434)&gt;0,MIN(1-'Exercise list'!R$2,IF($A434=$A433,AX433,1))-AC434&lt;0),-1,MIN(1,IF($A434=$A433,AX433,1)-AC434+$D$2))</f>
        <v>1</v>
      </c>
      <c r="AY434">
        <f>IF(OR($J434=1,COUNTIFS($A$5:$A433,"&gt;="&amp;$A434-1,$A$5:$A433,"&lt;="&amp;$A434,$B$5:$B433,$B434)&gt;0,MIN(1-'Exercise list'!S$2,IF($A434=$A433,AY433,1))-AD434&lt;0),-1,MIN(1,IF($A434=$A433,AY433,1)-AD434+$D$2))</f>
        <v>1</v>
      </c>
      <c r="AZ434">
        <f>IF(OR($J434=1,COUNTIFS($A$5:$A433,"&gt;="&amp;$A434-1,$A$5:$A433,"&lt;="&amp;$A434,$B$5:$B433,$B434)&gt;0,MIN(1-'Exercise list'!T$2,IF($A434=$A433,AZ433,1))-AE434&lt;0),-1,MIN(1,IF($A434=$A433,AZ433,1)-AE434+$D$2))</f>
        <v>1</v>
      </c>
      <c r="BA434">
        <f>IF(OR($J434=1,COUNTIFS($A$5:$A433,"&gt;="&amp;$A434-1,$A$5:$A433,"&lt;="&amp;$A434,$B$5:$B433,$B434)&gt;0,MIN(1-'Exercise list'!U$2,IF($A434=$A433,BA433,1))-AF434&lt;0),-1,MIN(1,IF($A434=$A433,BA433,1)-AF434+$D$2))</f>
        <v>1</v>
      </c>
      <c r="BB434">
        <f>IF(OR($J434=1,COUNTIFS($A$5:$A433,"&gt;="&amp;$A434-1,$A$5:$A433,"&lt;="&amp;$A434,$B$5:$B433,$B434)&gt;0,MIN(1-'Exercise list'!V$2,IF($A434=$A433,BB433,1))-AG434&lt;0),-1,MIN(1,IF($A434=$A433,BB433,1)-AG434+$D$2))</f>
        <v>1</v>
      </c>
      <c r="BC434">
        <f>IF(OR($J434=1,COUNTIFS($A$5:$A433,"&gt;="&amp;$A434-1,$A$5:$A433,"&lt;="&amp;$A434,$B$5:$B433,$B434)&gt;0,MIN(1-'Exercise list'!W$2,IF($A434=$A433,BC433,1))-AH434&lt;0),-1,MIN(1,IF($A434=$A433,BC433,1)-AH434+$D$2))</f>
        <v>1</v>
      </c>
      <c r="BD434">
        <f>IF(OR($J434=1,COUNTIFS($A$5:$A433,"&gt;="&amp;$A434-1,$A$5:$A433,"&lt;="&amp;$A434,$B$5:$B433,$B434)&gt;0,MIN(1-'Exercise list'!X$2,IF($A434=$A433,BD433,1))-AI434&lt;0),-1,MIN(1,IF($A434=$A433,BD433,1)-AI434+$D$2))</f>
        <v>1</v>
      </c>
      <c r="BF434" s="16">
        <f t="shared" si="321"/>
        <v>0.19596031081758858</v>
      </c>
      <c r="BG434" s="16">
        <f t="shared" si="322"/>
        <v>0.21844636935459236</v>
      </c>
      <c r="BH434" s="16">
        <f t="shared" si="323"/>
        <v>0.14609696635987124</v>
      </c>
      <c r="BI434" s="16">
        <f t="shared" si="324"/>
        <v>0.13198015366034541</v>
      </c>
      <c r="BJ434" s="16">
        <f t="shared" si="325"/>
        <v>8.3367914198418713E-2</v>
      </c>
      <c r="BK434" s="16">
        <f t="shared" si="326"/>
        <v>0.10640640223148412</v>
      </c>
      <c r="BL434" s="16">
        <f t="shared" si="327"/>
        <v>0.21963504743569431</v>
      </c>
      <c r="BM434" s="16">
        <f t="shared" si="328"/>
        <v>3.8988008374820568E-3</v>
      </c>
      <c r="BN434" s="16">
        <f t="shared" si="329"/>
        <v>0.14537706087090876</v>
      </c>
      <c r="BO434" s="16">
        <f t="shared" si="330"/>
        <v>0.29209790661993401</v>
      </c>
      <c r="BP434" s="16">
        <f t="shared" si="331"/>
        <v>0.31584545163401867</v>
      </c>
      <c r="BQ434" s="16">
        <f t="shared" si="332"/>
        <v>0.1000007994126096</v>
      </c>
      <c r="BR434" s="16">
        <f t="shared" si="333"/>
        <v>0.13164487759885393</v>
      </c>
      <c r="BS434" s="16">
        <f t="shared" si="334"/>
        <v>2.9803550189863123E-2</v>
      </c>
      <c r="BT434" s="16">
        <f t="shared" si="335"/>
        <v>0.13492040904978705</v>
      </c>
      <c r="BU434" s="16">
        <f t="shared" si="336"/>
        <v>0.11703687414398131</v>
      </c>
      <c r="BV434" s="16">
        <f t="shared" si="337"/>
        <v>0.14633353213781661</v>
      </c>
      <c r="BW434" s="16">
        <f t="shared" si="338"/>
        <v>7.5588015111767173E-2</v>
      </c>
      <c r="BX434" s="16">
        <f t="shared" si="339"/>
        <v>8.0345659937185704E-2</v>
      </c>
      <c r="BY434" s="16">
        <f t="shared" si="340"/>
        <v>5.9014643151272549E-2</v>
      </c>
      <c r="CA434" s="16" t="str">
        <f t="shared" si="317"/>
        <v/>
      </c>
      <c r="CB434" s="16" t="str">
        <f t="shared" si="298"/>
        <v/>
      </c>
      <c r="CC434" s="16" t="str">
        <f t="shared" si="299"/>
        <v/>
      </c>
      <c r="CD434" s="16" t="str">
        <f t="shared" si="300"/>
        <v/>
      </c>
      <c r="CE434" s="16" t="str">
        <f t="shared" si="301"/>
        <v/>
      </c>
      <c r="CF434" s="16" t="str">
        <f t="shared" si="302"/>
        <v/>
      </c>
      <c r="CG434" s="16" t="str">
        <f t="shared" si="303"/>
        <v/>
      </c>
      <c r="CH434" s="16" t="str">
        <f t="shared" si="304"/>
        <v/>
      </c>
      <c r="CI434" s="16" t="str">
        <f t="shared" si="305"/>
        <v/>
      </c>
      <c r="CJ434" s="16" t="str">
        <f t="shared" si="306"/>
        <v/>
      </c>
      <c r="CK434" s="16" t="str">
        <f t="shared" si="307"/>
        <v/>
      </c>
      <c r="CL434" s="16" t="str">
        <f t="shared" si="308"/>
        <v/>
      </c>
      <c r="CM434" s="16" t="str">
        <f t="shared" si="309"/>
        <v/>
      </c>
      <c r="CN434" s="16" t="str">
        <f t="shared" si="310"/>
        <v/>
      </c>
      <c r="CO434" s="16" t="str">
        <f t="shared" si="311"/>
        <v/>
      </c>
      <c r="CP434" s="16" t="str">
        <f t="shared" si="312"/>
        <v/>
      </c>
      <c r="CQ434" s="16" t="str">
        <f t="shared" si="313"/>
        <v/>
      </c>
      <c r="CR434" s="16" t="str">
        <f t="shared" si="314"/>
        <v/>
      </c>
      <c r="CS434" s="16" t="str">
        <f t="shared" si="315"/>
        <v/>
      </c>
      <c r="CT434" s="16" t="str">
        <f t="shared" si="316"/>
        <v/>
      </c>
    </row>
    <row r="435" spans="1:99" x14ac:dyDescent="0.25">
      <c r="A435" s="13"/>
      <c r="B435" s="14"/>
      <c r="C435" s="15" t="str" cm="1">
        <f t="array" ref="C435">IF(B435="","",INDEX('Exercise list'!$C$5:$C$102,B435))</f>
        <v/>
      </c>
      <c r="D435" s="12" t="str">
        <f t="shared" si="318"/>
        <v/>
      </c>
      <c r="E435" s="107" t="str">
        <f t="shared" si="341"/>
        <v/>
      </c>
      <c r="F435" s="63" t="str" cm="1">
        <f t="array" ref="F435">IF(B435="","",0.1+IFERROR(INDEX($F$6:$F434,SUMPRODUCT(MAX(ROW($C$6:$C434)*($C435=$C$6:$C434))-ROW($A$5)))*0.9^($A435-INDEX($A$6:A434,SUMPRODUCT(MAX(ROW($C$6:$C434)*($C435=$C$6:$C434))-ROW($A$5)))),0))</f>
        <v/>
      </c>
      <c r="G435" s="64" t="e">
        <f>INDEX('Exercise list'!$Y$5:$Y$102,MATCH(C435,'Exercise list'!$C$5:$C$102,0))</f>
        <v>#N/A</v>
      </c>
      <c r="H435" s="115">
        <f t="shared" si="319"/>
        <v>0</v>
      </c>
      <c r="I435" s="6">
        <f t="shared" si="320"/>
        <v>5</v>
      </c>
      <c r="J435" s="6" t="str" cm="1">
        <f t="array" ref="J435">IF(B435="","",INDEX('Exercise list'!$D$5:$D$102,B435))</f>
        <v/>
      </c>
      <c r="K435" s="12"/>
      <c r="L435" s="74" t="str" cm="1">
        <f t="array" ref="L435">IF(K435="","",INDEX('Exercise list'!$C$5:$C$102,K435))</f>
        <v/>
      </c>
      <c r="M435" s="6"/>
      <c r="N435" s="75" t="str" cm="1">
        <f t="array" ref="N435">IF(M435="","",INDEX('Exercise list'!$C$5:$C$102,M435))</f>
        <v/>
      </c>
      <c r="P435">
        <f>IFERROR(INDEX('Exercise list'!$E$5:$X$102,MATCH($C435,'Exercise list'!$C$5:$C$102,0),MATCH(P$5,'Exercise list'!$E$4:$X$4,0)),0)</f>
        <v>0</v>
      </c>
      <c r="Q435">
        <f>IFERROR(INDEX('Exercise list'!$E$5:$X$102,MATCH($C435,'Exercise list'!$C$5:$C$102,0),MATCH(Q$5,'Exercise list'!$E$4:$X$4,0)),0)</f>
        <v>0</v>
      </c>
      <c r="R435">
        <f>IFERROR(INDEX('Exercise list'!$E$5:$X$102,MATCH($C435,'Exercise list'!$C$5:$C$102,0),MATCH(R$5,'Exercise list'!$E$4:$X$4,0)),0)</f>
        <v>0</v>
      </c>
      <c r="S435">
        <f>IFERROR(INDEX('Exercise list'!$E$5:$X$102,MATCH($C435,'Exercise list'!$C$5:$C$102,0),MATCH(S$5,'Exercise list'!$E$4:$X$4,0)),0)</f>
        <v>0</v>
      </c>
      <c r="T435">
        <f>IFERROR(INDEX('Exercise list'!$E$5:$X$102,MATCH($C435,'Exercise list'!$C$5:$C$102,0),MATCH(T$5,'Exercise list'!$E$4:$X$4,0)),0)</f>
        <v>0</v>
      </c>
      <c r="U435">
        <f>IFERROR(INDEX('Exercise list'!$E$5:$X$102,MATCH($C435,'Exercise list'!$C$5:$C$102,0),MATCH(U$5,'Exercise list'!$E$4:$X$4,0)),0)</f>
        <v>0</v>
      </c>
      <c r="V435">
        <f>IFERROR(INDEX('Exercise list'!$E$5:$X$102,MATCH($C435,'Exercise list'!$C$5:$C$102,0),MATCH(V$5,'Exercise list'!$E$4:$X$4,0)),0)</f>
        <v>0</v>
      </c>
      <c r="W435">
        <f>IFERROR(INDEX('Exercise list'!$E$5:$X$102,MATCH($C435,'Exercise list'!$C$5:$C$102,0),MATCH(W$5,'Exercise list'!$E$4:$X$4,0)),0)</f>
        <v>0</v>
      </c>
      <c r="X435">
        <f>IFERROR(INDEX('Exercise list'!$E$5:$X$102,MATCH($C435,'Exercise list'!$C$5:$C$102,0),MATCH(X$5,'Exercise list'!$E$4:$X$4,0)),0)</f>
        <v>0</v>
      </c>
      <c r="Y435">
        <f>IFERROR(INDEX('Exercise list'!$E$5:$X$102,MATCH($C435,'Exercise list'!$C$5:$C$102,0),MATCH(Y$5,'Exercise list'!$E$4:$X$4,0)),0)</f>
        <v>0</v>
      </c>
      <c r="Z435">
        <f>IFERROR(INDEX('Exercise list'!$E$5:$X$102,MATCH($C435,'Exercise list'!$C$5:$C$102,0),MATCH(Z$5,'Exercise list'!$E$4:$X$4,0)),0)</f>
        <v>0</v>
      </c>
      <c r="AA435">
        <f>IFERROR(INDEX('Exercise list'!$E$5:$X$102,MATCH($C435,'Exercise list'!$C$5:$C$102,0),MATCH(AA$5,'Exercise list'!$E$4:$X$4,0)),0)</f>
        <v>0</v>
      </c>
      <c r="AB435">
        <f>IFERROR(INDEX('Exercise list'!$E$5:$X$102,MATCH($C435,'Exercise list'!$C$5:$C$102,0),MATCH(AB$5,'Exercise list'!$E$4:$X$4,0)),0)</f>
        <v>0</v>
      </c>
      <c r="AC435">
        <f>IFERROR(INDEX('Exercise list'!$E$5:$X$102,MATCH($C435,'Exercise list'!$C$5:$C$102,0),MATCH(AC$5,'Exercise list'!$E$4:$X$4,0)),0)</f>
        <v>0</v>
      </c>
      <c r="AD435">
        <f>IFERROR(INDEX('Exercise list'!$E$5:$X$102,MATCH($C435,'Exercise list'!$C$5:$C$102,0),MATCH(AD$5,'Exercise list'!$E$4:$X$4,0)),0)</f>
        <v>0</v>
      </c>
      <c r="AE435">
        <f>IFERROR(INDEX('Exercise list'!$E$5:$X$102,MATCH($C435,'Exercise list'!$C$5:$C$102,0),MATCH(AE$5,'Exercise list'!$E$4:$X$4,0)),0)</f>
        <v>0</v>
      </c>
      <c r="AF435">
        <f>IFERROR(INDEX('Exercise list'!$E$5:$X$102,MATCH($C435,'Exercise list'!$C$5:$C$102,0),MATCH(AF$5,'Exercise list'!$E$4:$X$4,0)),0)</f>
        <v>0</v>
      </c>
      <c r="AG435">
        <f>IFERROR(INDEX('Exercise list'!$E$5:$X$102,MATCH($C435,'Exercise list'!$C$5:$C$102,0),MATCH(AG$5,'Exercise list'!$E$4:$X$4,0)),0)</f>
        <v>0</v>
      </c>
      <c r="AH435">
        <f>IFERROR(INDEX('Exercise list'!$E$5:$X$102,MATCH($C435,'Exercise list'!$C$5:$C$102,0),MATCH(AH$5,'Exercise list'!$E$4:$X$4,0)),0)</f>
        <v>0</v>
      </c>
      <c r="AI435">
        <f>IFERROR(INDEX('Exercise list'!$E$5:$X$102,MATCH($C435,'Exercise list'!$C$5:$C$102,0),MATCH(AI$5,'Exercise list'!$E$4:$X$4,0)),0)</f>
        <v>0</v>
      </c>
      <c r="AK435">
        <f>IF(OR($J435=1,COUNTIFS($A$5:$A434,"&gt;="&amp;$A435-1,$A$5:$A434,"&lt;="&amp;$A435,$B$5:$B434,$B435)&gt;0,MIN(1-'Exercise list'!E$2,IF($A435=$A434,AK434,1))-P435&lt;0),-1,MIN(1,IF($A435=$A434,AK434,1)-P435+$D$2))</f>
        <v>1</v>
      </c>
      <c r="AL435">
        <f>IF(OR($J435=1,COUNTIFS($A$5:$A434,"&gt;="&amp;$A435-1,$A$5:$A434,"&lt;="&amp;$A435,$B$5:$B434,$B435)&gt;0,MIN(1-'Exercise list'!F$2,IF($A435=$A434,AL434,1))-Q435&lt;0),-1,MIN(1,IF($A435=$A434,AL434,1)-Q435+$D$2))</f>
        <v>1</v>
      </c>
      <c r="AM435">
        <f>IF(OR($J435=1,COUNTIFS($A$5:$A434,"&gt;="&amp;$A435-1,$A$5:$A434,"&lt;="&amp;$A435,$B$5:$B434,$B435)&gt;0,MIN(1-'Exercise list'!G$2,IF($A435=$A434,AM434,1))-R435&lt;0),-1,MIN(1,IF($A435=$A434,AM434,1)-R435+$D$2))</f>
        <v>1</v>
      </c>
      <c r="AN435">
        <f>IF(OR($J435=1,COUNTIFS($A$5:$A434,"&gt;="&amp;$A435-1,$A$5:$A434,"&lt;="&amp;$A435,$B$5:$B434,$B435)&gt;0,MIN(1-'Exercise list'!H$2,IF($A435=$A434,AN434,1))-S435&lt;0),-1,MIN(1,IF($A435=$A434,AN434,1)-S435+$D$2))</f>
        <v>1</v>
      </c>
      <c r="AO435">
        <f>IF(OR($J435=1,COUNTIFS($A$5:$A434,"&gt;="&amp;$A435-1,$A$5:$A434,"&lt;="&amp;$A435,$B$5:$B434,$B435)&gt;0,MIN(1-'Exercise list'!I$2,IF($A435=$A434,AO434,1))-T435&lt;0),-1,MIN(1,IF($A435=$A434,AO434,1)-T435+$D$2))</f>
        <v>1</v>
      </c>
      <c r="AP435">
        <f>IF(OR($J435=1,COUNTIFS($A$5:$A434,"&gt;="&amp;$A435-1,$A$5:$A434,"&lt;="&amp;$A435,$B$5:$B434,$B435)&gt;0,MIN(1-'Exercise list'!J$2,IF($A435=$A434,AP434,1))-U435&lt;0),-1,MIN(1,IF($A435=$A434,AP434,1)-U435+$D$2))</f>
        <v>1</v>
      </c>
      <c r="AQ435">
        <f>IF(OR($J435=1,COUNTIFS($A$5:$A434,"&gt;="&amp;$A435-1,$A$5:$A434,"&lt;="&amp;$A435,$B$5:$B434,$B435)&gt;0,MIN(1-'Exercise list'!K$2,IF($A435=$A434,AQ434,1))-V435&lt;0),-1,MIN(1,IF($A435=$A434,AQ434,1)-V435+$D$2))</f>
        <v>1</v>
      </c>
      <c r="AR435">
        <f>IF(OR($J435=1,COUNTIFS($A$5:$A434,"&gt;="&amp;$A435-1,$A$5:$A434,"&lt;="&amp;$A435,$B$5:$B434,$B435)&gt;0,MIN(1-'Exercise list'!L$2,IF($A435=$A434,AR434,1))-W435&lt;0),-1,MIN(1,IF($A435=$A434,AR434,1)-W435+$D$2))</f>
        <v>1</v>
      </c>
      <c r="AS435">
        <f>IF(OR($J435=1,COUNTIFS($A$5:$A434,"&gt;="&amp;$A435-1,$A$5:$A434,"&lt;="&amp;$A435,$B$5:$B434,$B435)&gt;0,MIN(1-'Exercise list'!M$2,IF($A435=$A434,AS434,1))-X435&lt;0),-1,MIN(1,IF($A435=$A434,AS434,1)-X435+$D$2))</f>
        <v>1</v>
      </c>
      <c r="AT435">
        <f>IF(OR($J435=1,COUNTIFS($A$5:$A434,"&gt;="&amp;$A435-1,$A$5:$A434,"&lt;="&amp;$A435,$B$5:$B434,$B435)&gt;0,MIN(1-'Exercise list'!N$2,IF($A435=$A434,AT434,1))-Y435&lt;0),-1,MIN(1,IF($A435=$A434,AT434,1)-Y435+$D$2))</f>
        <v>1</v>
      </c>
      <c r="AU435">
        <f>IF(OR($J435=1,COUNTIFS($A$5:$A434,"&gt;="&amp;$A435-1,$A$5:$A434,"&lt;="&amp;$A435,$B$5:$B434,$B435)&gt;0,MIN(1-'Exercise list'!O$2,IF($A435=$A434,AU434,1))-Z435&lt;0),-1,MIN(1,IF($A435=$A434,AU434,1)-Z435+$D$2))</f>
        <v>1</v>
      </c>
      <c r="AV435">
        <f>IF(OR($J435=1,COUNTIFS($A$5:$A434,"&gt;="&amp;$A435-1,$A$5:$A434,"&lt;="&amp;$A435,$B$5:$B434,$B435)&gt;0,MIN(1-'Exercise list'!P$2,IF($A435=$A434,AV434,1))-AA435&lt;0),-1,MIN(1,IF($A435=$A434,AV434,1)-AA435+$D$2))</f>
        <v>1</v>
      </c>
      <c r="AW435">
        <f>IF(OR($J435=1,COUNTIFS($A$5:$A434,"&gt;="&amp;$A435-1,$A$5:$A434,"&lt;="&amp;$A435,$B$5:$B434,$B435)&gt;0,MIN(1-'Exercise list'!Q$2,IF($A435=$A434,AW434,1))-AB435&lt;0),-1,MIN(1,IF($A435=$A434,AW434,1)-AB435+$D$2))</f>
        <v>1</v>
      </c>
      <c r="AX435">
        <f>IF(OR($J435=1,COUNTIFS($A$5:$A434,"&gt;="&amp;$A435-1,$A$5:$A434,"&lt;="&amp;$A435,$B$5:$B434,$B435)&gt;0,MIN(1-'Exercise list'!R$2,IF($A435=$A434,AX434,1))-AC435&lt;0),-1,MIN(1,IF($A435=$A434,AX434,1)-AC435+$D$2))</f>
        <v>1</v>
      </c>
      <c r="AY435">
        <f>IF(OR($J435=1,COUNTIFS($A$5:$A434,"&gt;="&amp;$A435-1,$A$5:$A434,"&lt;="&amp;$A435,$B$5:$B434,$B435)&gt;0,MIN(1-'Exercise list'!S$2,IF($A435=$A434,AY434,1))-AD435&lt;0),-1,MIN(1,IF($A435=$A434,AY434,1)-AD435+$D$2))</f>
        <v>1</v>
      </c>
      <c r="AZ435">
        <f>IF(OR($J435=1,COUNTIFS($A$5:$A434,"&gt;="&amp;$A435-1,$A$5:$A434,"&lt;="&amp;$A435,$B$5:$B434,$B435)&gt;0,MIN(1-'Exercise list'!T$2,IF($A435=$A434,AZ434,1))-AE435&lt;0),-1,MIN(1,IF($A435=$A434,AZ434,1)-AE435+$D$2))</f>
        <v>1</v>
      </c>
      <c r="BA435">
        <f>IF(OR($J435=1,COUNTIFS($A$5:$A434,"&gt;="&amp;$A435-1,$A$5:$A434,"&lt;="&amp;$A435,$B$5:$B434,$B435)&gt;0,MIN(1-'Exercise list'!U$2,IF($A435=$A434,BA434,1))-AF435&lt;0),-1,MIN(1,IF($A435=$A434,BA434,1)-AF435+$D$2))</f>
        <v>1</v>
      </c>
      <c r="BB435">
        <f>IF(OR($J435=1,COUNTIFS($A$5:$A434,"&gt;="&amp;$A435-1,$A$5:$A434,"&lt;="&amp;$A435,$B$5:$B434,$B435)&gt;0,MIN(1-'Exercise list'!V$2,IF($A435=$A434,BB434,1))-AG435&lt;0),-1,MIN(1,IF($A435=$A434,BB434,1)-AG435+$D$2))</f>
        <v>1</v>
      </c>
      <c r="BC435">
        <f>IF(OR($J435=1,COUNTIFS($A$5:$A434,"&gt;="&amp;$A435-1,$A$5:$A434,"&lt;="&amp;$A435,$B$5:$B434,$B435)&gt;0,MIN(1-'Exercise list'!W$2,IF($A435=$A434,BC434,1))-AH435&lt;0),-1,MIN(1,IF($A435=$A434,BC434,1)-AH435+$D$2))</f>
        <v>1</v>
      </c>
      <c r="BD435">
        <f>IF(OR($J435=1,COUNTIFS($A$5:$A434,"&gt;="&amp;$A435-1,$A$5:$A434,"&lt;="&amp;$A435,$B$5:$B434,$B435)&gt;0,MIN(1-'Exercise list'!X$2,IF($A435=$A434,BD434,1))-AI435&lt;0),-1,MIN(1,IF($A435=$A434,BD434,1)-AI435+$D$2))</f>
        <v>1</v>
      </c>
      <c r="BF435" s="16">
        <f t="shared" si="321"/>
        <v>0.19596031081758858</v>
      </c>
      <c r="BG435" s="16">
        <f t="shared" si="322"/>
        <v>0.21844636935459236</v>
      </c>
      <c r="BH435" s="16">
        <f t="shared" si="323"/>
        <v>0.14609696635987124</v>
      </c>
      <c r="BI435" s="16">
        <f t="shared" si="324"/>
        <v>0.13198015366034541</v>
      </c>
      <c r="BJ435" s="16">
        <f t="shared" si="325"/>
        <v>8.3367914198418713E-2</v>
      </c>
      <c r="BK435" s="16">
        <f t="shared" si="326"/>
        <v>0.10640640223148412</v>
      </c>
      <c r="BL435" s="16">
        <f t="shared" si="327"/>
        <v>0.21963504743569431</v>
      </c>
      <c r="BM435" s="16">
        <f t="shared" si="328"/>
        <v>3.8988008374820568E-3</v>
      </c>
      <c r="BN435" s="16">
        <f t="shared" si="329"/>
        <v>0.14537706087090876</v>
      </c>
      <c r="BO435" s="16">
        <f t="shared" si="330"/>
        <v>0.29209790661993401</v>
      </c>
      <c r="BP435" s="16">
        <f t="shared" si="331"/>
        <v>0.31584545163401867</v>
      </c>
      <c r="BQ435" s="16">
        <f t="shared" si="332"/>
        <v>0.1000007994126096</v>
      </c>
      <c r="BR435" s="16">
        <f t="shared" si="333"/>
        <v>0.13164487759885393</v>
      </c>
      <c r="BS435" s="16">
        <f t="shared" si="334"/>
        <v>2.9803550189863123E-2</v>
      </c>
      <c r="BT435" s="16">
        <f t="shared" si="335"/>
        <v>0.13492040904978705</v>
      </c>
      <c r="BU435" s="16">
        <f t="shared" si="336"/>
        <v>0.11703687414398131</v>
      </c>
      <c r="BV435" s="16">
        <f t="shared" si="337"/>
        <v>0.14633353213781661</v>
      </c>
      <c r="BW435" s="16">
        <f t="shared" si="338"/>
        <v>7.5588015111767173E-2</v>
      </c>
      <c r="BX435" s="16">
        <f t="shared" si="339"/>
        <v>8.0345659937185704E-2</v>
      </c>
      <c r="BY435" s="16">
        <f t="shared" si="340"/>
        <v>5.9014643151272549E-2</v>
      </c>
      <c r="CA435" s="16" t="str">
        <f t="shared" si="317"/>
        <v/>
      </c>
      <c r="CB435" s="16" t="str">
        <f t="shared" si="298"/>
        <v/>
      </c>
      <c r="CC435" s="16" t="str">
        <f t="shared" si="299"/>
        <v/>
      </c>
      <c r="CD435" s="16" t="str">
        <f t="shared" si="300"/>
        <v/>
      </c>
      <c r="CE435" s="16" t="str">
        <f t="shared" si="301"/>
        <v/>
      </c>
      <c r="CF435" s="16" t="str">
        <f t="shared" si="302"/>
        <v/>
      </c>
      <c r="CG435" s="16" t="str">
        <f t="shared" si="303"/>
        <v/>
      </c>
      <c r="CH435" s="16" t="str">
        <f t="shared" si="304"/>
        <v/>
      </c>
      <c r="CI435" s="16" t="str">
        <f t="shared" si="305"/>
        <v/>
      </c>
      <c r="CJ435" s="16" t="str">
        <f t="shared" si="306"/>
        <v/>
      </c>
      <c r="CK435" s="16" t="str">
        <f t="shared" si="307"/>
        <v/>
      </c>
      <c r="CL435" s="16" t="str">
        <f t="shared" si="308"/>
        <v/>
      </c>
      <c r="CM435" s="16" t="str">
        <f t="shared" si="309"/>
        <v/>
      </c>
      <c r="CN435" s="16" t="str">
        <f t="shared" si="310"/>
        <v/>
      </c>
      <c r="CO435" s="16" t="str">
        <f t="shared" si="311"/>
        <v/>
      </c>
      <c r="CP435" s="16" t="str">
        <f t="shared" si="312"/>
        <v/>
      </c>
      <c r="CQ435" s="16" t="str">
        <f t="shared" si="313"/>
        <v/>
      </c>
      <c r="CR435" s="16" t="str">
        <f t="shared" si="314"/>
        <v/>
      </c>
      <c r="CS435" s="16" t="str">
        <f t="shared" si="315"/>
        <v/>
      </c>
      <c r="CT435" s="16" t="str">
        <f t="shared" si="316"/>
        <v/>
      </c>
    </row>
    <row r="436" spans="1:99" x14ac:dyDescent="0.25">
      <c r="A436" s="13"/>
      <c r="B436" s="14"/>
      <c r="C436" s="15" t="str" cm="1">
        <f t="array" ref="C436">IF(B436="","",INDEX('Exercise list'!$C$5:$C$102,B436))</f>
        <v/>
      </c>
      <c r="D436" s="12" t="str">
        <f t="shared" si="318"/>
        <v/>
      </c>
      <c r="E436" s="107" t="str">
        <f t="shared" si="341"/>
        <v/>
      </c>
      <c r="F436" s="63" t="str" cm="1">
        <f t="array" ref="F436">IF(B436="","",0.1+IFERROR(INDEX($F$6:$F435,SUMPRODUCT(MAX(ROW($C$6:$C435)*($C436=$C$6:$C435))-ROW($A$5)))*0.9^($A436-INDEX($A$6:A435,SUMPRODUCT(MAX(ROW($C$6:$C435)*($C436=$C$6:$C435))-ROW($A$5)))),0))</f>
        <v/>
      </c>
      <c r="G436" s="64" t="e">
        <f>INDEX('Exercise list'!$Y$5:$Y$102,MATCH(C436,'Exercise list'!$C$5:$C$102,0))</f>
        <v>#N/A</v>
      </c>
      <c r="H436" s="115">
        <f t="shared" si="319"/>
        <v>0</v>
      </c>
      <c r="I436" s="6">
        <f t="shared" si="320"/>
        <v>5</v>
      </c>
      <c r="J436" s="6" t="str" cm="1">
        <f t="array" ref="J436">IF(B436="","",INDEX('Exercise list'!$D$5:$D$102,B436))</f>
        <v/>
      </c>
      <c r="K436" s="12"/>
      <c r="L436" s="74" t="str" cm="1">
        <f t="array" ref="L436">IF(K436="","",INDEX('Exercise list'!$C$5:$C$102,K436))</f>
        <v/>
      </c>
      <c r="M436" s="6"/>
      <c r="N436" s="75" t="str" cm="1">
        <f t="array" ref="N436">IF(M436="","",INDEX('Exercise list'!$C$5:$C$102,M436))</f>
        <v/>
      </c>
      <c r="P436">
        <f>IFERROR(INDEX('Exercise list'!$E$5:$X$102,MATCH($C436,'Exercise list'!$C$5:$C$102,0),MATCH(P$5,'Exercise list'!$E$4:$X$4,0)),0)</f>
        <v>0</v>
      </c>
      <c r="Q436">
        <f>IFERROR(INDEX('Exercise list'!$E$5:$X$102,MATCH($C436,'Exercise list'!$C$5:$C$102,0),MATCH(Q$5,'Exercise list'!$E$4:$X$4,0)),0)</f>
        <v>0</v>
      </c>
      <c r="R436">
        <f>IFERROR(INDEX('Exercise list'!$E$5:$X$102,MATCH($C436,'Exercise list'!$C$5:$C$102,0),MATCH(R$5,'Exercise list'!$E$4:$X$4,0)),0)</f>
        <v>0</v>
      </c>
      <c r="S436">
        <f>IFERROR(INDEX('Exercise list'!$E$5:$X$102,MATCH($C436,'Exercise list'!$C$5:$C$102,0),MATCH(S$5,'Exercise list'!$E$4:$X$4,0)),0)</f>
        <v>0</v>
      </c>
      <c r="T436">
        <f>IFERROR(INDEX('Exercise list'!$E$5:$X$102,MATCH($C436,'Exercise list'!$C$5:$C$102,0),MATCH(T$5,'Exercise list'!$E$4:$X$4,0)),0)</f>
        <v>0</v>
      </c>
      <c r="U436">
        <f>IFERROR(INDEX('Exercise list'!$E$5:$X$102,MATCH($C436,'Exercise list'!$C$5:$C$102,0),MATCH(U$5,'Exercise list'!$E$4:$X$4,0)),0)</f>
        <v>0</v>
      </c>
      <c r="V436">
        <f>IFERROR(INDEX('Exercise list'!$E$5:$X$102,MATCH($C436,'Exercise list'!$C$5:$C$102,0),MATCH(V$5,'Exercise list'!$E$4:$X$4,0)),0)</f>
        <v>0</v>
      </c>
      <c r="W436">
        <f>IFERROR(INDEX('Exercise list'!$E$5:$X$102,MATCH($C436,'Exercise list'!$C$5:$C$102,0),MATCH(W$5,'Exercise list'!$E$4:$X$4,0)),0)</f>
        <v>0</v>
      </c>
      <c r="X436">
        <f>IFERROR(INDEX('Exercise list'!$E$5:$X$102,MATCH($C436,'Exercise list'!$C$5:$C$102,0),MATCH(X$5,'Exercise list'!$E$4:$X$4,0)),0)</f>
        <v>0</v>
      </c>
      <c r="Y436">
        <f>IFERROR(INDEX('Exercise list'!$E$5:$X$102,MATCH($C436,'Exercise list'!$C$5:$C$102,0),MATCH(Y$5,'Exercise list'!$E$4:$X$4,0)),0)</f>
        <v>0</v>
      </c>
      <c r="Z436">
        <f>IFERROR(INDEX('Exercise list'!$E$5:$X$102,MATCH($C436,'Exercise list'!$C$5:$C$102,0),MATCH(Z$5,'Exercise list'!$E$4:$X$4,0)),0)</f>
        <v>0</v>
      </c>
      <c r="AA436">
        <f>IFERROR(INDEX('Exercise list'!$E$5:$X$102,MATCH($C436,'Exercise list'!$C$5:$C$102,0),MATCH(AA$5,'Exercise list'!$E$4:$X$4,0)),0)</f>
        <v>0</v>
      </c>
      <c r="AB436">
        <f>IFERROR(INDEX('Exercise list'!$E$5:$X$102,MATCH($C436,'Exercise list'!$C$5:$C$102,0),MATCH(AB$5,'Exercise list'!$E$4:$X$4,0)),0)</f>
        <v>0</v>
      </c>
      <c r="AC436">
        <f>IFERROR(INDEX('Exercise list'!$E$5:$X$102,MATCH($C436,'Exercise list'!$C$5:$C$102,0),MATCH(AC$5,'Exercise list'!$E$4:$X$4,0)),0)</f>
        <v>0</v>
      </c>
      <c r="AD436">
        <f>IFERROR(INDEX('Exercise list'!$E$5:$X$102,MATCH($C436,'Exercise list'!$C$5:$C$102,0),MATCH(AD$5,'Exercise list'!$E$4:$X$4,0)),0)</f>
        <v>0</v>
      </c>
      <c r="AE436">
        <f>IFERROR(INDEX('Exercise list'!$E$5:$X$102,MATCH($C436,'Exercise list'!$C$5:$C$102,0),MATCH(AE$5,'Exercise list'!$E$4:$X$4,0)),0)</f>
        <v>0</v>
      </c>
      <c r="AF436">
        <f>IFERROR(INDEX('Exercise list'!$E$5:$X$102,MATCH($C436,'Exercise list'!$C$5:$C$102,0),MATCH(AF$5,'Exercise list'!$E$4:$X$4,0)),0)</f>
        <v>0</v>
      </c>
      <c r="AG436">
        <f>IFERROR(INDEX('Exercise list'!$E$5:$X$102,MATCH($C436,'Exercise list'!$C$5:$C$102,0),MATCH(AG$5,'Exercise list'!$E$4:$X$4,0)),0)</f>
        <v>0</v>
      </c>
      <c r="AH436">
        <f>IFERROR(INDEX('Exercise list'!$E$5:$X$102,MATCH($C436,'Exercise list'!$C$5:$C$102,0),MATCH(AH$5,'Exercise list'!$E$4:$X$4,0)),0)</f>
        <v>0</v>
      </c>
      <c r="AI436">
        <f>IFERROR(INDEX('Exercise list'!$E$5:$X$102,MATCH($C436,'Exercise list'!$C$5:$C$102,0),MATCH(AI$5,'Exercise list'!$E$4:$X$4,0)),0)</f>
        <v>0</v>
      </c>
      <c r="AK436">
        <f>IF(OR($J436=1,COUNTIFS($A$5:$A435,"&gt;="&amp;$A436-1,$A$5:$A435,"&lt;="&amp;$A436,$B$5:$B435,$B436)&gt;0,MIN(1-'Exercise list'!E$2,IF($A436=$A435,AK435,1))-P436&lt;0),-1,MIN(1,IF($A436=$A435,AK435,1)-P436+$D$2))</f>
        <v>1</v>
      </c>
      <c r="AL436">
        <f>IF(OR($J436=1,COUNTIFS($A$5:$A435,"&gt;="&amp;$A436-1,$A$5:$A435,"&lt;="&amp;$A436,$B$5:$B435,$B436)&gt;0,MIN(1-'Exercise list'!F$2,IF($A436=$A435,AL435,1))-Q436&lt;0),-1,MIN(1,IF($A436=$A435,AL435,1)-Q436+$D$2))</f>
        <v>1</v>
      </c>
      <c r="AM436">
        <f>IF(OR($J436=1,COUNTIFS($A$5:$A435,"&gt;="&amp;$A436-1,$A$5:$A435,"&lt;="&amp;$A436,$B$5:$B435,$B436)&gt;0,MIN(1-'Exercise list'!G$2,IF($A436=$A435,AM435,1))-R436&lt;0),-1,MIN(1,IF($A436=$A435,AM435,1)-R436+$D$2))</f>
        <v>1</v>
      </c>
      <c r="AN436">
        <f>IF(OR($J436=1,COUNTIFS($A$5:$A435,"&gt;="&amp;$A436-1,$A$5:$A435,"&lt;="&amp;$A436,$B$5:$B435,$B436)&gt;0,MIN(1-'Exercise list'!H$2,IF($A436=$A435,AN435,1))-S436&lt;0),-1,MIN(1,IF($A436=$A435,AN435,1)-S436+$D$2))</f>
        <v>1</v>
      </c>
      <c r="AO436">
        <f>IF(OR($J436=1,COUNTIFS($A$5:$A435,"&gt;="&amp;$A436-1,$A$5:$A435,"&lt;="&amp;$A436,$B$5:$B435,$B436)&gt;0,MIN(1-'Exercise list'!I$2,IF($A436=$A435,AO435,1))-T436&lt;0),-1,MIN(1,IF($A436=$A435,AO435,1)-T436+$D$2))</f>
        <v>1</v>
      </c>
      <c r="AP436">
        <f>IF(OR($J436=1,COUNTIFS($A$5:$A435,"&gt;="&amp;$A436-1,$A$5:$A435,"&lt;="&amp;$A436,$B$5:$B435,$B436)&gt;0,MIN(1-'Exercise list'!J$2,IF($A436=$A435,AP435,1))-U436&lt;0),-1,MIN(1,IF($A436=$A435,AP435,1)-U436+$D$2))</f>
        <v>1</v>
      </c>
      <c r="AQ436">
        <f>IF(OR($J436=1,COUNTIFS($A$5:$A435,"&gt;="&amp;$A436-1,$A$5:$A435,"&lt;="&amp;$A436,$B$5:$B435,$B436)&gt;0,MIN(1-'Exercise list'!K$2,IF($A436=$A435,AQ435,1))-V436&lt;0),-1,MIN(1,IF($A436=$A435,AQ435,1)-V436+$D$2))</f>
        <v>1</v>
      </c>
      <c r="AR436">
        <f>IF(OR($J436=1,COUNTIFS($A$5:$A435,"&gt;="&amp;$A436-1,$A$5:$A435,"&lt;="&amp;$A436,$B$5:$B435,$B436)&gt;0,MIN(1-'Exercise list'!L$2,IF($A436=$A435,AR435,1))-W436&lt;0),-1,MIN(1,IF($A436=$A435,AR435,1)-W436+$D$2))</f>
        <v>1</v>
      </c>
      <c r="AS436">
        <f>IF(OR($J436=1,COUNTIFS($A$5:$A435,"&gt;="&amp;$A436-1,$A$5:$A435,"&lt;="&amp;$A436,$B$5:$B435,$B436)&gt;0,MIN(1-'Exercise list'!M$2,IF($A436=$A435,AS435,1))-X436&lt;0),-1,MIN(1,IF($A436=$A435,AS435,1)-X436+$D$2))</f>
        <v>1</v>
      </c>
      <c r="AT436">
        <f>IF(OR($J436=1,COUNTIFS($A$5:$A435,"&gt;="&amp;$A436-1,$A$5:$A435,"&lt;="&amp;$A436,$B$5:$B435,$B436)&gt;0,MIN(1-'Exercise list'!N$2,IF($A436=$A435,AT435,1))-Y436&lt;0),-1,MIN(1,IF($A436=$A435,AT435,1)-Y436+$D$2))</f>
        <v>1</v>
      </c>
      <c r="AU436">
        <f>IF(OR($J436=1,COUNTIFS($A$5:$A435,"&gt;="&amp;$A436-1,$A$5:$A435,"&lt;="&amp;$A436,$B$5:$B435,$B436)&gt;0,MIN(1-'Exercise list'!O$2,IF($A436=$A435,AU435,1))-Z436&lt;0),-1,MIN(1,IF($A436=$A435,AU435,1)-Z436+$D$2))</f>
        <v>1</v>
      </c>
      <c r="AV436">
        <f>IF(OR($J436=1,COUNTIFS($A$5:$A435,"&gt;="&amp;$A436-1,$A$5:$A435,"&lt;="&amp;$A436,$B$5:$B435,$B436)&gt;0,MIN(1-'Exercise list'!P$2,IF($A436=$A435,AV435,1))-AA436&lt;0),-1,MIN(1,IF($A436=$A435,AV435,1)-AA436+$D$2))</f>
        <v>1</v>
      </c>
      <c r="AW436">
        <f>IF(OR($J436=1,COUNTIFS($A$5:$A435,"&gt;="&amp;$A436-1,$A$5:$A435,"&lt;="&amp;$A436,$B$5:$B435,$B436)&gt;0,MIN(1-'Exercise list'!Q$2,IF($A436=$A435,AW435,1))-AB436&lt;0),-1,MIN(1,IF($A436=$A435,AW435,1)-AB436+$D$2))</f>
        <v>1</v>
      </c>
      <c r="AX436">
        <f>IF(OR($J436=1,COUNTIFS($A$5:$A435,"&gt;="&amp;$A436-1,$A$5:$A435,"&lt;="&amp;$A436,$B$5:$B435,$B436)&gt;0,MIN(1-'Exercise list'!R$2,IF($A436=$A435,AX435,1))-AC436&lt;0),-1,MIN(1,IF($A436=$A435,AX435,1)-AC436+$D$2))</f>
        <v>1</v>
      </c>
      <c r="AY436">
        <f>IF(OR($J436=1,COUNTIFS($A$5:$A435,"&gt;="&amp;$A436-1,$A$5:$A435,"&lt;="&amp;$A436,$B$5:$B435,$B436)&gt;0,MIN(1-'Exercise list'!S$2,IF($A436=$A435,AY435,1))-AD436&lt;0),-1,MIN(1,IF($A436=$A435,AY435,1)-AD436+$D$2))</f>
        <v>1</v>
      </c>
      <c r="AZ436">
        <f>IF(OR($J436=1,COUNTIFS($A$5:$A435,"&gt;="&amp;$A436-1,$A$5:$A435,"&lt;="&amp;$A436,$B$5:$B435,$B436)&gt;0,MIN(1-'Exercise list'!T$2,IF($A436=$A435,AZ435,1))-AE436&lt;0),-1,MIN(1,IF($A436=$A435,AZ435,1)-AE436+$D$2))</f>
        <v>1</v>
      </c>
      <c r="BA436">
        <f>IF(OR($J436=1,COUNTIFS($A$5:$A435,"&gt;="&amp;$A436-1,$A$5:$A435,"&lt;="&amp;$A436,$B$5:$B435,$B436)&gt;0,MIN(1-'Exercise list'!U$2,IF($A436=$A435,BA435,1))-AF436&lt;0),-1,MIN(1,IF($A436=$A435,BA435,1)-AF436+$D$2))</f>
        <v>1</v>
      </c>
      <c r="BB436">
        <f>IF(OR($J436=1,COUNTIFS($A$5:$A435,"&gt;="&amp;$A436-1,$A$5:$A435,"&lt;="&amp;$A436,$B$5:$B435,$B436)&gt;0,MIN(1-'Exercise list'!V$2,IF($A436=$A435,BB435,1))-AG436&lt;0),-1,MIN(1,IF($A436=$A435,BB435,1)-AG436+$D$2))</f>
        <v>1</v>
      </c>
      <c r="BC436">
        <f>IF(OR($J436=1,COUNTIFS($A$5:$A435,"&gt;="&amp;$A436-1,$A$5:$A435,"&lt;="&amp;$A436,$B$5:$B435,$B436)&gt;0,MIN(1-'Exercise list'!W$2,IF($A436=$A435,BC435,1))-AH436&lt;0),-1,MIN(1,IF($A436=$A435,BC435,1)-AH436+$D$2))</f>
        <v>1</v>
      </c>
      <c r="BD436">
        <f>IF(OR($J436=1,COUNTIFS($A$5:$A435,"&gt;="&amp;$A436-1,$A$5:$A435,"&lt;="&amp;$A436,$B$5:$B435,$B436)&gt;0,MIN(1-'Exercise list'!X$2,IF($A436=$A435,BD435,1))-AI436&lt;0),-1,MIN(1,IF($A436=$A435,BD435,1)-AI436+$D$2))</f>
        <v>1</v>
      </c>
      <c r="BF436" s="16">
        <f t="shared" si="321"/>
        <v>0.19596031081758858</v>
      </c>
      <c r="BG436" s="16">
        <f t="shared" si="322"/>
        <v>0.21844636935459236</v>
      </c>
      <c r="BH436" s="16">
        <f t="shared" si="323"/>
        <v>0.14609696635987124</v>
      </c>
      <c r="BI436" s="16">
        <f t="shared" si="324"/>
        <v>0.13198015366034541</v>
      </c>
      <c r="BJ436" s="16">
        <f t="shared" si="325"/>
        <v>8.3367914198418713E-2</v>
      </c>
      <c r="BK436" s="16">
        <f t="shared" si="326"/>
        <v>0.10640640223148412</v>
      </c>
      <c r="BL436" s="16">
        <f t="shared" si="327"/>
        <v>0.21963504743569431</v>
      </c>
      <c r="BM436" s="16">
        <f t="shared" si="328"/>
        <v>3.8988008374820568E-3</v>
      </c>
      <c r="BN436" s="16">
        <f t="shared" si="329"/>
        <v>0.14537706087090876</v>
      </c>
      <c r="BO436" s="16">
        <f t="shared" si="330"/>
        <v>0.29209790661993401</v>
      </c>
      <c r="BP436" s="16">
        <f t="shared" si="331"/>
        <v>0.31584545163401867</v>
      </c>
      <c r="BQ436" s="16">
        <f t="shared" si="332"/>
        <v>0.1000007994126096</v>
      </c>
      <c r="BR436" s="16">
        <f t="shared" si="333"/>
        <v>0.13164487759885393</v>
      </c>
      <c r="BS436" s="16">
        <f t="shared" si="334"/>
        <v>2.9803550189863123E-2</v>
      </c>
      <c r="BT436" s="16">
        <f t="shared" si="335"/>
        <v>0.13492040904978705</v>
      </c>
      <c r="BU436" s="16">
        <f t="shared" si="336"/>
        <v>0.11703687414398131</v>
      </c>
      <c r="BV436" s="16">
        <f t="shared" si="337"/>
        <v>0.14633353213781661</v>
      </c>
      <c r="BW436" s="16">
        <f t="shared" si="338"/>
        <v>7.5588015111767173E-2</v>
      </c>
      <c r="BX436" s="16">
        <f t="shared" si="339"/>
        <v>8.0345659937185704E-2</v>
      </c>
      <c r="BY436" s="16">
        <f t="shared" si="340"/>
        <v>5.9014643151272549E-2</v>
      </c>
      <c r="CA436" s="16" t="str">
        <f t="shared" si="317"/>
        <v/>
      </c>
      <c r="CB436" s="16" t="str">
        <f t="shared" si="298"/>
        <v/>
      </c>
      <c r="CC436" s="16" t="str">
        <f t="shared" si="299"/>
        <v/>
      </c>
      <c r="CD436" s="16" t="str">
        <f t="shared" si="300"/>
        <v/>
      </c>
      <c r="CE436" s="16" t="str">
        <f t="shared" si="301"/>
        <v/>
      </c>
      <c r="CF436" s="16" t="str">
        <f t="shared" si="302"/>
        <v/>
      </c>
      <c r="CG436" s="16" t="str">
        <f t="shared" si="303"/>
        <v/>
      </c>
      <c r="CH436" s="16" t="str">
        <f t="shared" si="304"/>
        <v/>
      </c>
      <c r="CI436" s="16" t="str">
        <f t="shared" si="305"/>
        <v/>
      </c>
      <c r="CJ436" s="16" t="str">
        <f t="shared" si="306"/>
        <v/>
      </c>
      <c r="CK436" s="16" t="str">
        <f t="shared" si="307"/>
        <v/>
      </c>
      <c r="CL436" s="16" t="str">
        <f t="shared" si="308"/>
        <v/>
      </c>
      <c r="CM436" s="16" t="str">
        <f t="shared" si="309"/>
        <v/>
      </c>
      <c r="CN436" s="16" t="str">
        <f t="shared" si="310"/>
        <v/>
      </c>
      <c r="CO436" s="16" t="str">
        <f t="shared" si="311"/>
        <v/>
      </c>
      <c r="CP436" s="16" t="str">
        <f t="shared" si="312"/>
        <v/>
      </c>
      <c r="CQ436" s="16" t="str">
        <f t="shared" si="313"/>
        <v/>
      </c>
      <c r="CR436" s="16" t="str">
        <f t="shared" si="314"/>
        <v/>
      </c>
      <c r="CS436" s="16" t="str">
        <f t="shared" si="315"/>
        <v/>
      </c>
      <c r="CT436" s="16" t="str">
        <f t="shared" si="316"/>
        <v/>
      </c>
    </row>
    <row r="437" spans="1:99" x14ac:dyDescent="0.25">
      <c r="A437" s="13"/>
      <c r="B437" s="14"/>
      <c r="C437" s="15" t="str" cm="1">
        <f t="array" ref="C437">IF(B437="","",INDEX('Exercise list'!$C$5:$C$102,B437))</f>
        <v/>
      </c>
      <c r="D437" s="12" t="str">
        <f t="shared" si="318"/>
        <v/>
      </c>
      <c r="E437" s="107" t="str">
        <f t="shared" si="341"/>
        <v/>
      </c>
      <c r="F437" s="63" t="str" cm="1">
        <f t="array" ref="F437">IF(B437="","",0.1+IFERROR(INDEX($F$6:$F436,SUMPRODUCT(MAX(ROW($C$6:$C436)*($C437=$C$6:$C436))-ROW($A$5)))*0.9^($A437-INDEX($A$6:A436,SUMPRODUCT(MAX(ROW($C$6:$C436)*($C437=$C$6:$C436))-ROW($A$5)))),0))</f>
        <v/>
      </c>
      <c r="G437" s="64" t="e">
        <f>INDEX('Exercise list'!$Y$5:$Y$102,MATCH(C437,'Exercise list'!$C$5:$C$102,0))</f>
        <v>#N/A</v>
      </c>
      <c r="H437" s="115">
        <f t="shared" si="319"/>
        <v>0</v>
      </c>
      <c r="I437" s="6">
        <f t="shared" si="320"/>
        <v>5</v>
      </c>
      <c r="J437" s="6" t="str" cm="1">
        <f t="array" ref="J437">IF(B437="","",INDEX('Exercise list'!$D$5:$D$102,B437))</f>
        <v/>
      </c>
      <c r="K437" s="12"/>
      <c r="L437" s="74" t="str" cm="1">
        <f t="array" ref="L437">IF(K437="","",INDEX('Exercise list'!$C$5:$C$102,K437))</f>
        <v/>
      </c>
      <c r="M437" s="6"/>
      <c r="N437" s="75" t="str" cm="1">
        <f t="array" ref="N437">IF(M437="","",INDEX('Exercise list'!$C$5:$C$102,M437))</f>
        <v/>
      </c>
      <c r="P437">
        <f>IFERROR(INDEX('Exercise list'!$E$5:$X$102,MATCH($C437,'Exercise list'!$C$5:$C$102,0),MATCH(P$5,'Exercise list'!$E$4:$X$4,0)),0)</f>
        <v>0</v>
      </c>
      <c r="Q437">
        <f>IFERROR(INDEX('Exercise list'!$E$5:$X$102,MATCH($C437,'Exercise list'!$C$5:$C$102,0),MATCH(Q$5,'Exercise list'!$E$4:$X$4,0)),0)</f>
        <v>0</v>
      </c>
      <c r="R437">
        <f>IFERROR(INDEX('Exercise list'!$E$5:$X$102,MATCH($C437,'Exercise list'!$C$5:$C$102,0),MATCH(R$5,'Exercise list'!$E$4:$X$4,0)),0)</f>
        <v>0</v>
      </c>
      <c r="S437">
        <f>IFERROR(INDEX('Exercise list'!$E$5:$X$102,MATCH($C437,'Exercise list'!$C$5:$C$102,0),MATCH(S$5,'Exercise list'!$E$4:$X$4,0)),0)</f>
        <v>0</v>
      </c>
      <c r="T437">
        <f>IFERROR(INDEX('Exercise list'!$E$5:$X$102,MATCH($C437,'Exercise list'!$C$5:$C$102,0),MATCH(T$5,'Exercise list'!$E$4:$X$4,0)),0)</f>
        <v>0</v>
      </c>
      <c r="U437">
        <f>IFERROR(INDEX('Exercise list'!$E$5:$X$102,MATCH($C437,'Exercise list'!$C$5:$C$102,0),MATCH(U$5,'Exercise list'!$E$4:$X$4,0)),0)</f>
        <v>0</v>
      </c>
      <c r="V437">
        <f>IFERROR(INDEX('Exercise list'!$E$5:$X$102,MATCH($C437,'Exercise list'!$C$5:$C$102,0),MATCH(V$5,'Exercise list'!$E$4:$X$4,0)),0)</f>
        <v>0</v>
      </c>
      <c r="W437">
        <f>IFERROR(INDEX('Exercise list'!$E$5:$X$102,MATCH($C437,'Exercise list'!$C$5:$C$102,0),MATCH(W$5,'Exercise list'!$E$4:$X$4,0)),0)</f>
        <v>0</v>
      </c>
      <c r="X437">
        <f>IFERROR(INDEX('Exercise list'!$E$5:$X$102,MATCH($C437,'Exercise list'!$C$5:$C$102,0),MATCH(X$5,'Exercise list'!$E$4:$X$4,0)),0)</f>
        <v>0</v>
      </c>
      <c r="Y437">
        <f>IFERROR(INDEX('Exercise list'!$E$5:$X$102,MATCH($C437,'Exercise list'!$C$5:$C$102,0),MATCH(Y$5,'Exercise list'!$E$4:$X$4,0)),0)</f>
        <v>0</v>
      </c>
      <c r="Z437">
        <f>IFERROR(INDEX('Exercise list'!$E$5:$X$102,MATCH($C437,'Exercise list'!$C$5:$C$102,0),MATCH(Z$5,'Exercise list'!$E$4:$X$4,0)),0)</f>
        <v>0</v>
      </c>
      <c r="AA437">
        <f>IFERROR(INDEX('Exercise list'!$E$5:$X$102,MATCH($C437,'Exercise list'!$C$5:$C$102,0),MATCH(AA$5,'Exercise list'!$E$4:$X$4,0)),0)</f>
        <v>0</v>
      </c>
      <c r="AB437">
        <f>IFERROR(INDEX('Exercise list'!$E$5:$X$102,MATCH($C437,'Exercise list'!$C$5:$C$102,0),MATCH(AB$5,'Exercise list'!$E$4:$X$4,0)),0)</f>
        <v>0</v>
      </c>
      <c r="AC437">
        <f>IFERROR(INDEX('Exercise list'!$E$5:$X$102,MATCH($C437,'Exercise list'!$C$5:$C$102,0),MATCH(AC$5,'Exercise list'!$E$4:$X$4,0)),0)</f>
        <v>0</v>
      </c>
      <c r="AD437">
        <f>IFERROR(INDEX('Exercise list'!$E$5:$X$102,MATCH($C437,'Exercise list'!$C$5:$C$102,0),MATCH(AD$5,'Exercise list'!$E$4:$X$4,0)),0)</f>
        <v>0</v>
      </c>
      <c r="AE437">
        <f>IFERROR(INDEX('Exercise list'!$E$5:$X$102,MATCH($C437,'Exercise list'!$C$5:$C$102,0),MATCH(AE$5,'Exercise list'!$E$4:$X$4,0)),0)</f>
        <v>0</v>
      </c>
      <c r="AF437">
        <f>IFERROR(INDEX('Exercise list'!$E$5:$X$102,MATCH($C437,'Exercise list'!$C$5:$C$102,0),MATCH(AF$5,'Exercise list'!$E$4:$X$4,0)),0)</f>
        <v>0</v>
      </c>
      <c r="AG437">
        <f>IFERROR(INDEX('Exercise list'!$E$5:$X$102,MATCH($C437,'Exercise list'!$C$5:$C$102,0),MATCH(AG$5,'Exercise list'!$E$4:$X$4,0)),0)</f>
        <v>0</v>
      </c>
      <c r="AH437">
        <f>IFERROR(INDEX('Exercise list'!$E$5:$X$102,MATCH($C437,'Exercise list'!$C$5:$C$102,0),MATCH(AH$5,'Exercise list'!$E$4:$X$4,0)),0)</f>
        <v>0</v>
      </c>
      <c r="AI437">
        <f>IFERROR(INDEX('Exercise list'!$E$5:$X$102,MATCH($C437,'Exercise list'!$C$5:$C$102,0),MATCH(AI$5,'Exercise list'!$E$4:$X$4,0)),0)</f>
        <v>0</v>
      </c>
      <c r="AK437">
        <f>IF(OR($J437=1,COUNTIFS($A$5:$A436,"&gt;="&amp;$A437-1,$A$5:$A436,"&lt;="&amp;$A437,$B$5:$B436,$B437)&gt;0,MIN(1-'Exercise list'!E$2,IF($A437=$A436,AK436,1))-P437&lt;0),-1,MIN(1,IF($A437=$A436,AK436,1)-P437+$D$2))</f>
        <v>1</v>
      </c>
      <c r="AL437">
        <f>IF(OR($J437=1,COUNTIFS($A$5:$A436,"&gt;="&amp;$A437-1,$A$5:$A436,"&lt;="&amp;$A437,$B$5:$B436,$B437)&gt;0,MIN(1-'Exercise list'!F$2,IF($A437=$A436,AL436,1))-Q437&lt;0),-1,MIN(1,IF($A437=$A436,AL436,1)-Q437+$D$2))</f>
        <v>1</v>
      </c>
      <c r="AM437">
        <f>IF(OR($J437=1,COUNTIFS($A$5:$A436,"&gt;="&amp;$A437-1,$A$5:$A436,"&lt;="&amp;$A437,$B$5:$B436,$B437)&gt;0,MIN(1-'Exercise list'!G$2,IF($A437=$A436,AM436,1))-R437&lt;0),-1,MIN(1,IF($A437=$A436,AM436,1)-R437+$D$2))</f>
        <v>1</v>
      </c>
      <c r="AN437">
        <f>IF(OR($J437=1,COUNTIFS($A$5:$A436,"&gt;="&amp;$A437-1,$A$5:$A436,"&lt;="&amp;$A437,$B$5:$B436,$B437)&gt;0,MIN(1-'Exercise list'!H$2,IF($A437=$A436,AN436,1))-S437&lt;0),-1,MIN(1,IF($A437=$A436,AN436,1)-S437+$D$2))</f>
        <v>1</v>
      </c>
      <c r="AO437">
        <f>IF(OR($J437=1,COUNTIFS($A$5:$A436,"&gt;="&amp;$A437-1,$A$5:$A436,"&lt;="&amp;$A437,$B$5:$B436,$B437)&gt;0,MIN(1-'Exercise list'!I$2,IF($A437=$A436,AO436,1))-T437&lt;0),-1,MIN(1,IF($A437=$A436,AO436,1)-T437+$D$2))</f>
        <v>1</v>
      </c>
      <c r="AP437">
        <f>IF(OR($J437=1,COUNTIFS($A$5:$A436,"&gt;="&amp;$A437-1,$A$5:$A436,"&lt;="&amp;$A437,$B$5:$B436,$B437)&gt;0,MIN(1-'Exercise list'!J$2,IF($A437=$A436,AP436,1))-U437&lt;0),-1,MIN(1,IF($A437=$A436,AP436,1)-U437+$D$2))</f>
        <v>1</v>
      </c>
      <c r="AQ437">
        <f>IF(OR($J437=1,COUNTIFS($A$5:$A436,"&gt;="&amp;$A437-1,$A$5:$A436,"&lt;="&amp;$A437,$B$5:$B436,$B437)&gt;0,MIN(1-'Exercise list'!K$2,IF($A437=$A436,AQ436,1))-V437&lt;0),-1,MIN(1,IF($A437=$A436,AQ436,1)-V437+$D$2))</f>
        <v>1</v>
      </c>
      <c r="AR437">
        <f>IF(OR($J437=1,COUNTIFS($A$5:$A436,"&gt;="&amp;$A437-1,$A$5:$A436,"&lt;="&amp;$A437,$B$5:$B436,$B437)&gt;0,MIN(1-'Exercise list'!L$2,IF($A437=$A436,AR436,1))-W437&lt;0),-1,MIN(1,IF($A437=$A436,AR436,1)-W437+$D$2))</f>
        <v>1</v>
      </c>
      <c r="AS437">
        <f>IF(OR($J437=1,COUNTIFS($A$5:$A436,"&gt;="&amp;$A437-1,$A$5:$A436,"&lt;="&amp;$A437,$B$5:$B436,$B437)&gt;0,MIN(1-'Exercise list'!M$2,IF($A437=$A436,AS436,1))-X437&lt;0),-1,MIN(1,IF($A437=$A436,AS436,1)-X437+$D$2))</f>
        <v>1</v>
      </c>
      <c r="AT437">
        <f>IF(OR($J437=1,COUNTIFS($A$5:$A436,"&gt;="&amp;$A437-1,$A$5:$A436,"&lt;="&amp;$A437,$B$5:$B436,$B437)&gt;0,MIN(1-'Exercise list'!N$2,IF($A437=$A436,AT436,1))-Y437&lt;0),-1,MIN(1,IF($A437=$A436,AT436,1)-Y437+$D$2))</f>
        <v>1</v>
      </c>
      <c r="AU437">
        <f>IF(OR($J437=1,COUNTIFS($A$5:$A436,"&gt;="&amp;$A437-1,$A$5:$A436,"&lt;="&amp;$A437,$B$5:$B436,$B437)&gt;0,MIN(1-'Exercise list'!O$2,IF($A437=$A436,AU436,1))-Z437&lt;0),-1,MIN(1,IF($A437=$A436,AU436,1)-Z437+$D$2))</f>
        <v>1</v>
      </c>
      <c r="AV437">
        <f>IF(OR($J437=1,COUNTIFS($A$5:$A436,"&gt;="&amp;$A437-1,$A$5:$A436,"&lt;="&amp;$A437,$B$5:$B436,$B437)&gt;0,MIN(1-'Exercise list'!P$2,IF($A437=$A436,AV436,1))-AA437&lt;0),-1,MIN(1,IF($A437=$A436,AV436,1)-AA437+$D$2))</f>
        <v>1</v>
      </c>
      <c r="AW437">
        <f>IF(OR($J437=1,COUNTIFS($A$5:$A436,"&gt;="&amp;$A437-1,$A$5:$A436,"&lt;="&amp;$A437,$B$5:$B436,$B437)&gt;0,MIN(1-'Exercise list'!Q$2,IF($A437=$A436,AW436,1))-AB437&lt;0),-1,MIN(1,IF($A437=$A436,AW436,1)-AB437+$D$2))</f>
        <v>1</v>
      </c>
      <c r="AX437">
        <f>IF(OR($J437=1,COUNTIFS($A$5:$A436,"&gt;="&amp;$A437-1,$A$5:$A436,"&lt;="&amp;$A437,$B$5:$B436,$B437)&gt;0,MIN(1-'Exercise list'!R$2,IF($A437=$A436,AX436,1))-AC437&lt;0),-1,MIN(1,IF($A437=$A436,AX436,1)-AC437+$D$2))</f>
        <v>1</v>
      </c>
      <c r="AY437">
        <f>IF(OR($J437=1,COUNTIFS($A$5:$A436,"&gt;="&amp;$A437-1,$A$5:$A436,"&lt;="&amp;$A437,$B$5:$B436,$B437)&gt;0,MIN(1-'Exercise list'!S$2,IF($A437=$A436,AY436,1))-AD437&lt;0),-1,MIN(1,IF($A437=$A436,AY436,1)-AD437+$D$2))</f>
        <v>1</v>
      </c>
      <c r="AZ437">
        <f>IF(OR($J437=1,COUNTIFS($A$5:$A436,"&gt;="&amp;$A437-1,$A$5:$A436,"&lt;="&amp;$A437,$B$5:$B436,$B437)&gt;0,MIN(1-'Exercise list'!T$2,IF($A437=$A436,AZ436,1))-AE437&lt;0),-1,MIN(1,IF($A437=$A436,AZ436,1)-AE437+$D$2))</f>
        <v>1</v>
      </c>
      <c r="BA437">
        <f>IF(OR($J437=1,COUNTIFS($A$5:$A436,"&gt;="&amp;$A437-1,$A$5:$A436,"&lt;="&amp;$A437,$B$5:$B436,$B437)&gt;0,MIN(1-'Exercise list'!U$2,IF($A437=$A436,BA436,1))-AF437&lt;0),-1,MIN(1,IF($A437=$A436,BA436,1)-AF437+$D$2))</f>
        <v>1</v>
      </c>
      <c r="BB437">
        <f>IF(OR($J437=1,COUNTIFS($A$5:$A436,"&gt;="&amp;$A437-1,$A$5:$A436,"&lt;="&amp;$A437,$B$5:$B436,$B437)&gt;0,MIN(1-'Exercise list'!V$2,IF($A437=$A436,BB436,1))-AG437&lt;0),-1,MIN(1,IF($A437=$A436,BB436,1)-AG437+$D$2))</f>
        <v>1</v>
      </c>
      <c r="BC437">
        <f>IF(OR($J437=1,COUNTIFS($A$5:$A436,"&gt;="&amp;$A437-1,$A$5:$A436,"&lt;="&amp;$A437,$B$5:$B436,$B437)&gt;0,MIN(1-'Exercise list'!W$2,IF($A437=$A436,BC436,1))-AH437&lt;0),-1,MIN(1,IF($A437=$A436,BC436,1)-AH437+$D$2))</f>
        <v>1</v>
      </c>
      <c r="BD437">
        <f>IF(OR($J437=1,COUNTIFS($A$5:$A436,"&gt;="&amp;$A437-1,$A$5:$A436,"&lt;="&amp;$A437,$B$5:$B436,$B437)&gt;0,MIN(1-'Exercise list'!X$2,IF($A437=$A436,BD436,1))-AI437&lt;0),-1,MIN(1,IF($A437=$A436,BD436,1)-AI437+$D$2))</f>
        <v>1</v>
      </c>
      <c r="BF437" s="16">
        <f t="shared" si="321"/>
        <v>0.19596031081758858</v>
      </c>
      <c r="BG437" s="16">
        <f t="shared" si="322"/>
        <v>0.21844636935459236</v>
      </c>
      <c r="BH437" s="16">
        <f t="shared" si="323"/>
        <v>0.14609696635987124</v>
      </c>
      <c r="BI437" s="16">
        <f t="shared" si="324"/>
        <v>0.13198015366034541</v>
      </c>
      <c r="BJ437" s="16">
        <f t="shared" si="325"/>
        <v>8.3367914198418713E-2</v>
      </c>
      <c r="BK437" s="16">
        <f t="shared" si="326"/>
        <v>0.10640640223148412</v>
      </c>
      <c r="BL437" s="16">
        <f t="shared" si="327"/>
        <v>0.21963504743569431</v>
      </c>
      <c r="BM437" s="16">
        <f t="shared" si="328"/>
        <v>3.8988008374820568E-3</v>
      </c>
      <c r="BN437" s="16">
        <f t="shared" si="329"/>
        <v>0.14537706087090876</v>
      </c>
      <c r="BO437" s="16">
        <f t="shared" si="330"/>
        <v>0.29209790661993401</v>
      </c>
      <c r="BP437" s="16">
        <f t="shared" si="331"/>
        <v>0.31584545163401867</v>
      </c>
      <c r="BQ437" s="16">
        <f t="shared" si="332"/>
        <v>0.1000007994126096</v>
      </c>
      <c r="BR437" s="16">
        <f t="shared" si="333"/>
        <v>0.13164487759885393</v>
      </c>
      <c r="BS437" s="16">
        <f t="shared" si="334"/>
        <v>2.9803550189863123E-2</v>
      </c>
      <c r="BT437" s="16">
        <f t="shared" si="335"/>
        <v>0.13492040904978705</v>
      </c>
      <c r="BU437" s="16">
        <f t="shared" si="336"/>
        <v>0.11703687414398131</v>
      </c>
      <c r="BV437" s="16">
        <f t="shared" si="337"/>
        <v>0.14633353213781661</v>
      </c>
      <c r="BW437" s="16">
        <f t="shared" si="338"/>
        <v>7.5588015111767173E-2</v>
      </c>
      <c r="BX437" s="16">
        <f t="shared" si="339"/>
        <v>8.0345659937185704E-2</v>
      </c>
      <c r="BY437" s="16">
        <f t="shared" si="340"/>
        <v>5.9014643151272549E-2</v>
      </c>
      <c r="CA437" s="16" t="str">
        <f t="shared" si="317"/>
        <v/>
      </c>
      <c r="CB437" s="16" t="str">
        <f t="shared" si="298"/>
        <v/>
      </c>
      <c r="CC437" s="16" t="str">
        <f t="shared" si="299"/>
        <v/>
      </c>
      <c r="CD437" s="16" t="str">
        <f t="shared" si="300"/>
        <v/>
      </c>
      <c r="CE437" s="16" t="str">
        <f t="shared" si="301"/>
        <v/>
      </c>
      <c r="CF437" s="16" t="str">
        <f t="shared" si="302"/>
        <v/>
      </c>
      <c r="CG437" s="16" t="str">
        <f t="shared" si="303"/>
        <v/>
      </c>
      <c r="CH437" s="16" t="str">
        <f t="shared" si="304"/>
        <v/>
      </c>
      <c r="CI437" s="16" t="str">
        <f t="shared" si="305"/>
        <v/>
      </c>
      <c r="CJ437" s="16" t="str">
        <f t="shared" si="306"/>
        <v/>
      </c>
      <c r="CK437" s="16" t="str">
        <f t="shared" si="307"/>
        <v/>
      </c>
      <c r="CL437" s="16" t="str">
        <f t="shared" si="308"/>
        <v/>
      </c>
      <c r="CM437" s="16" t="str">
        <f t="shared" si="309"/>
        <v/>
      </c>
      <c r="CN437" s="16" t="str">
        <f t="shared" si="310"/>
        <v/>
      </c>
      <c r="CO437" s="16" t="str">
        <f t="shared" si="311"/>
        <v/>
      </c>
      <c r="CP437" s="16" t="str">
        <f t="shared" si="312"/>
        <v/>
      </c>
      <c r="CQ437" s="16" t="str">
        <f t="shared" si="313"/>
        <v/>
      </c>
      <c r="CR437" s="16" t="str">
        <f t="shared" si="314"/>
        <v/>
      </c>
      <c r="CS437" s="16" t="str">
        <f t="shared" si="315"/>
        <v/>
      </c>
      <c r="CT437" s="16" t="str">
        <f t="shared" si="316"/>
        <v/>
      </c>
    </row>
    <row r="438" spans="1:99" x14ac:dyDescent="0.25">
      <c r="A438" s="20"/>
      <c r="B438" s="21"/>
      <c r="C438" s="22" t="str" cm="1">
        <f t="array" ref="C438">IF(B438="","",INDEX('Exercise list'!$C$5:$C$102,B438))</f>
        <v/>
      </c>
      <c r="D438" s="17" t="str">
        <f t="shared" si="318"/>
        <v/>
      </c>
      <c r="E438" s="108" t="str">
        <f t="shared" si="341"/>
        <v/>
      </c>
      <c r="F438" s="65" t="str" cm="1">
        <f t="array" ref="F438">IF(B438="","",0.1+IFERROR(INDEX($F$6:$F437,SUMPRODUCT(MAX(ROW($C$6:$C437)*($C438=$C$6:$C437))-ROW($A$5)))*0.9^($A438-INDEX($A$6:A437,SUMPRODUCT(MAX(ROW($C$6:$C437)*($C438=$C$6:$C437))-ROW($A$5)))),0))</f>
        <v/>
      </c>
      <c r="G438" s="25" t="e">
        <f>INDEX('Exercise list'!$Y$5:$Y$102,MATCH(C438,'Exercise list'!$C$5:$C$102,0))</f>
        <v>#N/A</v>
      </c>
      <c r="H438" s="116">
        <f t="shared" si="319"/>
        <v>0</v>
      </c>
      <c r="I438" s="18">
        <f t="shared" si="320"/>
        <v>5</v>
      </c>
      <c r="J438" s="18" t="str" cm="1">
        <f t="array" ref="J438">IF(B438="","",INDEX('Exercise list'!$D$5:$D$102,B438))</f>
        <v/>
      </c>
      <c r="K438" s="17"/>
      <c r="L438" s="51" t="str" cm="1">
        <f t="array" ref="L438">IF(K438="","",INDEX('Exercise list'!$C$5:$C$102,K438))</f>
        <v/>
      </c>
      <c r="M438" s="18"/>
      <c r="N438" s="76" t="str" cm="1">
        <f t="array" ref="N438">IF(M438="","",INDEX('Exercise list'!$C$5:$C$102,M438))</f>
        <v/>
      </c>
      <c r="O438" s="19"/>
      <c r="P438" s="19">
        <f>IFERROR(INDEX('Exercise list'!$E$5:$X$102,MATCH($C438,'Exercise list'!$C$5:$C$102,0),MATCH(P$5,'Exercise list'!$E$4:$X$4,0)),0)</f>
        <v>0</v>
      </c>
      <c r="Q438" s="19">
        <f>IFERROR(INDEX('Exercise list'!$E$5:$X$102,MATCH($C438,'Exercise list'!$C$5:$C$102,0),MATCH(Q$5,'Exercise list'!$E$4:$X$4,0)),0)</f>
        <v>0</v>
      </c>
      <c r="R438" s="19">
        <f>IFERROR(INDEX('Exercise list'!$E$5:$X$102,MATCH($C438,'Exercise list'!$C$5:$C$102,0),MATCH(R$5,'Exercise list'!$E$4:$X$4,0)),0)</f>
        <v>0</v>
      </c>
      <c r="S438" s="19">
        <f>IFERROR(INDEX('Exercise list'!$E$5:$X$102,MATCH($C438,'Exercise list'!$C$5:$C$102,0),MATCH(S$5,'Exercise list'!$E$4:$X$4,0)),0)</f>
        <v>0</v>
      </c>
      <c r="T438" s="19">
        <f>IFERROR(INDEX('Exercise list'!$E$5:$X$102,MATCH($C438,'Exercise list'!$C$5:$C$102,0),MATCH(T$5,'Exercise list'!$E$4:$X$4,0)),0)</f>
        <v>0</v>
      </c>
      <c r="U438" s="19">
        <f>IFERROR(INDEX('Exercise list'!$E$5:$X$102,MATCH($C438,'Exercise list'!$C$5:$C$102,0),MATCH(U$5,'Exercise list'!$E$4:$X$4,0)),0)</f>
        <v>0</v>
      </c>
      <c r="V438" s="19">
        <f>IFERROR(INDEX('Exercise list'!$E$5:$X$102,MATCH($C438,'Exercise list'!$C$5:$C$102,0),MATCH(V$5,'Exercise list'!$E$4:$X$4,0)),0)</f>
        <v>0</v>
      </c>
      <c r="W438" s="19">
        <f>IFERROR(INDEX('Exercise list'!$E$5:$X$102,MATCH($C438,'Exercise list'!$C$5:$C$102,0),MATCH(W$5,'Exercise list'!$E$4:$X$4,0)),0)</f>
        <v>0</v>
      </c>
      <c r="X438" s="19">
        <f>IFERROR(INDEX('Exercise list'!$E$5:$X$102,MATCH($C438,'Exercise list'!$C$5:$C$102,0),MATCH(X$5,'Exercise list'!$E$4:$X$4,0)),0)</f>
        <v>0</v>
      </c>
      <c r="Y438" s="19">
        <f>IFERROR(INDEX('Exercise list'!$E$5:$X$102,MATCH($C438,'Exercise list'!$C$5:$C$102,0),MATCH(Y$5,'Exercise list'!$E$4:$X$4,0)),0)</f>
        <v>0</v>
      </c>
      <c r="Z438" s="19">
        <f>IFERROR(INDEX('Exercise list'!$E$5:$X$102,MATCH($C438,'Exercise list'!$C$5:$C$102,0),MATCH(Z$5,'Exercise list'!$E$4:$X$4,0)),0)</f>
        <v>0</v>
      </c>
      <c r="AA438" s="19">
        <f>IFERROR(INDEX('Exercise list'!$E$5:$X$102,MATCH($C438,'Exercise list'!$C$5:$C$102,0),MATCH(AA$5,'Exercise list'!$E$4:$X$4,0)),0)</f>
        <v>0</v>
      </c>
      <c r="AB438" s="19">
        <f>IFERROR(INDEX('Exercise list'!$E$5:$X$102,MATCH($C438,'Exercise list'!$C$5:$C$102,0),MATCH(AB$5,'Exercise list'!$E$4:$X$4,0)),0)</f>
        <v>0</v>
      </c>
      <c r="AC438" s="19">
        <f>IFERROR(INDEX('Exercise list'!$E$5:$X$102,MATCH($C438,'Exercise list'!$C$5:$C$102,0),MATCH(AC$5,'Exercise list'!$E$4:$X$4,0)),0)</f>
        <v>0</v>
      </c>
      <c r="AD438" s="19">
        <f>IFERROR(INDEX('Exercise list'!$E$5:$X$102,MATCH($C438,'Exercise list'!$C$5:$C$102,0),MATCH(AD$5,'Exercise list'!$E$4:$X$4,0)),0)</f>
        <v>0</v>
      </c>
      <c r="AE438" s="19">
        <f>IFERROR(INDEX('Exercise list'!$E$5:$X$102,MATCH($C438,'Exercise list'!$C$5:$C$102,0),MATCH(AE$5,'Exercise list'!$E$4:$X$4,0)),0)</f>
        <v>0</v>
      </c>
      <c r="AF438" s="19">
        <f>IFERROR(INDEX('Exercise list'!$E$5:$X$102,MATCH($C438,'Exercise list'!$C$5:$C$102,0),MATCH(AF$5,'Exercise list'!$E$4:$X$4,0)),0)</f>
        <v>0</v>
      </c>
      <c r="AG438" s="19">
        <f>IFERROR(INDEX('Exercise list'!$E$5:$X$102,MATCH($C438,'Exercise list'!$C$5:$C$102,0),MATCH(AG$5,'Exercise list'!$E$4:$X$4,0)),0)</f>
        <v>0</v>
      </c>
      <c r="AH438" s="19">
        <f>IFERROR(INDEX('Exercise list'!$E$5:$X$102,MATCH($C438,'Exercise list'!$C$5:$C$102,0),MATCH(AH$5,'Exercise list'!$E$4:$X$4,0)),0)</f>
        <v>0</v>
      </c>
      <c r="AI438" s="19">
        <f>IFERROR(INDEX('Exercise list'!$E$5:$X$102,MATCH($C438,'Exercise list'!$C$5:$C$102,0),MATCH(AI$5,'Exercise list'!$E$4:$X$4,0)),0)</f>
        <v>0</v>
      </c>
      <c r="AJ438" s="19"/>
      <c r="AK438" s="19">
        <f>IF(OR($J438=1,COUNTIFS($A$5:$A437,"&gt;="&amp;$A438-1,$A$5:$A437,"&lt;="&amp;$A438,$B$5:$B437,$B438)&gt;0,MIN(1-'Exercise list'!E$2,IF($A438=$A437,AK437,1))-P438&lt;0),-1,MIN(1,IF($A438=$A437,AK437,1)-P438+$D$2))</f>
        <v>1</v>
      </c>
      <c r="AL438" s="19">
        <f>IF(OR($J438=1,COUNTIFS($A$5:$A437,"&gt;="&amp;$A438-1,$A$5:$A437,"&lt;="&amp;$A438,$B$5:$B437,$B438)&gt;0,MIN(1-'Exercise list'!F$2,IF($A438=$A437,AL437,1))-Q438&lt;0),-1,MIN(1,IF($A438=$A437,AL437,1)-Q438+$D$2))</f>
        <v>1</v>
      </c>
      <c r="AM438" s="19">
        <f>IF(OR($J438=1,COUNTIFS($A$5:$A437,"&gt;="&amp;$A438-1,$A$5:$A437,"&lt;="&amp;$A438,$B$5:$B437,$B438)&gt;0,MIN(1-'Exercise list'!G$2,IF($A438=$A437,AM437,1))-R438&lt;0),-1,MIN(1,IF($A438=$A437,AM437,1)-R438+$D$2))</f>
        <v>1</v>
      </c>
      <c r="AN438" s="19">
        <f>IF(OR($J438=1,COUNTIFS($A$5:$A437,"&gt;="&amp;$A438-1,$A$5:$A437,"&lt;="&amp;$A438,$B$5:$B437,$B438)&gt;0,MIN(1-'Exercise list'!H$2,IF($A438=$A437,AN437,1))-S438&lt;0),-1,MIN(1,IF($A438=$A437,AN437,1)-S438+$D$2))</f>
        <v>1</v>
      </c>
      <c r="AO438" s="19">
        <f>IF(OR($J438=1,COUNTIFS($A$5:$A437,"&gt;="&amp;$A438-1,$A$5:$A437,"&lt;="&amp;$A438,$B$5:$B437,$B438)&gt;0,MIN(1-'Exercise list'!I$2,IF($A438=$A437,AO437,1))-T438&lt;0),-1,MIN(1,IF($A438=$A437,AO437,1)-T438+$D$2))</f>
        <v>1</v>
      </c>
      <c r="AP438" s="19">
        <f>IF(OR($J438=1,COUNTIFS($A$5:$A437,"&gt;="&amp;$A438-1,$A$5:$A437,"&lt;="&amp;$A438,$B$5:$B437,$B438)&gt;0,MIN(1-'Exercise list'!J$2,IF($A438=$A437,AP437,1))-U438&lt;0),-1,MIN(1,IF($A438=$A437,AP437,1)-U438+$D$2))</f>
        <v>1</v>
      </c>
      <c r="AQ438" s="19">
        <f>IF(OR($J438=1,COUNTIFS($A$5:$A437,"&gt;="&amp;$A438-1,$A$5:$A437,"&lt;="&amp;$A438,$B$5:$B437,$B438)&gt;0,MIN(1-'Exercise list'!K$2,IF($A438=$A437,AQ437,1))-V438&lt;0),-1,MIN(1,IF($A438=$A437,AQ437,1)-V438+$D$2))</f>
        <v>1</v>
      </c>
      <c r="AR438" s="19">
        <f>IF(OR($J438=1,COUNTIFS($A$5:$A437,"&gt;="&amp;$A438-1,$A$5:$A437,"&lt;="&amp;$A438,$B$5:$B437,$B438)&gt;0,MIN(1-'Exercise list'!L$2,IF($A438=$A437,AR437,1))-W438&lt;0),-1,MIN(1,IF($A438=$A437,AR437,1)-W438+$D$2))</f>
        <v>1</v>
      </c>
      <c r="AS438" s="19">
        <f>IF(OR($J438=1,COUNTIFS($A$5:$A437,"&gt;="&amp;$A438-1,$A$5:$A437,"&lt;="&amp;$A438,$B$5:$B437,$B438)&gt;0,MIN(1-'Exercise list'!M$2,IF($A438=$A437,AS437,1))-X438&lt;0),-1,MIN(1,IF($A438=$A437,AS437,1)-X438+$D$2))</f>
        <v>1</v>
      </c>
      <c r="AT438" s="19">
        <f>IF(OR($J438=1,COUNTIFS($A$5:$A437,"&gt;="&amp;$A438-1,$A$5:$A437,"&lt;="&amp;$A438,$B$5:$B437,$B438)&gt;0,MIN(1-'Exercise list'!N$2,IF($A438=$A437,AT437,1))-Y438&lt;0),-1,MIN(1,IF($A438=$A437,AT437,1)-Y438+$D$2))</f>
        <v>1</v>
      </c>
      <c r="AU438" s="19">
        <f>IF(OR($J438=1,COUNTIFS($A$5:$A437,"&gt;="&amp;$A438-1,$A$5:$A437,"&lt;="&amp;$A438,$B$5:$B437,$B438)&gt;0,MIN(1-'Exercise list'!O$2,IF($A438=$A437,AU437,1))-Z438&lt;0),-1,MIN(1,IF($A438=$A437,AU437,1)-Z438+$D$2))</f>
        <v>1</v>
      </c>
      <c r="AV438" s="19">
        <f>IF(OR($J438=1,COUNTIFS($A$5:$A437,"&gt;="&amp;$A438-1,$A$5:$A437,"&lt;="&amp;$A438,$B$5:$B437,$B438)&gt;0,MIN(1-'Exercise list'!P$2,IF($A438=$A437,AV437,1))-AA438&lt;0),-1,MIN(1,IF($A438=$A437,AV437,1)-AA438+$D$2))</f>
        <v>1</v>
      </c>
      <c r="AW438" s="19">
        <f>IF(OR($J438=1,COUNTIFS($A$5:$A437,"&gt;="&amp;$A438-1,$A$5:$A437,"&lt;="&amp;$A438,$B$5:$B437,$B438)&gt;0,MIN(1-'Exercise list'!Q$2,IF($A438=$A437,AW437,1))-AB438&lt;0),-1,MIN(1,IF($A438=$A437,AW437,1)-AB438+$D$2))</f>
        <v>1</v>
      </c>
      <c r="AX438" s="19">
        <f>IF(OR($J438=1,COUNTIFS($A$5:$A437,"&gt;="&amp;$A438-1,$A$5:$A437,"&lt;="&amp;$A438,$B$5:$B437,$B438)&gt;0,MIN(1-'Exercise list'!R$2,IF($A438=$A437,AX437,1))-AC438&lt;0),-1,MIN(1,IF($A438=$A437,AX437,1)-AC438+$D$2))</f>
        <v>1</v>
      </c>
      <c r="AY438" s="19">
        <f>IF(OR($J438=1,COUNTIFS($A$5:$A437,"&gt;="&amp;$A438-1,$A$5:$A437,"&lt;="&amp;$A438,$B$5:$B437,$B438)&gt;0,MIN(1-'Exercise list'!S$2,IF($A438=$A437,AY437,1))-AD438&lt;0),-1,MIN(1,IF($A438=$A437,AY437,1)-AD438+$D$2))</f>
        <v>1</v>
      </c>
      <c r="AZ438" s="19">
        <f>IF(OR($J438=1,COUNTIFS($A$5:$A437,"&gt;="&amp;$A438-1,$A$5:$A437,"&lt;="&amp;$A438,$B$5:$B437,$B438)&gt;0,MIN(1-'Exercise list'!T$2,IF($A438=$A437,AZ437,1))-AE438&lt;0),-1,MIN(1,IF($A438=$A437,AZ437,1)-AE438+$D$2))</f>
        <v>1</v>
      </c>
      <c r="BA438" s="19">
        <f>IF(OR($J438=1,COUNTIFS($A$5:$A437,"&gt;="&amp;$A438-1,$A$5:$A437,"&lt;="&amp;$A438,$B$5:$B437,$B438)&gt;0,MIN(1-'Exercise list'!U$2,IF($A438=$A437,BA437,1))-AF438&lt;0),-1,MIN(1,IF($A438=$A437,BA437,1)-AF438+$D$2))</f>
        <v>1</v>
      </c>
      <c r="BB438" s="19">
        <f>IF(OR($J438=1,COUNTIFS($A$5:$A437,"&gt;="&amp;$A438-1,$A$5:$A437,"&lt;="&amp;$A438,$B$5:$B437,$B438)&gt;0,MIN(1-'Exercise list'!V$2,IF($A438=$A437,BB437,1))-AG438&lt;0),-1,MIN(1,IF($A438=$A437,BB437,1)-AG438+$D$2))</f>
        <v>1</v>
      </c>
      <c r="BC438" s="19">
        <f>IF(OR($J438=1,COUNTIFS($A$5:$A437,"&gt;="&amp;$A438-1,$A$5:$A437,"&lt;="&amp;$A438,$B$5:$B437,$B438)&gt;0,MIN(1-'Exercise list'!W$2,IF($A438=$A437,BC437,1))-AH438&lt;0),-1,MIN(1,IF($A438=$A437,BC437,1)-AH438+$D$2))</f>
        <v>1</v>
      </c>
      <c r="BD438" s="19">
        <f>IF(OR($J438=1,COUNTIFS($A$5:$A437,"&gt;="&amp;$A438-1,$A$5:$A437,"&lt;="&amp;$A438,$B$5:$B437,$B438)&gt;0,MIN(1-'Exercise list'!X$2,IF($A438=$A437,BD437,1))-AI438&lt;0),-1,MIN(1,IF($A438=$A437,BD437,1)-AI438+$D$2))</f>
        <v>1</v>
      </c>
      <c r="BE438" s="19"/>
      <c r="BF438" s="23">
        <f t="shared" si="321"/>
        <v>0.19596031081758858</v>
      </c>
      <c r="BG438" s="23">
        <f t="shared" si="322"/>
        <v>0.21844636935459236</v>
      </c>
      <c r="BH438" s="23">
        <f t="shared" si="323"/>
        <v>0.14609696635987124</v>
      </c>
      <c r="BI438" s="23">
        <f t="shared" si="324"/>
        <v>0.13198015366034541</v>
      </c>
      <c r="BJ438" s="23">
        <f t="shared" si="325"/>
        <v>8.3367914198418713E-2</v>
      </c>
      <c r="BK438" s="23">
        <f t="shared" si="326"/>
        <v>0.10640640223148412</v>
      </c>
      <c r="BL438" s="23">
        <f t="shared" si="327"/>
        <v>0.21963504743569431</v>
      </c>
      <c r="BM438" s="23">
        <f t="shared" si="328"/>
        <v>3.8988008374820568E-3</v>
      </c>
      <c r="BN438" s="23">
        <f t="shared" si="329"/>
        <v>0.14537706087090876</v>
      </c>
      <c r="BO438" s="23">
        <f t="shared" si="330"/>
        <v>0.29209790661993401</v>
      </c>
      <c r="BP438" s="23">
        <f t="shared" si="331"/>
        <v>0.31584545163401867</v>
      </c>
      <c r="BQ438" s="23">
        <f t="shared" si="332"/>
        <v>0.1000007994126096</v>
      </c>
      <c r="BR438" s="23">
        <f t="shared" si="333"/>
        <v>0.13164487759885393</v>
      </c>
      <c r="BS438" s="23">
        <f t="shared" si="334"/>
        <v>2.9803550189863123E-2</v>
      </c>
      <c r="BT438" s="23">
        <f t="shared" si="335"/>
        <v>0.13492040904978705</v>
      </c>
      <c r="BU438" s="23">
        <f t="shared" si="336"/>
        <v>0.11703687414398131</v>
      </c>
      <c r="BV438" s="23">
        <f t="shared" si="337"/>
        <v>0.14633353213781661</v>
      </c>
      <c r="BW438" s="23">
        <f t="shared" si="338"/>
        <v>7.5588015111767173E-2</v>
      </c>
      <c r="BX438" s="23">
        <f t="shared" si="339"/>
        <v>8.0345659937185704E-2</v>
      </c>
      <c r="BY438" s="23">
        <f t="shared" si="340"/>
        <v>5.9014643151272549E-2</v>
      </c>
      <c r="BZ438" s="19"/>
      <c r="CA438" s="23" t="str">
        <f t="shared" si="317"/>
        <v/>
      </c>
      <c r="CB438" s="23" t="str">
        <f t="shared" si="298"/>
        <v/>
      </c>
      <c r="CC438" s="23" t="str">
        <f t="shared" si="299"/>
        <v/>
      </c>
      <c r="CD438" s="23" t="str">
        <f t="shared" si="300"/>
        <v/>
      </c>
      <c r="CE438" s="23" t="str">
        <f t="shared" si="301"/>
        <v/>
      </c>
      <c r="CF438" s="23" t="str">
        <f t="shared" si="302"/>
        <v/>
      </c>
      <c r="CG438" s="23" t="str">
        <f t="shared" si="303"/>
        <v/>
      </c>
      <c r="CH438" s="23" t="str">
        <f t="shared" si="304"/>
        <v/>
      </c>
      <c r="CI438" s="23" t="str">
        <f t="shared" si="305"/>
        <v/>
      </c>
      <c r="CJ438" s="23" t="str">
        <f t="shared" si="306"/>
        <v/>
      </c>
      <c r="CK438" s="23" t="str">
        <f t="shared" si="307"/>
        <v/>
      </c>
      <c r="CL438" s="23" t="str">
        <f t="shared" si="308"/>
        <v/>
      </c>
      <c r="CM438" s="23" t="str">
        <f t="shared" si="309"/>
        <v/>
      </c>
      <c r="CN438" s="23" t="str">
        <f t="shared" si="310"/>
        <v/>
      </c>
      <c r="CO438" s="23" t="str">
        <f t="shared" si="311"/>
        <v/>
      </c>
      <c r="CP438" s="23" t="str">
        <f t="shared" si="312"/>
        <v/>
      </c>
      <c r="CQ438" s="23" t="str">
        <f t="shared" si="313"/>
        <v/>
      </c>
      <c r="CR438" s="23" t="str">
        <f t="shared" si="314"/>
        <v/>
      </c>
      <c r="CS438" s="23" t="str">
        <f t="shared" si="315"/>
        <v/>
      </c>
      <c r="CT438" s="23" t="str">
        <f t="shared" si="316"/>
        <v/>
      </c>
      <c r="CU438" s="19"/>
    </row>
    <row r="439" spans="1:99" x14ac:dyDescent="0.25">
      <c r="A439" s="13"/>
      <c r="B439" s="14"/>
      <c r="C439" s="15" t="str" cm="1">
        <f t="array" ref="C439">IF(B439="","",INDEX('Exercise list'!$C$5:$C$102,B439))</f>
        <v/>
      </c>
      <c r="D439" s="12" t="str">
        <f t="shared" si="318"/>
        <v/>
      </c>
      <c r="E439" s="107" t="str">
        <f t="shared" si="341"/>
        <v/>
      </c>
      <c r="F439" s="63" t="str" cm="1">
        <f t="array" ref="F439">IF(B439="","",0.1+IFERROR(INDEX($F$6:$F438,SUMPRODUCT(MAX(ROW($C$6:$C438)*($C439=$C$6:$C438))-ROW($A$5)))*0.9^($A439-INDEX($A$6:A438,SUMPRODUCT(MAX(ROW($C$6:$C438)*($C439=$C$6:$C438))-ROW($A$5)))),0))</f>
        <v/>
      </c>
      <c r="G439" s="64" t="e">
        <f>INDEX('Exercise list'!$Y$5:$Y$102,MATCH(C439,'Exercise list'!$C$5:$C$102,0))</f>
        <v>#N/A</v>
      </c>
      <c r="H439" s="115">
        <f t="shared" si="319"/>
        <v>0</v>
      </c>
      <c r="I439" s="42">
        <f t="shared" si="320"/>
        <v>5</v>
      </c>
      <c r="J439" s="6" t="str" cm="1">
        <f t="array" ref="J439">IF(B439="","",INDEX('Exercise list'!$D$5:$D$102,B439))</f>
        <v/>
      </c>
      <c r="K439" s="12"/>
      <c r="L439" s="74" t="str" cm="1">
        <f t="array" ref="L439">IF(K439="","",INDEX('Exercise list'!$C$5:$C$102,K439))</f>
        <v/>
      </c>
      <c r="M439" s="6"/>
      <c r="N439" s="75" t="str" cm="1">
        <f t="array" ref="N439">IF(M439="","",INDEX('Exercise list'!$C$5:$C$102,M439))</f>
        <v/>
      </c>
      <c r="P439">
        <f>IFERROR(INDEX('Exercise list'!$E$5:$X$102,MATCH($C439,'Exercise list'!$C$5:$C$102,0),MATCH(P$5,'Exercise list'!$E$4:$X$4,0)),0)</f>
        <v>0</v>
      </c>
      <c r="Q439">
        <f>IFERROR(INDEX('Exercise list'!$E$5:$X$102,MATCH($C439,'Exercise list'!$C$5:$C$102,0),MATCH(Q$5,'Exercise list'!$E$4:$X$4,0)),0)</f>
        <v>0</v>
      </c>
      <c r="R439">
        <f>IFERROR(INDEX('Exercise list'!$E$5:$X$102,MATCH($C439,'Exercise list'!$C$5:$C$102,0),MATCH(R$5,'Exercise list'!$E$4:$X$4,0)),0)</f>
        <v>0</v>
      </c>
      <c r="S439">
        <f>IFERROR(INDEX('Exercise list'!$E$5:$X$102,MATCH($C439,'Exercise list'!$C$5:$C$102,0),MATCH(S$5,'Exercise list'!$E$4:$X$4,0)),0)</f>
        <v>0</v>
      </c>
      <c r="T439">
        <f>IFERROR(INDEX('Exercise list'!$E$5:$X$102,MATCH($C439,'Exercise list'!$C$5:$C$102,0),MATCH(T$5,'Exercise list'!$E$4:$X$4,0)),0)</f>
        <v>0</v>
      </c>
      <c r="U439">
        <f>IFERROR(INDEX('Exercise list'!$E$5:$X$102,MATCH($C439,'Exercise list'!$C$5:$C$102,0),MATCH(U$5,'Exercise list'!$E$4:$X$4,0)),0)</f>
        <v>0</v>
      </c>
      <c r="V439">
        <f>IFERROR(INDEX('Exercise list'!$E$5:$X$102,MATCH($C439,'Exercise list'!$C$5:$C$102,0),MATCH(V$5,'Exercise list'!$E$4:$X$4,0)),0)</f>
        <v>0</v>
      </c>
      <c r="W439">
        <f>IFERROR(INDEX('Exercise list'!$E$5:$X$102,MATCH($C439,'Exercise list'!$C$5:$C$102,0),MATCH(W$5,'Exercise list'!$E$4:$X$4,0)),0)</f>
        <v>0</v>
      </c>
      <c r="X439">
        <f>IFERROR(INDEX('Exercise list'!$E$5:$X$102,MATCH($C439,'Exercise list'!$C$5:$C$102,0),MATCH(X$5,'Exercise list'!$E$4:$X$4,0)),0)</f>
        <v>0</v>
      </c>
      <c r="Y439">
        <f>IFERROR(INDEX('Exercise list'!$E$5:$X$102,MATCH($C439,'Exercise list'!$C$5:$C$102,0),MATCH(Y$5,'Exercise list'!$E$4:$X$4,0)),0)</f>
        <v>0</v>
      </c>
      <c r="Z439">
        <f>IFERROR(INDEX('Exercise list'!$E$5:$X$102,MATCH($C439,'Exercise list'!$C$5:$C$102,0),MATCH(Z$5,'Exercise list'!$E$4:$X$4,0)),0)</f>
        <v>0</v>
      </c>
      <c r="AA439">
        <f>IFERROR(INDEX('Exercise list'!$E$5:$X$102,MATCH($C439,'Exercise list'!$C$5:$C$102,0),MATCH(AA$5,'Exercise list'!$E$4:$X$4,0)),0)</f>
        <v>0</v>
      </c>
      <c r="AB439">
        <f>IFERROR(INDEX('Exercise list'!$E$5:$X$102,MATCH($C439,'Exercise list'!$C$5:$C$102,0),MATCH(AB$5,'Exercise list'!$E$4:$X$4,0)),0)</f>
        <v>0</v>
      </c>
      <c r="AC439">
        <f>IFERROR(INDEX('Exercise list'!$E$5:$X$102,MATCH($C439,'Exercise list'!$C$5:$C$102,0),MATCH(AC$5,'Exercise list'!$E$4:$X$4,0)),0)</f>
        <v>0</v>
      </c>
      <c r="AD439">
        <f>IFERROR(INDEX('Exercise list'!$E$5:$X$102,MATCH($C439,'Exercise list'!$C$5:$C$102,0),MATCH(AD$5,'Exercise list'!$E$4:$X$4,0)),0)</f>
        <v>0</v>
      </c>
      <c r="AE439">
        <f>IFERROR(INDEX('Exercise list'!$E$5:$X$102,MATCH($C439,'Exercise list'!$C$5:$C$102,0),MATCH(AE$5,'Exercise list'!$E$4:$X$4,0)),0)</f>
        <v>0</v>
      </c>
      <c r="AF439">
        <f>IFERROR(INDEX('Exercise list'!$E$5:$X$102,MATCH($C439,'Exercise list'!$C$5:$C$102,0),MATCH(AF$5,'Exercise list'!$E$4:$X$4,0)),0)</f>
        <v>0</v>
      </c>
      <c r="AG439">
        <f>IFERROR(INDEX('Exercise list'!$E$5:$X$102,MATCH($C439,'Exercise list'!$C$5:$C$102,0),MATCH(AG$5,'Exercise list'!$E$4:$X$4,0)),0)</f>
        <v>0</v>
      </c>
      <c r="AH439">
        <f>IFERROR(INDEX('Exercise list'!$E$5:$X$102,MATCH($C439,'Exercise list'!$C$5:$C$102,0),MATCH(AH$5,'Exercise list'!$E$4:$X$4,0)),0)</f>
        <v>0</v>
      </c>
      <c r="AI439">
        <f>IFERROR(INDEX('Exercise list'!$E$5:$X$102,MATCH($C439,'Exercise list'!$C$5:$C$102,0),MATCH(AI$5,'Exercise list'!$E$4:$X$4,0)),0)</f>
        <v>0</v>
      </c>
      <c r="AK439">
        <f>IF(OR($J439=1,COUNTIFS($A$5:$A438,"&gt;="&amp;$A439-1,$A$5:$A438,"&lt;="&amp;$A439,$B$5:$B438,$B439)&gt;0,MIN(1-'Exercise list'!E$2,IF($A439=$A438,AK438,1))-P439&lt;0),-1,MIN(1,IF($A439=$A438,AK438,1)-P439+$D$2))</f>
        <v>1</v>
      </c>
      <c r="AL439">
        <f>IF(OR($J439=1,COUNTIFS($A$5:$A438,"&gt;="&amp;$A439-1,$A$5:$A438,"&lt;="&amp;$A439,$B$5:$B438,$B439)&gt;0,MIN(1-'Exercise list'!F$2,IF($A439=$A438,AL438,1))-Q439&lt;0),-1,MIN(1,IF($A439=$A438,AL438,1)-Q439+$D$2))</f>
        <v>1</v>
      </c>
      <c r="AM439">
        <f>IF(OR($J439=1,COUNTIFS($A$5:$A438,"&gt;="&amp;$A439-1,$A$5:$A438,"&lt;="&amp;$A439,$B$5:$B438,$B439)&gt;0,MIN(1-'Exercise list'!G$2,IF($A439=$A438,AM438,1))-R439&lt;0),-1,MIN(1,IF($A439=$A438,AM438,1)-R439+$D$2))</f>
        <v>1</v>
      </c>
      <c r="AN439">
        <f>IF(OR($J439=1,COUNTIFS($A$5:$A438,"&gt;="&amp;$A439-1,$A$5:$A438,"&lt;="&amp;$A439,$B$5:$B438,$B439)&gt;0,MIN(1-'Exercise list'!H$2,IF($A439=$A438,AN438,1))-S439&lt;0),-1,MIN(1,IF($A439=$A438,AN438,1)-S439+$D$2))</f>
        <v>1</v>
      </c>
      <c r="AO439">
        <f>IF(OR($J439=1,COUNTIFS($A$5:$A438,"&gt;="&amp;$A439-1,$A$5:$A438,"&lt;="&amp;$A439,$B$5:$B438,$B439)&gt;0,MIN(1-'Exercise list'!I$2,IF($A439=$A438,AO438,1))-T439&lt;0),-1,MIN(1,IF($A439=$A438,AO438,1)-T439+$D$2))</f>
        <v>1</v>
      </c>
      <c r="AP439">
        <f>IF(OR($J439=1,COUNTIFS($A$5:$A438,"&gt;="&amp;$A439-1,$A$5:$A438,"&lt;="&amp;$A439,$B$5:$B438,$B439)&gt;0,MIN(1-'Exercise list'!J$2,IF($A439=$A438,AP438,1))-U439&lt;0),-1,MIN(1,IF($A439=$A438,AP438,1)-U439+$D$2))</f>
        <v>1</v>
      </c>
      <c r="AQ439">
        <f>IF(OR($J439=1,COUNTIFS($A$5:$A438,"&gt;="&amp;$A439-1,$A$5:$A438,"&lt;="&amp;$A439,$B$5:$B438,$B439)&gt;0,MIN(1-'Exercise list'!K$2,IF($A439=$A438,AQ438,1))-V439&lt;0),-1,MIN(1,IF($A439=$A438,AQ438,1)-V439+$D$2))</f>
        <v>1</v>
      </c>
      <c r="AR439">
        <f>IF(OR($J439=1,COUNTIFS($A$5:$A438,"&gt;="&amp;$A439-1,$A$5:$A438,"&lt;="&amp;$A439,$B$5:$B438,$B439)&gt;0,MIN(1-'Exercise list'!L$2,IF($A439=$A438,AR438,1))-W439&lt;0),-1,MIN(1,IF($A439=$A438,AR438,1)-W439+$D$2))</f>
        <v>1</v>
      </c>
      <c r="AS439">
        <f>IF(OR($J439=1,COUNTIFS($A$5:$A438,"&gt;="&amp;$A439-1,$A$5:$A438,"&lt;="&amp;$A439,$B$5:$B438,$B439)&gt;0,MIN(1-'Exercise list'!M$2,IF($A439=$A438,AS438,1))-X439&lt;0),-1,MIN(1,IF($A439=$A438,AS438,1)-X439+$D$2))</f>
        <v>1</v>
      </c>
      <c r="AT439">
        <f>IF(OR($J439=1,COUNTIFS($A$5:$A438,"&gt;="&amp;$A439-1,$A$5:$A438,"&lt;="&amp;$A439,$B$5:$B438,$B439)&gt;0,MIN(1-'Exercise list'!N$2,IF($A439=$A438,AT438,1))-Y439&lt;0),-1,MIN(1,IF($A439=$A438,AT438,1)-Y439+$D$2))</f>
        <v>1</v>
      </c>
      <c r="AU439">
        <f>IF(OR($J439=1,COUNTIFS($A$5:$A438,"&gt;="&amp;$A439-1,$A$5:$A438,"&lt;="&amp;$A439,$B$5:$B438,$B439)&gt;0,MIN(1-'Exercise list'!O$2,IF($A439=$A438,AU438,1))-Z439&lt;0),-1,MIN(1,IF($A439=$A438,AU438,1)-Z439+$D$2))</f>
        <v>1</v>
      </c>
      <c r="AV439">
        <f>IF(OR($J439=1,COUNTIFS($A$5:$A438,"&gt;="&amp;$A439-1,$A$5:$A438,"&lt;="&amp;$A439,$B$5:$B438,$B439)&gt;0,MIN(1-'Exercise list'!P$2,IF($A439=$A438,AV438,1))-AA439&lt;0),-1,MIN(1,IF($A439=$A438,AV438,1)-AA439+$D$2))</f>
        <v>1</v>
      </c>
      <c r="AW439">
        <f>IF(OR($J439=1,COUNTIFS($A$5:$A438,"&gt;="&amp;$A439-1,$A$5:$A438,"&lt;="&amp;$A439,$B$5:$B438,$B439)&gt;0,MIN(1-'Exercise list'!Q$2,IF($A439=$A438,AW438,1))-AB439&lt;0),-1,MIN(1,IF($A439=$A438,AW438,1)-AB439+$D$2))</f>
        <v>1</v>
      </c>
      <c r="AX439">
        <f>IF(OR($J439=1,COUNTIFS($A$5:$A438,"&gt;="&amp;$A439-1,$A$5:$A438,"&lt;="&amp;$A439,$B$5:$B438,$B439)&gt;0,MIN(1-'Exercise list'!R$2,IF($A439=$A438,AX438,1))-AC439&lt;0),-1,MIN(1,IF($A439=$A438,AX438,1)-AC439+$D$2))</f>
        <v>1</v>
      </c>
      <c r="AY439">
        <f>IF(OR($J439=1,COUNTIFS($A$5:$A438,"&gt;="&amp;$A439-1,$A$5:$A438,"&lt;="&amp;$A439,$B$5:$B438,$B439)&gt;0,MIN(1-'Exercise list'!S$2,IF($A439=$A438,AY438,1))-AD439&lt;0),-1,MIN(1,IF($A439=$A438,AY438,1)-AD439+$D$2))</f>
        <v>1</v>
      </c>
      <c r="AZ439">
        <f>IF(OR($J439=1,COUNTIFS($A$5:$A438,"&gt;="&amp;$A439-1,$A$5:$A438,"&lt;="&amp;$A439,$B$5:$B438,$B439)&gt;0,MIN(1-'Exercise list'!T$2,IF($A439=$A438,AZ438,1))-AE439&lt;0),-1,MIN(1,IF($A439=$A438,AZ438,1)-AE439+$D$2))</f>
        <v>1</v>
      </c>
      <c r="BA439">
        <f>IF(OR($J439=1,COUNTIFS($A$5:$A438,"&gt;="&amp;$A439-1,$A$5:$A438,"&lt;="&amp;$A439,$B$5:$B438,$B439)&gt;0,MIN(1-'Exercise list'!U$2,IF($A439=$A438,BA438,1))-AF439&lt;0),-1,MIN(1,IF($A439=$A438,BA438,1)-AF439+$D$2))</f>
        <v>1</v>
      </c>
      <c r="BB439">
        <f>IF(OR($J439=1,COUNTIFS($A$5:$A438,"&gt;="&amp;$A439-1,$A$5:$A438,"&lt;="&amp;$A439,$B$5:$B438,$B439)&gt;0,MIN(1-'Exercise list'!V$2,IF($A439=$A438,BB438,1))-AG439&lt;0),-1,MIN(1,IF($A439=$A438,BB438,1)-AG439+$D$2))</f>
        <v>1</v>
      </c>
      <c r="BC439">
        <f>IF(OR($J439=1,COUNTIFS($A$5:$A438,"&gt;="&amp;$A439-1,$A$5:$A438,"&lt;="&amp;$A439,$B$5:$B438,$B439)&gt;0,MIN(1-'Exercise list'!W$2,IF($A439=$A438,BC438,1))-AH439&lt;0),-1,MIN(1,IF($A439=$A438,BC438,1)-AH439+$D$2))</f>
        <v>1</v>
      </c>
      <c r="BD439">
        <f>IF(OR($J439=1,COUNTIFS($A$5:$A438,"&gt;="&amp;$A439-1,$A$5:$A438,"&lt;="&amp;$A439,$B$5:$B438,$B439)&gt;0,MIN(1-'Exercise list'!X$2,IF($A439=$A438,BD438,1))-AI439&lt;0),-1,MIN(1,IF($A439=$A438,BD438,1)-AI439+$D$2))</f>
        <v>1</v>
      </c>
      <c r="BF439" s="16">
        <f t="shared" si="321"/>
        <v>0.19596031081758858</v>
      </c>
      <c r="BG439" s="16">
        <f t="shared" si="322"/>
        <v>0.21844636935459236</v>
      </c>
      <c r="BH439" s="16">
        <f t="shared" si="323"/>
        <v>0.14609696635987124</v>
      </c>
      <c r="BI439" s="16">
        <f t="shared" si="324"/>
        <v>0.13198015366034541</v>
      </c>
      <c r="BJ439" s="16">
        <f t="shared" si="325"/>
        <v>8.3367914198418713E-2</v>
      </c>
      <c r="BK439" s="16">
        <f t="shared" si="326"/>
        <v>0.10640640223148412</v>
      </c>
      <c r="BL439" s="16">
        <f t="shared" si="327"/>
        <v>0.21963504743569431</v>
      </c>
      <c r="BM439" s="16">
        <f t="shared" si="328"/>
        <v>3.8988008374820568E-3</v>
      </c>
      <c r="BN439" s="16">
        <f t="shared" si="329"/>
        <v>0.14537706087090876</v>
      </c>
      <c r="BO439" s="16">
        <f t="shared" si="330"/>
        <v>0.29209790661993401</v>
      </c>
      <c r="BP439" s="16">
        <f t="shared" si="331"/>
        <v>0.31584545163401867</v>
      </c>
      <c r="BQ439" s="16">
        <f t="shared" si="332"/>
        <v>0.1000007994126096</v>
      </c>
      <c r="BR439" s="16">
        <f t="shared" si="333"/>
        <v>0.13164487759885393</v>
      </c>
      <c r="BS439" s="16">
        <f t="shared" si="334"/>
        <v>2.9803550189863123E-2</v>
      </c>
      <c r="BT439" s="16">
        <f t="shared" si="335"/>
        <v>0.13492040904978705</v>
      </c>
      <c r="BU439" s="16">
        <f t="shared" si="336"/>
        <v>0.11703687414398131</v>
      </c>
      <c r="BV439" s="16">
        <f t="shared" si="337"/>
        <v>0.14633353213781661</v>
      </c>
      <c r="BW439" s="16">
        <f t="shared" si="338"/>
        <v>7.5588015111767173E-2</v>
      </c>
      <c r="BX439" s="16">
        <f t="shared" si="339"/>
        <v>8.0345659937185704E-2</v>
      </c>
      <c r="BY439" s="16">
        <f t="shared" si="340"/>
        <v>5.9014643151272549E-2</v>
      </c>
      <c r="CA439" s="16" t="str">
        <f t="shared" si="317"/>
        <v/>
      </c>
      <c r="CB439" s="16" t="str">
        <f t="shared" si="298"/>
        <v/>
      </c>
      <c r="CC439" s="16" t="str">
        <f t="shared" si="299"/>
        <v/>
      </c>
      <c r="CD439" s="16" t="str">
        <f t="shared" si="300"/>
        <v/>
      </c>
      <c r="CE439" s="16" t="str">
        <f t="shared" si="301"/>
        <v/>
      </c>
      <c r="CF439" s="16" t="str">
        <f t="shared" si="302"/>
        <v/>
      </c>
      <c r="CG439" s="16" t="str">
        <f t="shared" si="303"/>
        <v/>
      </c>
      <c r="CH439" s="16" t="str">
        <f t="shared" si="304"/>
        <v/>
      </c>
      <c r="CI439" s="16" t="str">
        <f t="shared" si="305"/>
        <v/>
      </c>
      <c r="CJ439" s="16" t="str">
        <f t="shared" si="306"/>
        <v/>
      </c>
      <c r="CK439" s="16" t="str">
        <f t="shared" si="307"/>
        <v/>
      </c>
      <c r="CL439" s="16" t="str">
        <f t="shared" si="308"/>
        <v/>
      </c>
      <c r="CM439" s="16" t="str">
        <f t="shared" si="309"/>
        <v/>
      </c>
      <c r="CN439" s="16" t="str">
        <f t="shared" si="310"/>
        <v/>
      </c>
      <c r="CO439" s="16" t="str">
        <f t="shared" si="311"/>
        <v/>
      </c>
      <c r="CP439" s="16" t="str">
        <f t="shared" si="312"/>
        <v/>
      </c>
      <c r="CQ439" s="16" t="str">
        <f t="shared" si="313"/>
        <v/>
      </c>
      <c r="CR439" s="16" t="str">
        <f t="shared" si="314"/>
        <v/>
      </c>
      <c r="CS439" s="16" t="str">
        <f t="shared" si="315"/>
        <v/>
      </c>
      <c r="CT439" s="16" t="str">
        <f t="shared" si="316"/>
        <v/>
      </c>
    </row>
    <row r="440" spans="1:99" x14ac:dyDescent="0.25">
      <c r="A440" s="13"/>
      <c r="B440" s="14"/>
      <c r="C440" s="15" t="str" cm="1">
        <f t="array" ref="C440">IF(B440="","",INDEX('Exercise list'!$C$5:$C$102,B440))</f>
        <v/>
      </c>
      <c r="D440" s="12" t="str">
        <f t="shared" si="318"/>
        <v/>
      </c>
      <c r="E440" s="107" t="str">
        <f t="shared" si="341"/>
        <v/>
      </c>
      <c r="F440" s="63" t="str" cm="1">
        <f t="array" ref="F440">IF(B440="","",0.1+IFERROR(INDEX($F$6:$F439,SUMPRODUCT(MAX(ROW($C$6:$C439)*($C440=$C$6:$C439))-ROW($A$5)))*0.9^($A440-INDEX($A$6:A439,SUMPRODUCT(MAX(ROW($C$6:$C439)*($C440=$C$6:$C439))-ROW($A$5)))),0))</f>
        <v/>
      </c>
      <c r="G440" s="64" t="e">
        <f>INDEX('Exercise list'!$Y$5:$Y$102,MATCH(C440,'Exercise list'!$C$5:$C$102,0))</f>
        <v>#N/A</v>
      </c>
      <c r="H440" s="115">
        <f t="shared" si="319"/>
        <v>0</v>
      </c>
      <c r="I440" s="6">
        <f t="shared" si="320"/>
        <v>5</v>
      </c>
      <c r="J440" s="6" t="str" cm="1">
        <f t="array" ref="J440">IF(B440="","",INDEX('Exercise list'!$D$5:$D$102,B440))</f>
        <v/>
      </c>
      <c r="K440" s="12"/>
      <c r="L440" s="74" t="str" cm="1">
        <f t="array" ref="L440">IF(K440="","",INDEX('Exercise list'!$C$5:$C$102,K440))</f>
        <v/>
      </c>
      <c r="M440" s="6"/>
      <c r="N440" s="75" t="str" cm="1">
        <f t="array" ref="N440">IF(M440="","",INDEX('Exercise list'!$C$5:$C$102,M440))</f>
        <v/>
      </c>
      <c r="P440">
        <f>IFERROR(INDEX('Exercise list'!$E$5:$X$102,MATCH($C440,'Exercise list'!$C$5:$C$102,0),MATCH(P$5,'Exercise list'!$E$4:$X$4,0)),0)</f>
        <v>0</v>
      </c>
      <c r="Q440">
        <f>IFERROR(INDEX('Exercise list'!$E$5:$X$102,MATCH($C440,'Exercise list'!$C$5:$C$102,0),MATCH(Q$5,'Exercise list'!$E$4:$X$4,0)),0)</f>
        <v>0</v>
      </c>
      <c r="R440">
        <f>IFERROR(INDEX('Exercise list'!$E$5:$X$102,MATCH($C440,'Exercise list'!$C$5:$C$102,0),MATCH(R$5,'Exercise list'!$E$4:$X$4,0)),0)</f>
        <v>0</v>
      </c>
      <c r="S440">
        <f>IFERROR(INDEX('Exercise list'!$E$5:$X$102,MATCH($C440,'Exercise list'!$C$5:$C$102,0),MATCH(S$5,'Exercise list'!$E$4:$X$4,0)),0)</f>
        <v>0</v>
      </c>
      <c r="T440">
        <f>IFERROR(INDEX('Exercise list'!$E$5:$X$102,MATCH($C440,'Exercise list'!$C$5:$C$102,0),MATCH(T$5,'Exercise list'!$E$4:$X$4,0)),0)</f>
        <v>0</v>
      </c>
      <c r="U440">
        <f>IFERROR(INDEX('Exercise list'!$E$5:$X$102,MATCH($C440,'Exercise list'!$C$5:$C$102,0),MATCH(U$5,'Exercise list'!$E$4:$X$4,0)),0)</f>
        <v>0</v>
      </c>
      <c r="V440">
        <f>IFERROR(INDEX('Exercise list'!$E$5:$X$102,MATCH($C440,'Exercise list'!$C$5:$C$102,0),MATCH(V$5,'Exercise list'!$E$4:$X$4,0)),0)</f>
        <v>0</v>
      </c>
      <c r="W440">
        <f>IFERROR(INDEX('Exercise list'!$E$5:$X$102,MATCH($C440,'Exercise list'!$C$5:$C$102,0),MATCH(W$5,'Exercise list'!$E$4:$X$4,0)),0)</f>
        <v>0</v>
      </c>
      <c r="X440">
        <f>IFERROR(INDEX('Exercise list'!$E$5:$X$102,MATCH($C440,'Exercise list'!$C$5:$C$102,0),MATCH(X$5,'Exercise list'!$E$4:$X$4,0)),0)</f>
        <v>0</v>
      </c>
      <c r="Y440">
        <f>IFERROR(INDEX('Exercise list'!$E$5:$X$102,MATCH($C440,'Exercise list'!$C$5:$C$102,0),MATCH(Y$5,'Exercise list'!$E$4:$X$4,0)),0)</f>
        <v>0</v>
      </c>
      <c r="Z440">
        <f>IFERROR(INDEX('Exercise list'!$E$5:$X$102,MATCH($C440,'Exercise list'!$C$5:$C$102,0),MATCH(Z$5,'Exercise list'!$E$4:$X$4,0)),0)</f>
        <v>0</v>
      </c>
      <c r="AA440">
        <f>IFERROR(INDEX('Exercise list'!$E$5:$X$102,MATCH($C440,'Exercise list'!$C$5:$C$102,0),MATCH(AA$5,'Exercise list'!$E$4:$X$4,0)),0)</f>
        <v>0</v>
      </c>
      <c r="AB440">
        <f>IFERROR(INDEX('Exercise list'!$E$5:$X$102,MATCH($C440,'Exercise list'!$C$5:$C$102,0),MATCH(AB$5,'Exercise list'!$E$4:$X$4,0)),0)</f>
        <v>0</v>
      </c>
      <c r="AC440">
        <f>IFERROR(INDEX('Exercise list'!$E$5:$X$102,MATCH($C440,'Exercise list'!$C$5:$C$102,0),MATCH(AC$5,'Exercise list'!$E$4:$X$4,0)),0)</f>
        <v>0</v>
      </c>
      <c r="AD440">
        <f>IFERROR(INDEX('Exercise list'!$E$5:$X$102,MATCH($C440,'Exercise list'!$C$5:$C$102,0),MATCH(AD$5,'Exercise list'!$E$4:$X$4,0)),0)</f>
        <v>0</v>
      </c>
      <c r="AE440">
        <f>IFERROR(INDEX('Exercise list'!$E$5:$X$102,MATCH($C440,'Exercise list'!$C$5:$C$102,0),MATCH(AE$5,'Exercise list'!$E$4:$X$4,0)),0)</f>
        <v>0</v>
      </c>
      <c r="AF440">
        <f>IFERROR(INDEX('Exercise list'!$E$5:$X$102,MATCH($C440,'Exercise list'!$C$5:$C$102,0),MATCH(AF$5,'Exercise list'!$E$4:$X$4,0)),0)</f>
        <v>0</v>
      </c>
      <c r="AG440">
        <f>IFERROR(INDEX('Exercise list'!$E$5:$X$102,MATCH($C440,'Exercise list'!$C$5:$C$102,0),MATCH(AG$5,'Exercise list'!$E$4:$X$4,0)),0)</f>
        <v>0</v>
      </c>
      <c r="AH440">
        <f>IFERROR(INDEX('Exercise list'!$E$5:$X$102,MATCH($C440,'Exercise list'!$C$5:$C$102,0),MATCH(AH$5,'Exercise list'!$E$4:$X$4,0)),0)</f>
        <v>0</v>
      </c>
      <c r="AI440">
        <f>IFERROR(INDEX('Exercise list'!$E$5:$X$102,MATCH($C440,'Exercise list'!$C$5:$C$102,0),MATCH(AI$5,'Exercise list'!$E$4:$X$4,0)),0)</f>
        <v>0</v>
      </c>
      <c r="AK440">
        <f>IF(OR($J440=1,COUNTIFS($A$5:$A439,"&gt;="&amp;$A440-1,$A$5:$A439,"&lt;="&amp;$A440,$B$5:$B439,$B440)&gt;0,MIN(1-'Exercise list'!E$2,IF($A440=$A439,AK439,1))-P440&lt;0),-1,MIN(1,IF($A440=$A439,AK439,1)-P440+$D$2))</f>
        <v>1</v>
      </c>
      <c r="AL440">
        <f>IF(OR($J440=1,COUNTIFS($A$5:$A439,"&gt;="&amp;$A440-1,$A$5:$A439,"&lt;="&amp;$A440,$B$5:$B439,$B440)&gt;0,MIN(1-'Exercise list'!F$2,IF($A440=$A439,AL439,1))-Q440&lt;0),-1,MIN(1,IF($A440=$A439,AL439,1)-Q440+$D$2))</f>
        <v>1</v>
      </c>
      <c r="AM440">
        <f>IF(OR($J440=1,COUNTIFS($A$5:$A439,"&gt;="&amp;$A440-1,$A$5:$A439,"&lt;="&amp;$A440,$B$5:$B439,$B440)&gt;0,MIN(1-'Exercise list'!G$2,IF($A440=$A439,AM439,1))-R440&lt;0),-1,MIN(1,IF($A440=$A439,AM439,1)-R440+$D$2))</f>
        <v>1</v>
      </c>
      <c r="AN440">
        <f>IF(OR($J440=1,COUNTIFS($A$5:$A439,"&gt;="&amp;$A440-1,$A$5:$A439,"&lt;="&amp;$A440,$B$5:$B439,$B440)&gt;0,MIN(1-'Exercise list'!H$2,IF($A440=$A439,AN439,1))-S440&lt;0),-1,MIN(1,IF($A440=$A439,AN439,1)-S440+$D$2))</f>
        <v>1</v>
      </c>
      <c r="AO440">
        <f>IF(OR($J440=1,COUNTIFS($A$5:$A439,"&gt;="&amp;$A440-1,$A$5:$A439,"&lt;="&amp;$A440,$B$5:$B439,$B440)&gt;0,MIN(1-'Exercise list'!I$2,IF($A440=$A439,AO439,1))-T440&lt;0),-1,MIN(1,IF($A440=$A439,AO439,1)-T440+$D$2))</f>
        <v>1</v>
      </c>
      <c r="AP440">
        <f>IF(OR($J440=1,COUNTIFS($A$5:$A439,"&gt;="&amp;$A440-1,$A$5:$A439,"&lt;="&amp;$A440,$B$5:$B439,$B440)&gt;0,MIN(1-'Exercise list'!J$2,IF($A440=$A439,AP439,1))-U440&lt;0),-1,MIN(1,IF($A440=$A439,AP439,1)-U440+$D$2))</f>
        <v>1</v>
      </c>
      <c r="AQ440">
        <f>IF(OR($J440=1,COUNTIFS($A$5:$A439,"&gt;="&amp;$A440-1,$A$5:$A439,"&lt;="&amp;$A440,$B$5:$B439,$B440)&gt;0,MIN(1-'Exercise list'!K$2,IF($A440=$A439,AQ439,1))-V440&lt;0),-1,MIN(1,IF($A440=$A439,AQ439,1)-V440+$D$2))</f>
        <v>1</v>
      </c>
      <c r="AR440">
        <f>IF(OR($J440=1,COUNTIFS($A$5:$A439,"&gt;="&amp;$A440-1,$A$5:$A439,"&lt;="&amp;$A440,$B$5:$B439,$B440)&gt;0,MIN(1-'Exercise list'!L$2,IF($A440=$A439,AR439,1))-W440&lt;0),-1,MIN(1,IF($A440=$A439,AR439,1)-W440+$D$2))</f>
        <v>1</v>
      </c>
      <c r="AS440">
        <f>IF(OR($J440=1,COUNTIFS($A$5:$A439,"&gt;="&amp;$A440-1,$A$5:$A439,"&lt;="&amp;$A440,$B$5:$B439,$B440)&gt;0,MIN(1-'Exercise list'!M$2,IF($A440=$A439,AS439,1))-X440&lt;0),-1,MIN(1,IF($A440=$A439,AS439,1)-X440+$D$2))</f>
        <v>1</v>
      </c>
      <c r="AT440">
        <f>IF(OR($J440=1,COUNTIFS($A$5:$A439,"&gt;="&amp;$A440-1,$A$5:$A439,"&lt;="&amp;$A440,$B$5:$B439,$B440)&gt;0,MIN(1-'Exercise list'!N$2,IF($A440=$A439,AT439,1))-Y440&lt;0),-1,MIN(1,IF($A440=$A439,AT439,1)-Y440+$D$2))</f>
        <v>1</v>
      </c>
      <c r="AU440">
        <f>IF(OR($J440=1,COUNTIFS($A$5:$A439,"&gt;="&amp;$A440-1,$A$5:$A439,"&lt;="&amp;$A440,$B$5:$B439,$B440)&gt;0,MIN(1-'Exercise list'!O$2,IF($A440=$A439,AU439,1))-Z440&lt;0),-1,MIN(1,IF($A440=$A439,AU439,1)-Z440+$D$2))</f>
        <v>1</v>
      </c>
      <c r="AV440">
        <f>IF(OR($J440=1,COUNTIFS($A$5:$A439,"&gt;="&amp;$A440-1,$A$5:$A439,"&lt;="&amp;$A440,$B$5:$B439,$B440)&gt;0,MIN(1-'Exercise list'!P$2,IF($A440=$A439,AV439,1))-AA440&lt;0),-1,MIN(1,IF($A440=$A439,AV439,1)-AA440+$D$2))</f>
        <v>1</v>
      </c>
      <c r="AW440">
        <f>IF(OR($J440=1,COUNTIFS($A$5:$A439,"&gt;="&amp;$A440-1,$A$5:$A439,"&lt;="&amp;$A440,$B$5:$B439,$B440)&gt;0,MIN(1-'Exercise list'!Q$2,IF($A440=$A439,AW439,1))-AB440&lt;0),-1,MIN(1,IF($A440=$A439,AW439,1)-AB440+$D$2))</f>
        <v>1</v>
      </c>
      <c r="AX440">
        <f>IF(OR($J440=1,COUNTIFS($A$5:$A439,"&gt;="&amp;$A440-1,$A$5:$A439,"&lt;="&amp;$A440,$B$5:$B439,$B440)&gt;0,MIN(1-'Exercise list'!R$2,IF($A440=$A439,AX439,1))-AC440&lt;0),-1,MIN(1,IF($A440=$A439,AX439,1)-AC440+$D$2))</f>
        <v>1</v>
      </c>
      <c r="AY440">
        <f>IF(OR($J440=1,COUNTIFS($A$5:$A439,"&gt;="&amp;$A440-1,$A$5:$A439,"&lt;="&amp;$A440,$B$5:$B439,$B440)&gt;0,MIN(1-'Exercise list'!S$2,IF($A440=$A439,AY439,1))-AD440&lt;0),-1,MIN(1,IF($A440=$A439,AY439,1)-AD440+$D$2))</f>
        <v>1</v>
      </c>
      <c r="AZ440">
        <f>IF(OR($J440=1,COUNTIFS($A$5:$A439,"&gt;="&amp;$A440-1,$A$5:$A439,"&lt;="&amp;$A440,$B$5:$B439,$B440)&gt;0,MIN(1-'Exercise list'!T$2,IF($A440=$A439,AZ439,1))-AE440&lt;0),-1,MIN(1,IF($A440=$A439,AZ439,1)-AE440+$D$2))</f>
        <v>1</v>
      </c>
      <c r="BA440">
        <f>IF(OR($J440=1,COUNTIFS($A$5:$A439,"&gt;="&amp;$A440-1,$A$5:$A439,"&lt;="&amp;$A440,$B$5:$B439,$B440)&gt;0,MIN(1-'Exercise list'!U$2,IF($A440=$A439,BA439,1))-AF440&lt;0),-1,MIN(1,IF($A440=$A439,BA439,1)-AF440+$D$2))</f>
        <v>1</v>
      </c>
      <c r="BB440">
        <f>IF(OR($J440=1,COUNTIFS($A$5:$A439,"&gt;="&amp;$A440-1,$A$5:$A439,"&lt;="&amp;$A440,$B$5:$B439,$B440)&gt;0,MIN(1-'Exercise list'!V$2,IF($A440=$A439,BB439,1))-AG440&lt;0),-1,MIN(1,IF($A440=$A439,BB439,1)-AG440+$D$2))</f>
        <v>1</v>
      </c>
      <c r="BC440">
        <f>IF(OR($J440=1,COUNTIFS($A$5:$A439,"&gt;="&amp;$A440-1,$A$5:$A439,"&lt;="&amp;$A440,$B$5:$B439,$B440)&gt;0,MIN(1-'Exercise list'!W$2,IF($A440=$A439,BC439,1))-AH440&lt;0),-1,MIN(1,IF($A440=$A439,BC439,1)-AH440+$D$2))</f>
        <v>1</v>
      </c>
      <c r="BD440">
        <f>IF(OR($J440=1,COUNTIFS($A$5:$A439,"&gt;="&amp;$A440-1,$A$5:$A439,"&lt;="&amp;$A440,$B$5:$B439,$B440)&gt;0,MIN(1-'Exercise list'!X$2,IF($A440=$A439,BD439,1))-AI440&lt;0),-1,MIN(1,IF($A440=$A439,BD439,1)-AI440+$D$2))</f>
        <v>1</v>
      </c>
      <c r="BF440" s="16">
        <f t="shared" si="321"/>
        <v>0.19596031081758858</v>
      </c>
      <c r="BG440" s="16">
        <f t="shared" si="322"/>
        <v>0.21844636935459236</v>
      </c>
      <c r="BH440" s="16">
        <f t="shared" si="323"/>
        <v>0.14609696635987124</v>
      </c>
      <c r="BI440" s="16">
        <f t="shared" si="324"/>
        <v>0.13198015366034541</v>
      </c>
      <c r="BJ440" s="16">
        <f t="shared" si="325"/>
        <v>8.3367914198418713E-2</v>
      </c>
      <c r="BK440" s="16">
        <f t="shared" si="326"/>
        <v>0.10640640223148412</v>
      </c>
      <c r="BL440" s="16">
        <f t="shared" si="327"/>
        <v>0.21963504743569431</v>
      </c>
      <c r="BM440" s="16">
        <f t="shared" si="328"/>
        <v>3.8988008374820568E-3</v>
      </c>
      <c r="BN440" s="16">
        <f t="shared" si="329"/>
        <v>0.14537706087090876</v>
      </c>
      <c r="BO440" s="16">
        <f t="shared" si="330"/>
        <v>0.29209790661993401</v>
      </c>
      <c r="BP440" s="16">
        <f t="shared" si="331"/>
        <v>0.31584545163401867</v>
      </c>
      <c r="BQ440" s="16">
        <f t="shared" si="332"/>
        <v>0.1000007994126096</v>
      </c>
      <c r="BR440" s="16">
        <f t="shared" si="333"/>
        <v>0.13164487759885393</v>
      </c>
      <c r="BS440" s="16">
        <f t="shared" si="334"/>
        <v>2.9803550189863123E-2</v>
      </c>
      <c r="BT440" s="16">
        <f t="shared" si="335"/>
        <v>0.13492040904978705</v>
      </c>
      <c r="BU440" s="16">
        <f t="shared" si="336"/>
        <v>0.11703687414398131</v>
      </c>
      <c r="BV440" s="16">
        <f t="shared" si="337"/>
        <v>0.14633353213781661</v>
      </c>
      <c r="BW440" s="16">
        <f t="shared" si="338"/>
        <v>7.5588015111767173E-2</v>
      </c>
      <c r="BX440" s="16">
        <f t="shared" si="339"/>
        <v>8.0345659937185704E-2</v>
      </c>
      <c r="BY440" s="16">
        <f t="shared" si="340"/>
        <v>5.9014643151272549E-2</v>
      </c>
      <c r="CA440" s="16" t="str">
        <f t="shared" si="317"/>
        <v/>
      </c>
      <c r="CB440" s="16" t="str">
        <f t="shared" si="298"/>
        <v/>
      </c>
      <c r="CC440" s="16" t="str">
        <f t="shared" si="299"/>
        <v/>
      </c>
      <c r="CD440" s="16" t="str">
        <f t="shared" si="300"/>
        <v/>
      </c>
      <c r="CE440" s="16" t="str">
        <f t="shared" si="301"/>
        <v/>
      </c>
      <c r="CF440" s="16" t="str">
        <f t="shared" si="302"/>
        <v/>
      </c>
      <c r="CG440" s="16" t="str">
        <f t="shared" si="303"/>
        <v/>
      </c>
      <c r="CH440" s="16" t="str">
        <f t="shared" si="304"/>
        <v/>
      </c>
      <c r="CI440" s="16" t="str">
        <f t="shared" si="305"/>
        <v/>
      </c>
      <c r="CJ440" s="16" t="str">
        <f t="shared" si="306"/>
        <v/>
      </c>
      <c r="CK440" s="16" t="str">
        <f t="shared" si="307"/>
        <v/>
      </c>
      <c r="CL440" s="16" t="str">
        <f t="shared" si="308"/>
        <v/>
      </c>
      <c r="CM440" s="16" t="str">
        <f t="shared" si="309"/>
        <v/>
      </c>
      <c r="CN440" s="16" t="str">
        <f t="shared" si="310"/>
        <v/>
      </c>
      <c r="CO440" s="16" t="str">
        <f t="shared" si="311"/>
        <v/>
      </c>
      <c r="CP440" s="16" t="str">
        <f t="shared" si="312"/>
        <v/>
      </c>
      <c r="CQ440" s="16" t="str">
        <f t="shared" si="313"/>
        <v/>
      </c>
      <c r="CR440" s="16" t="str">
        <f t="shared" si="314"/>
        <v/>
      </c>
      <c r="CS440" s="16" t="str">
        <f t="shared" si="315"/>
        <v/>
      </c>
      <c r="CT440" s="16" t="str">
        <f t="shared" si="316"/>
        <v/>
      </c>
    </row>
    <row r="441" spans="1:99" x14ac:dyDescent="0.25">
      <c r="A441" s="13"/>
      <c r="B441" s="14"/>
      <c r="C441" s="15" t="str" cm="1">
        <f t="array" ref="C441">IF(B441="","",INDEX('Exercise list'!$C$5:$C$102,B441))</f>
        <v/>
      </c>
      <c r="D441" s="12" t="str">
        <f t="shared" si="318"/>
        <v/>
      </c>
      <c r="E441" s="107" t="str">
        <f t="shared" si="341"/>
        <v/>
      </c>
      <c r="F441" s="63" t="str" cm="1">
        <f t="array" ref="F441">IF(B441="","",0.1+IFERROR(INDEX($F$6:$F440,SUMPRODUCT(MAX(ROW($C$6:$C440)*($C441=$C$6:$C440))-ROW($A$5)))*0.9^($A441-INDEX($A$6:A440,SUMPRODUCT(MAX(ROW($C$6:$C440)*($C441=$C$6:$C440))-ROW($A$5)))),0))</f>
        <v/>
      </c>
      <c r="G441" s="64" t="e">
        <f>INDEX('Exercise list'!$Y$5:$Y$102,MATCH(C441,'Exercise list'!$C$5:$C$102,0))</f>
        <v>#N/A</v>
      </c>
      <c r="H441" s="115">
        <f t="shared" si="319"/>
        <v>0</v>
      </c>
      <c r="I441" s="6">
        <f t="shared" si="320"/>
        <v>5</v>
      </c>
      <c r="J441" s="6" t="str" cm="1">
        <f t="array" ref="J441">IF(B441="","",INDEX('Exercise list'!$D$5:$D$102,B441))</f>
        <v/>
      </c>
      <c r="K441" s="12"/>
      <c r="L441" s="74" t="str" cm="1">
        <f t="array" ref="L441">IF(K441="","",INDEX('Exercise list'!$C$5:$C$102,K441))</f>
        <v/>
      </c>
      <c r="M441" s="6"/>
      <c r="N441" s="75" t="str" cm="1">
        <f t="array" ref="N441">IF(M441="","",INDEX('Exercise list'!$C$5:$C$102,M441))</f>
        <v/>
      </c>
      <c r="P441">
        <f>IFERROR(INDEX('Exercise list'!$E$5:$X$102,MATCH($C441,'Exercise list'!$C$5:$C$102,0),MATCH(P$5,'Exercise list'!$E$4:$X$4,0)),0)</f>
        <v>0</v>
      </c>
      <c r="Q441">
        <f>IFERROR(INDEX('Exercise list'!$E$5:$X$102,MATCH($C441,'Exercise list'!$C$5:$C$102,0),MATCH(Q$5,'Exercise list'!$E$4:$X$4,0)),0)</f>
        <v>0</v>
      </c>
      <c r="R441">
        <f>IFERROR(INDEX('Exercise list'!$E$5:$X$102,MATCH($C441,'Exercise list'!$C$5:$C$102,0),MATCH(R$5,'Exercise list'!$E$4:$X$4,0)),0)</f>
        <v>0</v>
      </c>
      <c r="S441">
        <f>IFERROR(INDEX('Exercise list'!$E$5:$X$102,MATCH($C441,'Exercise list'!$C$5:$C$102,0),MATCH(S$5,'Exercise list'!$E$4:$X$4,0)),0)</f>
        <v>0</v>
      </c>
      <c r="T441">
        <f>IFERROR(INDEX('Exercise list'!$E$5:$X$102,MATCH($C441,'Exercise list'!$C$5:$C$102,0),MATCH(T$5,'Exercise list'!$E$4:$X$4,0)),0)</f>
        <v>0</v>
      </c>
      <c r="U441">
        <f>IFERROR(INDEX('Exercise list'!$E$5:$X$102,MATCH($C441,'Exercise list'!$C$5:$C$102,0),MATCH(U$5,'Exercise list'!$E$4:$X$4,0)),0)</f>
        <v>0</v>
      </c>
      <c r="V441">
        <f>IFERROR(INDEX('Exercise list'!$E$5:$X$102,MATCH($C441,'Exercise list'!$C$5:$C$102,0),MATCH(V$5,'Exercise list'!$E$4:$X$4,0)),0)</f>
        <v>0</v>
      </c>
      <c r="W441">
        <f>IFERROR(INDEX('Exercise list'!$E$5:$X$102,MATCH($C441,'Exercise list'!$C$5:$C$102,0),MATCH(W$5,'Exercise list'!$E$4:$X$4,0)),0)</f>
        <v>0</v>
      </c>
      <c r="X441">
        <f>IFERROR(INDEX('Exercise list'!$E$5:$X$102,MATCH($C441,'Exercise list'!$C$5:$C$102,0),MATCH(X$5,'Exercise list'!$E$4:$X$4,0)),0)</f>
        <v>0</v>
      </c>
      <c r="Y441">
        <f>IFERROR(INDEX('Exercise list'!$E$5:$X$102,MATCH($C441,'Exercise list'!$C$5:$C$102,0),MATCH(Y$5,'Exercise list'!$E$4:$X$4,0)),0)</f>
        <v>0</v>
      </c>
      <c r="Z441">
        <f>IFERROR(INDEX('Exercise list'!$E$5:$X$102,MATCH($C441,'Exercise list'!$C$5:$C$102,0),MATCH(Z$5,'Exercise list'!$E$4:$X$4,0)),0)</f>
        <v>0</v>
      </c>
      <c r="AA441">
        <f>IFERROR(INDEX('Exercise list'!$E$5:$X$102,MATCH($C441,'Exercise list'!$C$5:$C$102,0),MATCH(AA$5,'Exercise list'!$E$4:$X$4,0)),0)</f>
        <v>0</v>
      </c>
      <c r="AB441">
        <f>IFERROR(INDEX('Exercise list'!$E$5:$X$102,MATCH($C441,'Exercise list'!$C$5:$C$102,0),MATCH(AB$5,'Exercise list'!$E$4:$X$4,0)),0)</f>
        <v>0</v>
      </c>
      <c r="AC441">
        <f>IFERROR(INDEX('Exercise list'!$E$5:$X$102,MATCH($C441,'Exercise list'!$C$5:$C$102,0),MATCH(AC$5,'Exercise list'!$E$4:$X$4,0)),0)</f>
        <v>0</v>
      </c>
      <c r="AD441">
        <f>IFERROR(INDEX('Exercise list'!$E$5:$X$102,MATCH($C441,'Exercise list'!$C$5:$C$102,0),MATCH(AD$5,'Exercise list'!$E$4:$X$4,0)),0)</f>
        <v>0</v>
      </c>
      <c r="AE441">
        <f>IFERROR(INDEX('Exercise list'!$E$5:$X$102,MATCH($C441,'Exercise list'!$C$5:$C$102,0),MATCH(AE$5,'Exercise list'!$E$4:$X$4,0)),0)</f>
        <v>0</v>
      </c>
      <c r="AF441">
        <f>IFERROR(INDEX('Exercise list'!$E$5:$X$102,MATCH($C441,'Exercise list'!$C$5:$C$102,0),MATCH(AF$5,'Exercise list'!$E$4:$X$4,0)),0)</f>
        <v>0</v>
      </c>
      <c r="AG441">
        <f>IFERROR(INDEX('Exercise list'!$E$5:$X$102,MATCH($C441,'Exercise list'!$C$5:$C$102,0),MATCH(AG$5,'Exercise list'!$E$4:$X$4,0)),0)</f>
        <v>0</v>
      </c>
      <c r="AH441">
        <f>IFERROR(INDEX('Exercise list'!$E$5:$X$102,MATCH($C441,'Exercise list'!$C$5:$C$102,0),MATCH(AH$5,'Exercise list'!$E$4:$X$4,0)),0)</f>
        <v>0</v>
      </c>
      <c r="AI441">
        <f>IFERROR(INDEX('Exercise list'!$E$5:$X$102,MATCH($C441,'Exercise list'!$C$5:$C$102,0),MATCH(AI$5,'Exercise list'!$E$4:$X$4,0)),0)</f>
        <v>0</v>
      </c>
      <c r="AK441">
        <f>IF(OR($J441=1,COUNTIFS($A$5:$A440,"&gt;="&amp;$A441-1,$A$5:$A440,"&lt;="&amp;$A441,$B$5:$B440,$B441)&gt;0,MIN(1-'Exercise list'!E$2,IF($A441=$A440,AK440,1))-P441&lt;0),-1,MIN(1,IF($A441=$A440,AK440,1)-P441+$D$2))</f>
        <v>1</v>
      </c>
      <c r="AL441">
        <f>IF(OR($J441=1,COUNTIFS($A$5:$A440,"&gt;="&amp;$A441-1,$A$5:$A440,"&lt;="&amp;$A441,$B$5:$B440,$B441)&gt;0,MIN(1-'Exercise list'!F$2,IF($A441=$A440,AL440,1))-Q441&lt;0),-1,MIN(1,IF($A441=$A440,AL440,1)-Q441+$D$2))</f>
        <v>1</v>
      </c>
      <c r="AM441">
        <f>IF(OR($J441=1,COUNTIFS($A$5:$A440,"&gt;="&amp;$A441-1,$A$5:$A440,"&lt;="&amp;$A441,$B$5:$B440,$B441)&gt;0,MIN(1-'Exercise list'!G$2,IF($A441=$A440,AM440,1))-R441&lt;0),-1,MIN(1,IF($A441=$A440,AM440,1)-R441+$D$2))</f>
        <v>1</v>
      </c>
      <c r="AN441">
        <f>IF(OR($J441=1,COUNTIFS($A$5:$A440,"&gt;="&amp;$A441-1,$A$5:$A440,"&lt;="&amp;$A441,$B$5:$B440,$B441)&gt;0,MIN(1-'Exercise list'!H$2,IF($A441=$A440,AN440,1))-S441&lt;0),-1,MIN(1,IF($A441=$A440,AN440,1)-S441+$D$2))</f>
        <v>1</v>
      </c>
      <c r="AO441">
        <f>IF(OR($J441=1,COUNTIFS($A$5:$A440,"&gt;="&amp;$A441-1,$A$5:$A440,"&lt;="&amp;$A441,$B$5:$B440,$B441)&gt;0,MIN(1-'Exercise list'!I$2,IF($A441=$A440,AO440,1))-T441&lt;0),-1,MIN(1,IF($A441=$A440,AO440,1)-T441+$D$2))</f>
        <v>1</v>
      </c>
      <c r="AP441">
        <f>IF(OR($J441=1,COUNTIFS($A$5:$A440,"&gt;="&amp;$A441-1,$A$5:$A440,"&lt;="&amp;$A441,$B$5:$B440,$B441)&gt;0,MIN(1-'Exercise list'!J$2,IF($A441=$A440,AP440,1))-U441&lt;0),-1,MIN(1,IF($A441=$A440,AP440,1)-U441+$D$2))</f>
        <v>1</v>
      </c>
      <c r="AQ441">
        <f>IF(OR($J441=1,COUNTIFS($A$5:$A440,"&gt;="&amp;$A441-1,$A$5:$A440,"&lt;="&amp;$A441,$B$5:$B440,$B441)&gt;0,MIN(1-'Exercise list'!K$2,IF($A441=$A440,AQ440,1))-V441&lt;0),-1,MIN(1,IF($A441=$A440,AQ440,1)-V441+$D$2))</f>
        <v>1</v>
      </c>
      <c r="AR441">
        <f>IF(OR($J441=1,COUNTIFS($A$5:$A440,"&gt;="&amp;$A441-1,$A$5:$A440,"&lt;="&amp;$A441,$B$5:$B440,$B441)&gt;0,MIN(1-'Exercise list'!L$2,IF($A441=$A440,AR440,1))-W441&lt;0),-1,MIN(1,IF($A441=$A440,AR440,1)-W441+$D$2))</f>
        <v>1</v>
      </c>
      <c r="AS441">
        <f>IF(OR($J441=1,COUNTIFS($A$5:$A440,"&gt;="&amp;$A441-1,$A$5:$A440,"&lt;="&amp;$A441,$B$5:$B440,$B441)&gt;0,MIN(1-'Exercise list'!M$2,IF($A441=$A440,AS440,1))-X441&lt;0),-1,MIN(1,IF($A441=$A440,AS440,1)-X441+$D$2))</f>
        <v>1</v>
      </c>
      <c r="AT441">
        <f>IF(OR($J441=1,COUNTIFS($A$5:$A440,"&gt;="&amp;$A441-1,$A$5:$A440,"&lt;="&amp;$A441,$B$5:$B440,$B441)&gt;0,MIN(1-'Exercise list'!N$2,IF($A441=$A440,AT440,1))-Y441&lt;0),-1,MIN(1,IF($A441=$A440,AT440,1)-Y441+$D$2))</f>
        <v>1</v>
      </c>
      <c r="AU441">
        <f>IF(OR($J441=1,COUNTIFS($A$5:$A440,"&gt;="&amp;$A441-1,$A$5:$A440,"&lt;="&amp;$A441,$B$5:$B440,$B441)&gt;0,MIN(1-'Exercise list'!O$2,IF($A441=$A440,AU440,1))-Z441&lt;0),-1,MIN(1,IF($A441=$A440,AU440,1)-Z441+$D$2))</f>
        <v>1</v>
      </c>
      <c r="AV441">
        <f>IF(OR($J441=1,COUNTIFS($A$5:$A440,"&gt;="&amp;$A441-1,$A$5:$A440,"&lt;="&amp;$A441,$B$5:$B440,$B441)&gt;0,MIN(1-'Exercise list'!P$2,IF($A441=$A440,AV440,1))-AA441&lt;0),-1,MIN(1,IF($A441=$A440,AV440,1)-AA441+$D$2))</f>
        <v>1</v>
      </c>
      <c r="AW441">
        <f>IF(OR($J441=1,COUNTIFS($A$5:$A440,"&gt;="&amp;$A441-1,$A$5:$A440,"&lt;="&amp;$A441,$B$5:$B440,$B441)&gt;0,MIN(1-'Exercise list'!Q$2,IF($A441=$A440,AW440,1))-AB441&lt;0),-1,MIN(1,IF($A441=$A440,AW440,1)-AB441+$D$2))</f>
        <v>1</v>
      </c>
      <c r="AX441">
        <f>IF(OR($J441=1,COUNTIFS($A$5:$A440,"&gt;="&amp;$A441-1,$A$5:$A440,"&lt;="&amp;$A441,$B$5:$B440,$B441)&gt;0,MIN(1-'Exercise list'!R$2,IF($A441=$A440,AX440,1))-AC441&lt;0),-1,MIN(1,IF($A441=$A440,AX440,1)-AC441+$D$2))</f>
        <v>1</v>
      </c>
      <c r="AY441">
        <f>IF(OR($J441=1,COUNTIFS($A$5:$A440,"&gt;="&amp;$A441-1,$A$5:$A440,"&lt;="&amp;$A441,$B$5:$B440,$B441)&gt;0,MIN(1-'Exercise list'!S$2,IF($A441=$A440,AY440,1))-AD441&lt;0),-1,MIN(1,IF($A441=$A440,AY440,1)-AD441+$D$2))</f>
        <v>1</v>
      </c>
      <c r="AZ441">
        <f>IF(OR($J441=1,COUNTIFS($A$5:$A440,"&gt;="&amp;$A441-1,$A$5:$A440,"&lt;="&amp;$A441,$B$5:$B440,$B441)&gt;0,MIN(1-'Exercise list'!T$2,IF($A441=$A440,AZ440,1))-AE441&lt;0),-1,MIN(1,IF($A441=$A440,AZ440,1)-AE441+$D$2))</f>
        <v>1</v>
      </c>
      <c r="BA441">
        <f>IF(OR($J441=1,COUNTIFS($A$5:$A440,"&gt;="&amp;$A441-1,$A$5:$A440,"&lt;="&amp;$A441,$B$5:$B440,$B441)&gt;0,MIN(1-'Exercise list'!U$2,IF($A441=$A440,BA440,1))-AF441&lt;0),-1,MIN(1,IF($A441=$A440,BA440,1)-AF441+$D$2))</f>
        <v>1</v>
      </c>
      <c r="BB441">
        <f>IF(OR($J441=1,COUNTIFS($A$5:$A440,"&gt;="&amp;$A441-1,$A$5:$A440,"&lt;="&amp;$A441,$B$5:$B440,$B441)&gt;0,MIN(1-'Exercise list'!V$2,IF($A441=$A440,BB440,1))-AG441&lt;0),-1,MIN(1,IF($A441=$A440,BB440,1)-AG441+$D$2))</f>
        <v>1</v>
      </c>
      <c r="BC441">
        <f>IF(OR($J441=1,COUNTIFS($A$5:$A440,"&gt;="&amp;$A441-1,$A$5:$A440,"&lt;="&amp;$A441,$B$5:$B440,$B441)&gt;0,MIN(1-'Exercise list'!W$2,IF($A441=$A440,BC440,1))-AH441&lt;0),-1,MIN(1,IF($A441=$A440,BC440,1)-AH441+$D$2))</f>
        <v>1</v>
      </c>
      <c r="BD441">
        <f>IF(OR($J441=1,COUNTIFS($A$5:$A440,"&gt;="&amp;$A441-1,$A$5:$A440,"&lt;="&amp;$A441,$B$5:$B440,$B441)&gt;0,MIN(1-'Exercise list'!X$2,IF($A441=$A440,BD440,1))-AI441&lt;0),-1,MIN(1,IF($A441=$A440,BD440,1)-AI441+$D$2))</f>
        <v>1</v>
      </c>
      <c r="BF441" s="16">
        <f t="shared" si="321"/>
        <v>0.19596031081758858</v>
      </c>
      <c r="BG441" s="16">
        <f t="shared" si="322"/>
        <v>0.21844636935459236</v>
      </c>
      <c r="BH441" s="16">
        <f t="shared" si="323"/>
        <v>0.14609696635987124</v>
      </c>
      <c r="BI441" s="16">
        <f t="shared" si="324"/>
        <v>0.13198015366034541</v>
      </c>
      <c r="BJ441" s="16">
        <f t="shared" si="325"/>
        <v>8.3367914198418713E-2</v>
      </c>
      <c r="BK441" s="16">
        <f t="shared" si="326"/>
        <v>0.10640640223148412</v>
      </c>
      <c r="BL441" s="16">
        <f t="shared" si="327"/>
        <v>0.21963504743569431</v>
      </c>
      <c r="BM441" s="16">
        <f t="shared" si="328"/>
        <v>3.8988008374820568E-3</v>
      </c>
      <c r="BN441" s="16">
        <f t="shared" si="329"/>
        <v>0.14537706087090876</v>
      </c>
      <c r="BO441" s="16">
        <f t="shared" si="330"/>
        <v>0.29209790661993401</v>
      </c>
      <c r="BP441" s="16">
        <f t="shared" si="331"/>
        <v>0.31584545163401867</v>
      </c>
      <c r="BQ441" s="16">
        <f t="shared" si="332"/>
        <v>0.1000007994126096</v>
      </c>
      <c r="BR441" s="16">
        <f t="shared" si="333"/>
        <v>0.13164487759885393</v>
      </c>
      <c r="BS441" s="16">
        <f t="shared" si="334"/>
        <v>2.9803550189863123E-2</v>
      </c>
      <c r="BT441" s="16">
        <f t="shared" si="335"/>
        <v>0.13492040904978705</v>
      </c>
      <c r="BU441" s="16">
        <f t="shared" si="336"/>
        <v>0.11703687414398131</v>
      </c>
      <c r="BV441" s="16">
        <f t="shared" si="337"/>
        <v>0.14633353213781661</v>
      </c>
      <c r="BW441" s="16">
        <f t="shared" si="338"/>
        <v>7.5588015111767173E-2</v>
      </c>
      <c r="BX441" s="16">
        <f t="shared" si="339"/>
        <v>8.0345659937185704E-2</v>
      </c>
      <c r="BY441" s="16">
        <f t="shared" si="340"/>
        <v>5.9014643151272549E-2</v>
      </c>
      <c r="CA441" s="16" t="str">
        <f t="shared" si="317"/>
        <v/>
      </c>
      <c r="CB441" s="16" t="str">
        <f t="shared" si="298"/>
        <v/>
      </c>
      <c r="CC441" s="16" t="str">
        <f t="shared" si="299"/>
        <v/>
      </c>
      <c r="CD441" s="16" t="str">
        <f t="shared" si="300"/>
        <v/>
      </c>
      <c r="CE441" s="16" t="str">
        <f t="shared" si="301"/>
        <v/>
      </c>
      <c r="CF441" s="16" t="str">
        <f t="shared" si="302"/>
        <v/>
      </c>
      <c r="CG441" s="16" t="str">
        <f t="shared" si="303"/>
        <v/>
      </c>
      <c r="CH441" s="16" t="str">
        <f t="shared" si="304"/>
        <v/>
      </c>
      <c r="CI441" s="16" t="str">
        <f t="shared" si="305"/>
        <v/>
      </c>
      <c r="CJ441" s="16" t="str">
        <f t="shared" si="306"/>
        <v/>
      </c>
      <c r="CK441" s="16" t="str">
        <f t="shared" si="307"/>
        <v/>
      </c>
      <c r="CL441" s="16" t="str">
        <f t="shared" si="308"/>
        <v/>
      </c>
      <c r="CM441" s="16" t="str">
        <f t="shared" si="309"/>
        <v/>
      </c>
      <c r="CN441" s="16" t="str">
        <f t="shared" si="310"/>
        <v/>
      </c>
      <c r="CO441" s="16" t="str">
        <f t="shared" si="311"/>
        <v/>
      </c>
      <c r="CP441" s="16" t="str">
        <f t="shared" si="312"/>
        <v/>
      </c>
      <c r="CQ441" s="16" t="str">
        <f t="shared" si="313"/>
        <v/>
      </c>
      <c r="CR441" s="16" t="str">
        <f t="shared" si="314"/>
        <v/>
      </c>
      <c r="CS441" s="16" t="str">
        <f t="shared" si="315"/>
        <v/>
      </c>
      <c r="CT441" s="16" t="str">
        <f t="shared" si="316"/>
        <v/>
      </c>
    </row>
    <row r="442" spans="1:99" x14ac:dyDescent="0.25">
      <c r="A442" s="13"/>
      <c r="B442" s="14"/>
      <c r="C442" s="15" t="str" cm="1">
        <f t="array" ref="C442">IF(B442="","",INDEX('Exercise list'!$C$5:$C$102,B442))</f>
        <v/>
      </c>
      <c r="D442" s="12" t="str">
        <f t="shared" si="318"/>
        <v/>
      </c>
      <c r="E442" s="107" t="str">
        <f t="shared" si="341"/>
        <v/>
      </c>
      <c r="F442" s="63" t="str" cm="1">
        <f t="array" ref="F442">IF(B442="","",0.1+IFERROR(INDEX($F$6:$F441,SUMPRODUCT(MAX(ROW($C$6:$C441)*($C442=$C$6:$C441))-ROW($A$5)))*0.9^($A442-INDEX($A$6:A441,SUMPRODUCT(MAX(ROW($C$6:$C441)*($C442=$C$6:$C441))-ROW($A$5)))),0))</f>
        <v/>
      </c>
      <c r="G442" s="64" t="e">
        <f>INDEX('Exercise list'!$Y$5:$Y$102,MATCH(C442,'Exercise list'!$C$5:$C$102,0))</f>
        <v>#N/A</v>
      </c>
      <c r="H442" s="115">
        <f t="shared" si="319"/>
        <v>0</v>
      </c>
      <c r="I442" s="6">
        <f t="shared" si="320"/>
        <v>5</v>
      </c>
      <c r="J442" s="6" t="str" cm="1">
        <f t="array" ref="J442">IF(B442="","",INDEX('Exercise list'!$D$5:$D$102,B442))</f>
        <v/>
      </c>
      <c r="K442" s="12"/>
      <c r="L442" s="74" t="str" cm="1">
        <f t="array" ref="L442">IF(K442="","",INDEX('Exercise list'!$C$5:$C$102,K442))</f>
        <v/>
      </c>
      <c r="M442" s="6"/>
      <c r="N442" s="75" t="str" cm="1">
        <f t="array" ref="N442">IF(M442="","",INDEX('Exercise list'!$C$5:$C$102,M442))</f>
        <v/>
      </c>
      <c r="P442">
        <f>IFERROR(INDEX('Exercise list'!$E$5:$X$102,MATCH($C442,'Exercise list'!$C$5:$C$102,0),MATCH(P$5,'Exercise list'!$E$4:$X$4,0)),0)</f>
        <v>0</v>
      </c>
      <c r="Q442">
        <f>IFERROR(INDEX('Exercise list'!$E$5:$X$102,MATCH($C442,'Exercise list'!$C$5:$C$102,0),MATCH(Q$5,'Exercise list'!$E$4:$X$4,0)),0)</f>
        <v>0</v>
      </c>
      <c r="R442">
        <f>IFERROR(INDEX('Exercise list'!$E$5:$X$102,MATCH($C442,'Exercise list'!$C$5:$C$102,0),MATCH(R$5,'Exercise list'!$E$4:$X$4,0)),0)</f>
        <v>0</v>
      </c>
      <c r="S442">
        <f>IFERROR(INDEX('Exercise list'!$E$5:$X$102,MATCH($C442,'Exercise list'!$C$5:$C$102,0),MATCH(S$5,'Exercise list'!$E$4:$X$4,0)),0)</f>
        <v>0</v>
      </c>
      <c r="T442">
        <f>IFERROR(INDEX('Exercise list'!$E$5:$X$102,MATCH($C442,'Exercise list'!$C$5:$C$102,0),MATCH(T$5,'Exercise list'!$E$4:$X$4,0)),0)</f>
        <v>0</v>
      </c>
      <c r="U442">
        <f>IFERROR(INDEX('Exercise list'!$E$5:$X$102,MATCH($C442,'Exercise list'!$C$5:$C$102,0),MATCH(U$5,'Exercise list'!$E$4:$X$4,0)),0)</f>
        <v>0</v>
      </c>
      <c r="V442">
        <f>IFERROR(INDEX('Exercise list'!$E$5:$X$102,MATCH($C442,'Exercise list'!$C$5:$C$102,0),MATCH(V$5,'Exercise list'!$E$4:$X$4,0)),0)</f>
        <v>0</v>
      </c>
      <c r="W442">
        <f>IFERROR(INDEX('Exercise list'!$E$5:$X$102,MATCH($C442,'Exercise list'!$C$5:$C$102,0),MATCH(W$5,'Exercise list'!$E$4:$X$4,0)),0)</f>
        <v>0</v>
      </c>
      <c r="X442">
        <f>IFERROR(INDEX('Exercise list'!$E$5:$X$102,MATCH($C442,'Exercise list'!$C$5:$C$102,0),MATCH(X$5,'Exercise list'!$E$4:$X$4,0)),0)</f>
        <v>0</v>
      </c>
      <c r="Y442">
        <f>IFERROR(INDEX('Exercise list'!$E$5:$X$102,MATCH($C442,'Exercise list'!$C$5:$C$102,0),MATCH(Y$5,'Exercise list'!$E$4:$X$4,0)),0)</f>
        <v>0</v>
      </c>
      <c r="Z442">
        <f>IFERROR(INDEX('Exercise list'!$E$5:$X$102,MATCH($C442,'Exercise list'!$C$5:$C$102,0),MATCH(Z$5,'Exercise list'!$E$4:$X$4,0)),0)</f>
        <v>0</v>
      </c>
      <c r="AA442">
        <f>IFERROR(INDEX('Exercise list'!$E$5:$X$102,MATCH($C442,'Exercise list'!$C$5:$C$102,0),MATCH(AA$5,'Exercise list'!$E$4:$X$4,0)),0)</f>
        <v>0</v>
      </c>
      <c r="AB442">
        <f>IFERROR(INDEX('Exercise list'!$E$5:$X$102,MATCH($C442,'Exercise list'!$C$5:$C$102,0),MATCH(AB$5,'Exercise list'!$E$4:$X$4,0)),0)</f>
        <v>0</v>
      </c>
      <c r="AC442">
        <f>IFERROR(INDEX('Exercise list'!$E$5:$X$102,MATCH($C442,'Exercise list'!$C$5:$C$102,0),MATCH(AC$5,'Exercise list'!$E$4:$X$4,0)),0)</f>
        <v>0</v>
      </c>
      <c r="AD442">
        <f>IFERROR(INDEX('Exercise list'!$E$5:$X$102,MATCH($C442,'Exercise list'!$C$5:$C$102,0),MATCH(AD$5,'Exercise list'!$E$4:$X$4,0)),0)</f>
        <v>0</v>
      </c>
      <c r="AE442">
        <f>IFERROR(INDEX('Exercise list'!$E$5:$X$102,MATCH($C442,'Exercise list'!$C$5:$C$102,0),MATCH(AE$5,'Exercise list'!$E$4:$X$4,0)),0)</f>
        <v>0</v>
      </c>
      <c r="AF442">
        <f>IFERROR(INDEX('Exercise list'!$E$5:$X$102,MATCH($C442,'Exercise list'!$C$5:$C$102,0),MATCH(AF$5,'Exercise list'!$E$4:$X$4,0)),0)</f>
        <v>0</v>
      </c>
      <c r="AG442">
        <f>IFERROR(INDEX('Exercise list'!$E$5:$X$102,MATCH($C442,'Exercise list'!$C$5:$C$102,0),MATCH(AG$5,'Exercise list'!$E$4:$X$4,0)),0)</f>
        <v>0</v>
      </c>
      <c r="AH442">
        <f>IFERROR(INDEX('Exercise list'!$E$5:$X$102,MATCH($C442,'Exercise list'!$C$5:$C$102,0),MATCH(AH$5,'Exercise list'!$E$4:$X$4,0)),0)</f>
        <v>0</v>
      </c>
      <c r="AI442">
        <f>IFERROR(INDEX('Exercise list'!$E$5:$X$102,MATCH($C442,'Exercise list'!$C$5:$C$102,0),MATCH(AI$5,'Exercise list'!$E$4:$X$4,0)),0)</f>
        <v>0</v>
      </c>
      <c r="AK442">
        <f>IF(OR($J442=1,COUNTIFS($A$5:$A441,"&gt;="&amp;$A442-1,$A$5:$A441,"&lt;="&amp;$A442,$B$5:$B441,$B442)&gt;0,MIN(1-'Exercise list'!E$2,IF($A442=$A441,AK441,1))-P442&lt;0),-1,MIN(1,IF($A442=$A441,AK441,1)-P442+$D$2))</f>
        <v>1</v>
      </c>
      <c r="AL442">
        <f>IF(OR($J442=1,COUNTIFS($A$5:$A441,"&gt;="&amp;$A442-1,$A$5:$A441,"&lt;="&amp;$A442,$B$5:$B441,$B442)&gt;0,MIN(1-'Exercise list'!F$2,IF($A442=$A441,AL441,1))-Q442&lt;0),-1,MIN(1,IF($A442=$A441,AL441,1)-Q442+$D$2))</f>
        <v>1</v>
      </c>
      <c r="AM442">
        <f>IF(OR($J442=1,COUNTIFS($A$5:$A441,"&gt;="&amp;$A442-1,$A$5:$A441,"&lt;="&amp;$A442,$B$5:$B441,$B442)&gt;0,MIN(1-'Exercise list'!G$2,IF($A442=$A441,AM441,1))-R442&lt;0),-1,MIN(1,IF($A442=$A441,AM441,1)-R442+$D$2))</f>
        <v>1</v>
      </c>
      <c r="AN442">
        <f>IF(OR($J442=1,COUNTIFS($A$5:$A441,"&gt;="&amp;$A442-1,$A$5:$A441,"&lt;="&amp;$A442,$B$5:$B441,$B442)&gt;0,MIN(1-'Exercise list'!H$2,IF($A442=$A441,AN441,1))-S442&lt;0),-1,MIN(1,IF($A442=$A441,AN441,1)-S442+$D$2))</f>
        <v>1</v>
      </c>
      <c r="AO442">
        <f>IF(OR($J442=1,COUNTIFS($A$5:$A441,"&gt;="&amp;$A442-1,$A$5:$A441,"&lt;="&amp;$A442,$B$5:$B441,$B442)&gt;0,MIN(1-'Exercise list'!I$2,IF($A442=$A441,AO441,1))-T442&lt;0),-1,MIN(1,IF($A442=$A441,AO441,1)-T442+$D$2))</f>
        <v>1</v>
      </c>
      <c r="AP442">
        <f>IF(OR($J442=1,COUNTIFS($A$5:$A441,"&gt;="&amp;$A442-1,$A$5:$A441,"&lt;="&amp;$A442,$B$5:$B441,$B442)&gt;0,MIN(1-'Exercise list'!J$2,IF($A442=$A441,AP441,1))-U442&lt;0),-1,MIN(1,IF($A442=$A441,AP441,1)-U442+$D$2))</f>
        <v>1</v>
      </c>
      <c r="AQ442">
        <f>IF(OR($J442=1,COUNTIFS($A$5:$A441,"&gt;="&amp;$A442-1,$A$5:$A441,"&lt;="&amp;$A442,$B$5:$B441,$B442)&gt;0,MIN(1-'Exercise list'!K$2,IF($A442=$A441,AQ441,1))-V442&lt;0),-1,MIN(1,IF($A442=$A441,AQ441,1)-V442+$D$2))</f>
        <v>1</v>
      </c>
      <c r="AR442">
        <f>IF(OR($J442=1,COUNTIFS($A$5:$A441,"&gt;="&amp;$A442-1,$A$5:$A441,"&lt;="&amp;$A442,$B$5:$B441,$B442)&gt;0,MIN(1-'Exercise list'!L$2,IF($A442=$A441,AR441,1))-W442&lt;0),-1,MIN(1,IF($A442=$A441,AR441,1)-W442+$D$2))</f>
        <v>1</v>
      </c>
      <c r="AS442">
        <f>IF(OR($J442=1,COUNTIFS($A$5:$A441,"&gt;="&amp;$A442-1,$A$5:$A441,"&lt;="&amp;$A442,$B$5:$B441,$B442)&gt;0,MIN(1-'Exercise list'!M$2,IF($A442=$A441,AS441,1))-X442&lt;0),-1,MIN(1,IF($A442=$A441,AS441,1)-X442+$D$2))</f>
        <v>1</v>
      </c>
      <c r="AT442">
        <f>IF(OR($J442=1,COUNTIFS($A$5:$A441,"&gt;="&amp;$A442-1,$A$5:$A441,"&lt;="&amp;$A442,$B$5:$B441,$B442)&gt;0,MIN(1-'Exercise list'!N$2,IF($A442=$A441,AT441,1))-Y442&lt;0),-1,MIN(1,IF($A442=$A441,AT441,1)-Y442+$D$2))</f>
        <v>1</v>
      </c>
      <c r="AU442">
        <f>IF(OR($J442=1,COUNTIFS($A$5:$A441,"&gt;="&amp;$A442-1,$A$5:$A441,"&lt;="&amp;$A442,$B$5:$B441,$B442)&gt;0,MIN(1-'Exercise list'!O$2,IF($A442=$A441,AU441,1))-Z442&lt;0),-1,MIN(1,IF($A442=$A441,AU441,1)-Z442+$D$2))</f>
        <v>1</v>
      </c>
      <c r="AV442">
        <f>IF(OR($J442=1,COUNTIFS($A$5:$A441,"&gt;="&amp;$A442-1,$A$5:$A441,"&lt;="&amp;$A442,$B$5:$B441,$B442)&gt;0,MIN(1-'Exercise list'!P$2,IF($A442=$A441,AV441,1))-AA442&lt;0),-1,MIN(1,IF($A442=$A441,AV441,1)-AA442+$D$2))</f>
        <v>1</v>
      </c>
      <c r="AW442">
        <f>IF(OR($J442=1,COUNTIFS($A$5:$A441,"&gt;="&amp;$A442-1,$A$5:$A441,"&lt;="&amp;$A442,$B$5:$B441,$B442)&gt;0,MIN(1-'Exercise list'!Q$2,IF($A442=$A441,AW441,1))-AB442&lt;0),-1,MIN(1,IF($A442=$A441,AW441,1)-AB442+$D$2))</f>
        <v>1</v>
      </c>
      <c r="AX442">
        <f>IF(OR($J442=1,COUNTIFS($A$5:$A441,"&gt;="&amp;$A442-1,$A$5:$A441,"&lt;="&amp;$A442,$B$5:$B441,$B442)&gt;0,MIN(1-'Exercise list'!R$2,IF($A442=$A441,AX441,1))-AC442&lt;0),-1,MIN(1,IF($A442=$A441,AX441,1)-AC442+$D$2))</f>
        <v>1</v>
      </c>
      <c r="AY442">
        <f>IF(OR($J442=1,COUNTIFS($A$5:$A441,"&gt;="&amp;$A442-1,$A$5:$A441,"&lt;="&amp;$A442,$B$5:$B441,$B442)&gt;0,MIN(1-'Exercise list'!S$2,IF($A442=$A441,AY441,1))-AD442&lt;0),-1,MIN(1,IF($A442=$A441,AY441,1)-AD442+$D$2))</f>
        <v>1</v>
      </c>
      <c r="AZ442">
        <f>IF(OR($J442=1,COUNTIFS($A$5:$A441,"&gt;="&amp;$A442-1,$A$5:$A441,"&lt;="&amp;$A442,$B$5:$B441,$B442)&gt;0,MIN(1-'Exercise list'!T$2,IF($A442=$A441,AZ441,1))-AE442&lt;0),-1,MIN(1,IF($A442=$A441,AZ441,1)-AE442+$D$2))</f>
        <v>1</v>
      </c>
      <c r="BA442">
        <f>IF(OR($J442=1,COUNTIFS($A$5:$A441,"&gt;="&amp;$A442-1,$A$5:$A441,"&lt;="&amp;$A442,$B$5:$B441,$B442)&gt;0,MIN(1-'Exercise list'!U$2,IF($A442=$A441,BA441,1))-AF442&lt;0),-1,MIN(1,IF($A442=$A441,BA441,1)-AF442+$D$2))</f>
        <v>1</v>
      </c>
      <c r="BB442">
        <f>IF(OR($J442=1,COUNTIFS($A$5:$A441,"&gt;="&amp;$A442-1,$A$5:$A441,"&lt;="&amp;$A442,$B$5:$B441,$B442)&gt;0,MIN(1-'Exercise list'!V$2,IF($A442=$A441,BB441,1))-AG442&lt;0),-1,MIN(1,IF($A442=$A441,BB441,1)-AG442+$D$2))</f>
        <v>1</v>
      </c>
      <c r="BC442">
        <f>IF(OR($J442=1,COUNTIFS($A$5:$A441,"&gt;="&amp;$A442-1,$A$5:$A441,"&lt;="&amp;$A442,$B$5:$B441,$B442)&gt;0,MIN(1-'Exercise list'!W$2,IF($A442=$A441,BC441,1))-AH442&lt;0),-1,MIN(1,IF($A442=$A441,BC441,1)-AH442+$D$2))</f>
        <v>1</v>
      </c>
      <c r="BD442">
        <f>IF(OR($J442=1,COUNTIFS($A$5:$A441,"&gt;="&amp;$A442-1,$A$5:$A441,"&lt;="&amp;$A442,$B$5:$B441,$B442)&gt;0,MIN(1-'Exercise list'!X$2,IF($A442=$A441,BD441,1))-AI442&lt;0),-1,MIN(1,IF($A442=$A441,BD441,1)-AI442+$D$2))</f>
        <v>1</v>
      </c>
      <c r="BF442" s="16">
        <f t="shared" si="321"/>
        <v>0.19596031081758858</v>
      </c>
      <c r="BG442" s="16">
        <f t="shared" si="322"/>
        <v>0.21844636935459236</v>
      </c>
      <c r="BH442" s="16">
        <f t="shared" si="323"/>
        <v>0.14609696635987124</v>
      </c>
      <c r="BI442" s="16">
        <f t="shared" si="324"/>
        <v>0.13198015366034541</v>
      </c>
      <c r="BJ442" s="16">
        <f t="shared" si="325"/>
        <v>8.3367914198418713E-2</v>
      </c>
      <c r="BK442" s="16">
        <f t="shared" si="326"/>
        <v>0.10640640223148412</v>
      </c>
      <c r="BL442" s="16">
        <f t="shared" si="327"/>
        <v>0.21963504743569431</v>
      </c>
      <c r="BM442" s="16">
        <f t="shared" si="328"/>
        <v>3.8988008374820568E-3</v>
      </c>
      <c r="BN442" s="16">
        <f t="shared" si="329"/>
        <v>0.14537706087090876</v>
      </c>
      <c r="BO442" s="16">
        <f t="shared" si="330"/>
        <v>0.29209790661993401</v>
      </c>
      <c r="BP442" s="16">
        <f t="shared" si="331"/>
        <v>0.31584545163401867</v>
      </c>
      <c r="BQ442" s="16">
        <f t="shared" si="332"/>
        <v>0.1000007994126096</v>
      </c>
      <c r="BR442" s="16">
        <f t="shared" si="333"/>
        <v>0.13164487759885393</v>
      </c>
      <c r="BS442" s="16">
        <f t="shared" si="334"/>
        <v>2.9803550189863123E-2</v>
      </c>
      <c r="BT442" s="16">
        <f t="shared" si="335"/>
        <v>0.13492040904978705</v>
      </c>
      <c r="BU442" s="16">
        <f t="shared" si="336"/>
        <v>0.11703687414398131</v>
      </c>
      <c r="BV442" s="16">
        <f t="shared" si="337"/>
        <v>0.14633353213781661</v>
      </c>
      <c r="BW442" s="16">
        <f t="shared" si="338"/>
        <v>7.5588015111767173E-2</v>
      </c>
      <c r="BX442" s="16">
        <f t="shared" si="339"/>
        <v>8.0345659937185704E-2</v>
      </c>
      <c r="BY442" s="16">
        <f t="shared" si="340"/>
        <v>5.9014643151272549E-2</v>
      </c>
      <c r="CA442" s="16" t="str">
        <f t="shared" si="317"/>
        <v/>
      </c>
      <c r="CB442" s="16" t="str">
        <f t="shared" si="298"/>
        <v/>
      </c>
      <c r="CC442" s="16" t="str">
        <f t="shared" si="299"/>
        <v/>
      </c>
      <c r="CD442" s="16" t="str">
        <f t="shared" si="300"/>
        <v/>
      </c>
      <c r="CE442" s="16" t="str">
        <f t="shared" si="301"/>
        <v/>
      </c>
      <c r="CF442" s="16" t="str">
        <f t="shared" si="302"/>
        <v/>
      </c>
      <c r="CG442" s="16" t="str">
        <f t="shared" si="303"/>
        <v/>
      </c>
      <c r="CH442" s="16" t="str">
        <f t="shared" si="304"/>
        <v/>
      </c>
      <c r="CI442" s="16" t="str">
        <f t="shared" si="305"/>
        <v/>
      </c>
      <c r="CJ442" s="16" t="str">
        <f t="shared" si="306"/>
        <v/>
      </c>
      <c r="CK442" s="16" t="str">
        <f t="shared" si="307"/>
        <v/>
      </c>
      <c r="CL442" s="16" t="str">
        <f t="shared" si="308"/>
        <v/>
      </c>
      <c r="CM442" s="16" t="str">
        <f t="shared" si="309"/>
        <v/>
      </c>
      <c r="CN442" s="16" t="str">
        <f t="shared" si="310"/>
        <v/>
      </c>
      <c r="CO442" s="16" t="str">
        <f t="shared" si="311"/>
        <v/>
      </c>
      <c r="CP442" s="16" t="str">
        <f t="shared" si="312"/>
        <v/>
      </c>
      <c r="CQ442" s="16" t="str">
        <f t="shared" si="313"/>
        <v/>
      </c>
      <c r="CR442" s="16" t="str">
        <f t="shared" si="314"/>
        <v/>
      </c>
      <c r="CS442" s="16" t="str">
        <f t="shared" si="315"/>
        <v/>
      </c>
      <c r="CT442" s="16" t="str">
        <f t="shared" si="316"/>
        <v/>
      </c>
    </row>
    <row r="443" spans="1:99" x14ac:dyDescent="0.25">
      <c r="A443" s="20"/>
      <c r="B443" s="21"/>
      <c r="C443" s="22" t="str" cm="1">
        <f t="array" ref="C443">IF(B443="","",INDEX('Exercise list'!$C$5:$C$102,B443))</f>
        <v/>
      </c>
      <c r="D443" s="17" t="str">
        <f t="shared" si="318"/>
        <v/>
      </c>
      <c r="E443" s="108" t="str">
        <f t="shared" si="341"/>
        <v/>
      </c>
      <c r="F443" s="65" t="str" cm="1">
        <f t="array" ref="F443">IF(B443="","",0.1+IFERROR(INDEX($F$6:$F442,SUMPRODUCT(MAX(ROW($C$6:$C442)*($C443=$C$6:$C442))-ROW($A$5)))*0.9^($A443-INDEX($A$6:A442,SUMPRODUCT(MAX(ROW($C$6:$C442)*($C443=$C$6:$C442))-ROW($A$5)))),0))</f>
        <v/>
      </c>
      <c r="G443" s="25" t="e">
        <f>INDEX('Exercise list'!$Y$5:$Y$102,MATCH(C443,'Exercise list'!$C$5:$C$102,0))</f>
        <v>#N/A</v>
      </c>
      <c r="H443" s="116">
        <f t="shared" si="319"/>
        <v>0</v>
      </c>
      <c r="I443" s="18">
        <f t="shared" si="320"/>
        <v>5</v>
      </c>
      <c r="J443" s="18" t="str" cm="1">
        <f t="array" ref="J443">IF(B443="","",INDEX('Exercise list'!$D$5:$D$102,B443))</f>
        <v/>
      </c>
      <c r="K443" s="17"/>
      <c r="L443" s="51" t="str" cm="1">
        <f t="array" ref="L443">IF(K443="","",INDEX('Exercise list'!$C$5:$C$102,K443))</f>
        <v/>
      </c>
      <c r="M443" s="18"/>
      <c r="N443" s="76" t="str" cm="1">
        <f t="array" ref="N443">IF(M443="","",INDEX('Exercise list'!$C$5:$C$102,M443))</f>
        <v/>
      </c>
      <c r="O443" s="19"/>
      <c r="P443" s="19">
        <f>IFERROR(INDEX('Exercise list'!$E$5:$X$102,MATCH($C443,'Exercise list'!$C$5:$C$102,0),MATCH(P$5,'Exercise list'!$E$4:$X$4,0)),0)</f>
        <v>0</v>
      </c>
      <c r="Q443" s="19">
        <f>IFERROR(INDEX('Exercise list'!$E$5:$X$102,MATCH($C443,'Exercise list'!$C$5:$C$102,0),MATCH(Q$5,'Exercise list'!$E$4:$X$4,0)),0)</f>
        <v>0</v>
      </c>
      <c r="R443" s="19">
        <f>IFERROR(INDEX('Exercise list'!$E$5:$X$102,MATCH($C443,'Exercise list'!$C$5:$C$102,0),MATCH(R$5,'Exercise list'!$E$4:$X$4,0)),0)</f>
        <v>0</v>
      </c>
      <c r="S443" s="19">
        <f>IFERROR(INDEX('Exercise list'!$E$5:$X$102,MATCH($C443,'Exercise list'!$C$5:$C$102,0),MATCH(S$5,'Exercise list'!$E$4:$X$4,0)),0)</f>
        <v>0</v>
      </c>
      <c r="T443" s="19">
        <f>IFERROR(INDEX('Exercise list'!$E$5:$X$102,MATCH($C443,'Exercise list'!$C$5:$C$102,0),MATCH(T$5,'Exercise list'!$E$4:$X$4,0)),0)</f>
        <v>0</v>
      </c>
      <c r="U443" s="19">
        <f>IFERROR(INDEX('Exercise list'!$E$5:$X$102,MATCH($C443,'Exercise list'!$C$5:$C$102,0),MATCH(U$5,'Exercise list'!$E$4:$X$4,0)),0)</f>
        <v>0</v>
      </c>
      <c r="V443" s="19">
        <f>IFERROR(INDEX('Exercise list'!$E$5:$X$102,MATCH($C443,'Exercise list'!$C$5:$C$102,0),MATCH(V$5,'Exercise list'!$E$4:$X$4,0)),0)</f>
        <v>0</v>
      </c>
      <c r="W443" s="19">
        <f>IFERROR(INDEX('Exercise list'!$E$5:$X$102,MATCH($C443,'Exercise list'!$C$5:$C$102,0),MATCH(W$5,'Exercise list'!$E$4:$X$4,0)),0)</f>
        <v>0</v>
      </c>
      <c r="X443" s="19">
        <f>IFERROR(INDEX('Exercise list'!$E$5:$X$102,MATCH($C443,'Exercise list'!$C$5:$C$102,0),MATCH(X$5,'Exercise list'!$E$4:$X$4,0)),0)</f>
        <v>0</v>
      </c>
      <c r="Y443" s="19">
        <f>IFERROR(INDEX('Exercise list'!$E$5:$X$102,MATCH($C443,'Exercise list'!$C$5:$C$102,0),MATCH(Y$5,'Exercise list'!$E$4:$X$4,0)),0)</f>
        <v>0</v>
      </c>
      <c r="Z443" s="19">
        <f>IFERROR(INDEX('Exercise list'!$E$5:$X$102,MATCH($C443,'Exercise list'!$C$5:$C$102,0),MATCH(Z$5,'Exercise list'!$E$4:$X$4,0)),0)</f>
        <v>0</v>
      </c>
      <c r="AA443" s="19">
        <f>IFERROR(INDEX('Exercise list'!$E$5:$X$102,MATCH($C443,'Exercise list'!$C$5:$C$102,0),MATCH(AA$5,'Exercise list'!$E$4:$X$4,0)),0)</f>
        <v>0</v>
      </c>
      <c r="AB443" s="19">
        <f>IFERROR(INDEX('Exercise list'!$E$5:$X$102,MATCH($C443,'Exercise list'!$C$5:$C$102,0),MATCH(AB$5,'Exercise list'!$E$4:$X$4,0)),0)</f>
        <v>0</v>
      </c>
      <c r="AC443" s="19">
        <f>IFERROR(INDEX('Exercise list'!$E$5:$X$102,MATCH($C443,'Exercise list'!$C$5:$C$102,0),MATCH(AC$5,'Exercise list'!$E$4:$X$4,0)),0)</f>
        <v>0</v>
      </c>
      <c r="AD443" s="19">
        <f>IFERROR(INDEX('Exercise list'!$E$5:$X$102,MATCH($C443,'Exercise list'!$C$5:$C$102,0),MATCH(AD$5,'Exercise list'!$E$4:$X$4,0)),0)</f>
        <v>0</v>
      </c>
      <c r="AE443" s="19">
        <f>IFERROR(INDEX('Exercise list'!$E$5:$X$102,MATCH($C443,'Exercise list'!$C$5:$C$102,0),MATCH(AE$5,'Exercise list'!$E$4:$X$4,0)),0)</f>
        <v>0</v>
      </c>
      <c r="AF443" s="19">
        <f>IFERROR(INDEX('Exercise list'!$E$5:$X$102,MATCH($C443,'Exercise list'!$C$5:$C$102,0),MATCH(AF$5,'Exercise list'!$E$4:$X$4,0)),0)</f>
        <v>0</v>
      </c>
      <c r="AG443" s="19">
        <f>IFERROR(INDEX('Exercise list'!$E$5:$X$102,MATCH($C443,'Exercise list'!$C$5:$C$102,0),MATCH(AG$5,'Exercise list'!$E$4:$X$4,0)),0)</f>
        <v>0</v>
      </c>
      <c r="AH443" s="19">
        <f>IFERROR(INDEX('Exercise list'!$E$5:$X$102,MATCH($C443,'Exercise list'!$C$5:$C$102,0),MATCH(AH$5,'Exercise list'!$E$4:$X$4,0)),0)</f>
        <v>0</v>
      </c>
      <c r="AI443" s="19">
        <f>IFERROR(INDEX('Exercise list'!$E$5:$X$102,MATCH($C443,'Exercise list'!$C$5:$C$102,0),MATCH(AI$5,'Exercise list'!$E$4:$X$4,0)),0)</f>
        <v>0</v>
      </c>
      <c r="AJ443" s="19"/>
      <c r="AK443" s="19">
        <f>IF(OR($J443=1,COUNTIFS($A$5:$A442,"&gt;="&amp;$A443-1,$A$5:$A442,"&lt;="&amp;$A443,$B$5:$B442,$B443)&gt;0,MIN(1-'Exercise list'!E$2,IF($A443=$A442,AK442,1))-P443&lt;0),-1,MIN(1,IF($A443=$A442,AK442,1)-P443+$D$2))</f>
        <v>1</v>
      </c>
      <c r="AL443" s="19">
        <f>IF(OR($J443=1,COUNTIFS($A$5:$A442,"&gt;="&amp;$A443-1,$A$5:$A442,"&lt;="&amp;$A443,$B$5:$B442,$B443)&gt;0,MIN(1-'Exercise list'!F$2,IF($A443=$A442,AL442,1))-Q443&lt;0),-1,MIN(1,IF($A443=$A442,AL442,1)-Q443+$D$2))</f>
        <v>1</v>
      </c>
      <c r="AM443" s="19">
        <f>IF(OR($J443=1,COUNTIFS($A$5:$A442,"&gt;="&amp;$A443-1,$A$5:$A442,"&lt;="&amp;$A443,$B$5:$B442,$B443)&gt;0,MIN(1-'Exercise list'!G$2,IF($A443=$A442,AM442,1))-R443&lt;0),-1,MIN(1,IF($A443=$A442,AM442,1)-R443+$D$2))</f>
        <v>1</v>
      </c>
      <c r="AN443" s="19">
        <f>IF(OR($J443=1,COUNTIFS($A$5:$A442,"&gt;="&amp;$A443-1,$A$5:$A442,"&lt;="&amp;$A443,$B$5:$B442,$B443)&gt;0,MIN(1-'Exercise list'!H$2,IF($A443=$A442,AN442,1))-S443&lt;0),-1,MIN(1,IF($A443=$A442,AN442,1)-S443+$D$2))</f>
        <v>1</v>
      </c>
      <c r="AO443" s="19">
        <f>IF(OR($J443=1,COUNTIFS($A$5:$A442,"&gt;="&amp;$A443-1,$A$5:$A442,"&lt;="&amp;$A443,$B$5:$B442,$B443)&gt;0,MIN(1-'Exercise list'!I$2,IF($A443=$A442,AO442,1))-T443&lt;0),-1,MIN(1,IF($A443=$A442,AO442,1)-T443+$D$2))</f>
        <v>1</v>
      </c>
      <c r="AP443" s="19">
        <f>IF(OR($J443=1,COUNTIFS($A$5:$A442,"&gt;="&amp;$A443-1,$A$5:$A442,"&lt;="&amp;$A443,$B$5:$B442,$B443)&gt;0,MIN(1-'Exercise list'!J$2,IF($A443=$A442,AP442,1))-U443&lt;0),-1,MIN(1,IF($A443=$A442,AP442,1)-U443+$D$2))</f>
        <v>1</v>
      </c>
      <c r="AQ443" s="19">
        <f>IF(OR($J443=1,COUNTIFS($A$5:$A442,"&gt;="&amp;$A443-1,$A$5:$A442,"&lt;="&amp;$A443,$B$5:$B442,$B443)&gt;0,MIN(1-'Exercise list'!K$2,IF($A443=$A442,AQ442,1))-V443&lt;0),-1,MIN(1,IF($A443=$A442,AQ442,1)-V443+$D$2))</f>
        <v>1</v>
      </c>
      <c r="AR443" s="19">
        <f>IF(OR($J443=1,COUNTIFS($A$5:$A442,"&gt;="&amp;$A443-1,$A$5:$A442,"&lt;="&amp;$A443,$B$5:$B442,$B443)&gt;0,MIN(1-'Exercise list'!L$2,IF($A443=$A442,AR442,1))-W443&lt;0),-1,MIN(1,IF($A443=$A442,AR442,1)-W443+$D$2))</f>
        <v>1</v>
      </c>
      <c r="AS443" s="19">
        <f>IF(OR($J443=1,COUNTIFS($A$5:$A442,"&gt;="&amp;$A443-1,$A$5:$A442,"&lt;="&amp;$A443,$B$5:$B442,$B443)&gt;0,MIN(1-'Exercise list'!M$2,IF($A443=$A442,AS442,1))-X443&lt;0),-1,MIN(1,IF($A443=$A442,AS442,1)-X443+$D$2))</f>
        <v>1</v>
      </c>
      <c r="AT443" s="19">
        <f>IF(OR($J443=1,COUNTIFS($A$5:$A442,"&gt;="&amp;$A443-1,$A$5:$A442,"&lt;="&amp;$A443,$B$5:$B442,$B443)&gt;0,MIN(1-'Exercise list'!N$2,IF($A443=$A442,AT442,1))-Y443&lt;0),-1,MIN(1,IF($A443=$A442,AT442,1)-Y443+$D$2))</f>
        <v>1</v>
      </c>
      <c r="AU443" s="19">
        <f>IF(OR($J443=1,COUNTIFS($A$5:$A442,"&gt;="&amp;$A443-1,$A$5:$A442,"&lt;="&amp;$A443,$B$5:$B442,$B443)&gt;0,MIN(1-'Exercise list'!O$2,IF($A443=$A442,AU442,1))-Z443&lt;0),-1,MIN(1,IF($A443=$A442,AU442,1)-Z443+$D$2))</f>
        <v>1</v>
      </c>
      <c r="AV443" s="19">
        <f>IF(OR($J443=1,COUNTIFS($A$5:$A442,"&gt;="&amp;$A443-1,$A$5:$A442,"&lt;="&amp;$A443,$B$5:$B442,$B443)&gt;0,MIN(1-'Exercise list'!P$2,IF($A443=$A442,AV442,1))-AA443&lt;0),-1,MIN(1,IF($A443=$A442,AV442,1)-AA443+$D$2))</f>
        <v>1</v>
      </c>
      <c r="AW443" s="19">
        <f>IF(OR($J443=1,COUNTIFS($A$5:$A442,"&gt;="&amp;$A443-1,$A$5:$A442,"&lt;="&amp;$A443,$B$5:$B442,$B443)&gt;0,MIN(1-'Exercise list'!Q$2,IF($A443=$A442,AW442,1))-AB443&lt;0),-1,MIN(1,IF($A443=$A442,AW442,1)-AB443+$D$2))</f>
        <v>1</v>
      </c>
      <c r="AX443" s="19">
        <f>IF(OR($J443=1,COUNTIFS($A$5:$A442,"&gt;="&amp;$A443-1,$A$5:$A442,"&lt;="&amp;$A443,$B$5:$B442,$B443)&gt;0,MIN(1-'Exercise list'!R$2,IF($A443=$A442,AX442,1))-AC443&lt;0),-1,MIN(1,IF($A443=$A442,AX442,1)-AC443+$D$2))</f>
        <v>1</v>
      </c>
      <c r="AY443" s="19">
        <f>IF(OR($J443=1,COUNTIFS($A$5:$A442,"&gt;="&amp;$A443-1,$A$5:$A442,"&lt;="&amp;$A443,$B$5:$B442,$B443)&gt;0,MIN(1-'Exercise list'!S$2,IF($A443=$A442,AY442,1))-AD443&lt;0),-1,MIN(1,IF($A443=$A442,AY442,1)-AD443+$D$2))</f>
        <v>1</v>
      </c>
      <c r="AZ443" s="19">
        <f>IF(OR($J443=1,COUNTIFS($A$5:$A442,"&gt;="&amp;$A443-1,$A$5:$A442,"&lt;="&amp;$A443,$B$5:$B442,$B443)&gt;0,MIN(1-'Exercise list'!T$2,IF($A443=$A442,AZ442,1))-AE443&lt;0),-1,MIN(1,IF($A443=$A442,AZ442,1)-AE443+$D$2))</f>
        <v>1</v>
      </c>
      <c r="BA443" s="19">
        <f>IF(OR($J443=1,COUNTIFS($A$5:$A442,"&gt;="&amp;$A443-1,$A$5:$A442,"&lt;="&amp;$A443,$B$5:$B442,$B443)&gt;0,MIN(1-'Exercise list'!U$2,IF($A443=$A442,BA442,1))-AF443&lt;0),-1,MIN(1,IF($A443=$A442,BA442,1)-AF443+$D$2))</f>
        <v>1</v>
      </c>
      <c r="BB443" s="19">
        <f>IF(OR($J443=1,COUNTIFS($A$5:$A442,"&gt;="&amp;$A443-1,$A$5:$A442,"&lt;="&amp;$A443,$B$5:$B442,$B443)&gt;0,MIN(1-'Exercise list'!V$2,IF($A443=$A442,BB442,1))-AG443&lt;0),-1,MIN(1,IF($A443=$A442,BB442,1)-AG443+$D$2))</f>
        <v>1</v>
      </c>
      <c r="BC443" s="19">
        <f>IF(OR($J443=1,COUNTIFS($A$5:$A442,"&gt;="&amp;$A443-1,$A$5:$A442,"&lt;="&amp;$A443,$B$5:$B442,$B443)&gt;0,MIN(1-'Exercise list'!W$2,IF($A443=$A442,BC442,1))-AH443&lt;0),-1,MIN(1,IF($A443=$A442,BC442,1)-AH443+$D$2))</f>
        <v>1</v>
      </c>
      <c r="BD443" s="19">
        <f>IF(OR($J443=1,COUNTIFS($A$5:$A442,"&gt;="&amp;$A443-1,$A$5:$A442,"&lt;="&amp;$A443,$B$5:$B442,$B443)&gt;0,MIN(1-'Exercise list'!X$2,IF($A443=$A442,BD442,1))-AI443&lt;0),-1,MIN(1,IF($A443=$A442,BD442,1)-AI443+$D$2))</f>
        <v>1</v>
      </c>
      <c r="BE443" s="19"/>
      <c r="BF443" s="23">
        <f t="shared" si="321"/>
        <v>0.19596031081758858</v>
      </c>
      <c r="BG443" s="23">
        <f t="shared" si="322"/>
        <v>0.21844636935459236</v>
      </c>
      <c r="BH443" s="23">
        <f t="shared" si="323"/>
        <v>0.14609696635987124</v>
      </c>
      <c r="BI443" s="23">
        <f t="shared" si="324"/>
        <v>0.13198015366034541</v>
      </c>
      <c r="BJ443" s="23">
        <f t="shared" si="325"/>
        <v>8.3367914198418713E-2</v>
      </c>
      <c r="BK443" s="23">
        <f t="shared" si="326"/>
        <v>0.10640640223148412</v>
      </c>
      <c r="BL443" s="23">
        <f t="shared" si="327"/>
        <v>0.21963504743569431</v>
      </c>
      <c r="BM443" s="23">
        <f t="shared" si="328"/>
        <v>3.8988008374820568E-3</v>
      </c>
      <c r="BN443" s="23">
        <f t="shared" si="329"/>
        <v>0.14537706087090876</v>
      </c>
      <c r="BO443" s="23">
        <f t="shared" si="330"/>
        <v>0.29209790661993401</v>
      </c>
      <c r="BP443" s="23">
        <f t="shared" si="331"/>
        <v>0.31584545163401867</v>
      </c>
      <c r="BQ443" s="23">
        <f t="shared" si="332"/>
        <v>0.1000007994126096</v>
      </c>
      <c r="BR443" s="23">
        <f t="shared" si="333"/>
        <v>0.13164487759885393</v>
      </c>
      <c r="BS443" s="23">
        <f t="shared" si="334"/>
        <v>2.9803550189863123E-2</v>
      </c>
      <c r="BT443" s="23">
        <f t="shared" si="335"/>
        <v>0.13492040904978705</v>
      </c>
      <c r="BU443" s="23">
        <f t="shared" si="336"/>
        <v>0.11703687414398131</v>
      </c>
      <c r="BV443" s="23">
        <f t="shared" si="337"/>
        <v>0.14633353213781661</v>
      </c>
      <c r="BW443" s="23">
        <f t="shared" si="338"/>
        <v>7.5588015111767173E-2</v>
      </c>
      <c r="BX443" s="23">
        <f t="shared" si="339"/>
        <v>8.0345659937185704E-2</v>
      </c>
      <c r="BY443" s="23">
        <f t="shared" si="340"/>
        <v>5.9014643151272549E-2</v>
      </c>
      <c r="BZ443" s="19"/>
      <c r="CA443" s="23" t="str">
        <f t="shared" si="317"/>
        <v/>
      </c>
      <c r="CB443" s="23" t="str">
        <f t="shared" si="298"/>
        <v/>
      </c>
      <c r="CC443" s="23" t="str">
        <f t="shared" si="299"/>
        <v/>
      </c>
      <c r="CD443" s="23" t="str">
        <f t="shared" si="300"/>
        <v/>
      </c>
      <c r="CE443" s="23" t="str">
        <f t="shared" si="301"/>
        <v/>
      </c>
      <c r="CF443" s="23" t="str">
        <f t="shared" si="302"/>
        <v/>
      </c>
      <c r="CG443" s="23" t="str">
        <f t="shared" si="303"/>
        <v/>
      </c>
      <c r="CH443" s="23" t="str">
        <f t="shared" si="304"/>
        <v/>
      </c>
      <c r="CI443" s="23" t="str">
        <f t="shared" si="305"/>
        <v/>
      </c>
      <c r="CJ443" s="23" t="str">
        <f t="shared" si="306"/>
        <v/>
      </c>
      <c r="CK443" s="23" t="str">
        <f t="shared" si="307"/>
        <v/>
      </c>
      <c r="CL443" s="23" t="str">
        <f t="shared" si="308"/>
        <v/>
      </c>
      <c r="CM443" s="23" t="str">
        <f t="shared" si="309"/>
        <v/>
      </c>
      <c r="CN443" s="23" t="str">
        <f t="shared" si="310"/>
        <v/>
      </c>
      <c r="CO443" s="23" t="str">
        <f t="shared" si="311"/>
        <v/>
      </c>
      <c r="CP443" s="23" t="str">
        <f t="shared" si="312"/>
        <v/>
      </c>
      <c r="CQ443" s="23" t="str">
        <f t="shared" si="313"/>
        <v/>
      </c>
      <c r="CR443" s="23" t="str">
        <f t="shared" si="314"/>
        <v/>
      </c>
      <c r="CS443" s="23" t="str">
        <f t="shared" si="315"/>
        <v/>
      </c>
      <c r="CT443" s="23" t="str">
        <f t="shared" si="316"/>
        <v/>
      </c>
      <c r="CU443" s="19"/>
    </row>
    <row r="444" spans="1:99" x14ac:dyDescent="0.25">
      <c r="A444" s="13"/>
      <c r="B444" s="14"/>
      <c r="C444" s="15" t="str" cm="1">
        <f t="array" ref="C444">IF(B444="","",INDEX('Exercise list'!$C$5:$C$102,B444))</f>
        <v/>
      </c>
      <c r="D444" s="12" t="str">
        <f t="shared" si="318"/>
        <v/>
      </c>
      <c r="E444" s="107" t="str">
        <f t="shared" si="341"/>
        <v/>
      </c>
      <c r="F444" s="63" t="str" cm="1">
        <f t="array" ref="F444">IF(B444="","",0.1+IFERROR(INDEX($F$6:$F443,SUMPRODUCT(MAX(ROW($C$6:$C443)*($C444=$C$6:$C443))-ROW($A$5)))*0.9^($A444-INDEX($A$6:A443,SUMPRODUCT(MAX(ROW($C$6:$C443)*($C444=$C$6:$C443))-ROW($A$5)))),0))</f>
        <v/>
      </c>
      <c r="G444" s="64" t="e">
        <f>INDEX('Exercise list'!$Y$5:$Y$102,MATCH(C444,'Exercise list'!$C$5:$C$102,0))</f>
        <v>#N/A</v>
      </c>
      <c r="H444" s="115">
        <f t="shared" si="319"/>
        <v>0</v>
      </c>
      <c r="I444" s="42">
        <f t="shared" si="320"/>
        <v>5</v>
      </c>
      <c r="J444" s="6" t="str" cm="1">
        <f t="array" ref="J444">IF(B444="","",INDEX('Exercise list'!$D$5:$D$102,B444))</f>
        <v/>
      </c>
      <c r="K444" s="12"/>
      <c r="L444" s="74" t="str" cm="1">
        <f t="array" ref="L444">IF(K444="","",INDEX('Exercise list'!$C$5:$C$102,K444))</f>
        <v/>
      </c>
      <c r="M444" s="6"/>
      <c r="N444" s="75" t="str" cm="1">
        <f t="array" ref="N444">IF(M444="","",INDEX('Exercise list'!$C$5:$C$102,M444))</f>
        <v/>
      </c>
      <c r="P444">
        <f>IFERROR(INDEX('Exercise list'!$E$5:$X$102,MATCH($C444,'Exercise list'!$C$5:$C$102,0),MATCH(P$5,'Exercise list'!$E$4:$X$4,0)),0)</f>
        <v>0</v>
      </c>
      <c r="Q444">
        <f>IFERROR(INDEX('Exercise list'!$E$5:$X$102,MATCH($C444,'Exercise list'!$C$5:$C$102,0),MATCH(Q$5,'Exercise list'!$E$4:$X$4,0)),0)</f>
        <v>0</v>
      </c>
      <c r="R444">
        <f>IFERROR(INDEX('Exercise list'!$E$5:$X$102,MATCH($C444,'Exercise list'!$C$5:$C$102,0),MATCH(R$5,'Exercise list'!$E$4:$X$4,0)),0)</f>
        <v>0</v>
      </c>
      <c r="S444">
        <f>IFERROR(INDEX('Exercise list'!$E$5:$X$102,MATCH($C444,'Exercise list'!$C$5:$C$102,0),MATCH(S$5,'Exercise list'!$E$4:$X$4,0)),0)</f>
        <v>0</v>
      </c>
      <c r="T444">
        <f>IFERROR(INDEX('Exercise list'!$E$5:$X$102,MATCH($C444,'Exercise list'!$C$5:$C$102,0),MATCH(T$5,'Exercise list'!$E$4:$X$4,0)),0)</f>
        <v>0</v>
      </c>
      <c r="U444">
        <f>IFERROR(INDEX('Exercise list'!$E$5:$X$102,MATCH($C444,'Exercise list'!$C$5:$C$102,0),MATCH(U$5,'Exercise list'!$E$4:$X$4,0)),0)</f>
        <v>0</v>
      </c>
      <c r="V444">
        <f>IFERROR(INDEX('Exercise list'!$E$5:$X$102,MATCH($C444,'Exercise list'!$C$5:$C$102,0),MATCH(V$5,'Exercise list'!$E$4:$X$4,0)),0)</f>
        <v>0</v>
      </c>
      <c r="W444">
        <f>IFERROR(INDEX('Exercise list'!$E$5:$X$102,MATCH($C444,'Exercise list'!$C$5:$C$102,0),MATCH(W$5,'Exercise list'!$E$4:$X$4,0)),0)</f>
        <v>0</v>
      </c>
      <c r="X444">
        <f>IFERROR(INDEX('Exercise list'!$E$5:$X$102,MATCH($C444,'Exercise list'!$C$5:$C$102,0),MATCH(X$5,'Exercise list'!$E$4:$X$4,0)),0)</f>
        <v>0</v>
      </c>
      <c r="Y444">
        <f>IFERROR(INDEX('Exercise list'!$E$5:$X$102,MATCH($C444,'Exercise list'!$C$5:$C$102,0),MATCH(Y$5,'Exercise list'!$E$4:$X$4,0)),0)</f>
        <v>0</v>
      </c>
      <c r="Z444">
        <f>IFERROR(INDEX('Exercise list'!$E$5:$X$102,MATCH($C444,'Exercise list'!$C$5:$C$102,0),MATCH(Z$5,'Exercise list'!$E$4:$X$4,0)),0)</f>
        <v>0</v>
      </c>
      <c r="AA444">
        <f>IFERROR(INDEX('Exercise list'!$E$5:$X$102,MATCH($C444,'Exercise list'!$C$5:$C$102,0),MATCH(AA$5,'Exercise list'!$E$4:$X$4,0)),0)</f>
        <v>0</v>
      </c>
      <c r="AB444">
        <f>IFERROR(INDEX('Exercise list'!$E$5:$X$102,MATCH($C444,'Exercise list'!$C$5:$C$102,0),MATCH(AB$5,'Exercise list'!$E$4:$X$4,0)),0)</f>
        <v>0</v>
      </c>
      <c r="AC444">
        <f>IFERROR(INDEX('Exercise list'!$E$5:$X$102,MATCH($C444,'Exercise list'!$C$5:$C$102,0),MATCH(AC$5,'Exercise list'!$E$4:$X$4,0)),0)</f>
        <v>0</v>
      </c>
      <c r="AD444">
        <f>IFERROR(INDEX('Exercise list'!$E$5:$X$102,MATCH($C444,'Exercise list'!$C$5:$C$102,0),MATCH(AD$5,'Exercise list'!$E$4:$X$4,0)),0)</f>
        <v>0</v>
      </c>
      <c r="AE444">
        <f>IFERROR(INDEX('Exercise list'!$E$5:$X$102,MATCH($C444,'Exercise list'!$C$5:$C$102,0),MATCH(AE$5,'Exercise list'!$E$4:$X$4,0)),0)</f>
        <v>0</v>
      </c>
      <c r="AF444">
        <f>IFERROR(INDEX('Exercise list'!$E$5:$X$102,MATCH($C444,'Exercise list'!$C$5:$C$102,0),MATCH(AF$5,'Exercise list'!$E$4:$X$4,0)),0)</f>
        <v>0</v>
      </c>
      <c r="AG444">
        <f>IFERROR(INDEX('Exercise list'!$E$5:$X$102,MATCH($C444,'Exercise list'!$C$5:$C$102,0),MATCH(AG$5,'Exercise list'!$E$4:$X$4,0)),0)</f>
        <v>0</v>
      </c>
      <c r="AH444">
        <f>IFERROR(INDEX('Exercise list'!$E$5:$X$102,MATCH($C444,'Exercise list'!$C$5:$C$102,0),MATCH(AH$5,'Exercise list'!$E$4:$X$4,0)),0)</f>
        <v>0</v>
      </c>
      <c r="AI444">
        <f>IFERROR(INDEX('Exercise list'!$E$5:$X$102,MATCH($C444,'Exercise list'!$C$5:$C$102,0),MATCH(AI$5,'Exercise list'!$E$4:$X$4,0)),0)</f>
        <v>0</v>
      </c>
      <c r="AK444">
        <f>IF(OR($J444=1,COUNTIFS($A$5:$A443,"&gt;="&amp;$A444-1,$A$5:$A443,"&lt;="&amp;$A444,$B$5:$B443,$B444)&gt;0,MIN(1-'Exercise list'!E$2,IF($A444=$A443,AK443,1))-P444&lt;0),-1,MIN(1,IF($A444=$A443,AK443,1)-P444+$D$2))</f>
        <v>1</v>
      </c>
      <c r="AL444">
        <f>IF(OR($J444=1,COUNTIFS($A$5:$A443,"&gt;="&amp;$A444-1,$A$5:$A443,"&lt;="&amp;$A444,$B$5:$B443,$B444)&gt;0,MIN(1-'Exercise list'!F$2,IF($A444=$A443,AL443,1))-Q444&lt;0),-1,MIN(1,IF($A444=$A443,AL443,1)-Q444+$D$2))</f>
        <v>1</v>
      </c>
      <c r="AM444">
        <f>IF(OR($J444=1,COUNTIFS($A$5:$A443,"&gt;="&amp;$A444-1,$A$5:$A443,"&lt;="&amp;$A444,$B$5:$B443,$B444)&gt;0,MIN(1-'Exercise list'!G$2,IF($A444=$A443,AM443,1))-R444&lt;0),-1,MIN(1,IF($A444=$A443,AM443,1)-R444+$D$2))</f>
        <v>1</v>
      </c>
      <c r="AN444">
        <f>IF(OR($J444=1,COUNTIFS($A$5:$A443,"&gt;="&amp;$A444-1,$A$5:$A443,"&lt;="&amp;$A444,$B$5:$B443,$B444)&gt;0,MIN(1-'Exercise list'!H$2,IF($A444=$A443,AN443,1))-S444&lt;0),-1,MIN(1,IF($A444=$A443,AN443,1)-S444+$D$2))</f>
        <v>1</v>
      </c>
      <c r="AO444">
        <f>IF(OR($J444=1,COUNTIFS($A$5:$A443,"&gt;="&amp;$A444-1,$A$5:$A443,"&lt;="&amp;$A444,$B$5:$B443,$B444)&gt;0,MIN(1-'Exercise list'!I$2,IF($A444=$A443,AO443,1))-T444&lt;0),-1,MIN(1,IF($A444=$A443,AO443,1)-T444+$D$2))</f>
        <v>1</v>
      </c>
      <c r="AP444">
        <f>IF(OR($J444=1,COUNTIFS($A$5:$A443,"&gt;="&amp;$A444-1,$A$5:$A443,"&lt;="&amp;$A444,$B$5:$B443,$B444)&gt;0,MIN(1-'Exercise list'!J$2,IF($A444=$A443,AP443,1))-U444&lt;0),-1,MIN(1,IF($A444=$A443,AP443,1)-U444+$D$2))</f>
        <v>1</v>
      </c>
      <c r="AQ444">
        <f>IF(OR($J444=1,COUNTIFS($A$5:$A443,"&gt;="&amp;$A444-1,$A$5:$A443,"&lt;="&amp;$A444,$B$5:$B443,$B444)&gt;0,MIN(1-'Exercise list'!K$2,IF($A444=$A443,AQ443,1))-V444&lt;0),-1,MIN(1,IF($A444=$A443,AQ443,1)-V444+$D$2))</f>
        <v>1</v>
      </c>
      <c r="AR444">
        <f>IF(OR($J444=1,COUNTIFS($A$5:$A443,"&gt;="&amp;$A444-1,$A$5:$A443,"&lt;="&amp;$A444,$B$5:$B443,$B444)&gt;0,MIN(1-'Exercise list'!L$2,IF($A444=$A443,AR443,1))-W444&lt;0),-1,MIN(1,IF($A444=$A443,AR443,1)-W444+$D$2))</f>
        <v>1</v>
      </c>
      <c r="AS444">
        <f>IF(OR($J444=1,COUNTIFS($A$5:$A443,"&gt;="&amp;$A444-1,$A$5:$A443,"&lt;="&amp;$A444,$B$5:$B443,$B444)&gt;0,MIN(1-'Exercise list'!M$2,IF($A444=$A443,AS443,1))-X444&lt;0),-1,MIN(1,IF($A444=$A443,AS443,1)-X444+$D$2))</f>
        <v>1</v>
      </c>
      <c r="AT444">
        <f>IF(OR($J444=1,COUNTIFS($A$5:$A443,"&gt;="&amp;$A444-1,$A$5:$A443,"&lt;="&amp;$A444,$B$5:$B443,$B444)&gt;0,MIN(1-'Exercise list'!N$2,IF($A444=$A443,AT443,1))-Y444&lt;0),-1,MIN(1,IF($A444=$A443,AT443,1)-Y444+$D$2))</f>
        <v>1</v>
      </c>
      <c r="AU444">
        <f>IF(OR($J444=1,COUNTIFS($A$5:$A443,"&gt;="&amp;$A444-1,$A$5:$A443,"&lt;="&amp;$A444,$B$5:$B443,$B444)&gt;0,MIN(1-'Exercise list'!O$2,IF($A444=$A443,AU443,1))-Z444&lt;0),-1,MIN(1,IF($A444=$A443,AU443,1)-Z444+$D$2))</f>
        <v>1</v>
      </c>
      <c r="AV444">
        <f>IF(OR($J444=1,COUNTIFS($A$5:$A443,"&gt;="&amp;$A444-1,$A$5:$A443,"&lt;="&amp;$A444,$B$5:$B443,$B444)&gt;0,MIN(1-'Exercise list'!P$2,IF($A444=$A443,AV443,1))-AA444&lt;0),-1,MIN(1,IF($A444=$A443,AV443,1)-AA444+$D$2))</f>
        <v>1</v>
      </c>
      <c r="AW444">
        <f>IF(OR($J444=1,COUNTIFS($A$5:$A443,"&gt;="&amp;$A444-1,$A$5:$A443,"&lt;="&amp;$A444,$B$5:$B443,$B444)&gt;0,MIN(1-'Exercise list'!Q$2,IF($A444=$A443,AW443,1))-AB444&lt;0),-1,MIN(1,IF($A444=$A443,AW443,1)-AB444+$D$2))</f>
        <v>1</v>
      </c>
      <c r="AX444">
        <f>IF(OR($J444=1,COUNTIFS($A$5:$A443,"&gt;="&amp;$A444-1,$A$5:$A443,"&lt;="&amp;$A444,$B$5:$B443,$B444)&gt;0,MIN(1-'Exercise list'!R$2,IF($A444=$A443,AX443,1))-AC444&lt;0),-1,MIN(1,IF($A444=$A443,AX443,1)-AC444+$D$2))</f>
        <v>1</v>
      </c>
      <c r="AY444">
        <f>IF(OR($J444=1,COUNTIFS($A$5:$A443,"&gt;="&amp;$A444-1,$A$5:$A443,"&lt;="&amp;$A444,$B$5:$B443,$B444)&gt;0,MIN(1-'Exercise list'!S$2,IF($A444=$A443,AY443,1))-AD444&lt;0),-1,MIN(1,IF($A444=$A443,AY443,1)-AD444+$D$2))</f>
        <v>1</v>
      </c>
      <c r="AZ444">
        <f>IF(OR($J444=1,COUNTIFS($A$5:$A443,"&gt;="&amp;$A444-1,$A$5:$A443,"&lt;="&amp;$A444,$B$5:$B443,$B444)&gt;0,MIN(1-'Exercise list'!T$2,IF($A444=$A443,AZ443,1))-AE444&lt;0),-1,MIN(1,IF($A444=$A443,AZ443,1)-AE444+$D$2))</f>
        <v>1</v>
      </c>
      <c r="BA444">
        <f>IF(OR($J444=1,COUNTIFS($A$5:$A443,"&gt;="&amp;$A444-1,$A$5:$A443,"&lt;="&amp;$A444,$B$5:$B443,$B444)&gt;0,MIN(1-'Exercise list'!U$2,IF($A444=$A443,BA443,1))-AF444&lt;0),-1,MIN(1,IF($A444=$A443,BA443,1)-AF444+$D$2))</f>
        <v>1</v>
      </c>
      <c r="BB444">
        <f>IF(OR($J444=1,COUNTIFS($A$5:$A443,"&gt;="&amp;$A444-1,$A$5:$A443,"&lt;="&amp;$A444,$B$5:$B443,$B444)&gt;0,MIN(1-'Exercise list'!V$2,IF($A444=$A443,BB443,1))-AG444&lt;0),-1,MIN(1,IF($A444=$A443,BB443,1)-AG444+$D$2))</f>
        <v>1</v>
      </c>
      <c r="BC444">
        <f>IF(OR($J444=1,COUNTIFS($A$5:$A443,"&gt;="&amp;$A444-1,$A$5:$A443,"&lt;="&amp;$A444,$B$5:$B443,$B444)&gt;0,MIN(1-'Exercise list'!W$2,IF($A444=$A443,BC443,1))-AH444&lt;0),-1,MIN(1,IF($A444=$A443,BC443,1)-AH444+$D$2))</f>
        <v>1</v>
      </c>
      <c r="BD444">
        <f>IF(OR($J444=1,COUNTIFS($A$5:$A443,"&gt;="&amp;$A444-1,$A$5:$A443,"&lt;="&amp;$A444,$B$5:$B443,$B444)&gt;0,MIN(1-'Exercise list'!X$2,IF($A444=$A443,BD443,1))-AI444&lt;0),-1,MIN(1,IF($A444=$A443,BD443,1)-AI444+$D$2))</f>
        <v>1</v>
      </c>
      <c r="BF444" s="16">
        <f t="shared" si="321"/>
        <v>0.19596031081758858</v>
      </c>
      <c r="BG444" s="16">
        <f t="shared" si="322"/>
        <v>0.21844636935459236</v>
      </c>
      <c r="BH444" s="16">
        <f t="shared" si="323"/>
        <v>0.14609696635987124</v>
      </c>
      <c r="BI444" s="16">
        <f t="shared" si="324"/>
        <v>0.13198015366034541</v>
      </c>
      <c r="BJ444" s="16">
        <f t="shared" si="325"/>
        <v>8.3367914198418713E-2</v>
      </c>
      <c r="BK444" s="16">
        <f t="shared" si="326"/>
        <v>0.10640640223148412</v>
      </c>
      <c r="BL444" s="16">
        <f t="shared" si="327"/>
        <v>0.21963504743569431</v>
      </c>
      <c r="BM444" s="16">
        <f t="shared" si="328"/>
        <v>3.8988008374820568E-3</v>
      </c>
      <c r="BN444" s="16">
        <f t="shared" si="329"/>
        <v>0.14537706087090876</v>
      </c>
      <c r="BO444" s="16">
        <f t="shared" si="330"/>
        <v>0.29209790661993401</v>
      </c>
      <c r="BP444" s="16">
        <f t="shared" si="331"/>
        <v>0.31584545163401867</v>
      </c>
      <c r="BQ444" s="16">
        <f t="shared" si="332"/>
        <v>0.1000007994126096</v>
      </c>
      <c r="BR444" s="16">
        <f t="shared" si="333"/>
        <v>0.13164487759885393</v>
      </c>
      <c r="BS444" s="16">
        <f t="shared" si="334"/>
        <v>2.9803550189863123E-2</v>
      </c>
      <c r="BT444" s="16">
        <f t="shared" si="335"/>
        <v>0.13492040904978705</v>
      </c>
      <c r="BU444" s="16">
        <f t="shared" si="336"/>
        <v>0.11703687414398131</v>
      </c>
      <c r="BV444" s="16">
        <f t="shared" si="337"/>
        <v>0.14633353213781661</v>
      </c>
      <c r="BW444" s="16">
        <f t="shared" si="338"/>
        <v>7.5588015111767173E-2</v>
      </c>
      <c r="BX444" s="16">
        <f t="shared" si="339"/>
        <v>8.0345659937185704E-2</v>
      </c>
      <c r="BY444" s="16">
        <f t="shared" si="340"/>
        <v>5.9014643151272549E-2</v>
      </c>
      <c r="CA444" s="16" t="str">
        <f t="shared" si="317"/>
        <v/>
      </c>
      <c r="CB444" s="16" t="str">
        <f t="shared" si="298"/>
        <v/>
      </c>
      <c r="CC444" s="16" t="str">
        <f t="shared" si="299"/>
        <v/>
      </c>
      <c r="CD444" s="16" t="str">
        <f t="shared" si="300"/>
        <v/>
      </c>
      <c r="CE444" s="16" t="str">
        <f t="shared" si="301"/>
        <v/>
      </c>
      <c r="CF444" s="16" t="str">
        <f t="shared" si="302"/>
        <v/>
      </c>
      <c r="CG444" s="16" t="str">
        <f t="shared" si="303"/>
        <v/>
      </c>
      <c r="CH444" s="16" t="str">
        <f t="shared" si="304"/>
        <v/>
      </c>
      <c r="CI444" s="16" t="str">
        <f t="shared" si="305"/>
        <v/>
      </c>
      <c r="CJ444" s="16" t="str">
        <f t="shared" si="306"/>
        <v/>
      </c>
      <c r="CK444" s="16" t="str">
        <f t="shared" si="307"/>
        <v/>
      </c>
      <c r="CL444" s="16" t="str">
        <f t="shared" si="308"/>
        <v/>
      </c>
      <c r="CM444" s="16" t="str">
        <f t="shared" si="309"/>
        <v/>
      </c>
      <c r="CN444" s="16" t="str">
        <f t="shared" si="310"/>
        <v/>
      </c>
      <c r="CO444" s="16" t="str">
        <f t="shared" si="311"/>
        <v/>
      </c>
      <c r="CP444" s="16" t="str">
        <f t="shared" si="312"/>
        <v/>
      </c>
      <c r="CQ444" s="16" t="str">
        <f t="shared" si="313"/>
        <v/>
      </c>
      <c r="CR444" s="16" t="str">
        <f t="shared" si="314"/>
        <v/>
      </c>
      <c r="CS444" s="16" t="str">
        <f t="shared" si="315"/>
        <v/>
      </c>
      <c r="CT444" s="16" t="str">
        <f t="shared" si="316"/>
        <v/>
      </c>
    </row>
    <row r="445" spans="1:99" x14ac:dyDescent="0.25">
      <c r="A445" s="13"/>
      <c r="B445" s="14"/>
      <c r="C445" s="15" t="str" cm="1">
        <f t="array" ref="C445">IF(B445="","",INDEX('Exercise list'!$C$5:$C$102,B445))</f>
        <v/>
      </c>
      <c r="D445" s="12" t="str">
        <f t="shared" si="318"/>
        <v/>
      </c>
      <c r="E445" s="107" t="str">
        <f t="shared" si="341"/>
        <v/>
      </c>
      <c r="F445" s="63" t="str" cm="1">
        <f t="array" ref="F445">IF(B445="","",0.1+IFERROR(INDEX($F$6:$F444,SUMPRODUCT(MAX(ROW($C$6:$C444)*($C445=$C$6:$C444))-ROW($A$5)))*0.9^($A445-INDEX($A$6:A444,SUMPRODUCT(MAX(ROW($C$6:$C444)*($C445=$C$6:$C444))-ROW($A$5)))),0))</f>
        <v/>
      </c>
      <c r="G445" s="64" t="e">
        <f>INDEX('Exercise list'!$Y$5:$Y$102,MATCH(C445,'Exercise list'!$C$5:$C$102,0))</f>
        <v>#N/A</v>
      </c>
      <c r="H445" s="115">
        <f t="shared" si="319"/>
        <v>0</v>
      </c>
      <c r="I445" s="6">
        <f t="shared" si="320"/>
        <v>5</v>
      </c>
      <c r="J445" s="6" t="str" cm="1">
        <f t="array" ref="J445">IF(B445="","",INDEX('Exercise list'!$D$5:$D$102,B445))</f>
        <v/>
      </c>
      <c r="K445" s="12"/>
      <c r="L445" s="74" t="str" cm="1">
        <f t="array" ref="L445">IF(K445="","",INDEX('Exercise list'!$C$5:$C$102,K445))</f>
        <v/>
      </c>
      <c r="M445" s="6"/>
      <c r="N445" s="75" t="str" cm="1">
        <f t="array" ref="N445">IF(M445="","",INDEX('Exercise list'!$C$5:$C$102,M445))</f>
        <v/>
      </c>
      <c r="P445">
        <f>IFERROR(INDEX('Exercise list'!$E$5:$X$102,MATCH($C445,'Exercise list'!$C$5:$C$102,0),MATCH(P$5,'Exercise list'!$E$4:$X$4,0)),0)</f>
        <v>0</v>
      </c>
      <c r="Q445">
        <f>IFERROR(INDEX('Exercise list'!$E$5:$X$102,MATCH($C445,'Exercise list'!$C$5:$C$102,0),MATCH(Q$5,'Exercise list'!$E$4:$X$4,0)),0)</f>
        <v>0</v>
      </c>
      <c r="R445">
        <f>IFERROR(INDEX('Exercise list'!$E$5:$X$102,MATCH($C445,'Exercise list'!$C$5:$C$102,0),MATCH(R$5,'Exercise list'!$E$4:$X$4,0)),0)</f>
        <v>0</v>
      </c>
      <c r="S445">
        <f>IFERROR(INDEX('Exercise list'!$E$5:$X$102,MATCH($C445,'Exercise list'!$C$5:$C$102,0),MATCH(S$5,'Exercise list'!$E$4:$X$4,0)),0)</f>
        <v>0</v>
      </c>
      <c r="T445">
        <f>IFERROR(INDEX('Exercise list'!$E$5:$X$102,MATCH($C445,'Exercise list'!$C$5:$C$102,0),MATCH(T$5,'Exercise list'!$E$4:$X$4,0)),0)</f>
        <v>0</v>
      </c>
      <c r="U445">
        <f>IFERROR(INDEX('Exercise list'!$E$5:$X$102,MATCH($C445,'Exercise list'!$C$5:$C$102,0),MATCH(U$5,'Exercise list'!$E$4:$X$4,0)),0)</f>
        <v>0</v>
      </c>
      <c r="V445">
        <f>IFERROR(INDEX('Exercise list'!$E$5:$X$102,MATCH($C445,'Exercise list'!$C$5:$C$102,0),MATCH(V$5,'Exercise list'!$E$4:$X$4,0)),0)</f>
        <v>0</v>
      </c>
      <c r="W445">
        <f>IFERROR(INDEX('Exercise list'!$E$5:$X$102,MATCH($C445,'Exercise list'!$C$5:$C$102,0),MATCH(W$5,'Exercise list'!$E$4:$X$4,0)),0)</f>
        <v>0</v>
      </c>
      <c r="X445">
        <f>IFERROR(INDEX('Exercise list'!$E$5:$X$102,MATCH($C445,'Exercise list'!$C$5:$C$102,0),MATCH(X$5,'Exercise list'!$E$4:$X$4,0)),0)</f>
        <v>0</v>
      </c>
      <c r="Y445">
        <f>IFERROR(INDEX('Exercise list'!$E$5:$X$102,MATCH($C445,'Exercise list'!$C$5:$C$102,0),MATCH(Y$5,'Exercise list'!$E$4:$X$4,0)),0)</f>
        <v>0</v>
      </c>
      <c r="Z445">
        <f>IFERROR(INDEX('Exercise list'!$E$5:$X$102,MATCH($C445,'Exercise list'!$C$5:$C$102,0),MATCH(Z$5,'Exercise list'!$E$4:$X$4,0)),0)</f>
        <v>0</v>
      </c>
      <c r="AA445">
        <f>IFERROR(INDEX('Exercise list'!$E$5:$X$102,MATCH($C445,'Exercise list'!$C$5:$C$102,0),MATCH(AA$5,'Exercise list'!$E$4:$X$4,0)),0)</f>
        <v>0</v>
      </c>
      <c r="AB445">
        <f>IFERROR(INDEX('Exercise list'!$E$5:$X$102,MATCH($C445,'Exercise list'!$C$5:$C$102,0),MATCH(AB$5,'Exercise list'!$E$4:$X$4,0)),0)</f>
        <v>0</v>
      </c>
      <c r="AC445">
        <f>IFERROR(INDEX('Exercise list'!$E$5:$X$102,MATCH($C445,'Exercise list'!$C$5:$C$102,0),MATCH(AC$5,'Exercise list'!$E$4:$X$4,0)),0)</f>
        <v>0</v>
      </c>
      <c r="AD445">
        <f>IFERROR(INDEX('Exercise list'!$E$5:$X$102,MATCH($C445,'Exercise list'!$C$5:$C$102,0),MATCH(AD$5,'Exercise list'!$E$4:$X$4,0)),0)</f>
        <v>0</v>
      </c>
      <c r="AE445">
        <f>IFERROR(INDEX('Exercise list'!$E$5:$X$102,MATCH($C445,'Exercise list'!$C$5:$C$102,0),MATCH(AE$5,'Exercise list'!$E$4:$X$4,0)),0)</f>
        <v>0</v>
      </c>
      <c r="AF445">
        <f>IFERROR(INDEX('Exercise list'!$E$5:$X$102,MATCH($C445,'Exercise list'!$C$5:$C$102,0),MATCH(AF$5,'Exercise list'!$E$4:$X$4,0)),0)</f>
        <v>0</v>
      </c>
      <c r="AG445">
        <f>IFERROR(INDEX('Exercise list'!$E$5:$X$102,MATCH($C445,'Exercise list'!$C$5:$C$102,0),MATCH(AG$5,'Exercise list'!$E$4:$X$4,0)),0)</f>
        <v>0</v>
      </c>
      <c r="AH445">
        <f>IFERROR(INDEX('Exercise list'!$E$5:$X$102,MATCH($C445,'Exercise list'!$C$5:$C$102,0),MATCH(AH$5,'Exercise list'!$E$4:$X$4,0)),0)</f>
        <v>0</v>
      </c>
      <c r="AI445">
        <f>IFERROR(INDEX('Exercise list'!$E$5:$X$102,MATCH($C445,'Exercise list'!$C$5:$C$102,0),MATCH(AI$5,'Exercise list'!$E$4:$X$4,0)),0)</f>
        <v>0</v>
      </c>
      <c r="AK445">
        <f>IF(OR($J445=1,COUNTIFS($A$5:$A444,"&gt;="&amp;$A445-1,$A$5:$A444,"&lt;="&amp;$A445,$B$5:$B444,$B445)&gt;0,MIN(1-'Exercise list'!E$2,IF($A445=$A444,AK444,1))-P445&lt;0),-1,MIN(1,IF($A445=$A444,AK444,1)-P445+$D$2))</f>
        <v>1</v>
      </c>
      <c r="AL445">
        <f>IF(OR($J445=1,COUNTIFS($A$5:$A444,"&gt;="&amp;$A445-1,$A$5:$A444,"&lt;="&amp;$A445,$B$5:$B444,$B445)&gt;0,MIN(1-'Exercise list'!F$2,IF($A445=$A444,AL444,1))-Q445&lt;0),-1,MIN(1,IF($A445=$A444,AL444,1)-Q445+$D$2))</f>
        <v>1</v>
      </c>
      <c r="AM445">
        <f>IF(OR($J445=1,COUNTIFS($A$5:$A444,"&gt;="&amp;$A445-1,$A$5:$A444,"&lt;="&amp;$A445,$B$5:$B444,$B445)&gt;0,MIN(1-'Exercise list'!G$2,IF($A445=$A444,AM444,1))-R445&lt;0),-1,MIN(1,IF($A445=$A444,AM444,1)-R445+$D$2))</f>
        <v>1</v>
      </c>
      <c r="AN445">
        <f>IF(OR($J445=1,COUNTIFS($A$5:$A444,"&gt;="&amp;$A445-1,$A$5:$A444,"&lt;="&amp;$A445,$B$5:$B444,$B445)&gt;0,MIN(1-'Exercise list'!H$2,IF($A445=$A444,AN444,1))-S445&lt;0),-1,MIN(1,IF($A445=$A444,AN444,1)-S445+$D$2))</f>
        <v>1</v>
      </c>
      <c r="AO445">
        <f>IF(OR($J445=1,COUNTIFS($A$5:$A444,"&gt;="&amp;$A445-1,$A$5:$A444,"&lt;="&amp;$A445,$B$5:$B444,$B445)&gt;0,MIN(1-'Exercise list'!I$2,IF($A445=$A444,AO444,1))-T445&lt;0),-1,MIN(1,IF($A445=$A444,AO444,1)-T445+$D$2))</f>
        <v>1</v>
      </c>
      <c r="AP445">
        <f>IF(OR($J445=1,COUNTIFS($A$5:$A444,"&gt;="&amp;$A445-1,$A$5:$A444,"&lt;="&amp;$A445,$B$5:$B444,$B445)&gt;0,MIN(1-'Exercise list'!J$2,IF($A445=$A444,AP444,1))-U445&lt;0),-1,MIN(1,IF($A445=$A444,AP444,1)-U445+$D$2))</f>
        <v>1</v>
      </c>
      <c r="AQ445">
        <f>IF(OR($J445=1,COUNTIFS($A$5:$A444,"&gt;="&amp;$A445-1,$A$5:$A444,"&lt;="&amp;$A445,$B$5:$B444,$B445)&gt;0,MIN(1-'Exercise list'!K$2,IF($A445=$A444,AQ444,1))-V445&lt;0),-1,MIN(1,IF($A445=$A444,AQ444,1)-V445+$D$2))</f>
        <v>1</v>
      </c>
      <c r="AR445">
        <f>IF(OR($J445=1,COUNTIFS($A$5:$A444,"&gt;="&amp;$A445-1,$A$5:$A444,"&lt;="&amp;$A445,$B$5:$B444,$B445)&gt;0,MIN(1-'Exercise list'!L$2,IF($A445=$A444,AR444,1))-W445&lt;0),-1,MIN(1,IF($A445=$A444,AR444,1)-W445+$D$2))</f>
        <v>1</v>
      </c>
      <c r="AS445">
        <f>IF(OR($J445=1,COUNTIFS($A$5:$A444,"&gt;="&amp;$A445-1,$A$5:$A444,"&lt;="&amp;$A445,$B$5:$B444,$B445)&gt;0,MIN(1-'Exercise list'!M$2,IF($A445=$A444,AS444,1))-X445&lt;0),-1,MIN(1,IF($A445=$A444,AS444,1)-X445+$D$2))</f>
        <v>1</v>
      </c>
      <c r="AT445">
        <f>IF(OR($J445=1,COUNTIFS($A$5:$A444,"&gt;="&amp;$A445-1,$A$5:$A444,"&lt;="&amp;$A445,$B$5:$B444,$B445)&gt;0,MIN(1-'Exercise list'!N$2,IF($A445=$A444,AT444,1))-Y445&lt;0),-1,MIN(1,IF($A445=$A444,AT444,1)-Y445+$D$2))</f>
        <v>1</v>
      </c>
      <c r="AU445">
        <f>IF(OR($J445=1,COUNTIFS($A$5:$A444,"&gt;="&amp;$A445-1,$A$5:$A444,"&lt;="&amp;$A445,$B$5:$B444,$B445)&gt;0,MIN(1-'Exercise list'!O$2,IF($A445=$A444,AU444,1))-Z445&lt;0),-1,MIN(1,IF($A445=$A444,AU444,1)-Z445+$D$2))</f>
        <v>1</v>
      </c>
      <c r="AV445">
        <f>IF(OR($J445=1,COUNTIFS($A$5:$A444,"&gt;="&amp;$A445-1,$A$5:$A444,"&lt;="&amp;$A445,$B$5:$B444,$B445)&gt;0,MIN(1-'Exercise list'!P$2,IF($A445=$A444,AV444,1))-AA445&lt;0),-1,MIN(1,IF($A445=$A444,AV444,1)-AA445+$D$2))</f>
        <v>1</v>
      </c>
      <c r="AW445">
        <f>IF(OR($J445=1,COUNTIFS($A$5:$A444,"&gt;="&amp;$A445-1,$A$5:$A444,"&lt;="&amp;$A445,$B$5:$B444,$B445)&gt;0,MIN(1-'Exercise list'!Q$2,IF($A445=$A444,AW444,1))-AB445&lt;0),-1,MIN(1,IF($A445=$A444,AW444,1)-AB445+$D$2))</f>
        <v>1</v>
      </c>
      <c r="AX445">
        <f>IF(OR($J445=1,COUNTIFS($A$5:$A444,"&gt;="&amp;$A445-1,$A$5:$A444,"&lt;="&amp;$A445,$B$5:$B444,$B445)&gt;0,MIN(1-'Exercise list'!R$2,IF($A445=$A444,AX444,1))-AC445&lt;0),-1,MIN(1,IF($A445=$A444,AX444,1)-AC445+$D$2))</f>
        <v>1</v>
      </c>
      <c r="AY445">
        <f>IF(OR($J445=1,COUNTIFS($A$5:$A444,"&gt;="&amp;$A445-1,$A$5:$A444,"&lt;="&amp;$A445,$B$5:$B444,$B445)&gt;0,MIN(1-'Exercise list'!S$2,IF($A445=$A444,AY444,1))-AD445&lt;0),-1,MIN(1,IF($A445=$A444,AY444,1)-AD445+$D$2))</f>
        <v>1</v>
      </c>
      <c r="AZ445">
        <f>IF(OR($J445=1,COUNTIFS($A$5:$A444,"&gt;="&amp;$A445-1,$A$5:$A444,"&lt;="&amp;$A445,$B$5:$B444,$B445)&gt;0,MIN(1-'Exercise list'!T$2,IF($A445=$A444,AZ444,1))-AE445&lt;0),-1,MIN(1,IF($A445=$A444,AZ444,1)-AE445+$D$2))</f>
        <v>1</v>
      </c>
      <c r="BA445">
        <f>IF(OR($J445=1,COUNTIFS($A$5:$A444,"&gt;="&amp;$A445-1,$A$5:$A444,"&lt;="&amp;$A445,$B$5:$B444,$B445)&gt;0,MIN(1-'Exercise list'!U$2,IF($A445=$A444,BA444,1))-AF445&lt;0),-1,MIN(1,IF($A445=$A444,BA444,1)-AF445+$D$2))</f>
        <v>1</v>
      </c>
      <c r="BB445">
        <f>IF(OR($J445=1,COUNTIFS($A$5:$A444,"&gt;="&amp;$A445-1,$A$5:$A444,"&lt;="&amp;$A445,$B$5:$B444,$B445)&gt;0,MIN(1-'Exercise list'!V$2,IF($A445=$A444,BB444,1))-AG445&lt;0),-1,MIN(1,IF($A445=$A444,BB444,1)-AG445+$D$2))</f>
        <v>1</v>
      </c>
      <c r="BC445">
        <f>IF(OR($J445=1,COUNTIFS($A$5:$A444,"&gt;="&amp;$A445-1,$A$5:$A444,"&lt;="&amp;$A445,$B$5:$B444,$B445)&gt;0,MIN(1-'Exercise list'!W$2,IF($A445=$A444,BC444,1))-AH445&lt;0),-1,MIN(1,IF($A445=$A444,BC444,1)-AH445+$D$2))</f>
        <v>1</v>
      </c>
      <c r="BD445">
        <f>IF(OR($J445=1,COUNTIFS($A$5:$A444,"&gt;="&amp;$A445-1,$A$5:$A444,"&lt;="&amp;$A445,$B$5:$B444,$B445)&gt;0,MIN(1-'Exercise list'!X$2,IF($A445=$A444,BD444,1))-AI445&lt;0),-1,MIN(1,IF($A445=$A444,BD444,1)-AI445+$D$2))</f>
        <v>1</v>
      </c>
      <c r="BF445" s="16">
        <f t="shared" si="321"/>
        <v>0.19596031081758858</v>
      </c>
      <c r="BG445" s="16">
        <f t="shared" si="322"/>
        <v>0.21844636935459236</v>
      </c>
      <c r="BH445" s="16">
        <f t="shared" si="323"/>
        <v>0.14609696635987124</v>
      </c>
      <c r="BI445" s="16">
        <f t="shared" si="324"/>
        <v>0.13198015366034541</v>
      </c>
      <c r="BJ445" s="16">
        <f t="shared" si="325"/>
        <v>8.3367914198418713E-2</v>
      </c>
      <c r="BK445" s="16">
        <f t="shared" si="326"/>
        <v>0.10640640223148412</v>
      </c>
      <c r="BL445" s="16">
        <f t="shared" si="327"/>
        <v>0.21963504743569431</v>
      </c>
      <c r="BM445" s="16">
        <f t="shared" si="328"/>
        <v>3.8988008374820568E-3</v>
      </c>
      <c r="BN445" s="16">
        <f t="shared" si="329"/>
        <v>0.14537706087090876</v>
      </c>
      <c r="BO445" s="16">
        <f t="shared" si="330"/>
        <v>0.29209790661993401</v>
      </c>
      <c r="BP445" s="16">
        <f t="shared" si="331"/>
        <v>0.31584545163401867</v>
      </c>
      <c r="BQ445" s="16">
        <f t="shared" si="332"/>
        <v>0.1000007994126096</v>
      </c>
      <c r="BR445" s="16">
        <f t="shared" si="333"/>
        <v>0.13164487759885393</v>
      </c>
      <c r="BS445" s="16">
        <f t="shared" si="334"/>
        <v>2.9803550189863123E-2</v>
      </c>
      <c r="BT445" s="16">
        <f t="shared" si="335"/>
        <v>0.13492040904978705</v>
      </c>
      <c r="BU445" s="16">
        <f t="shared" si="336"/>
        <v>0.11703687414398131</v>
      </c>
      <c r="BV445" s="16">
        <f t="shared" si="337"/>
        <v>0.14633353213781661</v>
      </c>
      <c r="BW445" s="16">
        <f t="shared" si="338"/>
        <v>7.5588015111767173E-2</v>
      </c>
      <c r="BX445" s="16">
        <f t="shared" si="339"/>
        <v>8.0345659937185704E-2</v>
      </c>
      <c r="BY445" s="16">
        <f t="shared" si="340"/>
        <v>5.9014643151272549E-2</v>
      </c>
      <c r="CA445" s="16" t="str">
        <f t="shared" si="317"/>
        <v/>
      </c>
      <c r="CB445" s="16" t="str">
        <f t="shared" si="298"/>
        <v/>
      </c>
      <c r="CC445" s="16" t="str">
        <f t="shared" si="299"/>
        <v/>
      </c>
      <c r="CD445" s="16" t="str">
        <f t="shared" si="300"/>
        <v/>
      </c>
      <c r="CE445" s="16" t="str">
        <f t="shared" si="301"/>
        <v/>
      </c>
      <c r="CF445" s="16" t="str">
        <f t="shared" si="302"/>
        <v/>
      </c>
      <c r="CG445" s="16" t="str">
        <f t="shared" si="303"/>
        <v/>
      </c>
      <c r="CH445" s="16" t="str">
        <f t="shared" si="304"/>
        <v/>
      </c>
      <c r="CI445" s="16" t="str">
        <f t="shared" si="305"/>
        <v/>
      </c>
      <c r="CJ445" s="16" t="str">
        <f t="shared" si="306"/>
        <v/>
      </c>
      <c r="CK445" s="16" t="str">
        <f t="shared" si="307"/>
        <v/>
      </c>
      <c r="CL445" s="16" t="str">
        <f t="shared" si="308"/>
        <v/>
      </c>
      <c r="CM445" s="16" t="str">
        <f t="shared" si="309"/>
        <v/>
      </c>
      <c r="CN445" s="16" t="str">
        <f t="shared" si="310"/>
        <v/>
      </c>
      <c r="CO445" s="16" t="str">
        <f t="shared" si="311"/>
        <v/>
      </c>
      <c r="CP445" s="16" t="str">
        <f t="shared" si="312"/>
        <v/>
      </c>
      <c r="CQ445" s="16" t="str">
        <f t="shared" si="313"/>
        <v/>
      </c>
      <c r="CR445" s="16" t="str">
        <f t="shared" si="314"/>
        <v/>
      </c>
      <c r="CS445" s="16" t="str">
        <f t="shared" si="315"/>
        <v/>
      </c>
      <c r="CT445" s="16" t="str">
        <f t="shared" si="316"/>
        <v/>
      </c>
    </row>
    <row r="446" spans="1:99" x14ac:dyDescent="0.25">
      <c r="A446" s="13"/>
      <c r="B446" s="14"/>
      <c r="C446" s="15" t="str" cm="1">
        <f t="array" ref="C446">IF(B446="","",INDEX('Exercise list'!$C$5:$C$102,B446))</f>
        <v/>
      </c>
      <c r="D446" s="12" t="str">
        <f t="shared" si="318"/>
        <v/>
      </c>
      <c r="E446" s="107" t="str">
        <f t="shared" si="341"/>
        <v/>
      </c>
      <c r="F446" s="63" t="str" cm="1">
        <f t="array" ref="F446">IF(B446="","",0.1+IFERROR(INDEX($F$6:$F445,SUMPRODUCT(MAX(ROW($C$6:$C445)*($C446=$C$6:$C445))-ROW($A$5)))*0.9^($A446-INDEX($A$6:A445,SUMPRODUCT(MAX(ROW($C$6:$C445)*($C446=$C$6:$C445))-ROW($A$5)))),0))</f>
        <v/>
      </c>
      <c r="G446" s="64" t="e">
        <f>INDEX('Exercise list'!$Y$5:$Y$102,MATCH(C446,'Exercise list'!$C$5:$C$102,0))</f>
        <v>#N/A</v>
      </c>
      <c r="H446" s="115">
        <f t="shared" si="319"/>
        <v>0</v>
      </c>
      <c r="I446" s="6">
        <f t="shared" si="320"/>
        <v>5</v>
      </c>
      <c r="J446" s="6" t="str" cm="1">
        <f t="array" ref="J446">IF(B446="","",INDEX('Exercise list'!$D$5:$D$102,B446))</f>
        <v/>
      </c>
      <c r="K446" s="12"/>
      <c r="L446" s="74" t="str" cm="1">
        <f t="array" ref="L446">IF(K446="","",INDEX('Exercise list'!$C$5:$C$102,K446))</f>
        <v/>
      </c>
      <c r="M446" s="6"/>
      <c r="N446" s="75" t="str" cm="1">
        <f t="array" ref="N446">IF(M446="","",INDEX('Exercise list'!$C$5:$C$102,M446))</f>
        <v/>
      </c>
      <c r="P446">
        <f>IFERROR(INDEX('Exercise list'!$E$5:$X$102,MATCH($C446,'Exercise list'!$C$5:$C$102,0),MATCH(P$5,'Exercise list'!$E$4:$X$4,0)),0)</f>
        <v>0</v>
      </c>
      <c r="Q446">
        <f>IFERROR(INDEX('Exercise list'!$E$5:$X$102,MATCH($C446,'Exercise list'!$C$5:$C$102,0),MATCH(Q$5,'Exercise list'!$E$4:$X$4,0)),0)</f>
        <v>0</v>
      </c>
      <c r="R446">
        <f>IFERROR(INDEX('Exercise list'!$E$5:$X$102,MATCH($C446,'Exercise list'!$C$5:$C$102,0),MATCH(R$5,'Exercise list'!$E$4:$X$4,0)),0)</f>
        <v>0</v>
      </c>
      <c r="S446">
        <f>IFERROR(INDEX('Exercise list'!$E$5:$X$102,MATCH($C446,'Exercise list'!$C$5:$C$102,0),MATCH(S$5,'Exercise list'!$E$4:$X$4,0)),0)</f>
        <v>0</v>
      </c>
      <c r="T446">
        <f>IFERROR(INDEX('Exercise list'!$E$5:$X$102,MATCH($C446,'Exercise list'!$C$5:$C$102,0),MATCH(T$5,'Exercise list'!$E$4:$X$4,0)),0)</f>
        <v>0</v>
      </c>
      <c r="U446">
        <f>IFERROR(INDEX('Exercise list'!$E$5:$X$102,MATCH($C446,'Exercise list'!$C$5:$C$102,0),MATCH(U$5,'Exercise list'!$E$4:$X$4,0)),0)</f>
        <v>0</v>
      </c>
      <c r="V446">
        <f>IFERROR(INDEX('Exercise list'!$E$5:$X$102,MATCH($C446,'Exercise list'!$C$5:$C$102,0),MATCH(V$5,'Exercise list'!$E$4:$X$4,0)),0)</f>
        <v>0</v>
      </c>
      <c r="W446">
        <f>IFERROR(INDEX('Exercise list'!$E$5:$X$102,MATCH($C446,'Exercise list'!$C$5:$C$102,0),MATCH(W$5,'Exercise list'!$E$4:$X$4,0)),0)</f>
        <v>0</v>
      </c>
      <c r="X446">
        <f>IFERROR(INDEX('Exercise list'!$E$5:$X$102,MATCH($C446,'Exercise list'!$C$5:$C$102,0),MATCH(X$5,'Exercise list'!$E$4:$X$4,0)),0)</f>
        <v>0</v>
      </c>
      <c r="Y446">
        <f>IFERROR(INDEX('Exercise list'!$E$5:$X$102,MATCH($C446,'Exercise list'!$C$5:$C$102,0),MATCH(Y$5,'Exercise list'!$E$4:$X$4,0)),0)</f>
        <v>0</v>
      </c>
      <c r="Z446">
        <f>IFERROR(INDEX('Exercise list'!$E$5:$X$102,MATCH($C446,'Exercise list'!$C$5:$C$102,0),MATCH(Z$5,'Exercise list'!$E$4:$X$4,0)),0)</f>
        <v>0</v>
      </c>
      <c r="AA446">
        <f>IFERROR(INDEX('Exercise list'!$E$5:$X$102,MATCH($C446,'Exercise list'!$C$5:$C$102,0),MATCH(AA$5,'Exercise list'!$E$4:$X$4,0)),0)</f>
        <v>0</v>
      </c>
      <c r="AB446">
        <f>IFERROR(INDEX('Exercise list'!$E$5:$X$102,MATCH($C446,'Exercise list'!$C$5:$C$102,0),MATCH(AB$5,'Exercise list'!$E$4:$X$4,0)),0)</f>
        <v>0</v>
      </c>
      <c r="AC446">
        <f>IFERROR(INDEX('Exercise list'!$E$5:$X$102,MATCH($C446,'Exercise list'!$C$5:$C$102,0),MATCH(AC$5,'Exercise list'!$E$4:$X$4,0)),0)</f>
        <v>0</v>
      </c>
      <c r="AD446">
        <f>IFERROR(INDEX('Exercise list'!$E$5:$X$102,MATCH($C446,'Exercise list'!$C$5:$C$102,0),MATCH(AD$5,'Exercise list'!$E$4:$X$4,0)),0)</f>
        <v>0</v>
      </c>
      <c r="AE446">
        <f>IFERROR(INDEX('Exercise list'!$E$5:$X$102,MATCH($C446,'Exercise list'!$C$5:$C$102,0),MATCH(AE$5,'Exercise list'!$E$4:$X$4,0)),0)</f>
        <v>0</v>
      </c>
      <c r="AF446">
        <f>IFERROR(INDEX('Exercise list'!$E$5:$X$102,MATCH($C446,'Exercise list'!$C$5:$C$102,0),MATCH(AF$5,'Exercise list'!$E$4:$X$4,0)),0)</f>
        <v>0</v>
      </c>
      <c r="AG446">
        <f>IFERROR(INDEX('Exercise list'!$E$5:$X$102,MATCH($C446,'Exercise list'!$C$5:$C$102,0),MATCH(AG$5,'Exercise list'!$E$4:$X$4,0)),0)</f>
        <v>0</v>
      </c>
      <c r="AH446">
        <f>IFERROR(INDEX('Exercise list'!$E$5:$X$102,MATCH($C446,'Exercise list'!$C$5:$C$102,0),MATCH(AH$5,'Exercise list'!$E$4:$X$4,0)),0)</f>
        <v>0</v>
      </c>
      <c r="AI446">
        <f>IFERROR(INDEX('Exercise list'!$E$5:$X$102,MATCH($C446,'Exercise list'!$C$5:$C$102,0),MATCH(AI$5,'Exercise list'!$E$4:$X$4,0)),0)</f>
        <v>0</v>
      </c>
      <c r="AK446">
        <f>IF(OR($J446=1,COUNTIFS($A$5:$A445,"&gt;="&amp;$A446-1,$A$5:$A445,"&lt;="&amp;$A446,$B$5:$B445,$B446)&gt;0,MIN(1-'Exercise list'!E$2,IF($A446=$A445,AK445,1))-P446&lt;0),-1,MIN(1,IF($A446=$A445,AK445,1)-P446+$D$2))</f>
        <v>1</v>
      </c>
      <c r="AL446">
        <f>IF(OR($J446=1,COUNTIFS($A$5:$A445,"&gt;="&amp;$A446-1,$A$5:$A445,"&lt;="&amp;$A446,$B$5:$B445,$B446)&gt;0,MIN(1-'Exercise list'!F$2,IF($A446=$A445,AL445,1))-Q446&lt;0),-1,MIN(1,IF($A446=$A445,AL445,1)-Q446+$D$2))</f>
        <v>1</v>
      </c>
      <c r="AM446">
        <f>IF(OR($J446=1,COUNTIFS($A$5:$A445,"&gt;="&amp;$A446-1,$A$5:$A445,"&lt;="&amp;$A446,$B$5:$B445,$B446)&gt;0,MIN(1-'Exercise list'!G$2,IF($A446=$A445,AM445,1))-R446&lt;0),-1,MIN(1,IF($A446=$A445,AM445,1)-R446+$D$2))</f>
        <v>1</v>
      </c>
      <c r="AN446">
        <f>IF(OR($J446=1,COUNTIFS($A$5:$A445,"&gt;="&amp;$A446-1,$A$5:$A445,"&lt;="&amp;$A446,$B$5:$B445,$B446)&gt;0,MIN(1-'Exercise list'!H$2,IF($A446=$A445,AN445,1))-S446&lt;0),-1,MIN(1,IF($A446=$A445,AN445,1)-S446+$D$2))</f>
        <v>1</v>
      </c>
      <c r="AO446">
        <f>IF(OR($J446=1,COUNTIFS($A$5:$A445,"&gt;="&amp;$A446-1,$A$5:$A445,"&lt;="&amp;$A446,$B$5:$B445,$B446)&gt;0,MIN(1-'Exercise list'!I$2,IF($A446=$A445,AO445,1))-T446&lt;0),-1,MIN(1,IF($A446=$A445,AO445,1)-T446+$D$2))</f>
        <v>1</v>
      </c>
      <c r="AP446">
        <f>IF(OR($J446=1,COUNTIFS($A$5:$A445,"&gt;="&amp;$A446-1,$A$5:$A445,"&lt;="&amp;$A446,$B$5:$B445,$B446)&gt;0,MIN(1-'Exercise list'!J$2,IF($A446=$A445,AP445,1))-U446&lt;0),-1,MIN(1,IF($A446=$A445,AP445,1)-U446+$D$2))</f>
        <v>1</v>
      </c>
      <c r="AQ446">
        <f>IF(OR($J446=1,COUNTIFS($A$5:$A445,"&gt;="&amp;$A446-1,$A$5:$A445,"&lt;="&amp;$A446,$B$5:$B445,$B446)&gt;0,MIN(1-'Exercise list'!K$2,IF($A446=$A445,AQ445,1))-V446&lt;0),-1,MIN(1,IF($A446=$A445,AQ445,1)-V446+$D$2))</f>
        <v>1</v>
      </c>
      <c r="AR446">
        <f>IF(OR($J446=1,COUNTIFS($A$5:$A445,"&gt;="&amp;$A446-1,$A$5:$A445,"&lt;="&amp;$A446,$B$5:$B445,$B446)&gt;0,MIN(1-'Exercise list'!L$2,IF($A446=$A445,AR445,1))-W446&lt;0),-1,MIN(1,IF($A446=$A445,AR445,1)-W446+$D$2))</f>
        <v>1</v>
      </c>
      <c r="AS446">
        <f>IF(OR($J446=1,COUNTIFS($A$5:$A445,"&gt;="&amp;$A446-1,$A$5:$A445,"&lt;="&amp;$A446,$B$5:$B445,$B446)&gt;0,MIN(1-'Exercise list'!M$2,IF($A446=$A445,AS445,1))-X446&lt;0),-1,MIN(1,IF($A446=$A445,AS445,1)-X446+$D$2))</f>
        <v>1</v>
      </c>
      <c r="AT446">
        <f>IF(OR($J446=1,COUNTIFS($A$5:$A445,"&gt;="&amp;$A446-1,$A$5:$A445,"&lt;="&amp;$A446,$B$5:$B445,$B446)&gt;0,MIN(1-'Exercise list'!N$2,IF($A446=$A445,AT445,1))-Y446&lt;0),-1,MIN(1,IF($A446=$A445,AT445,1)-Y446+$D$2))</f>
        <v>1</v>
      </c>
      <c r="AU446">
        <f>IF(OR($J446=1,COUNTIFS($A$5:$A445,"&gt;="&amp;$A446-1,$A$5:$A445,"&lt;="&amp;$A446,$B$5:$B445,$B446)&gt;0,MIN(1-'Exercise list'!O$2,IF($A446=$A445,AU445,1))-Z446&lt;0),-1,MIN(1,IF($A446=$A445,AU445,1)-Z446+$D$2))</f>
        <v>1</v>
      </c>
      <c r="AV446">
        <f>IF(OR($J446=1,COUNTIFS($A$5:$A445,"&gt;="&amp;$A446-1,$A$5:$A445,"&lt;="&amp;$A446,$B$5:$B445,$B446)&gt;0,MIN(1-'Exercise list'!P$2,IF($A446=$A445,AV445,1))-AA446&lt;0),-1,MIN(1,IF($A446=$A445,AV445,1)-AA446+$D$2))</f>
        <v>1</v>
      </c>
      <c r="AW446">
        <f>IF(OR($J446=1,COUNTIFS($A$5:$A445,"&gt;="&amp;$A446-1,$A$5:$A445,"&lt;="&amp;$A446,$B$5:$B445,$B446)&gt;0,MIN(1-'Exercise list'!Q$2,IF($A446=$A445,AW445,1))-AB446&lt;0),-1,MIN(1,IF($A446=$A445,AW445,1)-AB446+$D$2))</f>
        <v>1</v>
      </c>
      <c r="AX446">
        <f>IF(OR($J446=1,COUNTIFS($A$5:$A445,"&gt;="&amp;$A446-1,$A$5:$A445,"&lt;="&amp;$A446,$B$5:$B445,$B446)&gt;0,MIN(1-'Exercise list'!R$2,IF($A446=$A445,AX445,1))-AC446&lt;0),-1,MIN(1,IF($A446=$A445,AX445,1)-AC446+$D$2))</f>
        <v>1</v>
      </c>
      <c r="AY446">
        <f>IF(OR($J446=1,COUNTIFS($A$5:$A445,"&gt;="&amp;$A446-1,$A$5:$A445,"&lt;="&amp;$A446,$B$5:$B445,$B446)&gt;0,MIN(1-'Exercise list'!S$2,IF($A446=$A445,AY445,1))-AD446&lt;0),-1,MIN(1,IF($A446=$A445,AY445,1)-AD446+$D$2))</f>
        <v>1</v>
      </c>
      <c r="AZ446">
        <f>IF(OR($J446=1,COUNTIFS($A$5:$A445,"&gt;="&amp;$A446-1,$A$5:$A445,"&lt;="&amp;$A446,$B$5:$B445,$B446)&gt;0,MIN(1-'Exercise list'!T$2,IF($A446=$A445,AZ445,1))-AE446&lt;0),-1,MIN(1,IF($A446=$A445,AZ445,1)-AE446+$D$2))</f>
        <v>1</v>
      </c>
      <c r="BA446">
        <f>IF(OR($J446=1,COUNTIFS($A$5:$A445,"&gt;="&amp;$A446-1,$A$5:$A445,"&lt;="&amp;$A446,$B$5:$B445,$B446)&gt;0,MIN(1-'Exercise list'!U$2,IF($A446=$A445,BA445,1))-AF446&lt;0),-1,MIN(1,IF($A446=$A445,BA445,1)-AF446+$D$2))</f>
        <v>1</v>
      </c>
      <c r="BB446">
        <f>IF(OR($J446=1,COUNTIFS($A$5:$A445,"&gt;="&amp;$A446-1,$A$5:$A445,"&lt;="&amp;$A446,$B$5:$B445,$B446)&gt;0,MIN(1-'Exercise list'!V$2,IF($A446=$A445,BB445,1))-AG446&lt;0),-1,MIN(1,IF($A446=$A445,BB445,1)-AG446+$D$2))</f>
        <v>1</v>
      </c>
      <c r="BC446">
        <f>IF(OR($J446=1,COUNTIFS($A$5:$A445,"&gt;="&amp;$A446-1,$A$5:$A445,"&lt;="&amp;$A446,$B$5:$B445,$B446)&gt;0,MIN(1-'Exercise list'!W$2,IF($A446=$A445,BC445,1))-AH446&lt;0),-1,MIN(1,IF($A446=$A445,BC445,1)-AH446+$D$2))</f>
        <v>1</v>
      </c>
      <c r="BD446">
        <f>IF(OR($J446=1,COUNTIFS($A$5:$A445,"&gt;="&amp;$A446-1,$A$5:$A445,"&lt;="&amp;$A446,$B$5:$B445,$B446)&gt;0,MIN(1-'Exercise list'!X$2,IF($A446=$A445,BD445,1))-AI446&lt;0),-1,MIN(1,IF($A446=$A445,BD445,1)-AI446+$D$2))</f>
        <v>1</v>
      </c>
      <c r="BF446" s="16">
        <f t="shared" si="321"/>
        <v>0.19596031081758858</v>
      </c>
      <c r="BG446" s="16">
        <f t="shared" si="322"/>
        <v>0.21844636935459236</v>
      </c>
      <c r="BH446" s="16">
        <f t="shared" si="323"/>
        <v>0.14609696635987124</v>
      </c>
      <c r="BI446" s="16">
        <f t="shared" si="324"/>
        <v>0.13198015366034541</v>
      </c>
      <c r="BJ446" s="16">
        <f t="shared" si="325"/>
        <v>8.3367914198418713E-2</v>
      </c>
      <c r="BK446" s="16">
        <f t="shared" si="326"/>
        <v>0.10640640223148412</v>
      </c>
      <c r="BL446" s="16">
        <f t="shared" si="327"/>
        <v>0.21963504743569431</v>
      </c>
      <c r="BM446" s="16">
        <f t="shared" si="328"/>
        <v>3.8988008374820568E-3</v>
      </c>
      <c r="BN446" s="16">
        <f t="shared" si="329"/>
        <v>0.14537706087090876</v>
      </c>
      <c r="BO446" s="16">
        <f t="shared" si="330"/>
        <v>0.29209790661993401</v>
      </c>
      <c r="BP446" s="16">
        <f t="shared" si="331"/>
        <v>0.31584545163401867</v>
      </c>
      <c r="BQ446" s="16">
        <f t="shared" si="332"/>
        <v>0.1000007994126096</v>
      </c>
      <c r="BR446" s="16">
        <f t="shared" si="333"/>
        <v>0.13164487759885393</v>
      </c>
      <c r="BS446" s="16">
        <f t="shared" si="334"/>
        <v>2.9803550189863123E-2</v>
      </c>
      <c r="BT446" s="16">
        <f t="shared" si="335"/>
        <v>0.13492040904978705</v>
      </c>
      <c r="BU446" s="16">
        <f t="shared" si="336"/>
        <v>0.11703687414398131</v>
      </c>
      <c r="BV446" s="16">
        <f t="shared" si="337"/>
        <v>0.14633353213781661</v>
      </c>
      <c r="BW446" s="16">
        <f t="shared" si="338"/>
        <v>7.5588015111767173E-2</v>
      </c>
      <c r="BX446" s="16">
        <f t="shared" si="339"/>
        <v>8.0345659937185704E-2</v>
      </c>
      <c r="BY446" s="16">
        <f t="shared" si="340"/>
        <v>5.9014643151272549E-2</v>
      </c>
      <c r="CA446" s="16" t="str">
        <f t="shared" si="317"/>
        <v/>
      </c>
      <c r="CB446" s="16" t="str">
        <f t="shared" si="298"/>
        <v/>
      </c>
      <c r="CC446" s="16" t="str">
        <f t="shared" si="299"/>
        <v/>
      </c>
      <c r="CD446" s="16" t="str">
        <f t="shared" si="300"/>
        <v/>
      </c>
      <c r="CE446" s="16" t="str">
        <f t="shared" si="301"/>
        <v/>
      </c>
      <c r="CF446" s="16" t="str">
        <f t="shared" si="302"/>
        <v/>
      </c>
      <c r="CG446" s="16" t="str">
        <f t="shared" si="303"/>
        <v/>
      </c>
      <c r="CH446" s="16" t="str">
        <f t="shared" si="304"/>
        <v/>
      </c>
      <c r="CI446" s="16" t="str">
        <f t="shared" si="305"/>
        <v/>
      </c>
      <c r="CJ446" s="16" t="str">
        <f t="shared" si="306"/>
        <v/>
      </c>
      <c r="CK446" s="16" t="str">
        <f t="shared" si="307"/>
        <v/>
      </c>
      <c r="CL446" s="16" t="str">
        <f t="shared" si="308"/>
        <v/>
      </c>
      <c r="CM446" s="16" t="str">
        <f t="shared" si="309"/>
        <v/>
      </c>
      <c r="CN446" s="16" t="str">
        <f t="shared" si="310"/>
        <v/>
      </c>
      <c r="CO446" s="16" t="str">
        <f t="shared" si="311"/>
        <v/>
      </c>
      <c r="CP446" s="16" t="str">
        <f t="shared" si="312"/>
        <v/>
      </c>
      <c r="CQ446" s="16" t="str">
        <f t="shared" si="313"/>
        <v/>
      </c>
      <c r="CR446" s="16" t="str">
        <f t="shared" si="314"/>
        <v/>
      </c>
      <c r="CS446" s="16" t="str">
        <f t="shared" si="315"/>
        <v/>
      </c>
      <c r="CT446" s="16" t="str">
        <f t="shared" si="316"/>
        <v/>
      </c>
    </row>
    <row r="447" spans="1:99" x14ac:dyDescent="0.25">
      <c r="A447" s="13"/>
      <c r="B447" s="14"/>
      <c r="C447" s="15" t="str" cm="1">
        <f t="array" ref="C447">IF(B447="","",INDEX('Exercise list'!$C$5:$C$102,B447))</f>
        <v/>
      </c>
      <c r="D447" s="12" t="str">
        <f t="shared" si="318"/>
        <v/>
      </c>
      <c r="E447" s="107" t="str">
        <f t="shared" si="341"/>
        <v/>
      </c>
      <c r="F447" s="63" t="str" cm="1">
        <f t="array" ref="F447">IF(B447="","",0.1+IFERROR(INDEX($F$6:$F446,SUMPRODUCT(MAX(ROW($C$6:$C446)*($C447=$C$6:$C446))-ROW($A$5)))*0.9^($A447-INDEX($A$6:A446,SUMPRODUCT(MAX(ROW($C$6:$C446)*($C447=$C$6:$C446))-ROW($A$5)))),0))</f>
        <v/>
      </c>
      <c r="G447" s="64" t="e">
        <f>INDEX('Exercise list'!$Y$5:$Y$102,MATCH(C447,'Exercise list'!$C$5:$C$102,0))</f>
        <v>#N/A</v>
      </c>
      <c r="H447" s="115">
        <f t="shared" si="319"/>
        <v>0</v>
      </c>
      <c r="I447" s="6">
        <f t="shared" si="320"/>
        <v>5</v>
      </c>
      <c r="J447" s="6" t="str" cm="1">
        <f t="array" ref="J447">IF(B447="","",INDEX('Exercise list'!$D$5:$D$102,B447))</f>
        <v/>
      </c>
      <c r="K447" s="12"/>
      <c r="L447" s="74" t="str" cm="1">
        <f t="array" ref="L447">IF(K447="","",INDEX('Exercise list'!$C$5:$C$102,K447))</f>
        <v/>
      </c>
      <c r="M447" s="6"/>
      <c r="N447" s="75" t="str" cm="1">
        <f t="array" ref="N447">IF(M447="","",INDEX('Exercise list'!$C$5:$C$102,M447))</f>
        <v/>
      </c>
      <c r="P447">
        <f>IFERROR(INDEX('Exercise list'!$E$5:$X$102,MATCH($C447,'Exercise list'!$C$5:$C$102,0),MATCH(P$5,'Exercise list'!$E$4:$X$4,0)),0)</f>
        <v>0</v>
      </c>
      <c r="Q447">
        <f>IFERROR(INDEX('Exercise list'!$E$5:$X$102,MATCH($C447,'Exercise list'!$C$5:$C$102,0),MATCH(Q$5,'Exercise list'!$E$4:$X$4,0)),0)</f>
        <v>0</v>
      </c>
      <c r="R447">
        <f>IFERROR(INDEX('Exercise list'!$E$5:$X$102,MATCH($C447,'Exercise list'!$C$5:$C$102,0),MATCH(R$5,'Exercise list'!$E$4:$X$4,0)),0)</f>
        <v>0</v>
      </c>
      <c r="S447">
        <f>IFERROR(INDEX('Exercise list'!$E$5:$X$102,MATCH($C447,'Exercise list'!$C$5:$C$102,0),MATCH(S$5,'Exercise list'!$E$4:$X$4,0)),0)</f>
        <v>0</v>
      </c>
      <c r="T447">
        <f>IFERROR(INDEX('Exercise list'!$E$5:$X$102,MATCH($C447,'Exercise list'!$C$5:$C$102,0),MATCH(T$5,'Exercise list'!$E$4:$X$4,0)),0)</f>
        <v>0</v>
      </c>
      <c r="U447">
        <f>IFERROR(INDEX('Exercise list'!$E$5:$X$102,MATCH($C447,'Exercise list'!$C$5:$C$102,0),MATCH(U$5,'Exercise list'!$E$4:$X$4,0)),0)</f>
        <v>0</v>
      </c>
      <c r="V447">
        <f>IFERROR(INDEX('Exercise list'!$E$5:$X$102,MATCH($C447,'Exercise list'!$C$5:$C$102,0),MATCH(V$5,'Exercise list'!$E$4:$X$4,0)),0)</f>
        <v>0</v>
      </c>
      <c r="W447">
        <f>IFERROR(INDEX('Exercise list'!$E$5:$X$102,MATCH($C447,'Exercise list'!$C$5:$C$102,0),MATCH(W$5,'Exercise list'!$E$4:$X$4,0)),0)</f>
        <v>0</v>
      </c>
      <c r="X447">
        <f>IFERROR(INDEX('Exercise list'!$E$5:$X$102,MATCH($C447,'Exercise list'!$C$5:$C$102,0),MATCH(X$5,'Exercise list'!$E$4:$X$4,0)),0)</f>
        <v>0</v>
      </c>
      <c r="Y447">
        <f>IFERROR(INDEX('Exercise list'!$E$5:$X$102,MATCH($C447,'Exercise list'!$C$5:$C$102,0),MATCH(Y$5,'Exercise list'!$E$4:$X$4,0)),0)</f>
        <v>0</v>
      </c>
      <c r="Z447">
        <f>IFERROR(INDEX('Exercise list'!$E$5:$X$102,MATCH($C447,'Exercise list'!$C$5:$C$102,0),MATCH(Z$5,'Exercise list'!$E$4:$X$4,0)),0)</f>
        <v>0</v>
      </c>
      <c r="AA447">
        <f>IFERROR(INDEX('Exercise list'!$E$5:$X$102,MATCH($C447,'Exercise list'!$C$5:$C$102,0),MATCH(AA$5,'Exercise list'!$E$4:$X$4,0)),0)</f>
        <v>0</v>
      </c>
      <c r="AB447">
        <f>IFERROR(INDEX('Exercise list'!$E$5:$X$102,MATCH($C447,'Exercise list'!$C$5:$C$102,0),MATCH(AB$5,'Exercise list'!$E$4:$X$4,0)),0)</f>
        <v>0</v>
      </c>
      <c r="AC447">
        <f>IFERROR(INDEX('Exercise list'!$E$5:$X$102,MATCH($C447,'Exercise list'!$C$5:$C$102,0),MATCH(AC$5,'Exercise list'!$E$4:$X$4,0)),0)</f>
        <v>0</v>
      </c>
      <c r="AD447">
        <f>IFERROR(INDEX('Exercise list'!$E$5:$X$102,MATCH($C447,'Exercise list'!$C$5:$C$102,0),MATCH(AD$5,'Exercise list'!$E$4:$X$4,0)),0)</f>
        <v>0</v>
      </c>
      <c r="AE447">
        <f>IFERROR(INDEX('Exercise list'!$E$5:$X$102,MATCH($C447,'Exercise list'!$C$5:$C$102,0),MATCH(AE$5,'Exercise list'!$E$4:$X$4,0)),0)</f>
        <v>0</v>
      </c>
      <c r="AF447">
        <f>IFERROR(INDEX('Exercise list'!$E$5:$X$102,MATCH($C447,'Exercise list'!$C$5:$C$102,0),MATCH(AF$5,'Exercise list'!$E$4:$X$4,0)),0)</f>
        <v>0</v>
      </c>
      <c r="AG447">
        <f>IFERROR(INDEX('Exercise list'!$E$5:$X$102,MATCH($C447,'Exercise list'!$C$5:$C$102,0),MATCH(AG$5,'Exercise list'!$E$4:$X$4,0)),0)</f>
        <v>0</v>
      </c>
      <c r="AH447">
        <f>IFERROR(INDEX('Exercise list'!$E$5:$X$102,MATCH($C447,'Exercise list'!$C$5:$C$102,0),MATCH(AH$5,'Exercise list'!$E$4:$X$4,0)),0)</f>
        <v>0</v>
      </c>
      <c r="AI447">
        <f>IFERROR(INDEX('Exercise list'!$E$5:$X$102,MATCH($C447,'Exercise list'!$C$5:$C$102,0),MATCH(AI$5,'Exercise list'!$E$4:$X$4,0)),0)</f>
        <v>0</v>
      </c>
      <c r="AK447">
        <f>IF(OR($J447=1,COUNTIFS($A$5:$A446,"&gt;="&amp;$A447-1,$A$5:$A446,"&lt;="&amp;$A447,$B$5:$B446,$B447)&gt;0,MIN(1-'Exercise list'!E$2,IF($A447=$A446,AK446,1))-P447&lt;0),-1,MIN(1,IF($A447=$A446,AK446,1)-P447+$D$2))</f>
        <v>1</v>
      </c>
      <c r="AL447">
        <f>IF(OR($J447=1,COUNTIFS($A$5:$A446,"&gt;="&amp;$A447-1,$A$5:$A446,"&lt;="&amp;$A447,$B$5:$B446,$B447)&gt;0,MIN(1-'Exercise list'!F$2,IF($A447=$A446,AL446,1))-Q447&lt;0),-1,MIN(1,IF($A447=$A446,AL446,1)-Q447+$D$2))</f>
        <v>1</v>
      </c>
      <c r="AM447">
        <f>IF(OR($J447=1,COUNTIFS($A$5:$A446,"&gt;="&amp;$A447-1,$A$5:$A446,"&lt;="&amp;$A447,$B$5:$B446,$B447)&gt;0,MIN(1-'Exercise list'!G$2,IF($A447=$A446,AM446,1))-R447&lt;0),-1,MIN(1,IF($A447=$A446,AM446,1)-R447+$D$2))</f>
        <v>1</v>
      </c>
      <c r="AN447">
        <f>IF(OR($J447=1,COUNTIFS($A$5:$A446,"&gt;="&amp;$A447-1,$A$5:$A446,"&lt;="&amp;$A447,$B$5:$B446,$B447)&gt;0,MIN(1-'Exercise list'!H$2,IF($A447=$A446,AN446,1))-S447&lt;0),-1,MIN(1,IF($A447=$A446,AN446,1)-S447+$D$2))</f>
        <v>1</v>
      </c>
      <c r="AO447">
        <f>IF(OR($J447=1,COUNTIFS($A$5:$A446,"&gt;="&amp;$A447-1,$A$5:$A446,"&lt;="&amp;$A447,$B$5:$B446,$B447)&gt;0,MIN(1-'Exercise list'!I$2,IF($A447=$A446,AO446,1))-T447&lt;0),-1,MIN(1,IF($A447=$A446,AO446,1)-T447+$D$2))</f>
        <v>1</v>
      </c>
      <c r="AP447">
        <f>IF(OR($J447=1,COUNTIFS($A$5:$A446,"&gt;="&amp;$A447-1,$A$5:$A446,"&lt;="&amp;$A447,$B$5:$B446,$B447)&gt;0,MIN(1-'Exercise list'!J$2,IF($A447=$A446,AP446,1))-U447&lt;0),-1,MIN(1,IF($A447=$A446,AP446,1)-U447+$D$2))</f>
        <v>1</v>
      </c>
      <c r="AQ447">
        <f>IF(OR($J447=1,COUNTIFS($A$5:$A446,"&gt;="&amp;$A447-1,$A$5:$A446,"&lt;="&amp;$A447,$B$5:$B446,$B447)&gt;0,MIN(1-'Exercise list'!K$2,IF($A447=$A446,AQ446,1))-V447&lt;0),-1,MIN(1,IF($A447=$A446,AQ446,1)-V447+$D$2))</f>
        <v>1</v>
      </c>
      <c r="AR447">
        <f>IF(OR($J447=1,COUNTIFS($A$5:$A446,"&gt;="&amp;$A447-1,$A$5:$A446,"&lt;="&amp;$A447,$B$5:$B446,$B447)&gt;0,MIN(1-'Exercise list'!L$2,IF($A447=$A446,AR446,1))-W447&lt;0),-1,MIN(1,IF($A447=$A446,AR446,1)-W447+$D$2))</f>
        <v>1</v>
      </c>
      <c r="AS447">
        <f>IF(OR($J447=1,COUNTIFS($A$5:$A446,"&gt;="&amp;$A447-1,$A$5:$A446,"&lt;="&amp;$A447,$B$5:$B446,$B447)&gt;0,MIN(1-'Exercise list'!M$2,IF($A447=$A446,AS446,1))-X447&lt;0),-1,MIN(1,IF($A447=$A446,AS446,1)-X447+$D$2))</f>
        <v>1</v>
      </c>
      <c r="AT447">
        <f>IF(OR($J447=1,COUNTIFS($A$5:$A446,"&gt;="&amp;$A447-1,$A$5:$A446,"&lt;="&amp;$A447,$B$5:$B446,$B447)&gt;0,MIN(1-'Exercise list'!N$2,IF($A447=$A446,AT446,1))-Y447&lt;0),-1,MIN(1,IF($A447=$A446,AT446,1)-Y447+$D$2))</f>
        <v>1</v>
      </c>
      <c r="AU447">
        <f>IF(OR($J447=1,COUNTIFS($A$5:$A446,"&gt;="&amp;$A447-1,$A$5:$A446,"&lt;="&amp;$A447,$B$5:$B446,$B447)&gt;0,MIN(1-'Exercise list'!O$2,IF($A447=$A446,AU446,1))-Z447&lt;0),-1,MIN(1,IF($A447=$A446,AU446,1)-Z447+$D$2))</f>
        <v>1</v>
      </c>
      <c r="AV447">
        <f>IF(OR($J447=1,COUNTIFS($A$5:$A446,"&gt;="&amp;$A447-1,$A$5:$A446,"&lt;="&amp;$A447,$B$5:$B446,$B447)&gt;0,MIN(1-'Exercise list'!P$2,IF($A447=$A446,AV446,1))-AA447&lt;0),-1,MIN(1,IF($A447=$A446,AV446,1)-AA447+$D$2))</f>
        <v>1</v>
      </c>
      <c r="AW447">
        <f>IF(OR($J447=1,COUNTIFS($A$5:$A446,"&gt;="&amp;$A447-1,$A$5:$A446,"&lt;="&amp;$A447,$B$5:$B446,$B447)&gt;0,MIN(1-'Exercise list'!Q$2,IF($A447=$A446,AW446,1))-AB447&lt;0),-1,MIN(1,IF($A447=$A446,AW446,1)-AB447+$D$2))</f>
        <v>1</v>
      </c>
      <c r="AX447">
        <f>IF(OR($J447=1,COUNTIFS($A$5:$A446,"&gt;="&amp;$A447-1,$A$5:$A446,"&lt;="&amp;$A447,$B$5:$B446,$B447)&gt;0,MIN(1-'Exercise list'!R$2,IF($A447=$A446,AX446,1))-AC447&lt;0),-1,MIN(1,IF($A447=$A446,AX446,1)-AC447+$D$2))</f>
        <v>1</v>
      </c>
      <c r="AY447">
        <f>IF(OR($J447=1,COUNTIFS($A$5:$A446,"&gt;="&amp;$A447-1,$A$5:$A446,"&lt;="&amp;$A447,$B$5:$B446,$B447)&gt;0,MIN(1-'Exercise list'!S$2,IF($A447=$A446,AY446,1))-AD447&lt;0),-1,MIN(1,IF($A447=$A446,AY446,1)-AD447+$D$2))</f>
        <v>1</v>
      </c>
      <c r="AZ447">
        <f>IF(OR($J447=1,COUNTIFS($A$5:$A446,"&gt;="&amp;$A447-1,$A$5:$A446,"&lt;="&amp;$A447,$B$5:$B446,$B447)&gt;0,MIN(1-'Exercise list'!T$2,IF($A447=$A446,AZ446,1))-AE447&lt;0),-1,MIN(1,IF($A447=$A446,AZ446,1)-AE447+$D$2))</f>
        <v>1</v>
      </c>
      <c r="BA447">
        <f>IF(OR($J447=1,COUNTIFS($A$5:$A446,"&gt;="&amp;$A447-1,$A$5:$A446,"&lt;="&amp;$A447,$B$5:$B446,$B447)&gt;0,MIN(1-'Exercise list'!U$2,IF($A447=$A446,BA446,1))-AF447&lt;0),-1,MIN(1,IF($A447=$A446,BA446,1)-AF447+$D$2))</f>
        <v>1</v>
      </c>
      <c r="BB447">
        <f>IF(OR($J447=1,COUNTIFS($A$5:$A446,"&gt;="&amp;$A447-1,$A$5:$A446,"&lt;="&amp;$A447,$B$5:$B446,$B447)&gt;0,MIN(1-'Exercise list'!V$2,IF($A447=$A446,BB446,1))-AG447&lt;0),-1,MIN(1,IF($A447=$A446,BB446,1)-AG447+$D$2))</f>
        <v>1</v>
      </c>
      <c r="BC447">
        <f>IF(OR($J447=1,COUNTIFS($A$5:$A446,"&gt;="&amp;$A447-1,$A$5:$A446,"&lt;="&amp;$A447,$B$5:$B446,$B447)&gt;0,MIN(1-'Exercise list'!W$2,IF($A447=$A446,BC446,1))-AH447&lt;0),-1,MIN(1,IF($A447=$A446,BC446,1)-AH447+$D$2))</f>
        <v>1</v>
      </c>
      <c r="BD447">
        <f>IF(OR($J447=1,COUNTIFS($A$5:$A446,"&gt;="&amp;$A447-1,$A$5:$A446,"&lt;="&amp;$A447,$B$5:$B446,$B447)&gt;0,MIN(1-'Exercise list'!X$2,IF($A447=$A446,BD446,1))-AI447&lt;0),-1,MIN(1,IF($A447=$A446,BD446,1)-AI447+$D$2))</f>
        <v>1</v>
      </c>
      <c r="BF447" s="16">
        <f t="shared" si="321"/>
        <v>0.19596031081758858</v>
      </c>
      <c r="BG447" s="16">
        <f t="shared" si="322"/>
        <v>0.21844636935459236</v>
      </c>
      <c r="BH447" s="16">
        <f t="shared" si="323"/>
        <v>0.14609696635987124</v>
      </c>
      <c r="BI447" s="16">
        <f t="shared" si="324"/>
        <v>0.13198015366034541</v>
      </c>
      <c r="BJ447" s="16">
        <f t="shared" si="325"/>
        <v>8.3367914198418713E-2</v>
      </c>
      <c r="BK447" s="16">
        <f t="shared" si="326"/>
        <v>0.10640640223148412</v>
      </c>
      <c r="BL447" s="16">
        <f t="shared" si="327"/>
        <v>0.21963504743569431</v>
      </c>
      <c r="BM447" s="16">
        <f t="shared" si="328"/>
        <v>3.8988008374820568E-3</v>
      </c>
      <c r="BN447" s="16">
        <f t="shared" si="329"/>
        <v>0.14537706087090876</v>
      </c>
      <c r="BO447" s="16">
        <f t="shared" si="330"/>
        <v>0.29209790661993401</v>
      </c>
      <c r="BP447" s="16">
        <f t="shared" si="331"/>
        <v>0.31584545163401867</v>
      </c>
      <c r="BQ447" s="16">
        <f t="shared" si="332"/>
        <v>0.1000007994126096</v>
      </c>
      <c r="BR447" s="16">
        <f t="shared" si="333"/>
        <v>0.13164487759885393</v>
      </c>
      <c r="BS447" s="16">
        <f t="shared" si="334"/>
        <v>2.9803550189863123E-2</v>
      </c>
      <c r="BT447" s="16">
        <f t="shared" si="335"/>
        <v>0.13492040904978705</v>
      </c>
      <c r="BU447" s="16">
        <f t="shared" si="336"/>
        <v>0.11703687414398131</v>
      </c>
      <c r="BV447" s="16">
        <f t="shared" si="337"/>
        <v>0.14633353213781661</v>
      </c>
      <c r="BW447" s="16">
        <f t="shared" si="338"/>
        <v>7.5588015111767173E-2</v>
      </c>
      <c r="BX447" s="16">
        <f t="shared" si="339"/>
        <v>8.0345659937185704E-2</v>
      </c>
      <c r="BY447" s="16">
        <f t="shared" si="340"/>
        <v>5.9014643151272549E-2</v>
      </c>
      <c r="CA447" s="16" t="str">
        <f t="shared" si="317"/>
        <v/>
      </c>
      <c r="CB447" s="16" t="str">
        <f t="shared" si="298"/>
        <v/>
      </c>
      <c r="CC447" s="16" t="str">
        <f t="shared" si="299"/>
        <v/>
      </c>
      <c r="CD447" s="16" t="str">
        <f t="shared" si="300"/>
        <v/>
      </c>
      <c r="CE447" s="16" t="str">
        <f t="shared" si="301"/>
        <v/>
      </c>
      <c r="CF447" s="16" t="str">
        <f t="shared" si="302"/>
        <v/>
      </c>
      <c r="CG447" s="16" t="str">
        <f t="shared" si="303"/>
        <v/>
      </c>
      <c r="CH447" s="16" t="str">
        <f t="shared" si="304"/>
        <v/>
      </c>
      <c r="CI447" s="16" t="str">
        <f t="shared" si="305"/>
        <v/>
      </c>
      <c r="CJ447" s="16" t="str">
        <f t="shared" si="306"/>
        <v/>
      </c>
      <c r="CK447" s="16" t="str">
        <f t="shared" si="307"/>
        <v/>
      </c>
      <c r="CL447" s="16" t="str">
        <f t="shared" si="308"/>
        <v/>
      </c>
      <c r="CM447" s="16" t="str">
        <f t="shared" si="309"/>
        <v/>
      </c>
      <c r="CN447" s="16" t="str">
        <f t="shared" si="310"/>
        <v/>
      </c>
      <c r="CO447" s="16" t="str">
        <f t="shared" si="311"/>
        <v/>
      </c>
      <c r="CP447" s="16" t="str">
        <f t="shared" si="312"/>
        <v/>
      </c>
      <c r="CQ447" s="16" t="str">
        <f t="shared" si="313"/>
        <v/>
      </c>
      <c r="CR447" s="16" t="str">
        <f t="shared" si="314"/>
        <v/>
      </c>
      <c r="CS447" s="16" t="str">
        <f t="shared" si="315"/>
        <v/>
      </c>
      <c r="CT447" s="16" t="str">
        <f t="shared" si="316"/>
        <v/>
      </c>
    </row>
    <row r="448" spans="1:99" x14ac:dyDescent="0.25">
      <c r="A448" s="20"/>
      <c r="B448" s="21"/>
      <c r="C448" s="22" t="str" cm="1">
        <f t="array" ref="C448">IF(B448="","",INDEX('Exercise list'!$C$5:$C$102,B448))</f>
        <v/>
      </c>
      <c r="D448" s="17" t="str">
        <f t="shared" si="318"/>
        <v/>
      </c>
      <c r="E448" s="108" t="str">
        <f t="shared" si="341"/>
        <v/>
      </c>
      <c r="F448" s="65" t="str" cm="1">
        <f t="array" ref="F448">IF(B448="","",0.1+IFERROR(INDEX($F$6:$F447,SUMPRODUCT(MAX(ROW($C$6:$C447)*($C448=$C$6:$C447))-ROW($A$5)))*0.9^($A448-INDEX($A$6:A447,SUMPRODUCT(MAX(ROW($C$6:$C447)*($C448=$C$6:$C447))-ROW($A$5)))),0))</f>
        <v/>
      </c>
      <c r="G448" s="25" t="e">
        <f>INDEX('Exercise list'!$Y$5:$Y$102,MATCH(C448,'Exercise list'!$C$5:$C$102,0))</f>
        <v>#N/A</v>
      </c>
      <c r="H448" s="116">
        <f t="shared" si="319"/>
        <v>0</v>
      </c>
      <c r="I448" s="18">
        <f t="shared" si="320"/>
        <v>5</v>
      </c>
      <c r="J448" s="18" t="str" cm="1">
        <f t="array" ref="J448">IF(B448="","",INDEX('Exercise list'!$D$5:$D$102,B448))</f>
        <v/>
      </c>
      <c r="K448" s="17"/>
      <c r="L448" s="51" t="str" cm="1">
        <f t="array" ref="L448">IF(K448="","",INDEX('Exercise list'!$C$5:$C$102,K448))</f>
        <v/>
      </c>
      <c r="M448" s="18"/>
      <c r="N448" s="76" t="str" cm="1">
        <f t="array" ref="N448">IF(M448="","",INDEX('Exercise list'!$C$5:$C$102,M448))</f>
        <v/>
      </c>
      <c r="O448" s="19"/>
      <c r="P448" s="19">
        <f>IFERROR(INDEX('Exercise list'!$E$5:$X$102,MATCH($C448,'Exercise list'!$C$5:$C$102,0),MATCH(P$5,'Exercise list'!$E$4:$X$4,0)),0)</f>
        <v>0</v>
      </c>
      <c r="Q448" s="19">
        <f>IFERROR(INDEX('Exercise list'!$E$5:$X$102,MATCH($C448,'Exercise list'!$C$5:$C$102,0),MATCH(Q$5,'Exercise list'!$E$4:$X$4,0)),0)</f>
        <v>0</v>
      </c>
      <c r="R448" s="19">
        <f>IFERROR(INDEX('Exercise list'!$E$5:$X$102,MATCH($C448,'Exercise list'!$C$5:$C$102,0),MATCH(R$5,'Exercise list'!$E$4:$X$4,0)),0)</f>
        <v>0</v>
      </c>
      <c r="S448" s="19">
        <f>IFERROR(INDEX('Exercise list'!$E$5:$X$102,MATCH($C448,'Exercise list'!$C$5:$C$102,0),MATCH(S$5,'Exercise list'!$E$4:$X$4,0)),0)</f>
        <v>0</v>
      </c>
      <c r="T448" s="19">
        <f>IFERROR(INDEX('Exercise list'!$E$5:$X$102,MATCH($C448,'Exercise list'!$C$5:$C$102,0),MATCH(T$5,'Exercise list'!$E$4:$X$4,0)),0)</f>
        <v>0</v>
      </c>
      <c r="U448" s="19">
        <f>IFERROR(INDEX('Exercise list'!$E$5:$X$102,MATCH($C448,'Exercise list'!$C$5:$C$102,0),MATCH(U$5,'Exercise list'!$E$4:$X$4,0)),0)</f>
        <v>0</v>
      </c>
      <c r="V448" s="19">
        <f>IFERROR(INDEX('Exercise list'!$E$5:$X$102,MATCH($C448,'Exercise list'!$C$5:$C$102,0),MATCH(V$5,'Exercise list'!$E$4:$X$4,0)),0)</f>
        <v>0</v>
      </c>
      <c r="W448" s="19">
        <f>IFERROR(INDEX('Exercise list'!$E$5:$X$102,MATCH($C448,'Exercise list'!$C$5:$C$102,0),MATCH(W$5,'Exercise list'!$E$4:$X$4,0)),0)</f>
        <v>0</v>
      </c>
      <c r="X448" s="19">
        <f>IFERROR(INDEX('Exercise list'!$E$5:$X$102,MATCH($C448,'Exercise list'!$C$5:$C$102,0),MATCH(X$5,'Exercise list'!$E$4:$X$4,0)),0)</f>
        <v>0</v>
      </c>
      <c r="Y448" s="19">
        <f>IFERROR(INDEX('Exercise list'!$E$5:$X$102,MATCH($C448,'Exercise list'!$C$5:$C$102,0),MATCH(Y$5,'Exercise list'!$E$4:$X$4,0)),0)</f>
        <v>0</v>
      </c>
      <c r="Z448" s="19">
        <f>IFERROR(INDEX('Exercise list'!$E$5:$X$102,MATCH($C448,'Exercise list'!$C$5:$C$102,0),MATCH(Z$5,'Exercise list'!$E$4:$X$4,0)),0)</f>
        <v>0</v>
      </c>
      <c r="AA448" s="19">
        <f>IFERROR(INDEX('Exercise list'!$E$5:$X$102,MATCH($C448,'Exercise list'!$C$5:$C$102,0),MATCH(AA$5,'Exercise list'!$E$4:$X$4,0)),0)</f>
        <v>0</v>
      </c>
      <c r="AB448" s="19">
        <f>IFERROR(INDEX('Exercise list'!$E$5:$X$102,MATCH($C448,'Exercise list'!$C$5:$C$102,0),MATCH(AB$5,'Exercise list'!$E$4:$X$4,0)),0)</f>
        <v>0</v>
      </c>
      <c r="AC448" s="19">
        <f>IFERROR(INDEX('Exercise list'!$E$5:$X$102,MATCH($C448,'Exercise list'!$C$5:$C$102,0),MATCH(AC$5,'Exercise list'!$E$4:$X$4,0)),0)</f>
        <v>0</v>
      </c>
      <c r="AD448" s="19">
        <f>IFERROR(INDEX('Exercise list'!$E$5:$X$102,MATCH($C448,'Exercise list'!$C$5:$C$102,0),MATCH(AD$5,'Exercise list'!$E$4:$X$4,0)),0)</f>
        <v>0</v>
      </c>
      <c r="AE448" s="19">
        <f>IFERROR(INDEX('Exercise list'!$E$5:$X$102,MATCH($C448,'Exercise list'!$C$5:$C$102,0),MATCH(AE$5,'Exercise list'!$E$4:$X$4,0)),0)</f>
        <v>0</v>
      </c>
      <c r="AF448" s="19">
        <f>IFERROR(INDEX('Exercise list'!$E$5:$X$102,MATCH($C448,'Exercise list'!$C$5:$C$102,0),MATCH(AF$5,'Exercise list'!$E$4:$X$4,0)),0)</f>
        <v>0</v>
      </c>
      <c r="AG448" s="19">
        <f>IFERROR(INDEX('Exercise list'!$E$5:$X$102,MATCH($C448,'Exercise list'!$C$5:$C$102,0),MATCH(AG$5,'Exercise list'!$E$4:$X$4,0)),0)</f>
        <v>0</v>
      </c>
      <c r="AH448" s="19">
        <f>IFERROR(INDEX('Exercise list'!$E$5:$X$102,MATCH($C448,'Exercise list'!$C$5:$C$102,0),MATCH(AH$5,'Exercise list'!$E$4:$X$4,0)),0)</f>
        <v>0</v>
      </c>
      <c r="AI448" s="19">
        <f>IFERROR(INDEX('Exercise list'!$E$5:$X$102,MATCH($C448,'Exercise list'!$C$5:$C$102,0),MATCH(AI$5,'Exercise list'!$E$4:$X$4,0)),0)</f>
        <v>0</v>
      </c>
      <c r="AJ448" s="19"/>
      <c r="AK448" s="19">
        <f>IF(OR($J448=1,COUNTIFS($A$5:$A447,"&gt;="&amp;$A448-1,$A$5:$A447,"&lt;="&amp;$A448,$B$5:$B447,$B448)&gt;0,MIN(1-'Exercise list'!E$2,IF($A448=$A447,AK447,1))-P448&lt;0),-1,MIN(1,IF($A448=$A447,AK447,1)-P448+$D$2))</f>
        <v>1</v>
      </c>
      <c r="AL448" s="19">
        <f>IF(OR($J448=1,COUNTIFS($A$5:$A447,"&gt;="&amp;$A448-1,$A$5:$A447,"&lt;="&amp;$A448,$B$5:$B447,$B448)&gt;0,MIN(1-'Exercise list'!F$2,IF($A448=$A447,AL447,1))-Q448&lt;0),-1,MIN(1,IF($A448=$A447,AL447,1)-Q448+$D$2))</f>
        <v>1</v>
      </c>
      <c r="AM448" s="19">
        <f>IF(OR($J448=1,COUNTIFS($A$5:$A447,"&gt;="&amp;$A448-1,$A$5:$A447,"&lt;="&amp;$A448,$B$5:$B447,$B448)&gt;0,MIN(1-'Exercise list'!G$2,IF($A448=$A447,AM447,1))-R448&lt;0),-1,MIN(1,IF($A448=$A447,AM447,1)-R448+$D$2))</f>
        <v>1</v>
      </c>
      <c r="AN448" s="19">
        <f>IF(OR($J448=1,COUNTIFS($A$5:$A447,"&gt;="&amp;$A448-1,$A$5:$A447,"&lt;="&amp;$A448,$B$5:$B447,$B448)&gt;0,MIN(1-'Exercise list'!H$2,IF($A448=$A447,AN447,1))-S448&lt;0),-1,MIN(1,IF($A448=$A447,AN447,1)-S448+$D$2))</f>
        <v>1</v>
      </c>
      <c r="AO448" s="19">
        <f>IF(OR($J448=1,COUNTIFS($A$5:$A447,"&gt;="&amp;$A448-1,$A$5:$A447,"&lt;="&amp;$A448,$B$5:$B447,$B448)&gt;0,MIN(1-'Exercise list'!I$2,IF($A448=$A447,AO447,1))-T448&lt;0),-1,MIN(1,IF($A448=$A447,AO447,1)-T448+$D$2))</f>
        <v>1</v>
      </c>
      <c r="AP448" s="19">
        <f>IF(OR($J448=1,COUNTIFS($A$5:$A447,"&gt;="&amp;$A448-1,$A$5:$A447,"&lt;="&amp;$A448,$B$5:$B447,$B448)&gt;0,MIN(1-'Exercise list'!J$2,IF($A448=$A447,AP447,1))-U448&lt;0),-1,MIN(1,IF($A448=$A447,AP447,1)-U448+$D$2))</f>
        <v>1</v>
      </c>
      <c r="AQ448" s="19">
        <f>IF(OR($J448=1,COUNTIFS($A$5:$A447,"&gt;="&amp;$A448-1,$A$5:$A447,"&lt;="&amp;$A448,$B$5:$B447,$B448)&gt;0,MIN(1-'Exercise list'!K$2,IF($A448=$A447,AQ447,1))-V448&lt;0),-1,MIN(1,IF($A448=$A447,AQ447,1)-V448+$D$2))</f>
        <v>1</v>
      </c>
      <c r="AR448" s="19">
        <f>IF(OR($J448=1,COUNTIFS($A$5:$A447,"&gt;="&amp;$A448-1,$A$5:$A447,"&lt;="&amp;$A448,$B$5:$B447,$B448)&gt;0,MIN(1-'Exercise list'!L$2,IF($A448=$A447,AR447,1))-W448&lt;0),-1,MIN(1,IF($A448=$A447,AR447,1)-W448+$D$2))</f>
        <v>1</v>
      </c>
      <c r="AS448" s="19">
        <f>IF(OR($J448=1,COUNTIFS($A$5:$A447,"&gt;="&amp;$A448-1,$A$5:$A447,"&lt;="&amp;$A448,$B$5:$B447,$B448)&gt;0,MIN(1-'Exercise list'!M$2,IF($A448=$A447,AS447,1))-X448&lt;0),-1,MIN(1,IF($A448=$A447,AS447,1)-X448+$D$2))</f>
        <v>1</v>
      </c>
      <c r="AT448" s="19">
        <f>IF(OR($J448=1,COUNTIFS($A$5:$A447,"&gt;="&amp;$A448-1,$A$5:$A447,"&lt;="&amp;$A448,$B$5:$B447,$B448)&gt;0,MIN(1-'Exercise list'!N$2,IF($A448=$A447,AT447,1))-Y448&lt;0),-1,MIN(1,IF($A448=$A447,AT447,1)-Y448+$D$2))</f>
        <v>1</v>
      </c>
      <c r="AU448" s="19">
        <f>IF(OR($J448=1,COUNTIFS($A$5:$A447,"&gt;="&amp;$A448-1,$A$5:$A447,"&lt;="&amp;$A448,$B$5:$B447,$B448)&gt;0,MIN(1-'Exercise list'!O$2,IF($A448=$A447,AU447,1))-Z448&lt;0),-1,MIN(1,IF($A448=$A447,AU447,1)-Z448+$D$2))</f>
        <v>1</v>
      </c>
      <c r="AV448" s="19">
        <f>IF(OR($J448=1,COUNTIFS($A$5:$A447,"&gt;="&amp;$A448-1,$A$5:$A447,"&lt;="&amp;$A448,$B$5:$B447,$B448)&gt;0,MIN(1-'Exercise list'!P$2,IF($A448=$A447,AV447,1))-AA448&lt;0),-1,MIN(1,IF($A448=$A447,AV447,1)-AA448+$D$2))</f>
        <v>1</v>
      </c>
      <c r="AW448" s="19">
        <f>IF(OR($J448=1,COUNTIFS($A$5:$A447,"&gt;="&amp;$A448-1,$A$5:$A447,"&lt;="&amp;$A448,$B$5:$B447,$B448)&gt;0,MIN(1-'Exercise list'!Q$2,IF($A448=$A447,AW447,1))-AB448&lt;0),-1,MIN(1,IF($A448=$A447,AW447,1)-AB448+$D$2))</f>
        <v>1</v>
      </c>
      <c r="AX448" s="19">
        <f>IF(OR($J448=1,COUNTIFS($A$5:$A447,"&gt;="&amp;$A448-1,$A$5:$A447,"&lt;="&amp;$A448,$B$5:$B447,$B448)&gt;0,MIN(1-'Exercise list'!R$2,IF($A448=$A447,AX447,1))-AC448&lt;0),-1,MIN(1,IF($A448=$A447,AX447,1)-AC448+$D$2))</f>
        <v>1</v>
      </c>
      <c r="AY448" s="19">
        <f>IF(OR($J448=1,COUNTIFS($A$5:$A447,"&gt;="&amp;$A448-1,$A$5:$A447,"&lt;="&amp;$A448,$B$5:$B447,$B448)&gt;0,MIN(1-'Exercise list'!S$2,IF($A448=$A447,AY447,1))-AD448&lt;0),-1,MIN(1,IF($A448=$A447,AY447,1)-AD448+$D$2))</f>
        <v>1</v>
      </c>
      <c r="AZ448" s="19">
        <f>IF(OR($J448=1,COUNTIFS($A$5:$A447,"&gt;="&amp;$A448-1,$A$5:$A447,"&lt;="&amp;$A448,$B$5:$B447,$B448)&gt;0,MIN(1-'Exercise list'!T$2,IF($A448=$A447,AZ447,1))-AE448&lt;0),-1,MIN(1,IF($A448=$A447,AZ447,1)-AE448+$D$2))</f>
        <v>1</v>
      </c>
      <c r="BA448" s="19">
        <f>IF(OR($J448=1,COUNTIFS($A$5:$A447,"&gt;="&amp;$A448-1,$A$5:$A447,"&lt;="&amp;$A448,$B$5:$B447,$B448)&gt;0,MIN(1-'Exercise list'!U$2,IF($A448=$A447,BA447,1))-AF448&lt;0),-1,MIN(1,IF($A448=$A447,BA447,1)-AF448+$D$2))</f>
        <v>1</v>
      </c>
      <c r="BB448" s="19">
        <f>IF(OR($J448=1,COUNTIFS($A$5:$A447,"&gt;="&amp;$A448-1,$A$5:$A447,"&lt;="&amp;$A448,$B$5:$B447,$B448)&gt;0,MIN(1-'Exercise list'!V$2,IF($A448=$A447,BB447,1))-AG448&lt;0),-1,MIN(1,IF($A448=$A447,BB447,1)-AG448+$D$2))</f>
        <v>1</v>
      </c>
      <c r="BC448" s="19">
        <f>IF(OR($J448=1,COUNTIFS($A$5:$A447,"&gt;="&amp;$A448-1,$A$5:$A447,"&lt;="&amp;$A448,$B$5:$B447,$B448)&gt;0,MIN(1-'Exercise list'!W$2,IF($A448=$A447,BC447,1))-AH448&lt;0),-1,MIN(1,IF($A448=$A447,BC447,1)-AH448+$D$2))</f>
        <v>1</v>
      </c>
      <c r="BD448" s="19">
        <f>IF(OR($J448=1,COUNTIFS($A$5:$A447,"&gt;="&amp;$A448-1,$A$5:$A447,"&lt;="&amp;$A448,$B$5:$B447,$B448)&gt;0,MIN(1-'Exercise list'!X$2,IF($A448=$A447,BD447,1))-AI448&lt;0),-1,MIN(1,IF($A448=$A447,BD447,1)-AI448+$D$2))</f>
        <v>1</v>
      </c>
      <c r="BE448" s="19"/>
      <c r="BF448" s="23">
        <f t="shared" si="321"/>
        <v>0.19596031081758858</v>
      </c>
      <c r="BG448" s="23">
        <f t="shared" si="322"/>
        <v>0.21844636935459236</v>
      </c>
      <c r="BH448" s="23">
        <f t="shared" si="323"/>
        <v>0.14609696635987124</v>
      </c>
      <c r="BI448" s="23">
        <f t="shared" si="324"/>
        <v>0.13198015366034541</v>
      </c>
      <c r="BJ448" s="23">
        <f t="shared" si="325"/>
        <v>8.3367914198418713E-2</v>
      </c>
      <c r="BK448" s="23">
        <f t="shared" si="326"/>
        <v>0.10640640223148412</v>
      </c>
      <c r="BL448" s="23">
        <f t="shared" si="327"/>
        <v>0.21963504743569431</v>
      </c>
      <c r="BM448" s="23">
        <f t="shared" si="328"/>
        <v>3.8988008374820568E-3</v>
      </c>
      <c r="BN448" s="23">
        <f t="shared" si="329"/>
        <v>0.14537706087090876</v>
      </c>
      <c r="BO448" s="23">
        <f t="shared" si="330"/>
        <v>0.29209790661993401</v>
      </c>
      <c r="BP448" s="23">
        <f t="shared" si="331"/>
        <v>0.31584545163401867</v>
      </c>
      <c r="BQ448" s="23">
        <f t="shared" si="332"/>
        <v>0.1000007994126096</v>
      </c>
      <c r="BR448" s="23">
        <f t="shared" si="333"/>
        <v>0.13164487759885393</v>
      </c>
      <c r="BS448" s="23">
        <f t="shared" si="334"/>
        <v>2.9803550189863123E-2</v>
      </c>
      <c r="BT448" s="23">
        <f t="shared" si="335"/>
        <v>0.13492040904978705</v>
      </c>
      <c r="BU448" s="23">
        <f t="shared" si="336"/>
        <v>0.11703687414398131</v>
      </c>
      <c r="BV448" s="23">
        <f t="shared" si="337"/>
        <v>0.14633353213781661</v>
      </c>
      <c r="BW448" s="23">
        <f t="shared" si="338"/>
        <v>7.5588015111767173E-2</v>
      </c>
      <c r="BX448" s="23">
        <f t="shared" si="339"/>
        <v>8.0345659937185704E-2</v>
      </c>
      <c r="BY448" s="23">
        <f t="shared" si="340"/>
        <v>5.9014643151272549E-2</v>
      </c>
      <c r="BZ448" s="19"/>
      <c r="CA448" s="23" t="str">
        <f t="shared" si="317"/>
        <v/>
      </c>
      <c r="CB448" s="23" t="str">
        <f t="shared" si="298"/>
        <v/>
      </c>
      <c r="CC448" s="23" t="str">
        <f t="shared" si="299"/>
        <v/>
      </c>
      <c r="CD448" s="23" t="str">
        <f t="shared" si="300"/>
        <v/>
      </c>
      <c r="CE448" s="23" t="str">
        <f t="shared" si="301"/>
        <v/>
      </c>
      <c r="CF448" s="23" t="str">
        <f t="shared" si="302"/>
        <v/>
      </c>
      <c r="CG448" s="23" t="str">
        <f t="shared" si="303"/>
        <v/>
      </c>
      <c r="CH448" s="23" t="str">
        <f t="shared" si="304"/>
        <v/>
      </c>
      <c r="CI448" s="23" t="str">
        <f t="shared" si="305"/>
        <v/>
      </c>
      <c r="CJ448" s="23" t="str">
        <f t="shared" si="306"/>
        <v/>
      </c>
      <c r="CK448" s="23" t="str">
        <f t="shared" si="307"/>
        <v/>
      </c>
      <c r="CL448" s="23" t="str">
        <f t="shared" si="308"/>
        <v/>
      </c>
      <c r="CM448" s="23" t="str">
        <f t="shared" si="309"/>
        <v/>
      </c>
      <c r="CN448" s="23" t="str">
        <f t="shared" si="310"/>
        <v/>
      </c>
      <c r="CO448" s="23" t="str">
        <f t="shared" si="311"/>
        <v/>
      </c>
      <c r="CP448" s="23" t="str">
        <f t="shared" si="312"/>
        <v/>
      </c>
      <c r="CQ448" s="23" t="str">
        <f t="shared" si="313"/>
        <v/>
      </c>
      <c r="CR448" s="23" t="str">
        <f t="shared" si="314"/>
        <v/>
      </c>
      <c r="CS448" s="23" t="str">
        <f t="shared" si="315"/>
        <v/>
      </c>
      <c r="CT448" s="23" t="str">
        <f t="shared" si="316"/>
        <v/>
      </c>
      <c r="CU448" s="19"/>
    </row>
    <row r="449" spans="1:99" x14ac:dyDescent="0.25">
      <c r="A449" s="13"/>
      <c r="B449" s="14"/>
      <c r="C449" s="15" t="str" cm="1">
        <f t="array" ref="C449">IF(B449="","",INDEX('Exercise list'!$C$5:$C$102,B449))</f>
        <v/>
      </c>
      <c r="D449" s="12" t="str">
        <f t="shared" si="318"/>
        <v/>
      </c>
      <c r="E449" s="107" t="str">
        <f t="shared" si="341"/>
        <v/>
      </c>
      <c r="F449" s="63" t="str" cm="1">
        <f t="array" ref="F449">IF(B449="","",0.1+IFERROR(INDEX($F$6:$F448,SUMPRODUCT(MAX(ROW($C$6:$C448)*($C449=$C$6:$C448))-ROW($A$5)))*0.9^($A449-INDEX($A$6:A448,SUMPRODUCT(MAX(ROW($C$6:$C448)*($C449=$C$6:$C448))-ROW($A$5)))),0))</f>
        <v/>
      </c>
      <c r="G449" s="64" t="e">
        <f>INDEX('Exercise list'!$Y$5:$Y$102,MATCH(C449,'Exercise list'!$C$5:$C$102,0))</f>
        <v>#N/A</v>
      </c>
      <c r="H449" s="115">
        <f t="shared" si="319"/>
        <v>0</v>
      </c>
      <c r="I449" s="42">
        <f t="shared" si="320"/>
        <v>5</v>
      </c>
      <c r="J449" s="6" t="str" cm="1">
        <f t="array" ref="J449">IF(B449="","",INDEX('Exercise list'!$D$5:$D$102,B449))</f>
        <v/>
      </c>
      <c r="K449" s="12"/>
      <c r="L449" s="74" t="str" cm="1">
        <f t="array" ref="L449">IF(K449="","",INDEX('Exercise list'!$C$5:$C$102,K449))</f>
        <v/>
      </c>
      <c r="M449" s="6"/>
      <c r="N449" s="75" t="str" cm="1">
        <f t="array" ref="N449">IF(M449="","",INDEX('Exercise list'!$C$5:$C$102,M449))</f>
        <v/>
      </c>
      <c r="P449">
        <f>IFERROR(INDEX('Exercise list'!$E$5:$X$102,MATCH($C449,'Exercise list'!$C$5:$C$102,0),MATCH(P$5,'Exercise list'!$E$4:$X$4,0)),0)</f>
        <v>0</v>
      </c>
      <c r="Q449">
        <f>IFERROR(INDEX('Exercise list'!$E$5:$X$102,MATCH($C449,'Exercise list'!$C$5:$C$102,0),MATCH(Q$5,'Exercise list'!$E$4:$X$4,0)),0)</f>
        <v>0</v>
      </c>
      <c r="R449">
        <f>IFERROR(INDEX('Exercise list'!$E$5:$X$102,MATCH($C449,'Exercise list'!$C$5:$C$102,0),MATCH(R$5,'Exercise list'!$E$4:$X$4,0)),0)</f>
        <v>0</v>
      </c>
      <c r="S449">
        <f>IFERROR(INDEX('Exercise list'!$E$5:$X$102,MATCH($C449,'Exercise list'!$C$5:$C$102,0),MATCH(S$5,'Exercise list'!$E$4:$X$4,0)),0)</f>
        <v>0</v>
      </c>
      <c r="T449">
        <f>IFERROR(INDEX('Exercise list'!$E$5:$X$102,MATCH($C449,'Exercise list'!$C$5:$C$102,0),MATCH(T$5,'Exercise list'!$E$4:$X$4,0)),0)</f>
        <v>0</v>
      </c>
      <c r="U449">
        <f>IFERROR(INDEX('Exercise list'!$E$5:$X$102,MATCH($C449,'Exercise list'!$C$5:$C$102,0),MATCH(U$5,'Exercise list'!$E$4:$X$4,0)),0)</f>
        <v>0</v>
      </c>
      <c r="V449">
        <f>IFERROR(INDEX('Exercise list'!$E$5:$X$102,MATCH($C449,'Exercise list'!$C$5:$C$102,0),MATCH(V$5,'Exercise list'!$E$4:$X$4,0)),0)</f>
        <v>0</v>
      </c>
      <c r="W449">
        <f>IFERROR(INDEX('Exercise list'!$E$5:$X$102,MATCH($C449,'Exercise list'!$C$5:$C$102,0),MATCH(W$5,'Exercise list'!$E$4:$X$4,0)),0)</f>
        <v>0</v>
      </c>
      <c r="X449">
        <f>IFERROR(INDEX('Exercise list'!$E$5:$X$102,MATCH($C449,'Exercise list'!$C$5:$C$102,0),MATCH(X$5,'Exercise list'!$E$4:$X$4,0)),0)</f>
        <v>0</v>
      </c>
      <c r="Y449">
        <f>IFERROR(INDEX('Exercise list'!$E$5:$X$102,MATCH($C449,'Exercise list'!$C$5:$C$102,0),MATCH(Y$5,'Exercise list'!$E$4:$X$4,0)),0)</f>
        <v>0</v>
      </c>
      <c r="Z449">
        <f>IFERROR(INDEX('Exercise list'!$E$5:$X$102,MATCH($C449,'Exercise list'!$C$5:$C$102,0),MATCH(Z$5,'Exercise list'!$E$4:$X$4,0)),0)</f>
        <v>0</v>
      </c>
      <c r="AA449">
        <f>IFERROR(INDEX('Exercise list'!$E$5:$X$102,MATCH($C449,'Exercise list'!$C$5:$C$102,0),MATCH(AA$5,'Exercise list'!$E$4:$X$4,0)),0)</f>
        <v>0</v>
      </c>
      <c r="AB449">
        <f>IFERROR(INDEX('Exercise list'!$E$5:$X$102,MATCH($C449,'Exercise list'!$C$5:$C$102,0),MATCH(AB$5,'Exercise list'!$E$4:$X$4,0)),0)</f>
        <v>0</v>
      </c>
      <c r="AC449">
        <f>IFERROR(INDEX('Exercise list'!$E$5:$X$102,MATCH($C449,'Exercise list'!$C$5:$C$102,0),MATCH(AC$5,'Exercise list'!$E$4:$X$4,0)),0)</f>
        <v>0</v>
      </c>
      <c r="AD449">
        <f>IFERROR(INDEX('Exercise list'!$E$5:$X$102,MATCH($C449,'Exercise list'!$C$5:$C$102,0),MATCH(AD$5,'Exercise list'!$E$4:$X$4,0)),0)</f>
        <v>0</v>
      </c>
      <c r="AE449">
        <f>IFERROR(INDEX('Exercise list'!$E$5:$X$102,MATCH($C449,'Exercise list'!$C$5:$C$102,0),MATCH(AE$5,'Exercise list'!$E$4:$X$4,0)),0)</f>
        <v>0</v>
      </c>
      <c r="AF449">
        <f>IFERROR(INDEX('Exercise list'!$E$5:$X$102,MATCH($C449,'Exercise list'!$C$5:$C$102,0),MATCH(AF$5,'Exercise list'!$E$4:$X$4,0)),0)</f>
        <v>0</v>
      </c>
      <c r="AG449">
        <f>IFERROR(INDEX('Exercise list'!$E$5:$X$102,MATCH($C449,'Exercise list'!$C$5:$C$102,0),MATCH(AG$5,'Exercise list'!$E$4:$X$4,0)),0)</f>
        <v>0</v>
      </c>
      <c r="AH449">
        <f>IFERROR(INDEX('Exercise list'!$E$5:$X$102,MATCH($C449,'Exercise list'!$C$5:$C$102,0),MATCH(AH$5,'Exercise list'!$E$4:$X$4,0)),0)</f>
        <v>0</v>
      </c>
      <c r="AI449">
        <f>IFERROR(INDEX('Exercise list'!$E$5:$X$102,MATCH($C449,'Exercise list'!$C$5:$C$102,0),MATCH(AI$5,'Exercise list'!$E$4:$X$4,0)),0)</f>
        <v>0</v>
      </c>
      <c r="AK449">
        <f>IF(OR($J449=1,COUNTIFS($A$5:$A448,"&gt;="&amp;$A449-1,$A$5:$A448,"&lt;="&amp;$A449,$B$5:$B448,$B449)&gt;0,MIN(1-'Exercise list'!E$2,IF($A449=$A448,AK448,1))-P449&lt;0),-1,MIN(1,IF($A449=$A448,AK448,1)-P449+$D$2))</f>
        <v>1</v>
      </c>
      <c r="AL449">
        <f>IF(OR($J449=1,COUNTIFS($A$5:$A448,"&gt;="&amp;$A449-1,$A$5:$A448,"&lt;="&amp;$A449,$B$5:$B448,$B449)&gt;0,MIN(1-'Exercise list'!F$2,IF($A449=$A448,AL448,1))-Q449&lt;0),-1,MIN(1,IF($A449=$A448,AL448,1)-Q449+$D$2))</f>
        <v>1</v>
      </c>
      <c r="AM449">
        <f>IF(OR($J449=1,COUNTIFS($A$5:$A448,"&gt;="&amp;$A449-1,$A$5:$A448,"&lt;="&amp;$A449,$B$5:$B448,$B449)&gt;0,MIN(1-'Exercise list'!G$2,IF($A449=$A448,AM448,1))-R449&lt;0),-1,MIN(1,IF($A449=$A448,AM448,1)-R449+$D$2))</f>
        <v>1</v>
      </c>
      <c r="AN449">
        <f>IF(OR($J449=1,COUNTIFS($A$5:$A448,"&gt;="&amp;$A449-1,$A$5:$A448,"&lt;="&amp;$A449,$B$5:$B448,$B449)&gt;0,MIN(1-'Exercise list'!H$2,IF($A449=$A448,AN448,1))-S449&lt;0),-1,MIN(1,IF($A449=$A448,AN448,1)-S449+$D$2))</f>
        <v>1</v>
      </c>
      <c r="AO449">
        <f>IF(OR($J449=1,COUNTIFS($A$5:$A448,"&gt;="&amp;$A449-1,$A$5:$A448,"&lt;="&amp;$A449,$B$5:$B448,$B449)&gt;0,MIN(1-'Exercise list'!I$2,IF($A449=$A448,AO448,1))-T449&lt;0),-1,MIN(1,IF($A449=$A448,AO448,1)-T449+$D$2))</f>
        <v>1</v>
      </c>
      <c r="AP449">
        <f>IF(OR($J449=1,COUNTIFS($A$5:$A448,"&gt;="&amp;$A449-1,$A$5:$A448,"&lt;="&amp;$A449,$B$5:$B448,$B449)&gt;0,MIN(1-'Exercise list'!J$2,IF($A449=$A448,AP448,1))-U449&lt;0),-1,MIN(1,IF($A449=$A448,AP448,1)-U449+$D$2))</f>
        <v>1</v>
      </c>
      <c r="AQ449">
        <f>IF(OR($J449=1,COUNTIFS($A$5:$A448,"&gt;="&amp;$A449-1,$A$5:$A448,"&lt;="&amp;$A449,$B$5:$B448,$B449)&gt;0,MIN(1-'Exercise list'!K$2,IF($A449=$A448,AQ448,1))-V449&lt;0),-1,MIN(1,IF($A449=$A448,AQ448,1)-V449+$D$2))</f>
        <v>1</v>
      </c>
      <c r="AR449">
        <f>IF(OR($J449=1,COUNTIFS($A$5:$A448,"&gt;="&amp;$A449-1,$A$5:$A448,"&lt;="&amp;$A449,$B$5:$B448,$B449)&gt;0,MIN(1-'Exercise list'!L$2,IF($A449=$A448,AR448,1))-W449&lt;0),-1,MIN(1,IF($A449=$A448,AR448,1)-W449+$D$2))</f>
        <v>1</v>
      </c>
      <c r="AS449">
        <f>IF(OR($J449=1,COUNTIFS($A$5:$A448,"&gt;="&amp;$A449-1,$A$5:$A448,"&lt;="&amp;$A449,$B$5:$B448,$B449)&gt;0,MIN(1-'Exercise list'!M$2,IF($A449=$A448,AS448,1))-X449&lt;0),-1,MIN(1,IF($A449=$A448,AS448,1)-X449+$D$2))</f>
        <v>1</v>
      </c>
      <c r="AT449">
        <f>IF(OR($J449=1,COUNTIFS($A$5:$A448,"&gt;="&amp;$A449-1,$A$5:$A448,"&lt;="&amp;$A449,$B$5:$B448,$B449)&gt;0,MIN(1-'Exercise list'!N$2,IF($A449=$A448,AT448,1))-Y449&lt;0),-1,MIN(1,IF($A449=$A448,AT448,1)-Y449+$D$2))</f>
        <v>1</v>
      </c>
      <c r="AU449">
        <f>IF(OR($J449=1,COUNTIFS($A$5:$A448,"&gt;="&amp;$A449-1,$A$5:$A448,"&lt;="&amp;$A449,$B$5:$B448,$B449)&gt;0,MIN(1-'Exercise list'!O$2,IF($A449=$A448,AU448,1))-Z449&lt;0),-1,MIN(1,IF($A449=$A448,AU448,1)-Z449+$D$2))</f>
        <v>1</v>
      </c>
      <c r="AV449">
        <f>IF(OR($J449=1,COUNTIFS($A$5:$A448,"&gt;="&amp;$A449-1,$A$5:$A448,"&lt;="&amp;$A449,$B$5:$B448,$B449)&gt;0,MIN(1-'Exercise list'!P$2,IF($A449=$A448,AV448,1))-AA449&lt;0),-1,MIN(1,IF($A449=$A448,AV448,1)-AA449+$D$2))</f>
        <v>1</v>
      </c>
      <c r="AW449">
        <f>IF(OR($J449=1,COUNTIFS($A$5:$A448,"&gt;="&amp;$A449-1,$A$5:$A448,"&lt;="&amp;$A449,$B$5:$B448,$B449)&gt;0,MIN(1-'Exercise list'!Q$2,IF($A449=$A448,AW448,1))-AB449&lt;0),-1,MIN(1,IF($A449=$A448,AW448,1)-AB449+$D$2))</f>
        <v>1</v>
      </c>
      <c r="AX449">
        <f>IF(OR($J449=1,COUNTIFS($A$5:$A448,"&gt;="&amp;$A449-1,$A$5:$A448,"&lt;="&amp;$A449,$B$5:$B448,$B449)&gt;0,MIN(1-'Exercise list'!R$2,IF($A449=$A448,AX448,1))-AC449&lt;0),-1,MIN(1,IF($A449=$A448,AX448,1)-AC449+$D$2))</f>
        <v>1</v>
      </c>
      <c r="AY449">
        <f>IF(OR($J449=1,COUNTIFS($A$5:$A448,"&gt;="&amp;$A449-1,$A$5:$A448,"&lt;="&amp;$A449,$B$5:$B448,$B449)&gt;0,MIN(1-'Exercise list'!S$2,IF($A449=$A448,AY448,1))-AD449&lt;0),-1,MIN(1,IF($A449=$A448,AY448,1)-AD449+$D$2))</f>
        <v>1</v>
      </c>
      <c r="AZ449">
        <f>IF(OR($J449=1,COUNTIFS($A$5:$A448,"&gt;="&amp;$A449-1,$A$5:$A448,"&lt;="&amp;$A449,$B$5:$B448,$B449)&gt;0,MIN(1-'Exercise list'!T$2,IF($A449=$A448,AZ448,1))-AE449&lt;0),-1,MIN(1,IF($A449=$A448,AZ448,1)-AE449+$D$2))</f>
        <v>1</v>
      </c>
      <c r="BA449">
        <f>IF(OR($J449=1,COUNTIFS($A$5:$A448,"&gt;="&amp;$A449-1,$A$5:$A448,"&lt;="&amp;$A449,$B$5:$B448,$B449)&gt;0,MIN(1-'Exercise list'!U$2,IF($A449=$A448,BA448,1))-AF449&lt;0),-1,MIN(1,IF($A449=$A448,BA448,1)-AF449+$D$2))</f>
        <v>1</v>
      </c>
      <c r="BB449">
        <f>IF(OR($J449=1,COUNTIFS($A$5:$A448,"&gt;="&amp;$A449-1,$A$5:$A448,"&lt;="&amp;$A449,$B$5:$B448,$B449)&gt;0,MIN(1-'Exercise list'!V$2,IF($A449=$A448,BB448,1))-AG449&lt;0),-1,MIN(1,IF($A449=$A448,BB448,1)-AG449+$D$2))</f>
        <v>1</v>
      </c>
      <c r="BC449">
        <f>IF(OR($J449=1,COUNTIFS($A$5:$A448,"&gt;="&amp;$A449-1,$A$5:$A448,"&lt;="&amp;$A449,$B$5:$B448,$B449)&gt;0,MIN(1-'Exercise list'!W$2,IF($A449=$A448,BC448,1))-AH449&lt;0),-1,MIN(1,IF($A449=$A448,BC448,1)-AH449+$D$2))</f>
        <v>1</v>
      </c>
      <c r="BD449">
        <f>IF(OR($J449=1,COUNTIFS($A$5:$A448,"&gt;="&amp;$A449-1,$A$5:$A448,"&lt;="&amp;$A449,$B$5:$B448,$B449)&gt;0,MIN(1-'Exercise list'!X$2,IF($A449=$A448,BD448,1))-AI449&lt;0),-1,MIN(1,IF($A449=$A448,BD448,1)-AI449+$D$2))</f>
        <v>1</v>
      </c>
      <c r="BF449" s="16">
        <f t="shared" si="321"/>
        <v>0.19596031081758858</v>
      </c>
      <c r="BG449" s="16">
        <f t="shared" si="322"/>
        <v>0.21844636935459236</v>
      </c>
      <c r="BH449" s="16">
        <f t="shared" si="323"/>
        <v>0.14609696635987124</v>
      </c>
      <c r="BI449" s="16">
        <f t="shared" si="324"/>
        <v>0.13198015366034541</v>
      </c>
      <c r="BJ449" s="16">
        <f t="shared" si="325"/>
        <v>8.3367914198418713E-2</v>
      </c>
      <c r="BK449" s="16">
        <f t="shared" si="326"/>
        <v>0.10640640223148412</v>
      </c>
      <c r="BL449" s="16">
        <f t="shared" si="327"/>
        <v>0.21963504743569431</v>
      </c>
      <c r="BM449" s="16">
        <f t="shared" si="328"/>
        <v>3.8988008374820568E-3</v>
      </c>
      <c r="BN449" s="16">
        <f t="shared" si="329"/>
        <v>0.14537706087090876</v>
      </c>
      <c r="BO449" s="16">
        <f t="shared" si="330"/>
        <v>0.29209790661993401</v>
      </c>
      <c r="BP449" s="16">
        <f t="shared" si="331"/>
        <v>0.31584545163401867</v>
      </c>
      <c r="BQ449" s="16">
        <f t="shared" si="332"/>
        <v>0.1000007994126096</v>
      </c>
      <c r="BR449" s="16">
        <f t="shared" si="333"/>
        <v>0.13164487759885393</v>
      </c>
      <c r="BS449" s="16">
        <f t="shared" si="334"/>
        <v>2.9803550189863123E-2</v>
      </c>
      <c r="BT449" s="16">
        <f t="shared" si="335"/>
        <v>0.13492040904978705</v>
      </c>
      <c r="BU449" s="16">
        <f t="shared" si="336"/>
        <v>0.11703687414398131</v>
      </c>
      <c r="BV449" s="16">
        <f t="shared" si="337"/>
        <v>0.14633353213781661</v>
      </c>
      <c r="BW449" s="16">
        <f t="shared" si="338"/>
        <v>7.5588015111767173E-2</v>
      </c>
      <c r="BX449" s="16">
        <f t="shared" si="339"/>
        <v>8.0345659937185704E-2</v>
      </c>
      <c r="BY449" s="16">
        <f t="shared" si="340"/>
        <v>5.9014643151272549E-2</v>
      </c>
      <c r="CA449" s="16" t="str">
        <f t="shared" si="317"/>
        <v/>
      </c>
      <c r="CB449" s="16" t="str">
        <f t="shared" si="298"/>
        <v/>
      </c>
      <c r="CC449" s="16" t="str">
        <f t="shared" si="299"/>
        <v/>
      </c>
      <c r="CD449" s="16" t="str">
        <f t="shared" si="300"/>
        <v/>
      </c>
      <c r="CE449" s="16" t="str">
        <f t="shared" si="301"/>
        <v/>
      </c>
      <c r="CF449" s="16" t="str">
        <f t="shared" si="302"/>
        <v/>
      </c>
      <c r="CG449" s="16" t="str">
        <f t="shared" si="303"/>
        <v/>
      </c>
      <c r="CH449" s="16" t="str">
        <f t="shared" si="304"/>
        <v/>
      </c>
      <c r="CI449" s="16" t="str">
        <f t="shared" si="305"/>
        <v/>
      </c>
      <c r="CJ449" s="16" t="str">
        <f t="shared" si="306"/>
        <v/>
      </c>
      <c r="CK449" s="16" t="str">
        <f t="shared" si="307"/>
        <v/>
      </c>
      <c r="CL449" s="16" t="str">
        <f t="shared" si="308"/>
        <v/>
      </c>
      <c r="CM449" s="16" t="str">
        <f t="shared" si="309"/>
        <v/>
      </c>
      <c r="CN449" s="16" t="str">
        <f t="shared" si="310"/>
        <v/>
      </c>
      <c r="CO449" s="16" t="str">
        <f t="shared" si="311"/>
        <v/>
      </c>
      <c r="CP449" s="16" t="str">
        <f t="shared" si="312"/>
        <v/>
      </c>
      <c r="CQ449" s="16" t="str">
        <f t="shared" si="313"/>
        <v/>
      </c>
      <c r="CR449" s="16" t="str">
        <f t="shared" si="314"/>
        <v/>
      </c>
      <c r="CS449" s="16" t="str">
        <f t="shared" si="315"/>
        <v/>
      </c>
      <c r="CT449" s="16" t="str">
        <f t="shared" si="316"/>
        <v/>
      </c>
    </row>
    <row r="450" spans="1:99" x14ac:dyDescent="0.25">
      <c r="A450" s="13"/>
      <c r="B450" s="14"/>
      <c r="C450" s="15" t="str" cm="1">
        <f t="array" ref="C450">IF(B450="","",INDEX('Exercise list'!$C$5:$C$102,B450))</f>
        <v/>
      </c>
      <c r="D450" s="12" t="str">
        <f t="shared" si="318"/>
        <v/>
      </c>
      <c r="E450" s="107" t="str">
        <f t="shared" si="341"/>
        <v/>
      </c>
      <c r="F450" s="63" t="str" cm="1">
        <f t="array" ref="F450">IF(B450="","",0.1+IFERROR(INDEX($F$6:$F449,SUMPRODUCT(MAX(ROW($C$6:$C449)*($C450=$C$6:$C449))-ROW($A$5)))*0.9^($A450-INDEX($A$6:A449,SUMPRODUCT(MAX(ROW($C$6:$C449)*($C450=$C$6:$C449))-ROW($A$5)))),0))</f>
        <v/>
      </c>
      <c r="G450" s="64" t="e">
        <f>INDEX('Exercise list'!$Y$5:$Y$102,MATCH(C450,'Exercise list'!$C$5:$C$102,0))</f>
        <v>#N/A</v>
      </c>
      <c r="H450" s="115">
        <f t="shared" si="319"/>
        <v>0</v>
      </c>
      <c r="I450" s="6">
        <f t="shared" si="320"/>
        <v>5</v>
      </c>
      <c r="J450" s="6" t="str" cm="1">
        <f t="array" ref="J450">IF(B450="","",INDEX('Exercise list'!$D$5:$D$102,B450))</f>
        <v/>
      </c>
      <c r="K450" s="12"/>
      <c r="L450" s="74" t="str" cm="1">
        <f t="array" ref="L450">IF(K450="","",INDEX('Exercise list'!$C$5:$C$102,K450))</f>
        <v/>
      </c>
      <c r="M450" s="6"/>
      <c r="N450" s="75" t="str" cm="1">
        <f t="array" ref="N450">IF(M450="","",INDEX('Exercise list'!$C$5:$C$102,M450))</f>
        <v/>
      </c>
      <c r="P450">
        <f>IFERROR(INDEX('Exercise list'!$E$5:$X$102,MATCH($C450,'Exercise list'!$C$5:$C$102,0),MATCH(P$5,'Exercise list'!$E$4:$X$4,0)),0)</f>
        <v>0</v>
      </c>
      <c r="Q450">
        <f>IFERROR(INDEX('Exercise list'!$E$5:$X$102,MATCH($C450,'Exercise list'!$C$5:$C$102,0),MATCH(Q$5,'Exercise list'!$E$4:$X$4,0)),0)</f>
        <v>0</v>
      </c>
      <c r="R450">
        <f>IFERROR(INDEX('Exercise list'!$E$5:$X$102,MATCH($C450,'Exercise list'!$C$5:$C$102,0),MATCH(R$5,'Exercise list'!$E$4:$X$4,0)),0)</f>
        <v>0</v>
      </c>
      <c r="S450">
        <f>IFERROR(INDEX('Exercise list'!$E$5:$X$102,MATCH($C450,'Exercise list'!$C$5:$C$102,0),MATCH(S$5,'Exercise list'!$E$4:$X$4,0)),0)</f>
        <v>0</v>
      </c>
      <c r="T450">
        <f>IFERROR(INDEX('Exercise list'!$E$5:$X$102,MATCH($C450,'Exercise list'!$C$5:$C$102,0),MATCH(T$5,'Exercise list'!$E$4:$X$4,0)),0)</f>
        <v>0</v>
      </c>
      <c r="U450">
        <f>IFERROR(INDEX('Exercise list'!$E$5:$X$102,MATCH($C450,'Exercise list'!$C$5:$C$102,0),MATCH(U$5,'Exercise list'!$E$4:$X$4,0)),0)</f>
        <v>0</v>
      </c>
      <c r="V450">
        <f>IFERROR(INDEX('Exercise list'!$E$5:$X$102,MATCH($C450,'Exercise list'!$C$5:$C$102,0),MATCH(V$5,'Exercise list'!$E$4:$X$4,0)),0)</f>
        <v>0</v>
      </c>
      <c r="W450">
        <f>IFERROR(INDEX('Exercise list'!$E$5:$X$102,MATCH($C450,'Exercise list'!$C$5:$C$102,0),MATCH(W$5,'Exercise list'!$E$4:$X$4,0)),0)</f>
        <v>0</v>
      </c>
      <c r="X450">
        <f>IFERROR(INDEX('Exercise list'!$E$5:$X$102,MATCH($C450,'Exercise list'!$C$5:$C$102,0),MATCH(X$5,'Exercise list'!$E$4:$X$4,0)),0)</f>
        <v>0</v>
      </c>
      <c r="Y450">
        <f>IFERROR(INDEX('Exercise list'!$E$5:$X$102,MATCH($C450,'Exercise list'!$C$5:$C$102,0),MATCH(Y$5,'Exercise list'!$E$4:$X$4,0)),0)</f>
        <v>0</v>
      </c>
      <c r="Z450">
        <f>IFERROR(INDEX('Exercise list'!$E$5:$X$102,MATCH($C450,'Exercise list'!$C$5:$C$102,0),MATCH(Z$5,'Exercise list'!$E$4:$X$4,0)),0)</f>
        <v>0</v>
      </c>
      <c r="AA450">
        <f>IFERROR(INDEX('Exercise list'!$E$5:$X$102,MATCH($C450,'Exercise list'!$C$5:$C$102,0),MATCH(AA$5,'Exercise list'!$E$4:$X$4,0)),0)</f>
        <v>0</v>
      </c>
      <c r="AB450">
        <f>IFERROR(INDEX('Exercise list'!$E$5:$X$102,MATCH($C450,'Exercise list'!$C$5:$C$102,0),MATCH(AB$5,'Exercise list'!$E$4:$X$4,0)),0)</f>
        <v>0</v>
      </c>
      <c r="AC450">
        <f>IFERROR(INDEX('Exercise list'!$E$5:$X$102,MATCH($C450,'Exercise list'!$C$5:$C$102,0),MATCH(AC$5,'Exercise list'!$E$4:$X$4,0)),0)</f>
        <v>0</v>
      </c>
      <c r="AD450">
        <f>IFERROR(INDEX('Exercise list'!$E$5:$X$102,MATCH($C450,'Exercise list'!$C$5:$C$102,0),MATCH(AD$5,'Exercise list'!$E$4:$X$4,0)),0)</f>
        <v>0</v>
      </c>
      <c r="AE450">
        <f>IFERROR(INDEX('Exercise list'!$E$5:$X$102,MATCH($C450,'Exercise list'!$C$5:$C$102,0),MATCH(AE$5,'Exercise list'!$E$4:$X$4,0)),0)</f>
        <v>0</v>
      </c>
      <c r="AF450">
        <f>IFERROR(INDEX('Exercise list'!$E$5:$X$102,MATCH($C450,'Exercise list'!$C$5:$C$102,0),MATCH(AF$5,'Exercise list'!$E$4:$X$4,0)),0)</f>
        <v>0</v>
      </c>
      <c r="AG450">
        <f>IFERROR(INDEX('Exercise list'!$E$5:$X$102,MATCH($C450,'Exercise list'!$C$5:$C$102,0),MATCH(AG$5,'Exercise list'!$E$4:$X$4,0)),0)</f>
        <v>0</v>
      </c>
      <c r="AH450">
        <f>IFERROR(INDEX('Exercise list'!$E$5:$X$102,MATCH($C450,'Exercise list'!$C$5:$C$102,0),MATCH(AH$5,'Exercise list'!$E$4:$X$4,0)),0)</f>
        <v>0</v>
      </c>
      <c r="AI450">
        <f>IFERROR(INDEX('Exercise list'!$E$5:$X$102,MATCH($C450,'Exercise list'!$C$5:$C$102,0),MATCH(AI$5,'Exercise list'!$E$4:$X$4,0)),0)</f>
        <v>0</v>
      </c>
      <c r="AK450">
        <f>IF(OR($J450=1,COUNTIFS($A$5:$A449,"&gt;="&amp;$A450-1,$A$5:$A449,"&lt;="&amp;$A450,$B$5:$B449,$B450)&gt;0,MIN(1-'Exercise list'!E$2,IF($A450=$A449,AK449,1))-P450&lt;0),-1,MIN(1,IF($A450=$A449,AK449,1)-P450+$D$2))</f>
        <v>1</v>
      </c>
      <c r="AL450">
        <f>IF(OR($J450=1,COUNTIFS($A$5:$A449,"&gt;="&amp;$A450-1,$A$5:$A449,"&lt;="&amp;$A450,$B$5:$B449,$B450)&gt;0,MIN(1-'Exercise list'!F$2,IF($A450=$A449,AL449,1))-Q450&lt;0),-1,MIN(1,IF($A450=$A449,AL449,1)-Q450+$D$2))</f>
        <v>1</v>
      </c>
      <c r="AM450">
        <f>IF(OR($J450=1,COUNTIFS($A$5:$A449,"&gt;="&amp;$A450-1,$A$5:$A449,"&lt;="&amp;$A450,$B$5:$B449,$B450)&gt;0,MIN(1-'Exercise list'!G$2,IF($A450=$A449,AM449,1))-R450&lt;0),-1,MIN(1,IF($A450=$A449,AM449,1)-R450+$D$2))</f>
        <v>1</v>
      </c>
      <c r="AN450">
        <f>IF(OR($J450=1,COUNTIFS($A$5:$A449,"&gt;="&amp;$A450-1,$A$5:$A449,"&lt;="&amp;$A450,$B$5:$B449,$B450)&gt;0,MIN(1-'Exercise list'!H$2,IF($A450=$A449,AN449,1))-S450&lt;0),-1,MIN(1,IF($A450=$A449,AN449,1)-S450+$D$2))</f>
        <v>1</v>
      </c>
      <c r="AO450">
        <f>IF(OR($J450=1,COUNTIFS($A$5:$A449,"&gt;="&amp;$A450-1,$A$5:$A449,"&lt;="&amp;$A450,$B$5:$B449,$B450)&gt;0,MIN(1-'Exercise list'!I$2,IF($A450=$A449,AO449,1))-T450&lt;0),-1,MIN(1,IF($A450=$A449,AO449,1)-T450+$D$2))</f>
        <v>1</v>
      </c>
      <c r="AP450">
        <f>IF(OR($J450=1,COUNTIFS($A$5:$A449,"&gt;="&amp;$A450-1,$A$5:$A449,"&lt;="&amp;$A450,$B$5:$B449,$B450)&gt;0,MIN(1-'Exercise list'!J$2,IF($A450=$A449,AP449,1))-U450&lt;0),-1,MIN(1,IF($A450=$A449,AP449,1)-U450+$D$2))</f>
        <v>1</v>
      </c>
      <c r="AQ450">
        <f>IF(OR($J450=1,COUNTIFS($A$5:$A449,"&gt;="&amp;$A450-1,$A$5:$A449,"&lt;="&amp;$A450,$B$5:$B449,$B450)&gt;0,MIN(1-'Exercise list'!K$2,IF($A450=$A449,AQ449,1))-V450&lt;0),-1,MIN(1,IF($A450=$A449,AQ449,1)-V450+$D$2))</f>
        <v>1</v>
      </c>
      <c r="AR450">
        <f>IF(OR($J450=1,COUNTIFS($A$5:$A449,"&gt;="&amp;$A450-1,$A$5:$A449,"&lt;="&amp;$A450,$B$5:$B449,$B450)&gt;0,MIN(1-'Exercise list'!L$2,IF($A450=$A449,AR449,1))-W450&lt;0),-1,MIN(1,IF($A450=$A449,AR449,1)-W450+$D$2))</f>
        <v>1</v>
      </c>
      <c r="AS450">
        <f>IF(OR($J450=1,COUNTIFS($A$5:$A449,"&gt;="&amp;$A450-1,$A$5:$A449,"&lt;="&amp;$A450,$B$5:$B449,$B450)&gt;0,MIN(1-'Exercise list'!M$2,IF($A450=$A449,AS449,1))-X450&lt;0),-1,MIN(1,IF($A450=$A449,AS449,1)-X450+$D$2))</f>
        <v>1</v>
      </c>
      <c r="AT450">
        <f>IF(OR($J450=1,COUNTIFS($A$5:$A449,"&gt;="&amp;$A450-1,$A$5:$A449,"&lt;="&amp;$A450,$B$5:$B449,$B450)&gt;0,MIN(1-'Exercise list'!N$2,IF($A450=$A449,AT449,1))-Y450&lt;0),-1,MIN(1,IF($A450=$A449,AT449,1)-Y450+$D$2))</f>
        <v>1</v>
      </c>
      <c r="AU450">
        <f>IF(OR($J450=1,COUNTIFS($A$5:$A449,"&gt;="&amp;$A450-1,$A$5:$A449,"&lt;="&amp;$A450,$B$5:$B449,$B450)&gt;0,MIN(1-'Exercise list'!O$2,IF($A450=$A449,AU449,1))-Z450&lt;0),-1,MIN(1,IF($A450=$A449,AU449,1)-Z450+$D$2))</f>
        <v>1</v>
      </c>
      <c r="AV450">
        <f>IF(OR($J450=1,COUNTIFS($A$5:$A449,"&gt;="&amp;$A450-1,$A$5:$A449,"&lt;="&amp;$A450,$B$5:$B449,$B450)&gt;0,MIN(1-'Exercise list'!P$2,IF($A450=$A449,AV449,1))-AA450&lt;0),-1,MIN(1,IF($A450=$A449,AV449,1)-AA450+$D$2))</f>
        <v>1</v>
      </c>
      <c r="AW450">
        <f>IF(OR($J450=1,COUNTIFS($A$5:$A449,"&gt;="&amp;$A450-1,$A$5:$A449,"&lt;="&amp;$A450,$B$5:$B449,$B450)&gt;0,MIN(1-'Exercise list'!Q$2,IF($A450=$A449,AW449,1))-AB450&lt;0),-1,MIN(1,IF($A450=$A449,AW449,1)-AB450+$D$2))</f>
        <v>1</v>
      </c>
      <c r="AX450">
        <f>IF(OR($J450=1,COUNTIFS($A$5:$A449,"&gt;="&amp;$A450-1,$A$5:$A449,"&lt;="&amp;$A450,$B$5:$B449,$B450)&gt;0,MIN(1-'Exercise list'!R$2,IF($A450=$A449,AX449,1))-AC450&lt;0),-1,MIN(1,IF($A450=$A449,AX449,1)-AC450+$D$2))</f>
        <v>1</v>
      </c>
      <c r="AY450">
        <f>IF(OR($J450=1,COUNTIFS($A$5:$A449,"&gt;="&amp;$A450-1,$A$5:$A449,"&lt;="&amp;$A450,$B$5:$B449,$B450)&gt;0,MIN(1-'Exercise list'!S$2,IF($A450=$A449,AY449,1))-AD450&lt;0),-1,MIN(1,IF($A450=$A449,AY449,1)-AD450+$D$2))</f>
        <v>1</v>
      </c>
      <c r="AZ450">
        <f>IF(OR($J450=1,COUNTIFS($A$5:$A449,"&gt;="&amp;$A450-1,$A$5:$A449,"&lt;="&amp;$A450,$B$5:$B449,$B450)&gt;0,MIN(1-'Exercise list'!T$2,IF($A450=$A449,AZ449,1))-AE450&lt;0),-1,MIN(1,IF($A450=$A449,AZ449,1)-AE450+$D$2))</f>
        <v>1</v>
      </c>
      <c r="BA450">
        <f>IF(OR($J450=1,COUNTIFS($A$5:$A449,"&gt;="&amp;$A450-1,$A$5:$A449,"&lt;="&amp;$A450,$B$5:$B449,$B450)&gt;0,MIN(1-'Exercise list'!U$2,IF($A450=$A449,BA449,1))-AF450&lt;0),-1,MIN(1,IF($A450=$A449,BA449,1)-AF450+$D$2))</f>
        <v>1</v>
      </c>
      <c r="BB450">
        <f>IF(OR($J450=1,COUNTIFS($A$5:$A449,"&gt;="&amp;$A450-1,$A$5:$A449,"&lt;="&amp;$A450,$B$5:$B449,$B450)&gt;0,MIN(1-'Exercise list'!V$2,IF($A450=$A449,BB449,1))-AG450&lt;0),-1,MIN(1,IF($A450=$A449,BB449,1)-AG450+$D$2))</f>
        <v>1</v>
      </c>
      <c r="BC450">
        <f>IF(OR($J450=1,COUNTIFS($A$5:$A449,"&gt;="&amp;$A450-1,$A$5:$A449,"&lt;="&amp;$A450,$B$5:$B449,$B450)&gt;0,MIN(1-'Exercise list'!W$2,IF($A450=$A449,BC449,1))-AH450&lt;0),-1,MIN(1,IF($A450=$A449,BC449,1)-AH450+$D$2))</f>
        <v>1</v>
      </c>
      <c r="BD450">
        <f>IF(OR($J450=1,COUNTIFS($A$5:$A449,"&gt;="&amp;$A450-1,$A$5:$A449,"&lt;="&amp;$A450,$B$5:$B449,$B450)&gt;0,MIN(1-'Exercise list'!X$2,IF($A450=$A449,BD449,1))-AI450&lt;0),-1,MIN(1,IF($A450=$A449,BD449,1)-AI450+$D$2))</f>
        <v>1</v>
      </c>
      <c r="BF450" s="16">
        <f t="shared" si="321"/>
        <v>0.19596031081758858</v>
      </c>
      <c r="BG450" s="16">
        <f t="shared" si="322"/>
        <v>0.21844636935459236</v>
      </c>
      <c r="BH450" s="16">
        <f t="shared" si="323"/>
        <v>0.14609696635987124</v>
      </c>
      <c r="BI450" s="16">
        <f t="shared" si="324"/>
        <v>0.13198015366034541</v>
      </c>
      <c r="BJ450" s="16">
        <f t="shared" si="325"/>
        <v>8.3367914198418713E-2</v>
      </c>
      <c r="BK450" s="16">
        <f t="shared" si="326"/>
        <v>0.10640640223148412</v>
      </c>
      <c r="BL450" s="16">
        <f t="shared" si="327"/>
        <v>0.21963504743569431</v>
      </c>
      <c r="BM450" s="16">
        <f t="shared" si="328"/>
        <v>3.8988008374820568E-3</v>
      </c>
      <c r="BN450" s="16">
        <f t="shared" si="329"/>
        <v>0.14537706087090876</v>
      </c>
      <c r="BO450" s="16">
        <f t="shared" si="330"/>
        <v>0.29209790661993401</v>
      </c>
      <c r="BP450" s="16">
        <f t="shared" si="331"/>
        <v>0.31584545163401867</v>
      </c>
      <c r="BQ450" s="16">
        <f t="shared" si="332"/>
        <v>0.1000007994126096</v>
      </c>
      <c r="BR450" s="16">
        <f t="shared" si="333"/>
        <v>0.13164487759885393</v>
      </c>
      <c r="BS450" s="16">
        <f t="shared" si="334"/>
        <v>2.9803550189863123E-2</v>
      </c>
      <c r="BT450" s="16">
        <f t="shared" si="335"/>
        <v>0.13492040904978705</v>
      </c>
      <c r="BU450" s="16">
        <f t="shared" si="336"/>
        <v>0.11703687414398131</v>
      </c>
      <c r="BV450" s="16">
        <f t="shared" si="337"/>
        <v>0.14633353213781661</v>
      </c>
      <c r="BW450" s="16">
        <f t="shared" si="338"/>
        <v>7.5588015111767173E-2</v>
      </c>
      <c r="BX450" s="16">
        <f t="shared" si="339"/>
        <v>8.0345659937185704E-2</v>
      </c>
      <c r="BY450" s="16">
        <f t="shared" si="340"/>
        <v>5.9014643151272549E-2</v>
      </c>
      <c r="CA450" s="16" t="str">
        <f t="shared" si="317"/>
        <v/>
      </c>
      <c r="CB450" s="16" t="str">
        <f t="shared" si="298"/>
        <v/>
      </c>
      <c r="CC450" s="16" t="str">
        <f t="shared" si="299"/>
        <v/>
      </c>
      <c r="CD450" s="16" t="str">
        <f t="shared" si="300"/>
        <v/>
      </c>
      <c r="CE450" s="16" t="str">
        <f t="shared" si="301"/>
        <v/>
      </c>
      <c r="CF450" s="16" t="str">
        <f t="shared" si="302"/>
        <v/>
      </c>
      <c r="CG450" s="16" t="str">
        <f t="shared" si="303"/>
        <v/>
      </c>
      <c r="CH450" s="16" t="str">
        <f t="shared" si="304"/>
        <v/>
      </c>
      <c r="CI450" s="16" t="str">
        <f t="shared" si="305"/>
        <v/>
      </c>
      <c r="CJ450" s="16" t="str">
        <f t="shared" si="306"/>
        <v/>
      </c>
      <c r="CK450" s="16" t="str">
        <f t="shared" si="307"/>
        <v/>
      </c>
      <c r="CL450" s="16" t="str">
        <f t="shared" si="308"/>
        <v/>
      </c>
      <c r="CM450" s="16" t="str">
        <f t="shared" si="309"/>
        <v/>
      </c>
      <c r="CN450" s="16" t="str">
        <f t="shared" si="310"/>
        <v/>
      </c>
      <c r="CO450" s="16" t="str">
        <f t="shared" si="311"/>
        <v/>
      </c>
      <c r="CP450" s="16" t="str">
        <f t="shared" si="312"/>
        <v/>
      </c>
      <c r="CQ450" s="16" t="str">
        <f t="shared" si="313"/>
        <v/>
      </c>
      <c r="CR450" s="16" t="str">
        <f t="shared" si="314"/>
        <v/>
      </c>
      <c r="CS450" s="16" t="str">
        <f t="shared" si="315"/>
        <v/>
      </c>
      <c r="CT450" s="16" t="str">
        <f t="shared" si="316"/>
        <v/>
      </c>
    </row>
    <row r="451" spans="1:99" x14ac:dyDescent="0.25">
      <c r="A451" s="13"/>
      <c r="B451" s="14"/>
      <c r="C451" s="15" t="str" cm="1">
        <f t="array" ref="C451">IF(B451="","",INDEX('Exercise list'!$C$5:$C$102,B451))</f>
        <v/>
      </c>
      <c r="D451" s="12" t="str">
        <f t="shared" si="318"/>
        <v/>
      </c>
      <c r="E451" s="107" t="str">
        <f t="shared" si="341"/>
        <v/>
      </c>
      <c r="F451" s="63" t="str" cm="1">
        <f t="array" ref="F451">IF(B451="","",0.1+IFERROR(INDEX($F$6:$F450,SUMPRODUCT(MAX(ROW($C$6:$C450)*($C451=$C$6:$C450))-ROW($A$5)))*0.9^($A451-INDEX($A$6:A450,SUMPRODUCT(MAX(ROW($C$6:$C450)*($C451=$C$6:$C450))-ROW($A$5)))),0))</f>
        <v/>
      </c>
      <c r="G451" s="64" t="e">
        <f>INDEX('Exercise list'!$Y$5:$Y$102,MATCH(C451,'Exercise list'!$C$5:$C$102,0))</f>
        <v>#N/A</v>
      </c>
      <c r="H451" s="115">
        <f t="shared" si="319"/>
        <v>0</v>
      </c>
      <c r="I451" s="6">
        <f t="shared" si="320"/>
        <v>5</v>
      </c>
      <c r="J451" s="6" t="str" cm="1">
        <f t="array" ref="J451">IF(B451="","",INDEX('Exercise list'!$D$5:$D$102,B451))</f>
        <v/>
      </c>
      <c r="K451" s="12"/>
      <c r="L451" s="74" t="str" cm="1">
        <f t="array" ref="L451">IF(K451="","",INDEX('Exercise list'!$C$5:$C$102,K451))</f>
        <v/>
      </c>
      <c r="M451" s="6"/>
      <c r="N451" s="75" t="str" cm="1">
        <f t="array" ref="N451">IF(M451="","",INDEX('Exercise list'!$C$5:$C$102,M451))</f>
        <v/>
      </c>
      <c r="P451">
        <f>IFERROR(INDEX('Exercise list'!$E$5:$X$102,MATCH($C451,'Exercise list'!$C$5:$C$102,0),MATCH(P$5,'Exercise list'!$E$4:$X$4,0)),0)</f>
        <v>0</v>
      </c>
      <c r="Q451">
        <f>IFERROR(INDEX('Exercise list'!$E$5:$X$102,MATCH($C451,'Exercise list'!$C$5:$C$102,0),MATCH(Q$5,'Exercise list'!$E$4:$X$4,0)),0)</f>
        <v>0</v>
      </c>
      <c r="R451">
        <f>IFERROR(INDEX('Exercise list'!$E$5:$X$102,MATCH($C451,'Exercise list'!$C$5:$C$102,0),MATCH(R$5,'Exercise list'!$E$4:$X$4,0)),0)</f>
        <v>0</v>
      </c>
      <c r="S451">
        <f>IFERROR(INDEX('Exercise list'!$E$5:$X$102,MATCH($C451,'Exercise list'!$C$5:$C$102,0),MATCH(S$5,'Exercise list'!$E$4:$X$4,0)),0)</f>
        <v>0</v>
      </c>
      <c r="T451">
        <f>IFERROR(INDEX('Exercise list'!$E$5:$X$102,MATCH($C451,'Exercise list'!$C$5:$C$102,0),MATCH(T$5,'Exercise list'!$E$4:$X$4,0)),0)</f>
        <v>0</v>
      </c>
      <c r="U451">
        <f>IFERROR(INDEX('Exercise list'!$E$5:$X$102,MATCH($C451,'Exercise list'!$C$5:$C$102,0),MATCH(U$5,'Exercise list'!$E$4:$X$4,0)),0)</f>
        <v>0</v>
      </c>
      <c r="V451">
        <f>IFERROR(INDEX('Exercise list'!$E$5:$X$102,MATCH($C451,'Exercise list'!$C$5:$C$102,0),MATCH(V$5,'Exercise list'!$E$4:$X$4,0)),0)</f>
        <v>0</v>
      </c>
      <c r="W451">
        <f>IFERROR(INDEX('Exercise list'!$E$5:$X$102,MATCH($C451,'Exercise list'!$C$5:$C$102,0),MATCH(W$5,'Exercise list'!$E$4:$X$4,0)),0)</f>
        <v>0</v>
      </c>
      <c r="X451">
        <f>IFERROR(INDEX('Exercise list'!$E$5:$X$102,MATCH($C451,'Exercise list'!$C$5:$C$102,0),MATCH(X$5,'Exercise list'!$E$4:$X$4,0)),0)</f>
        <v>0</v>
      </c>
      <c r="Y451">
        <f>IFERROR(INDEX('Exercise list'!$E$5:$X$102,MATCH($C451,'Exercise list'!$C$5:$C$102,0),MATCH(Y$5,'Exercise list'!$E$4:$X$4,0)),0)</f>
        <v>0</v>
      </c>
      <c r="Z451">
        <f>IFERROR(INDEX('Exercise list'!$E$5:$X$102,MATCH($C451,'Exercise list'!$C$5:$C$102,0),MATCH(Z$5,'Exercise list'!$E$4:$X$4,0)),0)</f>
        <v>0</v>
      </c>
      <c r="AA451">
        <f>IFERROR(INDEX('Exercise list'!$E$5:$X$102,MATCH($C451,'Exercise list'!$C$5:$C$102,0),MATCH(AA$5,'Exercise list'!$E$4:$X$4,0)),0)</f>
        <v>0</v>
      </c>
      <c r="AB451">
        <f>IFERROR(INDEX('Exercise list'!$E$5:$X$102,MATCH($C451,'Exercise list'!$C$5:$C$102,0),MATCH(AB$5,'Exercise list'!$E$4:$X$4,0)),0)</f>
        <v>0</v>
      </c>
      <c r="AC451">
        <f>IFERROR(INDEX('Exercise list'!$E$5:$X$102,MATCH($C451,'Exercise list'!$C$5:$C$102,0),MATCH(AC$5,'Exercise list'!$E$4:$X$4,0)),0)</f>
        <v>0</v>
      </c>
      <c r="AD451">
        <f>IFERROR(INDEX('Exercise list'!$E$5:$X$102,MATCH($C451,'Exercise list'!$C$5:$C$102,0),MATCH(AD$5,'Exercise list'!$E$4:$X$4,0)),0)</f>
        <v>0</v>
      </c>
      <c r="AE451">
        <f>IFERROR(INDEX('Exercise list'!$E$5:$X$102,MATCH($C451,'Exercise list'!$C$5:$C$102,0),MATCH(AE$5,'Exercise list'!$E$4:$X$4,0)),0)</f>
        <v>0</v>
      </c>
      <c r="AF451">
        <f>IFERROR(INDEX('Exercise list'!$E$5:$X$102,MATCH($C451,'Exercise list'!$C$5:$C$102,0),MATCH(AF$5,'Exercise list'!$E$4:$X$4,0)),0)</f>
        <v>0</v>
      </c>
      <c r="AG451">
        <f>IFERROR(INDEX('Exercise list'!$E$5:$X$102,MATCH($C451,'Exercise list'!$C$5:$C$102,0),MATCH(AG$5,'Exercise list'!$E$4:$X$4,0)),0)</f>
        <v>0</v>
      </c>
      <c r="AH451">
        <f>IFERROR(INDEX('Exercise list'!$E$5:$X$102,MATCH($C451,'Exercise list'!$C$5:$C$102,0),MATCH(AH$5,'Exercise list'!$E$4:$X$4,0)),0)</f>
        <v>0</v>
      </c>
      <c r="AI451">
        <f>IFERROR(INDEX('Exercise list'!$E$5:$X$102,MATCH($C451,'Exercise list'!$C$5:$C$102,0),MATCH(AI$5,'Exercise list'!$E$4:$X$4,0)),0)</f>
        <v>0</v>
      </c>
      <c r="AK451">
        <f>IF(OR($J451=1,COUNTIFS($A$5:$A450,"&gt;="&amp;$A451-1,$A$5:$A450,"&lt;="&amp;$A451,$B$5:$B450,$B451)&gt;0,MIN(1-'Exercise list'!E$2,IF($A451=$A450,AK450,1))-P451&lt;0),-1,MIN(1,IF($A451=$A450,AK450,1)-P451+$D$2))</f>
        <v>1</v>
      </c>
      <c r="AL451">
        <f>IF(OR($J451=1,COUNTIFS($A$5:$A450,"&gt;="&amp;$A451-1,$A$5:$A450,"&lt;="&amp;$A451,$B$5:$B450,$B451)&gt;0,MIN(1-'Exercise list'!F$2,IF($A451=$A450,AL450,1))-Q451&lt;0),-1,MIN(1,IF($A451=$A450,AL450,1)-Q451+$D$2))</f>
        <v>1</v>
      </c>
      <c r="AM451">
        <f>IF(OR($J451=1,COUNTIFS($A$5:$A450,"&gt;="&amp;$A451-1,$A$5:$A450,"&lt;="&amp;$A451,$B$5:$B450,$B451)&gt;0,MIN(1-'Exercise list'!G$2,IF($A451=$A450,AM450,1))-R451&lt;0),-1,MIN(1,IF($A451=$A450,AM450,1)-R451+$D$2))</f>
        <v>1</v>
      </c>
      <c r="AN451">
        <f>IF(OR($J451=1,COUNTIFS($A$5:$A450,"&gt;="&amp;$A451-1,$A$5:$A450,"&lt;="&amp;$A451,$B$5:$B450,$B451)&gt;0,MIN(1-'Exercise list'!H$2,IF($A451=$A450,AN450,1))-S451&lt;0),-1,MIN(1,IF($A451=$A450,AN450,1)-S451+$D$2))</f>
        <v>1</v>
      </c>
      <c r="AO451">
        <f>IF(OR($J451=1,COUNTIFS($A$5:$A450,"&gt;="&amp;$A451-1,$A$5:$A450,"&lt;="&amp;$A451,$B$5:$B450,$B451)&gt;0,MIN(1-'Exercise list'!I$2,IF($A451=$A450,AO450,1))-T451&lt;0),-1,MIN(1,IF($A451=$A450,AO450,1)-T451+$D$2))</f>
        <v>1</v>
      </c>
      <c r="AP451">
        <f>IF(OR($J451=1,COUNTIFS($A$5:$A450,"&gt;="&amp;$A451-1,$A$5:$A450,"&lt;="&amp;$A451,$B$5:$B450,$B451)&gt;0,MIN(1-'Exercise list'!J$2,IF($A451=$A450,AP450,1))-U451&lt;0),-1,MIN(1,IF($A451=$A450,AP450,1)-U451+$D$2))</f>
        <v>1</v>
      </c>
      <c r="AQ451">
        <f>IF(OR($J451=1,COUNTIFS($A$5:$A450,"&gt;="&amp;$A451-1,$A$5:$A450,"&lt;="&amp;$A451,$B$5:$B450,$B451)&gt;0,MIN(1-'Exercise list'!K$2,IF($A451=$A450,AQ450,1))-V451&lt;0),-1,MIN(1,IF($A451=$A450,AQ450,1)-V451+$D$2))</f>
        <v>1</v>
      </c>
      <c r="AR451">
        <f>IF(OR($J451=1,COUNTIFS($A$5:$A450,"&gt;="&amp;$A451-1,$A$5:$A450,"&lt;="&amp;$A451,$B$5:$B450,$B451)&gt;0,MIN(1-'Exercise list'!L$2,IF($A451=$A450,AR450,1))-W451&lt;0),-1,MIN(1,IF($A451=$A450,AR450,1)-W451+$D$2))</f>
        <v>1</v>
      </c>
      <c r="AS451">
        <f>IF(OR($J451=1,COUNTIFS($A$5:$A450,"&gt;="&amp;$A451-1,$A$5:$A450,"&lt;="&amp;$A451,$B$5:$B450,$B451)&gt;0,MIN(1-'Exercise list'!M$2,IF($A451=$A450,AS450,1))-X451&lt;0),-1,MIN(1,IF($A451=$A450,AS450,1)-X451+$D$2))</f>
        <v>1</v>
      </c>
      <c r="AT451">
        <f>IF(OR($J451=1,COUNTIFS($A$5:$A450,"&gt;="&amp;$A451-1,$A$5:$A450,"&lt;="&amp;$A451,$B$5:$B450,$B451)&gt;0,MIN(1-'Exercise list'!N$2,IF($A451=$A450,AT450,1))-Y451&lt;0),-1,MIN(1,IF($A451=$A450,AT450,1)-Y451+$D$2))</f>
        <v>1</v>
      </c>
      <c r="AU451">
        <f>IF(OR($J451=1,COUNTIFS($A$5:$A450,"&gt;="&amp;$A451-1,$A$5:$A450,"&lt;="&amp;$A451,$B$5:$B450,$B451)&gt;0,MIN(1-'Exercise list'!O$2,IF($A451=$A450,AU450,1))-Z451&lt;0),-1,MIN(1,IF($A451=$A450,AU450,1)-Z451+$D$2))</f>
        <v>1</v>
      </c>
      <c r="AV451">
        <f>IF(OR($J451=1,COUNTIFS($A$5:$A450,"&gt;="&amp;$A451-1,$A$5:$A450,"&lt;="&amp;$A451,$B$5:$B450,$B451)&gt;0,MIN(1-'Exercise list'!P$2,IF($A451=$A450,AV450,1))-AA451&lt;0),-1,MIN(1,IF($A451=$A450,AV450,1)-AA451+$D$2))</f>
        <v>1</v>
      </c>
      <c r="AW451">
        <f>IF(OR($J451=1,COUNTIFS($A$5:$A450,"&gt;="&amp;$A451-1,$A$5:$A450,"&lt;="&amp;$A451,$B$5:$B450,$B451)&gt;0,MIN(1-'Exercise list'!Q$2,IF($A451=$A450,AW450,1))-AB451&lt;0),-1,MIN(1,IF($A451=$A450,AW450,1)-AB451+$D$2))</f>
        <v>1</v>
      </c>
      <c r="AX451">
        <f>IF(OR($J451=1,COUNTIFS($A$5:$A450,"&gt;="&amp;$A451-1,$A$5:$A450,"&lt;="&amp;$A451,$B$5:$B450,$B451)&gt;0,MIN(1-'Exercise list'!R$2,IF($A451=$A450,AX450,1))-AC451&lt;0),-1,MIN(1,IF($A451=$A450,AX450,1)-AC451+$D$2))</f>
        <v>1</v>
      </c>
      <c r="AY451">
        <f>IF(OR($J451=1,COUNTIFS($A$5:$A450,"&gt;="&amp;$A451-1,$A$5:$A450,"&lt;="&amp;$A451,$B$5:$B450,$B451)&gt;0,MIN(1-'Exercise list'!S$2,IF($A451=$A450,AY450,1))-AD451&lt;0),-1,MIN(1,IF($A451=$A450,AY450,1)-AD451+$D$2))</f>
        <v>1</v>
      </c>
      <c r="AZ451">
        <f>IF(OR($J451=1,COUNTIFS($A$5:$A450,"&gt;="&amp;$A451-1,$A$5:$A450,"&lt;="&amp;$A451,$B$5:$B450,$B451)&gt;0,MIN(1-'Exercise list'!T$2,IF($A451=$A450,AZ450,1))-AE451&lt;0),-1,MIN(1,IF($A451=$A450,AZ450,1)-AE451+$D$2))</f>
        <v>1</v>
      </c>
      <c r="BA451">
        <f>IF(OR($J451=1,COUNTIFS($A$5:$A450,"&gt;="&amp;$A451-1,$A$5:$A450,"&lt;="&amp;$A451,$B$5:$B450,$B451)&gt;0,MIN(1-'Exercise list'!U$2,IF($A451=$A450,BA450,1))-AF451&lt;0),-1,MIN(1,IF($A451=$A450,BA450,1)-AF451+$D$2))</f>
        <v>1</v>
      </c>
      <c r="BB451">
        <f>IF(OR($J451=1,COUNTIFS($A$5:$A450,"&gt;="&amp;$A451-1,$A$5:$A450,"&lt;="&amp;$A451,$B$5:$B450,$B451)&gt;0,MIN(1-'Exercise list'!V$2,IF($A451=$A450,BB450,1))-AG451&lt;0),-1,MIN(1,IF($A451=$A450,BB450,1)-AG451+$D$2))</f>
        <v>1</v>
      </c>
      <c r="BC451">
        <f>IF(OR($J451=1,COUNTIFS($A$5:$A450,"&gt;="&amp;$A451-1,$A$5:$A450,"&lt;="&amp;$A451,$B$5:$B450,$B451)&gt;0,MIN(1-'Exercise list'!W$2,IF($A451=$A450,BC450,1))-AH451&lt;0),-1,MIN(1,IF($A451=$A450,BC450,1)-AH451+$D$2))</f>
        <v>1</v>
      </c>
      <c r="BD451">
        <f>IF(OR($J451=1,COUNTIFS($A$5:$A450,"&gt;="&amp;$A451-1,$A$5:$A450,"&lt;="&amp;$A451,$B$5:$B450,$B451)&gt;0,MIN(1-'Exercise list'!X$2,IF($A451=$A450,BD450,1))-AI451&lt;0),-1,MIN(1,IF($A451=$A450,BD450,1)-AI451+$D$2))</f>
        <v>1</v>
      </c>
      <c r="BF451" s="16">
        <f t="shared" si="321"/>
        <v>0.19596031081758858</v>
      </c>
      <c r="BG451" s="16">
        <f t="shared" si="322"/>
        <v>0.21844636935459236</v>
      </c>
      <c r="BH451" s="16">
        <f t="shared" si="323"/>
        <v>0.14609696635987124</v>
      </c>
      <c r="BI451" s="16">
        <f t="shared" si="324"/>
        <v>0.13198015366034541</v>
      </c>
      <c r="BJ451" s="16">
        <f t="shared" si="325"/>
        <v>8.3367914198418713E-2</v>
      </c>
      <c r="BK451" s="16">
        <f t="shared" si="326"/>
        <v>0.10640640223148412</v>
      </c>
      <c r="BL451" s="16">
        <f t="shared" si="327"/>
        <v>0.21963504743569431</v>
      </c>
      <c r="BM451" s="16">
        <f t="shared" si="328"/>
        <v>3.8988008374820568E-3</v>
      </c>
      <c r="BN451" s="16">
        <f t="shared" si="329"/>
        <v>0.14537706087090876</v>
      </c>
      <c r="BO451" s="16">
        <f t="shared" si="330"/>
        <v>0.29209790661993401</v>
      </c>
      <c r="BP451" s="16">
        <f t="shared" si="331"/>
        <v>0.31584545163401867</v>
      </c>
      <c r="BQ451" s="16">
        <f t="shared" si="332"/>
        <v>0.1000007994126096</v>
      </c>
      <c r="BR451" s="16">
        <f t="shared" si="333"/>
        <v>0.13164487759885393</v>
      </c>
      <c r="BS451" s="16">
        <f t="shared" si="334"/>
        <v>2.9803550189863123E-2</v>
      </c>
      <c r="BT451" s="16">
        <f t="shared" si="335"/>
        <v>0.13492040904978705</v>
      </c>
      <c r="BU451" s="16">
        <f t="shared" si="336"/>
        <v>0.11703687414398131</v>
      </c>
      <c r="BV451" s="16">
        <f t="shared" si="337"/>
        <v>0.14633353213781661</v>
      </c>
      <c r="BW451" s="16">
        <f t="shared" si="338"/>
        <v>7.5588015111767173E-2</v>
      </c>
      <c r="BX451" s="16">
        <f t="shared" si="339"/>
        <v>8.0345659937185704E-2</v>
      </c>
      <c r="BY451" s="16">
        <f t="shared" si="340"/>
        <v>5.9014643151272549E-2</v>
      </c>
      <c r="CA451" s="16" t="str">
        <f t="shared" si="317"/>
        <v/>
      </c>
      <c r="CB451" s="16" t="str">
        <f t="shared" si="298"/>
        <v/>
      </c>
      <c r="CC451" s="16" t="str">
        <f t="shared" si="299"/>
        <v/>
      </c>
      <c r="CD451" s="16" t="str">
        <f t="shared" si="300"/>
        <v/>
      </c>
      <c r="CE451" s="16" t="str">
        <f t="shared" si="301"/>
        <v/>
      </c>
      <c r="CF451" s="16" t="str">
        <f t="shared" si="302"/>
        <v/>
      </c>
      <c r="CG451" s="16" t="str">
        <f t="shared" si="303"/>
        <v/>
      </c>
      <c r="CH451" s="16" t="str">
        <f t="shared" si="304"/>
        <v/>
      </c>
      <c r="CI451" s="16" t="str">
        <f t="shared" si="305"/>
        <v/>
      </c>
      <c r="CJ451" s="16" t="str">
        <f t="shared" si="306"/>
        <v/>
      </c>
      <c r="CK451" s="16" t="str">
        <f t="shared" si="307"/>
        <v/>
      </c>
      <c r="CL451" s="16" t="str">
        <f t="shared" si="308"/>
        <v/>
      </c>
      <c r="CM451" s="16" t="str">
        <f t="shared" si="309"/>
        <v/>
      </c>
      <c r="CN451" s="16" t="str">
        <f t="shared" si="310"/>
        <v/>
      </c>
      <c r="CO451" s="16" t="str">
        <f t="shared" si="311"/>
        <v/>
      </c>
      <c r="CP451" s="16" t="str">
        <f t="shared" si="312"/>
        <v/>
      </c>
      <c r="CQ451" s="16" t="str">
        <f t="shared" si="313"/>
        <v/>
      </c>
      <c r="CR451" s="16" t="str">
        <f t="shared" si="314"/>
        <v/>
      </c>
      <c r="CS451" s="16" t="str">
        <f t="shared" si="315"/>
        <v/>
      </c>
      <c r="CT451" s="16" t="str">
        <f t="shared" si="316"/>
        <v/>
      </c>
    </row>
    <row r="452" spans="1:99" x14ac:dyDescent="0.25">
      <c r="A452" s="13"/>
      <c r="B452" s="14"/>
      <c r="C452" s="15" t="str" cm="1">
        <f t="array" ref="C452">IF(B452="","",INDEX('Exercise list'!$C$5:$C$102,B452))</f>
        <v/>
      </c>
      <c r="D452" s="12" t="str">
        <f t="shared" si="318"/>
        <v/>
      </c>
      <c r="E452" s="107" t="str">
        <f t="shared" si="341"/>
        <v/>
      </c>
      <c r="F452" s="63" t="str" cm="1">
        <f t="array" ref="F452">IF(B452="","",0.1+IFERROR(INDEX($F$6:$F451,SUMPRODUCT(MAX(ROW($C$6:$C451)*($C452=$C$6:$C451))-ROW($A$5)))*0.9^($A452-INDEX($A$6:A451,SUMPRODUCT(MAX(ROW($C$6:$C451)*($C452=$C$6:$C451))-ROW($A$5)))),0))</f>
        <v/>
      </c>
      <c r="G452" s="64" t="e">
        <f>INDEX('Exercise list'!$Y$5:$Y$102,MATCH(C452,'Exercise list'!$C$5:$C$102,0))</f>
        <v>#N/A</v>
      </c>
      <c r="H452" s="115">
        <f t="shared" si="319"/>
        <v>0</v>
      </c>
      <c r="I452" s="6">
        <f t="shared" si="320"/>
        <v>5</v>
      </c>
      <c r="J452" s="6" t="str" cm="1">
        <f t="array" ref="J452">IF(B452="","",INDEX('Exercise list'!$D$5:$D$102,B452))</f>
        <v/>
      </c>
      <c r="K452" s="12"/>
      <c r="L452" s="74" t="str" cm="1">
        <f t="array" ref="L452">IF(K452="","",INDEX('Exercise list'!$C$5:$C$102,K452))</f>
        <v/>
      </c>
      <c r="M452" s="6"/>
      <c r="N452" s="75" t="str" cm="1">
        <f t="array" ref="N452">IF(M452="","",INDEX('Exercise list'!$C$5:$C$102,M452))</f>
        <v/>
      </c>
      <c r="P452">
        <f>IFERROR(INDEX('Exercise list'!$E$5:$X$102,MATCH($C452,'Exercise list'!$C$5:$C$102,0),MATCH(P$5,'Exercise list'!$E$4:$X$4,0)),0)</f>
        <v>0</v>
      </c>
      <c r="Q452">
        <f>IFERROR(INDEX('Exercise list'!$E$5:$X$102,MATCH($C452,'Exercise list'!$C$5:$C$102,0),MATCH(Q$5,'Exercise list'!$E$4:$X$4,0)),0)</f>
        <v>0</v>
      </c>
      <c r="R452">
        <f>IFERROR(INDEX('Exercise list'!$E$5:$X$102,MATCH($C452,'Exercise list'!$C$5:$C$102,0),MATCH(R$5,'Exercise list'!$E$4:$X$4,0)),0)</f>
        <v>0</v>
      </c>
      <c r="S452">
        <f>IFERROR(INDEX('Exercise list'!$E$5:$X$102,MATCH($C452,'Exercise list'!$C$5:$C$102,0),MATCH(S$5,'Exercise list'!$E$4:$X$4,0)),0)</f>
        <v>0</v>
      </c>
      <c r="T452">
        <f>IFERROR(INDEX('Exercise list'!$E$5:$X$102,MATCH($C452,'Exercise list'!$C$5:$C$102,0),MATCH(T$5,'Exercise list'!$E$4:$X$4,0)),0)</f>
        <v>0</v>
      </c>
      <c r="U452">
        <f>IFERROR(INDEX('Exercise list'!$E$5:$X$102,MATCH($C452,'Exercise list'!$C$5:$C$102,0),MATCH(U$5,'Exercise list'!$E$4:$X$4,0)),0)</f>
        <v>0</v>
      </c>
      <c r="V452">
        <f>IFERROR(INDEX('Exercise list'!$E$5:$X$102,MATCH($C452,'Exercise list'!$C$5:$C$102,0),MATCH(V$5,'Exercise list'!$E$4:$X$4,0)),0)</f>
        <v>0</v>
      </c>
      <c r="W452">
        <f>IFERROR(INDEX('Exercise list'!$E$5:$X$102,MATCH($C452,'Exercise list'!$C$5:$C$102,0),MATCH(W$5,'Exercise list'!$E$4:$X$4,0)),0)</f>
        <v>0</v>
      </c>
      <c r="X452">
        <f>IFERROR(INDEX('Exercise list'!$E$5:$X$102,MATCH($C452,'Exercise list'!$C$5:$C$102,0),MATCH(X$5,'Exercise list'!$E$4:$X$4,0)),0)</f>
        <v>0</v>
      </c>
      <c r="Y452">
        <f>IFERROR(INDEX('Exercise list'!$E$5:$X$102,MATCH($C452,'Exercise list'!$C$5:$C$102,0),MATCH(Y$5,'Exercise list'!$E$4:$X$4,0)),0)</f>
        <v>0</v>
      </c>
      <c r="Z452">
        <f>IFERROR(INDEX('Exercise list'!$E$5:$X$102,MATCH($C452,'Exercise list'!$C$5:$C$102,0),MATCH(Z$5,'Exercise list'!$E$4:$X$4,0)),0)</f>
        <v>0</v>
      </c>
      <c r="AA452">
        <f>IFERROR(INDEX('Exercise list'!$E$5:$X$102,MATCH($C452,'Exercise list'!$C$5:$C$102,0),MATCH(AA$5,'Exercise list'!$E$4:$X$4,0)),0)</f>
        <v>0</v>
      </c>
      <c r="AB452">
        <f>IFERROR(INDEX('Exercise list'!$E$5:$X$102,MATCH($C452,'Exercise list'!$C$5:$C$102,0),MATCH(AB$5,'Exercise list'!$E$4:$X$4,0)),0)</f>
        <v>0</v>
      </c>
      <c r="AC452">
        <f>IFERROR(INDEX('Exercise list'!$E$5:$X$102,MATCH($C452,'Exercise list'!$C$5:$C$102,0),MATCH(AC$5,'Exercise list'!$E$4:$X$4,0)),0)</f>
        <v>0</v>
      </c>
      <c r="AD452">
        <f>IFERROR(INDEX('Exercise list'!$E$5:$X$102,MATCH($C452,'Exercise list'!$C$5:$C$102,0),MATCH(AD$5,'Exercise list'!$E$4:$X$4,0)),0)</f>
        <v>0</v>
      </c>
      <c r="AE452">
        <f>IFERROR(INDEX('Exercise list'!$E$5:$X$102,MATCH($C452,'Exercise list'!$C$5:$C$102,0),MATCH(AE$5,'Exercise list'!$E$4:$X$4,0)),0)</f>
        <v>0</v>
      </c>
      <c r="AF452">
        <f>IFERROR(INDEX('Exercise list'!$E$5:$X$102,MATCH($C452,'Exercise list'!$C$5:$C$102,0),MATCH(AF$5,'Exercise list'!$E$4:$X$4,0)),0)</f>
        <v>0</v>
      </c>
      <c r="AG452">
        <f>IFERROR(INDEX('Exercise list'!$E$5:$X$102,MATCH($C452,'Exercise list'!$C$5:$C$102,0),MATCH(AG$5,'Exercise list'!$E$4:$X$4,0)),0)</f>
        <v>0</v>
      </c>
      <c r="AH452">
        <f>IFERROR(INDEX('Exercise list'!$E$5:$X$102,MATCH($C452,'Exercise list'!$C$5:$C$102,0),MATCH(AH$5,'Exercise list'!$E$4:$X$4,0)),0)</f>
        <v>0</v>
      </c>
      <c r="AI452">
        <f>IFERROR(INDEX('Exercise list'!$E$5:$X$102,MATCH($C452,'Exercise list'!$C$5:$C$102,0),MATCH(AI$5,'Exercise list'!$E$4:$X$4,0)),0)</f>
        <v>0</v>
      </c>
      <c r="AK452">
        <f>IF(OR($J452=1,COUNTIFS($A$5:$A451,"&gt;="&amp;$A452-1,$A$5:$A451,"&lt;="&amp;$A452,$B$5:$B451,$B452)&gt;0,MIN(1-'Exercise list'!E$2,IF($A452=$A451,AK451,1))-P452&lt;0),-1,MIN(1,IF($A452=$A451,AK451,1)-P452+$D$2))</f>
        <v>1</v>
      </c>
      <c r="AL452">
        <f>IF(OR($J452=1,COUNTIFS($A$5:$A451,"&gt;="&amp;$A452-1,$A$5:$A451,"&lt;="&amp;$A452,$B$5:$B451,$B452)&gt;0,MIN(1-'Exercise list'!F$2,IF($A452=$A451,AL451,1))-Q452&lt;0),-1,MIN(1,IF($A452=$A451,AL451,1)-Q452+$D$2))</f>
        <v>1</v>
      </c>
      <c r="AM452">
        <f>IF(OR($J452=1,COUNTIFS($A$5:$A451,"&gt;="&amp;$A452-1,$A$5:$A451,"&lt;="&amp;$A452,$B$5:$B451,$B452)&gt;0,MIN(1-'Exercise list'!G$2,IF($A452=$A451,AM451,1))-R452&lt;0),-1,MIN(1,IF($A452=$A451,AM451,1)-R452+$D$2))</f>
        <v>1</v>
      </c>
      <c r="AN452">
        <f>IF(OR($J452=1,COUNTIFS($A$5:$A451,"&gt;="&amp;$A452-1,$A$5:$A451,"&lt;="&amp;$A452,$B$5:$B451,$B452)&gt;0,MIN(1-'Exercise list'!H$2,IF($A452=$A451,AN451,1))-S452&lt;0),-1,MIN(1,IF($A452=$A451,AN451,1)-S452+$D$2))</f>
        <v>1</v>
      </c>
      <c r="AO452">
        <f>IF(OR($J452=1,COUNTIFS($A$5:$A451,"&gt;="&amp;$A452-1,$A$5:$A451,"&lt;="&amp;$A452,$B$5:$B451,$B452)&gt;0,MIN(1-'Exercise list'!I$2,IF($A452=$A451,AO451,1))-T452&lt;0),-1,MIN(1,IF($A452=$A451,AO451,1)-T452+$D$2))</f>
        <v>1</v>
      </c>
      <c r="AP452">
        <f>IF(OR($J452=1,COUNTIFS($A$5:$A451,"&gt;="&amp;$A452-1,$A$5:$A451,"&lt;="&amp;$A452,$B$5:$B451,$B452)&gt;0,MIN(1-'Exercise list'!J$2,IF($A452=$A451,AP451,1))-U452&lt;0),-1,MIN(1,IF($A452=$A451,AP451,1)-U452+$D$2))</f>
        <v>1</v>
      </c>
      <c r="AQ452">
        <f>IF(OR($J452=1,COUNTIFS($A$5:$A451,"&gt;="&amp;$A452-1,$A$5:$A451,"&lt;="&amp;$A452,$B$5:$B451,$B452)&gt;0,MIN(1-'Exercise list'!K$2,IF($A452=$A451,AQ451,1))-V452&lt;0),-1,MIN(1,IF($A452=$A451,AQ451,1)-V452+$D$2))</f>
        <v>1</v>
      </c>
      <c r="AR452">
        <f>IF(OR($J452=1,COUNTIFS($A$5:$A451,"&gt;="&amp;$A452-1,$A$5:$A451,"&lt;="&amp;$A452,$B$5:$B451,$B452)&gt;0,MIN(1-'Exercise list'!L$2,IF($A452=$A451,AR451,1))-W452&lt;0),-1,MIN(1,IF($A452=$A451,AR451,1)-W452+$D$2))</f>
        <v>1</v>
      </c>
      <c r="AS452">
        <f>IF(OR($J452=1,COUNTIFS($A$5:$A451,"&gt;="&amp;$A452-1,$A$5:$A451,"&lt;="&amp;$A452,$B$5:$B451,$B452)&gt;0,MIN(1-'Exercise list'!M$2,IF($A452=$A451,AS451,1))-X452&lt;0),-1,MIN(1,IF($A452=$A451,AS451,1)-X452+$D$2))</f>
        <v>1</v>
      </c>
      <c r="AT452">
        <f>IF(OR($J452=1,COUNTIFS($A$5:$A451,"&gt;="&amp;$A452-1,$A$5:$A451,"&lt;="&amp;$A452,$B$5:$B451,$B452)&gt;0,MIN(1-'Exercise list'!N$2,IF($A452=$A451,AT451,1))-Y452&lt;0),-1,MIN(1,IF($A452=$A451,AT451,1)-Y452+$D$2))</f>
        <v>1</v>
      </c>
      <c r="AU452">
        <f>IF(OR($J452=1,COUNTIFS($A$5:$A451,"&gt;="&amp;$A452-1,$A$5:$A451,"&lt;="&amp;$A452,$B$5:$B451,$B452)&gt;0,MIN(1-'Exercise list'!O$2,IF($A452=$A451,AU451,1))-Z452&lt;0),-1,MIN(1,IF($A452=$A451,AU451,1)-Z452+$D$2))</f>
        <v>1</v>
      </c>
      <c r="AV452">
        <f>IF(OR($J452=1,COUNTIFS($A$5:$A451,"&gt;="&amp;$A452-1,$A$5:$A451,"&lt;="&amp;$A452,$B$5:$B451,$B452)&gt;0,MIN(1-'Exercise list'!P$2,IF($A452=$A451,AV451,1))-AA452&lt;0),-1,MIN(1,IF($A452=$A451,AV451,1)-AA452+$D$2))</f>
        <v>1</v>
      </c>
      <c r="AW452">
        <f>IF(OR($J452=1,COUNTIFS($A$5:$A451,"&gt;="&amp;$A452-1,$A$5:$A451,"&lt;="&amp;$A452,$B$5:$B451,$B452)&gt;0,MIN(1-'Exercise list'!Q$2,IF($A452=$A451,AW451,1))-AB452&lt;0),-1,MIN(1,IF($A452=$A451,AW451,1)-AB452+$D$2))</f>
        <v>1</v>
      </c>
      <c r="AX452">
        <f>IF(OR($J452=1,COUNTIFS($A$5:$A451,"&gt;="&amp;$A452-1,$A$5:$A451,"&lt;="&amp;$A452,$B$5:$B451,$B452)&gt;0,MIN(1-'Exercise list'!R$2,IF($A452=$A451,AX451,1))-AC452&lt;0),-1,MIN(1,IF($A452=$A451,AX451,1)-AC452+$D$2))</f>
        <v>1</v>
      </c>
      <c r="AY452">
        <f>IF(OR($J452=1,COUNTIFS($A$5:$A451,"&gt;="&amp;$A452-1,$A$5:$A451,"&lt;="&amp;$A452,$B$5:$B451,$B452)&gt;0,MIN(1-'Exercise list'!S$2,IF($A452=$A451,AY451,1))-AD452&lt;0),-1,MIN(1,IF($A452=$A451,AY451,1)-AD452+$D$2))</f>
        <v>1</v>
      </c>
      <c r="AZ452">
        <f>IF(OR($J452=1,COUNTIFS($A$5:$A451,"&gt;="&amp;$A452-1,$A$5:$A451,"&lt;="&amp;$A452,$B$5:$B451,$B452)&gt;0,MIN(1-'Exercise list'!T$2,IF($A452=$A451,AZ451,1))-AE452&lt;0),-1,MIN(1,IF($A452=$A451,AZ451,1)-AE452+$D$2))</f>
        <v>1</v>
      </c>
      <c r="BA452">
        <f>IF(OR($J452=1,COUNTIFS($A$5:$A451,"&gt;="&amp;$A452-1,$A$5:$A451,"&lt;="&amp;$A452,$B$5:$B451,$B452)&gt;0,MIN(1-'Exercise list'!U$2,IF($A452=$A451,BA451,1))-AF452&lt;0),-1,MIN(1,IF($A452=$A451,BA451,1)-AF452+$D$2))</f>
        <v>1</v>
      </c>
      <c r="BB452">
        <f>IF(OR($J452=1,COUNTIFS($A$5:$A451,"&gt;="&amp;$A452-1,$A$5:$A451,"&lt;="&amp;$A452,$B$5:$B451,$B452)&gt;0,MIN(1-'Exercise list'!V$2,IF($A452=$A451,BB451,1))-AG452&lt;0),-1,MIN(1,IF($A452=$A451,BB451,1)-AG452+$D$2))</f>
        <v>1</v>
      </c>
      <c r="BC452">
        <f>IF(OR($J452=1,COUNTIFS($A$5:$A451,"&gt;="&amp;$A452-1,$A$5:$A451,"&lt;="&amp;$A452,$B$5:$B451,$B452)&gt;0,MIN(1-'Exercise list'!W$2,IF($A452=$A451,BC451,1))-AH452&lt;0),-1,MIN(1,IF($A452=$A451,BC451,1)-AH452+$D$2))</f>
        <v>1</v>
      </c>
      <c r="BD452">
        <f>IF(OR($J452=1,COUNTIFS($A$5:$A451,"&gt;="&amp;$A452-1,$A$5:$A451,"&lt;="&amp;$A452,$B$5:$B451,$B452)&gt;0,MIN(1-'Exercise list'!X$2,IF($A452=$A451,BD451,1))-AI452&lt;0),-1,MIN(1,IF($A452=$A451,BD451,1)-AI452+$D$2))</f>
        <v>1</v>
      </c>
      <c r="BF452" s="16">
        <f t="shared" si="321"/>
        <v>0.19596031081758858</v>
      </c>
      <c r="BG452" s="16">
        <f t="shared" si="322"/>
        <v>0.21844636935459236</v>
      </c>
      <c r="BH452" s="16">
        <f t="shared" si="323"/>
        <v>0.14609696635987124</v>
      </c>
      <c r="BI452" s="16">
        <f t="shared" si="324"/>
        <v>0.13198015366034541</v>
      </c>
      <c r="BJ452" s="16">
        <f t="shared" si="325"/>
        <v>8.3367914198418713E-2</v>
      </c>
      <c r="BK452" s="16">
        <f t="shared" si="326"/>
        <v>0.10640640223148412</v>
      </c>
      <c r="BL452" s="16">
        <f t="shared" si="327"/>
        <v>0.21963504743569431</v>
      </c>
      <c r="BM452" s="16">
        <f t="shared" si="328"/>
        <v>3.8988008374820568E-3</v>
      </c>
      <c r="BN452" s="16">
        <f t="shared" si="329"/>
        <v>0.14537706087090876</v>
      </c>
      <c r="BO452" s="16">
        <f t="shared" si="330"/>
        <v>0.29209790661993401</v>
      </c>
      <c r="BP452" s="16">
        <f t="shared" si="331"/>
        <v>0.31584545163401867</v>
      </c>
      <c r="BQ452" s="16">
        <f t="shared" si="332"/>
        <v>0.1000007994126096</v>
      </c>
      <c r="BR452" s="16">
        <f t="shared" si="333"/>
        <v>0.13164487759885393</v>
      </c>
      <c r="BS452" s="16">
        <f t="shared" si="334"/>
        <v>2.9803550189863123E-2</v>
      </c>
      <c r="BT452" s="16">
        <f t="shared" si="335"/>
        <v>0.13492040904978705</v>
      </c>
      <c r="BU452" s="16">
        <f t="shared" si="336"/>
        <v>0.11703687414398131</v>
      </c>
      <c r="BV452" s="16">
        <f t="shared" si="337"/>
        <v>0.14633353213781661</v>
      </c>
      <c r="BW452" s="16">
        <f t="shared" si="338"/>
        <v>7.5588015111767173E-2</v>
      </c>
      <c r="BX452" s="16">
        <f t="shared" si="339"/>
        <v>8.0345659937185704E-2</v>
      </c>
      <c r="BY452" s="16">
        <f t="shared" si="340"/>
        <v>5.9014643151272549E-2</v>
      </c>
      <c r="CA452" s="16" t="str">
        <f t="shared" si="317"/>
        <v/>
      </c>
      <c r="CB452" s="16" t="str">
        <f t="shared" si="298"/>
        <v/>
      </c>
      <c r="CC452" s="16" t="str">
        <f t="shared" si="299"/>
        <v/>
      </c>
      <c r="CD452" s="16" t="str">
        <f t="shared" si="300"/>
        <v/>
      </c>
      <c r="CE452" s="16" t="str">
        <f t="shared" si="301"/>
        <v/>
      </c>
      <c r="CF452" s="16" t="str">
        <f t="shared" si="302"/>
        <v/>
      </c>
      <c r="CG452" s="16" t="str">
        <f t="shared" si="303"/>
        <v/>
      </c>
      <c r="CH452" s="16" t="str">
        <f t="shared" si="304"/>
        <v/>
      </c>
      <c r="CI452" s="16" t="str">
        <f t="shared" si="305"/>
        <v/>
      </c>
      <c r="CJ452" s="16" t="str">
        <f t="shared" si="306"/>
        <v/>
      </c>
      <c r="CK452" s="16" t="str">
        <f t="shared" si="307"/>
        <v/>
      </c>
      <c r="CL452" s="16" t="str">
        <f t="shared" si="308"/>
        <v/>
      </c>
      <c r="CM452" s="16" t="str">
        <f t="shared" si="309"/>
        <v/>
      </c>
      <c r="CN452" s="16" t="str">
        <f t="shared" si="310"/>
        <v/>
      </c>
      <c r="CO452" s="16" t="str">
        <f t="shared" si="311"/>
        <v/>
      </c>
      <c r="CP452" s="16" t="str">
        <f t="shared" si="312"/>
        <v/>
      </c>
      <c r="CQ452" s="16" t="str">
        <f t="shared" si="313"/>
        <v/>
      </c>
      <c r="CR452" s="16" t="str">
        <f t="shared" si="314"/>
        <v/>
      </c>
      <c r="CS452" s="16" t="str">
        <f t="shared" si="315"/>
        <v/>
      </c>
      <c r="CT452" s="16" t="str">
        <f t="shared" si="316"/>
        <v/>
      </c>
    </row>
    <row r="453" spans="1:99" x14ac:dyDescent="0.25">
      <c r="A453" s="20"/>
      <c r="B453" s="21"/>
      <c r="C453" s="22" t="str" cm="1">
        <f t="array" ref="C453">IF(B453="","",INDEX('Exercise list'!$C$5:$C$102,B453))</f>
        <v/>
      </c>
      <c r="D453" s="17" t="str">
        <f t="shared" si="318"/>
        <v/>
      </c>
      <c r="E453" s="108" t="str">
        <f t="shared" si="341"/>
        <v/>
      </c>
      <c r="F453" s="65" t="str" cm="1">
        <f t="array" ref="F453">IF(B453="","",0.1+IFERROR(INDEX($F$6:$F452,SUMPRODUCT(MAX(ROW($C$6:$C452)*($C453=$C$6:$C452))-ROW($A$5)))*0.9^($A453-INDEX($A$6:A452,SUMPRODUCT(MAX(ROW($C$6:$C452)*($C453=$C$6:$C452))-ROW($A$5)))),0))</f>
        <v/>
      </c>
      <c r="G453" s="25" t="e">
        <f>INDEX('Exercise list'!$Y$5:$Y$102,MATCH(C453,'Exercise list'!$C$5:$C$102,0))</f>
        <v>#N/A</v>
      </c>
      <c r="H453" s="116">
        <f t="shared" si="319"/>
        <v>0</v>
      </c>
      <c r="I453" s="18">
        <f t="shared" si="320"/>
        <v>5</v>
      </c>
      <c r="J453" s="18" t="str" cm="1">
        <f t="array" ref="J453">IF(B453="","",INDEX('Exercise list'!$D$5:$D$102,B453))</f>
        <v/>
      </c>
      <c r="K453" s="17"/>
      <c r="L453" s="51" t="str" cm="1">
        <f t="array" ref="L453">IF(K453="","",INDEX('Exercise list'!$C$5:$C$102,K453))</f>
        <v/>
      </c>
      <c r="M453" s="18"/>
      <c r="N453" s="76" t="str" cm="1">
        <f t="array" ref="N453">IF(M453="","",INDEX('Exercise list'!$C$5:$C$102,M453))</f>
        <v/>
      </c>
      <c r="O453" s="19"/>
      <c r="P453" s="19">
        <f>IFERROR(INDEX('Exercise list'!$E$5:$X$102,MATCH($C453,'Exercise list'!$C$5:$C$102,0),MATCH(P$5,'Exercise list'!$E$4:$X$4,0)),0)</f>
        <v>0</v>
      </c>
      <c r="Q453" s="19">
        <f>IFERROR(INDEX('Exercise list'!$E$5:$X$102,MATCH($C453,'Exercise list'!$C$5:$C$102,0),MATCH(Q$5,'Exercise list'!$E$4:$X$4,0)),0)</f>
        <v>0</v>
      </c>
      <c r="R453" s="19">
        <f>IFERROR(INDEX('Exercise list'!$E$5:$X$102,MATCH($C453,'Exercise list'!$C$5:$C$102,0),MATCH(R$5,'Exercise list'!$E$4:$X$4,0)),0)</f>
        <v>0</v>
      </c>
      <c r="S453" s="19">
        <f>IFERROR(INDEX('Exercise list'!$E$5:$X$102,MATCH($C453,'Exercise list'!$C$5:$C$102,0),MATCH(S$5,'Exercise list'!$E$4:$X$4,0)),0)</f>
        <v>0</v>
      </c>
      <c r="T453" s="19">
        <f>IFERROR(INDEX('Exercise list'!$E$5:$X$102,MATCH($C453,'Exercise list'!$C$5:$C$102,0),MATCH(T$5,'Exercise list'!$E$4:$X$4,0)),0)</f>
        <v>0</v>
      </c>
      <c r="U453" s="19">
        <f>IFERROR(INDEX('Exercise list'!$E$5:$X$102,MATCH($C453,'Exercise list'!$C$5:$C$102,0),MATCH(U$5,'Exercise list'!$E$4:$X$4,0)),0)</f>
        <v>0</v>
      </c>
      <c r="V453" s="19">
        <f>IFERROR(INDEX('Exercise list'!$E$5:$X$102,MATCH($C453,'Exercise list'!$C$5:$C$102,0),MATCH(V$5,'Exercise list'!$E$4:$X$4,0)),0)</f>
        <v>0</v>
      </c>
      <c r="W453" s="19">
        <f>IFERROR(INDEX('Exercise list'!$E$5:$X$102,MATCH($C453,'Exercise list'!$C$5:$C$102,0),MATCH(W$5,'Exercise list'!$E$4:$X$4,0)),0)</f>
        <v>0</v>
      </c>
      <c r="X453" s="19">
        <f>IFERROR(INDEX('Exercise list'!$E$5:$X$102,MATCH($C453,'Exercise list'!$C$5:$C$102,0),MATCH(X$5,'Exercise list'!$E$4:$X$4,0)),0)</f>
        <v>0</v>
      </c>
      <c r="Y453" s="19">
        <f>IFERROR(INDEX('Exercise list'!$E$5:$X$102,MATCH($C453,'Exercise list'!$C$5:$C$102,0),MATCH(Y$5,'Exercise list'!$E$4:$X$4,0)),0)</f>
        <v>0</v>
      </c>
      <c r="Z453" s="19">
        <f>IFERROR(INDEX('Exercise list'!$E$5:$X$102,MATCH($C453,'Exercise list'!$C$5:$C$102,0),MATCH(Z$5,'Exercise list'!$E$4:$X$4,0)),0)</f>
        <v>0</v>
      </c>
      <c r="AA453" s="19">
        <f>IFERROR(INDEX('Exercise list'!$E$5:$X$102,MATCH($C453,'Exercise list'!$C$5:$C$102,0),MATCH(AA$5,'Exercise list'!$E$4:$X$4,0)),0)</f>
        <v>0</v>
      </c>
      <c r="AB453" s="19">
        <f>IFERROR(INDEX('Exercise list'!$E$5:$X$102,MATCH($C453,'Exercise list'!$C$5:$C$102,0),MATCH(AB$5,'Exercise list'!$E$4:$X$4,0)),0)</f>
        <v>0</v>
      </c>
      <c r="AC453" s="19">
        <f>IFERROR(INDEX('Exercise list'!$E$5:$X$102,MATCH($C453,'Exercise list'!$C$5:$C$102,0),MATCH(AC$5,'Exercise list'!$E$4:$X$4,0)),0)</f>
        <v>0</v>
      </c>
      <c r="AD453" s="19">
        <f>IFERROR(INDEX('Exercise list'!$E$5:$X$102,MATCH($C453,'Exercise list'!$C$5:$C$102,0),MATCH(AD$5,'Exercise list'!$E$4:$X$4,0)),0)</f>
        <v>0</v>
      </c>
      <c r="AE453" s="19">
        <f>IFERROR(INDEX('Exercise list'!$E$5:$X$102,MATCH($C453,'Exercise list'!$C$5:$C$102,0),MATCH(AE$5,'Exercise list'!$E$4:$X$4,0)),0)</f>
        <v>0</v>
      </c>
      <c r="AF453" s="19">
        <f>IFERROR(INDEX('Exercise list'!$E$5:$X$102,MATCH($C453,'Exercise list'!$C$5:$C$102,0),MATCH(AF$5,'Exercise list'!$E$4:$X$4,0)),0)</f>
        <v>0</v>
      </c>
      <c r="AG453" s="19">
        <f>IFERROR(INDEX('Exercise list'!$E$5:$X$102,MATCH($C453,'Exercise list'!$C$5:$C$102,0),MATCH(AG$5,'Exercise list'!$E$4:$X$4,0)),0)</f>
        <v>0</v>
      </c>
      <c r="AH453" s="19">
        <f>IFERROR(INDEX('Exercise list'!$E$5:$X$102,MATCH($C453,'Exercise list'!$C$5:$C$102,0),MATCH(AH$5,'Exercise list'!$E$4:$X$4,0)),0)</f>
        <v>0</v>
      </c>
      <c r="AI453" s="19">
        <f>IFERROR(INDEX('Exercise list'!$E$5:$X$102,MATCH($C453,'Exercise list'!$C$5:$C$102,0),MATCH(AI$5,'Exercise list'!$E$4:$X$4,0)),0)</f>
        <v>0</v>
      </c>
      <c r="AJ453" s="19"/>
      <c r="AK453" s="19">
        <f>IF(OR($J453=1,COUNTIFS($A$5:$A452,"&gt;="&amp;$A453-1,$A$5:$A452,"&lt;="&amp;$A453,$B$5:$B452,$B453)&gt;0,MIN(1-'Exercise list'!E$2,IF($A453=$A452,AK452,1))-P453&lt;0),-1,MIN(1,IF($A453=$A452,AK452,1)-P453+$D$2))</f>
        <v>1</v>
      </c>
      <c r="AL453" s="19">
        <f>IF(OR($J453=1,COUNTIFS($A$5:$A452,"&gt;="&amp;$A453-1,$A$5:$A452,"&lt;="&amp;$A453,$B$5:$B452,$B453)&gt;0,MIN(1-'Exercise list'!F$2,IF($A453=$A452,AL452,1))-Q453&lt;0),-1,MIN(1,IF($A453=$A452,AL452,1)-Q453+$D$2))</f>
        <v>1</v>
      </c>
      <c r="AM453" s="19">
        <f>IF(OR($J453=1,COUNTIFS($A$5:$A452,"&gt;="&amp;$A453-1,$A$5:$A452,"&lt;="&amp;$A453,$B$5:$B452,$B453)&gt;0,MIN(1-'Exercise list'!G$2,IF($A453=$A452,AM452,1))-R453&lt;0),-1,MIN(1,IF($A453=$A452,AM452,1)-R453+$D$2))</f>
        <v>1</v>
      </c>
      <c r="AN453" s="19">
        <f>IF(OR($J453=1,COUNTIFS($A$5:$A452,"&gt;="&amp;$A453-1,$A$5:$A452,"&lt;="&amp;$A453,$B$5:$B452,$B453)&gt;0,MIN(1-'Exercise list'!H$2,IF($A453=$A452,AN452,1))-S453&lt;0),-1,MIN(1,IF($A453=$A452,AN452,1)-S453+$D$2))</f>
        <v>1</v>
      </c>
      <c r="AO453" s="19">
        <f>IF(OR($J453=1,COUNTIFS($A$5:$A452,"&gt;="&amp;$A453-1,$A$5:$A452,"&lt;="&amp;$A453,$B$5:$B452,$B453)&gt;0,MIN(1-'Exercise list'!I$2,IF($A453=$A452,AO452,1))-T453&lt;0),-1,MIN(1,IF($A453=$A452,AO452,1)-T453+$D$2))</f>
        <v>1</v>
      </c>
      <c r="AP453" s="19">
        <f>IF(OR($J453=1,COUNTIFS($A$5:$A452,"&gt;="&amp;$A453-1,$A$5:$A452,"&lt;="&amp;$A453,$B$5:$B452,$B453)&gt;0,MIN(1-'Exercise list'!J$2,IF($A453=$A452,AP452,1))-U453&lt;0),-1,MIN(1,IF($A453=$A452,AP452,1)-U453+$D$2))</f>
        <v>1</v>
      </c>
      <c r="AQ453" s="19">
        <f>IF(OR($J453=1,COUNTIFS($A$5:$A452,"&gt;="&amp;$A453-1,$A$5:$A452,"&lt;="&amp;$A453,$B$5:$B452,$B453)&gt;0,MIN(1-'Exercise list'!K$2,IF($A453=$A452,AQ452,1))-V453&lt;0),-1,MIN(1,IF($A453=$A452,AQ452,1)-V453+$D$2))</f>
        <v>1</v>
      </c>
      <c r="AR453" s="19">
        <f>IF(OR($J453=1,COUNTIFS($A$5:$A452,"&gt;="&amp;$A453-1,$A$5:$A452,"&lt;="&amp;$A453,$B$5:$B452,$B453)&gt;0,MIN(1-'Exercise list'!L$2,IF($A453=$A452,AR452,1))-W453&lt;0),-1,MIN(1,IF($A453=$A452,AR452,1)-W453+$D$2))</f>
        <v>1</v>
      </c>
      <c r="AS453" s="19">
        <f>IF(OR($J453=1,COUNTIFS($A$5:$A452,"&gt;="&amp;$A453-1,$A$5:$A452,"&lt;="&amp;$A453,$B$5:$B452,$B453)&gt;0,MIN(1-'Exercise list'!M$2,IF($A453=$A452,AS452,1))-X453&lt;0),-1,MIN(1,IF($A453=$A452,AS452,1)-X453+$D$2))</f>
        <v>1</v>
      </c>
      <c r="AT453" s="19">
        <f>IF(OR($J453=1,COUNTIFS($A$5:$A452,"&gt;="&amp;$A453-1,$A$5:$A452,"&lt;="&amp;$A453,$B$5:$B452,$B453)&gt;0,MIN(1-'Exercise list'!N$2,IF($A453=$A452,AT452,1))-Y453&lt;0),-1,MIN(1,IF($A453=$A452,AT452,1)-Y453+$D$2))</f>
        <v>1</v>
      </c>
      <c r="AU453" s="19">
        <f>IF(OR($J453=1,COUNTIFS($A$5:$A452,"&gt;="&amp;$A453-1,$A$5:$A452,"&lt;="&amp;$A453,$B$5:$B452,$B453)&gt;0,MIN(1-'Exercise list'!O$2,IF($A453=$A452,AU452,1))-Z453&lt;0),-1,MIN(1,IF($A453=$A452,AU452,1)-Z453+$D$2))</f>
        <v>1</v>
      </c>
      <c r="AV453" s="19">
        <f>IF(OR($J453=1,COUNTIFS($A$5:$A452,"&gt;="&amp;$A453-1,$A$5:$A452,"&lt;="&amp;$A453,$B$5:$B452,$B453)&gt;0,MIN(1-'Exercise list'!P$2,IF($A453=$A452,AV452,1))-AA453&lt;0),-1,MIN(1,IF($A453=$A452,AV452,1)-AA453+$D$2))</f>
        <v>1</v>
      </c>
      <c r="AW453" s="19">
        <f>IF(OR($J453=1,COUNTIFS($A$5:$A452,"&gt;="&amp;$A453-1,$A$5:$A452,"&lt;="&amp;$A453,$B$5:$B452,$B453)&gt;0,MIN(1-'Exercise list'!Q$2,IF($A453=$A452,AW452,1))-AB453&lt;0),-1,MIN(1,IF($A453=$A452,AW452,1)-AB453+$D$2))</f>
        <v>1</v>
      </c>
      <c r="AX453" s="19">
        <f>IF(OR($J453=1,COUNTIFS($A$5:$A452,"&gt;="&amp;$A453-1,$A$5:$A452,"&lt;="&amp;$A453,$B$5:$B452,$B453)&gt;0,MIN(1-'Exercise list'!R$2,IF($A453=$A452,AX452,1))-AC453&lt;0),-1,MIN(1,IF($A453=$A452,AX452,1)-AC453+$D$2))</f>
        <v>1</v>
      </c>
      <c r="AY453" s="19">
        <f>IF(OR($J453=1,COUNTIFS($A$5:$A452,"&gt;="&amp;$A453-1,$A$5:$A452,"&lt;="&amp;$A453,$B$5:$B452,$B453)&gt;0,MIN(1-'Exercise list'!S$2,IF($A453=$A452,AY452,1))-AD453&lt;0),-1,MIN(1,IF($A453=$A452,AY452,1)-AD453+$D$2))</f>
        <v>1</v>
      </c>
      <c r="AZ453" s="19">
        <f>IF(OR($J453=1,COUNTIFS($A$5:$A452,"&gt;="&amp;$A453-1,$A$5:$A452,"&lt;="&amp;$A453,$B$5:$B452,$B453)&gt;0,MIN(1-'Exercise list'!T$2,IF($A453=$A452,AZ452,1))-AE453&lt;0),-1,MIN(1,IF($A453=$A452,AZ452,1)-AE453+$D$2))</f>
        <v>1</v>
      </c>
      <c r="BA453" s="19">
        <f>IF(OR($J453=1,COUNTIFS($A$5:$A452,"&gt;="&amp;$A453-1,$A$5:$A452,"&lt;="&amp;$A453,$B$5:$B452,$B453)&gt;0,MIN(1-'Exercise list'!U$2,IF($A453=$A452,BA452,1))-AF453&lt;0),-1,MIN(1,IF($A453=$A452,BA452,1)-AF453+$D$2))</f>
        <v>1</v>
      </c>
      <c r="BB453" s="19">
        <f>IF(OR($J453=1,COUNTIFS($A$5:$A452,"&gt;="&amp;$A453-1,$A$5:$A452,"&lt;="&amp;$A453,$B$5:$B452,$B453)&gt;0,MIN(1-'Exercise list'!V$2,IF($A453=$A452,BB452,1))-AG453&lt;0),-1,MIN(1,IF($A453=$A452,BB452,1)-AG453+$D$2))</f>
        <v>1</v>
      </c>
      <c r="BC453" s="19">
        <f>IF(OR($J453=1,COUNTIFS($A$5:$A452,"&gt;="&amp;$A453-1,$A$5:$A452,"&lt;="&amp;$A453,$B$5:$B452,$B453)&gt;0,MIN(1-'Exercise list'!W$2,IF($A453=$A452,BC452,1))-AH453&lt;0),-1,MIN(1,IF($A453=$A452,BC452,1)-AH453+$D$2))</f>
        <v>1</v>
      </c>
      <c r="BD453" s="19">
        <f>IF(OR($J453=1,COUNTIFS($A$5:$A452,"&gt;="&amp;$A453-1,$A$5:$A452,"&lt;="&amp;$A453,$B$5:$B452,$B453)&gt;0,MIN(1-'Exercise list'!X$2,IF($A453=$A452,BD452,1))-AI453&lt;0),-1,MIN(1,IF($A453=$A452,BD452,1)-AI453+$D$2))</f>
        <v>1</v>
      </c>
      <c r="BE453" s="19"/>
      <c r="BF453" s="23">
        <f t="shared" si="321"/>
        <v>0.19596031081758858</v>
      </c>
      <c r="BG453" s="23">
        <f t="shared" si="322"/>
        <v>0.21844636935459236</v>
      </c>
      <c r="BH453" s="23">
        <f t="shared" si="323"/>
        <v>0.14609696635987124</v>
      </c>
      <c r="BI453" s="23">
        <f t="shared" si="324"/>
        <v>0.13198015366034541</v>
      </c>
      <c r="BJ453" s="23">
        <f t="shared" si="325"/>
        <v>8.3367914198418713E-2</v>
      </c>
      <c r="BK453" s="23">
        <f t="shared" si="326"/>
        <v>0.10640640223148412</v>
      </c>
      <c r="BL453" s="23">
        <f t="shared" si="327"/>
        <v>0.21963504743569431</v>
      </c>
      <c r="BM453" s="23">
        <f t="shared" si="328"/>
        <v>3.8988008374820568E-3</v>
      </c>
      <c r="BN453" s="23">
        <f t="shared" si="329"/>
        <v>0.14537706087090876</v>
      </c>
      <c r="BO453" s="23">
        <f t="shared" si="330"/>
        <v>0.29209790661993401</v>
      </c>
      <c r="BP453" s="23">
        <f t="shared" si="331"/>
        <v>0.31584545163401867</v>
      </c>
      <c r="BQ453" s="23">
        <f t="shared" si="332"/>
        <v>0.1000007994126096</v>
      </c>
      <c r="BR453" s="23">
        <f t="shared" si="333"/>
        <v>0.13164487759885393</v>
      </c>
      <c r="BS453" s="23">
        <f t="shared" si="334"/>
        <v>2.9803550189863123E-2</v>
      </c>
      <c r="BT453" s="23">
        <f t="shared" si="335"/>
        <v>0.13492040904978705</v>
      </c>
      <c r="BU453" s="23">
        <f t="shared" si="336"/>
        <v>0.11703687414398131</v>
      </c>
      <c r="BV453" s="23">
        <f t="shared" si="337"/>
        <v>0.14633353213781661</v>
      </c>
      <c r="BW453" s="23">
        <f t="shared" si="338"/>
        <v>7.5588015111767173E-2</v>
      </c>
      <c r="BX453" s="23">
        <f t="shared" si="339"/>
        <v>8.0345659937185704E-2</v>
      </c>
      <c r="BY453" s="23">
        <f t="shared" si="340"/>
        <v>5.9014643151272549E-2</v>
      </c>
      <c r="BZ453" s="19"/>
      <c r="CA453" s="23" t="str">
        <f t="shared" si="317"/>
        <v/>
      </c>
      <c r="CB453" s="23" t="str">
        <f t="shared" si="298"/>
        <v/>
      </c>
      <c r="CC453" s="23" t="str">
        <f t="shared" si="299"/>
        <v/>
      </c>
      <c r="CD453" s="23" t="str">
        <f t="shared" si="300"/>
        <v/>
      </c>
      <c r="CE453" s="23" t="str">
        <f t="shared" si="301"/>
        <v/>
      </c>
      <c r="CF453" s="23" t="str">
        <f t="shared" si="302"/>
        <v/>
      </c>
      <c r="CG453" s="23" t="str">
        <f t="shared" si="303"/>
        <v/>
      </c>
      <c r="CH453" s="23" t="str">
        <f t="shared" si="304"/>
        <v/>
      </c>
      <c r="CI453" s="23" t="str">
        <f t="shared" si="305"/>
        <v/>
      </c>
      <c r="CJ453" s="23" t="str">
        <f t="shared" si="306"/>
        <v/>
      </c>
      <c r="CK453" s="23" t="str">
        <f t="shared" si="307"/>
        <v/>
      </c>
      <c r="CL453" s="23" t="str">
        <f t="shared" si="308"/>
        <v/>
      </c>
      <c r="CM453" s="23" t="str">
        <f t="shared" si="309"/>
        <v/>
      </c>
      <c r="CN453" s="23" t="str">
        <f t="shared" si="310"/>
        <v/>
      </c>
      <c r="CO453" s="23" t="str">
        <f t="shared" si="311"/>
        <v/>
      </c>
      <c r="CP453" s="23" t="str">
        <f t="shared" si="312"/>
        <v/>
      </c>
      <c r="CQ453" s="23" t="str">
        <f t="shared" si="313"/>
        <v/>
      </c>
      <c r="CR453" s="23" t="str">
        <f t="shared" si="314"/>
        <v/>
      </c>
      <c r="CS453" s="23" t="str">
        <f t="shared" si="315"/>
        <v/>
      </c>
      <c r="CT453" s="23" t="str">
        <f t="shared" si="316"/>
        <v/>
      </c>
      <c r="CU453" s="19"/>
    </row>
    <row r="454" spans="1:99" x14ac:dyDescent="0.25">
      <c r="P454">
        <f>IFERROR(INDEX('Exercise list'!$E$5:$X$102,MATCH($C454,'Exercise list'!$C$5:$C$102,0),MATCH(P$5,'Exercise list'!$E$4:$X$4,0)),0)</f>
        <v>0</v>
      </c>
      <c r="Q454">
        <f>IFERROR(INDEX('Exercise list'!$E$5:$X$102,MATCH($C454,'Exercise list'!$C$5:$C$102,0),MATCH(Q$5,'Exercise list'!$E$4:$X$4,0)),0)</f>
        <v>0</v>
      </c>
      <c r="R454">
        <f>IFERROR(INDEX('Exercise list'!$E$5:$X$102,MATCH($C454,'Exercise list'!$C$5:$C$102,0),MATCH(R$5,'Exercise list'!$E$4:$X$4,0)),0)</f>
        <v>0</v>
      </c>
      <c r="S454">
        <f>IFERROR(INDEX('Exercise list'!$E$5:$X$102,MATCH($C454,'Exercise list'!$C$5:$C$102,0),MATCH(S$5,'Exercise list'!$E$4:$X$4,0)),0)</f>
        <v>0</v>
      </c>
      <c r="T454">
        <f>IFERROR(INDEX('Exercise list'!$E$5:$X$102,MATCH($C454,'Exercise list'!$C$5:$C$102,0),MATCH(T$5,'Exercise list'!$E$4:$X$4,0)),0)</f>
        <v>0</v>
      </c>
      <c r="U454">
        <f>IFERROR(INDEX('Exercise list'!$E$5:$X$102,MATCH($C454,'Exercise list'!$C$5:$C$102,0),MATCH(U$5,'Exercise list'!$E$4:$X$4,0)),0)</f>
        <v>0</v>
      </c>
      <c r="V454">
        <f>IFERROR(INDEX('Exercise list'!$E$5:$X$102,MATCH($C454,'Exercise list'!$C$5:$C$102,0),MATCH(V$5,'Exercise list'!$E$4:$X$4,0)),0)</f>
        <v>0</v>
      </c>
      <c r="W454">
        <f>IFERROR(INDEX('Exercise list'!$E$5:$X$102,MATCH($C454,'Exercise list'!$C$5:$C$102,0),MATCH(W$5,'Exercise list'!$E$4:$X$4,0)),0)</f>
        <v>0</v>
      </c>
      <c r="X454">
        <f>IFERROR(INDEX('Exercise list'!$E$5:$X$102,MATCH($C454,'Exercise list'!$C$5:$C$102,0),MATCH(X$5,'Exercise list'!$E$4:$X$4,0)),0)</f>
        <v>0</v>
      </c>
      <c r="Y454">
        <f>IFERROR(INDEX('Exercise list'!$E$5:$X$102,MATCH($C454,'Exercise list'!$C$5:$C$102,0),MATCH(Y$5,'Exercise list'!$E$4:$X$4,0)),0)</f>
        <v>0</v>
      </c>
      <c r="Z454">
        <f>IFERROR(INDEX('Exercise list'!$E$5:$X$102,MATCH($C454,'Exercise list'!$C$5:$C$102,0),MATCH(Z$5,'Exercise list'!$E$4:$X$4,0)),0)</f>
        <v>0</v>
      </c>
      <c r="AA454">
        <f>IFERROR(INDEX('Exercise list'!$E$5:$X$102,MATCH($C454,'Exercise list'!$C$5:$C$102,0),MATCH(AA$5,'Exercise list'!$E$4:$X$4,0)),0)</f>
        <v>0</v>
      </c>
      <c r="AB454">
        <f>IFERROR(INDEX('Exercise list'!$E$5:$X$102,MATCH($C454,'Exercise list'!$C$5:$C$102,0),MATCH(AB$5,'Exercise list'!$E$4:$X$4,0)),0)</f>
        <v>0</v>
      </c>
      <c r="AC454">
        <f>IFERROR(INDEX('Exercise list'!$E$5:$X$102,MATCH($C454,'Exercise list'!$C$5:$C$102,0),MATCH(AC$5,'Exercise list'!$E$4:$X$4,0)),0)</f>
        <v>0</v>
      </c>
      <c r="AD454">
        <f>IFERROR(INDEX('Exercise list'!$E$5:$X$102,MATCH($C454,'Exercise list'!$C$5:$C$102,0),MATCH(AD$5,'Exercise list'!$E$4:$X$4,0)),0)</f>
        <v>0</v>
      </c>
      <c r="AE454">
        <f>IFERROR(INDEX('Exercise list'!$E$5:$X$102,MATCH($C454,'Exercise list'!$C$5:$C$102,0),MATCH(AE$5,'Exercise list'!$E$4:$X$4,0)),0)</f>
        <v>0</v>
      </c>
      <c r="AF454">
        <f>IFERROR(INDEX('Exercise list'!$E$5:$X$102,MATCH($C454,'Exercise list'!$C$5:$C$102,0),MATCH(AF$5,'Exercise list'!$E$4:$X$4,0)),0)</f>
        <v>0</v>
      </c>
      <c r="AG454">
        <f>IFERROR(INDEX('Exercise list'!$E$5:$X$102,MATCH($C454,'Exercise list'!$C$5:$C$102,0),MATCH(AG$5,'Exercise list'!$E$4:$X$4,0)),0)</f>
        <v>0</v>
      </c>
      <c r="AH454">
        <f>IFERROR(INDEX('Exercise list'!$E$5:$X$102,MATCH($C454,'Exercise list'!$C$5:$C$102,0),MATCH(AH$5,'Exercise list'!$E$4:$X$4,0)),0)</f>
        <v>0</v>
      </c>
      <c r="AI454">
        <f>IFERROR(INDEX('Exercise list'!$E$5:$X$102,MATCH($C454,'Exercise list'!$C$5:$C$102,0),MATCH(AI$5,'Exercise list'!$E$4:$X$4,0)),0)</f>
        <v>0</v>
      </c>
      <c r="AK454">
        <f>IF(OR($J454=1,COUNTIFS($A$5:$A453,"&gt;="&amp;$A454-1,$A$5:$A453,"&lt;="&amp;$A454,$B$5:$B453,$B454)&gt;0,MIN(1-'Exercise list'!E$2,IF($A454=$A453,AK453,1))-P454&lt;0),-1,MIN(1,IF($A454=$A453,AK453,1)-P454+$D$2))</f>
        <v>1</v>
      </c>
      <c r="AL454">
        <f>IF(OR($J454=1,COUNTIFS($A$5:$A453,"&gt;="&amp;$A454-1,$A$5:$A453,"&lt;="&amp;$A454,$B$5:$B453,$B454)&gt;0,MIN(1-'Exercise list'!F$2,IF($A454=$A453,AL453,1))-Q454&lt;0),-1,MIN(1,IF($A454=$A453,AL453,1)-Q454+$D$2))</f>
        <v>1</v>
      </c>
      <c r="AM454">
        <f>IF(OR($J454=1,COUNTIFS($A$5:$A453,"&gt;="&amp;$A454-1,$A$5:$A453,"&lt;="&amp;$A454,$B$5:$B453,$B454)&gt;0,MIN(1-'Exercise list'!G$2,IF($A454=$A453,AM453,1))-R454&lt;0),-1,MIN(1,IF($A454=$A453,AM453,1)-R454+$D$2))</f>
        <v>1</v>
      </c>
      <c r="AN454">
        <f>IF(OR($J454=1,COUNTIFS($A$5:$A453,"&gt;="&amp;$A454-1,$A$5:$A453,"&lt;="&amp;$A454,$B$5:$B453,$B454)&gt;0,MIN(1-'Exercise list'!H$2,IF($A454=$A453,AN453,1))-S454&lt;0),-1,MIN(1,IF($A454=$A453,AN453,1)-S454+$D$2))</f>
        <v>1</v>
      </c>
      <c r="AO454">
        <f>IF(OR($J454=1,COUNTIFS($A$5:$A453,"&gt;="&amp;$A454-1,$A$5:$A453,"&lt;="&amp;$A454,$B$5:$B453,$B454)&gt;0,MIN(1-'Exercise list'!I$2,IF($A454=$A453,AO453,1))-T454&lt;0),-1,MIN(1,IF($A454=$A453,AO453,1)-T454+$D$2))</f>
        <v>1</v>
      </c>
      <c r="AP454">
        <f>IF(OR($J454=1,COUNTIFS($A$5:$A453,"&gt;="&amp;$A454-1,$A$5:$A453,"&lt;="&amp;$A454,$B$5:$B453,$B454)&gt;0,MIN(1-'Exercise list'!J$2,IF($A454=$A453,AP453,1))-U454&lt;0),-1,MIN(1,IF($A454=$A453,AP453,1)-U454+$D$2))</f>
        <v>1</v>
      </c>
      <c r="AQ454">
        <f>IF(OR($J454=1,COUNTIFS($A$5:$A453,"&gt;="&amp;$A454-1,$A$5:$A453,"&lt;="&amp;$A454,$B$5:$B453,$B454)&gt;0,MIN(1-'Exercise list'!K$2,IF($A454=$A453,AQ453,1))-V454&lt;0),-1,MIN(1,IF($A454=$A453,AQ453,1)-V454+$D$2))</f>
        <v>1</v>
      </c>
      <c r="AR454">
        <f>IF(OR($J454=1,COUNTIFS($A$5:$A453,"&gt;="&amp;$A454-1,$A$5:$A453,"&lt;="&amp;$A454,$B$5:$B453,$B454)&gt;0,MIN(1-'Exercise list'!L$2,IF($A454=$A453,AR453,1))-W454&lt;0),-1,MIN(1,IF($A454=$A453,AR453,1)-W454+$D$2))</f>
        <v>1</v>
      </c>
      <c r="AS454">
        <f>IF(OR($J454=1,COUNTIFS($A$5:$A453,"&gt;="&amp;$A454-1,$A$5:$A453,"&lt;="&amp;$A454,$B$5:$B453,$B454)&gt;0,MIN(1-'Exercise list'!M$2,IF($A454=$A453,AS453,1))-X454&lt;0),-1,MIN(1,IF($A454=$A453,AS453,1)-X454+$D$2))</f>
        <v>1</v>
      </c>
      <c r="AT454">
        <f>IF(OR($J454=1,COUNTIFS($A$5:$A453,"&gt;="&amp;$A454-1,$A$5:$A453,"&lt;="&amp;$A454,$B$5:$B453,$B454)&gt;0,MIN(1-'Exercise list'!N$2,IF($A454=$A453,AT453,1))-Y454&lt;0),-1,MIN(1,IF($A454=$A453,AT453,1)-Y454+$D$2))</f>
        <v>1</v>
      </c>
      <c r="AU454">
        <f>IF(OR($J454=1,COUNTIFS($A$5:$A453,"&gt;="&amp;$A454-1,$A$5:$A453,"&lt;="&amp;$A454,$B$5:$B453,$B454)&gt;0,MIN(1-'Exercise list'!O$2,IF($A454=$A453,AU453,1))-Z454&lt;0),-1,MIN(1,IF($A454=$A453,AU453,1)-Z454+$D$2))</f>
        <v>1</v>
      </c>
      <c r="AV454">
        <f>IF(OR($J454=1,COUNTIFS($A$5:$A453,"&gt;="&amp;$A454-1,$A$5:$A453,"&lt;="&amp;$A454,$B$5:$B453,$B454)&gt;0,MIN(1-'Exercise list'!P$2,IF($A454=$A453,AV453,1))-AA454&lt;0),-1,MIN(1,IF($A454=$A453,AV453,1)-AA454+$D$2))</f>
        <v>1</v>
      </c>
      <c r="AW454">
        <f>IF(OR($J454=1,COUNTIFS($A$5:$A453,"&gt;="&amp;$A454-1,$A$5:$A453,"&lt;="&amp;$A454,$B$5:$B453,$B454)&gt;0,MIN(1-'Exercise list'!Q$2,IF($A454=$A453,AW453,1))-AB454&lt;0),-1,MIN(1,IF($A454=$A453,AW453,1)-AB454+$D$2))</f>
        <v>1</v>
      </c>
      <c r="AX454">
        <f>IF(OR($J454=1,COUNTIFS($A$5:$A453,"&gt;="&amp;$A454-1,$A$5:$A453,"&lt;="&amp;$A454,$B$5:$B453,$B454)&gt;0,MIN(1-'Exercise list'!R$2,IF($A454=$A453,AX453,1))-AC454&lt;0),-1,MIN(1,IF($A454=$A453,AX453,1)-AC454+$D$2))</f>
        <v>1</v>
      </c>
      <c r="AY454">
        <f>IF(OR($J454=1,COUNTIFS($A$5:$A453,"&gt;="&amp;$A454-1,$A$5:$A453,"&lt;="&amp;$A454,$B$5:$B453,$B454)&gt;0,MIN(1-'Exercise list'!S$2,IF($A454=$A453,AY453,1))-AD454&lt;0),-1,MIN(1,IF($A454=$A453,AY453,1)-AD454+$D$2))</f>
        <v>1</v>
      </c>
      <c r="AZ454">
        <f>IF(OR($J454=1,COUNTIFS($A$5:$A453,"&gt;="&amp;$A454-1,$A$5:$A453,"&lt;="&amp;$A454,$B$5:$B453,$B454)&gt;0,MIN(1-'Exercise list'!T$2,IF($A454=$A453,AZ453,1))-AE454&lt;0),-1,MIN(1,IF($A454=$A453,AZ453,1)-AE454+$D$2))</f>
        <v>1</v>
      </c>
      <c r="BA454">
        <f>IF(OR($J454=1,COUNTIFS($A$5:$A453,"&gt;="&amp;$A454-1,$A$5:$A453,"&lt;="&amp;$A454,$B$5:$B453,$B454)&gt;0,MIN(1-'Exercise list'!U$2,IF($A454=$A453,BA453,1))-AF454&lt;0),-1,MIN(1,IF($A454=$A453,BA453,1)-AF454+$D$2))</f>
        <v>1</v>
      </c>
      <c r="BB454">
        <f>IF(OR($J454=1,COUNTIFS($A$5:$A453,"&gt;="&amp;$A454-1,$A$5:$A453,"&lt;="&amp;$A454,$B$5:$B453,$B454)&gt;0,MIN(1-'Exercise list'!V$2,IF($A454=$A453,BB453,1))-AG454&lt;0),-1,MIN(1,IF($A454=$A453,BB453,1)-AG454+$D$2))</f>
        <v>1</v>
      </c>
      <c r="BC454">
        <f>IF(OR($J454=1,COUNTIFS($A$5:$A453,"&gt;="&amp;$A454-1,$A$5:$A453,"&lt;="&amp;$A454,$B$5:$B453,$B454)&gt;0,MIN(1-'Exercise list'!W$2,IF($A454=$A453,BC453,1))-AH454&lt;0),-1,MIN(1,IF($A454=$A453,BC453,1)-AH454+$D$2))</f>
        <v>1</v>
      </c>
      <c r="BD454">
        <f>IF(OR($J454=1,COUNTIFS($A$5:$A453,"&gt;="&amp;$A454-1,$A$5:$A453,"&lt;="&amp;$A454,$B$5:$B453,$B454)&gt;0,MIN(1-'Exercise list'!X$2,IF($A454=$A453,BD453,1))-AI454&lt;0),-1,MIN(1,IF($A454=$A453,BD453,1)-AI454+$D$2))</f>
        <v>1</v>
      </c>
      <c r="BF454">
        <f t="shared" si="321"/>
        <v>0.19596031081758858</v>
      </c>
      <c r="BG454">
        <f t="shared" si="322"/>
        <v>0.21844636935459236</v>
      </c>
      <c r="BH454">
        <f t="shared" si="323"/>
        <v>0.14609696635987124</v>
      </c>
      <c r="BI454">
        <f t="shared" si="324"/>
        <v>0.13198015366034541</v>
      </c>
      <c r="BJ454">
        <f t="shared" si="325"/>
        <v>8.3367914198418713E-2</v>
      </c>
      <c r="BK454">
        <f t="shared" si="326"/>
        <v>0.10640640223148412</v>
      </c>
      <c r="BL454">
        <f t="shared" si="327"/>
        <v>0.21963504743569431</v>
      </c>
      <c r="BM454">
        <f t="shared" si="328"/>
        <v>3.8988008374820568E-3</v>
      </c>
      <c r="BN454">
        <f t="shared" si="329"/>
        <v>0.14537706087090876</v>
      </c>
      <c r="BO454">
        <f t="shared" si="330"/>
        <v>0.29209790661993401</v>
      </c>
      <c r="BP454">
        <f t="shared" si="331"/>
        <v>0.31584545163401867</v>
      </c>
      <c r="BQ454">
        <f t="shared" si="332"/>
        <v>0.1000007994126096</v>
      </c>
      <c r="BR454">
        <f t="shared" si="333"/>
        <v>0.13164487759885393</v>
      </c>
      <c r="BS454">
        <f t="shared" si="334"/>
        <v>2.9803550189863123E-2</v>
      </c>
      <c r="BT454">
        <f t="shared" si="335"/>
        <v>0.13492040904978705</v>
      </c>
      <c r="BU454">
        <f t="shared" si="336"/>
        <v>0.11703687414398131</v>
      </c>
      <c r="BV454">
        <f t="shared" si="337"/>
        <v>0.14633353213781661</v>
      </c>
      <c r="BW454">
        <f t="shared" si="338"/>
        <v>7.5588015111767173E-2</v>
      </c>
      <c r="BX454">
        <f t="shared" si="339"/>
        <v>8.0345659937185704E-2</v>
      </c>
      <c r="BY454">
        <f t="shared" si="340"/>
        <v>5.9014643151272549E-2</v>
      </c>
      <c r="CA454" t="str">
        <f t="shared" ref="CA454" si="342">IF($A454="","",MAX(0,1-BF454/SUM($BF454:$BY454)/CA$2))</f>
        <v/>
      </c>
      <c r="CB454" t="str">
        <f t="shared" ref="CB454" si="343">IF($A454="","",MAX(0,1-BG454/SUM($BF454:$BY454)/CB$2))</f>
        <v/>
      </c>
      <c r="CC454" t="str">
        <f t="shared" ref="CC454:CT454" si="344">IF($A454="","",MAX(0,1-BH454/SUM($BF454:$BY454)/CC$2))</f>
        <v/>
      </c>
      <c r="CD454" t="str">
        <f t="shared" si="344"/>
        <v/>
      </c>
      <c r="CE454" t="str">
        <f t="shared" si="344"/>
        <v/>
      </c>
      <c r="CF454" t="str">
        <f t="shared" si="344"/>
        <v/>
      </c>
      <c r="CG454" t="str">
        <f t="shared" si="344"/>
        <v/>
      </c>
      <c r="CH454" t="str">
        <f t="shared" si="344"/>
        <v/>
      </c>
      <c r="CI454" t="str">
        <f t="shared" si="344"/>
        <v/>
      </c>
      <c r="CJ454" t="str">
        <f t="shared" si="344"/>
        <v/>
      </c>
      <c r="CK454" t="str">
        <f t="shared" si="344"/>
        <v/>
      </c>
      <c r="CL454" t="str">
        <f t="shared" si="344"/>
        <v/>
      </c>
      <c r="CM454" t="str">
        <f t="shared" si="344"/>
        <v/>
      </c>
      <c r="CN454" t="str">
        <f t="shared" si="344"/>
        <v/>
      </c>
      <c r="CO454" t="str">
        <f t="shared" si="344"/>
        <v/>
      </c>
      <c r="CP454" t="str">
        <f t="shared" si="344"/>
        <v/>
      </c>
      <c r="CQ454" t="str">
        <f t="shared" si="344"/>
        <v/>
      </c>
      <c r="CR454" t="str">
        <f t="shared" si="344"/>
        <v/>
      </c>
      <c r="CS454" t="str">
        <f t="shared" si="344"/>
        <v/>
      </c>
      <c r="CT454" t="str">
        <f t="shared" si="344"/>
        <v/>
      </c>
    </row>
  </sheetData>
  <mergeCells count="20">
    <mergeCell ref="CL3:CN3"/>
    <mergeCell ref="CO3:CT3"/>
    <mergeCell ref="BN3:BP3"/>
    <mergeCell ref="BQ3:BS3"/>
    <mergeCell ref="BT3:BY3"/>
    <mergeCell ref="CB3:CE3"/>
    <mergeCell ref="CF3:CH3"/>
    <mergeCell ref="CI3:CK3"/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</mergeCells>
  <conditionalFormatting sqref="CA2:CT2">
    <cfRule type="colorScale" priority="19">
      <colorScale>
        <cfvo type="min"/>
        <cfvo type="max"/>
        <color rgb="FFFCFCFF"/>
        <color rgb="FF63BE7B"/>
      </colorScale>
    </cfRule>
  </conditionalFormatting>
  <conditionalFormatting sqref="CA2:CT2">
    <cfRule type="colorScale" priority="18">
      <colorScale>
        <cfvo type="min"/>
        <cfvo type="max"/>
        <color rgb="FFFCFCFF"/>
        <color rgb="FF63BE7B"/>
      </colorScale>
    </cfRule>
  </conditionalFormatting>
  <conditionalFormatting sqref="D6:D453">
    <cfRule type="cellIs" dxfId="2" priority="15" operator="lessThan">
      <formula>0</formula>
    </cfRule>
  </conditionalFormatting>
  <conditionalFormatting sqref="CA1:CT1">
    <cfRule type="colorScale" priority="10">
      <colorScale>
        <cfvo type="min"/>
        <cfvo type="max"/>
        <color rgb="FFFCFCFF"/>
        <color rgb="FF63BE7B"/>
      </colorScale>
    </cfRule>
  </conditionalFormatting>
  <conditionalFormatting sqref="CA1:CT1">
    <cfRule type="colorScale" priority="9">
      <colorScale>
        <cfvo type="min"/>
        <cfvo type="max"/>
        <color rgb="FFFCFCFF"/>
        <color rgb="FF63BE7B"/>
      </colorScale>
    </cfRule>
  </conditionalFormatting>
  <conditionalFormatting sqref="P6:AI453">
    <cfRule type="colorScale" priority="112">
      <colorScale>
        <cfvo type="min"/>
        <cfvo type="max"/>
        <color rgb="FFFCFCFF"/>
        <color rgb="FFF8696B"/>
      </colorScale>
    </cfRule>
  </conditionalFormatting>
  <conditionalFormatting sqref="BF6:BY453">
    <cfRule type="colorScale" priority="114">
      <colorScale>
        <cfvo type="min"/>
        <cfvo type="max"/>
        <color rgb="FFFCFCFF"/>
        <color rgb="FFF8696B"/>
      </colorScale>
    </cfRule>
  </conditionalFormatting>
  <conditionalFormatting sqref="AK6:BD453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6:E453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G6:G453">
    <cfRule type="colorScale" priority="120">
      <colorScale>
        <cfvo type="min"/>
        <cfvo type="max"/>
        <color rgb="FFFCFCFF"/>
        <color rgb="FFF8696B"/>
      </colorScale>
    </cfRule>
  </conditionalFormatting>
  <conditionalFormatting sqref="H6:H453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{AB12E15E-7685-412B-94AB-E65ED3392C02}</x14:id>
        </ext>
      </extLst>
    </cfRule>
  </conditionalFormatting>
  <conditionalFormatting sqref="F6:F453">
    <cfRule type="dataBar" priority="1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{F85E5B86-37D3-4704-A525-2EDD311EC772}</x14:id>
        </ext>
      </extLst>
    </cfRule>
  </conditionalFormatting>
  <conditionalFormatting sqref="CA6:CT1230">
    <cfRule type="colorScale" priority="4">
      <colorScale>
        <cfvo type="num" val="0"/>
        <cfvo type="percentile" val="50"/>
        <cfvo type="max"/>
        <color theme="0"/>
        <color rgb="FFFFEB84"/>
        <color rgb="FFF8696B"/>
      </colorScale>
    </cfRule>
  </conditionalFormatting>
  <conditionalFormatting sqref="A1:B1048576">
    <cfRule type="containsBlanks" priority="1" stopIfTrue="1">
      <formula>LEN(TRIM(A1))=0</formula>
    </cfRule>
    <cfRule type="expression" dxfId="1" priority="2">
      <formula>$A1&lt;TODAY()</formula>
    </cfRule>
    <cfRule type="expression" dxfId="0" priority="3">
      <formula>$A1=TODAY()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1</xdr:col>
                    <xdr:colOff>733425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4</xdr:row>
                    <xdr:rowOff>66675</xdr:rowOff>
                  </from>
                  <to>
                    <xdr:col>2</xdr:col>
                    <xdr:colOff>1190625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E6:E453</xm:sqref>
        </x14:conditionalFormatting>
        <x14:conditionalFormatting xmlns:xm="http://schemas.microsoft.com/office/excel/2006/main">
          <x14:cfRule type="dataBar" id="{AB12E15E-7685-412B-94AB-E65ED3392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H6:H453</xm:sqref>
        </x14:conditionalFormatting>
        <x14:conditionalFormatting xmlns:xm="http://schemas.microsoft.com/office/excel/2006/main">
          <x14:cfRule type="dataBar" id="{F85E5B86-37D3-4704-A525-2EDD311EC7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F6:F453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F18"/>
  <sheetViews>
    <sheetView workbookViewId="0">
      <selection activeCell="J21" sqref="J21"/>
    </sheetView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6" x14ac:dyDescent="0.25">
      <c r="B2" s="126" t="s">
        <v>88</v>
      </c>
      <c r="C2" s="128"/>
      <c r="D2" s="126" t="s">
        <v>87</v>
      </c>
      <c r="E2" s="127"/>
      <c r="F2" s="128"/>
    </row>
    <row r="3" spans="2:6" s="5" customFormat="1" x14ac:dyDescent="0.25">
      <c r="B3" s="45" t="s">
        <v>45</v>
      </c>
      <c r="C3" s="46" t="s">
        <v>46</v>
      </c>
      <c r="D3" s="45" t="s">
        <v>47</v>
      </c>
      <c r="E3" s="47" t="s">
        <v>2</v>
      </c>
      <c r="F3" s="46" t="s">
        <v>48</v>
      </c>
    </row>
    <row r="4" spans="2:6" x14ac:dyDescent="0.25">
      <c r="B4" s="3"/>
      <c r="C4" s="4"/>
      <c r="D4" s="3"/>
      <c r="F4" s="4"/>
    </row>
    <row r="5" spans="2:6" x14ac:dyDescent="0.25">
      <c r="B5" s="12" t="s">
        <v>54</v>
      </c>
      <c r="C5" s="34" t="s">
        <v>63</v>
      </c>
      <c r="D5" s="12" t="s">
        <v>76</v>
      </c>
      <c r="E5" s="6" t="s">
        <v>80</v>
      </c>
      <c r="F5" s="34" t="s">
        <v>83</v>
      </c>
    </row>
    <row r="6" spans="2:6" x14ac:dyDescent="0.25">
      <c r="B6" s="48" t="s">
        <v>55</v>
      </c>
      <c r="C6" s="34" t="s">
        <v>68</v>
      </c>
      <c r="D6" s="12" t="s">
        <v>77</v>
      </c>
      <c r="E6" s="6" t="s">
        <v>81</v>
      </c>
      <c r="F6" s="34" t="s">
        <v>84</v>
      </c>
    </row>
    <row r="7" spans="2:6" x14ac:dyDescent="0.25">
      <c r="B7" s="48" t="s">
        <v>49</v>
      </c>
      <c r="C7" s="34" t="s">
        <v>64</v>
      </c>
      <c r="D7" s="12" t="s">
        <v>51</v>
      </c>
      <c r="E7" s="6" t="s">
        <v>82</v>
      </c>
      <c r="F7" s="34" t="s">
        <v>85</v>
      </c>
    </row>
    <row r="8" spans="2:6" x14ac:dyDescent="0.25">
      <c r="B8" s="48" t="s">
        <v>56</v>
      </c>
      <c r="C8" s="34" t="s">
        <v>69</v>
      </c>
      <c r="D8" s="12" t="s">
        <v>78</v>
      </c>
      <c r="E8" s="6"/>
      <c r="F8" s="34"/>
    </row>
    <row r="9" spans="2:6" x14ac:dyDescent="0.25">
      <c r="B9" s="12" t="s">
        <v>57</v>
      </c>
      <c r="C9" s="34" t="s">
        <v>70</v>
      </c>
      <c r="D9" s="17" t="s">
        <v>79</v>
      </c>
      <c r="E9" s="18"/>
      <c r="F9" s="49"/>
    </row>
    <row r="10" spans="2:6" x14ac:dyDescent="0.25">
      <c r="B10" s="12" t="s">
        <v>58</v>
      </c>
      <c r="C10" s="34" t="s">
        <v>71</v>
      </c>
      <c r="D10" s="6"/>
      <c r="E10" s="6"/>
      <c r="F10" s="6"/>
    </row>
    <row r="11" spans="2:6" x14ac:dyDescent="0.25">
      <c r="B11" s="12" t="s">
        <v>59</v>
      </c>
      <c r="C11" s="34" t="s">
        <v>72</v>
      </c>
      <c r="D11" s="6"/>
      <c r="E11" s="6"/>
      <c r="F11" s="6"/>
    </row>
    <row r="12" spans="2:6" x14ac:dyDescent="0.25">
      <c r="B12" s="12" t="s">
        <v>50</v>
      </c>
      <c r="C12" s="34" t="s">
        <v>73</v>
      </c>
      <c r="D12" s="6"/>
      <c r="E12" s="6"/>
      <c r="F12" s="6"/>
    </row>
    <row r="13" spans="2:6" x14ac:dyDescent="0.25">
      <c r="B13" s="12" t="s">
        <v>60</v>
      </c>
      <c r="C13" s="34" t="s">
        <v>74</v>
      </c>
      <c r="D13" s="6"/>
      <c r="E13" s="6"/>
      <c r="F13" s="6"/>
    </row>
    <row r="14" spans="2:6" x14ac:dyDescent="0.25">
      <c r="B14" s="12" t="s">
        <v>51</v>
      </c>
      <c r="C14" s="34" t="s">
        <v>65</v>
      </c>
      <c r="D14" s="6"/>
      <c r="E14" s="6"/>
      <c r="F14" s="6"/>
    </row>
    <row r="15" spans="2:6" x14ac:dyDescent="0.25">
      <c r="B15" s="48" t="s">
        <v>52</v>
      </c>
      <c r="C15" s="34" t="s">
        <v>75</v>
      </c>
      <c r="D15" s="6"/>
      <c r="E15" s="6"/>
      <c r="F15" s="6"/>
    </row>
    <row r="16" spans="2:6" x14ac:dyDescent="0.25">
      <c r="B16" s="12" t="s">
        <v>61</v>
      </c>
      <c r="C16" s="34" t="s">
        <v>66</v>
      </c>
      <c r="D16" s="6"/>
      <c r="E16" s="6"/>
      <c r="F16" s="6"/>
    </row>
    <row r="17" spans="2:6" x14ac:dyDescent="0.25">
      <c r="B17" s="48" t="s">
        <v>62</v>
      </c>
      <c r="C17" s="34" t="s">
        <v>67</v>
      </c>
      <c r="D17" s="6"/>
      <c r="E17" s="6"/>
      <c r="F17" s="6"/>
    </row>
    <row r="18" spans="2:6" x14ac:dyDescent="0.25">
      <c r="B18" s="45" t="s">
        <v>53</v>
      </c>
      <c r="C18" s="49" t="s">
        <v>86</v>
      </c>
      <c r="D18" s="6"/>
      <c r="E18" s="6"/>
      <c r="F18" s="6"/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 list</vt:lpstr>
      <vt:lpstr>Main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dcterms:created xsi:type="dcterms:W3CDTF">2023-04-29T15:04:42Z</dcterms:created>
  <dcterms:modified xsi:type="dcterms:W3CDTF">2023-06-18T09:38:16Z</dcterms:modified>
</cp:coreProperties>
</file>